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ink/ink1.xml" ContentType="application/inkml+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ink/ink10.xml" ContentType="application/inkml+xml"/>
  <Override PartName="/xl/ink/ink11.xml" ContentType="application/inkml+xml"/>
  <Override PartName="/xl/ink/ink12.xml" ContentType="application/inkml+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ink/ink13.xml" ContentType="application/inkml+xml"/>
  <Override PartName="/xl/ink/ink14.xml" ContentType="application/inkml+xml"/>
  <Override PartName="/xl/ink/ink15.xml" ContentType="application/inkml+xml"/>
  <Override PartName="/xl/ink/ink16.xml" ContentType="application/inkml+xml"/>
  <Override PartName="/xl/ink/ink17.xml" ContentType="application/inkml+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ink/ink18.xml" ContentType="application/inkml+xml"/>
  <Override PartName="/xl/ink/ink19.xml" ContentType="application/inkml+xml"/>
  <Override PartName="/xl/ink/ink20.xml" ContentType="application/inkml+xml"/>
  <Override PartName="/xl/ink/ink21.xml" ContentType="application/inkml+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ink/ink22.xml" ContentType="application/inkml+xml"/>
  <Override PartName="/xl/ink/ink23.xml" ContentType="application/inkml+xml"/>
  <Override PartName="/xl/ink/ink24.xml" ContentType="application/inkml+xml"/>
  <Override PartName="/xl/ink/ink25.xml" ContentType="application/inkml+xml"/>
  <Override PartName="/xl/ink/ink26.xml" ContentType="application/inkml+xml"/>
  <Override PartName="/xl/ink/ink27.xml" ContentType="application/inkml+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ink/ink28.xml" ContentType="application/inkml+xml"/>
  <Override PartName="/xl/ink/ink29.xml" ContentType="application/inkml+xml"/>
  <Override PartName="/xl/ink/ink30.xml" ContentType="application/inkml+xml"/>
  <Override PartName="/xl/ink/ink31.xml" ContentType="application/inkml+xml"/>
  <Override PartName="/xl/ink/ink32.xml" ContentType="application/inkml+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DD97A8EA-9A9A-E61F-A557-7D5A7D7259CE}"/>
  <workbookPr codeName="ThisWorkbook"/>
  <mc:AlternateContent xmlns:mc="http://schemas.openxmlformats.org/markup-compatibility/2006">
    <mc:Choice Requires="x15">
      <x15ac:absPath xmlns:x15ac="http://schemas.microsoft.com/office/spreadsheetml/2010/11/ac" url="C:\Users\DCM-04\Dropbox\14. GEODELTA\014 FORMATOS ACTUALIZADOS 2026\FORMATOS PARA DIGITAR ACTUALIZADOS 2026\"/>
    </mc:Choice>
  </mc:AlternateContent>
  <xr:revisionPtr revIDLastSave="0" documentId="13_ncr:1_{EE66CCA4-695F-4908-AA17-65F6BD369480}" xr6:coauthVersionLast="47" xr6:coauthVersionMax="47" xr10:uidLastSave="{00000000-0000-0000-0000-000000000000}"/>
  <bookViews>
    <workbookView xWindow="-120" yWindow="-120" windowWidth="29040" windowHeight="15720" tabRatio="744" xr2:uid="{00000000-000D-0000-FFFF-FFFF00000000}"/>
  </bookViews>
  <sheets>
    <sheet name="GUIA" sheetId="88" r:id="rId1"/>
    <sheet name="PE4-3 M10" sheetId="89" state="hidden" r:id="rId2"/>
    <sheet name="PE4-2 M11" sheetId="90" state="hidden" r:id="rId3"/>
    <sheet name="PE4-7 M7" sheetId="91" state="hidden" r:id="rId4"/>
    <sheet name="PP4-3 M6" sheetId="92" state="hidden" r:id="rId5"/>
    <sheet name="PP4-4 M5" sheetId="93" state="hidden" r:id="rId6"/>
  </sheets>
  <externalReferences>
    <externalReference r:id="rId7"/>
  </externalReferences>
  <definedNames>
    <definedName name="__123Graph_AYO" localSheetId="0" hidden="1">#REF!</definedName>
    <definedName name="__123Graph_AYO" localSheetId="2" hidden="1">#REF!</definedName>
    <definedName name="__123Graph_AYO" localSheetId="1" hidden="1">#REF!</definedName>
    <definedName name="__123Graph_AYO" localSheetId="3" hidden="1">#REF!</definedName>
    <definedName name="__123Graph_AYO" localSheetId="4" hidden="1">#REF!</definedName>
    <definedName name="__123Graph_AYO" localSheetId="5" hidden="1">#REF!</definedName>
    <definedName name="__123Graph_AYO" hidden="1">#REF!</definedName>
    <definedName name="__123Graph_XYO" localSheetId="0" hidden="1">#REF!</definedName>
    <definedName name="__123Graph_XYO" localSheetId="2" hidden="1">#REF!</definedName>
    <definedName name="__123Graph_XYO" localSheetId="1" hidden="1">#REF!</definedName>
    <definedName name="__123Graph_XYO" localSheetId="3" hidden="1">#REF!</definedName>
    <definedName name="__123Graph_XYO" localSheetId="4" hidden="1">#REF!</definedName>
    <definedName name="__123Graph_XYO" localSheetId="5" hidden="1">#REF!</definedName>
    <definedName name="__123Graph_XYO" hidden="1">#REF!</definedName>
    <definedName name="_Fill" localSheetId="0" hidden="1">#REF!</definedName>
    <definedName name="_Fill" localSheetId="2" hidden="1">#REF!</definedName>
    <definedName name="_Fill" localSheetId="1" hidden="1">#REF!</definedName>
    <definedName name="_Fill" localSheetId="3" hidden="1">#REF!</definedName>
    <definedName name="_Fill" localSheetId="4" hidden="1">#REF!</definedName>
    <definedName name="_Fill" localSheetId="5" hidden="1">#REF!</definedName>
    <definedName name="_Fill" hidden="1">#REF!</definedName>
    <definedName name="_Regression_Out" localSheetId="0" hidden="1">[1]L!#REF!</definedName>
    <definedName name="_Regression_Out" localSheetId="2" hidden="1">[1]L!#REF!</definedName>
    <definedName name="_Regression_Out" localSheetId="1" hidden="1">[1]L!#REF!</definedName>
    <definedName name="_Regression_Out" localSheetId="3" hidden="1">[1]L!#REF!</definedName>
    <definedName name="_Regression_Out" localSheetId="4" hidden="1">[1]L!#REF!</definedName>
    <definedName name="_Regression_Out" localSheetId="5" hidden="1">[1]L!#REF!</definedName>
    <definedName name="_Regression_Out" hidden="1">[1]L!#REF!</definedName>
    <definedName name="_Regression_X" localSheetId="0" hidden="1">#REF!</definedName>
    <definedName name="_Regression_X" localSheetId="2" hidden="1">#REF!</definedName>
    <definedName name="_Regression_X" localSheetId="1" hidden="1">#REF!</definedName>
    <definedName name="_Regression_X" localSheetId="3" hidden="1">#REF!</definedName>
    <definedName name="_Regression_X" localSheetId="4" hidden="1">#REF!</definedName>
    <definedName name="_Regression_X" localSheetId="5" hidden="1">#REF!</definedName>
    <definedName name="_Regression_X" hidden="1">#REF!</definedName>
    <definedName name="_Regression_Y" localSheetId="0" hidden="1">#REF!</definedName>
    <definedName name="_Regression_Y" localSheetId="2" hidden="1">#REF!</definedName>
    <definedName name="_Regression_Y" localSheetId="1" hidden="1">#REF!</definedName>
    <definedName name="_Regression_Y" localSheetId="3" hidden="1">#REF!</definedName>
    <definedName name="_Regression_Y" localSheetId="4" hidden="1">#REF!</definedName>
    <definedName name="_Regression_Y" localSheetId="5" hidden="1">#REF!</definedName>
    <definedName name="_Regression_Y" hidden="1">#REF!</definedName>
    <definedName name="_xlnm.Print_Area" localSheetId="0">GUIA!$A$1:$N$85</definedName>
    <definedName name="_xlnm.Print_Area" localSheetId="2">'PE4-2 M11'!$A$1:$N$85</definedName>
    <definedName name="_xlnm.Print_Area" localSheetId="1">'PE4-3 M10'!$A$1:$N$85</definedName>
    <definedName name="_xlnm.Print_Area" localSheetId="3">'PE4-7 M7'!$A$1:$N$85</definedName>
    <definedName name="_xlnm.Print_Area" localSheetId="4">'PP4-3 M6'!$A$1:$N$85</definedName>
    <definedName name="_xlnm.Print_Area" localSheetId="5">'PP4-4 M5'!$A$1:$N$85</definedName>
    <definedName name="GFDGSD" localSheetId="0" hidden="1">[1]L!#REF!</definedName>
    <definedName name="GFDGSD" localSheetId="2" hidden="1">[1]L!#REF!</definedName>
    <definedName name="GFDGSD" localSheetId="1" hidden="1">[1]L!#REF!</definedName>
    <definedName name="GFDGSD" localSheetId="3" hidden="1">[1]L!#REF!</definedName>
    <definedName name="GFDGSD" localSheetId="4" hidden="1">[1]L!#REF!</definedName>
    <definedName name="GFDGSD" localSheetId="5" hidden="1">[1]L!#REF!</definedName>
    <definedName name="GFDGSD" hidden="1">[1]L!#REF!</definedName>
  </definedNames>
  <calcPr calcId="191029"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64" i="88" l="1"/>
  <c r="E58" i="88"/>
  <c r="E27" i="88"/>
  <c r="E28" i="88"/>
  <c r="E29" i="88"/>
  <c r="E30" i="88"/>
  <c r="E31" i="88"/>
  <c r="E32" i="88"/>
  <c r="E33" i="88"/>
  <c r="E34" i="88"/>
  <c r="E35" i="88"/>
  <c r="E36" i="88"/>
  <c r="E37" i="88"/>
  <c r="E38" i="88"/>
  <c r="E39" i="88"/>
  <c r="E40" i="88"/>
  <c r="E41" i="88"/>
  <c r="E42" i="88"/>
  <c r="E43" i="88"/>
  <c r="E44" i="88"/>
  <c r="E45" i="88"/>
  <c r="E46" i="88"/>
  <c r="E47" i="88"/>
  <c r="E48" i="88"/>
  <c r="E49" i="88"/>
  <c r="E50" i="88"/>
  <c r="E51" i="88"/>
  <c r="E52" i="88"/>
  <c r="E53" i="88"/>
  <c r="E54" i="88"/>
  <c r="E55" i="88"/>
  <c r="E56" i="88"/>
  <c r="E57" i="88"/>
  <c r="E26" i="88"/>
  <c r="C30" i="88"/>
  <c r="C26" i="88"/>
  <c r="B27" i="88"/>
  <c r="B28" i="88"/>
  <c r="B29" i="88"/>
  <c r="B30" i="88"/>
  <c r="B31" i="88"/>
  <c r="B32" i="88"/>
  <c r="B33" i="88"/>
  <c r="B34" i="88"/>
  <c r="B35" i="88"/>
  <c r="B36" i="88"/>
  <c r="B37" i="88"/>
  <c r="B38" i="88"/>
  <c r="B39" i="88"/>
  <c r="B40" i="88"/>
  <c r="B41" i="88"/>
  <c r="B42" i="88"/>
  <c r="B43" i="88"/>
  <c r="B44" i="88"/>
  <c r="B45" i="88"/>
  <c r="B46" i="88"/>
  <c r="B47" i="88"/>
  <c r="B48" i="88"/>
  <c r="B49" i="88"/>
  <c r="B50" i="88"/>
  <c r="B51" i="88"/>
  <c r="B52" i="88"/>
  <c r="B53" i="88"/>
  <c r="B54" i="88"/>
  <c r="B55" i="88"/>
  <c r="B56" i="88"/>
  <c r="B57" i="88"/>
  <c r="B58" i="88"/>
  <c r="B26" i="88"/>
  <c r="S79" i="93" l="1"/>
  <c r="S78" i="93"/>
  <c r="S77" i="93"/>
  <c r="S76" i="93"/>
  <c r="S75" i="93"/>
  <c r="S74" i="93"/>
  <c r="S73" i="93"/>
  <c r="S71" i="93"/>
  <c r="S68" i="93"/>
  <c r="S67" i="93"/>
  <c r="S66" i="93"/>
  <c r="S65" i="93"/>
  <c r="S64" i="93"/>
  <c r="S63" i="93"/>
  <c r="S62" i="93"/>
  <c r="S61" i="93"/>
  <c r="S60" i="93"/>
  <c r="E58" i="93"/>
  <c r="F58" i="93" s="1"/>
  <c r="C58" i="93"/>
  <c r="D58" i="93" s="1"/>
  <c r="B58" i="93"/>
  <c r="E57" i="93"/>
  <c r="F57" i="93" s="1"/>
  <c r="C57" i="93"/>
  <c r="D57" i="93" s="1"/>
  <c r="B57" i="93"/>
  <c r="E56" i="93"/>
  <c r="I56" i="93" s="1"/>
  <c r="C56" i="93"/>
  <c r="D56" i="93" s="1"/>
  <c r="B56" i="93"/>
  <c r="E55" i="93"/>
  <c r="F55" i="93" s="1"/>
  <c r="C55" i="93"/>
  <c r="B55" i="93"/>
  <c r="E54" i="93"/>
  <c r="I54" i="93" s="1"/>
  <c r="C54" i="93"/>
  <c r="D54" i="93" s="1"/>
  <c r="B54" i="93"/>
  <c r="E53" i="93"/>
  <c r="F53" i="93" s="1"/>
  <c r="C53" i="93"/>
  <c r="D53" i="93" s="1"/>
  <c r="B53" i="93"/>
  <c r="E52" i="93"/>
  <c r="I52" i="93" s="1"/>
  <c r="C52" i="93"/>
  <c r="D52" i="93" s="1"/>
  <c r="B52" i="93"/>
  <c r="E51" i="93"/>
  <c r="F51" i="93" s="1"/>
  <c r="C51" i="93"/>
  <c r="D51" i="93" s="1"/>
  <c r="B51" i="93"/>
  <c r="E50" i="93"/>
  <c r="I50" i="93" s="1"/>
  <c r="C50" i="93"/>
  <c r="D50" i="93" s="1"/>
  <c r="B50" i="93"/>
  <c r="E49" i="93"/>
  <c r="F49" i="93" s="1"/>
  <c r="C49" i="93"/>
  <c r="D49" i="93" s="1"/>
  <c r="B49" i="93"/>
  <c r="E48" i="93"/>
  <c r="I48" i="93" s="1"/>
  <c r="C48" i="93"/>
  <c r="D48" i="93" s="1"/>
  <c r="B48" i="93"/>
  <c r="Q19" i="93" s="1"/>
  <c r="E47" i="93"/>
  <c r="F47" i="93" s="1"/>
  <c r="C47" i="93"/>
  <c r="D47" i="93" s="1"/>
  <c r="B47" i="93"/>
  <c r="E46" i="93"/>
  <c r="I46" i="93" s="1"/>
  <c r="C46" i="93"/>
  <c r="D46" i="93" s="1"/>
  <c r="B46" i="93"/>
  <c r="E45" i="93"/>
  <c r="F45" i="93" s="1"/>
  <c r="C45" i="93"/>
  <c r="D45" i="93" s="1"/>
  <c r="B45" i="93"/>
  <c r="E44" i="93"/>
  <c r="I44" i="93" s="1"/>
  <c r="C44" i="93"/>
  <c r="D44" i="93" s="1"/>
  <c r="B44" i="93"/>
  <c r="E43" i="93"/>
  <c r="F43" i="93" s="1"/>
  <c r="C43" i="93"/>
  <c r="D43" i="93" s="1"/>
  <c r="B43" i="93"/>
  <c r="E42" i="93"/>
  <c r="I42" i="93" s="1"/>
  <c r="C42" i="93"/>
  <c r="D42" i="93" s="1"/>
  <c r="B42" i="93"/>
  <c r="E41" i="93"/>
  <c r="F41" i="93" s="1"/>
  <c r="C41" i="93"/>
  <c r="D41" i="93" s="1"/>
  <c r="B41" i="93"/>
  <c r="E40" i="93"/>
  <c r="I40" i="93" s="1"/>
  <c r="C40" i="93"/>
  <c r="D40" i="93" s="1"/>
  <c r="B40" i="93"/>
  <c r="E39" i="93"/>
  <c r="F39" i="93" s="1"/>
  <c r="C39" i="93"/>
  <c r="D39" i="93" s="1"/>
  <c r="B39" i="93"/>
  <c r="E38" i="93"/>
  <c r="I38" i="93" s="1"/>
  <c r="C38" i="93"/>
  <c r="D38" i="93" s="1"/>
  <c r="B38" i="93"/>
  <c r="E37" i="93"/>
  <c r="I37" i="93" s="1"/>
  <c r="P18" i="93" s="1"/>
  <c r="C37" i="93"/>
  <c r="D37" i="93" s="1"/>
  <c r="B37" i="93"/>
  <c r="Q18" i="93" s="1"/>
  <c r="E36" i="93"/>
  <c r="I36" i="93" s="1"/>
  <c r="C36" i="93"/>
  <c r="D36" i="93" s="1"/>
  <c r="B36" i="93"/>
  <c r="E35" i="93"/>
  <c r="F35" i="93" s="1"/>
  <c r="C35" i="93"/>
  <c r="D35" i="93" s="1"/>
  <c r="B35" i="93"/>
  <c r="E34" i="93"/>
  <c r="I34" i="93" s="1"/>
  <c r="C34" i="93"/>
  <c r="D34" i="93" s="1"/>
  <c r="B34" i="93"/>
  <c r="E33" i="93"/>
  <c r="F33" i="93" s="1"/>
  <c r="C33" i="93"/>
  <c r="D33" i="93" s="1"/>
  <c r="B33" i="93"/>
  <c r="E32" i="93"/>
  <c r="I32" i="93" s="1"/>
  <c r="C32" i="93"/>
  <c r="D32" i="93" s="1"/>
  <c r="B32" i="93"/>
  <c r="Q17" i="93" s="1"/>
  <c r="E31" i="93"/>
  <c r="F31" i="93" s="1"/>
  <c r="C31" i="93"/>
  <c r="D31" i="93" s="1"/>
  <c r="B31" i="93"/>
  <c r="E30" i="93"/>
  <c r="I30" i="93" s="1"/>
  <c r="C30" i="93"/>
  <c r="D30" i="93" s="1"/>
  <c r="B30" i="93"/>
  <c r="E29" i="93"/>
  <c r="F29" i="93" s="1"/>
  <c r="C29" i="93"/>
  <c r="D29" i="93" s="1"/>
  <c r="B29" i="93"/>
  <c r="E28" i="93"/>
  <c r="I28" i="93" s="1"/>
  <c r="C28" i="93"/>
  <c r="D28" i="93" s="1"/>
  <c r="B28" i="93"/>
  <c r="E27" i="93"/>
  <c r="F27" i="93" s="1"/>
  <c r="C27" i="93"/>
  <c r="D27" i="93" s="1"/>
  <c r="B27" i="93"/>
  <c r="E26" i="93"/>
  <c r="I26" i="93" s="1"/>
  <c r="C26" i="93"/>
  <c r="B26" i="93"/>
  <c r="C22" i="93"/>
  <c r="I21" i="93"/>
  <c r="C20" i="93"/>
  <c r="F19" i="93" s="1"/>
  <c r="K10" i="93"/>
  <c r="S79" i="92"/>
  <c r="S78" i="92"/>
  <c r="S77" i="92"/>
  <c r="S76" i="92"/>
  <c r="S75" i="92"/>
  <c r="S74" i="92"/>
  <c r="S73" i="92"/>
  <c r="S71" i="92"/>
  <c r="S68" i="92"/>
  <c r="S67" i="92"/>
  <c r="S66" i="92"/>
  <c r="S65" i="92"/>
  <c r="S64" i="92"/>
  <c r="S63" i="92"/>
  <c r="S62" i="92"/>
  <c r="S61" i="92"/>
  <c r="S60" i="92"/>
  <c r="E58" i="92"/>
  <c r="I58" i="92" s="1"/>
  <c r="C58" i="92"/>
  <c r="D58" i="92" s="1"/>
  <c r="B58" i="92"/>
  <c r="E57" i="92"/>
  <c r="F57" i="92" s="1"/>
  <c r="C57" i="92"/>
  <c r="D57" i="92" s="1"/>
  <c r="B57" i="92"/>
  <c r="E56" i="92"/>
  <c r="I56" i="92" s="1"/>
  <c r="C56" i="92"/>
  <c r="D56" i="92" s="1"/>
  <c r="B56" i="92"/>
  <c r="E55" i="92"/>
  <c r="F55" i="92" s="1"/>
  <c r="C55" i="92"/>
  <c r="D55" i="92" s="1"/>
  <c r="B55" i="92"/>
  <c r="E54" i="92"/>
  <c r="I54" i="92" s="1"/>
  <c r="C54" i="92"/>
  <c r="D54" i="92" s="1"/>
  <c r="B54" i="92"/>
  <c r="E53" i="92"/>
  <c r="F53" i="92" s="1"/>
  <c r="C53" i="92"/>
  <c r="D53" i="92" s="1"/>
  <c r="B53" i="92"/>
  <c r="E52" i="92"/>
  <c r="I52" i="92" s="1"/>
  <c r="C52" i="92"/>
  <c r="D52" i="92" s="1"/>
  <c r="B52" i="92"/>
  <c r="E51" i="92"/>
  <c r="F51" i="92" s="1"/>
  <c r="C51" i="92"/>
  <c r="D51" i="92" s="1"/>
  <c r="B51" i="92"/>
  <c r="E50" i="92"/>
  <c r="F50" i="92" s="1"/>
  <c r="C50" i="92"/>
  <c r="D50" i="92" s="1"/>
  <c r="B50" i="92"/>
  <c r="E49" i="92"/>
  <c r="F49" i="92" s="1"/>
  <c r="C49" i="92"/>
  <c r="D49" i="92" s="1"/>
  <c r="B49" i="92"/>
  <c r="E48" i="92"/>
  <c r="O19" i="92" s="1"/>
  <c r="C48" i="92"/>
  <c r="D48" i="92" s="1"/>
  <c r="B48" i="92"/>
  <c r="Q19" i="92" s="1"/>
  <c r="E47" i="92"/>
  <c r="F47" i="92" s="1"/>
  <c r="C47" i="92"/>
  <c r="D47" i="92" s="1"/>
  <c r="B47" i="92"/>
  <c r="E46" i="92"/>
  <c r="I46" i="92" s="1"/>
  <c r="C46" i="92"/>
  <c r="D46" i="92" s="1"/>
  <c r="B46" i="92"/>
  <c r="E45" i="92"/>
  <c r="F45" i="92" s="1"/>
  <c r="C45" i="92"/>
  <c r="D45" i="92" s="1"/>
  <c r="B45" i="92"/>
  <c r="E44" i="92"/>
  <c r="F44" i="92" s="1"/>
  <c r="C44" i="92"/>
  <c r="D44" i="92" s="1"/>
  <c r="B44" i="92"/>
  <c r="E43" i="92"/>
  <c r="F43" i="92" s="1"/>
  <c r="C43" i="92"/>
  <c r="D43" i="92" s="1"/>
  <c r="B43" i="92"/>
  <c r="E42" i="92"/>
  <c r="I42" i="92" s="1"/>
  <c r="C42" i="92"/>
  <c r="D42" i="92" s="1"/>
  <c r="B42" i="92"/>
  <c r="E41" i="92"/>
  <c r="F41" i="92" s="1"/>
  <c r="C41" i="92"/>
  <c r="D41" i="92" s="1"/>
  <c r="B41" i="92"/>
  <c r="E40" i="92"/>
  <c r="I40" i="92" s="1"/>
  <c r="C40" i="92"/>
  <c r="D40" i="92" s="1"/>
  <c r="B40" i="92"/>
  <c r="E39" i="92"/>
  <c r="F39" i="92" s="1"/>
  <c r="C39" i="92"/>
  <c r="D39" i="92" s="1"/>
  <c r="B39" i="92"/>
  <c r="E38" i="92"/>
  <c r="I38" i="92" s="1"/>
  <c r="C38" i="92"/>
  <c r="D38" i="92" s="1"/>
  <c r="B38" i="92"/>
  <c r="E37" i="92"/>
  <c r="F37" i="92" s="1"/>
  <c r="C37" i="92"/>
  <c r="D37" i="92" s="1"/>
  <c r="B37" i="92"/>
  <c r="Q18" i="92" s="1"/>
  <c r="E36" i="92"/>
  <c r="I36" i="92" s="1"/>
  <c r="C36" i="92"/>
  <c r="D36" i="92" s="1"/>
  <c r="B36" i="92"/>
  <c r="E35" i="92"/>
  <c r="F35" i="92" s="1"/>
  <c r="C35" i="92"/>
  <c r="D35" i="92" s="1"/>
  <c r="B35" i="92"/>
  <c r="E34" i="92"/>
  <c r="I34" i="92" s="1"/>
  <c r="C34" i="92"/>
  <c r="D34" i="92" s="1"/>
  <c r="B34" i="92"/>
  <c r="E33" i="92"/>
  <c r="F33" i="92" s="1"/>
  <c r="C33" i="92"/>
  <c r="D33" i="92" s="1"/>
  <c r="B33" i="92"/>
  <c r="E32" i="92"/>
  <c r="I32" i="92" s="1"/>
  <c r="P17" i="92" s="1"/>
  <c r="C32" i="92"/>
  <c r="D32" i="92" s="1"/>
  <c r="B32" i="92"/>
  <c r="Q17" i="92" s="1"/>
  <c r="E31" i="92"/>
  <c r="F31" i="92" s="1"/>
  <c r="C31" i="92"/>
  <c r="D31" i="92" s="1"/>
  <c r="B31" i="92"/>
  <c r="E30" i="92"/>
  <c r="I30" i="92" s="1"/>
  <c r="C30" i="92"/>
  <c r="D30" i="92" s="1"/>
  <c r="B30" i="92"/>
  <c r="E29" i="92"/>
  <c r="F29" i="92" s="1"/>
  <c r="C29" i="92"/>
  <c r="D29" i="92" s="1"/>
  <c r="B29" i="92"/>
  <c r="E28" i="92"/>
  <c r="I28" i="92" s="1"/>
  <c r="C28" i="92"/>
  <c r="D28" i="92" s="1"/>
  <c r="B28" i="92"/>
  <c r="E27" i="92"/>
  <c r="F27" i="92" s="1"/>
  <c r="D27" i="92"/>
  <c r="C27" i="92"/>
  <c r="B27" i="92"/>
  <c r="E26" i="92"/>
  <c r="F26" i="92" s="1"/>
  <c r="C26" i="92"/>
  <c r="B26" i="92"/>
  <c r="C22" i="92"/>
  <c r="I21" i="92"/>
  <c r="C20" i="92"/>
  <c r="F19" i="92" s="1"/>
  <c r="O18" i="92"/>
  <c r="K10" i="92"/>
  <c r="I26" i="92" l="1"/>
  <c r="F18" i="92"/>
  <c r="I39" i="93"/>
  <c r="F26" i="93"/>
  <c r="I58" i="93"/>
  <c r="J58" i="93" s="1"/>
  <c r="K58" i="93" s="1"/>
  <c r="F54" i="93"/>
  <c r="I31" i="93"/>
  <c r="J31" i="93" s="1"/>
  <c r="K31" i="93" s="1"/>
  <c r="H31" i="93" s="1"/>
  <c r="I47" i="93"/>
  <c r="J47" i="93" s="1"/>
  <c r="K47" i="93" s="1"/>
  <c r="H47" i="93" s="1"/>
  <c r="F52" i="93"/>
  <c r="I29" i="93"/>
  <c r="J29" i="93" s="1"/>
  <c r="K29" i="93" s="1"/>
  <c r="H29" i="93" s="1"/>
  <c r="I45" i="93"/>
  <c r="J45" i="93" s="1"/>
  <c r="K45" i="93" s="1"/>
  <c r="H45" i="93" s="1"/>
  <c r="I27" i="93"/>
  <c r="J27" i="93" s="1"/>
  <c r="K27" i="93" s="1"/>
  <c r="H27" i="93" s="1"/>
  <c r="I35" i="93"/>
  <c r="I43" i="93"/>
  <c r="I33" i="93"/>
  <c r="I41" i="93"/>
  <c r="I49" i="93"/>
  <c r="J52" i="93"/>
  <c r="K52" i="93" s="1"/>
  <c r="H58" i="93"/>
  <c r="R18" i="93"/>
  <c r="J26" i="93"/>
  <c r="K26" i="93" s="1"/>
  <c r="H26" i="93" s="1"/>
  <c r="J28" i="93"/>
  <c r="K28" i="93" s="1"/>
  <c r="J30" i="93"/>
  <c r="K30" i="93" s="1"/>
  <c r="H30" i="93" s="1"/>
  <c r="J34" i="93"/>
  <c r="K34" i="93" s="1"/>
  <c r="H34" i="93" s="1"/>
  <c r="J36" i="93"/>
  <c r="K36" i="93" s="1"/>
  <c r="J38" i="93"/>
  <c r="K38" i="93" s="1"/>
  <c r="J40" i="93"/>
  <c r="K40" i="93" s="1"/>
  <c r="H40" i="93" s="1"/>
  <c r="J42" i="93"/>
  <c r="K42" i="93" s="1"/>
  <c r="J44" i="93"/>
  <c r="K44" i="93" s="1"/>
  <c r="J46" i="93"/>
  <c r="K46" i="93" s="1"/>
  <c r="J50" i="93"/>
  <c r="K50" i="93" s="1"/>
  <c r="H50" i="93" s="1"/>
  <c r="F18" i="93"/>
  <c r="R17" i="92"/>
  <c r="F46" i="92"/>
  <c r="F48" i="92"/>
  <c r="F52" i="92"/>
  <c r="F54" i="92"/>
  <c r="F56" i="92"/>
  <c r="F58" i="92"/>
  <c r="I44" i="92"/>
  <c r="J44" i="92" s="1"/>
  <c r="K44" i="92" s="1"/>
  <c r="H44" i="92" s="1"/>
  <c r="S19" i="92"/>
  <c r="I48" i="92"/>
  <c r="P19" i="92" s="1"/>
  <c r="R19" i="92" s="1"/>
  <c r="I50" i="92"/>
  <c r="J50" i="92" s="1"/>
  <c r="K50" i="92" s="1"/>
  <c r="H50" i="92" s="1"/>
  <c r="O17" i="92"/>
  <c r="S17" i="92" s="1"/>
  <c r="F28" i="92"/>
  <c r="F30" i="92"/>
  <c r="F32" i="92"/>
  <c r="F34" i="92"/>
  <c r="S18" i="92"/>
  <c r="F36" i="92"/>
  <c r="F38" i="92"/>
  <c r="F40" i="92"/>
  <c r="F42" i="92"/>
  <c r="P19" i="93"/>
  <c r="R19" i="93" s="1"/>
  <c r="J48" i="93"/>
  <c r="K48" i="93" s="1"/>
  <c r="H48" i="93" s="1"/>
  <c r="P17" i="93"/>
  <c r="R17" i="93" s="1"/>
  <c r="J32" i="93"/>
  <c r="K32" i="93" s="1"/>
  <c r="H32" i="93" s="1"/>
  <c r="F28" i="93"/>
  <c r="F30" i="93"/>
  <c r="F32" i="93"/>
  <c r="F34" i="93"/>
  <c r="F36" i="93"/>
  <c r="F37" i="93"/>
  <c r="O18" i="93"/>
  <c r="S18" i="93" s="1"/>
  <c r="F38" i="93"/>
  <c r="F40" i="93"/>
  <c r="F42" i="93"/>
  <c r="F44" i="93"/>
  <c r="F46" i="93"/>
  <c r="F48" i="93"/>
  <c r="F50" i="93"/>
  <c r="H52" i="93"/>
  <c r="D55" i="93"/>
  <c r="F56" i="93"/>
  <c r="O17" i="93"/>
  <c r="S17" i="93" s="1"/>
  <c r="J49" i="93"/>
  <c r="K49" i="93" s="1"/>
  <c r="H49" i="93" s="1"/>
  <c r="J43" i="93"/>
  <c r="K43" i="93" s="1"/>
  <c r="H43" i="93" s="1"/>
  <c r="J41" i="93"/>
  <c r="K41" i="93" s="1"/>
  <c r="H41" i="93" s="1"/>
  <c r="J39" i="93"/>
  <c r="K39" i="93" s="1"/>
  <c r="H39" i="93" s="1"/>
  <c r="J37" i="93"/>
  <c r="K37" i="93" s="1"/>
  <c r="H37" i="93" s="1"/>
  <c r="J35" i="93"/>
  <c r="K35" i="93" s="1"/>
  <c r="H35" i="93" s="1"/>
  <c r="J33" i="93"/>
  <c r="K33" i="93" s="1"/>
  <c r="H33" i="93" s="1"/>
  <c r="G28" i="93"/>
  <c r="G32" i="93"/>
  <c r="G46" i="93"/>
  <c r="J54" i="93"/>
  <c r="K54" i="93" s="1"/>
  <c r="H54" i="93" s="1"/>
  <c r="O19" i="93"/>
  <c r="S19" i="93" s="1"/>
  <c r="H28" i="93"/>
  <c r="H36" i="93"/>
  <c r="H38" i="93"/>
  <c r="H42" i="93"/>
  <c r="H44" i="93"/>
  <c r="H46" i="93"/>
  <c r="J56" i="93"/>
  <c r="K56" i="93" s="1"/>
  <c r="H56" i="93" s="1"/>
  <c r="I51" i="93"/>
  <c r="J51" i="93" s="1"/>
  <c r="G52" i="93"/>
  <c r="I53" i="93"/>
  <c r="J53" i="93" s="1"/>
  <c r="K53" i="93" s="1"/>
  <c r="H53" i="93" s="1"/>
  <c r="G54" i="93"/>
  <c r="I55" i="93"/>
  <c r="J55" i="93" s="1"/>
  <c r="I57" i="93"/>
  <c r="J57" i="93" s="1"/>
  <c r="J26" i="92"/>
  <c r="K26" i="92" s="1"/>
  <c r="H26" i="92" s="1"/>
  <c r="J28" i="92"/>
  <c r="K28" i="92" s="1"/>
  <c r="H28" i="92" s="1"/>
  <c r="J30" i="92"/>
  <c r="J32" i="92"/>
  <c r="K32" i="92" s="1"/>
  <c r="H32" i="92" s="1"/>
  <c r="J34" i="92"/>
  <c r="K34" i="92" s="1"/>
  <c r="H34" i="92" s="1"/>
  <c r="J36" i="92"/>
  <c r="K36" i="92" s="1"/>
  <c r="H36" i="92" s="1"/>
  <c r="J38" i="92"/>
  <c r="K38" i="92" s="1"/>
  <c r="H38" i="92" s="1"/>
  <c r="J40" i="92"/>
  <c r="K40" i="92" s="1"/>
  <c r="H40" i="92" s="1"/>
  <c r="J42" i="92"/>
  <c r="K42" i="92" s="1"/>
  <c r="H42" i="92" s="1"/>
  <c r="J46" i="92"/>
  <c r="K46" i="92" s="1"/>
  <c r="H46" i="92" s="1"/>
  <c r="J48" i="92"/>
  <c r="K48" i="92" s="1"/>
  <c r="H48" i="92" s="1"/>
  <c r="J52" i="92"/>
  <c r="K52" i="92" s="1"/>
  <c r="H52" i="92" s="1"/>
  <c r="J54" i="92"/>
  <c r="K54" i="92" s="1"/>
  <c r="H54" i="92" s="1"/>
  <c r="J56" i="92"/>
  <c r="K56" i="92" s="1"/>
  <c r="H56" i="92" s="1"/>
  <c r="J58" i="92"/>
  <c r="K58" i="92" s="1"/>
  <c r="H58" i="92" s="1"/>
  <c r="I27" i="92"/>
  <c r="J27" i="92" s="1"/>
  <c r="I29" i="92"/>
  <c r="I31" i="92"/>
  <c r="J31" i="92" s="1"/>
  <c r="I33" i="92"/>
  <c r="I35" i="92"/>
  <c r="J35" i="92" s="1"/>
  <c r="I37" i="92"/>
  <c r="P18" i="92" s="1"/>
  <c r="R18" i="92" s="1"/>
  <c r="I39" i="92"/>
  <c r="J39" i="92" s="1"/>
  <c r="I41" i="92"/>
  <c r="J41" i="92" s="1"/>
  <c r="I43" i="92"/>
  <c r="J43" i="92" s="1"/>
  <c r="I45" i="92"/>
  <c r="J45" i="92" s="1"/>
  <c r="I47" i="92"/>
  <c r="J47" i="92" s="1"/>
  <c r="I49" i="92"/>
  <c r="J49" i="92" s="1"/>
  <c r="I51" i="92"/>
  <c r="J51" i="92" s="1"/>
  <c r="I53" i="92"/>
  <c r="J53" i="92" s="1"/>
  <c r="G54" i="92"/>
  <c r="I55" i="92"/>
  <c r="J55" i="92" s="1"/>
  <c r="I57" i="92"/>
  <c r="J57" i="92" s="1"/>
  <c r="J29" i="92"/>
  <c r="J33" i="92"/>
  <c r="S79" i="91"/>
  <c r="S78" i="91"/>
  <c r="S77" i="91"/>
  <c r="S76" i="91"/>
  <c r="S75" i="91"/>
  <c r="S74" i="91"/>
  <c r="S73" i="91"/>
  <c r="S71" i="91"/>
  <c r="S68" i="91"/>
  <c r="S67" i="91"/>
  <c r="S66" i="91"/>
  <c r="S65" i="91"/>
  <c r="S64" i="91"/>
  <c r="S63" i="91"/>
  <c r="S62" i="91"/>
  <c r="S61" i="91"/>
  <c r="S60" i="91"/>
  <c r="E38" i="91"/>
  <c r="F38" i="91" s="1"/>
  <c r="C38" i="91"/>
  <c r="D38" i="91" s="1"/>
  <c r="B38" i="91"/>
  <c r="E37" i="91"/>
  <c r="I37" i="91" s="1"/>
  <c r="P18" i="91" s="1"/>
  <c r="C37" i="91"/>
  <c r="D37" i="91" s="1"/>
  <c r="B37" i="91"/>
  <c r="E36" i="91"/>
  <c r="F36" i="91" s="1"/>
  <c r="C36" i="91"/>
  <c r="D36" i="91" s="1"/>
  <c r="B36" i="91"/>
  <c r="E35" i="91"/>
  <c r="I35" i="91" s="1"/>
  <c r="C35" i="91"/>
  <c r="D35" i="91" s="1"/>
  <c r="B35" i="91"/>
  <c r="E34" i="91"/>
  <c r="F34" i="91" s="1"/>
  <c r="C34" i="91"/>
  <c r="D34" i="91" s="1"/>
  <c r="B34" i="91"/>
  <c r="E33" i="91"/>
  <c r="I33" i="91" s="1"/>
  <c r="C33" i="91"/>
  <c r="D33" i="91" s="1"/>
  <c r="B33" i="91"/>
  <c r="E32" i="91"/>
  <c r="I32" i="91" s="1"/>
  <c r="C32" i="91"/>
  <c r="D32" i="91" s="1"/>
  <c r="B32" i="91"/>
  <c r="E31" i="91"/>
  <c r="I31" i="91" s="1"/>
  <c r="C31" i="91"/>
  <c r="D31" i="91" s="1"/>
  <c r="B31" i="91"/>
  <c r="E30" i="91"/>
  <c r="I30" i="91" s="1"/>
  <c r="C30" i="91"/>
  <c r="D30" i="91" s="1"/>
  <c r="B30" i="91"/>
  <c r="E29" i="91"/>
  <c r="I29" i="91" s="1"/>
  <c r="C29" i="91"/>
  <c r="D29" i="91" s="1"/>
  <c r="B29" i="91"/>
  <c r="E28" i="91"/>
  <c r="I28" i="91" s="1"/>
  <c r="C28" i="91"/>
  <c r="D28" i="91" s="1"/>
  <c r="B28" i="91"/>
  <c r="E27" i="91"/>
  <c r="F27" i="91" s="1"/>
  <c r="C27" i="91"/>
  <c r="D27" i="91" s="1"/>
  <c r="B27" i="91"/>
  <c r="E26" i="91"/>
  <c r="I26" i="91" s="1"/>
  <c r="C26" i="91"/>
  <c r="B26" i="91"/>
  <c r="C22" i="91"/>
  <c r="I21" i="91"/>
  <c r="C20" i="91"/>
  <c r="F19" i="91" s="1"/>
  <c r="Q19" i="91"/>
  <c r="O19" i="91"/>
  <c r="Q18" i="91"/>
  <c r="O18" i="91"/>
  <c r="Q17" i="91"/>
  <c r="K10" i="91"/>
  <c r="J28" i="91" l="1"/>
  <c r="I27" i="91"/>
  <c r="G48" i="93"/>
  <c r="G38" i="93"/>
  <c r="G58" i="93"/>
  <c r="G50" i="93"/>
  <c r="G44" i="93"/>
  <c r="R20" i="93"/>
  <c r="G36" i="93"/>
  <c r="G49" i="93"/>
  <c r="G56" i="93"/>
  <c r="G40" i="93"/>
  <c r="G33" i="93"/>
  <c r="G42" i="93"/>
  <c r="G34" i="93"/>
  <c r="G41" i="93"/>
  <c r="G30" i="93"/>
  <c r="R20" i="92"/>
  <c r="G50" i="92"/>
  <c r="G40" i="92"/>
  <c r="J37" i="92"/>
  <c r="K37" i="92" s="1"/>
  <c r="H37" i="92" s="1"/>
  <c r="G46" i="92"/>
  <c r="R21" i="92"/>
  <c r="G32" i="92"/>
  <c r="G58" i="92"/>
  <c r="G48" i="92"/>
  <c r="G34" i="92"/>
  <c r="G56" i="92"/>
  <c r="G42" i="92"/>
  <c r="G38" i="92"/>
  <c r="G52" i="92"/>
  <c r="G44" i="92"/>
  <c r="G36" i="92"/>
  <c r="K57" i="93"/>
  <c r="H57" i="93" s="1"/>
  <c r="G57" i="93"/>
  <c r="K51" i="93"/>
  <c r="H51" i="93" s="1"/>
  <c r="G51" i="93"/>
  <c r="K55" i="93"/>
  <c r="H55" i="93" s="1"/>
  <c r="G55" i="93"/>
  <c r="G47" i="93"/>
  <c r="G39" i="93"/>
  <c r="G31" i="93"/>
  <c r="G45" i="93"/>
  <c r="G37" i="93"/>
  <c r="G29" i="93"/>
  <c r="R21" i="93"/>
  <c r="G43" i="93"/>
  <c r="G35" i="93"/>
  <c r="G27" i="93"/>
  <c r="L64" i="93" s="1"/>
  <c r="G53" i="93"/>
  <c r="K57" i="92"/>
  <c r="H57" i="92" s="1"/>
  <c r="G57" i="92"/>
  <c r="G27" i="92"/>
  <c r="K27" i="92"/>
  <c r="H27" i="92" s="1"/>
  <c r="G51" i="92"/>
  <c r="K51" i="92"/>
  <c r="H51" i="92" s="1"/>
  <c r="K43" i="92"/>
  <c r="H43" i="92" s="1"/>
  <c r="G43" i="92"/>
  <c r="K35" i="92"/>
  <c r="H35" i="92" s="1"/>
  <c r="G35" i="92"/>
  <c r="K45" i="92"/>
  <c r="H45" i="92" s="1"/>
  <c r="G45" i="92"/>
  <c r="G49" i="92"/>
  <c r="K49" i="92"/>
  <c r="H49" i="92" s="1"/>
  <c r="K41" i="92"/>
  <c r="H41" i="92" s="1"/>
  <c r="G41" i="92"/>
  <c r="G33" i="92"/>
  <c r="K33" i="92"/>
  <c r="H33" i="92" s="1"/>
  <c r="K53" i="92"/>
  <c r="H53" i="92" s="1"/>
  <c r="G53" i="92"/>
  <c r="K29" i="92"/>
  <c r="H29" i="92" s="1"/>
  <c r="G29" i="92"/>
  <c r="K55" i="92"/>
  <c r="H55" i="92" s="1"/>
  <c r="G55" i="92"/>
  <c r="G47" i="92"/>
  <c r="K47" i="92"/>
  <c r="H47" i="92" s="1"/>
  <c r="G39" i="92"/>
  <c r="K39" i="92"/>
  <c r="H39" i="92" s="1"/>
  <c r="G31" i="92"/>
  <c r="K31" i="92"/>
  <c r="H31" i="92" s="1"/>
  <c r="G28" i="92"/>
  <c r="G30" i="92"/>
  <c r="K30" i="92"/>
  <c r="H30" i="92" s="1"/>
  <c r="S19" i="91"/>
  <c r="F29" i="91"/>
  <c r="F31" i="91"/>
  <c r="F33" i="91"/>
  <c r="F35" i="91"/>
  <c r="F37" i="91"/>
  <c r="F26" i="91"/>
  <c r="J30" i="91"/>
  <c r="G30" i="91" s="1"/>
  <c r="J26" i="91"/>
  <c r="K26" i="91" s="1"/>
  <c r="H26" i="91" s="1"/>
  <c r="P17" i="91"/>
  <c r="R17" i="91" s="1"/>
  <c r="J32" i="91"/>
  <c r="K28" i="91"/>
  <c r="H28" i="91" s="1"/>
  <c r="G28" i="91"/>
  <c r="R18" i="91"/>
  <c r="F18" i="91"/>
  <c r="F30" i="91"/>
  <c r="F28" i="91"/>
  <c r="F32" i="91"/>
  <c r="O17" i="91"/>
  <c r="S17" i="91" s="1"/>
  <c r="S18" i="91"/>
  <c r="I34" i="91"/>
  <c r="J34" i="91" s="1"/>
  <c r="I36" i="91"/>
  <c r="J36" i="91" s="1"/>
  <c r="I38" i="91"/>
  <c r="J38" i="91" s="1"/>
  <c r="J27" i="91"/>
  <c r="K27" i="91" s="1"/>
  <c r="H27" i="91" s="1"/>
  <c r="J29" i="91"/>
  <c r="K29" i="91" s="1"/>
  <c r="H29" i="91" s="1"/>
  <c r="J31" i="91"/>
  <c r="K31" i="91" s="1"/>
  <c r="H31" i="91" s="1"/>
  <c r="J33" i="91"/>
  <c r="J35" i="91"/>
  <c r="J37" i="91"/>
  <c r="E29" i="90"/>
  <c r="F29" i="90" s="1"/>
  <c r="S79" i="90"/>
  <c r="S78" i="90"/>
  <c r="S77" i="90"/>
  <c r="S76" i="90"/>
  <c r="S75" i="90"/>
  <c r="S74" i="90"/>
  <c r="S73" i="90"/>
  <c r="S71" i="90"/>
  <c r="S68" i="90"/>
  <c r="S67" i="90"/>
  <c r="S66" i="90"/>
  <c r="S65" i="90"/>
  <c r="S64" i="90"/>
  <c r="S63" i="90"/>
  <c r="S62" i="90"/>
  <c r="S61" i="90"/>
  <c r="S60" i="90"/>
  <c r="Q19" i="90"/>
  <c r="E38" i="90"/>
  <c r="F38" i="90" s="1"/>
  <c r="C38" i="90"/>
  <c r="D38" i="90" s="1"/>
  <c r="B38" i="90"/>
  <c r="E37" i="90"/>
  <c r="I37" i="90" s="1"/>
  <c r="P18" i="90" s="1"/>
  <c r="C37" i="90"/>
  <c r="B37" i="90"/>
  <c r="Q18" i="90" s="1"/>
  <c r="E36" i="90"/>
  <c r="F36" i="90" s="1"/>
  <c r="C36" i="90"/>
  <c r="D36" i="90" s="1"/>
  <c r="B36" i="90"/>
  <c r="E35" i="90"/>
  <c r="F35" i="90" s="1"/>
  <c r="C35" i="90"/>
  <c r="B35" i="90"/>
  <c r="E34" i="90"/>
  <c r="F34" i="90" s="1"/>
  <c r="C34" i="90"/>
  <c r="D34" i="90" s="1"/>
  <c r="B34" i="90"/>
  <c r="E33" i="90"/>
  <c r="F33" i="90" s="1"/>
  <c r="C33" i="90"/>
  <c r="B33" i="90"/>
  <c r="E32" i="90"/>
  <c r="F32" i="90" s="1"/>
  <c r="C32" i="90"/>
  <c r="D32" i="90" s="1"/>
  <c r="B32" i="90"/>
  <c r="Q17" i="90" s="1"/>
  <c r="E31" i="90"/>
  <c r="F31" i="90" s="1"/>
  <c r="C31" i="90"/>
  <c r="B31" i="90"/>
  <c r="E30" i="90"/>
  <c r="F30" i="90" s="1"/>
  <c r="C30" i="90"/>
  <c r="D30" i="90" s="1"/>
  <c r="B30" i="90"/>
  <c r="C29" i="90"/>
  <c r="B29" i="90"/>
  <c r="E28" i="90"/>
  <c r="F28" i="90" s="1"/>
  <c r="C28" i="90"/>
  <c r="D28" i="90" s="1"/>
  <c r="B28" i="90"/>
  <c r="E27" i="90"/>
  <c r="F27" i="90" s="1"/>
  <c r="C27" i="90"/>
  <c r="B27" i="90"/>
  <c r="E26" i="90"/>
  <c r="I26" i="90" s="1"/>
  <c r="C26" i="90"/>
  <c r="B26" i="90"/>
  <c r="C22" i="90"/>
  <c r="I21" i="90"/>
  <c r="C20" i="90"/>
  <c r="F19" i="90" s="1"/>
  <c r="K10" i="90"/>
  <c r="F26" i="90" l="1"/>
  <c r="G37" i="92"/>
  <c r="L64" i="92"/>
  <c r="L62" i="93"/>
  <c r="L63" i="93" s="1"/>
  <c r="P64" i="93"/>
  <c r="P64" i="92"/>
  <c r="L62" i="92"/>
  <c r="L63" i="92" s="1"/>
  <c r="K30" i="91"/>
  <c r="H30" i="91" s="1"/>
  <c r="K37" i="91"/>
  <c r="H37" i="91" s="1"/>
  <c r="G37" i="91"/>
  <c r="K38" i="91"/>
  <c r="H38" i="91" s="1"/>
  <c r="G38" i="91"/>
  <c r="R21" i="91"/>
  <c r="G27" i="91"/>
  <c r="P19" i="91"/>
  <c r="R19" i="91" s="1"/>
  <c r="R20" i="91" s="1"/>
  <c r="K35" i="91"/>
  <c r="H35" i="91" s="1"/>
  <c r="G35" i="91"/>
  <c r="K36" i="91"/>
  <c r="H36" i="91" s="1"/>
  <c r="G36" i="91"/>
  <c r="K32" i="91"/>
  <c r="H32" i="91" s="1"/>
  <c r="G32" i="91"/>
  <c r="K33" i="91"/>
  <c r="H33" i="91" s="1"/>
  <c r="G33" i="91"/>
  <c r="K34" i="91"/>
  <c r="H34" i="91" s="1"/>
  <c r="G34" i="91"/>
  <c r="G29" i="91"/>
  <c r="G31" i="91"/>
  <c r="O19" i="90"/>
  <c r="S19" i="90" s="1"/>
  <c r="I27" i="90"/>
  <c r="I28" i="90"/>
  <c r="J28" i="90" s="1"/>
  <c r="K28" i="90" s="1"/>
  <c r="H28" i="90" s="1"/>
  <c r="I29" i="90"/>
  <c r="J29" i="90" s="1"/>
  <c r="K29" i="90" s="1"/>
  <c r="I30" i="90"/>
  <c r="I31" i="90"/>
  <c r="I32" i="90"/>
  <c r="P17" i="90" s="1"/>
  <c r="I33" i="90"/>
  <c r="J33" i="90" s="1"/>
  <c r="K33" i="90" s="1"/>
  <c r="I34" i="90"/>
  <c r="J34" i="90" s="1"/>
  <c r="K34" i="90" s="1"/>
  <c r="H34" i="90" s="1"/>
  <c r="I35" i="90"/>
  <c r="I36" i="90"/>
  <c r="J36" i="90" s="1"/>
  <c r="K36" i="90" s="1"/>
  <c r="H36" i="90" s="1"/>
  <c r="I38" i="90"/>
  <c r="J38" i="90" s="1"/>
  <c r="K38" i="90" s="1"/>
  <c r="H38" i="90" s="1"/>
  <c r="P19" i="90"/>
  <c r="O17" i="90"/>
  <c r="S17" i="90" s="1"/>
  <c r="R17" i="90"/>
  <c r="R19" i="90"/>
  <c r="F18" i="90"/>
  <c r="R18" i="90"/>
  <c r="J26" i="90"/>
  <c r="K26" i="90" s="1"/>
  <c r="H26" i="90" s="1"/>
  <c r="J30" i="90"/>
  <c r="K30" i="90" s="1"/>
  <c r="H30" i="90" s="1"/>
  <c r="D27" i="90"/>
  <c r="D29" i="90"/>
  <c r="D31" i="90"/>
  <c r="D33" i="90"/>
  <c r="D35" i="90"/>
  <c r="D37" i="90"/>
  <c r="F37" i="90"/>
  <c r="O18" i="90"/>
  <c r="S18" i="90" s="1"/>
  <c r="J37" i="90"/>
  <c r="K37" i="90" s="1"/>
  <c r="J35" i="90"/>
  <c r="K35" i="90" s="1"/>
  <c r="J31" i="90"/>
  <c r="K31" i="90" s="1"/>
  <c r="J27" i="90"/>
  <c r="K27" i="90" s="1"/>
  <c r="S79" i="89"/>
  <c r="S78" i="89"/>
  <c r="S77" i="89"/>
  <c r="S76" i="89"/>
  <c r="S75" i="89"/>
  <c r="S74" i="89"/>
  <c r="S73" i="89"/>
  <c r="S71" i="89"/>
  <c r="S68" i="89"/>
  <c r="S67" i="89"/>
  <c r="S66" i="89"/>
  <c r="S65" i="89"/>
  <c r="S64" i="89"/>
  <c r="S63" i="89"/>
  <c r="S62" i="89"/>
  <c r="S61" i="89"/>
  <c r="S60" i="89"/>
  <c r="P19" i="89"/>
  <c r="Q18" i="89"/>
  <c r="E34" i="89"/>
  <c r="I34" i="89" s="1"/>
  <c r="C34" i="89"/>
  <c r="D34" i="89" s="1"/>
  <c r="B34" i="89"/>
  <c r="E33" i="89"/>
  <c r="F33" i="89" s="1"/>
  <c r="C33" i="89"/>
  <c r="D33" i="89" s="1"/>
  <c r="B33" i="89"/>
  <c r="E32" i="89"/>
  <c r="F32" i="89" s="1"/>
  <c r="C32" i="89"/>
  <c r="D32" i="89" s="1"/>
  <c r="B32" i="89"/>
  <c r="Q17" i="89" s="1"/>
  <c r="S17" i="89" s="1"/>
  <c r="E31" i="89"/>
  <c r="F31" i="89" s="1"/>
  <c r="C31" i="89"/>
  <c r="D31" i="89" s="1"/>
  <c r="B31" i="89"/>
  <c r="E30" i="89"/>
  <c r="I30" i="89" s="1"/>
  <c r="C30" i="89"/>
  <c r="D30" i="89" s="1"/>
  <c r="B30" i="89"/>
  <c r="E29" i="89"/>
  <c r="F29" i="89" s="1"/>
  <c r="C29" i="89"/>
  <c r="D29" i="89" s="1"/>
  <c r="B29" i="89"/>
  <c r="E28" i="89"/>
  <c r="I28" i="89" s="1"/>
  <c r="C28" i="89"/>
  <c r="D28" i="89" s="1"/>
  <c r="B28" i="89"/>
  <c r="E27" i="89"/>
  <c r="F27" i="89" s="1"/>
  <c r="C27" i="89"/>
  <c r="D27" i="89" s="1"/>
  <c r="B27" i="89"/>
  <c r="E26" i="89"/>
  <c r="I26" i="89" s="1"/>
  <c r="C26" i="89"/>
  <c r="B26" i="89"/>
  <c r="C22" i="89"/>
  <c r="I21" i="89"/>
  <c r="C20" i="89"/>
  <c r="F19" i="89" s="1"/>
  <c r="Q19" i="89"/>
  <c r="O17" i="89"/>
  <c r="K10" i="89"/>
  <c r="F34" i="89" l="1"/>
  <c r="I32" i="89"/>
  <c r="P17" i="89" s="1"/>
  <c r="P64" i="91"/>
  <c r="L62" i="91"/>
  <c r="L63" i="91" s="1"/>
  <c r="L64" i="91"/>
  <c r="R21" i="90"/>
  <c r="J32" i="90"/>
  <c r="K32" i="90" s="1"/>
  <c r="H32" i="90" s="1"/>
  <c r="R20" i="90"/>
  <c r="G36" i="90"/>
  <c r="G38" i="90"/>
  <c r="G28" i="90"/>
  <c r="G34" i="90"/>
  <c r="G30" i="90"/>
  <c r="H35" i="90"/>
  <c r="H31" i="90"/>
  <c r="G31" i="90"/>
  <c r="H29" i="90"/>
  <c r="G37" i="90"/>
  <c r="G29" i="90"/>
  <c r="G33" i="90"/>
  <c r="H37" i="90"/>
  <c r="H33" i="90"/>
  <c r="H27" i="90"/>
  <c r="G35" i="90"/>
  <c r="G27" i="90"/>
  <c r="F18" i="89"/>
  <c r="F26" i="89"/>
  <c r="R19" i="89"/>
  <c r="R17" i="89"/>
  <c r="I27" i="89"/>
  <c r="J27" i="89" s="1"/>
  <c r="F28" i="89"/>
  <c r="F30" i="89"/>
  <c r="O19" i="89"/>
  <c r="S19" i="89" s="1"/>
  <c r="I31" i="89"/>
  <c r="J31" i="89"/>
  <c r="J34" i="89"/>
  <c r="J32" i="89"/>
  <c r="K32" i="89" s="1"/>
  <c r="H32" i="89" s="1"/>
  <c r="J30" i="89"/>
  <c r="J28" i="89"/>
  <c r="K28" i="89" s="1"/>
  <c r="H28" i="89" s="1"/>
  <c r="J26" i="89"/>
  <c r="K26" i="89" s="1"/>
  <c r="H26" i="89" s="1"/>
  <c r="O18" i="89"/>
  <c r="S18" i="89" s="1"/>
  <c r="R21" i="89" s="1"/>
  <c r="I29" i="89"/>
  <c r="J29" i="89" s="1"/>
  <c r="G32" i="89"/>
  <c r="I33" i="89"/>
  <c r="J33" i="89" s="1"/>
  <c r="P18" i="89"/>
  <c r="R18" i="89" s="1"/>
  <c r="S79" i="88"/>
  <c r="S78" i="88"/>
  <c r="S77" i="88"/>
  <c r="S76" i="88"/>
  <c r="S75" i="88"/>
  <c r="S74" i="88"/>
  <c r="S73" i="88"/>
  <c r="S71" i="88"/>
  <c r="S68" i="88"/>
  <c r="S67" i="88"/>
  <c r="S66" i="88"/>
  <c r="S65" i="88"/>
  <c r="S64" i="88"/>
  <c r="S63" i="88"/>
  <c r="S62" i="88"/>
  <c r="S61" i="88"/>
  <c r="S60" i="88"/>
  <c r="F58" i="88"/>
  <c r="C58" i="88"/>
  <c r="D58" i="88" s="1"/>
  <c r="F57" i="88"/>
  <c r="C57" i="88"/>
  <c r="D57" i="88" s="1"/>
  <c r="F56" i="88"/>
  <c r="C56" i="88"/>
  <c r="D56" i="88" s="1"/>
  <c r="F55" i="88"/>
  <c r="C55" i="88"/>
  <c r="D55" i="88" s="1"/>
  <c r="F54" i="88"/>
  <c r="C54" i="88"/>
  <c r="D54" i="88" s="1"/>
  <c r="F53" i="88"/>
  <c r="C53" i="88"/>
  <c r="D53" i="88" s="1"/>
  <c r="F52" i="88"/>
  <c r="C52" i="88"/>
  <c r="D52" i="88" s="1"/>
  <c r="F51" i="88"/>
  <c r="C51" i="88"/>
  <c r="D51" i="88" s="1"/>
  <c r="F50" i="88"/>
  <c r="C50" i="88"/>
  <c r="D50" i="88" s="1"/>
  <c r="F49" i="88"/>
  <c r="C49" i="88"/>
  <c r="D49" i="88" s="1"/>
  <c r="F48" i="88"/>
  <c r="C48" i="88"/>
  <c r="D48" i="88" s="1"/>
  <c r="Q19" i="88"/>
  <c r="F47" i="88"/>
  <c r="C47" i="88"/>
  <c r="D47" i="88" s="1"/>
  <c r="F46" i="88"/>
  <c r="C46" i="88"/>
  <c r="D46" i="88" s="1"/>
  <c r="F45" i="88"/>
  <c r="C45" i="88"/>
  <c r="D45" i="88" s="1"/>
  <c r="F44" i="88"/>
  <c r="C44" i="88"/>
  <c r="D44" i="88" s="1"/>
  <c r="F43" i="88"/>
  <c r="C43" i="88"/>
  <c r="D43" i="88" s="1"/>
  <c r="I42" i="88"/>
  <c r="C42" i="88"/>
  <c r="D42" i="88" s="1"/>
  <c r="F41" i="88"/>
  <c r="C41" i="88"/>
  <c r="D41" i="88" s="1"/>
  <c r="I40" i="88"/>
  <c r="C40" i="88"/>
  <c r="D40" i="88" s="1"/>
  <c r="F39" i="88"/>
  <c r="C39" i="88"/>
  <c r="I38" i="88"/>
  <c r="C38" i="88"/>
  <c r="D38" i="88" s="1"/>
  <c r="F37" i="88"/>
  <c r="C37" i="88"/>
  <c r="D37" i="88" s="1"/>
  <c r="Q18" i="88"/>
  <c r="F36" i="88"/>
  <c r="C36" i="88"/>
  <c r="D36" i="88" s="1"/>
  <c r="F35" i="88"/>
  <c r="C35" i="88"/>
  <c r="D35" i="88" s="1"/>
  <c r="I34" i="88"/>
  <c r="C34" i="88"/>
  <c r="D34" i="88" s="1"/>
  <c r="F33" i="88"/>
  <c r="C33" i="88"/>
  <c r="D33" i="88" s="1"/>
  <c r="O17" i="88"/>
  <c r="C32" i="88"/>
  <c r="D32" i="88" s="1"/>
  <c r="Q17" i="88"/>
  <c r="F31" i="88"/>
  <c r="C31" i="88"/>
  <c r="I30" i="88"/>
  <c r="D30" i="88"/>
  <c r="F29" i="88"/>
  <c r="C29" i="88"/>
  <c r="D29" i="88" s="1"/>
  <c r="F28" i="88"/>
  <c r="C28" i="88"/>
  <c r="D28" i="88" s="1"/>
  <c r="F27" i="88"/>
  <c r="C27" i="88"/>
  <c r="D27" i="88" s="1"/>
  <c r="C22" i="88"/>
  <c r="I21" i="88"/>
  <c r="C20" i="88"/>
  <c r="F19" i="88" s="1"/>
  <c r="K10" i="88"/>
  <c r="L64" i="90" l="1"/>
  <c r="G32" i="90"/>
  <c r="R20" i="89"/>
  <c r="L62" i="90"/>
  <c r="L63" i="90" s="1"/>
  <c r="P64" i="90"/>
  <c r="G28" i="89"/>
  <c r="L64" i="89" s="1"/>
  <c r="K33" i="89"/>
  <c r="H33" i="89" s="1"/>
  <c r="G33" i="89"/>
  <c r="K29" i="89"/>
  <c r="H29" i="89" s="1"/>
  <c r="G29" i="89"/>
  <c r="K30" i="89"/>
  <c r="H30" i="89" s="1"/>
  <c r="G30" i="89"/>
  <c r="G27" i="89"/>
  <c r="K27" i="89"/>
  <c r="H27" i="89" s="1"/>
  <c r="G31" i="89"/>
  <c r="K31" i="89"/>
  <c r="H31" i="89" s="1"/>
  <c r="G34" i="89"/>
  <c r="K34" i="89"/>
  <c r="H34" i="89" s="1"/>
  <c r="O18" i="88"/>
  <c r="S18" i="88" s="1"/>
  <c r="I54" i="88"/>
  <c r="J54" i="88" s="1"/>
  <c r="K54" i="88" s="1"/>
  <c r="H54" i="88" s="1"/>
  <c r="I50" i="88"/>
  <c r="F34" i="88"/>
  <c r="I28" i="88"/>
  <c r="J28" i="88" s="1"/>
  <c r="S17" i="88"/>
  <c r="F42" i="88"/>
  <c r="I46" i="88"/>
  <c r="J46" i="88" s="1"/>
  <c r="K46" i="88" s="1"/>
  <c r="H46" i="88" s="1"/>
  <c r="F30" i="88"/>
  <c r="I36" i="88"/>
  <c r="J36" i="88" s="1"/>
  <c r="F38" i="88"/>
  <c r="I44" i="88"/>
  <c r="J44" i="88" s="1"/>
  <c r="K44" i="88" s="1"/>
  <c r="H44" i="88" s="1"/>
  <c r="J42" i="88"/>
  <c r="K42" i="88" s="1"/>
  <c r="H42" i="88" s="1"/>
  <c r="J30" i="88"/>
  <c r="K30" i="88" s="1"/>
  <c r="H30" i="88" s="1"/>
  <c r="J40" i="88"/>
  <c r="K40" i="88" s="1"/>
  <c r="H40" i="88" s="1"/>
  <c r="J50" i="88"/>
  <c r="K50" i="88" s="1"/>
  <c r="H50" i="88" s="1"/>
  <c r="J38" i="88"/>
  <c r="K38" i="88" s="1"/>
  <c r="H38" i="88" s="1"/>
  <c r="J34" i="88"/>
  <c r="K34" i="88" s="1"/>
  <c r="H34" i="88" s="1"/>
  <c r="F18" i="88"/>
  <c r="O19" i="88"/>
  <c r="S19" i="88" s="1"/>
  <c r="D31" i="88"/>
  <c r="F32" i="88"/>
  <c r="D39" i="88"/>
  <c r="F40" i="88"/>
  <c r="I48" i="88"/>
  <c r="I56" i="88"/>
  <c r="J56" i="88" s="1"/>
  <c r="K56" i="88" s="1"/>
  <c r="H56" i="88" s="1"/>
  <c r="I32" i="88"/>
  <c r="P17" i="88" s="1"/>
  <c r="I58" i="88"/>
  <c r="J58" i="88" s="1"/>
  <c r="K58" i="88" s="1"/>
  <c r="H58" i="88" s="1"/>
  <c r="F26" i="88"/>
  <c r="I26" i="88"/>
  <c r="J26" i="88" s="1"/>
  <c r="K26" i="88" s="1"/>
  <c r="H26" i="88" s="1"/>
  <c r="I52" i="88"/>
  <c r="J52" i="88" s="1"/>
  <c r="K52" i="88" s="1"/>
  <c r="H52" i="88" s="1"/>
  <c r="I27" i="88"/>
  <c r="J27" i="88" s="1"/>
  <c r="I29" i="88"/>
  <c r="J29" i="88" s="1"/>
  <c r="I31" i="88"/>
  <c r="J31" i="88" s="1"/>
  <c r="I33" i="88"/>
  <c r="J33" i="88" s="1"/>
  <c r="I35" i="88"/>
  <c r="J35" i="88" s="1"/>
  <c r="K35" i="88" s="1"/>
  <c r="H35" i="88" s="1"/>
  <c r="I37" i="88"/>
  <c r="P18" i="88" s="1"/>
  <c r="R18" i="88" s="1"/>
  <c r="I39" i="88"/>
  <c r="J39" i="88" s="1"/>
  <c r="I41" i="88"/>
  <c r="J41" i="88" s="1"/>
  <c r="I43" i="88"/>
  <c r="J43" i="88" s="1"/>
  <c r="K43" i="88" s="1"/>
  <c r="H43" i="88" s="1"/>
  <c r="I45" i="88"/>
  <c r="J45" i="88" s="1"/>
  <c r="I47" i="88"/>
  <c r="J47" i="88" s="1"/>
  <c r="I49" i="88"/>
  <c r="J49" i="88" s="1"/>
  <c r="I51" i="88"/>
  <c r="J51" i="88" s="1"/>
  <c r="K51" i="88" s="1"/>
  <c r="H51" i="88" s="1"/>
  <c r="I53" i="88"/>
  <c r="J53" i="88" s="1"/>
  <c r="I55" i="88"/>
  <c r="J55" i="88" s="1"/>
  <c r="I57" i="88"/>
  <c r="J57" i="88" s="1"/>
  <c r="K27" i="88" l="1"/>
  <c r="H27" i="88" s="1"/>
  <c r="G27" i="88"/>
  <c r="P64" i="89"/>
  <c r="L62" i="89"/>
  <c r="L63" i="89" s="1"/>
  <c r="G58" i="88"/>
  <c r="G52" i="88"/>
  <c r="K28" i="88"/>
  <c r="H28" i="88" s="1"/>
  <c r="G28" i="88"/>
  <c r="G40" i="88"/>
  <c r="R21" i="88"/>
  <c r="G54" i="88"/>
  <c r="G50" i="88"/>
  <c r="G44" i="88"/>
  <c r="K36" i="88"/>
  <c r="H36" i="88" s="1"/>
  <c r="G36" i="88"/>
  <c r="G42" i="88"/>
  <c r="G56" i="88"/>
  <c r="G30" i="88"/>
  <c r="G46" i="88"/>
  <c r="G38" i="88"/>
  <c r="G34" i="88"/>
  <c r="K55" i="88"/>
  <c r="H55" i="88" s="1"/>
  <c r="G55" i="88"/>
  <c r="G29" i="88"/>
  <c r="K29" i="88"/>
  <c r="H29" i="88" s="1"/>
  <c r="G45" i="88"/>
  <c r="K45" i="88"/>
  <c r="H45" i="88" s="1"/>
  <c r="G53" i="88"/>
  <c r="K53" i="88"/>
  <c r="H53" i="88" s="1"/>
  <c r="K31" i="88"/>
  <c r="H31" i="88" s="1"/>
  <c r="G31" i="88"/>
  <c r="G47" i="88"/>
  <c r="K47" i="88"/>
  <c r="H47" i="88" s="1"/>
  <c r="K39" i="88"/>
  <c r="H39" i="88" s="1"/>
  <c r="G39" i="88"/>
  <c r="K41" i="88"/>
  <c r="H41" i="88" s="1"/>
  <c r="G41" i="88"/>
  <c r="G51" i="88"/>
  <c r="R17" i="88"/>
  <c r="J32" i="88"/>
  <c r="K49" i="88"/>
  <c r="H49" i="88" s="1"/>
  <c r="G49" i="88"/>
  <c r="K33" i="88"/>
  <c r="H33" i="88" s="1"/>
  <c r="G33" i="88"/>
  <c r="K57" i="88"/>
  <c r="H57" i="88" s="1"/>
  <c r="G57" i="88"/>
  <c r="G43" i="88"/>
  <c r="G35" i="88"/>
  <c r="J37" i="88"/>
  <c r="J48" i="88"/>
  <c r="P19" i="88"/>
  <c r="R19" i="88" s="1"/>
  <c r="L64" i="88" l="1"/>
  <c r="K48" i="88"/>
  <c r="H48" i="88" s="1"/>
  <c r="G48" i="88"/>
  <c r="K32" i="88"/>
  <c r="H32" i="88" s="1"/>
  <c r="G32" i="88"/>
  <c r="R20" i="88"/>
  <c r="G37" i="88"/>
  <c r="K37" i="88"/>
  <c r="H37" i="88" s="1"/>
  <c r="L62" i="88" l="1"/>
  <c r="L63" i="8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24" authorId="0" shapeId="0" xr:uid="{00000000-0006-0000-0000-000001000000}">
      <text>
        <r>
          <rPr>
            <sz val="9"/>
            <color indexed="81"/>
            <rFont val="Tahoma"/>
            <family val="2"/>
          </rPr>
          <t xml:space="preserve">DIGITE EL TIEMPO DEL ENSAYO EN LA COLUMNA </t>
        </r>
        <r>
          <rPr>
            <b/>
            <sz val="9"/>
            <color indexed="81"/>
            <rFont val="Tahoma"/>
            <family val="2"/>
          </rPr>
          <t>(S)</t>
        </r>
      </text>
    </comment>
    <comment ref="C24" authorId="0" shapeId="0" xr:uid="{00000000-0006-0000-0000-000002000000}">
      <text>
        <r>
          <rPr>
            <sz val="9"/>
            <color indexed="81"/>
            <rFont val="Tahoma"/>
            <family val="2"/>
          </rPr>
          <t>DIGITE LOS DATOS OBTENIDOS DEL ENSAYO</t>
        </r>
        <r>
          <rPr>
            <b/>
            <sz val="9"/>
            <color indexed="81"/>
            <rFont val="Tahoma"/>
            <family val="2"/>
          </rPr>
          <t xml:space="preserve"> </t>
        </r>
      </text>
    </comment>
    <comment ref="E25" authorId="0" shapeId="0" xr:uid="{00000000-0006-0000-0000-000003000000}">
      <text>
        <r>
          <rPr>
            <b/>
            <sz val="9"/>
            <color indexed="81"/>
            <rFont val="Tahoma"/>
            <family val="2"/>
          </rPr>
          <t>DIGITE LOS DATOS OBTENIDOS DEL ENSAYO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24" authorId="0" shapeId="0" xr:uid="{00000000-0006-0000-0100-000001000000}">
      <text>
        <r>
          <rPr>
            <sz val="9"/>
            <color indexed="81"/>
            <rFont val="Tahoma"/>
            <family val="2"/>
          </rPr>
          <t xml:space="preserve">DIGITE EL TIEMPO DEL ENSAYO EN LA COLUMNA </t>
        </r>
        <r>
          <rPr>
            <b/>
            <sz val="9"/>
            <color indexed="81"/>
            <rFont val="Tahoma"/>
            <family val="2"/>
          </rPr>
          <t>(S)</t>
        </r>
      </text>
    </comment>
    <comment ref="C24" authorId="0" shapeId="0" xr:uid="{00000000-0006-0000-0100-000002000000}">
      <text>
        <r>
          <rPr>
            <sz val="9"/>
            <color indexed="81"/>
            <rFont val="Tahoma"/>
            <family val="2"/>
          </rPr>
          <t>DIGITE LOS DATOS OBTENIDOS DEL ENSAYO</t>
        </r>
        <r>
          <rPr>
            <b/>
            <sz val="9"/>
            <color indexed="81"/>
            <rFont val="Tahoma"/>
            <family val="2"/>
          </rPr>
          <t xml:space="preserve"> </t>
        </r>
      </text>
    </comment>
    <comment ref="E25" authorId="0" shapeId="0" xr:uid="{00000000-0006-0000-0100-000003000000}">
      <text>
        <r>
          <rPr>
            <b/>
            <sz val="9"/>
            <color indexed="81"/>
            <rFont val="Tahoma"/>
            <family val="2"/>
          </rPr>
          <t>DIGITE LOS DATOS OBTENIDOS DEL ENSAYO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24" authorId="0" shapeId="0" xr:uid="{00000000-0006-0000-0200-000001000000}">
      <text>
        <r>
          <rPr>
            <sz val="9"/>
            <color indexed="81"/>
            <rFont val="Tahoma"/>
            <family val="2"/>
          </rPr>
          <t xml:space="preserve">DIGITE EL TIEMPO DEL ENSAYO EN LA COLUMNA </t>
        </r>
        <r>
          <rPr>
            <b/>
            <sz val="9"/>
            <color indexed="81"/>
            <rFont val="Tahoma"/>
            <family val="2"/>
          </rPr>
          <t>(S)</t>
        </r>
      </text>
    </comment>
    <comment ref="C24" authorId="0" shapeId="0" xr:uid="{00000000-0006-0000-0200-000002000000}">
      <text>
        <r>
          <rPr>
            <sz val="9"/>
            <color indexed="81"/>
            <rFont val="Tahoma"/>
            <family val="2"/>
          </rPr>
          <t>DIGITE LOS DATOS OBTENIDOS DEL ENSAYO</t>
        </r>
        <r>
          <rPr>
            <b/>
            <sz val="9"/>
            <color indexed="81"/>
            <rFont val="Tahoma"/>
            <family val="2"/>
          </rPr>
          <t xml:space="preserve"> </t>
        </r>
      </text>
    </comment>
    <comment ref="E25" authorId="0" shapeId="0" xr:uid="{00000000-0006-0000-0200-000003000000}">
      <text>
        <r>
          <rPr>
            <b/>
            <sz val="9"/>
            <color indexed="81"/>
            <rFont val="Tahoma"/>
            <family val="2"/>
          </rPr>
          <t>DIGITE LOS DATOS OBTENIDOS DEL ENSAYO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24" authorId="0" shapeId="0" xr:uid="{00000000-0006-0000-0300-000001000000}">
      <text>
        <r>
          <rPr>
            <sz val="9"/>
            <color indexed="81"/>
            <rFont val="Tahoma"/>
            <family val="2"/>
          </rPr>
          <t xml:space="preserve">DIGITE EL TIEMPO DEL ENSAYO EN LA COLUMNA </t>
        </r>
        <r>
          <rPr>
            <b/>
            <sz val="9"/>
            <color indexed="81"/>
            <rFont val="Tahoma"/>
            <family val="2"/>
          </rPr>
          <t>(S)</t>
        </r>
      </text>
    </comment>
    <comment ref="C24" authorId="0" shapeId="0" xr:uid="{00000000-0006-0000-0300-000002000000}">
      <text>
        <r>
          <rPr>
            <sz val="9"/>
            <color indexed="81"/>
            <rFont val="Tahoma"/>
            <family val="2"/>
          </rPr>
          <t>DIGITE LOS DATOS OBTENIDOS DEL ENSAYO</t>
        </r>
        <r>
          <rPr>
            <b/>
            <sz val="9"/>
            <color indexed="81"/>
            <rFont val="Tahoma"/>
            <family val="2"/>
          </rPr>
          <t xml:space="preserve"> </t>
        </r>
      </text>
    </comment>
    <comment ref="E25" authorId="0" shapeId="0" xr:uid="{00000000-0006-0000-0300-000003000000}">
      <text>
        <r>
          <rPr>
            <b/>
            <sz val="9"/>
            <color indexed="81"/>
            <rFont val="Tahoma"/>
            <family val="2"/>
          </rPr>
          <t>DIGITE LOS DATOS OBTENIDOS DEL ENSAYO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24" authorId="0" shapeId="0" xr:uid="{00000000-0006-0000-0400-000001000000}">
      <text>
        <r>
          <rPr>
            <sz val="9"/>
            <color indexed="81"/>
            <rFont val="Tahoma"/>
            <family val="2"/>
          </rPr>
          <t xml:space="preserve">DIGITE EL TIEMPO DEL ENSAYO EN LA COLUMNA </t>
        </r>
        <r>
          <rPr>
            <b/>
            <sz val="9"/>
            <color indexed="81"/>
            <rFont val="Tahoma"/>
            <family val="2"/>
          </rPr>
          <t>(S)</t>
        </r>
      </text>
    </comment>
    <comment ref="C24" authorId="0" shapeId="0" xr:uid="{00000000-0006-0000-0400-000002000000}">
      <text>
        <r>
          <rPr>
            <sz val="9"/>
            <color indexed="81"/>
            <rFont val="Tahoma"/>
            <family val="2"/>
          </rPr>
          <t>DIGITE LOS DATOS OBTENIDOS DEL ENSAYO</t>
        </r>
        <r>
          <rPr>
            <b/>
            <sz val="9"/>
            <color indexed="81"/>
            <rFont val="Tahoma"/>
            <family val="2"/>
          </rPr>
          <t xml:space="preserve"> </t>
        </r>
      </text>
    </comment>
    <comment ref="E25" authorId="0" shapeId="0" xr:uid="{00000000-0006-0000-0400-000003000000}">
      <text>
        <r>
          <rPr>
            <b/>
            <sz val="9"/>
            <color indexed="81"/>
            <rFont val="Tahoma"/>
            <family val="2"/>
          </rPr>
          <t>DIGITE LOS DATOS OBTENIDOS DEL ENSAYO</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24" authorId="0" shapeId="0" xr:uid="{00000000-0006-0000-0500-000001000000}">
      <text>
        <r>
          <rPr>
            <sz val="9"/>
            <color indexed="81"/>
            <rFont val="Tahoma"/>
            <family val="2"/>
          </rPr>
          <t xml:space="preserve">DIGITE EL TIEMPO DEL ENSAYO EN LA COLUMNA </t>
        </r>
        <r>
          <rPr>
            <b/>
            <sz val="9"/>
            <color indexed="81"/>
            <rFont val="Tahoma"/>
            <family val="2"/>
          </rPr>
          <t>(S)</t>
        </r>
      </text>
    </comment>
    <comment ref="C24" authorId="0" shapeId="0" xr:uid="{00000000-0006-0000-0500-000002000000}">
      <text>
        <r>
          <rPr>
            <sz val="9"/>
            <color indexed="81"/>
            <rFont val="Tahoma"/>
            <family val="2"/>
          </rPr>
          <t>DIGITE LOS DATOS OBTENIDOS DEL ENSAYO</t>
        </r>
        <r>
          <rPr>
            <b/>
            <sz val="9"/>
            <color indexed="81"/>
            <rFont val="Tahoma"/>
            <family val="2"/>
          </rPr>
          <t xml:space="preserve"> </t>
        </r>
      </text>
    </comment>
    <comment ref="E25" authorId="0" shapeId="0" xr:uid="{00000000-0006-0000-0500-000003000000}">
      <text>
        <r>
          <rPr>
            <b/>
            <sz val="9"/>
            <color indexed="81"/>
            <rFont val="Tahoma"/>
            <family val="2"/>
          </rPr>
          <t>DIGITE LOS DATOS OBTENIDOS DEL ENSAYO</t>
        </r>
      </text>
    </comment>
  </commentList>
</comments>
</file>

<file path=xl/sharedStrings.xml><?xml version="1.0" encoding="utf-8"?>
<sst xmlns="http://schemas.openxmlformats.org/spreadsheetml/2006/main" count="1309" uniqueCount="109">
  <si>
    <t>PROFUNDIDAD:</t>
  </si>
  <si>
    <t>-</t>
  </si>
  <si>
    <t>mm</t>
  </si>
  <si>
    <t>MASA MUESTRA (g)</t>
  </si>
  <si>
    <t xml:space="preserve">DATOS DE HUMEDAD </t>
  </si>
  <si>
    <t>MASA SECA</t>
  </si>
  <si>
    <t xml:space="preserve">MASA RECIPIENTE </t>
  </si>
  <si>
    <t xml:space="preserve">DATOS DE LA MUESTRA </t>
  </si>
  <si>
    <t xml:space="preserve">INFORME DE RESULTADOS </t>
  </si>
  <si>
    <t>INFORME ID No:</t>
  </si>
  <si>
    <t>FECHA DE RECEPCIÓN:</t>
  </si>
  <si>
    <t>FECHA DE EJECUCIÓN:</t>
  </si>
  <si>
    <t>FECHA DE EMISIÓN:</t>
  </si>
  <si>
    <t>ORDEN INTERNA :</t>
  </si>
  <si>
    <t>CLIENTE:</t>
  </si>
  <si>
    <t>PROYECTO:</t>
  </si>
  <si>
    <t>LOCALIZACIÓN:</t>
  </si>
  <si>
    <t>MUESTRA TOMADA POR:</t>
  </si>
  <si>
    <t>PERFORACIÓN:</t>
  </si>
  <si>
    <t>MUESTRA No.:</t>
  </si>
  <si>
    <t>--------------------FIN DEL INFORME--------------------</t>
  </si>
  <si>
    <t>Código: GDA-FLC-008</t>
  </si>
  <si>
    <t xml:space="preserve">TIPO DE FALLA </t>
  </si>
  <si>
    <t xml:space="preserve">TIPO DE FALLAS </t>
  </si>
  <si>
    <t>PLANO INCLINADO</t>
  </si>
  <si>
    <t>ABOMBAMIENTO</t>
  </si>
  <si>
    <t xml:space="preserve">CONO Y GRIETAS VERTICALES </t>
  </si>
  <si>
    <t xml:space="preserve">DESMORONAMIENTO </t>
  </si>
  <si>
    <t xml:space="preserve">Tubo Shelby </t>
  </si>
  <si>
    <t>SPT</t>
  </si>
  <si>
    <t>NQ - Barrena</t>
  </si>
  <si>
    <t>HQ - Barrena</t>
  </si>
  <si>
    <t>Remoldeada</t>
  </si>
  <si>
    <t>Compactada</t>
  </si>
  <si>
    <t xml:space="preserve">VELOCIDAD DE LA FALLA </t>
  </si>
  <si>
    <t>CARGA AXIAL (KN)</t>
  </si>
  <si>
    <t>ALTURA [cm]</t>
  </si>
  <si>
    <t>VOLUMEN  [cm³]</t>
  </si>
  <si>
    <t>w [%]</t>
  </si>
  <si>
    <t>Director Técnico</t>
  </si>
  <si>
    <t>CARGA AXIAL (LB)</t>
  </si>
  <si>
    <t>kPa</t>
  </si>
  <si>
    <t>pulgadas</t>
  </si>
  <si>
    <t>ÁREA CORREGIDA (In²)</t>
  </si>
  <si>
    <t>Lbf/In²</t>
  </si>
  <si>
    <t>TIEMPO (min)</t>
  </si>
  <si>
    <t xml:space="preserve">TIEMPO EN SEGUNDOS </t>
  </si>
  <si>
    <t xml:space="preserve">tipo de perforación </t>
  </si>
  <si>
    <t>SONDEO</t>
  </si>
  <si>
    <t>APIQUE</t>
  </si>
  <si>
    <t>TRINCHERA</t>
  </si>
  <si>
    <t>NQ</t>
  </si>
  <si>
    <t>N/A</t>
  </si>
  <si>
    <t>FUERZA (KN)</t>
  </si>
  <si>
    <t>DEFORMACIÓN</t>
  </si>
  <si>
    <t>ESFUERZO</t>
  </si>
  <si>
    <t>LECTURA DEL DEFORMÍMETRO EN PULGADAS</t>
  </si>
  <si>
    <t>DIÁMETRO [cm]</t>
  </si>
  <si>
    <t>MASA HÚMEDA</t>
  </si>
  <si>
    <t>MÉTODO DEL MUESTREO</t>
  </si>
  <si>
    <t>ÁREA [cm²]</t>
  </si>
  <si>
    <t>LECTURA DEFORMACIÓN EN MILÍMETROS</t>
  </si>
  <si>
    <t>Ing. SERGIO DURAN NÚÑEZ</t>
  </si>
  <si>
    <t xml:space="preserve">MÉTODO DE MUESTREO </t>
  </si>
  <si>
    <t>CORREO ELECTRÓNICO:</t>
  </si>
  <si>
    <t>FUERZA (lbf)</t>
  </si>
  <si>
    <t>DESCRIPCIÓN VISUAL:</t>
  </si>
  <si>
    <t xml:space="preserve">
El presente ensayo no podrá ser reproducido ni parcial ni totalmente sin previa autorización escrita del laboratorio que lo emite. Los resultados de este ensayo solo son aplicables a las muestras ensayadas. Este informe es válido únicamente si presenta firma de quien Reviso y/o Aprobó. El laboratorio es responsable de toda la información suministrada en el presente informe, excepto cuando la información es suministrada por el cliente. El laboratorio no es responsable por la información suministrada por el cliente, misma que puede afectar la validez de los resultados. (DATOS SUMINISTRADOS POR EL CLIENTE: PROCEDENCIA, PROFUNDIDAD, NUMERO DE PERFORACIÓN Y FECHA DE TOMA)</t>
  </si>
  <si>
    <t>DESCARGO DE RESPONSABILIDADES GEODELTA INGENIERÍA S.A.S.</t>
  </si>
  <si>
    <t>GDA -</t>
  </si>
  <si>
    <t>Página 1 de 1</t>
  </si>
  <si>
    <t>agregar cantidad de muestras totales del sondeo</t>
  </si>
  <si>
    <t>APROBÓ</t>
  </si>
  <si>
    <t>REVISÓ</t>
  </si>
  <si>
    <t xml:space="preserve">Jefe laboratorio </t>
  </si>
  <si>
    <r>
      <t>RESISTENCIA DE LA COMPRESIÓN INCONFINADA q</t>
    </r>
    <r>
      <rPr>
        <b/>
        <vertAlign val="subscript"/>
        <sz val="14"/>
        <color theme="1"/>
        <rFont val="Arial"/>
        <family val="2"/>
      </rPr>
      <t xml:space="preserve">u  </t>
    </r>
    <r>
      <rPr>
        <b/>
        <sz val="14"/>
        <color theme="1"/>
        <rFont val="Arial"/>
        <family val="2"/>
      </rPr>
      <t xml:space="preserve">  [kPa]</t>
    </r>
  </si>
  <si>
    <r>
      <t>RESISTENCIA AL CORTE S</t>
    </r>
    <r>
      <rPr>
        <b/>
        <vertAlign val="subscript"/>
        <sz val="14"/>
        <rFont val="Arial"/>
        <family val="2"/>
      </rPr>
      <t xml:space="preserve">u </t>
    </r>
    <r>
      <rPr>
        <b/>
        <sz val="14"/>
        <rFont val="Arial"/>
        <family val="2"/>
      </rPr>
      <t>[kPa]:</t>
    </r>
  </si>
  <si>
    <r>
      <t>DEFORMACIÓN UNITARIA Ɛ</t>
    </r>
    <r>
      <rPr>
        <b/>
        <vertAlign val="subscript"/>
        <sz val="14"/>
        <color rgb="FF002060"/>
        <rFont val="Arial"/>
        <family val="2"/>
      </rPr>
      <t>1</t>
    </r>
    <r>
      <rPr>
        <b/>
        <sz val="14"/>
        <color rgb="FF002060"/>
        <rFont val="Arial"/>
        <family val="2"/>
      </rPr>
      <t xml:space="preserve"> % </t>
    </r>
  </si>
  <si>
    <r>
      <t>ÁREA CORREGIDA (cm</t>
    </r>
    <r>
      <rPr>
        <b/>
        <sz val="14"/>
        <color rgb="FF002060"/>
        <rFont val="Century Gothic"/>
        <family val="2"/>
      </rPr>
      <t>²</t>
    </r>
    <r>
      <rPr>
        <b/>
        <sz val="14"/>
        <color rgb="FF002060"/>
        <rFont val="Arial"/>
        <family val="2"/>
      </rPr>
      <t>)</t>
    </r>
  </si>
  <si>
    <r>
      <rPr>
        <i/>
        <sz val="9"/>
        <rFont val="Arial"/>
        <family val="2"/>
      </rPr>
      <t>ρ</t>
    </r>
    <r>
      <rPr>
        <b/>
        <vertAlign val="subscript"/>
        <sz val="9"/>
        <rFont val="Arial"/>
        <family val="2"/>
      </rPr>
      <t xml:space="preserve">d </t>
    </r>
    <r>
      <rPr>
        <b/>
        <sz val="9"/>
        <rFont val="Arial"/>
        <family val="2"/>
      </rPr>
      <t xml:space="preserve"> [g/cm³]</t>
    </r>
  </si>
  <si>
    <r>
      <rPr>
        <i/>
        <sz val="9"/>
        <rFont val="Arial"/>
        <family val="2"/>
      </rPr>
      <t>ρ</t>
    </r>
    <r>
      <rPr>
        <b/>
        <vertAlign val="subscript"/>
        <sz val="9"/>
        <rFont val="Arial"/>
        <family val="2"/>
      </rPr>
      <t xml:space="preserve">h </t>
    </r>
    <r>
      <rPr>
        <b/>
        <sz val="9"/>
        <rFont val="Arial"/>
        <family val="2"/>
      </rPr>
      <t>[g/cm³]</t>
    </r>
  </si>
  <si>
    <t xml:space="preserve">COMPRESIÓN INCONFINADA EN MUESTRAS DE SUELOS                                                                                                                                          </t>
  </si>
  <si>
    <t>INV. - 152-13</t>
  </si>
  <si>
    <t>VELOCIDAD  MM / MIN</t>
  </si>
  <si>
    <t>VELOCIDAD   (% / MINUTOS)</t>
  </si>
  <si>
    <t>MÓDULO DE ELASTICIDAD [kPa]:</t>
  </si>
  <si>
    <t>Versión :02</t>
  </si>
  <si>
    <t>Fecha: 19-04-2024</t>
  </si>
  <si>
    <t>MIGUEL BARÓN</t>
  </si>
  <si>
    <t>GRANDE</t>
  </si>
  <si>
    <t>CURVA</t>
  </si>
  <si>
    <t>058</t>
  </si>
  <si>
    <t xml:space="preserve">GETINSA EUROESTUDIOS S A S  </t>
  </si>
  <si>
    <t>EXPLORACIÓN GEOTÉCNICA AMR</t>
  </si>
  <si>
    <t xml:space="preserve"> GERENCIA.DCMING@GMAIL.COM</t>
  </si>
  <si>
    <t>PUERTO BERRIO</t>
  </si>
  <si>
    <t>CLIENTE</t>
  </si>
  <si>
    <t>PE4-3</t>
  </si>
  <si>
    <t>ARENA ARCILLOSA , COLOR VERDE AMARILLENTO, EN CONDICIÓN HÚMEDA.</t>
  </si>
  <si>
    <t>PE4-2</t>
  </si>
  <si>
    <t>ARENA CON ALGO DE LIMO, DE COLOR GRIS VERDOSO, CEMENTACIÓN FUERTE, EN CONDICIÓN HÚMEDA.</t>
  </si>
  <si>
    <t>PE4-7</t>
  </si>
  <si>
    <t>ARENA CON ALGO DE ARCILLA, DE COLOR MARRÓN, CONSISTENCIA MUY BLANDA, EN CONDICIÓN HÚMEDA.</t>
  </si>
  <si>
    <t>PP4-3</t>
  </si>
  <si>
    <t>PP4-4</t>
  </si>
  <si>
    <t>ARCILLA CON PRESENCIA DE ARENA, DE COLOR GRIS, CONSISTENCIA BLANDA, EN CONDICIÓN HÚMEDA.</t>
  </si>
  <si>
    <t>ARCILLA ARENOSA, COLOR MARRÓN, CONSISTENCIA FIRME, EN CONDICIÓN HÚMEDA.</t>
  </si>
  <si>
    <t>FUERZA AXIAL (KN)</t>
  </si>
  <si>
    <t>CAMBIAR EL MODULO A DONDE INICIA A CAER LA GRAFICA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</si>
</sst>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quot; m&quot;"/>
    <numFmt numFmtId="165" formatCode="0.0"/>
    <numFmt numFmtId="166" formatCode="0.000"/>
    <numFmt numFmtId="167" formatCode="0.0000"/>
    <numFmt numFmtId="168" formatCode="0.00_ ;\-0.00\ "/>
    <numFmt numFmtId="169" formatCode="0.00&quot; mm/min&quot;"/>
    <numFmt numFmtId="170" formatCode="[$-240A]d&quot; de &quot;mmmm&quot; de &quot;yyyy;@"/>
    <numFmt numFmtId="171" formatCode="[$-200A]d&quot; de &quot;mmmm&quot; de &quot;yyyy;@"/>
  </numFmts>
  <fonts count="41" x14ac:knownFonts="1">
    <font>
      <sz val="11"/>
      <color theme="1"/>
      <name val="Calibri"/>
      <family val="2"/>
      <scheme val="minor"/>
    </font>
    <font>
      <sz val="10"/>
      <name val="Arial"/>
      <family val="2"/>
    </font>
    <font>
      <sz val="9"/>
      <name val="Arial"/>
      <family val="2"/>
    </font>
    <font>
      <sz val="9"/>
      <color theme="1"/>
      <name val="Calibri"/>
      <family val="2"/>
      <scheme val="minor"/>
    </font>
    <font>
      <b/>
      <sz val="9"/>
      <color theme="4" tint="-0.499984740745262"/>
      <name val="Arial"/>
      <family val="2"/>
    </font>
    <font>
      <b/>
      <sz val="9"/>
      <name val="Arial"/>
      <family val="2"/>
    </font>
    <font>
      <sz val="12"/>
      <color theme="1"/>
      <name val="Arial"/>
      <family val="2"/>
    </font>
    <font>
      <sz val="12"/>
      <name val="Arial"/>
      <family val="2"/>
    </font>
    <font>
      <sz val="11"/>
      <name val="Arial"/>
      <family val="2"/>
    </font>
    <font>
      <sz val="11"/>
      <color theme="1"/>
      <name val="Calibri"/>
      <family val="2"/>
      <scheme val="minor"/>
    </font>
    <font>
      <sz val="11"/>
      <color theme="1"/>
      <name val="Arial"/>
      <family val="2"/>
    </font>
    <font>
      <b/>
      <sz val="11"/>
      <name val="Arial"/>
      <family val="2"/>
    </font>
    <font>
      <sz val="11"/>
      <color rgb="FFFF0000"/>
      <name val="Calibri"/>
      <family val="2"/>
      <scheme val="minor"/>
    </font>
    <font>
      <sz val="9"/>
      <color rgb="FFFF0000"/>
      <name val="Calibri"/>
      <family val="2"/>
      <scheme val="minor"/>
    </font>
    <font>
      <sz val="9"/>
      <name val="Calibri"/>
      <family val="2"/>
      <scheme val="minor"/>
    </font>
    <font>
      <sz val="8"/>
      <color rgb="FF000000"/>
      <name val="Segoe UI"/>
      <family val="2"/>
    </font>
    <font>
      <sz val="10"/>
      <color indexed="8"/>
      <name val="Arial"/>
      <family val="2"/>
    </font>
    <font>
      <b/>
      <sz val="12"/>
      <name val="Arial"/>
      <family val="2"/>
    </font>
    <font>
      <b/>
      <sz val="11"/>
      <color theme="1"/>
      <name val="Arial"/>
      <family val="2"/>
    </font>
    <font>
      <b/>
      <sz val="12"/>
      <color theme="1"/>
      <name val="Arial"/>
      <family val="2"/>
    </font>
    <font>
      <sz val="9"/>
      <color indexed="81"/>
      <name val="Tahoma"/>
      <family val="2"/>
    </font>
    <font>
      <b/>
      <sz val="9"/>
      <color indexed="81"/>
      <name val="Tahoma"/>
      <family val="2"/>
    </font>
    <font>
      <sz val="20"/>
      <color theme="1"/>
      <name val="Calibri"/>
      <family val="2"/>
      <scheme val="minor"/>
    </font>
    <font>
      <b/>
      <sz val="14"/>
      <color theme="1"/>
      <name val="Arial"/>
      <family val="2"/>
    </font>
    <font>
      <b/>
      <vertAlign val="subscript"/>
      <sz val="14"/>
      <color theme="1"/>
      <name val="Arial"/>
      <family val="2"/>
    </font>
    <font>
      <b/>
      <sz val="14"/>
      <name val="Arial"/>
      <family val="2"/>
    </font>
    <font>
      <b/>
      <vertAlign val="subscript"/>
      <sz val="14"/>
      <name val="Arial"/>
      <family val="2"/>
    </font>
    <font>
      <sz val="14"/>
      <color theme="1"/>
      <name val="Arial"/>
      <family val="2"/>
    </font>
    <font>
      <sz val="14"/>
      <color theme="1"/>
      <name val="Calibri"/>
      <family val="2"/>
      <scheme val="minor"/>
    </font>
    <font>
      <b/>
      <sz val="16"/>
      <color theme="1"/>
      <name val="Arial"/>
      <family val="2"/>
    </font>
    <font>
      <b/>
      <sz val="14"/>
      <color rgb="FF002060"/>
      <name val="Arial"/>
      <family val="2"/>
    </font>
    <font>
      <sz val="14"/>
      <name val="Arial"/>
      <family val="2"/>
    </font>
    <font>
      <sz val="14"/>
      <color theme="0"/>
      <name val="Arial"/>
      <family val="2"/>
    </font>
    <font>
      <b/>
      <vertAlign val="subscript"/>
      <sz val="14"/>
      <color rgb="FF002060"/>
      <name val="Arial"/>
      <family val="2"/>
    </font>
    <font>
      <b/>
      <sz val="14"/>
      <color rgb="FF002060"/>
      <name val="Century Gothic"/>
      <family val="2"/>
    </font>
    <font>
      <i/>
      <sz val="9"/>
      <name val="Arial"/>
      <family val="2"/>
    </font>
    <font>
      <b/>
      <vertAlign val="subscript"/>
      <sz val="9"/>
      <name val="Arial"/>
      <family val="2"/>
    </font>
    <font>
      <b/>
      <sz val="9"/>
      <color theme="1"/>
      <name val="Arial"/>
      <family val="2"/>
    </font>
    <font>
      <b/>
      <sz val="18"/>
      <name val="Arial"/>
      <family val="2"/>
    </font>
    <font>
      <sz val="12"/>
      <color rgb="FFFF0000"/>
      <name val="Calibri"/>
      <family val="2"/>
      <scheme val="minor"/>
    </font>
    <font>
      <u/>
      <sz val="11"/>
      <color theme="10"/>
      <name val="Calibri"/>
      <family val="2"/>
      <scheme val="minor"/>
    </font>
  </fonts>
  <fills count="7">
    <fill>
      <patternFill patternType="none"/>
    </fill>
    <fill>
      <patternFill patternType="gray125"/>
    </fill>
    <fill>
      <patternFill patternType="solid">
        <fgColor indexed="9"/>
        <bgColor indexed="64"/>
      </patternFill>
    </fill>
    <fill>
      <patternFill patternType="solid">
        <fgColor theme="0" tint="-0.14999847407452621"/>
        <bgColor indexed="64"/>
      </patternFill>
    </fill>
    <fill>
      <patternFill patternType="solid">
        <fgColor theme="0"/>
        <bgColor indexed="64"/>
      </patternFill>
    </fill>
    <fill>
      <patternFill patternType="solid">
        <fgColor indexed="65"/>
        <bgColor indexed="64"/>
      </patternFill>
    </fill>
    <fill>
      <patternFill patternType="solid">
        <fgColor rgb="FF002060"/>
        <bgColor indexed="64"/>
      </patternFill>
    </fill>
  </fills>
  <borders count="59">
    <border>
      <left/>
      <right/>
      <top/>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right/>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right style="medium">
        <color theme="0" tint="-0.499984740745262"/>
      </right>
      <top/>
      <bottom style="thin">
        <color indexed="64"/>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style="thin">
        <color theme="0" tint="-0.499984740745262"/>
      </top>
      <bottom style="medium">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top style="medium">
        <color theme="0" tint="-0.499984740745262"/>
      </top>
      <bottom style="thin">
        <color theme="0" tint="-0.499984740745262"/>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top style="thin">
        <color theme="0" tint="-0.499984740745262"/>
      </top>
      <bottom style="medium">
        <color theme="0" tint="-0.499984740745262"/>
      </bottom>
      <diagonal/>
    </border>
    <border>
      <left/>
      <right/>
      <top style="medium">
        <color theme="0" tint="-0.499984740745262"/>
      </top>
      <bottom style="thin">
        <color theme="0" tint="-0.499984740745262"/>
      </bottom>
      <diagonal/>
    </border>
    <border>
      <left/>
      <right/>
      <top style="thin">
        <color theme="0" tint="-0.499984740745262"/>
      </top>
      <bottom style="thin">
        <color theme="0" tint="-0.499984740745262"/>
      </bottom>
      <diagonal/>
    </border>
    <border>
      <left/>
      <right/>
      <top/>
      <bottom style="thin">
        <color theme="0" tint="-0.499984740745262"/>
      </bottom>
      <diagonal/>
    </border>
    <border>
      <left/>
      <right style="medium">
        <color theme="0" tint="-0.499984740745262"/>
      </right>
      <top/>
      <bottom style="thin">
        <color theme="0" tint="-0.499984740745262"/>
      </bottom>
      <diagonal/>
    </border>
    <border>
      <left style="medium">
        <color theme="0" tint="-0.499984740745262"/>
      </left>
      <right/>
      <top style="medium">
        <color theme="0" tint="-0.499984740745262"/>
      </top>
      <bottom style="thin">
        <color theme="0" tint="-0.499984740745262"/>
      </bottom>
      <diagonal/>
    </border>
    <border>
      <left style="medium">
        <color theme="0" tint="-0.499984740745262"/>
      </left>
      <right/>
      <top style="thin">
        <color theme="0" tint="-0.499984740745262"/>
      </top>
      <bottom style="medium">
        <color theme="0" tint="-0.499984740745262"/>
      </bottom>
      <diagonal/>
    </border>
    <border>
      <left style="medium">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right style="thin">
        <color indexed="64"/>
      </right>
      <top/>
      <bottom style="thin">
        <color indexed="64"/>
      </bottom>
      <diagonal/>
    </border>
    <border>
      <left style="medium">
        <color theme="0" tint="-0.499984740745262"/>
      </left>
      <right/>
      <top style="thin">
        <color theme="0" tint="-0.499984740745262"/>
      </top>
      <bottom style="thin">
        <color theme="0" tint="-0.499984740745262"/>
      </bottom>
      <diagonal/>
    </border>
    <border>
      <left/>
      <right/>
      <top style="thin">
        <color theme="0" tint="-0.499984740745262"/>
      </top>
      <bottom style="medium">
        <color theme="0" tint="-0.499984740745262"/>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theme="0" tint="-0.499984740745262"/>
      </right>
      <top style="medium">
        <color theme="0" tint="-0.499984740745262"/>
      </top>
      <bottom style="thin">
        <color theme="0" tint="-0.499984740745262"/>
      </bottom>
      <diagonal/>
    </border>
    <border>
      <left/>
      <right style="medium">
        <color theme="0" tint="-0.499984740745262"/>
      </right>
      <top style="thin">
        <color theme="0" tint="-0.499984740745262"/>
      </top>
      <bottom style="thin">
        <color theme="0" tint="-0.499984740745262"/>
      </bottom>
      <diagonal/>
    </border>
    <border>
      <left/>
      <right style="medium">
        <color theme="0" tint="-0.499984740745262"/>
      </right>
      <top style="thin">
        <color theme="0" tint="-0.499984740745262"/>
      </top>
      <bottom style="medium">
        <color theme="0" tint="-0.499984740745262"/>
      </bottom>
      <diagonal/>
    </border>
    <border>
      <left style="medium">
        <color theme="0" tint="-0.499984740745262"/>
      </left>
      <right/>
      <top style="thin">
        <color theme="0" tint="-0.499984740745262"/>
      </top>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medium">
        <color theme="0" tint="-0.499984740745262"/>
      </right>
      <top style="medium">
        <color theme="0" tint="-0.499984740745262"/>
      </top>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s>
  <cellStyleXfs count="6">
    <xf numFmtId="0" fontId="0" fillId="0" borderId="0"/>
    <xf numFmtId="0" fontId="1" fillId="0" borderId="0"/>
    <xf numFmtId="0" fontId="1" fillId="0" borderId="0"/>
    <xf numFmtId="0" fontId="6" fillId="0" borderId="0"/>
    <xf numFmtId="0" fontId="9" fillId="0" borderId="0"/>
    <xf numFmtId="0" fontId="40" fillId="0" borderId="0" applyNumberFormat="0" applyFill="0" applyBorder="0" applyAlignment="0" applyProtection="0"/>
  </cellStyleXfs>
  <cellXfs count="247">
    <xf numFmtId="0" fontId="0" fillId="0" borderId="0" xfId="0"/>
    <xf numFmtId="0" fontId="3" fillId="0" borderId="0" xfId="0" applyFont="1"/>
    <xf numFmtId="0" fontId="3" fillId="0" borderId="0" xfId="0" applyFont="1" applyAlignment="1">
      <alignment horizontal="center"/>
    </xf>
    <xf numFmtId="0" fontId="7" fillId="4" borderId="31" xfId="2" applyFont="1" applyFill="1" applyBorder="1" applyAlignment="1" applyProtection="1">
      <alignment horizontal="left" vertical="center" wrapText="1"/>
      <protection locked="0"/>
    </xf>
    <xf numFmtId="0" fontId="17" fillId="4" borderId="2" xfId="2" applyFont="1" applyFill="1" applyBorder="1" applyAlignment="1" applyProtection="1">
      <alignment horizontal="center" vertical="center" wrapText="1"/>
      <protection hidden="1"/>
    </xf>
    <xf numFmtId="0" fontId="3" fillId="0" borderId="40" xfId="0" applyFont="1" applyBorder="1" applyAlignment="1">
      <alignment horizontal="center" vertical="center"/>
    </xf>
    <xf numFmtId="0" fontId="3" fillId="0" borderId="28" xfId="0" applyFont="1" applyBorder="1" applyAlignment="1">
      <alignment horizontal="center" vertical="center"/>
    </xf>
    <xf numFmtId="0" fontId="7" fillId="4" borderId="2" xfId="2" applyFont="1" applyFill="1" applyBorder="1" applyAlignment="1" applyProtection="1">
      <alignment horizontal="center" vertical="center" wrapText="1"/>
      <protection hidden="1"/>
    </xf>
    <xf numFmtId="0" fontId="2" fillId="2" borderId="2" xfId="1" applyFont="1" applyFill="1" applyBorder="1" applyAlignment="1" applyProtection="1">
      <alignment vertical="center"/>
      <protection hidden="1"/>
    </xf>
    <xf numFmtId="0" fontId="2" fillId="2" borderId="9" xfId="1" applyFont="1" applyFill="1" applyBorder="1" applyAlignment="1" applyProtection="1">
      <alignment vertical="center"/>
      <protection hidden="1"/>
    </xf>
    <xf numFmtId="0" fontId="3" fillId="0" borderId="43" xfId="0" applyFont="1" applyBorder="1"/>
    <xf numFmtId="0" fontId="3" fillId="0" borderId="0" xfId="0" applyFont="1" applyProtection="1">
      <protection locked="0"/>
    </xf>
    <xf numFmtId="0" fontId="3" fillId="0" borderId="0" xfId="0" applyFont="1" applyAlignment="1" applyProtection="1">
      <alignment horizontal="center"/>
      <protection locked="0"/>
    </xf>
    <xf numFmtId="0" fontId="3" fillId="0" borderId="21" xfId="0" applyFont="1" applyBorder="1" applyAlignment="1" applyProtection="1">
      <alignment horizontal="center"/>
      <protection locked="0"/>
    </xf>
    <xf numFmtId="0" fontId="16" fillId="0" borderId="21" xfId="0" applyFont="1" applyBorder="1" applyAlignment="1" applyProtection="1">
      <alignment horizontal="center"/>
      <protection locked="0"/>
    </xf>
    <xf numFmtId="0" fontId="3" fillId="0" borderId="7" xfId="0" applyFont="1" applyBorder="1" applyAlignment="1" applyProtection="1">
      <alignment horizontal="center"/>
      <protection locked="0"/>
    </xf>
    <xf numFmtId="0" fontId="14" fillId="6" borderId="21" xfId="0" applyFont="1" applyFill="1" applyBorder="1" applyAlignment="1" applyProtection="1">
      <alignment horizontal="center"/>
      <protection locked="0"/>
    </xf>
    <xf numFmtId="0" fontId="16" fillId="0" borderId="21" xfId="0" applyFont="1" applyBorder="1" applyAlignment="1" applyProtection="1">
      <alignment horizontal="center" vertical="center"/>
      <protection locked="0"/>
    </xf>
    <xf numFmtId="0" fontId="14" fillId="0" borderId="21" xfId="0" applyFont="1" applyBorder="1" applyAlignment="1" applyProtection="1">
      <alignment horizontal="center"/>
      <protection locked="0"/>
    </xf>
    <xf numFmtId="0" fontId="3" fillId="0" borderId="22" xfId="0" applyFont="1" applyBorder="1" applyAlignment="1" applyProtection="1">
      <alignment horizontal="center"/>
      <protection locked="0"/>
    </xf>
    <xf numFmtId="0" fontId="3" fillId="0" borderId="22" xfId="0" applyFont="1" applyBorder="1" applyProtection="1">
      <protection locked="0"/>
    </xf>
    <xf numFmtId="0" fontId="3" fillId="0" borderId="20" xfId="0" applyFont="1" applyBorder="1" applyAlignment="1" applyProtection="1">
      <alignment horizontal="center"/>
      <protection locked="0"/>
    </xf>
    <xf numFmtId="0" fontId="3" fillId="0" borderId="20" xfId="0" applyFont="1" applyBorder="1" applyProtection="1">
      <protection locked="0"/>
    </xf>
    <xf numFmtId="0" fontId="3" fillId="0" borderId="0" xfId="0" applyFont="1" applyAlignment="1" applyProtection="1">
      <alignment horizontal="center" vertical="center"/>
      <protection locked="0"/>
    </xf>
    <xf numFmtId="166" fontId="3" fillId="0" borderId="0" xfId="0" applyNumberFormat="1" applyFont="1" applyAlignment="1" applyProtection="1">
      <alignment horizontal="center"/>
      <protection locked="0"/>
    </xf>
    <xf numFmtId="0" fontId="2" fillId="2" borderId="0" xfId="1" applyFont="1" applyFill="1" applyAlignment="1" applyProtection="1">
      <alignment vertical="center"/>
      <protection hidden="1"/>
    </xf>
    <xf numFmtId="0" fontId="17" fillId="4" borderId="0" xfId="2" applyFont="1" applyFill="1" applyAlignment="1" applyProtection="1">
      <alignment horizontal="left" vertical="center" wrapText="1"/>
      <protection hidden="1"/>
    </xf>
    <xf numFmtId="0" fontId="27" fillId="0" borderId="0" xfId="4" applyFont="1" applyAlignment="1" applyProtection="1">
      <alignment vertical="center"/>
      <protection hidden="1"/>
    </xf>
    <xf numFmtId="0" fontId="27" fillId="0" borderId="5" xfId="4" applyFont="1" applyBorder="1" applyAlignment="1" applyProtection="1">
      <alignment vertical="center"/>
      <protection hidden="1"/>
    </xf>
    <xf numFmtId="0" fontId="27" fillId="0" borderId="6" xfId="4" applyFont="1" applyBorder="1" applyAlignment="1" applyProtection="1">
      <alignment vertical="center"/>
      <protection hidden="1"/>
    </xf>
    <xf numFmtId="0" fontId="27" fillId="0" borderId="11" xfId="4" applyFont="1" applyBorder="1" applyAlignment="1" applyProtection="1">
      <alignment vertical="center"/>
      <protection hidden="1"/>
    </xf>
    <xf numFmtId="0" fontId="11" fillId="4" borderId="12" xfId="1" applyFont="1" applyFill="1" applyBorder="1" applyAlignment="1" applyProtection="1">
      <alignment horizontal="center" vertical="center"/>
      <protection hidden="1"/>
    </xf>
    <xf numFmtId="0" fontId="11" fillId="4" borderId="15" xfId="1" applyFont="1" applyFill="1" applyBorder="1" applyAlignment="1" applyProtection="1">
      <alignment horizontal="center" vertical="center"/>
      <protection hidden="1"/>
    </xf>
    <xf numFmtId="0" fontId="11" fillId="4" borderId="17" xfId="1" applyFont="1" applyFill="1" applyBorder="1" applyAlignment="1" applyProtection="1">
      <alignment horizontal="center" vertical="center"/>
      <protection hidden="1"/>
    </xf>
    <xf numFmtId="2" fontId="31" fillId="0" borderId="14" xfId="1" applyNumberFormat="1" applyFont="1" applyBorder="1" applyAlignment="1" applyProtection="1">
      <alignment horizontal="center" vertical="center"/>
      <protection locked="0"/>
    </xf>
    <xf numFmtId="0" fontId="25" fillId="4" borderId="15" xfId="1" applyFont="1" applyFill="1" applyBorder="1" applyAlignment="1" applyProtection="1">
      <alignment horizontal="center" vertical="center"/>
      <protection hidden="1"/>
    </xf>
    <xf numFmtId="2" fontId="31" fillId="0" borderId="16" xfId="1" applyNumberFormat="1" applyFont="1" applyBorder="1" applyAlignment="1" applyProtection="1">
      <alignment horizontal="center" vertical="center"/>
      <protection locked="0"/>
    </xf>
    <xf numFmtId="2" fontId="31" fillId="4" borderId="16" xfId="1" applyNumberFormat="1" applyFont="1" applyFill="1" applyBorder="1" applyAlignment="1" applyProtection="1">
      <alignment horizontal="center" vertical="center"/>
      <protection hidden="1"/>
    </xf>
    <xf numFmtId="165" fontId="31" fillId="0" borderId="15" xfId="1" applyNumberFormat="1" applyFont="1" applyBorder="1" applyAlignment="1" applyProtection="1">
      <alignment horizontal="center" vertical="center"/>
      <protection hidden="1"/>
    </xf>
    <xf numFmtId="2" fontId="31" fillId="0" borderId="7" xfId="1" applyNumberFormat="1" applyFont="1" applyBorder="1" applyAlignment="1" applyProtection="1">
      <alignment horizontal="center" vertical="center"/>
      <protection locked="0"/>
    </xf>
    <xf numFmtId="165" fontId="31" fillId="0" borderId="7" xfId="1" applyNumberFormat="1" applyFont="1" applyBorder="1" applyAlignment="1" applyProtection="1">
      <alignment horizontal="center" vertical="center"/>
      <protection hidden="1"/>
    </xf>
    <xf numFmtId="2" fontId="31" fillId="0" borderId="7" xfId="1" applyNumberFormat="1" applyFont="1" applyBorder="1" applyAlignment="1" applyProtection="1">
      <alignment horizontal="center" vertical="center"/>
      <protection hidden="1"/>
    </xf>
    <xf numFmtId="167" fontId="31" fillId="0" borderId="7" xfId="1" applyNumberFormat="1" applyFont="1" applyBorder="1" applyAlignment="1" applyProtection="1">
      <alignment horizontal="center" vertical="center"/>
      <protection hidden="1"/>
    </xf>
    <xf numFmtId="168" fontId="31" fillId="2" borderId="7" xfId="1" applyNumberFormat="1" applyFont="1" applyFill="1" applyBorder="1" applyAlignment="1" applyProtection="1">
      <alignment horizontal="center" vertical="center"/>
      <protection hidden="1"/>
    </xf>
    <xf numFmtId="165" fontId="31" fillId="0" borderId="17" xfId="1" applyNumberFormat="1" applyFont="1" applyBorder="1" applyAlignment="1" applyProtection="1">
      <alignment horizontal="center" vertical="center"/>
      <protection hidden="1"/>
    </xf>
    <xf numFmtId="165" fontId="31" fillId="0" borderId="18" xfId="1" applyNumberFormat="1" applyFont="1" applyBorder="1" applyAlignment="1" applyProtection="1">
      <alignment horizontal="center" vertical="center"/>
      <protection hidden="1"/>
    </xf>
    <xf numFmtId="2" fontId="31" fillId="0" borderId="18" xfId="1" applyNumberFormat="1" applyFont="1" applyBorder="1" applyAlignment="1" applyProtection="1">
      <alignment horizontal="center" vertical="center"/>
      <protection locked="0"/>
    </xf>
    <xf numFmtId="2" fontId="31" fillId="0" borderId="18" xfId="1" applyNumberFormat="1" applyFont="1" applyBorder="1" applyAlignment="1" applyProtection="1">
      <alignment horizontal="center" vertical="center"/>
      <protection hidden="1"/>
    </xf>
    <xf numFmtId="167" fontId="31" fillId="0" borderId="18" xfId="1" applyNumberFormat="1" applyFont="1" applyBorder="1" applyAlignment="1" applyProtection="1">
      <alignment horizontal="center" vertical="center"/>
      <protection hidden="1"/>
    </xf>
    <xf numFmtId="168" fontId="31" fillId="2" borderId="18" xfId="1" applyNumberFormat="1" applyFont="1" applyFill="1" applyBorder="1" applyAlignment="1" applyProtection="1">
      <alignment horizontal="center" vertical="center"/>
      <protection hidden="1"/>
    </xf>
    <xf numFmtId="0" fontId="5" fillId="4" borderId="12" xfId="0" applyFont="1" applyFill="1" applyBorder="1" applyAlignment="1" applyProtection="1">
      <alignment horizontal="center" vertical="center"/>
      <protection hidden="1"/>
    </xf>
    <xf numFmtId="0" fontId="5" fillId="4" borderId="15" xfId="0" applyFont="1" applyFill="1" applyBorder="1" applyAlignment="1" applyProtection="1">
      <alignment horizontal="center" vertical="center"/>
      <protection hidden="1"/>
    </xf>
    <xf numFmtId="0" fontId="5" fillId="4" borderId="15" xfId="1" applyFont="1" applyFill="1" applyBorder="1" applyAlignment="1" applyProtection="1">
      <alignment horizontal="center" vertical="center" wrapText="1"/>
      <protection hidden="1"/>
    </xf>
    <xf numFmtId="0" fontId="37" fillId="0" borderId="17" xfId="0" applyFont="1" applyBorder="1" applyAlignment="1" applyProtection="1">
      <alignment horizontal="center" vertical="center" wrapText="1"/>
      <protection hidden="1"/>
    </xf>
    <xf numFmtId="0" fontId="38" fillId="4" borderId="9" xfId="1" applyFont="1" applyFill="1" applyBorder="1" applyAlignment="1" applyProtection="1">
      <alignment vertical="center" wrapText="1"/>
      <protection hidden="1"/>
    </xf>
    <xf numFmtId="0" fontId="38" fillId="4" borderId="0" xfId="1" applyFont="1" applyFill="1" applyAlignment="1" applyProtection="1">
      <alignment vertical="center" wrapText="1"/>
      <protection hidden="1"/>
    </xf>
    <xf numFmtId="0" fontId="2" fillId="2" borderId="1" xfId="1" applyFont="1" applyFill="1" applyBorder="1" applyAlignment="1" applyProtection="1">
      <alignment vertical="center"/>
      <protection hidden="1"/>
    </xf>
    <xf numFmtId="0" fontId="3" fillId="0" borderId="2" xfId="0" applyFont="1" applyBorder="1" applyProtection="1">
      <protection hidden="1"/>
    </xf>
    <xf numFmtId="0" fontId="2" fillId="2" borderId="4" xfId="1" applyFont="1" applyFill="1" applyBorder="1" applyAlignment="1" applyProtection="1">
      <alignment vertical="center"/>
      <protection hidden="1"/>
    </xf>
    <xf numFmtId="0" fontId="3" fillId="0" borderId="0" xfId="0" applyFont="1" applyProtection="1">
      <protection hidden="1"/>
    </xf>
    <xf numFmtId="0" fontId="2" fillId="2" borderId="8" xfId="1" applyFont="1" applyFill="1" applyBorder="1" applyAlignment="1" applyProtection="1">
      <alignment vertical="center"/>
      <protection hidden="1"/>
    </xf>
    <xf numFmtId="0" fontId="4" fillId="0" borderId="0" xfId="1" applyFont="1" applyAlignment="1" applyProtection="1">
      <alignment vertical="center"/>
      <protection hidden="1"/>
    </xf>
    <xf numFmtId="0" fontId="3" fillId="0" borderId="5" xfId="0" applyFont="1" applyBorder="1" applyProtection="1">
      <protection hidden="1"/>
    </xf>
    <xf numFmtId="0" fontId="7" fillId="4" borderId="0" xfId="2" applyFont="1" applyFill="1" applyAlignment="1" applyProtection="1">
      <alignment horizontal="left" vertical="center" wrapText="1"/>
      <protection hidden="1"/>
    </xf>
    <xf numFmtId="0" fontId="6" fillId="0" borderId="5" xfId="0" applyFont="1" applyBorder="1" applyAlignment="1" applyProtection="1">
      <alignment vertical="center"/>
      <protection hidden="1"/>
    </xf>
    <xf numFmtId="0" fontId="6" fillId="0" borderId="2" xfId="0" applyFont="1" applyBorder="1" applyAlignment="1" applyProtection="1">
      <alignment vertical="center"/>
      <protection hidden="1"/>
    </xf>
    <xf numFmtId="0" fontId="6" fillId="0" borderId="3" xfId="0" applyFont="1" applyBorder="1" applyAlignment="1" applyProtection="1">
      <alignment vertical="center"/>
      <protection hidden="1"/>
    </xf>
    <xf numFmtId="0" fontId="11" fillId="2" borderId="8" xfId="1" applyFont="1" applyFill="1" applyBorder="1" applyAlignment="1" applyProtection="1">
      <alignment horizontal="left" vertical="center"/>
      <protection hidden="1"/>
    </xf>
    <xf numFmtId="0" fontId="11" fillId="4" borderId="9" xfId="1" applyFont="1" applyFill="1" applyBorder="1" applyAlignment="1" applyProtection="1">
      <alignment horizontal="left" vertical="center"/>
      <protection hidden="1"/>
    </xf>
    <xf numFmtId="0" fontId="11" fillId="2" borderId="9" xfId="1" applyFont="1" applyFill="1" applyBorder="1" applyAlignment="1" applyProtection="1">
      <alignment horizontal="center" vertical="center"/>
      <protection hidden="1"/>
    </xf>
    <xf numFmtId="14" fontId="8" fillId="2" borderId="9" xfId="1" applyNumberFormat="1" applyFont="1" applyFill="1" applyBorder="1" applyAlignment="1" applyProtection="1">
      <alignment horizontal="center" vertical="center"/>
      <protection hidden="1"/>
    </xf>
    <xf numFmtId="0" fontId="9" fillId="0" borderId="10" xfId="0" applyFont="1" applyBorder="1" applyProtection="1">
      <protection hidden="1"/>
    </xf>
    <xf numFmtId="0" fontId="11" fillId="2" borderId="4" xfId="1" applyFont="1" applyFill="1" applyBorder="1" applyAlignment="1" applyProtection="1">
      <alignment horizontal="left" vertical="center"/>
      <protection hidden="1"/>
    </xf>
    <xf numFmtId="0" fontId="11" fillId="4" borderId="0" xfId="1" applyFont="1" applyFill="1" applyAlignment="1" applyProtection="1">
      <alignment horizontal="left" vertical="center"/>
      <protection hidden="1"/>
    </xf>
    <xf numFmtId="0" fontId="8" fillId="4" borderId="0" xfId="2" applyFont="1" applyFill="1" applyAlignment="1" applyProtection="1">
      <alignment horizontal="center" vertical="center" wrapText="1"/>
      <protection hidden="1"/>
    </xf>
    <xf numFmtId="0" fontId="11" fillId="4" borderId="0" xfId="2" applyFont="1" applyFill="1" applyAlignment="1" applyProtection="1">
      <alignment horizontal="center" vertical="center" wrapText="1"/>
      <protection hidden="1"/>
    </xf>
    <xf numFmtId="164" fontId="8" fillId="4" borderId="0" xfId="2" applyNumberFormat="1" applyFont="1" applyFill="1" applyAlignment="1" applyProtection="1">
      <alignment horizontal="right" vertical="center" wrapText="1"/>
      <protection hidden="1"/>
    </xf>
    <xf numFmtId="164" fontId="8" fillId="4" borderId="0" xfId="2" applyNumberFormat="1" applyFont="1" applyFill="1" applyAlignment="1" applyProtection="1">
      <alignment horizontal="left" vertical="center" wrapText="1"/>
      <protection hidden="1"/>
    </xf>
    <xf numFmtId="0" fontId="9" fillId="0" borderId="5" xfId="0" applyFont="1" applyBorder="1" applyProtection="1">
      <protection hidden="1"/>
    </xf>
    <xf numFmtId="0" fontId="5" fillId="2" borderId="4" xfId="1" applyFont="1" applyFill="1" applyBorder="1" applyAlignment="1" applyProtection="1">
      <alignment horizontal="left" vertical="center" wrapText="1"/>
      <protection hidden="1"/>
    </xf>
    <xf numFmtId="0" fontId="5" fillId="2" borderId="0" xfId="1" applyFont="1" applyFill="1" applyAlignment="1" applyProtection="1">
      <alignment horizontal="left" vertical="center" wrapText="1"/>
      <protection hidden="1"/>
    </xf>
    <xf numFmtId="0" fontId="2" fillId="4" borderId="0" xfId="2" applyFont="1" applyFill="1" applyAlignment="1" applyProtection="1">
      <alignment horizontal="left" vertical="center" wrapText="1"/>
      <protection hidden="1"/>
    </xf>
    <xf numFmtId="0" fontId="28" fillId="0" borderId="0" xfId="0" applyFont="1" applyProtection="1">
      <protection hidden="1"/>
    </xf>
    <xf numFmtId="0" fontId="28" fillId="0" borderId="5" xfId="0" applyFont="1" applyBorder="1" applyProtection="1">
      <protection hidden="1"/>
    </xf>
    <xf numFmtId="0" fontId="28" fillId="0" borderId="0" xfId="0" applyFont="1" applyAlignment="1" applyProtection="1">
      <alignment horizontal="center"/>
      <protection hidden="1"/>
    </xf>
    <xf numFmtId="0" fontId="28" fillId="0" borderId="5" xfId="0" applyFont="1" applyBorder="1" applyAlignment="1" applyProtection="1">
      <alignment horizontal="center"/>
      <protection hidden="1"/>
    </xf>
    <xf numFmtId="0" fontId="25" fillId="4" borderId="0" xfId="1" applyFont="1" applyFill="1" applyAlignment="1" applyProtection="1">
      <alignment vertical="center"/>
      <protection hidden="1"/>
    </xf>
    <xf numFmtId="0" fontId="31" fillId="2" borderId="0" xfId="1" applyFont="1" applyFill="1" applyAlignment="1" applyProtection="1">
      <alignment vertical="center"/>
      <protection hidden="1"/>
    </xf>
    <xf numFmtId="0" fontId="25" fillId="0" borderId="0" xfId="1" applyFont="1" applyAlignment="1" applyProtection="1">
      <alignment horizontal="center" vertical="center" wrapText="1"/>
      <protection hidden="1"/>
    </xf>
    <xf numFmtId="0" fontId="2" fillId="2" borderId="4" xfId="1" applyFont="1" applyFill="1" applyBorder="1" applyAlignment="1" applyProtection="1">
      <alignment horizontal="center" vertical="center"/>
      <protection hidden="1"/>
    </xf>
    <xf numFmtId="2" fontId="28" fillId="0" borderId="0" xfId="0" applyNumberFormat="1" applyFont="1" applyAlignment="1" applyProtection="1">
      <alignment horizontal="center"/>
      <protection hidden="1"/>
    </xf>
    <xf numFmtId="0" fontId="2" fillId="2" borderId="0" xfId="1" applyFont="1" applyFill="1" applyAlignment="1" applyProtection="1">
      <alignment horizontal="center" vertical="center"/>
      <protection hidden="1"/>
    </xf>
    <xf numFmtId="0" fontId="23" fillId="0" borderId="6" xfId="4" applyFont="1" applyBorder="1" applyAlignment="1" applyProtection="1">
      <alignment vertical="center"/>
      <protection hidden="1"/>
    </xf>
    <xf numFmtId="0" fontId="5" fillId="0" borderId="0" xfId="3" applyFont="1" applyAlignment="1" applyProtection="1">
      <alignment horizontal="center" vertical="center" wrapText="1"/>
      <protection hidden="1"/>
    </xf>
    <xf numFmtId="0" fontId="31" fillId="4" borderId="17" xfId="1" applyFont="1" applyFill="1" applyBorder="1" applyAlignment="1" applyProtection="1">
      <alignment horizontal="center" vertical="center"/>
      <protection locked="0"/>
    </xf>
    <xf numFmtId="2" fontId="32" fillId="2" borderId="19" xfId="1" applyNumberFormat="1" applyFont="1" applyFill="1" applyBorder="1" applyAlignment="1" applyProtection="1">
      <alignment horizontal="center" vertical="center"/>
      <protection locked="0"/>
    </xf>
    <xf numFmtId="0" fontId="3" fillId="0" borderId="0" xfId="0" applyFont="1" applyAlignment="1" applyProtection="1">
      <alignment horizontal="right"/>
      <protection locked="0"/>
    </xf>
    <xf numFmtId="2" fontId="3" fillId="0" borderId="0" xfId="0" applyNumberFormat="1" applyFont="1" applyProtection="1">
      <protection locked="0"/>
    </xf>
    <xf numFmtId="165" fontId="3" fillId="0" borderId="0" xfId="0" applyNumberFormat="1" applyFont="1" applyAlignment="1" applyProtection="1">
      <alignment horizontal="center"/>
      <protection locked="0"/>
    </xf>
    <xf numFmtId="2" fontId="14" fillId="0" borderId="0" xfId="0" applyNumberFormat="1" applyFont="1" applyProtection="1">
      <protection locked="0"/>
    </xf>
    <xf numFmtId="2" fontId="3" fillId="0" borderId="0" xfId="0" applyNumberFormat="1" applyFont="1" applyAlignment="1">
      <alignment horizontal="center"/>
    </xf>
    <xf numFmtId="2" fontId="3" fillId="0" borderId="0" xfId="0" applyNumberFormat="1" applyFont="1"/>
    <xf numFmtId="165" fontId="39" fillId="0" borderId="0" xfId="0" applyNumberFormat="1" applyFont="1" applyAlignment="1" applyProtection="1">
      <alignment horizontal="left"/>
      <protection locked="0"/>
    </xf>
    <xf numFmtId="0" fontId="30" fillId="3" borderId="50" xfId="1" applyFont="1" applyFill="1" applyBorder="1" applyAlignment="1" applyProtection="1">
      <alignment horizontal="center" vertical="center" wrapText="1"/>
      <protection hidden="1"/>
    </xf>
    <xf numFmtId="166" fontId="31" fillId="0" borderId="7" xfId="1" applyNumberFormat="1" applyFont="1" applyBorder="1" applyAlignment="1" applyProtection="1">
      <alignment horizontal="center" vertical="center"/>
      <protection locked="0"/>
    </xf>
    <xf numFmtId="166" fontId="31" fillId="0" borderId="18" xfId="1" applyNumberFormat="1" applyFont="1" applyBorder="1" applyAlignment="1" applyProtection="1">
      <alignment horizontal="center" vertical="center"/>
      <protection locked="0"/>
    </xf>
    <xf numFmtId="0" fontId="3" fillId="0" borderId="40" xfId="0" applyFont="1" applyBorder="1" applyProtection="1">
      <protection locked="0"/>
    </xf>
    <xf numFmtId="0" fontId="3" fillId="0" borderId="28" xfId="0" applyFont="1" applyBorder="1" applyProtection="1">
      <protection locked="0"/>
    </xf>
    <xf numFmtId="0" fontId="17" fillId="4" borderId="2" xfId="2" applyFont="1" applyFill="1" applyBorder="1" applyAlignment="1" applyProtection="1">
      <alignment vertical="center"/>
      <protection hidden="1"/>
    </xf>
    <xf numFmtId="2" fontId="27" fillId="0" borderId="16" xfId="0" applyNumberFormat="1" applyFont="1" applyBorder="1" applyAlignment="1" applyProtection="1">
      <alignment horizontal="center" vertical="center"/>
      <protection hidden="1"/>
    </xf>
    <xf numFmtId="2" fontId="27" fillId="0" borderId="19" xfId="0" applyNumberFormat="1" applyFont="1" applyBorder="1" applyAlignment="1" applyProtection="1">
      <alignment horizontal="center" vertical="center"/>
      <protection hidden="1"/>
    </xf>
    <xf numFmtId="0" fontId="7" fillId="4" borderId="32" xfId="2" applyFont="1" applyFill="1" applyBorder="1" applyAlignment="1" applyProtection="1">
      <alignment horizontal="right" vertical="center" wrapText="1"/>
      <protection hidden="1"/>
    </xf>
    <xf numFmtId="49" fontId="7" fillId="4" borderId="32" xfId="2" applyNumberFormat="1" applyFont="1" applyFill="1" applyBorder="1" applyAlignment="1" applyProtection="1">
      <alignment horizontal="right" vertical="center" wrapText="1"/>
      <protection hidden="1"/>
    </xf>
    <xf numFmtId="49" fontId="7" fillId="4" borderId="32" xfId="2" applyNumberFormat="1" applyFont="1" applyFill="1" applyBorder="1" applyAlignment="1" applyProtection="1">
      <alignment horizontal="center" vertical="center" wrapText="1"/>
      <protection hidden="1"/>
    </xf>
    <xf numFmtId="0" fontId="7" fillId="4" borderId="46" xfId="2" applyFont="1" applyFill="1" applyBorder="1" applyAlignment="1" applyProtection="1">
      <alignment horizontal="left" vertical="center" wrapText="1"/>
      <protection hidden="1"/>
    </xf>
    <xf numFmtId="166" fontId="3" fillId="0" borderId="51" xfId="0" applyNumberFormat="1" applyFont="1" applyBorder="1" applyAlignment="1" applyProtection="1">
      <alignment horizontal="center"/>
      <protection locked="0"/>
    </xf>
    <xf numFmtId="166" fontId="3" fillId="0" borderId="21" xfId="0" applyNumberFormat="1" applyFont="1" applyBorder="1" applyAlignment="1" applyProtection="1">
      <alignment horizontal="center"/>
      <protection locked="0"/>
    </xf>
    <xf numFmtId="164" fontId="6" fillId="4" borderId="31" xfId="4" applyNumberFormat="1" applyFont="1" applyFill="1" applyBorder="1" applyAlignment="1">
      <alignment horizontal="right" vertical="center"/>
    </xf>
    <xf numFmtId="164" fontId="6" fillId="4" borderId="31" xfId="4" applyNumberFormat="1" applyFont="1" applyFill="1" applyBorder="1" applyAlignment="1">
      <alignment horizontal="left" vertical="center"/>
    </xf>
    <xf numFmtId="0" fontId="17" fillId="4" borderId="0" xfId="1" applyFont="1" applyFill="1" applyAlignment="1" applyProtection="1">
      <alignment horizontal="left" vertical="center"/>
      <protection hidden="1"/>
    </xf>
    <xf numFmtId="0" fontId="13" fillId="0" borderId="0" xfId="0" applyFont="1" applyAlignment="1" applyProtection="1">
      <alignment horizontal="center"/>
      <protection locked="0"/>
    </xf>
    <xf numFmtId="0" fontId="7" fillId="4" borderId="31" xfId="2" applyFont="1" applyFill="1" applyBorder="1" applyAlignment="1" applyProtection="1">
      <alignment horizontal="center" vertical="center" wrapText="1"/>
      <protection locked="0"/>
    </xf>
    <xf numFmtId="0" fontId="27" fillId="0" borderId="0" xfId="0" applyFont="1" applyAlignment="1" applyProtection="1">
      <alignment horizontal="center" vertical="center"/>
      <protection hidden="1"/>
    </xf>
    <xf numFmtId="0" fontId="23" fillId="0" borderId="0" xfId="4" applyFont="1" applyAlignment="1" applyProtection="1">
      <alignment horizontal="center" vertical="center"/>
      <protection hidden="1"/>
    </xf>
    <xf numFmtId="0" fontId="18" fillId="0" borderId="0" xfId="4" applyFont="1" applyAlignment="1" applyProtection="1">
      <alignment horizontal="center" vertical="center"/>
      <protection hidden="1"/>
    </xf>
    <xf numFmtId="0" fontId="10" fillId="0" borderId="0" xfId="4" applyFont="1" applyAlignment="1" applyProtection="1">
      <alignment horizontal="center" vertical="center"/>
      <protection hidden="1"/>
    </xf>
    <xf numFmtId="0" fontId="28" fillId="0" borderId="0" xfId="0" applyFont="1" applyAlignment="1" applyProtection="1">
      <alignment horizontal="center" vertical="center"/>
      <protection hidden="1"/>
    </xf>
    <xf numFmtId="0" fontId="3" fillId="0" borderId="51" xfId="0" applyFont="1" applyBorder="1" applyProtection="1">
      <protection locked="0"/>
    </xf>
    <xf numFmtId="0" fontId="3" fillId="0" borderId="21" xfId="0" applyFont="1" applyBorder="1" applyProtection="1">
      <protection locked="0"/>
    </xf>
    <xf numFmtId="0" fontId="3" fillId="0" borderId="51" xfId="0" applyFont="1" applyBorder="1" applyAlignment="1" applyProtection="1">
      <alignment horizontal="center"/>
      <protection locked="0"/>
    </xf>
    <xf numFmtId="166" fontId="3" fillId="0" borderId="40" xfId="0" applyNumberFormat="1" applyFont="1" applyBorder="1" applyAlignment="1" applyProtection="1">
      <alignment horizontal="center"/>
      <protection locked="0"/>
    </xf>
    <xf numFmtId="166" fontId="3" fillId="0" borderId="28" xfId="0" applyNumberFormat="1" applyFont="1" applyBorder="1" applyAlignment="1" applyProtection="1">
      <alignment horizontal="center"/>
      <protection locked="0"/>
    </xf>
    <xf numFmtId="0" fontId="3" fillId="0" borderId="58" xfId="0" applyFont="1" applyBorder="1" applyProtection="1">
      <protection locked="0"/>
    </xf>
    <xf numFmtId="0" fontId="3" fillId="0" borderId="6" xfId="0" applyFont="1" applyBorder="1" applyProtection="1">
      <protection locked="0"/>
    </xf>
    <xf numFmtId="0" fontId="3" fillId="0" borderId="3" xfId="0" applyFont="1" applyBorder="1" applyProtection="1">
      <protection hidden="1"/>
    </xf>
    <xf numFmtId="0" fontId="38" fillId="4" borderId="5" xfId="1" applyFont="1" applyFill="1" applyBorder="1" applyAlignment="1" applyProtection="1">
      <alignment vertical="center" wrapText="1"/>
      <protection hidden="1"/>
    </xf>
    <xf numFmtId="0" fontId="38" fillId="4" borderId="10" xfId="1" applyFont="1" applyFill="1" applyBorder="1" applyAlignment="1" applyProtection="1">
      <alignment vertical="center" wrapText="1"/>
      <protection hidden="1"/>
    </xf>
    <xf numFmtId="0" fontId="17" fillId="4" borderId="2" xfId="1" applyFont="1" applyFill="1" applyBorder="1" applyAlignment="1" applyProtection="1">
      <alignment horizontal="center" vertical="center" wrapText="1"/>
      <protection hidden="1"/>
    </xf>
    <xf numFmtId="0" fontId="17" fillId="4" borderId="3" xfId="1" applyFont="1" applyFill="1" applyBorder="1" applyAlignment="1" applyProtection="1">
      <alignment horizontal="center" vertical="center" wrapText="1"/>
      <protection hidden="1"/>
    </xf>
    <xf numFmtId="0" fontId="27" fillId="0" borderId="35" xfId="4" applyFont="1" applyBorder="1" applyAlignment="1" applyProtection="1">
      <alignment horizontal="center" vertical="center"/>
      <protection hidden="1"/>
    </xf>
    <xf numFmtId="0" fontId="27" fillId="0" borderId="31" xfId="4" applyFont="1" applyBorder="1" applyAlignment="1" applyProtection="1">
      <alignment horizontal="center" vertical="center"/>
      <protection hidden="1"/>
    </xf>
    <xf numFmtId="0" fontId="27" fillId="0" borderId="45" xfId="4" applyFont="1" applyBorder="1" applyAlignment="1" applyProtection="1">
      <alignment horizontal="center" vertical="center"/>
      <protection hidden="1"/>
    </xf>
    <xf numFmtId="0" fontId="38" fillId="4" borderId="0" xfId="1" applyFont="1" applyFill="1" applyAlignment="1" applyProtection="1">
      <alignment horizontal="center" vertical="center" wrapText="1"/>
      <protection hidden="1"/>
    </xf>
    <xf numFmtId="0" fontId="38" fillId="4" borderId="5" xfId="1" applyFont="1" applyFill="1" applyBorder="1" applyAlignment="1" applyProtection="1">
      <alignment horizontal="center" vertical="center" wrapText="1"/>
      <protection hidden="1"/>
    </xf>
    <xf numFmtId="0" fontId="27" fillId="0" borderId="41" xfId="4" applyFont="1" applyBorder="1" applyAlignment="1" applyProtection="1">
      <alignment horizontal="center" vertical="center"/>
      <protection hidden="1"/>
    </xf>
    <xf numFmtId="0" fontId="27" fillId="0" borderId="32" xfId="4" applyFont="1" applyBorder="1" applyAlignment="1" applyProtection="1">
      <alignment horizontal="center" vertical="center"/>
      <protection hidden="1"/>
    </xf>
    <xf numFmtId="0" fontId="27" fillId="0" borderId="46" xfId="4" applyFont="1" applyBorder="1" applyAlignment="1" applyProtection="1">
      <alignment horizontal="center" vertical="center"/>
      <protection hidden="1"/>
    </xf>
    <xf numFmtId="0" fontId="10" fillId="4" borderId="32" xfId="4" applyFont="1" applyFill="1" applyBorder="1" applyAlignment="1">
      <alignment horizontal="center" vertical="center"/>
    </xf>
    <xf numFmtId="171" fontId="10" fillId="4" borderId="32" xfId="4" applyNumberFormat="1" applyFont="1" applyFill="1" applyBorder="1" applyAlignment="1" applyProtection="1">
      <alignment horizontal="center" vertical="center"/>
      <protection locked="0" hidden="1"/>
    </xf>
    <xf numFmtId="0" fontId="38" fillId="4" borderId="9" xfId="1" applyFont="1" applyFill="1" applyBorder="1" applyAlignment="1" applyProtection="1">
      <alignment horizontal="center" vertical="center" wrapText="1"/>
      <protection hidden="1"/>
    </xf>
    <xf numFmtId="0" fontId="38" fillId="4" borderId="10" xfId="1" applyFont="1" applyFill="1" applyBorder="1" applyAlignment="1" applyProtection="1">
      <alignment horizontal="center" vertical="center" wrapText="1"/>
      <protection hidden="1"/>
    </xf>
    <xf numFmtId="0" fontId="27" fillId="0" borderId="36" xfId="4" applyFont="1" applyBorder="1" applyAlignment="1" applyProtection="1">
      <alignment horizontal="center" vertical="center"/>
      <protection hidden="1"/>
    </xf>
    <xf numFmtId="0" fontId="27" fillId="0" borderId="42" xfId="4" applyFont="1" applyBorder="1" applyAlignment="1" applyProtection="1">
      <alignment horizontal="center" vertical="center"/>
      <protection hidden="1"/>
    </xf>
    <xf numFmtId="0" fontId="27" fillId="0" borderId="47" xfId="4" applyFont="1" applyBorder="1" applyAlignment="1" applyProtection="1">
      <alignment horizontal="center" vertical="center"/>
      <protection hidden="1"/>
    </xf>
    <xf numFmtId="0" fontId="13" fillId="6" borderId="0" xfId="0" applyFont="1" applyFill="1" applyAlignment="1" applyProtection="1">
      <alignment horizontal="center"/>
      <protection locked="0"/>
    </xf>
    <xf numFmtId="0" fontId="13" fillId="0" borderId="0" xfId="0" applyFont="1" applyAlignment="1" applyProtection="1">
      <alignment horizontal="center"/>
      <protection locked="0"/>
    </xf>
    <xf numFmtId="0" fontId="13" fillId="0" borderId="6" xfId="0" applyFont="1" applyBorder="1" applyAlignment="1" applyProtection="1">
      <alignment horizontal="center"/>
      <protection locked="0"/>
    </xf>
    <xf numFmtId="0" fontId="17" fillId="2" borderId="1" xfId="1" applyFont="1" applyFill="1" applyBorder="1" applyAlignment="1" applyProtection="1">
      <alignment horizontal="left" vertical="center"/>
      <protection hidden="1"/>
    </xf>
    <xf numFmtId="0" fontId="17" fillId="4" borderId="2" xfId="1" applyFont="1" applyFill="1" applyBorder="1" applyAlignment="1" applyProtection="1">
      <alignment horizontal="left" vertical="center"/>
      <protection hidden="1"/>
    </xf>
    <xf numFmtId="0" fontId="7" fillId="4" borderId="31" xfId="2" applyFont="1" applyFill="1" applyBorder="1" applyAlignment="1" applyProtection="1">
      <alignment horizontal="center" vertical="center" wrapText="1"/>
      <protection locked="0"/>
    </xf>
    <xf numFmtId="170" fontId="7" fillId="4" borderId="31" xfId="2" applyNumberFormat="1" applyFont="1" applyFill="1" applyBorder="1" applyAlignment="1" applyProtection="1">
      <alignment horizontal="center" vertical="center" wrapText="1"/>
      <protection locked="0"/>
    </xf>
    <xf numFmtId="170" fontId="7" fillId="4" borderId="45" xfId="2" applyNumberFormat="1" applyFont="1" applyFill="1" applyBorder="1" applyAlignment="1" applyProtection="1">
      <alignment horizontal="center" vertical="center" wrapText="1"/>
      <protection locked="0"/>
    </xf>
    <xf numFmtId="0" fontId="17" fillId="2" borderId="4" xfId="1" applyFont="1" applyFill="1" applyBorder="1" applyAlignment="1" applyProtection="1">
      <alignment horizontal="left" vertical="center"/>
      <protection hidden="1"/>
    </xf>
    <xf numFmtId="0" fontId="17" fillId="4" borderId="0" xfId="1" applyFont="1" applyFill="1" applyAlignment="1" applyProtection="1">
      <alignment horizontal="left" vertical="center"/>
      <protection hidden="1"/>
    </xf>
    <xf numFmtId="0" fontId="7" fillId="4" borderId="32" xfId="2" applyFont="1" applyFill="1" applyBorder="1" applyAlignment="1" applyProtection="1">
      <alignment horizontal="center" vertical="center" wrapText="1"/>
      <protection locked="0"/>
    </xf>
    <xf numFmtId="170" fontId="7" fillId="4" borderId="32" xfId="2" applyNumberFormat="1" applyFont="1" applyFill="1" applyBorder="1" applyAlignment="1" applyProtection="1">
      <alignment horizontal="center" vertical="center" wrapText="1"/>
      <protection locked="0"/>
    </xf>
    <xf numFmtId="170" fontId="7" fillId="4" borderId="46" xfId="2" applyNumberFormat="1" applyFont="1" applyFill="1" applyBorder="1" applyAlignment="1" applyProtection="1">
      <alignment horizontal="center" vertical="center" wrapText="1"/>
      <protection locked="0"/>
    </xf>
    <xf numFmtId="0" fontId="40" fillId="4" borderId="32" xfId="5" applyFill="1" applyBorder="1" applyAlignment="1" applyProtection="1">
      <alignment horizontal="center" vertical="center" wrapText="1"/>
      <protection locked="0"/>
    </xf>
    <xf numFmtId="0" fontId="7" fillId="4" borderId="32" xfId="2" applyFont="1" applyFill="1" applyBorder="1" applyAlignment="1" applyProtection="1">
      <alignment horizontal="center" vertical="center" wrapText="1"/>
      <protection hidden="1"/>
    </xf>
    <xf numFmtId="0" fontId="7" fillId="4" borderId="46" xfId="2" applyFont="1" applyFill="1" applyBorder="1" applyAlignment="1" applyProtection="1">
      <alignment horizontal="center" vertical="center" wrapText="1"/>
      <protection hidden="1"/>
    </xf>
    <xf numFmtId="0" fontId="7" fillId="4" borderId="33" xfId="2" applyFont="1" applyFill="1" applyBorder="1" applyAlignment="1" applyProtection="1">
      <alignment horizontal="center" vertical="center" wrapText="1"/>
      <protection locked="0"/>
    </xf>
    <xf numFmtId="0" fontId="7" fillId="4" borderId="34" xfId="2" applyFont="1" applyFill="1" applyBorder="1" applyAlignment="1" applyProtection="1">
      <alignment horizontal="center" vertical="center" wrapText="1"/>
      <protection locked="0"/>
    </xf>
    <xf numFmtId="0" fontId="8" fillId="4" borderId="9" xfId="2" applyFont="1" applyFill="1" applyBorder="1" applyAlignment="1" applyProtection="1">
      <alignment horizontal="center" vertical="center" wrapText="1"/>
      <protection hidden="1"/>
    </xf>
    <xf numFmtId="0" fontId="30" fillId="3" borderId="1" xfId="1" applyFont="1" applyFill="1" applyBorder="1" applyAlignment="1" applyProtection="1">
      <alignment horizontal="center" vertical="center"/>
      <protection hidden="1"/>
    </xf>
    <xf numFmtId="0" fontId="30" fillId="3" borderId="2" xfId="1" applyFont="1" applyFill="1" applyBorder="1" applyAlignment="1" applyProtection="1">
      <alignment horizontal="center" vertical="center"/>
      <protection hidden="1"/>
    </xf>
    <xf numFmtId="0" fontId="30" fillId="3" borderId="3" xfId="1" applyFont="1" applyFill="1" applyBorder="1" applyAlignment="1" applyProtection="1">
      <alignment horizontal="center" vertical="center"/>
      <protection hidden="1"/>
    </xf>
    <xf numFmtId="2" fontId="25" fillId="0" borderId="13" xfId="1" applyNumberFormat="1" applyFont="1" applyBorder="1" applyAlignment="1" applyProtection="1">
      <alignment horizontal="center" vertical="center"/>
      <protection locked="0"/>
    </xf>
    <xf numFmtId="2" fontId="25" fillId="0" borderId="25" xfId="1" applyNumberFormat="1" applyFont="1" applyBorder="1" applyAlignment="1" applyProtection="1">
      <alignment horizontal="center" vertical="center"/>
      <protection locked="0"/>
    </xf>
    <xf numFmtId="2" fontId="31" fillId="5" borderId="13" xfId="0" applyNumberFormat="1" applyFont="1" applyFill="1" applyBorder="1" applyAlignment="1" applyProtection="1">
      <alignment horizontal="center" vertical="center"/>
      <protection hidden="1"/>
    </xf>
    <xf numFmtId="2" fontId="31" fillId="5" borderId="14" xfId="0" applyNumberFormat="1" applyFont="1" applyFill="1" applyBorder="1" applyAlignment="1" applyProtection="1">
      <alignment horizontal="center" vertical="center"/>
      <protection hidden="1"/>
    </xf>
    <xf numFmtId="0" fontId="25" fillId="0" borderId="7" xfId="1" applyFont="1" applyBorder="1" applyAlignment="1" applyProtection="1">
      <alignment horizontal="center" vertical="center"/>
      <protection locked="0"/>
    </xf>
    <xf numFmtId="0" fontId="25" fillId="0" borderId="29" xfId="1" applyFont="1" applyBorder="1" applyAlignment="1" applyProtection="1">
      <alignment horizontal="center" vertical="center"/>
      <protection locked="0"/>
    </xf>
    <xf numFmtId="2" fontId="31" fillId="5" borderId="7" xfId="0" applyNumberFormat="1" applyFont="1" applyFill="1" applyBorder="1" applyAlignment="1" applyProtection="1">
      <alignment horizontal="center" vertical="center"/>
      <protection hidden="1"/>
    </xf>
    <xf numFmtId="2" fontId="31" fillId="5" borderId="16" xfId="0" applyNumberFormat="1" applyFont="1" applyFill="1" applyBorder="1" applyAlignment="1" applyProtection="1">
      <alignment horizontal="center" vertical="center"/>
      <protection hidden="1"/>
    </xf>
    <xf numFmtId="1" fontId="25" fillId="4" borderId="7" xfId="1" applyNumberFormat="1" applyFont="1" applyFill="1" applyBorder="1" applyAlignment="1" applyProtection="1">
      <alignment horizontal="center" vertical="center"/>
      <protection hidden="1"/>
    </xf>
    <xf numFmtId="1" fontId="25" fillId="4" borderId="29" xfId="1" applyNumberFormat="1" applyFont="1" applyFill="1" applyBorder="1" applyAlignment="1" applyProtection="1">
      <alignment horizontal="center" vertical="center"/>
      <protection hidden="1"/>
    </xf>
    <xf numFmtId="0" fontId="7" fillId="4" borderId="7" xfId="1" applyFont="1" applyFill="1" applyBorder="1" applyAlignment="1" applyProtection="1">
      <alignment horizontal="center" vertical="center"/>
      <protection locked="0"/>
    </xf>
    <xf numFmtId="0" fontId="7" fillId="4" borderId="16" xfId="1" applyFont="1" applyFill="1" applyBorder="1" applyAlignment="1" applyProtection="1">
      <alignment horizontal="center" vertical="center"/>
      <protection locked="0"/>
    </xf>
    <xf numFmtId="0" fontId="30" fillId="3" borderId="35" xfId="1" applyFont="1" applyFill="1" applyBorder="1" applyAlignment="1" applyProtection="1">
      <alignment horizontal="center" vertical="center" wrapText="1"/>
      <protection hidden="1"/>
    </xf>
    <xf numFmtId="0" fontId="30" fillId="3" borderId="48" xfId="1" applyFont="1" applyFill="1" applyBorder="1" applyAlignment="1" applyProtection="1">
      <alignment horizontal="center" vertical="center" wrapText="1"/>
      <protection hidden="1"/>
    </xf>
    <xf numFmtId="0" fontId="30" fillId="3" borderId="37" xfId="1" applyFont="1" applyFill="1" applyBorder="1" applyAlignment="1" applyProtection="1">
      <alignment horizontal="center" vertical="center" wrapText="1"/>
      <protection hidden="1"/>
    </xf>
    <xf numFmtId="0" fontId="30" fillId="3" borderId="49" xfId="1" applyFont="1" applyFill="1" applyBorder="1" applyAlignment="1" applyProtection="1">
      <alignment horizontal="center" vertical="center" wrapText="1"/>
      <protection hidden="1"/>
    </xf>
    <xf numFmtId="0" fontId="30" fillId="3" borderId="38" xfId="1" applyFont="1" applyFill="1" applyBorder="1" applyAlignment="1" applyProtection="1">
      <alignment horizontal="center" vertical="center" wrapText="1"/>
      <protection hidden="1"/>
    </xf>
    <xf numFmtId="0" fontId="30" fillId="3" borderId="39" xfId="1" applyFont="1" applyFill="1" applyBorder="1" applyAlignment="1" applyProtection="1">
      <alignment horizontal="center" vertical="center" wrapText="1"/>
      <protection hidden="1"/>
    </xf>
    <xf numFmtId="0" fontId="31" fillId="4" borderId="7" xfId="1" applyFont="1" applyFill="1" applyBorder="1" applyAlignment="1" applyProtection="1">
      <alignment horizontal="center" vertical="center" wrapText="1"/>
      <protection locked="0"/>
    </xf>
    <xf numFmtId="0" fontId="31" fillId="4" borderId="16" xfId="1" applyFont="1" applyFill="1" applyBorder="1" applyAlignment="1" applyProtection="1">
      <alignment horizontal="center" vertical="center" wrapText="1"/>
      <protection locked="0"/>
    </xf>
    <xf numFmtId="2" fontId="25" fillId="4" borderId="18" xfId="1" applyNumberFormat="1" applyFont="1" applyFill="1" applyBorder="1" applyAlignment="1" applyProtection="1">
      <alignment horizontal="center" vertical="center"/>
      <protection hidden="1"/>
    </xf>
    <xf numFmtId="2" fontId="25" fillId="4" borderId="30" xfId="1" applyNumberFormat="1" applyFont="1" applyFill="1" applyBorder="1" applyAlignment="1" applyProtection="1">
      <alignment horizontal="center" vertical="center"/>
      <protection hidden="1"/>
    </xf>
    <xf numFmtId="169" fontId="27" fillId="0" borderId="18" xfId="0" applyNumberFormat="1" applyFont="1" applyBorder="1" applyAlignment="1" applyProtection="1">
      <alignment horizontal="center" vertical="center"/>
      <protection locked="0"/>
    </xf>
    <xf numFmtId="169" fontId="27" fillId="0" borderId="19" xfId="0" applyNumberFormat="1" applyFont="1" applyBorder="1" applyAlignment="1" applyProtection="1">
      <alignment horizontal="center" vertical="center"/>
      <protection locked="0"/>
    </xf>
    <xf numFmtId="0" fontId="23" fillId="0" borderId="0" xfId="1" applyFont="1" applyAlignment="1" applyProtection="1">
      <alignment horizontal="right" vertical="center"/>
      <protection hidden="1"/>
    </xf>
    <xf numFmtId="0" fontId="13" fillId="0" borderId="26" xfId="0" applyFont="1" applyBorder="1" applyAlignment="1" applyProtection="1">
      <alignment horizontal="center" vertical="center" wrapText="1"/>
      <protection locked="0"/>
    </xf>
    <xf numFmtId="0" fontId="13" fillId="0" borderId="27" xfId="0" applyFont="1" applyBorder="1" applyAlignment="1" applyProtection="1">
      <alignment horizontal="center" vertical="center" wrapText="1"/>
      <protection locked="0"/>
    </xf>
    <xf numFmtId="0" fontId="13" fillId="0" borderId="52" xfId="0" applyFont="1" applyBorder="1" applyAlignment="1" applyProtection="1">
      <alignment horizontal="center" vertical="center"/>
      <protection locked="0"/>
    </xf>
    <xf numFmtId="0" fontId="13" fillId="0" borderId="53" xfId="0" applyFont="1" applyBorder="1" applyAlignment="1" applyProtection="1">
      <alignment horizontal="center" vertical="center"/>
      <protection locked="0"/>
    </xf>
    <xf numFmtId="0" fontId="13" fillId="0" borderId="54" xfId="0" applyFont="1" applyBorder="1" applyAlignment="1" applyProtection="1">
      <alignment horizontal="center" vertical="center"/>
      <protection locked="0"/>
    </xf>
    <xf numFmtId="0" fontId="13" fillId="0" borderId="55" xfId="0" applyFont="1" applyBorder="1" applyAlignment="1" applyProtection="1">
      <alignment horizontal="center" vertical="center"/>
      <protection locked="0"/>
    </xf>
    <xf numFmtId="0" fontId="13" fillId="0" borderId="52" xfId="0" applyFont="1" applyBorder="1" applyAlignment="1" applyProtection="1">
      <alignment horizontal="center" vertical="center" wrapText="1"/>
      <protection locked="0"/>
    </xf>
    <xf numFmtId="0" fontId="13" fillId="0" borderId="56" xfId="0" applyFont="1" applyBorder="1" applyAlignment="1" applyProtection="1">
      <alignment horizontal="center" vertical="center" wrapText="1"/>
      <protection locked="0"/>
    </xf>
    <xf numFmtId="0" fontId="13" fillId="0" borderId="53" xfId="0" applyFont="1" applyBorder="1" applyAlignment="1" applyProtection="1">
      <alignment horizontal="center" vertical="center" wrapText="1"/>
      <protection locked="0"/>
    </xf>
    <xf numFmtId="0" fontId="13" fillId="0" borderId="54" xfId="0" applyFont="1" applyBorder="1" applyAlignment="1" applyProtection="1">
      <alignment horizontal="center" vertical="center" wrapText="1"/>
      <protection locked="0"/>
    </xf>
    <xf numFmtId="0" fontId="13" fillId="0" borderId="57" xfId="0" applyFont="1" applyBorder="1" applyAlignment="1" applyProtection="1">
      <alignment horizontal="center" vertical="center" wrapText="1"/>
      <protection locked="0"/>
    </xf>
    <xf numFmtId="0" fontId="13" fillId="0" borderId="55" xfId="0" applyFont="1" applyBorder="1" applyAlignment="1" applyProtection="1">
      <alignment horizontal="center" vertical="center" wrapText="1"/>
      <protection locked="0"/>
    </xf>
    <xf numFmtId="0" fontId="27" fillId="0" borderId="0" xfId="0" applyFont="1" applyAlignment="1" applyProtection="1">
      <alignment horizontal="center" vertical="center"/>
      <protection hidden="1"/>
    </xf>
    <xf numFmtId="0" fontId="23" fillId="0" borderId="0" xfId="4" applyFont="1" applyAlignment="1" applyProtection="1">
      <alignment horizontal="center" vertical="center"/>
      <protection hidden="1"/>
    </xf>
    <xf numFmtId="0" fontId="23" fillId="0" borderId="5" xfId="4" applyFont="1" applyBorder="1" applyAlignment="1" applyProtection="1">
      <alignment horizontal="center" vertical="center"/>
      <protection hidden="1"/>
    </xf>
    <xf numFmtId="0" fontId="25" fillId="0" borderId="0" xfId="1" applyFont="1" applyAlignment="1" applyProtection="1">
      <alignment horizontal="center" vertical="center"/>
      <protection hidden="1"/>
    </xf>
    <xf numFmtId="2" fontId="29" fillId="0" borderId="0" xfId="0" applyNumberFormat="1" applyFont="1" applyAlignment="1" applyProtection="1">
      <alignment horizontal="center"/>
      <protection hidden="1"/>
    </xf>
    <xf numFmtId="2" fontId="29" fillId="0" borderId="5" xfId="0" applyNumberFormat="1" applyFont="1" applyBorder="1" applyAlignment="1" applyProtection="1">
      <alignment horizontal="center"/>
      <protection hidden="1"/>
    </xf>
    <xf numFmtId="0" fontId="11" fillId="2" borderId="4" xfId="1" applyFont="1" applyFill="1" applyBorder="1" applyAlignment="1" applyProtection="1">
      <alignment horizontal="center" wrapText="1"/>
      <protection hidden="1"/>
    </xf>
    <xf numFmtId="0" fontId="8" fillId="2" borderId="0" xfId="1" applyFont="1" applyFill="1" applyAlignment="1" applyProtection="1">
      <alignment horizontal="center" wrapText="1"/>
      <protection hidden="1"/>
    </xf>
    <xf numFmtId="0" fontId="8" fillId="2" borderId="5" xfId="1" applyFont="1" applyFill="1" applyBorder="1" applyAlignment="1" applyProtection="1">
      <alignment horizontal="center" wrapText="1"/>
      <protection hidden="1"/>
    </xf>
    <xf numFmtId="0" fontId="8" fillId="2" borderId="4" xfId="1" applyFont="1" applyFill="1" applyBorder="1" applyAlignment="1" applyProtection="1">
      <alignment horizontal="center" wrapText="1"/>
      <protection hidden="1"/>
    </xf>
    <xf numFmtId="49" fontId="12" fillId="0" borderId="4" xfId="0" applyNumberFormat="1" applyFont="1" applyBorder="1" applyAlignment="1" applyProtection="1">
      <alignment horizontal="center" vertical="center"/>
      <protection hidden="1"/>
    </xf>
    <xf numFmtId="49" fontId="12" fillId="0" borderId="0" xfId="0" applyNumberFormat="1" applyFont="1" applyAlignment="1" applyProtection="1">
      <alignment horizontal="center" vertical="center"/>
      <protection hidden="1"/>
    </xf>
    <xf numFmtId="49" fontId="12" fillId="0" borderId="5" xfId="0" applyNumberFormat="1" applyFont="1" applyBorder="1" applyAlignment="1" applyProtection="1">
      <alignment horizontal="center" vertical="center"/>
      <protection hidden="1"/>
    </xf>
    <xf numFmtId="49" fontId="12" fillId="0" borderId="8" xfId="0" applyNumberFormat="1" applyFont="1" applyBorder="1" applyAlignment="1" applyProtection="1">
      <alignment horizontal="center" vertical="center"/>
      <protection hidden="1"/>
    </xf>
    <xf numFmtId="49" fontId="12" fillId="0" borderId="9" xfId="0" applyNumberFormat="1" applyFont="1" applyBorder="1" applyAlignment="1" applyProtection="1">
      <alignment horizontal="center" vertical="center"/>
      <protection hidden="1"/>
    </xf>
    <xf numFmtId="49" fontId="12" fillId="0" borderId="10" xfId="0" applyNumberFormat="1" applyFont="1" applyBorder="1" applyAlignment="1" applyProtection="1">
      <alignment horizontal="center" vertical="center"/>
      <protection hidden="1"/>
    </xf>
    <xf numFmtId="0" fontId="22" fillId="0" borderId="44" xfId="0" applyFont="1" applyBorder="1" applyAlignment="1">
      <alignment horizontal="center" wrapText="1"/>
    </xf>
    <xf numFmtId="0" fontId="22" fillId="0" borderId="0" xfId="0" applyFont="1" applyAlignment="1">
      <alignment horizontal="center" wrapText="1"/>
    </xf>
    <xf numFmtId="0" fontId="27" fillId="0" borderId="0" xfId="4" applyFont="1" applyAlignment="1" applyProtection="1">
      <alignment horizontal="center" vertical="center"/>
      <protection hidden="1"/>
    </xf>
    <xf numFmtId="0" fontId="27" fillId="0" borderId="5" xfId="4" applyFont="1" applyBorder="1" applyAlignment="1" applyProtection="1">
      <alignment horizontal="center" vertical="center"/>
      <protection hidden="1"/>
    </xf>
    <xf numFmtId="0" fontId="18" fillId="0" borderId="0" xfId="4" applyFont="1" applyAlignment="1" applyProtection="1">
      <alignment horizontal="center" vertical="center"/>
      <protection hidden="1"/>
    </xf>
    <xf numFmtId="0" fontId="10" fillId="0" borderId="0" xfId="4" applyFont="1" applyAlignment="1" applyProtection="1">
      <alignment horizontal="center" vertical="center"/>
      <protection hidden="1"/>
    </xf>
    <xf numFmtId="0" fontId="19" fillId="0" borderId="4" xfId="0" applyFont="1" applyBorder="1" applyAlignment="1" applyProtection="1">
      <alignment horizontal="center"/>
      <protection hidden="1"/>
    </xf>
    <xf numFmtId="0" fontId="19" fillId="0" borderId="0" xfId="0" applyFont="1" applyAlignment="1" applyProtection="1">
      <alignment horizontal="center"/>
      <protection hidden="1"/>
    </xf>
    <xf numFmtId="0" fontId="19" fillId="0" borderId="5" xfId="0" applyFont="1" applyBorder="1" applyAlignment="1" applyProtection="1">
      <alignment horizontal="center"/>
      <protection hidden="1"/>
    </xf>
    <xf numFmtId="0" fontId="7" fillId="4" borderId="32" xfId="5" applyFont="1" applyFill="1" applyBorder="1" applyAlignment="1" applyProtection="1">
      <alignment horizontal="center" vertical="center" wrapText="1"/>
      <protection locked="0"/>
    </xf>
    <xf numFmtId="0" fontId="3" fillId="0" borderId="26" xfId="0" applyFont="1" applyBorder="1" applyAlignment="1" applyProtection="1">
      <alignment horizontal="center" vertical="center" wrapText="1"/>
      <protection locked="0"/>
    </xf>
    <xf numFmtId="0" fontId="3" fillId="0" borderId="27" xfId="0" applyFont="1" applyBorder="1" applyAlignment="1" applyProtection="1">
      <alignment horizontal="center" vertical="center" wrapText="1"/>
      <protection locked="0"/>
    </xf>
    <xf numFmtId="0" fontId="3" fillId="0" borderId="23" xfId="0" applyFont="1" applyBorder="1" applyAlignment="1" applyProtection="1">
      <alignment horizontal="center" vertical="center" wrapText="1"/>
      <protection locked="0"/>
    </xf>
    <xf numFmtId="0" fontId="3" fillId="0" borderId="24" xfId="0" applyFont="1" applyBorder="1" applyAlignment="1" applyProtection="1">
      <alignment horizontal="center" vertical="center" wrapText="1"/>
      <protection locked="0"/>
    </xf>
    <xf numFmtId="0" fontId="3" fillId="0" borderId="26"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13" fillId="0" borderId="4" xfId="0" applyFont="1" applyBorder="1" applyAlignment="1">
      <alignment horizontal="center" vertical="center" wrapText="1"/>
    </xf>
    <xf numFmtId="0" fontId="13" fillId="0" borderId="0" xfId="0" applyFont="1" applyBorder="1" applyAlignment="1">
      <alignment horizontal="center" vertical="center" wrapText="1"/>
    </xf>
  </cellXfs>
  <cellStyles count="6">
    <cellStyle name="Hipervínculo" xfId="5" builtinId="8"/>
    <cellStyle name="Normal" xfId="0" builtinId="0"/>
    <cellStyle name="Normal 3 5" xfId="2" xr:uid="{00000000-0005-0000-0000-000002000000}"/>
    <cellStyle name="Normal 5" xfId="4" xr:uid="{00000000-0005-0000-0000-000003000000}"/>
    <cellStyle name="Normal 6 2" xfId="1" xr:uid="{00000000-0005-0000-0000-000004000000}"/>
    <cellStyle name="Normal 9 2 2" xfId="3" xr:uid="{00000000-0005-0000-0000-000005000000}"/>
  </cellStyles>
  <dxfs count="78">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s>
  <tableStyles count="0" defaultTableStyle="TableStyleMedium2" defaultPivotStyle="PivotStyleLight16"/>
  <colors>
    <mruColors>
      <color rgb="FFE92B8F"/>
      <color rgb="FF9FD53F"/>
      <color rgb="FFA68BA5"/>
      <color rgb="FFEDADC7"/>
      <color rgb="FFFDE12D"/>
      <color rgb="FFFD1518"/>
      <color rgb="FFCC59D2"/>
      <color rgb="FFCC1518"/>
      <color rgb="FF3C1518"/>
      <color rgb="FFD0DB9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r>
              <a:rPr lang="es-CO" sz="1200" b="1" baseline="0">
                <a:latin typeface="Arial" panose="020B0604020202020204" pitchFamily="34" charset="0"/>
                <a:cs typeface="Arial" panose="020B0604020202020204" pitchFamily="34" charset="0"/>
              </a:rPr>
              <a:t>Esfuerzo vs Deformación unitaria</a:t>
            </a:r>
          </a:p>
        </c:rich>
      </c:tx>
      <c:overlay val="0"/>
      <c:spPr>
        <a:noFill/>
        <a:ln>
          <a:noFill/>
        </a:ln>
        <a:effectLst/>
      </c:spPr>
      <c:txPr>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endParaRPr lang="es-MX"/>
        </a:p>
      </c:txPr>
    </c:title>
    <c:autoTitleDeleted val="0"/>
    <c:plotArea>
      <c:layout>
        <c:manualLayout>
          <c:layoutTarget val="inner"/>
          <c:xMode val="edge"/>
          <c:yMode val="edge"/>
          <c:x val="0.12273341490337437"/>
          <c:y val="8.985224357035336E-2"/>
          <c:w val="0.84895974726111267"/>
          <c:h val="0.75485788113695096"/>
        </c:manualLayout>
      </c:layout>
      <c:scatterChart>
        <c:scatterStyle val="smoothMarker"/>
        <c:varyColors val="0"/>
        <c:ser>
          <c:idx val="0"/>
          <c:order val="0"/>
          <c:spPr>
            <a:ln w="19050" cap="rnd">
              <a:solidFill>
                <a:schemeClr val="accent6">
                  <a:lumMod val="75000"/>
                </a:schemeClr>
              </a:solidFill>
              <a:round/>
            </a:ln>
            <a:effectLst/>
          </c:spPr>
          <c:marker>
            <c:symbol val="circle"/>
            <c:size val="5"/>
            <c:spPr>
              <a:solidFill>
                <a:schemeClr val="accent6">
                  <a:lumMod val="75000"/>
                </a:schemeClr>
              </a:solidFill>
              <a:ln w="9525">
                <a:solidFill>
                  <a:schemeClr val="accent6">
                    <a:lumMod val="75000"/>
                  </a:schemeClr>
                </a:solidFill>
              </a:ln>
              <a:effectLst/>
            </c:spPr>
          </c:marker>
          <c:xVal>
            <c:numRef>
              <c:f>GUIA!$I$26:$I$58</c:f>
              <c:numCache>
                <c:formatCode>0.00</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xVal>
          <c:yVal>
            <c:numRef>
              <c:f>GUIA!$G$26:$G$58</c:f>
              <c:numCache>
                <c:formatCode>0.00</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yVal>
          <c:smooth val="1"/>
          <c:extLst>
            <c:ext xmlns:c16="http://schemas.microsoft.com/office/drawing/2014/chart" uri="{C3380CC4-5D6E-409C-BE32-E72D297353CC}">
              <c16:uniqueId val="{00000000-C305-44C4-BB29-2FDA8EA50EB2}"/>
            </c:ext>
          </c:extLst>
        </c:ser>
        <c:dLbls>
          <c:showLegendKey val="0"/>
          <c:showVal val="0"/>
          <c:showCatName val="0"/>
          <c:showSerName val="0"/>
          <c:showPercent val="0"/>
          <c:showBubbleSize val="0"/>
        </c:dLbls>
        <c:axId val="-200624688"/>
        <c:axId val="-200622512"/>
      </c:scatterChart>
      <c:valAx>
        <c:axId val="-200624688"/>
        <c:scaling>
          <c:orientation val="minMax"/>
        </c:scaling>
        <c:delete val="0"/>
        <c:axPos val="b"/>
        <c:majorGridlines>
          <c:spPr>
            <a:ln w="9525" cap="flat" cmpd="sng" algn="ctr">
              <a:solidFill>
                <a:schemeClr val="tx1"/>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latin typeface="Arial" panose="020B0604020202020204" pitchFamily="34" charset="0"/>
                    <a:cs typeface="Arial" panose="020B0604020202020204" pitchFamily="34" charset="0"/>
                  </a:rPr>
                  <a:t>Deformación Unitaria Ɛ1</a:t>
                </a:r>
                <a:r>
                  <a:rPr lang="en-US" sz="1200" b="1" baseline="0">
                    <a:latin typeface="Arial" panose="020B0604020202020204" pitchFamily="34" charset="0"/>
                    <a:cs typeface="Arial" panose="020B0604020202020204" pitchFamily="34" charset="0"/>
                  </a:rPr>
                  <a:t> </a:t>
                </a:r>
                <a:r>
                  <a:rPr lang="en-US" sz="1200" b="1">
                    <a:latin typeface="Arial" panose="020B0604020202020204" pitchFamily="34" charset="0"/>
                    <a:cs typeface="Arial" panose="020B0604020202020204" pitchFamily="34" charset="0"/>
                  </a:rPr>
                  <a:t>% </a:t>
                </a:r>
              </a:p>
            </c:rich>
          </c:tx>
          <c:layout>
            <c:manualLayout>
              <c:xMode val="edge"/>
              <c:yMode val="edge"/>
              <c:x val="0.33954592555363206"/>
              <c:y val="0.9114081967096435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title>
        <c:numFmt formatCode="0.00" sourceLinked="0"/>
        <c:majorTickMark val="none"/>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2512"/>
        <c:crosses val="autoZero"/>
        <c:crossBetween val="midCat"/>
        <c:majorUnit val="1"/>
        <c:minorUnit val="1"/>
      </c:valAx>
      <c:valAx>
        <c:axId val="-2006225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r>
                  <a:rPr lang="en-US" sz="1200" b="1">
                    <a:latin typeface="Arial" panose="020B0604020202020204" pitchFamily="34" charset="0"/>
                    <a:cs typeface="Arial" panose="020B0604020202020204" pitchFamily="34" charset="0"/>
                  </a:rPr>
                  <a:t>Esfuerzo </a:t>
                </a:r>
                <a:r>
                  <a:rPr lang="en-US" sz="1200" b="1">
                    <a:latin typeface="Calibri" panose="020F0502020204030204" pitchFamily="34" charset="0"/>
                    <a:ea typeface="Calibri" panose="020F0502020204030204" pitchFamily="34" charset="0"/>
                    <a:cs typeface="Calibri" panose="020F0502020204030204" pitchFamily="34" charset="0"/>
                  </a:rPr>
                  <a:t>[</a:t>
                </a:r>
                <a:r>
                  <a:rPr lang="en-US" sz="1200" b="1">
                    <a:latin typeface="Arial" panose="020B0604020202020204" pitchFamily="34" charset="0"/>
                    <a:cs typeface="Arial" panose="020B0604020202020204" pitchFamily="34" charset="0"/>
                  </a:rPr>
                  <a:t>KPa</a:t>
                </a:r>
                <a:r>
                  <a:rPr lang="en-US" sz="1200" b="1">
                    <a:latin typeface="Calibri" panose="020F0502020204030204" pitchFamily="34" charset="0"/>
                    <a:ea typeface="Calibri" panose="020F0502020204030204" pitchFamily="34" charset="0"/>
                    <a:cs typeface="Calibri" panose="020F0502020204030204" pitchFamily="34" charset="0"/>
                  </a:rPr>
                  <a:t>]</a:t>
                </a:r>
                <a:endParaRPr lang="en-US" sz="1200" b="1">
                  <a:latin typeface="Arial" panose="020B0604020202020204" pitchFamily="34" charset="0"/>
                  <a:cs typeface="Arial" panose="020B0604020202020204" pitchFamily="34" charset="0"/>
                </a:endParaRPr>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endParaRPr lang="en-US"/>
            </a:p>
          </c:txPr>
        </c:title>
        <c:numFmt formatCode="0" sourceLinked="0"/>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4688"/>
        <c:crosses val="autoZero"/>
        <c:crossBetween val="midCat"/>
      </c:valAx>
      <c:spPr>
        <a:noFill/>
        <a:ln>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28575" cap="flat" cmpd="sng" algn="ctr">
      <a:solidFill>
        <a:schemeClr val="tx1"/>
      </a:solidFill>
      <a:round/>
    </a:ln>
    <a:effectLst/>
  </c:spPr>
  <c:txPr>
    <a:bodyPr/>
    <a:lstStyle/>
    <a:p>
      <a:pPr>
        <a:defRPr sz="1800"/>
      </a:pPr>
      <a:endParaRPr lang="es-MX"/>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r>
              <a:rPr lang="es-CO" sz="1200" b="1" baseline="0">
                <a:latin typeface="Arial" panose="020B0604020202020204" pitchFamily="34" charset="0"/>
                <a:cs typeface="Arial" panose="020B0604020202020204" pitchFamily="34" charset="0"/>
              </a:rPr>
              <a:t>Esfuerzo vs Deformación unitaria</a:t>
            </a:r>
          </a:p>
        </c:rich>
      </c:tx>
      <c:overlay val="0"/>
      <c:spPr>
        <a:noFill/>
        <a:ln>
          <a:noFill/>
        </a:ln>
        <a:effectLst/>
      </c:spPr>
      <c:txPr>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endParaRPr lang="es-MX"/>
        </a:p>
      </c:txPr>
    </c:title>
    <c:autoTitleDeleted val="0"/>
    <c:plotArea>
      <c:layout>
        <c:manualLayout>
          <c:layoutTarget val="inner"/>
          <c:xMode val="edge"/>
          <c:yMode val="edge"/>
          <c:x val="0.12273341490337437"/>
          <c:y val="8.985224357035336E-2"/>
          <c:w val="0.84895974726111267"/>
          <c:h val="0.75485788113695096"/>
        </c:manualLayout>
      </c:layout>
      <c:scatterChart>
        <c:scatterStyle val="smoothMarker"/>
        <c:varyColors val="0"/>
        <c:ser>
          <c:idx val="0"/>
          <c:order val="0"/>
          <c:spPr>
            <a:ln w="19050" cap="rnd">
              <a:solidFill>
                <a:schemeClr val="accent6">
                  <a:lumMod val="75000"/>
                </a:schemeClr>
              </a:solidFill>
              <a:round/>
            </a:ln>
            <a:effectLst/>
          </c:spPr>
          <c:marker>
            <c:symbol val="circle"/>
            <c:size val="5"/>
            <c:spPr>
              <a:solidFill>
                <a:schemeClr val="accent6">
                  <a:lumMod val="75000"/>
                </a:schemeClr>
              </a:solidFill>
              <a:ln w="9525">
                <a:solidFill>
                  <a:schemeClr val="accent6">
                    <a:lumMod val="75000"/>
                  </a:schemeClr>
                </a:solidFill>
              </a:ln>
              <a:effectLst/>
            </c:spPr>
          </c:marker>
          <c:xVal>
            <c:numRef>
              <c:f>'PE4-3 M10'!$I$26:$I$34</c:f>
              <c:numCache>
                <c:formatCode>0.00</c:formatCode>
                <c:ptCount val="9"/>
                <c:pt idx="0">
                  <c:v>0</c:v>
                </c:pt>
                <c:pt idx="1">
                  <c:v>0.39007092198581561</c:v>
                </c:pt>
                <c:pt idx="2">
                  <c:v>0.82742316784869963</c:v>
                </c:pt>
                <c:pt idx="3">
                  <c:v>1.2765957446808509</c:v>
                </c:pt>
                <c:pt idx="4">
                  <c:v>1.6903073286052006</c:v>
                </c:pt>
                <c:pt idx="5">
                  <c:v>2.1631205673758864</c:v>
                </c:pt>
                <c:pt idx="6">
                  <c:v>2.6713947990543727</c:v>
                </c:pt>
                <c:pt idx="7">
                  <c:v>3.2033096926713944</c:v>
                </c:pt>
                <c:pt idx="8">
                  <c:v>3.6879432624113475</c:v>
                </c:pt>
              </c:numCache>
            </c:numRef>
          </c:xVal>
          <c:yVal>
            <c:numRef>
              <c:f>'PE4-3 M10'!$G$26:$G$34</c:f>
              <c:numCache>
                <c:formatCode>0.00</c:formatCode>
                <c:ptCount val="9"/>
                <c:pt idx="0">
                  <c:v>0</c:v>
                </c:pt>
                <c:pt idx="1">
                  <c:v>36.685582861683812</c:v>
                </c:pt>
                <c:pt idx="2">
                  <c:v>61.308997820982633</c:v>
                </c:pt>
                <c:pt idx="3">
                  <c:v>62.329855680370891</c:v>
                </c:pt>
                <c:pt idx="4">
                  <c:v>56.249718933772208</c:v>
                </c:pt>
                <c:pt idx="5">
                  <c:v>50.18823935182882</c:v>
                </c:pt>
                <c:pt idx="6">
                  <c:v>43.52654323528774</c:v>
                </c:pt>
                <c:pt idx="7">
                  <c:v>39.46907635187997</c:v>
                </c:pt>
                <c:pt idx="8">
                  <c:v>34.837590702577984</c:v>
                </c:pt>
              </c:numCache>
            </c:numRef>
          </c:yVal>
          <c:smooth val="1"/>
          <c:extLst>
            <c:ext xmlns:c16="http://schemas.microsoft.com/office/drawing/2014/chart" uri="{C3380CC4-5D6E-409C-BE32-E72D297353CC}">
              <c16:uniqueId val="{00000000-6396-4E4A-BEB5-97676FE8FF5B}"/>
            </c:ext>
          </c:extLst>
        </c:ser>
        <c:dLbls>
          <c:showLegendKey val="0"/>
          <c:showVal val="0"/>
          <c:showCatName val="0"/>
          <c:showSerName val="0"/>
          <c:showPercent val="0"/>
          <c:showBubbleSize val="0"/>
        </c:dLbls>
        <c:axId val="-200624688"/>
        <c:axId val="-200622512"/>
      </c:scatterChart>
      <c:valAx>
        <c:axId val="-200624688"/>
        <c:scaling>
          <c:orientation val="minMax"/>
        </c:scaling>
        <c:delete val="0"/>
        <c:axPos val="b"/>
        <c:majorGridlines>
          <c:spPr>
            <a:ln w="9525" cap="flat" cmpd="sng" algn="ctr">
              <a:solidFill>
                <a:schemeClr val="tx1"/>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latin typeface="Arial" panose="020B0604020202020204" pitchFamily="34" charset="0"/>
                    <a:cs typeface="Arial" panose="020B0604020202020204" pitchFamily="34" charset="0"/>
                  </a:rPr>
                  <a:t>Deformación Unitaria Ɛ1</a:t>
                </a:r>
                <a:r>
                  <a:rPr lang="en-US" sz="1200" b="1" baseline="0">
                    <a:latin typeface="Arial" panose="020B0604020202020204" pitchFamily="34" charset="0"/>
                    <a:cs typeface="Arial" panose="020B0604020202020204" pitchFamily="34" charset="0"/>
                  </a:rPr>
                  <a:t> </a:t>
                </a:r>
                <a:r>
                  <a:rPr lang="en-US" sz="1200" b="1">
                    <a:latin typeface="Arial" panose="020B0604020202020204" pitchFamily="34" charset="0"/>
                    <a:cs typeface="Arial" panose="020B0604020202020204" pitchFamily="34" charset="0"/>
                  </a:rPr>
                  <a:t>% </a:t>
                </a:r>
              </a:p>
            </c:rich>
          </c:tx>
          <c:layout>
            <c:manualLayout>
              <c:xMode val="edge"/>
              <c:yMode val="edge"/>
              <c:x val="0.33954592555363206"/>
              <c:y val="0.9114081967096435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title>
        <c:numFmt formatCode="0.00" sourceLinked="0"/>
        <c:majorTickMark val="none"/>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2512"/>
        <c:crosses val="autoZero"/>
        <c:crossBetween val="midCat"/>
        <c:majorUnit val="1.5"/>
        <c:minorUnit val="1"/>
      </c:valAx>
      <c:valAx>
        <c:axId val="-2006225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r>
                  <a:rPr lang="en-US" sz="1200" b="1">
                    <a:latin typeface="Arial" panose="020B0604020202020204" pitchFamily="34" charset="0"/>
                    <a:cs typeface="Arial" panose="020B0604020202020204" pitchFamily="34" charset="0"/>
                  </a:rPr>
                  <a:t>Esfuerzo </a:t>
                </a:r>
                <a:r>
                  <a:rPr lang="en-US" sz="1200" b="1">
                    <a:latin typeface="Calibri" panose="020F0502020204030204" pitchFamily="34" charset="0"/>
                    <a:ea typeface="Calibri" panose="020F0502020204030204" pitchFamily="34" charset="0"/>
                    <a:cs typeface="Calibri" panose="020F0502020204030204" pitchFamily="34" charset="0"/>
                  </a:rPr>
                  <a:t>[</a:t>
                </a:r>
                <a:r>
                  <a:rPr lang="en-US" sz="1200" b="1">
                    <a:latin typeface="Arial" panose="020B0604020202020204" pitchFamily="34" charset="0"/>
                    <a:cs typeface="Arial" panose="020B0604020202020204" pitchFamily="34" charset="0"/>
                  </a:rPr>
                  <a:t>KPa</a:t>
                </a:r>
                <a:r>
                  <a:rPr lang="en-US" sz="1200" b="1">
                    <a:latin typeface="Calibri" panose="020F0502020204030204" pitchFamily="34" charset="0"/>
                    <a:ea typeface="Calibri" panose="020F0502020204030204" pitchFamily="34" charset="0"/>
                    <a:cs typeface="Calibri" panose="020F0502020204030204" pitchFamily="34" charset="0"/>
                  </a:rPr>
                  <a:t>]</a:t>
                </a:r>
                <a:endParaRPr lang="en-US" sz="1200" b="1">
                  <a:latin typeface="Arial" panose="020B0604020202020204" pitchFamily="34" charset="0"/>
                  <a:cs typeface="Arial" panose="020B0604020202020204" pitchFamily="34" charset="0"/>
                </a:endParaRPr>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endParaRPr lang="en-US"/>
            </a:p>
          </c:txPr>
        </c:title>
        <c:numFmt formatCode="0" sourceLinked="0"/>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4688"/>
        <c:crosses val="autoZero"/>
        <c:crossBetween val="midCat"/>
      </c:valAx>
      <c:spPr>
        <a:noFill/>
        <a:ln>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28575" cap="flat" cmpd="sng" algn="ctr">
      <a:solidFill>
        <a:schemeClr val="tx1"/>
      </a:solidFill>
      <a:round/>
    </a:ln>
    <a:effectLst/>
  </c:spPr>
  <c:txPr>
    <a:bodyPr/>
    <a:lstStyle/>
    <a:p>
      <a:pPr>
        <a:defRPr sz="1800"/>
      </a:pPr>
      <a:endParaRPr lang="es-MX"/>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r>
              <a:rPr lang="es-CO" sz="1200" b="1" baseline="0">
                <a:latin typeface="Arial" panose="020B0604020202020204" pitchFamily="34" charset="0"/>
                <a:cs typeface="Arial" panose="020B0604020202020204" pitchFamily="34" charset="0"/>
              </a:rPr>
              <a:t>Esfuerzo vs Deformación unitaria</a:t>
            </a:r>
          </a:p>
        </c:rich>
      </c:tx>
      <c:overlay val="0"/>
      <c:spPr>
        <a:noFill/>
        <a:ln>
          <a:noFill/>
        </a:ln>
        <a:effectLst/>
      </c:spPr>
      <c:txPr>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endParaRPr lang="es-MX"/>
        </a:p>
      </c:txPr>
    </c:title>
    <c:autoTitleDeleted val="0"/>
    <c:plotArea>
      <c:layout>
        <c:manualLayout>
          <c:layoutTarget val="inner"/>
          <c:xMode val="edge"/>
          <c:yMode val="edge"/>
          <c:x val="0.12273341490337437"/>
          <c:y val="8.985224357035336E-2"/>
          <c:w val="0.84895974726111267"/>
          <c:h val="0.75485788113695096"/>
        </c:manualLayout>
      </c:layout>
      <c:scatterChart>
        <c:scatterStyle val="smoothMarker"/>
        <c:varyColors val="0"/>
        <c:ser>
          <c:idx val="0"/>
          <c:order val="0"/>
          <c:spPr>
            <a:ln w="19050" cap="rnd">
              <a:solidFill>
                <a:schemeClr val="accent6">
                  <a:lumMod val="75000"/>
                </a:schemeClr>
              </a:solidFill>
              <a:round/>
            </a:ln>
            <a:effectLst/>
          </c:spPr>
          <c:marker>
            <c:symbol val="circle"/>
            <c:size val="5"/>
            <c:spPr>
              <a:solidFill>
                <a:schemeClr val="accent6">
                  <a:lumMod val="75000"/>
                </a:schemeClr>
              </a:solidFill>
              <a:ln w="9525">
                <a:solidFill>
                  <a:schemeClr val="accent6">
                    <a:lumMod val="75000"/>
                  </a:schemeClr>
                </a:solidFill>
              </a:ln>
              <a:effectLst/>
            </c:spPr>
          </c:marker>
          <c:xVal>
            <c:numRef>
              <c:f>'PE4-2 M11'!$I$26:$I$38</c:f>
              <c:numCache>
                <c:formatCode>0.00</c:formatCode>
                <c:ptCount val="13"/>
                <c:pt idx="0">
                  <c:v>0</c:v>
                </c:pt>
                <c:pt idx="1">
                  <c:v>0</c:v>
                </c:pt>
                <c:pt idx="2">
                  <c:v>0.11542497376705142</c:v>
                </c:pt>
                <c:pt idx="3">
                  <c:v>0.25183630640083943</c:v>
                </c:pt>
                <c:pt idx="4">
                  <c:v>0.34627492130115428</c:v>
                </c:pt>
                <c:pt idx="5">
                  <c:v>0.44071353620146902</c:v>
                </c:pt>
                <c:pt idx="6">
                  <c:v>0.54564533053515218</c:v>
                </c:pt>
                <c:pt idx="7">
                  <c:v>0.62959076600209862</c:v>
                </c:pt>
                <c:pt idx="8">
                  <c:v>0.73452256033578167</c:v>
                </c:pt>
                <c:pt idx="9">
                  <c:v>0.81846799580272833</c:v>
                </c:pt>
                <c:pt idx="10">
                  <c:v>0.91290661070304313</c:v>
                </c:pt>
                <c:pt idx="11">
                  <c:v>1.0062959076600211</c:v>
                </c:pt>
                <c:pt idx="12">
                  <c:v>1.111227701993704</c:v>
                </c:pt>
              </c:numCache>
            </c:numRef>
          </c:xVal>
          <c:yVal>
            <c:numRef>
              <c:f>'PE4-2 M11'!$G$26:$G$38</c:f>
              <c:numCache>
                <c:formatCode>0.00</c:formatCode>
                <c:ptCount val="13"/>
                <c:pt idx="0">
                  <c:v>0</c:v>
                </c:pt>
                <c:pt idx="1">
                  <c:v>19.463633619562334</c:v>
                </c:pt>
                <c:pt idx="2">
                  <c:v>73.228398432953369</c:v>
                </c:pt>
                <c:pt idx="3">
                  <c:v>119.07631835785574</c:v>
                </c:pt>
                <c:pt idx="4">
                  <c:v>151.29064031299805</c:v>
                </c:pt>
                <c:pt idx="5">
                  <c:v>185.38147712329814</c:v>
                </c:pt>
                <c:pt idx="6">
                  <c:v>223.90095434709863</c:v>
                </c:pt>
                <c:pt idx="7">
                  <c:v>258.5259348068534</c:v>
                </c:pt>
                <c:pt idx="8">
                  <c:v>298.82634471861388</c:v>
                </c:pt>
                <c:pt idx="9">
                  <c:v>327.53013246170173</c:v>
                </c:pt>
                <c:pt idx="10">
                  <c:v>332.36118469165979</c:v>
                </c:pt>
                <c:pt idx="11">
                  <c:v>262.04169744514763</c:v>
                </c:pt>
                <c:pt idx="12">
                  <c:v>193.11506158737089</c:v>
                </c:pt>
              </c:numCache>
            </c:numRef>
          </c:yVal>
          <c:smooth val="1"/>
          <c:extLst>
            <c:ext xmlns:c16="http://schemas.microsoft.com/office/drawing/2014/chart" uri="{C3380CC4-5D6E-409C-BE32-E72D297353CC}">
              <c16:uniqueId val="{00000000-54CC-4493-80FC-7B82A1A08E8D}"/>
            </c:ext>
          </c:extLst>
        </c:ser>
        <c:dLbls>
          <c:showLegendKey val="0"/>
          <c:showVal val="0"/>
          <c:showCatName val="0"/>
          <c:showSerName val="0"/>
          <c:showPercent val="0"/>
          <c:showBubbleSize val="0"/>
        </c:dLbls>
        <c:axId val="-200624688"/>
        <c:axId val="-200622512"/>
      </c:scatterChart>
      <c:valAx>
        <c:axId val="-200624688"/>
        <c:scaling>
          <c:orientation val="minMax"/>
          <c:min val="0"/>
        </c:scaling>
        <c:delete val="0"/>
        <c:axPos val="b"/>
        <c:majorGridlines>
          <c:spPr>
            <a:ln w="9525" cap="flat" cmpd="sng" algn="ctr">
              <a:solidFill>
                <a:schemeClr val="tx1"/>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latin typeface="Arial" panose="020B0604020202020204" pitchFamily="34" charset="0"/>
                    <a:cs typeface="Arial" panose="020B0604020202020204" pitchFamily="34" charset="0"/>
                  </a:rPr>
                  <a:t>Deformación Unitaria Ɛ1</a:t>
                </a:r>
                <a:r>
                  <a:rPr lang="en-US" sz="1200" b="1" baseline="0">
                    <a:latin typeface="Arial" panose="020B0604020202020204" pitchFamily="34" charset="0"/>
                    <a:cs typeface="Arial" panose="020B0604020202020204" pitchFamily="34" charset="0"/>
                  </a:rPr>
                  <a:t> </a:t>
                </a:r>
                <a:r>
                  <a:rPr lang="en-US" sz="1200" b="1">
                    <a:latin typeface="Arial" panose="020B0604020202020204" pitchFamily="34" charset="0"/>
                    <a:cs typeface="Arial" panose="020B0604020202020204" pitchFamily="34" charset="0"/>
                  </a:rPr>
                  <a:t>% </a:t>
                </a:r>
              </a:p>
            </c:rich>
          </c:tx>
          <c:layout>
            <c:manualLayout>
              <c:xMode val="edge"/>
              <c:yMode val="edge"/>
              <c:x val="0.33954592555363206"/>
              <c:y val="0.9114081967096435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title>
        <c:numFmt formatCode="0.00" sourceLinked="0"/>
        <c:majorTickMark val="none"/>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2512"/>
        <c:crosses val="autoZero"/>
        <c:crossBetween val="midCat"/>
        <c:majorUnit val="0.1"/>
      </c:valAx>
      <c:valAx>
        <c:axId val="-2006225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r>
                  <a:rPr lang="en-US" sz="1200" b="1">
                    <a:latin typeface="Arial" panose="020B0604020202020204" pitchFamily="34" charset="0"/>
                    <a:cs typeface="Arial" panose="020B0604020202020204" pitchFamily="34" charset="0"/>
                  </a:rPr>
                  <a:t>Esfuerzo </a:t>
                </a:r>
                <a:r>
                  <a:rPr lang="en-US" sz="1200" b="1">
                    <a:latin typeface="Calibri" panose="020F0502020204030204" pitchFamily="34" charset="0"/>
                    <a:ea typeface="Calibri" panose="020F0502020204030204" pitchFamily="34" charset="0"/>
                    <a:cs typeface="Calibri" panose="020F0502020204030204" pitchFamily="34" charset="0"/>
                  </a:rPr>
                  <a:t>[</a:t>
                </a:r>
                <a:r>
                  <a:rPr lang="en-US" sz="1200" b="1">
                    <a:latin typeface="Arial" panose="020B0604020202020204" pitchFamily="34" charset="0"/>
                    <a:cs typeface="Arial" panose="020B0604020202020204" pitchFamily="34" charset="0"/>
                  </a:rPr>
                  <a:t>KPa</a:t>
                </a:r>
                <a:r>
                  <a:rPr lang="en-US" sz="1200" b="1">
                    <a:latin typeface="Calibri" panose="020F0502020204030204" pitchFamily="34" charset="0"/>
                    <a:ea typeface="Calibri" panose="020F0502020204030204" pitchFamily="34" charset="0"/>
                    <a:cs typeface="Calibri" panose="020F0502020204030204" pitchFamily="34" charset="0"/>
                  </a:rPr>
                  <a:t>]</a:t>
                </a:r>
                <a:endParaRPr lang="en-US" sz="1200" b="1">
                  <a:latin typeface="Arial" panose="020B0604020202020204" pitchFamily="34" charset="0"/>
                  <a:cs typeface="Arial" panose="020B0604020202020204" pitchFamily="34" charset="0"/>
                </a:endParaRPr>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endParaRPr lang="en-US"/>
            </a:p>
          </c:txPr>
        </c:title>
        <c:numFmt formatCode="0" sourceLinked="0"/>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4688"/>
        <c:crosses val="autoZero"/>
        <c:crossBetween val="midCat"/>
      </c:valAx>
      <c:spPr>
        <a:noFill/>
        <a:ln>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28575" cap="flat" cmpd="sng" algn="ctr">
      <a:solidFill>
        <a:schemeClr val="tx1"/>
      </a:solidFill>
      <a:round/>
    </a:ln>
    <a:effectLst/>
  </c:spPr>
  <c:txPr>
    <a:bodyPr/>
    <a:lstStyle/>
    <a:p>
      <a:pPr>
        <a:defRPr sz="1800"/>
      </a:pPr>
      <a:endParaRPr lang="es-MX"/>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r>
              <a:rPr lang="es-CO" sz="1200" b="1" baseline="0">
                <a:latin typeface="Arial" panose="020B0604020202020204" pitchFamily="34" charset="0"/>
                <a:cs typeface="Arial" panose="020B0604020202020204" pitchFamily="34" charset="0"/>
              </a:rPr>
              <a:t>Esfuerzo vs Deformación unitaria</a:t>
            </a:r>
          </a:p>
        </c:rich>
      </c:tx>
      <c:overlay val="0"/>
      <c:spPr>
        <a:noFill/>
        <a:ln>
          <a:noFill/>
        </a:ln>
        <a:effectLst/>
      </c:spPr>
      <c:txPr>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endParaRPr lang="es-MX"/>
        </a:p>
      </c:txPr>
    </c:title>
    <c:autoTitleDeleted val="0"/>
    <c:plotArea>
      <c:layout>
        <c:manualLayout>
          <c:layoutTarget val="inner"/>
          <c:xMode val="edge"/>
          <c:yMode val="edge"/>
          <c:x val="0.12273341490337437"/>
          <c:y val="8.985224357035336E-2"/>
          <c:w val="0.84895974726111267"/>
          <c:h val="0.75485788113695096"/>
        </c:manualLayout>
      </c:layout>
      <c:scatterChart>
        <c:scatterStyle val="smoothMarker"/>
        <c:varyColors val="0"/>
        <c:ser>
          <c:idx val="0"/>
          <c:order val="0"/>
          <c:spPr>
            <a:ln w="19050" cap="rnd">
              <a:solidFill>
                <a:schemeClr val="accent6">
                  <a:lumMod val="75000"/>
                </a:schemeClr>
              </a:solidFill>
              <a:round/>
            </a:ln>
            <a:effectLst/>
          </c:spPr>
          <c:marker>
            <c:symbol val="circle"/>
            <c:size val="5"/>
            <c:spPr>
              <a:solidFill>
                <a:schemeClr val="accent6">
                  <a:lumMod val="75000"/>
                </a:schemeClr>
              </a:solidFill>
              <a:ln w="9525">
                <a:solidFill>
                  <a:schemeClr val="accent6">
                    <a:lumMod val="75000"/>
                  </a:schemeClr>
                </a:solidFill>
              </a:ln>
              <a:effectLst/>
            </c:spPr>
          </c:marker>
          <c:xVal>
            <c:numRef>
              <c:f>'PE4-7 M7'!$I$26:$I$38</c:f>
              <c:numCache>
                <c:formatCode>0.00</c:formatCode>
                <c:ptCount val="13"/>
                <c:pt idx="0">
                  <c:v>0</c:v>
                </c:pt>
                <c:pt idx="1">
                  <c:v>0.32467532467532467</c:v>
                </c:pt>
                <c:pt idx="2">
                  <c:v>0.70129870129870131</c:v>
                </c:pt>
                <c:pt idx="3">
                  <c:v>1.1038961038961039</c:v>
                </c:pt>
                <c:pt idx="4">
                  <c:v>1.4805194805194803</c:v>
                </c:pt>
                <c:pt idx="5">
                  <c:v>1.8961038961038961</c:v>
                </c:pt>
                <c:pt idx="6">
                  <c:v>2.3376623376623376</c:v>
                </c:pt>
                <c:pt idx="7">
                  <c:v>2.8571428571428572</c:v>
                </c:pt>
                <c:pt idx="8">
                  <c:v>3.3246753246753249</c:v>
                </c:pt>
                <c:pt idx="9">
                  <c:v>3.7272727272727275</c:v>
                </c:pt>
                <c:pt idx="10">
                  <c:v>4.116883116883117</c:v>
                </c:pt>
                <c:pt idx="11">
                  <c:v>4.5064935064935066</c:v>
                </c:pt>
                <c:pt idx="12">
                  <c:v>4.8961038961038961</c:v>
                </c:pt>
              </c:numCache>
            </c:numRef>
          </c:xVal>
          <c:yVal>
            <c:numRef>
              <c:f>'PE4-7 M7'!$G$26:$G$38</c:f>
              <c:numCache>
                <c:formatCode>0.00</c:formatCode>
                <c:ptCount val="13"/>
                <c:pt idx="0">
                  <c:v>0</c:v>
                </c:pt>
                <c:pt idx="1">
                  <c:v>19.362848753131249</c:v>
                </c:pt>
                <c:pt idx="2">
                  <c:v>27.556694567974226</c:v>
                </c:pt>
                <c:pt idx="3">
                  <c:v>29.274633064451834</c:v>
                </c:pt>
                <c:pt idx="4">
                  <c:v>31.897192321662036</c:v>
                </c:pt>
                <c:pt idx="5">
                  <c:v>32.670144509517762</c:v>
                </c:pt>
                <c:pt idx="6">
                  <c:v>28.006001559360676</c:v>
                </c:pt>
                <c:pt idx="7">
                  <c:v>26.059805500414029</c:v>
                </c:pt>
                <c:pt idx="8">
                  <c:v>25.040094873973342</c:v>
                </c:pt>
                <c:pt idx="9">
                  <c:v>24.04525230828586</c:v>
                </c:pt>
                <c:pt idx="10">
                  <c:v>21.287060004745356</c:v>
                </c:pt>
                <c:pt idx="11">
                  <c:v>20.317205635370279</c:v>
                </c:pt>
                <c:pt idx="12">
                  <c:v>20.234312099526253</c:v>
                </c:pt>
              </c:numCache>
            </c:numRef>
          </c:yVal>
          <c:smooth val="1"/>
          <c:extLst>
            <c:ext xmlns:c16="http://schemas.microsoft.com/office/drawing/2014/chart" uri="{C3380CC4-5D6E-409C-BE32-E72D297353CC}">
              <c16:uniqueId val="{00000000-4700-49D4-A1B1-C1938C7A1027}"/>
            </c:ext>
          </c:extLst>
        </c:ser>
        <c:dLbls>
          <c:showLegendKey val="0"/>
          <c:showVal val="0"/>
          <c:showCatName val="0"/>
          <c:showSerName val="0"/>
          <c:showPercent val="0"/>
          <c:showBubbleSize val="0"/>
        </c:dLbls>
        <c:axId val="-200624688"/>
        <c:axId val="-200622512"/>
      </c:scatterChart>
      <c:valAx>
        <c:axId val="-200624688"/>
        <c:scaling>
          <c:orientation val="minMax"/>
        </c:scaling>
        <c:delete val="0"/>
        <c:axPos val="b"/>
        <c:majorGridlines>
          <c:spPr>
            <a:ln w="9525" cap="flat" cmpd="sng" algn="ctr">
              <a:solidFill>
                <a:schemeClr val="tx1"/>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latin typeface="Arial" panose="020B0604020202020204" pitchFamily="34" charset="0"/>
                    <a:cs typeface="Arial" panose="020B0604020202020204" pitchFamily="34" charset="0"/>
                  </a:rPr>
                  <a:t>Deformación Unitaria Ɛ1</a:t>
                </a:r>
                <a:r>
                  <a:rPr lang="en-US" sz="1200" b="1" baseline="0">
                    <a:latin typeface="Arial" panose="020B0604020202020204" pitchFamily="34" charset="0"/>
                    <a:cs typeface="Arial" panose="020B0604020202020204" pitchFamily="34" charset="0"/>
                  </a:rPr>
                  <a:t> </a:t>
                </a:r>
                <a:r>
                  <a:rPr lang="en-US" sz="1200" b="1">
                    <a:latin typeface="Arial" panose="020B0604020202020204" pitchFamily="34" charset="0"/>
                    <a:cs typeface="Arial" panose="020B0604020202020204" pitchFamily="34" charset="0"/>
                  </a:rPr>
                  <a:t>% </a:t>
                </a:r>
              </a:p>
            </c:rich>
          </c:tx>
          <c:layout>
            <c:manualLayout>
              <c:xMode val="edge"/>
              <c:yMode val="edge"/>
              <c:x val="0.33954592555363206"/>
              <c:y val="0.9114081967096435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title>
        <c:numFmt formatCode="0.00" sourceLinked="0"/>
        <c:majorTickMark val="none"/>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2512"/>
        <c:crosses val="autoZero"/>
        <c:crossBetween val="midCat"/>
        <c:majorUnit val="1"/>
        <c:minorUnit val="1"/>
      </c:valAx>
      <c:valAx>
        <c:axId val="-2006225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r>
                  <a:rPr lang="en-US" sz="1200" b="1">
                    <a:latin typeface="Arial" panose="020B0604020202020204" pitchFamily="34" charset="0"/>
                    <a:cs typeface="Arial" panose="020B0604020202020204" pitchFamily="34" charset="0"/>
                  </a:rPr>
                  <a:t>Esfuerzo </a:t>
                </a:r>
                <a:r>
                  <a:rPr lang="en-US" sz="1200" b="1">
                    <a:latin typeface="Calibri" panose="020F0502020204030204" pitchFamily="34" charset="0"/>
                    <a:ea typeface="Calibri" panose="020F0502020204030204" pitchFamily="34" charset="0"/>
                    <a:cs typeface="Calibri" panose="020F0502020204030204" pitchFamily="34" charset="0"/>
                  </a:rPr>
                  <a:t>[</a:t>
                </a:r>
                <a:r>
                  <a:rPr lang="en-US" sz="1200" b="1">
                    <a:latin typeface="Arial" panose="020B0604020202020204" pitchFamily="34" charset="0"/>
                    <a:cs typeface="Arial" panose="020B0604020202020204" pitchFamily="34" charset="0"/>
                  </a:rPr>
                  <a:t>KPa</a:t>
                </a:r>
                <a:r>
                  <a:rPr lang="en-US" sz="1200" b="1">
                    <a:latin typeface="Calibri" panose="020F0502020204030204" pitchFamily="34" charset="0"/>
                    <a:ea typeface="Calibri" panose="020F0502020204030204" pitchFamily="34" charset="0"/>
                    <a:cs typeface="Calibri" panose="020F0502020204030204" pitchFamily="34" charset="0"/>
                  </a:rPr>
                  <a:t>]</a:t>
                </a:r>
                <a:endParaRPr lang="en-US" sz="1200" b="1">
                  <a:latin typeface="Arial" panose="020B0604020202020204" pitchFamily="34" charset="0"/>
                  <a:cs typeface="Arial" panose="020B0604020202020204" pitchFamily="34" charset="0"/>
                </a:endParaRPr>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endParaRPr lang="en-US"/>
            </a:p>
          </c:txPr>
        </c:title>
        <c:numFmt formatCode="0" sourceLinked="0"/>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4688"/>
        <c:crosses val="autoZero"/>
        <c:crossBetween val="midCat"/>
      </c:valAx>
      <c:spPr>
        <a:noFill/>
        <a:ln>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28575" cap="flat" cmpd="sng" algn="ctr">
      <a:solidFill>
        <a:schemeClr val="tx1"/>
      </a:solidFill>
      <a:round/>
    </a:ln>
    <a:effectLst/>
  </c:spPr>
  <c:txPr>
    <a:bodyPr/>
    <a:lstStyle/>
    <a:p>
      <a:pPr>
        <a:defRPr sz="1800"/>
      </a:pPr>
      <a:endParaRPr lang="es-MX"/>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r>
              <a:rPr lang="es-CO" sz="1200" b="1" baseline="0">
                <a:latin typeface="Arial" panose="020B0604020202020204" pitchFamily="34" charset="0"/>
                <a:cs typeface="Arial" panose="020B0604020202020204" pitchFamily="34" charset="0"/>
              </a:rPr>
              <a:t>Esfuerzo vs Deformación unitaria</a:t>
            </a:r>
          </a:p>
        </c:rich>
      </c:tx>
      <c:overlay val="0"/>
      <c:spPr>
        <a:noFill/>
        <a:ln>
          <a:noFill/>
        </a:ln>
        <a:effectLst/>
      </c:spPr>
      <c:txPr>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endParaRPr lang="es-MX"/>
        </a:p>
      </c:txPr>
    </c:title>
    <c:autoTitleDeleted val="0"/>
    <c:plotArea>
      <c:layout>
        <c:manualLayout>
          <c:layoutTarget val="inner"/>
          <c:xMode val="edge"/>
          <c:yMode val="edge"/>
          <c:x val="0.12273341490337437"/>
          <c:y val="8.985224357035336E-2"/>
          <c:w val="0.84895974726111267"/>
          <c:h val="0.75485788113695096"/>
        </c:manualLayout>
      </c:layout>
      <c:scatterChart>
        <c:scatterStyle val="smoothMarker"/>
        <c:varyColors val="0"/>
        <c:ser>
          <c:idx val="0"/>
          <c:order val="0"/>
          <c:spPr>
            <a:ln w="19050" cap="rnd">
              <a:solidFill>
                <a:schemeClr val="accent6">
                  <a:lumMod val="75000"/>
                </a:schemeClr>
              </a:solidFill>
              <a:round/>
            </a:ln>
            <a:effectLst/>
          </c:spPr>
          <c:marker>
            <c:symbol val="circle"/>
            <c:size val="5"/>
            <c:spPr>
              <a:solidFill>
                <a:schemeClr val="accent6">
                  <a:lumMod val="75000"/>
                </a:schemeClr>
              </a:solidFill>
              <a:ln w="9525">
                <a:solidFill>
                  <a:schemeClr val="accent6">
                    <a:lumMod val="75000"/>
                  </a:schemeClr>
                </a:solidFill>
              </a:ln>
              <a:effectLst/>
            </c:spPr>
          </c:marker>
          <c:xVal>
            <c:numRef>
              <c:f>'PP4-3 M6'!$I$26:$I$58</c:f>
              <c:numCache>
                <c:formatCode>0.00</c:formatCode>
                <c:ptCount val="33"/>
                <c:pt idx="0">
                  <c:v>0</c:v>
                </c:pt>
                <c:pt idx="1">
                  <c:v>1.1037527593818984E-2</c:v>
                </c:pt>
                <c:pt idx="2">
                  <c:v>8.8300220750551869E-2</c:v>
                </c:pt>
                <c:pt idx="3">
                  <c:v>0.19867549668874168</c:v>
                </c:pt>
                <c:pt idx="4">
                  <c:v>0.26490066225165559</c:v>
                </c:pt>
                <c:pt idx="5">
                  <c:v>0.35320088300220748</c:v>
                </c:pt>
                <c:pt idx="6">
                  <c:v>0.45253863134657829</c:v>
                </c:pt>
                <c:pt idx="7">
                  <c:v>0.55187637969094916</c:v>
                </c:pt>
                <c:pt idx="8">
                  <c:v>0.63907284768211914</c:v>
                </c:pt>
                <c:pt idx="9">
                  <c:v>0.71743929359823388</c:v>
                </c:pt>
                <c:pt idx="10">
                  <c:v>0.80573951434878577</c:v>
                </c:pt>
                <c:pt idx="11">
                  <c:v>0.91611479028697562</c:v>
                </c:pt>
                <c:pt idx="12">
                  <c:v>1.0154525386313464</c:v>
                </c:pt>
                <c:pt idx="13">
                  <c:v>1.1037527593818983</c:v>
                </c:pt>
                <c:pt idx="14">
                  <c:v>1.2030905077262692</c:v>
                </c:pt>
                <c:pt idx="15">
                  <c:v>1.313465783664459</c:v>
                </c:pt>
                <c:pt idx="16">
                  <c:v>1.423841059602649</c:v>
                </c:pt>
                <c:pt idx="17">
                  <c:v>1.5342163355408385</c:v>
                </c:pt>
                <c:pt idx="18">
                  <c:v>1.6225165562913906</c:v>
                </c:pt>
                <c:pt idx="19">
                  <c:v>1.7439293598233996</c:v>
                </c:pt>
                <c:pt idx="20">
                  <c:v>1.8763796909492272</c:v>
                </c:pt>
                <c:pt idx="21">
                  <c:v>1.9757174392935981</c:v>
                </c:pt>
                <c:pt idx="22">
                  <c:v>2.0860927152317879</c:v>
                </c:pt>
                <c:pt idx="23">
                  <c:v>2.1964679911699774</c:v>
                </c:pt>
                <c:pt idx="24">
                  <c:v>2.3178807947019866</c:v>
                </c:pt>
                <c:pt idx="25">
                  <c:v>2.4061810154525385</c:v>
                </c:pt>
                <c:pt idx="26">
                  <c:v>2.5055187637969092</c:v>
                </c:pt>
                <c:pt idx="27">
                  <c:v>2.5938189845474611</c:v>
                </c:pt>
                <c:pt idx="28">
                  <c:v>2.7152317880794699</c:v>
                </c:pt>
                <c:pt idx="29">
                  <c:v>2.7924944812362025</c:v>
                </c:pt>
                <c:pt idx="30">
                  <c:v>2.8807947019867544</c:v>
                </c:pt>
                <c:pt idx="31">
                  <c:v>2.9470198675496686</c:v>
                </c:pt>
                <c:pt idx="32">
                  <c:v>3.0353200883002205</c:v>
                </c:pt>
              </c:numCache>
            </c:numRef>
          </c:xVal>
          <c:yVal>
            <c:numRef>
              <c:f>'PP4-3 M6'!$G$26:$G$58</c:f>
              <c:numCache>
                <c:formatCode>0.00</c:formatCode>
                <c:ptCount val="33"/>
                <c:pt idx="0">
                  <c:v>0</c:v>
                </c:pt>
                <c:pt idx="1">
                  <c:v>5.0745336837096504</c:v>
                </c:pt>
                <c:pt idx="2">
                  <c:v>22.183929816658733</c:v>
                </c:pt>
                <c:pt idx="3">
                  <c:v>38.62070796520397</c:v>
                </c:pt>
                <c:pt idx="4">
                  <c:v>49.351086440943135</c:v>
                </c:pt>
                <c:pt idx="5">
                  <c:v>58.789584653070946</c:v>
                </c:pt>
                <c:pt idx="6">
                  <c:v>63.783104490439214</c:v>
                </c:pt>
                <c:pt idx="7">
                  <c:v>68.135655659346867</c:v>
                </c:pt>
                <c:pt idx="8">
                  <c:v>69.966911687653337</c:v>
                </c:pt>
                <c:pt idx="9">
                  <c:v>71.801234618699453</c:v>
                </c:pt>
                <c:pt idx="10">
                  <c:v>72.36665104843722</c:v>
                </c:pt>
                <c:pt idx="11">
                  <c:v>72.914702366772516</c:v>
                </c:pt>
                <c:pt idx="12">
                  <c:v>73.469545684325709</c:v>
                </c:pt>
                <c:pt idx="13">
                  <c:v>72.776621722878673</c:v>
                </c:pt>
                <c:pt idx="14">
                  <c:v>72.703520205523091</c:v>
                </c:pt>
                <c:pt idx="15">
                  <c:v>71.996242018924804</c:v>
                </c:pt>
                <c:pt idx="16">
                  <c:v>70.665010172215901</c:v>
                </c:pt>
                <c:pt idx="17">
                  <c:v>69.961233016142302</c:v>
                </c:pt>
                <c:pt idx="18">
                  <c:v>69.274400847808209</c:v>
                </c:pt>
                <c:pt idx="19">
                  <c:v>67.318935258546702</c:v>
                </c:pt>
                <c:pt idx="20">
                  <c:v>66.605705320056444</c:v>
                </c:pt>
                <c:pt idx="21">
                  <c:v>64.672716346763465</c:v>
                </c:pt>
                <c:pt idx="22">
                  <c:v>63.978742076158994</c:v>
                </c:pt>
                <c:pt idx="23">
                  <c:v>62.045262958592573</c:v>
                </c:pt>
                <c:pt idx="24">
                  <c:v>60.728875481308371</c:v>
                </c:pt>
                <c:pt idx="25">
                  <c:v>58.816612608721556</c:v>
                </c:pt>
                <c:pt idx="26">
                  <c:v>57.519760881765123</c:v>
                </c:pt>
                <c:pt idx="27">
                  <c:v>55.613869884733276</c:v>
                </c:pt>
                <c:pt idx="28">
                  <c:v>53.075902836773501</c:v>
                </c:pt>
                <c:pt idx="29">
                  <c:v>50.567064362779192</c:v>
                </c:pt>
                <c:pt idx="30">
                  <c:v>48.672796787089304</c:v>
                </c:pt>
                <c:pt idx="31">
                  <c:v>46.792533333498184</c:v>
                </c:pt>
                <c:pt idx="32">
                  <c:v>44.289436549564357</c:v>
                </c:pt>
              </c:numCache>
            </c:numRef>
          </c:yVal>
          <c:smooth val="1"/>
          <c:extLst>
            <c:ext xmlns:c16="http://schemas.microsoft.com/office/drawing/2014/chart" uri="{C3380CC4-5D6E-409C-BE32-E72D297353CC}">
              <c16:uniqueId val="{00000000-66D7-4505-932A-EEE8437579B3}"/>
            </c:ext>
          </c:extLst>
        </c:ser>
        <c:dLbls>
          <c:showLegendKey val="0"/>
          <c:showVal val="0"/>
          <c:showCatName val="0"/>
          <c:showSerName val="0"/>
          <c:showPercent val="0"/>
          <c:showBubbleSize val="0"/>
        </c:dLbls>
        <c:axId val="-200624688"/>
        <c:axId val="-200622512"/>
      </c:scatterChart>
      <c:valAx>
        <c:axId val="-200624688"/>
        <c:scaling>
          <c:orientation val="minMax"/>
        </c:scaling>
        <c:delete val="0"/>
        <c:axPos val="b"/>
        <c:majorGridlines>
          <c:spPr>
            <a:ln w="9525" cap="flat" cmpd="sng" algn="ctr">
              <a:solidFill>
                <a:schemeClr val="tx1"/>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latin typeface="Arial" panose="020B0604020202020204" pitchFamily="34" charset="0"/>
                    <a:cs typeface="Arial" panose="020B0604020202020204" pitchFamily="34" charset="0"/>
                  </a:rPr>
                  <a:t>Deformación Unitaria Ɛ1</a:t>
                </a:r>
                <a:r>
                  <a:rPr lang="en-US" sz="1200" b="1" baseline="0">
                    <a:latin typeface="Arial" panose="020B0604020202020204" pitchFamily="34" charset="0"/>
                    <a:cs typeface="Arial" panose="020B0604020202020204" pitchFamily="34" charset="0"/>
                  </a:rPr>
                  <a:t> </a:t>
                </a:r>
                <a:r>
                  <a:rPr lang="en-US" sz="1200" b="1">
                    <a:latin typeface="Arial" panose="020B0604020202020204" pitchFamily="34" charset="0"/>
                    <a:cs typeface="Arial" panose="020B0604020202020204" pitchFamily="34" charset="0"/>
                  </a:rPr>
                  <a:t>% </a:t>
                </a:r>
              </a:p>
            </c:rich>
          </c:tx>
          <c:layout>
            <c:manualLayout>
              <c:xMode val="edge"/>
              <c:yMode val="edge"/>
              <c:x val="0.33954592555363206"/>
              <c:y val="0.9114081967096435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title>
        <c:numFmt formatCode="0.00" sourceLinked="0"/>
        <c:majorTickMark val="none"/>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2512"/>
        <c:crosses val="autoZero"/>
        <c:crossBetween val="midCat"/>
        <c:majorUnit val="1"/>
        <c:minorUnit val="1"/>
      </c:valAx>
      <c:valAx>
        <c:axId val="-2006225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r>
                  <a:rPr lang="en-US" sz="1200" b="1">
                    <a:latin typeface="Arial" panose="020B0604020202020204" pitchFamily="34" charset="0"/>
                    <a:cs typeface="Arial" panose="020B0604020202020204" pitchFamily="34" charset="0"/>
                  </a:rPr>
                  <a:t>Esfuerzo </a:t>
                </a:r>
                <a:r>
                  <a:rPr lang="en-US" sz="1200" b="1">
                    <a:latin typeface="Calibri" panose="020F0502020204030204" pitchFamily="34" charset="0"/>
                    <a:ea typeface="Calibri" panose="020F0502020204030204" pitchFamily="34" charset="0"/>
                    <a:cs typeface="Calibri" panose="020F0502020204030204" pitchFamily="34" charset="0"/>
                  </a:rPr>
                  <a:t>[</a:t>
                </a:r>
                <a:r>
                  <a:rPr lang="en-US" sz="1200" b="1">
                    <a:latin typeface="Arial" panose="020B0604020202020204" pitchFamily="34" charset="0"/>
                    <a:cs typeface="Arial" panose="020B0604020202020204" pitchFamily="34" charset="0"/>
                  </a:rPr>
                  <a:t>KPa</a:t>
                </a:r>
                <a:r>
                  <a:rPr lang="en-US" sz="1200" b="1">
                    <a:latin typeface="Calibri" panose="020F0502020204030204" pitchFamily="34" charset="0"/>
                    <a:ea typeface="Calibri" panose="020F0502020204030204" pitchFamily="34" charset="0"/>
                    <a:cs typeface="Calibri" panose="020F0502020204030204" pitchFamily="34" charset="0"/>
                  </a:rPr>
                  <a:t>]</a:t>
                </a:r>
                <a:endParaRPr lang="en-US" sz="1200" b="1">
                  <a:latin typeface="Arial" panose="020B0604020202020204" pitchFamily="34" charset="0"/>
                  <a:cs typeface="Arial" panose="020B0604020202020204" pitchFamily="34" charset="0"/>
                </a:endParaRPr>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endParaRPr lang="en-US"/>
            </a:p>
          </c:txPr>
        </c:title>
        <c:numFmt formatCode="0" sourceLinked="0"/>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4688"/>
        <c:crosses val="autoZero"/>
        <c:crossBetween val="midCat"/>
      </c:valAx>
      <c:spPr>
        <a:noFill/>
        <a:ln>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28575" cap="flat" cmpd="sng" algn="ctr">
      <a:solidFill>
        <a:schemeClr val="tx1"/>
      </a:solidFill>
      <a:round/>
    </a:ln>
    <a:effectLst/>
  </c:spPr>
  <c:txPr>
    <a:bodyPr/>
    <a:lstStyle/>
    <a:p>
      <a:pPr>
        <a:defRPr sz="1800"/>
      </a:pPr>
      <a:endParaRPr lang="es-MX"/>
    </a:p>
  </c:txPr>
  <c:printSettings>
    <c:headerFooter/>
    <c:pageMargins b="0.75" l="0.7" r="0.7" t="0.75" header="0.3" footer="0.3"/>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r>
              <a:rPr lang="es-CO" sz="1200" b="1" baseline="0">
                <a:latin typeface="Arial" panose="020B0604020202020204" pitchFamily="34" charset="0"/>
                <a:cs typeface="Arial" panose="020B0604020202020204" pitchFamily="34" charset="0"/>
              </a:rPr>
              <a:t>Esfuerzo vs Deformación unitaria</a:t>
            </a:r>
          </a:p>
        </c:rich>
      </c:tx>
      <c:overlay val="0"/>
      <c:spPr>
        <a:noFill/>
        <a:ln>
          <a:noFill/>
        </a:ln>
        <a:effectLst/>
      </c:spPr>
      <c:txPr>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endParaRPr lang="es-MX"/>
        </a:p>
      </c:txPr>
    </c:title>
    <c:autoTitleDeleted val="0"/>
    <c:plotArea>
      <c:layout>
        <c:manualLayout>
          <c:layoutTarget val="inner"/>
          <c:xMode val="edge"/>
          <c:yMode val="edge"/>
          <c:x val="0.12273341490337437"/>
          <c:y val="8.985224357035336E-2"/>
          <c:w val="0.84895974726111267"/>
          <c:h val="0.75485788113695096"/>
        </c:manualLayout>
      </c:layout>
      <c:scatterChart>
        <c:scatterStyle val="smoothMarker"/>
        <c:varyColors val="0"/>
        <c:ser>
          <c:idx val="0"/>
          <c:order val="0"/>
          <c:spPr>
            <a:ln w="19050" cap="rnd">
              <a:solidFill>
                <a:schemeClr val="accent6">
                  <a:lumMod val="75000"/>
                </a:schemeClr>
              </a:solidFill>
              <a:round/>
            </a:ln>
            <a:effectLst/>
          </c:spPr>
          <c:marker>
            <c:symbol val="circle"/>
            <c:size val="5"/>
            <c:spPr>
              <a:solidFill>
                <a:schemeClr val="accent6">
                  <a:lumMod val="75000"/>
                </a:schemeClr>
              </a:solidFill>
              <a:ln w="9525">
                <a:solidFill>
                  <a:schemeClr val="accent6">
                    <a:lumMod val="75000"/>
                  </a:schemeClr>
                </a:solidFill>
              </a:ln>
              <a:effectLst/>
            </c:spPr>
          </c:marker>
          <c:xVal>
            <c:numRef>
              <c:f>'PP4-4 M5'!$I$26:$I$58</c:f>
              <c:numCache>
                <c:formatCode>0.00</c:formatCode>
                <c:ptCount val="33"/>
                <c:pt idx="0">
                  <c:v>0</c:v>
                </c:pt>
                <c:pt idx="1">
                  <c:v>0.39239001189060646</c:v>
                </c:pt>
                <c:pt idx="2">
                  <c:v>0.84423305588585029</c:v>
                </c:pt>
                <c:pt idx="3">
                  <c:v>1.3555291319857312</c:v>
                </c:pt>
                <c:pt idx="4">
                  <c:v>1.902497027348395</c:v>
                </c:pt>
                <c:pt idx="5">
                  <c:v>2.4256837098692037</c:v>
                </c:pt>
                <c:pt idx="6">
                  <c:v>2.8299643281807372</c:v>
                </c:pt>
                <c:pt idx="7">
                  <c:v>3.2580261593341264</c:v>
                </c:pt>
                <c:pt idx="8">
                  <c:v>3.6979785969084427</c:v>
                </c:pt>
                <c:pt idx="9">
                  <c:v>4.1498216409036868</c:v>
                </c:pt>
                <c:pt idx="10">
                  <c:v>4.6373365041617127</c:v>
                </c:pt>
                <c:pt idx="11">
                  <c:v>5.1843043995243772</c:v>
                </c:pt>
                <c:pt idx="12">
                  <c:v>5.7312722948870398</c:v>
                </c:pt>
                <c:pt idx="13">
                  <c:v>6.1950059453032109</c:v>
                </c:pt>
                <c:pt idx="14">
                  <c:v>6.6230677764565993</c:v>
                </c:pt>
                <c:pt idx="15">
                  <c:v>7.0630202140309173</c:v>
                </c:pt>
                <c:pt idx="16">
                  <c:v>7.4673008323424508</c:v>
                </c:pt>
                <c:pt idx="17">
                  <c:v>7.931034482758621</c:v>
                </c:pt>
                <c:pt idx="18">
                  <c:v>8.4661117717003584</c:v>
                </c:pt>
                <c:pt idx="19">
                  <c:v>9.0130796670630211</c:v>
                </c:pt>
                <c:pt idx="20">
                  <c:v>9.4530321046373373</c:v>
                </c:pt>
                <c:pt idx="21">
                  <c:v>9.8929845422116536</c:v>
                </c:pt>
                <c:pt idx="22">
                  <c:v>10.28537455410226</c:v>
                </c:pt>
                <c:pt idx="23">
                  <c:v>10.736028537455411</c:v>
                </c:pt>
                <c:pt idx="24">
                  <c:v>11.200951248513674</c:v>
                </c:pt>
                <c:pt idx="25">
                  <c:v>11.676575505350774</c:v>
                </c:pt>
                <c:pt idx="26">
                  <c:v>12.187871581450654</c:v>
                </c:pt>
                <c:pt idx="27">
                  <c:v>12.758620689655173</c:v>
                </c:pt>
                <c:pt idx="28">
                  <c:v>13.234244946492273</c:v>
                </c:pt>
                <c:pt idx="29">
                  <c:v>13.638525564803809</c:v>
                </c:pt>
                <c:pt idx="30">
                  <c:v>14.078478002378123</c:v>
                </c:pt>
                <c:pt idx="31">
                  <c:v>14.518430439952439</c:v>
                </c:pt>
                <c:pt idx="32">
                  <c:v>14.958382877526756</c:v>
                </c:pt>
              </c:numCache>
            </c:numRef>
          </c:xVal>
          <c:yVal>
            <c:numRef>
              <c:f>'PP4-4 M5'!$G$26:$G$58</c:f>
              <c:numCache>
                <c:formatCode>0.00</c:formatCode>
                <c:ptCount val="33"/>
                <c:pt idx="0">
                  <c:v>0</c:v>
                </c:pt>
                <c:pt idx="1">
                  <c:v>6.2132249653839926</c:v>
                </c:pt>
                <c:pt idx="2">
                  <c:v>8.8357719242035362</c:v>
                </c:pt>
                <c:pt idx="3">
                  <c:v>11.427273419852535</c:v>
                </c:pt>
                <c:pt idx="4">
                  <c:v>13.112205008036787</c:v>
                </c:pt>
                <c:pt idx="5">
                  <c:v>14.781243014393116</c:v>
                </c:pt>
                <c:pt idx="6">
                  <c:v>16.45176442172005</c:v>
                </c:pt>
                <c:pt idx="7">
                  <c:v>18.103425445277846</c:v>
                </c:pt>
                <c:pt idx="8">
                  <c:v>19.737391614400554</c:v>
                </c:pt>
                <c:pt idx="9">
                  <c:v>20.498906098382456</c:v>
                </c:pt>
                <c:pt idx="10">
                  <c:v>22.094197885057216</c:v>
                </c:pt>
                <c:pt idx="11">
                  <c:v>22.812375869254982</c:v>
                </c:pt>
                <c:pt idx="12">
                  <c:v>23.520805789931622</c:v>
                </c:pt>
                <c:pt idx="13">
                  <c:v>25.076893408097508</c:v>
                </c:pt>
                <c:pt idx="14">
                  <c:v>25.794541606234336</c:v>
                </c:pt>
                <c:pt idx="15">
                  <c:v>26.501170254303815</c:v>
                </c:pt>
                <c:pt idx="16">
                  <c:v>27.210447832677936</c:v>
                </c:pt>
                <c:pt idx="17">
                  <c:v>28.714934288509166</c:v>
                </c:pt>
                <c:pt idx="18">
                  <c:v>29.363710298725</c:v>
                </c:pt>
                <c:pt idx="19">
                  <c:v>29.999029742993191</c:v>
                </c:pt>
                <c:pt idx="20">
                  <c:v>29.853974319510339</c:v>
                </c:pt>
                <c:pt idx="21">
                  <c:v>30.51186264997418</c:v>
                </c:pt>
                <c:pt idx="22">
                  <c:v>31.17843947183729</c:v>
                </c:pt>
                <c:pt idx="23">
                  <c:v>31.817255504107621</c:v>
                </c:pt>
                <c:pt idx="24">
                  <c:v>33.2341153454609</c:v>
                </c:pt>
                <c:pt idx="25">
                  <c:v>33.843157401106922</c:v>
                </c:pt>
                <c:pt idx="26">
                  <c:v>33.647242515774721</c:v>
                </c:pt>
                <c:pt idx="27">
                  <c:v>34.205954895632317</c:v>
                </c:pt>
                <c:pt idx="28">
                  <c:v>34.792639979507065</c:v>
                </c:pt>
                <c:pt idx="29">
                  <c:v>34.630525444862243</c:v>
                </c:pt>
                <c:pt idx="30">
                  <c:v>35.219753501829459</c:v>
                </c:pt>
                <c:pt idx="31">
                  <c:v>35.801140725094896</c:v>
                </c:pt>
                <c:pt idx="32">
                  <c:v>36.374687114658563</c:v>
                </c:pt>
              </c:numCache>
            </c:numRef>
          </c:yVal>
          <c:smooth val="1"/>
          <c:extLst>
            <c:ext xmlns:c16="http://schemas.microsoft.com/office/drawing/2014/chart" uri="{C3380CC4-5D6E-409C-BE32-E72D297353CC}">
              <c16:uniqueId val="{00000000-2D11-497A-961D-CBFA238ACFF5}"/>
            </c:ext>
          </c:extLst>
        </c:ser>
        <c:dLbls>
          <c:showLegendKey val="0"/>
          <c:showVal val="0"/>
          <c:showCatName val="0"/>
          <c:showSerName val="0"/>
          <c:showPercent val="0"/>
          <c:showBubbleSize val="0"/>
        </c:dLbls>
        <c:axId val="-200624688"/>
        <c:axId val="-200622512"/>
      </c:scatterChart>
      <c:valAx>
        <c:axId val="-200624688"/>
        <c:scaling>
          <c:orientation val="minMax"/>
        </c:scaling>
        <c:delete val="0"/>
        <c:axPos val="b"/>
        <c:majorGridlines>
          <c:spPr>
            <a:ln w="9525" cap="flat" cmpd="sng" algn="ctr">
              <a:solidFill>
                <a:schemeClr val="tx1"/>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latin typeface="Arial" panose="020B0604020202020204" pitchFamily="34" charset="0"/>
                    <a:cs typeface="Arial" panose="020B0604020202020204" pitchFamily="34" charset="0"/>
                  </a:rPr>
                  <a:t>Deformación Unitaria Ɛ1</a:t>
                </a:r>
                <a:r>
                  <a:rPr lang="en-US" sz="1200" b="1" baseline="0">
                    <a:latin typeface="Arial" panose="020B0604020202020204" pitchFamily="34" charset="0"/>
                    <a:cs typeface="Arial" panose="020B0604020202020204" pitchFamily="34" charset="0"/>
                  </a:rPr>
                  <a:t> </a:t>
                </a:r>
                <a:r>
                  <a:rPr lang="en-US" sz="1200" b="1">
                    <a:latin typeface="Arial" panose="020B0604020202020204" pitchFamily="34" charset="0"/>
                    <a:cs typeface="Arial" panose="020B0604020202020204" pitchFamily="34" charset="0"/>
                  </a:rPr>
                  <a:t>% </a:t>
                </a:r>
              </a:p>
            </c:rich>
          </c:tx>
          <c:layout>
            <c:manualLayout>
              <c:xMode val="edge"/>
              <c:yMode val="edge"/>
              <c:x val="0.33954592555363206"/>
              <c:y val="0.9114081967096435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title>
        <c:numFmt formatCode="0.00" sourceLinked="0"/>
        <c:majorTickMark val="none"/>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2512"/>
        <c:crosses val="autoZero"/>
        <c:crossBetween val="midCat"/>
        <c:majorUnit val="1"/>
        <c:minorUnit val="1"/>
      </c:valAx>
      <c:valAx>
        <c:axId val="-2006225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r>
                  <a:rPr lang="en-US" sz="1200" b="1">
                    <a:latin typeface="Arial" panose="020B0604020202020204" pitchFamily="34" charset="0"/>
                    <a:cs typeface="Arial" panose="020B0604020202020204" pitchFamily="34" charset="0"/>
                  </a:rPr>
                  <a:t>Esfuerzo </a:t>
                </a:r>
                <a:r>
                  <a:rPr lang="en-US" sz="1200" b="1">
                    <a:latin typeface="Calibri" panose="020F0502020204030204" pitchFamily="34" charset="0"/>
                    <a:ea typeface="Calibri" panose="020F0502020204030204" pitchFamily="34" charset="0"/>
                    <a:cs typeface="Calibri" panose="020F0502020204030204" pitchFamily="34" charset="0"/>
                  </a:rPr>
                  <a:t>[</a:t>
                </a:r>
                <a:r>
                  <a:rPr lang="en-US" sz="1200" b="1">
                    <a:latin typeface="Arial" panose="020B0604020202020204" pitchFamily="34" charset="0"/>
                    <a:cs typeface="Arial" panose="020B0604020202020204" pitchFamily="34" charset="0"/>
                  </a:rPr>
                  <a:t>KPa</a:t>
                </a:r>
                <a:r>
                  <a:rPr lang="en-US" sz="1200" b="1">
                    <a:latin typeface="Calibri" panose="020F0502020204030204" pitchFamily="34" charset="0"/>
                    <a:ea typeface="Calibri" panose="020F0502020204030204" pitchFamily="34" charset="0"/>
                    <a:cs typeface="Calibri" panose="020F0502020204030204" pitchFamily="34" charset="0"/>
                  </a:rPr>
                  <a:t>]</a:t>
                </a:r>
                <a:endParaRPr lang="en-US" sz="1200" b="1">
                  <a:latin typeface="Arial" panose="020B0604020202020204" pitchFamily="34" charset="0"/>
                  <a:cs typeface="Arial" panose="020B0604020202020204" pitchFamily="34" charset="0"/>
                </a:endParaRPr>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endParaRPr lang="en-US"/>
            </a:p>
          </c:txPr>
        </c:title>
        <c:numFmt formatCode="0" sourceLinked="0"/>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4688"/>
        <c:crosses val="autoZero"/>
        <c:crossBetween val="midCat"/>
      </c:valAx>
      <c:spPr>
        <a:noFill/>
        <a:ln>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28575" cap="flat" cmpd="sng" algn="ctr">
      <a:solidFill>
        <a:schemeClr val="tx1"/>
      </a:solidFill>
      <a:round/>
    </a:ln>
    <a:effectLst/>
  </c:spPr>
  <c:txPr>
    <a:bodyPr/>
    <a:lstStyle/>
    <a:p>
      <a:pPr>
        <a:defRPr sz="1800"/>
      </a:pPr>
      <a:endParaRPr lang="es-MX"/>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53.emf"/><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customXml" Target="../ink/ink1.xml"/><Relationship Id="rId5" Type="http://schemas.openxmlformats.org/officeDocument/2006/relationships/image" Target="../media/image4.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8" Type="http://schemas.openxmlformats.org/officeDocument/2006/relationships/customXml" Target="../ink/ink3.xml"/><Relationship Id="rId13" Type="http://schemas.openxmlformats.org/officeDocument/2006/relationships/image" Target="../media/image7.emf"/><Relationship Id="rId18" Type="http://schemas.openxmlformats.org/officeDocument/2006/relationships/customXml" Target="../ink/ink8.xml"/><Relationship Id="rId26" Type="http://schemas.openxmlformats.org/officeDocument/2006/relationships/customXml" Target="../ink/ink12.xml"/><Relationship Id="rId3" Type="http://schemas.openxmlformats.org/officeDocument/2006/relationships/image" Target="../media/image2.png"/><Relationship Id="rId21" Type="http://schemas.openxmlformats.org/officeDocument/2006/relationships/image" Target="../media/image11.emf"/><Relationship Id="rId7" Type="http://schemas.openxmlformats.org/officeDocument/2006/relationships/image" Target="../media/image53.emf"/><Relationship Id="rId12" Type="http://schemas.openxmlformats.org/officeDocument/2006/relationships/customXml" Target="../ink/ink5.xml"/><Relationship Id="rId17" Type="http://schemas.openxmlformats.org/officeDocument/2006/relationships/image" Target="../media/image9.emf"/><Relationship Id="rId25" Type="http://schemas.openxmlformats.org/officeDocument/2006/relationships/image" Target="../media/image13.emf"/><Relationship Id="rId2" Type="http://schemas.openxmlformats.org/officeDocument/2006/relationships/chart" Target="../charts/chart2.xml"/><Relationship Id="rId16" Type="http://schemas.openxmlformats.org/officeDocument/2006/relationships/customXml" Target="../ink/ink7.xml"/><Relationship Id="rId20" Type="http://schemas.openxmlformats.org/officeDocument/2006/relationships/customXml" Target="../ink/ink9.xml"/><Relationship Id="rId1" Type="http://schemas.openxmlformats.org/officeDocument/2006/relationships/image" Target="../media/image1.png"/><Relationship Id="rId6" Type="http://schemas.openxmlformats.org/officeDocument/2006/relationships/customXml" Target="../ink/ink2.xml"/><Relationship Id="rId11" Type="http://schemas.openxmlformats.org/officeDocument/2006/relationships/image" Target="../media/image6.emf"/><Relationship Id="rId24" Type="http://schemas.openxmlformats.org/officeDocument/2006/relationships/customXml" Target="../ink/ink11.xml"/><Relationship Id="rId5" Type="http://schemas.openxmlformats.org/officeDocument/2006/relationships/image" Target="../media/image4.png"/><Relationship Id="rId15" Type="http://schemas.openxmlformats.org/officeDocument/2006/relationships/image" Target="../media/image8.emf"/><Relationship Id="rId23" Type="http://schemas.openxmlformats.org/officeDocument/2006/relationships/image" Target="../media/image12.emf"/><Relationship Id="rId10" Type="http://schemas.openxmlformats.org/officeDocument/2006/relationships/customXml" Target="../ink/ink4.xml"/><Relationship Id="rId19" Type="http://schemas.openxmlformats.org/officeDocument/2006/relationships/image" Target="../media/image10.emf"/><Relationship Id="rId4" Type="http://schemas.openxmlformats.org/officeDocument/2006/relationships/image" Target="../media/image3.png"/><Relationship Id="rId9" Type="http://schemas.openxmlformats.org/officeDocument/2006/relationships/image" Target="../media/image5.emf"/><Relationship Id="rId14" Type="http://schemas.openxmlformats.org/officeDocument/2006/relationships/customXml" Target="../ink/ink6.xml"/><Relationship Id="rId22" Type="http://schemas.openxmlformats.org/officeDocument/2006/relationships/customXml" Target="../ink/ink10.xml"/><Relationship Id="rId27" Type="http://schemas.openxmlformats.org/officeDocument/2006/relationships/image" Target="../media/image14.emf"/></Relationships>
</file>

<file path=xl/drawings/_rels/drawing3.xml.rels><?xml version="1.0" encoding="UTF-8" standalone="yes"?>
<Relationships xmlns="http://schemas.openxmlformats.org/package/2006/relationships"><Relationship Id="rId8" Type="http://schemas.openxmlformats.org/officeDocument/2006/relationships/customXml" Target="../ink/ink14.xml"/><Relationship Id="rId13" Type="http://schemas.openxmlformats.org/officeDocument/2006/relationships/image" Target="../media/image17.emf"/><Relationship Id="rId3" Type="http://schemas.openxmlformats.org/officeDocument/2006/relationships/image" Target="../media/image2.png"/><Relationship Id="rId7" Type="http://schemas.openxmlformats.org/officeDocument/2006/relationships/image" Target="../media/image53.emf"/><Relationship Id="rId12" Type="http://schemas.openxmlformats.org/officeDocument/2006/relationships/customXml" Target="../ink/ink16.xml"/><Relationship Id="rId2" Type="http://schemas.openxmlformats.org/officeDocument/2006/relationships/chart" Target="../charts/chart3.xml"/><Relationship Id="rId1" Type="http://schemas.openxmlformats.org/officeDocument/2006/relationships/image" Target="../media/image1.png"/><Relationship Id="rId6" Type="http://schemas.openxmlformats.org/officeDocument/2006/relationships/customXml" Target="../ink/ink13.xml"/><Relationship Id="rId11" Type="http://schemas.openxmlformats.org/officeDocument/2006/relationships/image" Target="../media/image16.emf"/><Relationship Id="rId5" Type="http://schemas.openxmlformats.org/officeDocument/2006/relationships/image" Target="../media/image4.png"/><Relationship Id="rId15" Type="http://schemas.openxmlformats.org/officeDocument/2006/relationships/image" Target="../media/image18.emf"/><Relationship Id="rId10" Type="http://schemas.openxmlformats.org/officeDocument/2006/relationships/customXml" Target="../ink/ink15.xml"/><Relationship Id="rId4" Type="http://schemas.openxmlformats.org/officeDocument/2006/relationships/image" Target="../media/image3.png"/><Relationship Id="rId9" Type="http://schemas.openxmlformats.org/officeDocument/2006/relationships/image" Target="../media/image15.emf"/><Relationship Id="rId14" Type="http://schemas.openxmlformats.org/officeDocument/2006/relationships/customXml" Target="../ink/ink17.xml"/></Relationships>
</file>

<file path=xl/drawings/_rels/drawing4.xml.rels><?xml version="1.0" encoding="UTF-8" standalone="yes"?>
<Relationships xmlns="http://schemas.openxmlformats.org/package/2006/relationships"><Relationship Id="rId8" Type="http://schemas.openxmlformats.org/officeDocument/2006/relationships/customXml" Target="../ink/ink19.xml"/><Relationship Id="rId13" Type="http://schemas.openxmlformats.org/officeDocument/2006/relationships/image" Target="../media/image22.emf"/><Relationship Id="rId3" Type="http://schemas.openxmlformats.org/officeDocument/2006/relationships/image" Target="../media/image2.png"/><Relationship Id="rId7" Type="http://schemas.openxmlformats.org/officeDocument/2006/relationships/image" Target="../media/image19.emf"/><Relationship Id="rId12" Type="http://schemas.openxmlformats.org/officeDocument/2006/relationships/customXml" Target="../ink/ink21.xml"/><Relationship Id="rId2" Type="http://schemas.openxmlformats.org/officeDocument/2006/relationships/chart" Target="../charts/chart4.xml"/><Relationship Id="rId1" Type="http://schemas.openxmlformats.org/officeDocument/2006/relationships/image" Target="../media/image1.png"/><Relationship Id="rId6" Type="http://schemas.openxmlformats.org/officeDocument/2006/relationships/customXml" Target="../ink/ink18.xml"/><Relationship Id="rId11" Type="http://schemas.openxmlformats.org/officeDocument/2006/relationships/image" Target="../media/image21.emf"/><Relationship Id="rId5" Type="http://schemas.openxmlformats.org/officeDocument/2006/relationships/image" Target="../media/image4.png"/><Relationship Id="rId10" Type="http://schemas.openxmlformats.org/officeDocument/2006/relationships/customXml" Target="../ink/ink20.xml"/><Relationship Id="rId4" Type="http://schemas.openxmlformats.org/officeDocument/2006/relationships/image" Target="../media/image3.png"/><Relationship Id="rId9" Type="http://schemas.openxmlformats.org/officeDocument/2006/relationships/image" Target="../media/image20.emf"/></Relationships>
</file>

<file path=xl/drawings/_rels/drawing5.xml.rels><?xml version="1.0" encoding="UTF-8" standalone="yes"?>
<Relationships xmlns="http://schemas.openxmlformats.org/package/2006/relationships"><Relationship Id="rId8" Type="http://schemas.openxmlformats.org/officeDocument/2006/relationships/customXml" Target="../ink/ink23.xml"/><Relationship Id="rId13" Type="http://schemas.openxmlformats.org/officeDocument/2006/relationships/image" Target="../media/image25.emf"/><Relationship Id="rId3" Type="http://schemas.openxmlformats.org/officeDocument/2006/relationships/image" Target="../media/image2.png"/><Relationship Id="rId7" Type="http://schemas.openxmlformats.org/officeDocument/2006/relationships/image" Target="../media/image53.emf"/><Relationship Id="rId12" Type="http://schemas.openxmlformats.org/officeDocument/2006/relationships/customXml" Target="../ink/ink25.xml"/><Relationship Id="rId17" Type="http://schemas.openxmlformats.org/officeDocument/2006/relationships/image" Target="../media/image27.emf"/><Relationship Id="rId2" Type="http://schemas.openxmlformats.org/officeDocument/2006/relationships/chart" Target="../charts/chart5.xml"/><Relationship Id="rId16" Type="http://schemas.openxmlformats.org/officeDocument/2006/relationships/customXml" Target="../ink/ink27.xml"/><Relationship Id="rId1" Type="http://schemas.openxmlformats.org/officeDocument/2006/relationships/image" Target="../media/image1.png"/><Relationship Id="rId6" Type="http://schemas.openxmlformats.org/officeDocument/2006/relationships/customXml" Target="../ink/ink22.xml"/><Relationship Id="rId11" Type="http://schemas.openxmlformats.org/officeDocument/2006/relationships/image" Target="../media/image24.emf"/><Relationship Id="rId5" Type="http://schemas.openxmlformats.org/officeDocument/2006/relationships/image" Target="../media/image4.png"/><Relationship Id="rId15" Type="http://schemas.openxmlformats.org/officeDocument/2006/relationships/image" Target="../media/image26.emf"/><Relationship Id="rId10" Type="http://schemas.openxmlformats.org/officeDocument/2006/relationships/customXml" Target="../ink/ink24.xml"/><Relationship Id="rId4" Type="http://schemas.openxmlformats.org/officeDocument/2006/relationships/image" Target="../media/image3.png"/><Relationship Id="rId9" Type="http://schemas.openxmlformats.org/officeDocument/2006/relationships/image" Target="../media/image23.emf"/><Relationship Id="rId14" Type="http://schemas.openxmlformats.org/officeDocument/2006/relationships/customXml" Target="../ink/ink26.xml"/></Relationships>
</file>

<file path=xl/drawings/_rels/drawing6.xml.rels><?xml version="1.0" encoding="UTF-8" standalone="yes"?>
<Relationships xmlns="http://schemas.openxmlformats.org/package/2006/relationships"><Relationship Id="rId8" Type="http://schemas.openxmlformats.org/officeDocument/2006/relationships/customXml" Target="../ink/ink29.xml"/><Relationship Id="rId13" Type="http://schemas.openxmlformats.org/officeDocument/2006/relationships/image" Target="../media/image30.emf"/><Relationship Id="rId3" Type="http://schemas.openxmlformats.org/officeDocument/2006/relationships/image" Target="../media/image2.png"/><Relationship Id="rId7" Type="http://schemas.openxmlformats.org/officeDocument/2006/relationships/image" Target="../media/image53.emf"/><Relationship Id="rId12" Type="http://schemas.openxmlformats.org/officeDocument/2006/relationships/customXml" Target="../ink/ink31.xml"/><Relationship Id="rId2" Type="http://schemas.openxmlformats.org/officeDocument/2006/relationships/chart" Target="../charts/chart6.xml"/><Relationship Id="rId1" Type="http://schemas.openxmlformats.org/officeDocument/2006/relationships/image" Target="../media/image1.png"/><Relationship Id="rId6" Type="http://schemas.openxmlformats.org/officeDocument/2006/relationships/customXml" Target="../ink/ink28.xml"/><Relationship Id="rId11" Type="http://schemas.openxmlformats.org/officeDocument/2006/relationships/image" Target="../media/image29.emf"/><Relationship Id="rId5" Type="http://schemas.openxmlformats.org/officeDocument/2006/relationships/image" Target="../media/image4.png"/><Relationship Id="rId15" Type="http://schemas.openxmlformats.org/officeDocument/2006/relationships/image" Target="../media/image31.emf"/><Relationship Id="rId10" Type="http://schemas.openxmlformats.org/officeDocument/2006/relationships/customXml" Target="../ink/ink30.xml"/><Relationship Id="rId4" Type="http://schemas.openxmlformats.org/officeDocument/2006/relationships/image" Target="../media/image3.png"/><Relationship Id="rId9" Type="http://schemas.openxmlformats.org/officeDocument/2006/relationships/image" Target="../media/image28.emf"/><Relationship Id="rId14" Type="http://schemas.openxmlformats.org/officeDocument/2006/relationships/customXml" Target="../ink/ink32.xml"/></Relationships>
</file>

<file path=xl/drawings/drawing1.xml><?xml version="1.0" encoding="utf-8"?>
<xdr:wsDr xmlns:xdr="http://schemas.openxmlformats.org/drawingml/2006/spreadsheetDrawing" xmlns:a="http://schemas.openxmlformats.org/drawingml/2006/main">
  <xdr:twoCellAnchor>
    <xdr:from>
      <xdr:col>11</xdr:col>
      <xdr:colOff>62843</xdr:colOff>
      <xdr:row>15</xdr:row>
      <xdr:rowOff>92610</xdr:rowOff>
    </xdr:from>
    <xdr:to>
      <xdr:col>13</xdr:col>
      <xdr:colOff>1509155</xdr:colOff>
      <xdr:row>28</xdr:row>
      <xdr:rowOff>286564</xdr:rowOff>
    </xdr:to>
    <xdr:grpSp>
      <xdr:nvGrpSpPr>
        <xdr:cNvPr id="32" name="Grupo 31">
          <a:extLst>
            <a:ext uri="{FF2B5EF4-FFF2-40B4-BE49-F238E27FC236}">
              <a16:creationId xmlns:a16="http://schemas.microsoft.com/office/drawing/2014/main" id="{00000000-0008-0000-0000-000020000000}"/>
            </a:ext>
          </a:extLst>
        </xdr:cNvPr>
        <xdr:cNvGrpSpPr/>
      </xdr:nvGrpSpPr>
      <xdr:grpSpPr>
        <a:xfrm>
          <a:off x="14231281" y="3581141"/>
          <a:ext cx="2351187" cy="3789642"/>
          <a:chOff x="14249193" y="3714750"/>
          <a:chExt cx="2312401" cy="3840956"/>
        </a:xfrm>
      </xdr:grpSpPr>
      <xdr:sp macro="" textlink="">
        <xdr:nvSpPr>
          <xdr:cNvPr id="33" name="Rectángulo redondeado 4">
            <a:extLst>
              <a:ext uri="{FF2B5EF4-FFF2-40B4-BE49-F238E27FC236}">
                <a16:creationId xmlns:a16="http://schemas.microsoft.com/office/drawing/2014/main" id="{00000000-0008-0000-0000-000021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34" name="Cilindro 33">
            <a:extLst>
              <a:ext uri="{FF2B5EF4-FFF2-40B4-BE49-F238E27FC236}">
                <a16:creationId xmlns:a16="http://schemas.microsoft.com/office/drawing/2014/main" id="{00000000-0008-0000-0000-000022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0</xdr:col>
      <xdr:colOff>16897</xdr:colOff>
      <xdr:row>0</xdr:row>
      <xdr:rowOff>0</xdr:rowOff>
    </xdr:from>
    <xdr:to>
      <xdr:col>3</xdr:col>
      <xdr:colOff>777581</xdr:colOff>
      <xdr:row>3</xdr:row>
      <xdr:rowOff>90487</xdr:rowOff>
    </xdr:to>
    <xdr:pic>
      <xdr:nvPicPr>
        <xdr:cNvPr id="5" name="Imagen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97" y="0"/>
          <a:ext cx="3865834" cy="947737"/>
        </a:xfrm>
        <a:prstGeom prst="rect">
          <a:avLst/>
        </a:prstGeom>
      </xdr:spPr>
    </xdr:pic>
    <xdr:clientData/>
  </xdr:twoCellAnchor>
  <xdr:twoCellAnchor editAs="oneCell">
    <xdr:from>
      <xdr:col>8</xdr:col>
      <xdr:colOff>225592</xdr:colOff>
      <xdr:row>70</xdr:row>
      <xdr:rowOff>25066</xdr:rowOff>
    </xdr:from>
    <xdr:to>
      <xdr:col>8</xdr:col>
      <xdr:colOff>530392</xdr:colOff>
      <xdr:row>71</xdr:row>
      <xdr:rowOff>91741</xdr:rowOff>
    </xdr:to>
    <xdr:sp macro="" textlink="">
      <xdr:nvSpPr>
        <xdr:cNvPr id="6" name="AutoShape 1" descr="blob:https://web.whatsapp.com/61eb5d99-4d9e-487c-a09c-f15c91fb43bc">
          <a:extLst>
            <a:ext uri="{FF2B5EF4-FFF2-40B4-BE49-F238E27FC236}">
              <a16:creationId xmlns:a16="http://schemas.microsoft.com/office/drawing/2014/main" id="{00000000-0008-0000-0000-000006000000}"/>
            </a:ext>
          </a:extLst>
        </xdr:cNvPr>
        <xdr:cNvSpPr>
          <a:spLocks noChangeAspect="1" noChangeArrowheads="1"/>
        </xdr:cNvSpPr>
      </xdr:nvSpPr>
      <xdr:spPr bwMode="auto">
        <a:xfrm>
          <a:off x="9817267" y="20199016"/>
          <a:ext cx="304800" cy="381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7</xdr:col>
          <xdr:colOff>104775</xdr:colOff>
          <xdr:row>21</xdr:row>
          <xdr:rowOff>28575</xdr:rowOff>
        </xdr:from>
        <xdr:to>
          <xdr:col>7</xdr:col>
          <xdr:colOff>1133475</xdr:colOff>
          <xdr:row>21</xdr:row>
          <xdr:rowOff>219075</xdr:rowOff>
        </xdr:to>
        <xdr:sp macro="" textlink="">
          <xdr:nvSpPr>
            <xdr:cNvPr id="99329" name="Check Box 1" hidden="1">
              <a:extLst>
                <a:ext uri="{63B3BB69-23CF-44E3-9099-C40C66FF867C}">
                  <a14:compatExt spid="_x0000_s99329"/>
                </a:ext>
                <a:ext uri="{FF2B5EF4-FFF2-40B4-BE49-F238E27FC236}">
                  <a16:creationId xmlns:a16="http://schemas.microsoft.com/office/drawing/2014/main" id="{00000000-0008-0000-0000-0000018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ANTES DEL ENSAYO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21</xdr:row>
          <xdr:rowOff>19050</xdr:rowOff>
        </xdr:from>
        <xdr:to>
          <xdr:col>9</xdr:col>
          <xdr:colOff>342900</xdr:colOff>
          <xdr:row>21</xdr:row>
          <xdr:rowOff>295275</xdr:rowOff>
        </xdr:to>
        <xdr:sp macro="" textlink="">
          <xdr:nvSpPr>
            <xdr:cNvPr id="99330" name="Check Box 2" hidden="1">
              <a:extLst>
                <a:ext uri="{63B3BB69-23CF-44E3-9099-C40C66FF867C}">
                  <a14:compatExt spid="_x0000_s99330"/>
                </a:ext>
                <a:ext uri="{FF2B5EF4-FFF2-40B4-BE49-F238E27FC236}">
                  <a16:creationId xmlns:a16="http://schemas.microsoft.com/office/drawing/2014/main" id="{00000000-0008-0000-0000-0000028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DESPUÉS DEL ENSAYO </a:t>
              </a:r>
            </a:p>
          </xdr:txBody>
        </xdr:sp>
        <xdr:clientData/>
      </xdr:twoCellAnchor>
    </mc:Choice>
    <mc:Fallback/>
  </mc:AlternateContent>
  <xdr:twoCellAnchor>
    <xdr:from>
      <xdr:col>0</xdr:col>
      <xdr:colOff>533400</xdr:colOff>
      <xdr:row>60</xdr:row>
      <xdr:rowOff>114300</xdr:rowOff>
    </xdr:from>
    <xdr:to>
      <xdr:col>7</xdr:col>
      <xdr:colOff>581025</xdr:colOff>
      <xdr:row>74</xdr:row>
      <xdr:rowOff>266700</xdr:rowOff>
    </xdr:to>
    <xdr:graphicFrame macro="">
      <xdr:nvGraphicFramePr>
        <xdr:cNvPr id="9" name="Gráfico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190499</xdr:colOff>
      <xdr:row>17</xdr:row>
      <xdr:rowOff>121445</xdr:rowOff>
    </xdr:from>
    <xdr:to>
      <xdr:col>16</xdr:col>
      <xdr:colOff>690561</xdr:colOff>
      <xdr:row>22</xdr:row>
      <xdr:rowOff>45244</xdr:rowOff>
    </xdr:to>
    <xdr:sp macro="" textlink="">
      <xdr:nvSpPr>
        <xdr:cNvPr id="10" name="Globo: flecha hacia abajo 6">
          <a:extLst>
            <a:ext uri="{FF2B5EF4-FFF2-40B4-BE49-F238E27FC236}">
              <a16:creationId xmlns:a16="http://schemas.microsoft.com/office/drawing/2014/main" id="{00000000-0008-0000-0000-00000A000000}"/>
            </a:ext>
          </a:extLst>
        </xdr:cNvPr>
        <xdr:cNvSpPr/>
      </xdr:nvSpPr>
      <xdr:spPr>
        <a:xfrm>
          <a:off x="16835437" y="4038601"/>
          <a:ext cx="2738437" cy="1471612"/>
        </a:xfrm>
        <a:prstGeom prst="downArrow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392906</xdr:colOff>
      <xdr:row>17</xdr:row>
      <xdr:rowOff>216694</xdr:rowOff>
    </xdr:from>
    <xdr:to>
      <xdr:col>16</xdr:col>
      <xdr:colOff>614362</xdr:colOff>
      <xdr:row>20</xdr:row>
      <xdr:rowOff>83343</xdr:rowOff>
    </xdr:to>
    <xdr:sp macro="" textlink="">
      <xdr:nvSpPr>
        <xdr:cNvPr id="11" name="CuadroTexto 10">
          <a:extLst>
            <a:ext uri="{FF2B5EF4-FFF2-40B4-BE49-F238E27FC236}">
              <a16:creationId xmlns:a16="http://schemas.microsoft.com/office/drawing/2014/main" id="{00000000-0008-0000-0000-00000B000000}"/>
            </a:ext>
          </a:extLst>
        </xdr:cNvPr>
        <xdr:cNvSpPr txBox="1"/>
      </xdr:nvSpPr>
      <xdr:spPr>
        <a:xfrm>
          <a:off x="17037844" y="4133850"/>
          <a:ext cx="2459831" cy="7953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400" b="1">
              <a:solidFill>
                <a:srgbClr val="FF0000"/>
              </a:solidFill>
            </a:rPr>
            <a:t>INSERTE</a:t>
          </a:r>
          <a:r>
            <a:rPr lang="es-MX" sz="1400" b="1" baseline="0">
              <a:solidFill>
                <a:srgbClr val="FF0000"/>
              </a:solidFill>
            </a:rPr>
            <a:t> LOS DATOS DEL ENSAYO, TIEMPO EN SEGUNDOS </a:t>
          </a:r>
        </a:p>
        <a:p>
          <a:pPr algn="ctr"/>
          <a:endParaRPr lang="es-MX" sz="1100"/>
        </a:p>
      </xdr:txBody>
    </xdr:sp>
    <xdr:clientData/>
  </xdr:twoCellAnchor>
  <xdr:twoCellAnchor editAs="oneCell">
    <xdr:from>
      <xdr:col>8</xdr:col>
      <xdr:colOff>1200150</xdr:colOff>
      <xdr:row>108</xdr:row>
      <xdr:rowOff>9525</xdr:rowOff>
    </xdr:from>
    <xdr:to>
      <xdr:col>9</xdr:col>
      <xdr:colOff>1671237</xdr:colOff>
      <xdr:row>112</xdr:row>
      <xdr:rowOff>107122</xdr:rowOff>
    </xdr:to>
    <xdr:pic>
      <xdr:nvPicPr>
        <xdr:cNvPr id="12" name="Imagen 11">
          <a:extLst>
            <a:ext uri="{FF2B5EF4-FFF2-40B4-BE49-F238E27FC236}">
              <a16:creationId xmlns:a16="http://schemas.microsoft.com/office/drawing/2014/main" id="{00000000-0008-0000-0000-00000C000000}"/>
            </a:ext>
          </a:extLst>
        </xdr:cNvPr>
        <xdr:cNvPicPr>
          <a:picLocks noChangeAspect="1"/>
        </xdr:cNvPicPr>
      </xdr:nvPicPr>
      <xdr:blipFill rotWithShape="1">
        <a:blip xmlns:r="http://schemas.openxmlformats.org/officeDocument/2006/relationships" r:embed="rId3"/>
        <a:srcRect l="88188"/>
        <a:stretch/>
      </xdr:blipFill>
      <xdr:spPr>
        <a:xfrm>
          <a:off x="10791825" y="27193875"/>
          <a:ext cx="1852212" cy="707197"/>
        </a:xfrm>
        <a:prstGeom prst="rect">
          <a:avLst/>
        </a:prstGeom>
      </xdr:spPr>
    </xdr:pic>
    <xdr:clientData/>
  </xdr:twoCellAnchor>
  <xdr:twoCellAnchor>
    <xdr:from>
      <xdr:col>10</xdr:col>
      <xdr:colOff>142875</xdr:colOff>
      <xdr:row>69</xdr:row>
      <xdr:rowOff>285750</xdr:rowOff>
    </xdr:from>
    <xdr:to>
      <xdr:col>10</xdr:col>
      <xdr:colOff>188594</xdr:colOff>
      <xdr:row>70</xdr:row>
      <xdr:rowOff>47625</xdr:rowOff>
    </xdr:to>
    <xdr:sp macro="" textlink="">
      <xdr:nvSpPr>
        <xdr:cNvPr id="13" name="Rectángulo 12">
          <a:extLst>
            <a:ext uri="{FF2B5EF4-FFF2-40B4-BE49-F238E27FC236}">
              <a16:creationId xmlns:a16="http://schemas.microsoft.com/office/drawing/2014/main" id="{00000000-0008-0000-0000-00000D000000}"/>
            </a:ext>
          </a:extLst>
        </xdr:cNvPr>
        <xdr:cNvSpPr/>
      </xdr:nvSpPr>
      <xdr:spPr>
        <a:xfrm>
          <a:off x="13011150" y="20145375"/>
          <a:ext cx="45719" cy="762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457754</xdr:colOff>
      <xdr:row>66</xdr:row>
      <xdr:rowOff>38930</xdr:rowOff>
    </xdr:from>
    <xdr:to>
      <xdr:col>13</xdr:col>
      <xdr:colOff>1238250</xdr:colOff>
      <xdr:row>70</xdr:row>
      <xdr:rowOff>96311</xdr:rowOff>
    </xdr:to>
    <xdr:grpSp>
      <xdr:nvGrpSpPr>
        <xdr:cNvPr id="14" name="Grupo 13">
          <a:extLst>
            <a:ext uri="{FF2B5EF4-FFF2-40B4-BE49-F238E27FC236}">
              <a16:creationId xmlns:a16="http://schemas.microsoft.com/office/drawing/2014/main" id="{00000000-0008-0000-0000-00000E000000}"/>
            </a:ext>
          </a:extLst>
        </xdr:cNvPr>
        <xdr:cNvGrpSpPr/>
      </xdr:nvGrpSpPr>
      <xdr:grpSpPr>
        <a:xfrm>
          <a:off x="10054192" y="18696024"/>
          <a:ext cx="6257371" cy="1295631"/>
          <a:chOff x="10078004" y="18898430"/>
          <a:chExt cx="6264175" cy="1309238"/>
        </a:xfrm>
      </xdr:grpSpPr>
      <xdr:pic>
        <xdr:nvPicPr>
          <xdr:cNvPr id="15" name="Imagen 14">
            <a:extLst>
              <a:ext uri="{FF2B5EF4-FFF2-40B4-BE49-F238E27FC236}">
                <a16:creationId xmlns:a16="http://schemas.microsoft.com/office/drawing/2014/main" id="{00000000-0008-0000-0000-00000F000000}"/>
              </a:ext>
            </a:extLst>
          </xdr:cNvPr>
          <xdr:cNvPicPr>
            <a:picLocks noChangeAspect="1"/>
          </xdr:cNvPicPr>
        </xdr:nvPicPr>
        <xdr:blipFill rotWithShape="1">
          <a:blip xmlns:r="http://schemas.openxmlformats.org/officeDocument/2006/relationships" r:embed="rId3"/>
          <a:srcRect l="88188"/>
          <a:stretch/>
        </xdr:blipFill>
        <xdr:spPr>
          <a:xfrm>
            <a:off x="10078004" y="19028403"/>
            <a:ext cx="2733052" cy="1039875"/>
          </a:xfrm>
          <a:prstGeom prst="rect">
            <a:avLst/>
          </a:prstGeom>
        </xdr:spPr>
      </xdr:pic>
      <xdr:pic>
        <xdr:nvPicPr>
          <xdr:cNvPr id="16" name="Imagen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a:stretch>
            <a:fillRect/>
          </a:stretch>
        </xdr:blipFill>
        <xdr:spPr>
          <a:xfrm>
            <a:off x="13511893" y="18898430"/>
            <a:ext cx="2830286" cy="1309238"/>
          </a:xfrm>
          <a:prstGeom prst="rect">
            <a:avLst/>
          </a:prstGeom>
        </xdr:spPr>
      </xdr:pic>
    </xdr:grpSp>
    <xdr:clientData/>
  </xdr:twoCellAnchor>
  <xdr:twoCellAnchor>
    <xdr:from>
      <xdr:col>30</xdr:col>
      <xdr:colOff>465174</xdr:colOff>
      <xdr:row>18</xdr:row>
      <xdr:rowOff>297933</xdr:rowOff>
    </xdr:from>
    <xdr:to>
      <xdr:col>33</xdr:col>
      <xdr:colOff>491576</xdr:colOff>
      <xdr:row>31</xdr:row>
      <xdr:rowOff>293964</xdr:rowOff>
    </xdr:to>
    <xdr:grpSp>
      <xdr:nvGrpSpPr>
        <xdr:cNvPr id="17" name="Grupo 16">
          <a:extLst>
            <a:ext uri="{FF2B5EF4-FFF2-40B4-BE49-F238E27FC236}">
              <a16:creationId xmlns:a16="http://schemas.microsoft.com/office/drawing/2014/main" id="{00000000-0008-0000-0000-000011000000}"/>
            </a:ext>
          </a:extLst>
        </xdr:cNvPr>
        <xdr:cNvGrpSpPr/>
      </xdr:nvGrpSpPr>
      <xdr:grpSpPr>
        <a:xfrm>
          <a:off x="31754799" y="4524652"/>
          <a:ext cx="2312402" cy="3782218"/>
          <a:chOff x="14249193" y="3714750"/>
          <a:chExt cx="2312401" cy="3840956"/>
        </a:xfrm>
      </xdr:grpSpPr>
      <xdr:sp macro="" textlink="">
        <xdr:nvSpPr>
          <xdr:cNvPr id="18" name="Rectángulo redondeado 4">
            <a:extLst>
              <a:ext uri="{FF2B5EF4-FFF2-40B4-BE49-F238E27FC236}">
                <a16:creationId xmlns:a16="http://schemas.microsoft.com/office/drawing/2014/main" id="{00000000-0008-0000-0000-000012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19" name="Cilindro 18">
            <a:extLst>
              <a:ext uri="{FF2B5EF4-FFF2-40B4-BE49-F238E27FC236}">
                <a16:creationId xmlns:a16="http://schemas.microsoft.com/office/drawing/2014/main" id="{00000000-0008-0000-0000-000013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xdr:from>
      <xdr:col>26</xdr:col>
      <xdr:colOff>686687</xdr:colOff>
      <xdr:row>19</xdr:row>
      <xdr:rowOff>22152</xdr:rowOff>
    </xdr:from>
    <xdr:to>
      <xdr:col>29</xdr:col>
      <xdr:colOff>742992</xdr:colOff>
      <xdr:row>32</xdr:row>
      <xdr:rowOff>25197</xdr:rowOff>
    </xdr:to>
    <xdr:grpSp>
      <xdr:nvGrpSpPr>
        <xdr:cNvPr id="20" name="Grupo 19">
          <a:extLst>
            <a:ext uri="{FF2B5EF4-FFF2-40B4-BE49-F238E27FC236}">
              <a16:creationId xmlns:a16="http://schemas.microsoft.com/office/drawing/2014/main" id="{00000000-0008-0000-0000-000014000000}"/>
            </a:ext>
          </a:extLst>
        </xdr:cNvPr>
        <xdr:cNvGrpSpPr/>
      </xdr:nvGrpSpPr>
      <xdr:grpSpPr>
        <a:xfrm>
          <a:off x="28928312" y="4558433"/>
          <a:ext cx="2342305" cy="3789233"/>
          <a:chOff x="14249193" y="3714750"/>
          <a:chExt cx="2312401" cy="3840956"/>
        </a:xfrm>
      </xdr:grpSpPr>
      <xdr:sp macro="" textlink="">
        <xdr:nvSpPr>
          <xdr:cNvPr id="21" name="Rectángulo redondeado 4">
            <a:extLst>
              <a:ext uri="{FF2B5EF4-FFF2-40B4-BE49-F238E27FC236}">
                <a16:creationId xmlns:a16="http://schemas.microsoft.com/office/drawing/2014/main" id="{00000000-0008-0000-0000-000015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2" name="Cilindro 21">
            <a:extLst>
              <a:ext uri="{FF2B5EF4-FFF2-40B4-BE49-F238E27FC236}">
                <a16:creationId xmlns:a16="http://schemas.microsoft.com/office/drawing/2014/main" id="{00000000-0008-0000-0000-000016000000}"/>
              </a:ext>
            </a:extLst>
          </xdr:cNvPr>
          <xdr:cNvSpPr/>
        </xdr:nvSpPr>
        <xdr:spPr>
          <a:xfrm>
            <a:off x="14335124" y="4193382"/>
            <a:ext cx="2131218"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8</xdr:col>
      <xdr:colOff>0</xdr:colOff>
      <xdr:row>94</xdr:row>
      <xdr:rowOff>0</xdr:rowOff>
    </xdr:from>
    <xdr:to>
      <xdr:col>13</xdr:col>
      <xdr:colOff>783552</xdr:colOff>
      <xdr:row>102</xdr:row>
      <xdr:rowOff>113325</xdr:rowOff>
    </xdr:to>
    <xdr:pic>
      <xdr:nvPicPr>
        <xdr:cNvPr id="23" name="Imagen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5"/>
        <a:stretch>
          <a:fillRect/>
        </a:stretch>
      </xdr:blipFill>
      <xdr:spPr>
        <a:xfrm>
          <a:off x="9591675" y="25050750"/>
          <a:ext cx="6260427" cy="1332525"/>
        </a:xfrm>
        <a:prstGeom prst="rect">
          <a:avLst/>
        </a:prstGeom>
      </xdr:spPr>
    </xdr:pic>
    <xdr:clientData/>
  </xdr:twoCellAnchor>
  <xdr:twoCellAnchor>
    <xdr:from>
      <xdr:col>6</xdr:col>
      <xdr:colOff>273652</xdr:colOff>
      <xdr:row>19</xdr:row>
      <xdr:rowOff>166564</xdr:rowOff>
    </xdr:from>
    <xdr:to>
      <xdr:col>6</xdr:col>
      <xdr:colOff>1345732</xdr:colOff>
      <xdr:row>19</xdr:row>
      <xdr:rowOff>202924</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24" name="Entrada de lápiz 23">
              <a:extLst>
                <a:ext uri="{FF2B5EF4-FFF2-40B4-BE49-F238E27FC236}">
                  <a16:creationId xmlns:a16="http://schemas.microsoft.com/office/drawing/2014/main" id="{00000000-0008-0000-0000-000018000000}"/>
                </a:ext>
              </a:extLst>
            </xdr14:cNvPr>
            <xdr14:cNvContentPartPr/>
          </xdr14:nvContentPartPr>
          <xdr14:nvPr macro=""/>
          <xdr14:xfrm>
            <a:off x="7114334" y="4694032"/>
            <a:ext cx="1072080" cy="36360"/>
          </xdr14:xfrm>
        </xdr:contentPart>
      </mc:Choice>
      <mc:Fallback xmlns="">
        <xdr:pic>
          <xdr:nvPicPr>
            <xdr:cNvPr id="24" name="Entrada de lápiz 23">
              <a:extLst>
                <a:ext uri="{FF2B5EF4-FFF2-40B4-BE49-F238E27FC236}">
                  <a16:creationId xmlns:a16="http://schemas.microsoft.com/office/drawing/2014/main" id="{00000000-0008-0000-2000-000027000000}"/>
                </a:ext>
              </a:extLst>
            </xdr:cNvPr>
            <xdr:cNvPicPr/>
          </xdr:nvPicPr>
          <xdr:blipFill>
            <a:blip xmlns:r="http://schemas.openxmlformats.org/officeDocument/2006/relationships" r:embed="rId7"/>
            <a:stretch>
              <a:fillRect/>
            </a:stretch>
          </xdr:blipFill>
          <xdr:spPr>
            <a:xfrm>
              <a:off x="7108214" y="4687912"/>
              <a:ext cx="1084320" cy="486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11</xdr:col>
      <xdr:colOff>62843</xdr:colOff>
      <xdr:row>15</xdr:row>
      <xdr:rowOff>92610</xdr:rowOff>
    </xdr:from>
    <xdr:to>
      <xdr:col>13</xdr:col>
      <xdr:colOff>1509155</xdr:colOff>
      <xdr:row>28</xdr:row>
      <xdr:rowOff>286564</xdr:rowOff>
    </xdr:to>
    <xdr:grpSp>
      <xdr:nvGrpSpPr>
        <xdr:cNvPr id="2" name="Grupo 1">
          <a:extLst>
            <a:ext uri="{FF2B5EF4-FFF2-40B4-BE49-F238E27FC236}">
              <a16:creationId xmlns:a16="http://schemas.microsoft.com/office/drawing/2014/main" id="{00000000-0008-0000-0100-000002000000}"/>
            </a:ext>
          </a:extLst>
        </xdr:cNvPr>
        <xdr:cNvGrpSpPr/>
      </xdr:nvGrpSpPr>
      <xdr:grpSpPr>
        <a:xfrm>
          <a:off x="14212077" y="3579989"/>
          <a:ext cx="2352723" cy="3742785"/>
          <a:chOff x="14249193" y="3714750"/>
          <a:chExt cx="2312401" cy="3840956"/>
        </a:xfrm>
      </xdr:grpSpPr>
      <xdr:sp macro="" textlink="">
        <xdr:nvSpPr>
          <xdr:cNvPr id="3" name="Rectángulo redondeado 4">
            <a:extLst>
              <a:ext uri="{FF2B5EF4-FFF2-40B4-BE49-F238E27FC236}">
                <a16:creationId xmlns:a16="http://schemas.microsoft.com/office/drawing/2014/main" id="{00000000-0008-0000-0100-000003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4" name="Cilindro 3">
            <a:extLst>
              <a:ext uri="{FF2B5EF4-FFF2-40B4-BE49-F238E27FC236}">
                <a16:creationId xmlns:a16="http://schemas.microsoft.com/office/drawing/2014/main" id="{00000000-0008-0000-0100-000004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0</xdr:col>
      <xdr:colOff>16897</xdr:colOff>
      <xdr:row>0</xdr:row>
      <xdr:rowOff>0</xdr:rowOff>
    </xdr:from>
    <xdr:to>
      <xdr:col>3</xdr:col>
      <xdr:colOff>777581</xdr:colOff>
      <xdr:row>3</xdr:row>
      <xdr:rowOff>90487</xdr:rowOff>
    </xdr:to>
    <xdr:pic>
      <xdr:nvPicPr>
        <xdr:cNvPr id="5" name="Imagen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97" y="0"/>
          <a:ext cx="3865834" cy="947737"/>
        </a:xfrm>
        <a:prstGeom prst="rect">
          <a:avLst/>
        </a:prstGeom>
      </xdr:spPr>
    </xdr:pic>
    <xdr:clientData/>
  </xdr:twoCellAnchor>
  <xdr:twoCellAnchor editAs="oneCell">
    <xdr:from>
      <xdr:col>8</xdr:col>
      <xdr:colOff>225592</xdr:colOff>
      <xdr:row>70</xdr:row>
      <xdr:rowOff>25066</xdr:rowOff>
    </xdr:from>
    <xdr:to>
      <xdr:col>8</xdr:col>
      <xdr:colOff>530392</xdr:colOff>
      <xdr:row>71</xdr:row>
      <xdr:rowOff>91741</xdr:rowOff>
    </xdr:to>
    <xdr:sp macro="" textlink="">
      <xdr:nvSpPr>
        <xdr:cNvPr id="6" name="AutoShape 1" descr="blob:https://web.whatsapp.com/61eb5d99-4d9e-487c-a09c-f15c91fb43bc">
          <a:extLst>
            <a:ext uri="{FF2B5EF4-FFF2-40B4-BE49-F238E27FC236}">
              <a16:creationId xmlns:a16="http://schemas.microsoft.com/office/drawing/2014/main" id="{00000000-0008-0000-0100-000006000000}"/>
            </a:ext>
          </a:extLst>
        </xdr:cNvPr>
        <xdr:cNvSpPr>
          <a:spLocks noChangeAspect="1" noChangeArrowheads="1"/>
        </xdr:cNvSpPr>
      </xdr:nvSpPr>
      <xdr:spPr bwMode="auto">
        <a:xfrm>
          <a:off x="9817267" y="20199016"/>
          <a:ext cx="304800" cy="381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7</xdr:col>
          <xdr:colOff>104775</xdr:colOff>
          <xdr:row>21</xdr:row>
          <xdr:rowOff>28575</xdr:rowOff>
        </xdr:from>
        <xdr:to>
          <xdr:col>7</xdr:col>
          <xdr:colOff>1133475</xdr:colOff>
          <xdr:row>21</xdr:row>
          <xdr:rowOff>219075</xdr:rowOff>
        </xdr:to>
        <xdr:sp macro="" textlink="">
          <xdr:nvSpPr>
            <xdr:cNvPr id="100353" name="Check Box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ANTES DEL ENSAYO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21</xdr:row>
          <xdr:rowOff>19050</xdr:rowOff>
        </xdr:from>
        <xdr:to>
          <xdr:col>9</xdr:col>
          <xdr:colOff>352425</xdr:colOff>
          <xdr:row>21</xdr:row>
          <xdr:rowOff>295275</xdr:rowOff>
        </xdr:to>
        <xdr:sp macro="" textlink="">
          <xdr:nvSpPr>
            <xdr:cNvPr id="100354" name="Check Box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DESPUÉS DEL ENSAYO </a:t>
              </a:r>
            </a:p>
          </xdr:txBody>
        </xdr:sp>
        <xdr:clientData/>
      </xdr:twoCellAnchor>
    </mc:Choice>
    <mc:Fallback/>
  </mc:AlternateContent>
  <xdr:twoCellAnchor>
    <xdr:from>
      <xdr:col>0</xdr:col>
      <xdr:colOff>533400</xdr:colOff>
      <xdr:row>60</xdr:row>
      <xdr:rowOff>114300</xdr:rowOff>
    </xdr:from>
    <xdr:to>
      <xdr:col>7</xdr:col>
      <xdr:colOff>581025</xdr:colOff>
      <xdr:row>74</xdr:row>
      <xdr:rowOff>266700</xdr:rowOff>
    </xdr:to>
    <xdr:graphicFrame macro="">
      <xdr:nvGraphicFramePr>
        <xdr:cNvPr id="9" name="Gráfico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547687</xdr:colOff>
      <xdr:row>16</xdr:row>
      <xdr:rowOff>276225</xdr:rowOff>
    </xdr:from>
    <xdr:to>
      <xdr:col>21</xdr:col>
      <xdr:colOff>333374</xdr:colOff>
      <xdr:row>21</xdr:row>
      <xdr:rowOff>200025</xdr:rowOff>
    </xdr:to>
    <xdr:sp macro="" textlink="">
      <xdr:nvSpPr>
        <xdr:cNvPr id="10" name="Globo: flecha hacia abajo 6">
          <a:extLst>
            <a:ext uri="{FF2B5EF4-FFF2-40B4-BE49-F238E27FC236}">
              <a16:creationId xmlns:a16="http://schemas.microsoft.com/office/drawing/2014/main" id="{00000000-0008-0000-0100-00000A000000}"/>
            </a:ext>
          </a:extLst>
        </xdr:cNvPr>
        <xdr:cNvSpPr/>
      </xdr:nvSpPr>
      <xdr:spPr>
        <a:xfrm>
          <a:off x="22636162" y="3914775"/>
          <a:ext cx="2738437" cy="1495425"/>
        </a:xfrm>
        <a:prstGeom prst="downArrow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702469</xdr:colOff>
      <xdr:row>16</xdr:row>
      <xdr:rowOff>276225</xdr:rowOff>
    </xdr:from>
    <xdr:to>
      <xdr:col>21</xdr:col>
      <xdr:colOff>209550</xdr:colOff>
      <xdr:row>19</xdr:row>
      <xdr:rowOff>142875</xdr:rowOff>
    </xdr:to>
    <xdr:sp macro="" textlink="">
      <xdr:nvSpPr>
        <xdr:cNvPr id="11" name="CuadroTexto 10">
          <a:extLst>
            <a:ext uri="{FF2B5EF4-FFF2-40B4-BE49-F238E27FC236}">
              <a16:creationId xmlns:a16="http://schemas.microsoft.com/office/drawing/2014/main" id="{00000000-0008-0000-0100-00000B000000}"/>
            </a:ext>
          </a:extLst>
        </xdr:cNvPr>
        <xdr:cNvSpPr txBox="1"/>
      </xdr:nvSpPr>
      <xdr:spPr>
        <a:xfrm>
          <a:off x="22790944" y="3914775"/>
          <a:ext cx="2459831"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400" b="1">
              <a:solidFill>
                <a:srgbClr val="FF0000"/>
              </a:solidFill>
            </a:rPr>
            <a:t>INSERTE</a:t>
          </a:r>
          <a:r>
            <a:rPr lang="es-MX" sz="1400" b="1" baseline="0">
              <a:solidFill>
                <a:srgbClr val="FF0000"/>
              </a:solidFill>
            </a:rPr>
            <a:t> LOS DATOS DEL ENSAYO, TIEMPO EN SEGUNDOS </a:t>
          </a:r>
        </a:p>
        <a:p>
          <a:pPr algn="ctr"/>
          <a:endParaRPr lang="es-MX" sz="1100"/>
        </a:p>
      </xdr:txBody>
    </xdr:sp>
    <xdr:clientData/>
  </xdr:twoCellAnchor>
  <xdr:twoCellAnchor editAs="oneCell">
    <xdr:from>
      <xdr:col>8</xdr:col>
      <xdr:colOff>1200150</xdr:colOff>
      <xdr:row>108</xdr:row>
      <xdr:rowOff>9525</xdr:rowOff>
    </xdr:from>
    <xdr:to>
      <xdr:col>9</xdr:col>
      <xdr:colOff>1671237</xdr:colOff>
      <xdr:row>112</xdr:row>
      <xdr:rowOff>107122</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3"/>
        <a:srcRect l="88188"/>
        <a:stretch/>
      </xdr:blipFill>
      <xdr:spPr>
        <a:xfrm>
          <a:off x="10791825" y="27193875"/>
          <a:ext cx="1852212" cy="707197"/>
        </a:xfrm>
        <a:prstGeom prst="rect">
          <a:avLst/>
        </a:prstGeom>
      </xdr:spPr>
    </xdr:pic>
    <xdr:clientData/>
  </xdr:twoCellAnchor>
  <xdr:twoCellAnchor>
    <xdr:from>
      <xdr:col>10</xdr:col>
      <xdr:colOff>142875</xdr:colOff>
      <xdr:row>69</xdr:row>
      <xdr:rowOff>285750</xdr:rowOff>
    </xdr:from>
    <xdr:to>
      <xdr:col>10</xdr:col>
      <xdr:colOff>188594</xdr:colOff>
      <xdr:row>70</xdr:row>
      <xdr:rowOff>47625</xdr:rowOff>
    </xdr:to>
    <xdr:sp macro="" textlink="">
      <xdr:nvSpPr>
        <xdr:cNvPr id="13" name="Rectángulo 12">
          <a:extLst>
            <a:ext uri="{FF2B5EF4-FFF2-40B4-BE49-F238E27FC236}">
              <a16:creationId xmlns:a16="http://schemas.microsoft.com/office/drawing/2014/main" id="{00000000-0008-0000-0100-00000D000000}"/>
            </a:ext>
          </a:extLst>
        </xdr:cNvPr>
        <xdr:cNvSpPr/>
      </xdr:nvSpPr>
      <xdr:spPr>
        <a:xfrm>
          <a:off x="13011150" y="20145375"/>
          <a:ext cx="45719" cy="762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457754</xdr:colOff>
      <xdr:row>66</xdr:row>
      <xdr:rowOff>38930</xdr:rowOff>
    </xdr:from>
    <xdr:to>
      <xdr:col>13</xdr:col>
      <xdr:colOff>1238250</xdr:colOff>
      <xdr:row>70</xdr:row>
      <xdr:rowOff>96311</xdr:rowOff>
    </xdr:to>
    <xdr:grpSp>
      <xdr:nvGrpSpPr>
        <xdr:cNvPr id="14" name="Grupo 13">
          <a:extLst>
            <a:ext uri="{FF2B5EF4-FFF2-40B4-BE49-F238E27FC236}">
              <a16:creationId xmlns:a16="http://schemas.microsoft.com/office/drawing/2014/main" id="{00000000-0008-0000-0100-00000E000000}"/>
            </a:ext>
          </a:extLst>
        </xdr:cNvPr>
        <xdr:cNvGrpSpPr/>
      </xdr:nvGrpSpPr>
      <xdr:grpSpPr>
        <a:xfrm>
          <a:off x="10044206" y="18566591"/>
          <a:ext cx="6249689" cy="1286414"/>
          <a:chOff x="10078004" y="18898430"/>
          <a:chExt cx="6264175" cy="1309238"/>
        </a:xfrm>
      </xdr:grpSpPr>
      <xdr:pic>
        <xdr:nvPicPr>
          <xdr:cNvPr id="15" name="Imagen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3"/>
          <a:srcRect l="88188"/>
          <a:stretch/>
        </xdr:blipFill>
        <xdr:spPr>
          <a:xfrm>
            <a:off x="10078004" y="19028403"/>
            <a:ext cx="2733052" cy="1039875"/>
          </a:xfrm>
          <a:prstGeom prst="rect">
            <a:avLst/>
          </a:prstGeom>
        </xdr:spPr>
      </xdr:pic>
      <xdr:pic>
        <xdr:nvPicPr>
          <xdr:cNvPr id="16" name="Imagen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4"/>
          <a:stretch>
            <a:fillRect/>
          </a:stretch>
        </xdr:blipFill>
        <xdr:spPr>
          <a:xfrm>
            <a:off x="13511893" y="18898430"/>
            <a:ext cx="2830286" cy="1309238"/>
          </a:xfrm>
          <a:prstGeom prst="rect">
            <a:avLst/>
          </a:prstGeom>
        </xdr:spPr>
      </xdr:pic>
    </xdr:grpSp>
    <xdr:clientData/>
  </xdr:twoCellAnchor>
  <xdr:twoCellAnchor>
    <xdr:from>
      <xdr:col>30</xdr:col>
      <xdr:colOff>465174</xdr:colOff>
      <xdr:row>18</xdr:row>
      <xdr:rowOff>297933</xdr:rowOff>
    </xdr:from>
    <xdr:to>
      <xdr:col>33</xdr:col>
      <xdr:colOff>491576</xdr:colOff>
      <xdr:row>31</xdr:row>
      <xdr:rowOff>293964</xdr:rowOff>
    </xdr:to>
    <xdr:grpSp>
      <xdr:nvGrpSpPr>
        <xdr:cNvPr id="17" name="Grupo 16">
          <a:extLst>
            <a:ext uri="{FF2B5EF4-FFF2-40B4-BE49-F238E27FC236}">
              <a16:creationId xmlns:a16="http://schemas.microsoft.com/office/drawing/2014/main" id="{00000000-0008-0000-0100-000011000000}"/>
            </a:ext>
          </a:extLst>
        </xdr:cNvPr>
        <xdr:cNvGrpSpPr/>
      </xdr:nvGrpSpPr>
      <xdr:grpSpPr>
        <a:xfrm>
          <a:off x="32420013" y="4507368"/>
          <a:ext cx="2330837" cy="3744580"/>
          <a:chOff x="14249193" y="3714750"/>
          <a:chExt cx="2312401" cy="3840956"/>
        </a:xfrm>
      </xdr:grpSpPr>
      <xdr:sp macro="" textlink="">
        <xdr:nvSpPr>
          <xdr:cNvPr id="18" name="Rectángulo redondeado 4">
            <a:extLst>
              <a:ext uri="{FF2B5EF4-FFF2-40B4-BE49-F238E27FC236}">
                <a16:creationId xmlns:a16="http://schemas.microsoft.com/office/drawing/2014/main" id="{00000000-0008-0000-0100-000012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19" name="Cilindro 18">
            <a:extLst>
              <a:ext uri="{FF2B5EF4-FFF2-40B4-BE49-F238E27FC236}">
                <a16:creationId xmlns:a16="http://schemas.microsoft.com/office/drawing/2014/main" id="{00000000-0008-0000-0100-000013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xdr:from>
      <xdr:col>26</xdr:col>
      <xdr:colOff>686687</xdr:colOff>
      <xdr:row>19</xdr:row>
      <xdr:rowOff>22152</xdr:rowOff>
    </xdr:from>
    <xdr:to>
      <xdr:col>29</xdr:col>
      <xdr:colOff>742992</xdr:colOff>
      <xdr:row>32</xdr:row>
      <xdr:rowOff>25197</xdr:rowOff>
    </xdr:to>
    <xdr:grpSp>
      <xdr:nvGrpSpPr>
        <xdr:cNvPr id="20" name="Grupo 19">
          <a:extLst>
            <a:ext uri="{FF2B5EF4-FFF2-40B4-BE49-F238E27FC236}">
              <a16:creationId xmlns:a16="http://schemas.microsoft.com/office/drawing/2014/main" id="{00000000-0008-0000-0100-000014000000}"/>
            </a:ext>
          </a:extLst>
        </xdr:cNvPr>
        <xdr:cNvGrpSpPr/>
      </xdr:nvGrpSpPr>
      <xdr:grpSpPr>
        <a:xfrm>
          <a:off x="29568945" y="4538846"/>
          <a:ext cx="2360741" cy="3751593"/>
          <a:chOff x="14249193" y="3714750"/>
          <a:chExt cx="2312401" cy="3840956"/>
        </a:xfrm>
      </xdr:grpSpPr>
      <xdr:sp macro="" textlink="">
        <xdr:nvSpPr>
          <xdr:cNvPr id="21" name="Rectángulo redondeado 4">
            <a:extLst>
              <a:ext uri="{FF2B5EF4-FFF2-40B4-BE49-F238E27FC236}">
                <a16:creationId xmlns:a16="http://schemas.microsoft.com/office/drawing/2014/main" id="{00000000-0008-0000-0100-000015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2" name="Cilindro 21">
            <a:extLst>
              <a:ext uri="{FF2B5EF4-FFF2-40B4-BE49-F238E27FC236}">
                <a16:creationId xmlns:a16="http://schemas.microsoft.com/office/drawing/2014/main" id="{00000000-0008-0000-0100-000016000000}"/>
              </a:ext>
            </a:extLst>
          </xdr:cNvPr>
          <xdr:cNvSpPr/>
        </xdr:nvSpPr>
        <xdr:spPr>
          <a:xfrm>
            <a:off x="14335124" y="4193382"/>
            <a:ext cx="2131218"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8</xdr:col>
      <xdr:colOff>0</xdr:colOff>
      <xdr:row>94</xdr:row>
      <xdr:rowOff>0</xdr:rowOff>
    </xdr:from>
    <xdr:to>
      <xdr:col>13</xdr:col>
      <xdr:colOff>783552</xdr:colOff>
      <xdr:row>102</xdr:row>
      <xdr:rowOff>113325</xdr:rowOff>
    </xdr:to>
    <xdr:pic>
      <xdr:nvPicPr>
        <xdr:cNvPr id="23" name="Imagen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5"/>
        <a:stretch>
          <a:fillRect/>
        </a:stretch>
      </xdr:blipFill>
      <xdr:spPr>
        <a:xfrm>
          <a:off x="9591675" y="25050750"/>
          <a:ext cx="6260427" cy="1332525"/>
        </a:xfrm>
        <a:prstGeom prst="rect">
          <a:avLst/>
        </a:prstGeom>
      </xdr:spPr>
    </xdr:pic>
    <xdr:clientData/>
  </xdr:twoCellAnchor>
  <xdr:twoCellAnchor>
    <xdr:from>
      <xdr:col>6</xdr:col>
      <xdr:colOff>273652</xdr:colOff>
      <xdr:row>19</xdr:row>
      <xdr:rowOff>166564</xdr:rowOff>
    </xdr:from>
    <xdr:to>
      <xdr:col>6</xdr:col>
      <xdr:colOff>1345732</xdr:colOff>
      <xdr:row>19</xdr:row>
      <xdr:rowOff>202924</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24" name="Entrada de lápiz 23">
              <a:extLst>
                <a:ext uri="{FF2B5EF4-FFF2-40B4-BE49-F238E27FC236}">
                  <a16:creationId xmlns:a16="http://schemas.microsoft.com/office/drawing/2014/main" id="{00000000-0008-0000-0100-000018000000}"/>
                </a:ext>
              </a:extLst>
            </xdr14:cNvPr>
            <xdr14:cNvContentPartPr/>
          </xdr14:nvContentPartPr>
          <xdr14:nvPr macro=""/>
          <xdr14:xfrm>
            <a:off x="7114334" y="4694032"/>
            <a:ext cx="1072080" cy="36360"/>
          </xdr14:xfrm>
        </xdr:contentPart>
      </mc:Choice>
      <mc:Fallback xmlns="">
        <xdr:pic>
          <xdr:nvPicPr>
            <xdr:cNvPr id="24" name="Entrada de lápiz 23">
              <a:extLst>
                <a:ext uri="{FF2B5EF4-FFF2-40B4-BE49-F238E27FC236}">
                  <a16:creationId xmlns:a16="http://schemas.microsoft.com/office/drawing/2014/main" id="{00000000-0008-0000-2000-000027000000}"/>
                </a:ext>
              </a:extLst>
            </xdr:cNvPr>
            <xdr:cNvPicPr/>
          </xdr:nvPicPr>
          <xdr:blipFill>
            <a:blip xmlns:r="http://schemas.openxmlformats.org/officeDocument/2006/relationships" r:embed="rId7"/>
            <a:stretch>
              <a:fillRect/>
            </a:stretch>
          </xdr:blipFill>
          <xdr:spPr>
            <a:xfrm>
              <a:off x="7108214" y="4687912"/>
              <a:ext cx="1084320" cy="48600"/>
            </a:xfrm>
            <a:prstGeom prst="rect">
              <a:avLst/>
            </a:prstGeom>
          </xdr:spPr>
        </xdr:pic>
      </mc:Fallback>
    </mc:AlternateContent>
    <xdr:clientData/>
  </xdr:twoCellAnchor>
  <xdr:twoCellAnchor>
    <xdr:from>
      <xdr:col>12</xdr:col>
      <xdr:colOff>60867</xdr:colOff>
      <xdr:row>18</xdr:row>
      <xdr:rowOff>251774</xdr:rowOff>
    </xdr:from>
    <xdr:to>
      <xdr:col>13</xdr:col>
      <xdr:colOff>600807</xdr:colOff>
      <xdr:row>28</xdr:row>
      <xdr:rowOff>146538</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8" name="Entrada de lápiz 7">
              <a:extLst>
                <a:ext uri="{FF2B5EF4-FFF2-40B4-BE49-F238E27FC236}">
                  <a16:creationId xmlns:a16="http://schemas.microsoft.com/office/drawing/2014/main" id="{00000000-0008-0000-0100-000008000000}"/>
                </a:ext>
              </a:extLst>
            </xdr14:cNvPr>
            <xdr14:cNvContentPartPr/>
          </xdr14:nvContentPartPr>
          <xdr14:nvPr macro=""/>
          <xdr14:xfrm>
            <a:off x="15007790" y="4538024"/>
            <a:ext cx="671825" cy="2796226"/>
          </xdr14:xfrm>
        </xdr:contentPart>
      </mc:Choice>
      <mc:Fallback xmlns="">
        <xdr:pic>
          <xdr:nvPicPr>
            <xdr:cNvPr id="8" name="Entrada de lápiz 7"/>
            <xdr:cNvPicPr/>
          </xdr:nvPicPr>
          <xdr:blipFill>
            <a:blip xmlns:r="http://schemas.openxmlformats.org/officeDocument/2006/relationships" r:embed="rId9"/>
            <a:stretch>
              <a:fillRect/>
            </a:stretch>
          </xdr:blipFill>
          <xdr:spPr>
            <a:xfrm>
              <a:off x="15001330" y="4531408"/>
              <a:ext cx="684745" cy="2809457"/>
            </a:xfrm>
            <a:prstGeom prst="rect">
              <a:avLst/>
            </a:prstGeom>
          </xdr:spPr>
        </xdr:pic>
      </mc:Fallback>
    </mc:AlternateContent>
    <xdr:clientData/>
  </xdr:twoCellAnchor>
  <xdr:twoCellAnchor>
    <xdr:from>
      <xdr:col>13</xdr:col>
      <xdr:colOff>87734</xdr:colOff>
      <xdr:row>26</xdr:row>
      <xdr:rowOff>197533</xdr:rowOff>
    </xdr:from>
    <xdr:to>
      <xdr:col>13</xdr:col>
      <xdr:colOff>382466</xdr:colOff>
      <xdr:row>28</xdr:row>
      <xdr:rowOff>2297</xdr:rowOff>
    </xdr:to>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29" name="Entrada de lápiz 28">
              <a:extLst>
                <a:ext uri="{FF2B5EF4-FFF2-40B4-BE49-F238E27FC236}">
                  <a16:creationId xmlns:a16="http://schemas.microsoft.com/office/drawing/2014/main" id="{00000000-0008-0000-0100-00001D000000}"/>
                </a:ext>
              </a:extLst>
            </xdr14:cNvPr>
            <xdr14:cNvContentPartPr/>
          </xdr14:nvContentPartPr>
          <xdr14:nvPr macro=""/>
          <xdr14:xfrm rot="20584018">
            <a:off x="15166542" y="6755129"/>
            <a:ext cx="294732" cy="434880"/>
          </xdr14:xfrm>
        </xdr:contentPart>
      </mc:Choice>
      <mc:Fallback xmlns="">
        <xdr:pic>
          <xdr:nvPicPr>
            <xdr:cNvPr id="29" name="Entrada de lápiz 28"/>
            <xdr:cNvPicPr/>
          </xdr:nvPicPr>
          <xdr:blipFill>
            <a:blip xmlns:r="http://schemas.openxmlformats.org/officeDocument/2006/relationships" r:embed="rId11"/>
            <a:stretch>
              <a:fillRect/>
            </a:stretch>
          </xdr:blipFill>
          <xdr:spPr>
            <a:xfrm rot="20584018">
              <a:off x="15160064" y="6748450"/>
              <a:ext cx="307687" cy="448238"/>
            </a:xfrm>
            <a:prstGeom prst="rect">
              <a:avLst/>
            </a:prstGeom>
          </xdr:spPr>
        </xdr:pic>
      </mc:Fallback>
    </mc:AlternateContent>
    <xdr:clientData/>
  </xdr:twoCellAnchor>
  <xdr:twoCellAnchor>
    <xdr:from>
      <xdr:col>11</xdr:col>
      <xdr:colOff>435943</xdr:colOff>
      <xdr:row>23</xdr:row>
      <xdr:rowOff>258763</xdr:rowOff>
    </xdr:from>
    <xdr:to>
      <xdr:col>11</xdr:col>
      <xdr:colOff>706732</xdr:colOff>
      <xdr:row>25</xdr:row>
      <xdr:rowOff>180592</xdr:rowOff>
    </xdr:to>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35" name="Entrada de lápiz 34">
              <a:extLst>
                <a:ext uri="{FF2B5EF4-FFF2-40B4-BE49-F238E27FC236}">
                  <a16:creationId xmlns:a16="http://schemas.microsoft.com/office/drawing/2014/main" id="{00000000-0008-0000-0100-000023000000}"/>
                </a:ext>
              </a:extLst>
            </xdr14:cNvPr>
            <xdr14:cNvContentPartPr/>
          </xdr14:nvContentPartPr>
          <xdr14:nvPr macro=""/>
          <xdr14:xfrm rot="826592">
            <a:off x="14613539" y="5871186"/>
            <a:ext cx="270789" cy="551944"/>
          </xdr14:xfrm>
        </xdr:contentPart>
      </mc:Choice>
      <mc:Fallback xmlns="">
        <xdr:pic>
          <xdr:nvPicPr>
            <xdr:cNvPr id="35" name="Entrada de lápiz 34"/>
            <xdr:cNvPicPr/>
          </xdr:nvPicPr>
          <xdr:blipFill>
            <a:blip xmlns:r="http://schemas.openxmlformats.org/officeDocument/2006/relationships" r:embed="rId13"/>
            <a:stretch>
              <a:fillRect/>
            </a:stretch>
          </xdr:blipFill>
          <xdr:spPr>
            <a:xfrm rot="826592">
              <a:off x="14607057" y="5864549"/>
              <a:ext cx="283752" cy="565217"/>
            </a:xfrm>
            <a:prstGeom prst="rect">
              <a:avLst/>
            </a:prstGeom>
          </xdr:spPr>
        </xdr:pic>
      </mc:Fallback>
    </mc:AlternateContent>
    <xdr:clientData/>
  </xdr:twoCellAnchor>
  <xdr:twoCellAnchor>
    <xdr:from>
      <xdr:col>11</xdr:col>
      <xdr:colOff>586231</xdr:colOff>
      <xdr:row>19</xdr:row>
      <xdr:rowOff>306406</xdr:rowOff>
    </xdr:from>
    <xdr:to>
      <xdr:col>11</xdr:col>
      <xdr:colOff>710712</xdr:colOff>
      <xdr:row>21</xdr:row>
      <xdr:rowOff>12171</xdr:rowOff>
    </xdr:to>
    <mc:AlternateContent xmlns:mc="http://schemas.openxmlformats.org/markup-compatibility/2006" xmlns:xdr14="http://schemas.microsoft.com/office/excel/2010/spreadsheetDrawing">
      <mc:Choice Requires="xdr14">
        <xdr:contentPart xmlns:r="http://schemas.openxmlformats.org/officeDocument/2006/relationships" r:id="rId14">
          <xdr14:nvContentPartPr>
            <xdr14:cNvPr id="38" name="Entrada de lápiz 37">
              <a:extLst>
                <a:ext uri="{FF2B5EF4-FFF2-40B4-BE49-F238E27FC236}">
                  <a16:creationId xmlns:a16="http://schemas.microsoft.com/office/drawing/2014/main" id="{00000000-0008-0000-0100-000026000000}"/>
                </a:ext>
              </a:extLst>
            </xdr14:cNvPr>
            <xdr14:cNvContentPartPr/>
          </xdr14:nvContentPartPr>
          <xdr14:nvPr macro=""/>
          <xdr14:xfrm>
            <a:off x="14763827" y="4907714"/>
            <a:ext cx="124481" cy="335880"/>
          </xdr14:xfrm>
        </xdr:contentPart>
      </mc:Choice>
      <mc:Fallback xmlns="">
        <xdr:pic>
          <xdr:nvPicPr>
            <xdr:cNvPr id="38" name="Entrada de lápiz 37"/>
            <xdr:cNvPicPr/>
          </xdr:nvPicPr>
          <xdr:blipFill>
            <a:blip xmlns:r="http://schemas.openxmlformats.org/officeDocument/2006/relationships" r:embed="rId15"/>
            <a:stretch>
              <a:fillRect/>
            </a:stretch>
          </xdr:blipFill>
          <xdr:spPr>
            <a:xfrm>
              <a:off x="14757351" y="4900974"/>
              <a:ext cx="137433" cy="349360"/>
            </a:xfrm>
            <a:prstGeom prst="rect">
              <a:avLst/>
            </a:prstGeom>
          </xdr:spPr>
        </xdr:pic>
      </mc:Fallback>
    </mc:AlternateContent>
    <xdr:clientData/>
  </xdr:twoCellAnchor>
  <xdr:twoCellAnchor>
    <xdr:from>
      <xdr:col>13</xdr:col>
      <xdr:colOff>526640</xdr:colOff>
      <xdr:row>27</xdr:row>
      <xdr:rowOff>51762</xdr:rowOff>
    </xdr:from>
    <xdr:to>
      <xdr:col>13</xdr:col>
      <xdr:colOff>802760</xdr:colOff>
      <xdr:row>28</xdr:row>
      <xdr:rowOff>233157</xdr:rowOff>
    </xdr:to>
    <mc:AlternateContent xmlns:mc="http://schemas.openxmlformats.org/markup-compatibility/2006" xmlns:xdr14="http://schemas.microsoft.com/office/excel/2010/spreadsheetDrawing">
      <mc:Choice Requires="xdr14">
        <xdr:contentPart xmlns:r="http://schemas.openxmlformats.org/officeDocument/2006/relationships" r:id="rId16">
          <xdr14:nvContentPartPr>
            <xdr14:cNvPr id="49" name="Entrada de lápiz 48">
              <a:extLst>
                <a:ext uri="{FF2B5EF4-FFF2-40B4-BE49-F238E27FC236}">
                  <a16:creationId xmlns:a16="http://schemas.microsoft.com/office/drawing/2014/main" id="{00000000-0008-0000-0100-000031000000}"/>
                </a:ext>
              </a:extLst>
            </xdr14:cNvPr>
            <xdr14:cNvContentPartPr/>
          </xdr14:nvContentPartPr>
          <xdr14:nvPr macro=""/>
          <xdr14:xfrm>
            <a:off x="15592949" y="6892953"/>
            <a:ext cx="276120" cy="495160"/>
          </xdr14:xfrm>
        </xdr:contentPart>
      </mc:Choice>
      <mc:Fallback xmlns="">
        <xdr:pic>
          <xdr:nvPicPr>
            <xdr:cNvPr id="49" name="Entrada de lápiz 48"/>
            <xdr:cNvPicPr/>
          </xdr:nvPicPr>
          <xdr:blipFill>
            <a:blip xmlns:r="http://schemas.openxmlformats.org/officeDocument/2006/relationships" r:embed="rId17"/>
            <a:stretch>
              <a:fillRect/>
            </a:stretch>
          </xdr:blipFill>
          <xdr:spPr>
            <a:xfrm>
              <a:off x="15586469" y="6886404"/>
              <a:ext cx="289080" cy="508258"/>
            </a:xfrm>
            <a:prstGeom prst="rect">
              <a:avLst/>
            </a:prstGeom>
          </xdr:spPr>
        </xdr:pic>
      </mc:Fallback>
    </mc:AlternateContent>
    <xdr:clientData/>
  </xdr:twoCellAnchor>
  <xdr:twoCellAnchor>
    <xdr:from>
      <xdr:col>13</xdr:col>
      <xdr:colOff>891196</xdr:colOff>
      <xdr:row>26</xdr:row>
      <xdr:rowOff>160290</xdr:rowOff>
    </xdr:from>
    <xdr:to>
      <xdr:col>13</xdr:col>
      <xdr:colOff>1336516</xdr:colOff>
      <xdr:row>28</xdr:row>
      <xdr:rowOff>151240</xdr:rowOff>
    </xdr:to>
    <mc:AlternateContent xmlns:mc="http://schemas.openxmlformats.org/markup-compatibility/2006" xmlns:xdr14="http://schemas.microsoft.com/office/excel/2010/spreadsheetDrawing">
      <mc:Choice Requires="xdr14">
        <xdr:contentPart xmlns:r="http://schemas.openxmlformats.org/officeDocument/2006/relationships" r:id="rId18">
          <xdr14:nvContentPartPr>
            <xdr14:cNvPr id="53" name="Entrada de lápiz 52">
              <a:extLst>
                <a:ext uri="{FF2B5EF4-FFF2-40B4-BE49-F238E27FC236}">
                  <a16:creationId xmlns:a16="http://schemas.microsoft.com/office/drawing/2014/main" id="{00000000-0008-0000-0100-000035000000}"/>
                </a:ext>
              </a:extLst>
            </xdr14:cNvPr>
            <xdr14:cNvContentPartPr/>
          </xdr14:nvContentPartPr>
          <xdr14:nvPr macro=""/>
          <xdr14:xfrm>
            <a:off x="15957505" y="6687716"/>
            <a:ext cx="445320" cy="618480"/>
          </xdr14:xfrm>
        </xdr:contentPart>
      </mc:Choice>
      <mc:Fallback xmlns="">
        <xdr:pic>
          <xdr:nvPicPr>
            <xdr:cNvPr id="53" name="Entrada de lápiz 52"/>
            <xdr:cNvPicPr/>
          </xdr:nvPicPr>
          <xdr:blipFill>
            <a:blip xmlns:r="http://schemas.openxmlformats.org/officeDocument/2006/relationships" r:embed="rId19"/>
            <a:stretch>
              <a:fillRect/>
            </a:stretch>
          </xdr:blipFill>
          <xdr:spPr>
            <a:xfrm>
              <a:off x="15951025" y="6681125"/>
              <a:ext cx="458280" cy="631663"/>
            </a:xfrm>
            <a:prstGeom prst="rect">
              <a:avLst/>
            </a:prstGeom>
          </xdr:spPr>
        </xdr:pic>
      </mc:Fallback>
    </mc:AlternateContent>
    <xdr:clientData/>
  </xdr:twoCellAnchor>
  <xdr:twoCellAnchor>
    <xdr:from>
      <xdr:col>13</xdr:col>
      <xdr:colOff>1039994</xdr:colOff>
      <xdr:row>26</xdr:row>
      <xdr:rowOff>260703</xdr:rowOff>
    </xdr:from>
    <xdr:to>
      <xdr:col>13</xdr:col>
      <xdr:colOff>1099034</xdr:colOff>
      <xdr:row>26</xdr:row>
      <xdr:rowOff>295623</xdr:rowOff>
    </xdr:to>
    <mc:AlternateContent xmlns:mc="http://schemas.openxmlformats.org/markup-compatibility/2006" xmlns:xdr14="http://schemas.microsoft.com/office/excel/2010/spreadsheetDrawing">
      <mc:Choice Requires="xdr14">
        <xdr:contentPart xmlns:r="http://schemas.openxmlformats.org/officeDocument/2006/relationships" r:id="rId20">
          <xdr14:nvContentPartPr>
            <xdr14:cNvPr id="54" name="Entrada de lápiz 53">
              <a:extLst>
                <a:ext uri="{FF2B5EF4-FFF2-40B4-BE49-F238E27FC236}">
                  <a16:creationId xmlns:a16="http://schemas.microsoft.com/office/drawing/2014/main" id="{00000000-0008-0000-0100-000036000000}"/>
                </a:ext>
              </a:extLst>
            </xdr14:cNvPr>
            <xdr14:cNvContentPartPr/>
          </xdr14:nvContentPartPr>
          <xdr14:nvPr macro=""/>
          <xdr14:xfrm>
            <a:off x="16106303" y="6788129"/>
            <a:ext cx="59040" cy="34920"/>
          </xdr14:xfrm>
        </xdr:contentPart>
      </mc:Choice>
      <mc:Fallback xmlns="">
        <xdr:pic>
          <xdr:nvPicPr>
            <xdr:cNvPr id="54" name="Entrada de lápiz 53"/>
            <xdr:cNvPicPr/>
          </xdr:nvPicPr>
          <xdr:blipFill>
            <a:blip xmlns:r="http://schemas.openxmlformats.org/officeDocument/2006/relationships" r:embed="rId21"/>
            <a:stretch>
              <a:fillRect/>
            </a:stretch>
          </xdr:blipFill>
          <xdr:spPr>
            <a:xfrm>
              <a:off x="16099823" y="6781649"/>
              <a:ext cx="72000" cy="47880"/>
            </a:xfrm>
            <a:prstGeom prst="rect">
              <a:avLst/>
            </a:prstGeom>
          </xdr:spPr>
        </xdr:pic>
      </mc:Fallback>
    </mc:AlternateContent>
    <xdr:clientData/>
  </xdr:twoCellAnchor>
  <xdr:twoCellAnchor>
    <xdr:from>
      <xdr:col>13</xdr:col>
      <xdr:colOff>973355</xdr:colOff>
      <xdr:row>26</xdr:row>
      <xdr:rowOff>158601</xdr:rowOff>
    </xdr:from>
    <xdr:to>
      <xdr:col>13</xdr:col>
      <xdr:colOff>1116635</xdr:colOff>
      <xdr:row>27</xdr:row>
      <xdr:rowOff>7196</xdr:rowOff>
    </xdr:to>
    <mc:AlternateContent xmlns:mc="http://schemas.openxmlformats.org/markup-compatibility/2006" xmlns:xdr14="http://schemas.microsoft.com/office/excel/2010/spreadsheetDrawing">
      <mc:Choice Requires="xdr14">
        <xdr:contentPart xmlns:r="http://schemas.openxmlformats.org/officeDocument/2006/relationships" r:id="rId22">
          <xdr14:nvContentPartPr>
            <xdr14:cNvPr id="55" name="Entrada de lápiz 54">
              <a:extLst>
                <a:ext uri="{FF2B5EF4-FFF2-40B4-BE49-F238E27FC236}">
                  <a16:creationId xmlns:a16="http://schemas.microsoft.com/office/drawing/2014/main" id="{00000000-0008-0000-0100-000037000000}"/>
                </a:ext>
              </a:extLst>
            </xdr14:cNvPr>
            <xdr14:cNvContentPartPr/>
          </xdr14:nvContentPartPr>
          <xdr14:nvPr macro=""/>
          <xdr14:xfrm>
            <a:off x="16039664" y="6686027"/>
            <a:ext cx="143280" cy="162360"/>
          </xdr14:xfrm>
        </xdr:contentPart>
      </mc:Choice>
      <mc:Fallback xmlns="">
        <xdr:pic>
          <xdr:nvPicPr>
            <xdr:cNvPr id="55" name="Entrada de lápiz 54"/>
            <xdr:cNvPicPr/>
          </xdr:nvPicPr>
          <xdr:blipFill>
            <a:blip xmlns:r="http://schemas.openxmlformats.org/officeDocument/2006/relationships" r:embed="rId23"/>
            <a:stretch>
              <a:fillRect/>
            </a:stretch>
          </xdr:blipFill>
          <xdr:spPr>
            <a:xfrm>
              <a:off x="16033184" y="6679339"/>
              <a:ext cx="156240" cy="175735"/>
            </a:xfrm>
            <a:prstGeom prst="rect">
              <a:avLst/>
            </a:prstGeom>
          </xdr:spPr>
        </xdr:pic>
      </mc:Fallback>
    </mc:AlternateContent>
    <xdr:clientData/>
  </xdr:twoCellAnchor>
  <xdr:twoCellAnchor>
    <xdr:from>
      <xdr:col>13</xdr:col>
      <xdr:colOff>1122472</xdr:colOff>
      <xdr:row>26</xdr:row>
      <xdr:rowOff>90214</xdr:rowOff>
    </xdr:from>
    <xdr:to>
      <xdr:col>13</xdr:col>
      <xdr:colOff>1392472</xdr:colOff>
      <xdr:row>28</xdr:row>
      <xdr:rowOff>142364</xdr:rowOff>
    </xdr:to>
    <mc:AlternateContent xmlns:mc="http://schemas.openxmlformats.org/markup-compatibility/2006" xmlns:xdr14="http://schemas.microsoft.com/office/excel/2010/spreadsheetDrawing">
      <mc:Choice Requires="xdr14">
        <xdr:contentPart xmlns:r="http://schemas.openxmlformats.org/officeDocument/2006/relationships" r:id="rId24">
          <xdr14:nvContentPartPr>
            <xdr14:cNvPr id="56" name="Entrada de lápiz 55">
              <a:extLst>
                <a:ext uri="{FF2B5EF4-FFF2-40B4-BE49-F238E27FC236}">
                  <a16:creationId xmlns:a16="http://schemas.microsoft.com/office/drawing/2014/main" id="{00000000-0008-0000-0100-000038000000}"/>
                </a:ext>
              </a:extLst>
            </xdr14:cNvPr>
            <xdr14:cNvContentPartPr/>
          </xdr14:nvContentPartPr>
          <xdr14:nvPr macro=""/>
          <xdr14:xfrm>
            <a:off x="16188781" y="6617640"/>
            <a:ext cx="270000" cy="679680"/>
          </xdr14:xfrm>
        </xdr:contentPart>
      </mc:Choice>
      <mc:Fallback xmlns="">
        <xdr:pic>
          <xdr:nvPicPr>
            <xdr:cNvPr id="56" name="Entrada de lápiz 55"/>
            <xdr:cNvPicPr/>
          </xdr:nvPicPr>
          <xdr:blipFill>
            <a:blip xmlns:r="http://schemas.openxmlformats.org/officeDocument/2006/relationships" r:embed="rId25"/>
            <a:stretch>
              <a:fillRect/>
            </a:stretch>
          </xdr:blipFill>
          <xdr:spPr>
            <a:xfrm>
              <a:off x="16182301" y="6611059"/>
              <a:ext cx="282960" cy="692842"/>
            </a:xfrm>
            <a:prstGeom prst="rect">
              <a:avLst/>
            </a:prstGeom>
          </xdr:spPr>
        </xdr:pic>
      </mc:Fallback>
    </mc:AlternateContent>
    <xdr:clientData/>
  </xdr:twoCellAnchor>
  <xdr:twoCellAnchor>
    <xdr:from>
      <xdr:col>13</xdr:col>
      <xdr:colOff>1101233</xdr:colOff>
      <xdr:row>26</xdr:row>
      <xdr:rowOff>105334</xdr:rowOff>
    </xdr:from>
    <xdr:to>
      <xdr:col>13</xdr:col>
      <xdr:colOff>1179713</xdr:colOff>
      <xdr:row>26</xdr:row>
      <xdr:rowOff>183094</xdr:rowOff>
    </xdr:to>
    <mc:AlternateContent xmlns:mc="http://schemas.openxmlformats.org/markup-compatibility/2006" xmlns:xdr14="http://schemas.microsoft.com/office/excel/2010/spreadsheetDrawing">
      <mc:Choice Requires="xdr14">
        <xdr:contentPart xmlns:r="http://schemas.openxmlformats.org/officeDocument/2006/relationships" r:id="rId26">
          <xdr14:nvContentPartPr>
            <xdr14:cNvPr id="57" name="Entrada de lápiz 56">
              <a:extLst>
                <a:ext uri="{FF2B5EF4-FFF2-40B4-BE49-F238E27FC236}">
                  <a16:creationId xmlns:a16="http://schemas.microsoft.com/office/drawing/2014/main" id="{00000000-0008-0000-0100-000039000000}"/>
                </a:ext>
              </a:extLst>
            </xdr14:cNvPr>
            <xdr14:cNvContentPartPr/>
          </xdr14:nvContentPartPr>
          <xdr14:nvPr macro=""/>
          <xdr14:xfrm>
            <a:off x="16167542" y="6632760"/>
            <a:ext cx="78480" cy="77760"/>
          </xdr14:xfrm>
        </xdr:contentPart>
      </mc:Choice>
      <mc:Fallback xmlns="">
        <xdr:pic>
          <xdr:nvPicPr>
            <xdr:cNvPr id="57" name="Entrada de lápiz 56"/>
            <xdr:cNvPicPr/>
          </xdr:nvPicPr>
          <xdr:blipFill>
            <a:blip xmlns:r="http://schemas.openxmlformats.org/officeDocument/2006/relationships" r:embed="rId27"/>
            <a:stretch>
              <a:fillRect/>
            </a:stretch>
          </xdr:blipFill>
          <xdr:spPr>
            <a:xfrm>
              <a:off x="16161062" y="6626280"/>
              <a:ext cx="91440" cy="90720"/>
            </a:xfrm>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11</xdr:col>
      <xdr:colOff>62843</xdr:colOff>
      <xdr:row>15</xdr:row>
      <xdr:rowOff>92610</xdr:rowOff>
    </xdr:from>
    <xdr:to>
      <xdr:col>13</xdr:col>
      <xdr:colOff>1511264</xdr:colOff>
      <xdr:row>28</xdr:row>
      <xdr:rowOff>299180</xdr:rowOff>
    </xdr:to>
    <xdr:grpSp>
      <xdr:nvGrpSpPr>
        <xdr:cNvPr id="25" name="Grupo 24">
          <a:extLst>
            <a:ext uri="{FF2B5EF4-FFF2-40B4-BE49-F238E27FC236}">
              <a16:creationId xmlns:a16="http://schemas.microsoft.com/office/drawing/2014/main" id="{00000000-0008-0000-0200-000019000000}"/>
            </a:ext>
          </a:extLst>
        </xdr:cNvPr>
        <xdr:cNvGrpSpPr/>
      </xdr:nvGrpSpPr>
      <xdr:grpSpPr>
        <a:xfrm>
          <a:off x="14249320" y="3642837"/>
          <a:ext cx="2343194" cy="3886684"/>
          <a:chOff x="14249193" y="3714750"/>
          <a:chExt cx="2312401" cy="3840956"/>
        </a:xfrm>
      </xdr:grpSpPr>
      <xdr:sp macro="" textlink="">
        <xdr:nvSpPr>
          <xdr:cNvPr id="26" name="Rectángulo redondeado 4">
            <a:extLst>
              <a:ext uri="{FF2B5EF4-FFF2-40B4-BE49-F238E27FC236}">
                <a16:creationId xmlns:a16="http://schemas.microsoft.com/office/drawing/2014/main" id="{00000000-0008-0000-0200-00001A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7" name="Cilindro 26">
            <a:extLst>
              <a:ext uri="{FF2B5EF4-FFF2-40B4-BE49-F238E27FC236}">
                <a16:creationId xmlns:a16="http://schemas.microsoft.com/office/drawing/2014/main" id="{00000000-0008-0000-0200-00001B000000}"/>
              </a:ext>
            </a:extLst>
          </xdr:cNvPr>
          <xdr:cNvSpPr/>
        </xdr:nvSpPr>
        <xdr:spPr>
          <a:xfrm>
            <a:off x="14335124" y="4193382"/>
            <a:ext cx="2131218"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0</xdr:col>
      <xdr:colOff>16897</xdr:colOff>
      <xdr:row>0</xdr:row>
      <xdr:rowOff>0</xdr:rowOff>
    </xdr:from>
    <xdr:to>
      <xdr:col>3</xdr:col>
      <xdr:colOff>777581</xdr:colOff>
      <xdr:row>3</xdr:row>
      <xdr:rowOff>90487</xdr:rowOff>
    </xdr:to>
    <xdr:pic>
      <xdr:nvPicPr>
        <xdr:cNvPr id="5" name="Imagen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97" y="0"/>
          <a:ext cx="3865834" cy="947737"/>
        </a:xfrm>
        <a:prstGeom prst="rect">
          <a:avLst/>
        </a:prstGeom>
      </xdr:spPr>
    </xdr:pic>
    <xdr:clientData/>
  </xdr:twoCellAnchor>
  <xdr:twoCellAnchor editAs="oneCell">
    <xdr:from>
      <xdr:col>8</xdr:col>
      <xdr:colOff>225592</xdr:colOff>
      <xdr:row>70</xdr:row>
      <xdr:rowOff>25066</xdr:rowOff>
    </xdr:from>
    <xdr:to>
      <xdr:col>8</xdr:col>
      <xdr:colOff>530392</xdr:colOff>
      <xdr:row>71</xdr:row>
      <xdr:rowOff>91741</xdr:rowOff>
    </xdr:to>
    <xdr:sp macro="" textlink="">
      <xdr:nvSpPr>
        <xdr:cNvPr id="6" name="AutoShape 1" descr="blob:https://web.whatsapp.com/61eb5d99-4d9e-487c-a09c-f15c91fb43bc">
          <a:extLst>
            <a:ext uri="{FF2B5EF4-FFF2-40B4-BE49-F238E27FC236}">
              <a16:creationId xmlns:a16="http://schemas.microsoft.com/office/drawing/2014/main" id="{00000000-0008-0000-0200-000006000000}"/>
            </a:ext>
          </a:extLst>
        </xdr:cNvPr>
        <xdr:cNvSpPr>
          <a:spLocks noChangeAspect="1" noChangeArrowheads="1"/>
        </xdr:cNvSpPr>
      </xdr:nvSpPr>
      <xdr:spPr bwMode="auto">
        <a:xfrm>
          <a:off x="9817267" y="20199016"/>
          <a:ext cx="304800" cy="381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7</xdr:col>
          <xdr:colOff>104775</xdr:colOff>
          <xdr:row>21</xdr:row>
          <xdr:rowOff>28575</xdr:rowOff>
        </xdr:from>
        <xdr:to>
          <xdr:col>7</xdr:col>
          <xdr:colOff>1133475</xdr:colOff>
          <xdr:row>21</xdr:row>
          <xdr:rowOff>219075</xdr:rowOff>
        </xdr:to>
        <xdr:sp macro="" textlink="">
          <xdr:nvSpPr>
            <xdr:cNvPr id="101377" name="Check Box 1" hidden="1">
              <a:extLst>
                <a:ext uri="{63B3BB69-23CF-44E3-9099-C40C66FF867C}">
                  <a14:compatExt spid="_x0000_s101377"/>
                </a:ext>
                <a:ext uri="{FF2B5EF4-FFF2-40B4-BE49-F238E27FC236}">
                  <a16:creationId xmlns:a16="http://schemas.microsoft.com/office/drawing/2014/main" id="{00000000-0008-0000-0200-000001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ANTES DEL ENSAYO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21</xdr:row>
          <xdr:rowOff>19050</xdr:rowOff>
        </xdr:from>
        <xdr:to>
          <xdr:col>9</xdr:col>
          <xdr:colOff>352425</xdr:colOff>
          <xdr:row>21</xdr:row>
          <xdr:rowOff>295275</xdr:rowOff>
        </xdr:to>
        <xdr:sp macro="" textlink="">
          <xdr:nvSpPr>
            <xdr:cNvPr id="101378" name="Check Box 2" hidden="1">
              <a:extLst>
                <a:ext uri="{63B3BB69-23CF-44E3-9099-C40C66FF867C}">
                  <a14:compatExt spid="_x0000_s101378"/>
                </a:ext>
                <a:ext uri="{FF2B5EF4-FFF2-40B4-BE49-F238E27FC236}">
                  <a16:creationId xmlns:a16="http://schemas.microsoft.com/office/drawing/2014/main" id="{00000000-0008-0000-0200-000002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DESPUÉS DEL ENSAYO </a:t>
              </a:r>
            </a:p>
          </xdr:txBody>
        </xdr:sp>
        <xdr:clientData/>
      </xdr:twoCellAnchor>
    </mc:Choice>
    <mc:Fallback/>
  </mc:AlternateContent>
  <xdr:twoCellAnchor>
    <xdr:from>
      <xdr:col>0</xdr:col>
      <xdr:colOff>533400</xdr:colOff>
      <xdr:row>60</xdr:row>
      <xdr:rowOff>114300</xdr:rowOff>
    </xdr:from>
    <xdr:to>
      <xdr:col>7</xdr:col>
      <xdr:colOff>581025</xdr:colOff>
      <xdr:row>74</xdr:row>
      <xdr:rowOff>266700</xdr:rowOff>
    </xdr:to>
    <xdr:graphicFrame macro="">
      <xdr:nvGraphicFramePr>
        <xdr:cNvPr id="9" name="Gráfico 8">
          <a:extLst>
            <a:ext uri="{FF2B5EF4-FFF2-40B4-BE49-F238E27FC236}">
              <a16:creationId xmlns:a16="http://schemas.microsoft.com/office/drawing/2014/main" id="{00000000-0008-0000-0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547687</xdr:colOff>
      <xdr:row>16</xdr:row>
      <xdr:rowOff>276225</xdr:rowOff>
    </xdr:from>
    <xdr:to>
      <xdr:col>21</xdr:col>
      <xdr:colOff>333374</xdr:colOff>
      <xdr:row>21</xdr:row>
      <xdr:rowOff>200025</xdr:rowOff>
    </xdr:to>
    <xdr:sp macro="" textlink="">
      <xdr:nvSpPr>
        <xdr:cNvPr id="10" name="Globo: flecha hacia abajo 6">
          <a:extLst>
            <a:ext uri="{FF2B5EF4-FFF2-40B4-BE49-F238E27FC236}">
              <a16:creationId xmlns:a16="http://schemas.microsoft.com/office/drawing/2014/main" id="{00000000-0008-0000-0200-00000A000000}"/>
            </a:ext>
          </a:extLst>
        </xdr:cNvPr>
        <xdr:cNvSpPr/>
      </xdr:nvSpPr>
      <xdr:spPr>
        <a:xfrm>
          <a:off x="22636162" y="3914775"/>
          <a:ext cx="2738437" cy="1495425"/>
        </a:xfrm>
        <a:prstGeom prst="downArrow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702469</xdr:colOff>
      <xdr:row>16</xdr:row>
      <xdr:rowOff>276225</xdr:rowOff>
    </xdr:from>
    <xdr:to>
      <xdr:col>21</xdr:col>
      <xdr:colOff>209550</xdr:colOff>
      <xdr:row>19</xdr:row>
      <xdr:rowOff>142875</xdr:rowOff>
    </xdr:to>
    <xdr:sp macro="" textlink="">
      <xdr:nvSpPr>
        <xdr:cNvPr id="11" name="CuadroTexto 10">
          <a:extLst>
            <a:ext uri="{FF2B5EF4-FFF2-40B4-BE49-F238E27FC236}">
              <a16:creationId xmlns:a16="http://schemas.microsoft.com/office/drawing/2014/main" id="{00000000-0008-0000-0200-00000B000000}"/>
            </a:ext>
          </a:extLst>
        </xdr:cNvPr>
        <xdr:cNvSpPr txBox="1"/>
      </xdr:nvSpPr>
      <xdr:spPr>
        <a:xfrm>
          <a:off x="22790944" y="3914775"/>
          <a:ext cx="2459831"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400" b="1">
              <a:solidFill>
                <a:srgbClr val="FF0000"/>
              </a:solidFill>
            </a:rPr>
            <a:t>INSERTE</a:t>
          </a:r>
          <a:r>
            <a:rPr lang="es-MX" sz="1400" b="1" baseline="0">
              <a:solidFill>
                <a:srgbClr val="FF0000"/>
              </a:solidFill>
            </a:rPr>
            <a:t> LOS DATOS DEL ENSAYO, TIEMPO EN SEGUNDOS </a:t>
          </a:r>
        </a:p>
        <a:p>
          <a:pPr algn="ctr"/>
          <a:endParaRPr lang="es-MX" sz="1100"/>
        </a:p>
      </xdr:txBody>
    </xdr:sp>
    <xdr:clientData/>
  </xdr:twoCellAnchor>
  <xdr:twoCellAnchor editAs="oneCell">
    <xdr:from>
      <xdr:col>8</xdr:col>
      <xdr:colOff>1200150</xdr:colOff>
      <xdr:row>108</xdr:row>
      <xdr:rowOff>9525</xdr:rowOff>
    </xdr:from>
    <xdr:to>
      <xdr:col>9</xdr:col>
      <xdr:colOff>1671237</xdr:colOff>
      <xdr:row>112</xdr:row>
      <xdr:rowOff>107122</xdr:rowOff>
    </xdr:to>
    <xdr:pic>
      <xdr:nvPicPr>
        <xdr:cNvPr id="12" name="Imagen 11">
          <a:extLst>
            <a:ext uri="{FF2B5EF4-FFF2-40B4-BE49-F238E27FC236}">
              <a16:creationId xmlns:a16="http://schemas.microsoft.com/office/drawing/2014/main" id="{00000000-0008-0000-0200-00000C000000}"/>
            </a:ext>
          </a:extLst>
        </xdr:cNvPr>
        <xdr:cNvPicPr>
          <a:picLocks noChangeAspect="1"/>
        </xdr:cNvPicPr>
      </xdr:nvPicPr>
      <xdr:blipFill rotWithShape="1">
        <a:blip xmlns:r="http://schemas.openxmlformats.org/officeDocument/2006/relationships" r:embed="rId3"/>
        <a:srcRect l="88188"/>
        <a:stretch/>
      </xdr:blipFill>
      <xdr:spPr>
        <a:xfrm>
          <a:off x="10791825" y="27193875"/>
          <a:ext cx="1852212" cy="707197"/>
        </a:xfrm>
        <a:prstGeom prst="rect">
          <a:avLst/>
        </a:prstGeom>
      </xdr:spPr>
    </xdr:pic>
    <xdr:clientData/>
  </xdr:twoCellAnchor>
  <xdr:twoCellAnchor>
    <xdr:from>
      <xdr:col>10</xdr:col>
      <xdr:colOff>142875</xdr:colOff>
      <xdr:row>69</xdr:row>
      <xdr:rowOff>285750</xdr:rowOff>
    </xdr:from>
    <xdr:to>
      <xdr:col>10</xdr:col>
      <xdr:colOff>188594</xdr:colOff>
      <xdr:row>70</xdr:row>
      <xdr:rowOff>47625</xdr:rowOff>
    </xdr:to>
    <xdr:sp macro="" textlink="">
      <xdr:nvSpPr>
        <xdr:cNvPr id="13" name="Rectángulo 12">
          <a:extLst>
            <a:ext uri="{FF2B5EF4-FFF2-40B4-BE49-F238E27FC236}">
              <a16:creationId xmlns:a16="http://schemas.microsoft.com/office/drawing/2014/main" id="{00000000-0008-0000-0200-00000D000000}"/>
            </a:ext>
          </a:extLst>
        </xdr:cNvPr>
        <xdr:cNvSpPr/>
      </xdr:nvSpPr>
      <xdr:spPr>
        <a:xfrm>
          <a:off x="13011150" y="20145375"/>
          <a:ext cx="45719" cy="762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457754</xdr:colOff>
      <xdr:row>66</xdr:row>
      <xdr:rowOff>38930</xdr:rowOff>
    </xdr:from>
    <xdr:to>
      <xdr:col>13</xdr:col>
      <xdr:colOff>1238250</xdr:colOff>
      <xdr:row>70</xdr:row>
      <xdr:rowOff>96311</xdr:rowOff>
    </xdr:to>
    <xdr:grpSp>
      <xdr:nvGrpSpPr>
        <xdr:cNvPr id="14" name="Grupo 13">
          <a:extLst>
            <a:ext uri="{FF2B5EF4-FFF2-40B4-BE49-F238E27FC236}">
              <a16:creationId xmlns:a16="http://schemas.microsoft.com/office/drawing/2014/main" id="{00000000-0008-0000-0200-00000E000000}"/>
            </a:ext>
          </a:extLst>
        </xdr:cNvPr>
        <xdr:cNvGrpSpPr/>
      </xdr:nvGrpSpPr>
      <xdr:grpSpPr>
        <a:xfrm>
          <a:off x="10069345" y="19146657"/>
          <a:ext cx="6250155" cy="1327381"/>
          <a:chOff x="10078004" y="18898430"/>
          <a:chExt cx="6264175" cy="1309238"/>
        </a:xfrm>
      </xdr:grpSpPr>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3"/>
          <a:srcRect l="88188"/>
          <a:stretch/>
        </xdr:blipFill>
        <xdr:spPr>
          <a:xfrm>
            <a:off x="10078004" y="19028403"/>
            <a:ext cx="2733052" cy="1039875"/>
          </a:xfrm>
          <a:prstGeom prst="rect">
            <a:avLst/>
          </a:prstGeom>
        </xdr:spPr>
      </xdr:pic>
      <xdr:pic>
        <xdr:nvPicPr>
          <xdr:cNvPr id="16" name="Imagen 15">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4"/>
          <a:stretch>
            <a:fillRect/>
          </a:stretch>
        </xdr:blipFill>
        <xdr:spPr>
          <a:xfrm>
            <a:off x="13511893" y="18898430"/>
            <a:ext cx="2830286" cy="1309238"/>
          </a:xfrm>
          <a:prstGeom prst="rect">
            <a:avLst/>
          </a:prstGeom>
        </xdr:spPr>
      </xdr:pic>
    </xdr:grpSp>
    <xdr:clientData/>
  </xdr:twoCellAnchor>
  <xdr:twoCellAnchor>
    <xdr:from>
      <xdr:col>30</xdr:col>
      <xdr:colOff>465174</xdr:colOff>
      <xdr:row>18</xdr:row>
      <xdr:rowOff>297933</xdr:rowOff>
    </xdr:from>
    <xdr:to>
      <xdr:col>33</xdr:col>
      <xdr:colOff>491576</xdr:colOff>
      <xdr:row>31</xdr:row>
      <xdr:rowOff>293964</xdr:rowOff>
    </xdr:to>
    <xdr:grpSp>
      <xdr:nvGrpSpPr>
        <xdr:cNvPr id="17" name="Grupo 16">
          <a:extLst>
            <a:ext uri="{FF2B5EF4-FFF2-40B4-BE49-F238E27FC236}">
              <a16:creationId xmlns:a16="http://schemas.microsoft.com/office/drawing/2014/main" id="{00000000-0008-0000-0200-000011000000}"/>
            </a:ext>
          </a:extLst>
        </xdr:cNvPr>
        <xdr:cNvGrpSpPr/>
      </xdr:nvGrpSpPr>
      <xdr:grpSpPr>
        <a:xfrm>
          <a:off x="32417219" y="4598615"/>
          <a:ext cx="2321062" cy="3878190"/>
          <a:chOff x="14249193" y="3714750"/>
          <a:chExt cx="2312401" cy="3840956"/>
        </a:xfrm>
      </xdr:grpSpPr>
      <xdr:sp macro="" textlink="">
        <xdr:nvSpPr>
          <xdr:cNvPr id="18" name="Rectángulo redondeado 4">
            <a:extLst>
              <a:ext uri="{FF2B5EF4-FFF2-40B4-BE49-F238E27FC236}">
                <a16:creationId xmlns:a16="http://schemas.microsoft.com/office/drawing/2014/main" id="{00000000-0008-0000-0200-000012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19" name="Cilindro 18">
            <a:extLst>
              <a:ext uri="{FF2B5EF4-FFF2-40B4-BE49-F238E27FC236}">
                <a16:creationId xmlns:a16="http://schemas.microsoft.com/office/drawing/2014/main" id="{00000000-0008-0000-0200-000013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xdr:from>
      <xdr:col>26</xdr:col>
      <xdr:colOff>686687</xdr:colOff>
      <xdr:row>19</xdr:row>
      <xdr:rowOff>22152</xdr:rowOff>
    </xdr:from>
    <xdr:to>
      <xdr:col>29</xdr:col>
      <xdr:colOff>742992</xdr:colOff>
      <xdr:row>32</xdr:row>
      <xdr:rowOff>25197</xdr:rowOff>
    </xdr:to>
    <xdr:grpSp>
      <xdr:nvGrpSpPr>
        <xdr:cNvPr id="20" name="Grupo 19">
          <a:extLst>
            <a:ext uri="{FF2B5EF4-FFF2-40B4-BE49-F238E27FC236}">
              <a16:creationId xmlns:a16="http://schemas.microsoft.com/office/drawing/2014/main" id="{00000000-0008-0000-0200-000014000000}"/>
            </a:ext>
          </a:extLst>
        </xdr:cNvPr>
        <xdr:cNvGrpSpPr/>
      </xdr:nvGrpSpPr>
      <xdr:grpSpPr>
        <a:xfrm>
          <a:off x="29579187" y="4640334"/>
          <a:ext cx="2350964" cy="3885204"/>
          <a:chOff x="14249193" y="3714750"/>
          <a:chExt cx="2312401" cy="3840956"/>
        </a:xfrm>
      </xdr:grpSpPr>
      <xdr:sp macro="" textlink="">
        <xdr:nvSpPr>
          <xdr:cNvPr id="21" name="Rectángulo redondeado 4">
            <a:extLst>
              <a:ext uri="{FF2B5EF4-FFF2-40B4-BE49-F238E27FC236}">
                <a16:creationId xmlns:a16="http://schemas.microsoft.com/office/drawing/2014/main" id="{00000000-0008-0000-0200-000015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2" name="Cilindro 21">
            <a:extLst>
              <a:ext uri="{FF2B5EF4-FFF2-40B4-BE49-F238E27FC236}">
                <a16:creationId xmlns:a16="http://schemas.microsoft.com/office/drawing/2014/main" id="{00000000-0008-0000-0200-000016000000}"/>
              </a:ext>
            </a:extLst>
          </xdr:cNvPr>
          <xdr:cNvSpPr/>
        </xdr:nvSpPr>
        <xdr:spPr>
          <a:xfrm>
            <a:off x="14335124" y="4193382"/>
            <a:ext cx="2131218"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8</xdr:col>
      <xdr:colOff>0</xdr:colOff>
      <xdr:row>94</xdr:row>
      <xdr:rowOff>0</xdr:rowOff>
    </xdr:from>
    <xdr:to>
      <xdr:col>13</xdr:col>
      <xdr:colOff>783552</xdr:colOff>
      <xdr:row>102</xdr:row>
      <xdr:rowOff>113325</xdr:rowOff>
    </xdr:to>
    <xdr:pic>
      <xdr:nvPicPr>
        <xdr:cNvPr id="23" name="Imagen 22">
          <a:extLst>
            <a:ext uri="{FF2B5EF4-FFF2-40B4-BE49-F238E27FC236}">
              <a16:creationId xmlns:a16="http://schemas.microsoft.com/office/drawing/2014/main" id="{00000000-0008-0000-0200-000017000000}"/>
            </a:ext>
          </a:extLst>
        </xdr:cNvPr>
        <xdr:cNvPicPr>
          <a:picLocks noChangeAspect="1"/>
        </xdr:cNvPicPr>
      </xdr:nvPicPr>
      <xdr:blipFill>
        <a:blip xmlns:r="http://schemas.openxmlformats.org/officeDocument/2006/relationships" r:embed="rId5"/>
        <a:stretch>
          <a:fillRect/>
        </a:stretch>
      </xdr:blipFill>
      <xdr:spPr>
        <a:xfrm>
          <a:off x="9591675" y="25050750"/>
          <a:ext cx="6260427" cy="1332525"/>
        </a:xfrm>
        <a:prstGeom prst="rect">
          <a:avLst/>
        </a:prstGeom>
      </xdr:spPr>
    </xdr:pic>
    <xdr:clientData/>
  </xdr:twoCellAnchor>
  <xdr:twoCellAnchor>
    <xdr:from>
      <xdr:col>6</xdr:col>
      <xdr:colOff>273652</xdr:colOff>
      <xdr:row>19</xdr:row>
      <xdr:rowOff>166564</xdr:rowOff>
    </xdr:from>
    <xdr:to>
      <xdr:col>6</xdr:col>
      <xdr:colOff>1345732</xdr:colOff>
      <xdr:row>19</xdr:row>
      <xdr:rowOff>202924</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24" name="Entrada de lápiz 23">
              <a:extLst>
                <a:ext uri="{FF2B5EF4-FFF2-40B4-BE49-F238E27FC236}">
                  <a16:creationId xmlns:a16="http://schemas.microsoft.com/office/drawing/2014/main" id="{00000000-0008-0000-0200-000018000000}"/>
                </a:ext>
              </a:extLst>
            </xdr14:cNvPr>
            <xdr14:cNvContentPartPr/>
          </xdr14:nvContentPartPr>
          <xdr14:nvPr macro=""/>
          <xdr14:xfrm>
            <a:off x="7114334" y="4694032"/>
            <a:ext cx="1072080" cy="36360"/>
          </xdr14:xfrm>
        </xdr:contentPart>
      </mc:Choice>
      <mc:Fallback xmlns="">
        <xdr:pic>
          <xdr:nvPicPr>
            <xdr:cNvPr id="24" name="Entrada de lápiz 23">
              <a:extLst>
                <a:ext uri="{FF2B5EF4-FFF2-40B4-BE49-F238E27FC236}">
                  <a16:creationId xmlns:a16="http://schemas.microsoft.com/office/drawing/2014/main" id="{00000000-0008-0000-2000-000027000000}"/>
                </a:ext>
              </a:extLst>
            </xdr:cNvPr>
            <xdr:cNvPicPr/>
          </xdr:nvPicPr>
          <xdr:blipFill>
            <a:blip xmlns:r="http://schemas.openxmlformats.org/officeDocument/2006/relationships" r:embed="rId7"/>
            <a:stretch>
              <a:fillRect/>
            </a:stretch>
          </xdr:blipFill>
          <xdr:spPr>
            <a:xfrm>
              <a:off x="7108214" y="4687912"/>
              <a:ext cx="1084320" cy="48600"/>
            </a:xfrm>
            <a:prstGeom prst="rect">
              <a:avLst/>
            </a:prstGeom>
          </xdr:spPr>
        </xdr:pic>
      </mc:Fallback>
    </mc:AlternateContent>
    <xdr:clientData/>
  </xdr:twoCellAnchor>
  <xdr:twoCellAnchor>
    <xdr:from>
      <xdr:col>11</xdr:col>
      <xdr:colOff>278359</xdr:colOff>
      <xdr:row>18</xdr:row>
      <xdr:rowOff>276184</xdr:rowOff>
    </xdr:from>
    <xdr:to>
      <xdr:col>11</xdr:col>
      <xdr:colOff>594294</xdr:colOff>
      <xdr:row>25</xdr:row>
      <xdr:rowOff>236089</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35" name="Entrada de lápiz 34">
              <a:extLst>
                <a:ext uri="{FF2B5EF4-FFF2-40B4-BE49-F238E27FC236}">
                  <a16:creationId xmlns:a16="http://schemas.microsoft.com/office/drawing/2014/main" id="{00000000-0008-0000-0200-000023000000}"/>
                </a:ext>
              </a:extLst>
            </xdr14:cNvPr>
            <xdr14:cNvContentPartPr/>
          </xdr14:nvContentPartPr>
          <xdr14:nvPr macro=""/>
          <xdr14:xfrm>
            <a:off x="14451885" y="4574646"/>
            <a:ext cx="315935" cy="1930033"/>
          </xdr14:xfrm>
        </xdr:contentPart>
      </mc:Choice>
      <mc:Fallback xmlns="">
        <xdr:pic>
          <xdr:nvPicPr>
            <xdr:cNvPr id="35" name="Entrada de lápiz 34"/>
            <xdr:cNvPicPr/>
          </xdr:nvPicPr>
          <xdr:blipFill>
            <a:blip xmlns:r="http://schemas.openxmlformats.org/officeDocument/2006/relationships" r:embed="rId9"/>
            <a:stretch>
              <a:fillRect/>
            </a:stretch>
          </xdr:blipFill>
          <xdr:spPr>
            <a:xfrm>
              <a:off x="14443609" y="4566396"/>
              <a:ext cx="332487" cy="1946532"/>
            </a:xfrm>
            <a:prstGeom prst="rect">
              <a:avLst/>
            </a:prstGeom>
          </xdr:spPr>
        </xdr:pic>
      </mc:Fallback>
    </mc:AlternateContent>
    <xdr:clientData/>
  </xdr:twoCellAnchor>
  <xdr:twoCellAnchor>
    <xdr:from>
      <xdr:col>11</xdr:col>
      <xdr:colOff>506510</xdr:colOff>
      <xdr:row>21</xdr:row>
      <xdr:rowOff>170172</xdr:rowOff>
    </xdr:from>
    <xdr:to>
      <xdr:col>12</xdr:col>
      <xdr:colOff>57473</xdr:colOff>
      <xdr:row>27</xdr:row>
      <xdr:rowOff>97692</xdr:rowOff>
    </xdr:to>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37" name="Entrada de lápiz 36">
              <a:extLst>
                <a:ext uri="{FF2B5EF4-FFF2-40B4-BE49-F238E27FC236}">
                  <a16:creationId xmlns:a16="http://schemas.microsoft.com/office/drawing/2014/main" id="{00000000-0008-0000-0200-000025000000}"/>
                </a:ext>
              </a:extLst>
            </xdr14:cNvPr>
            <xdr14:cNvContentPartPr/>
          </xdr14:nvContentPartPr>
          <xdr14:nvPr macro=""/>
          <xdr14:xfrm>
            <a:off x="14680036" y="5421134"/>
            <a:ext cx="324360" cy="1580148"/>
          </xdr14:xfrm>
        </xdr:contentPart>
      </mc:Choice>
      <mc:Fallback xmlns="">
        <xdr:pic>
          <xdr:nvPicPr>
            <xdr:cNvPr id="37" name="Entrada de lápiz 36"/>
            <xdr:cNvPicPr/>
          </xdr:nvPicPr>
          <xdr:blipFill>
            <a:blip xmlns:r="http://schemas.openxmlformats.org/officeDocument/2006/relationships" r:embed="rId11"/>
            <a:stretch>
              <a:fillRect/>
            </a:stretch>
          </xdr:blipFill>
          <xdr:spPr>
            <a:xfrm>
              <a:off x="14671529" y="5412891"/>
              <a:ext cx="341373" cy="1596634"/>
            </a:xfrm>
            <a:prstGeom prst="rect">
              <a:avLst/>
            </a:prstGeom>
          </xdr:spPr>
        </xdr:pic>
      </mc:Fallback>
    </mc:AlternateContent>
    <xdr:clientData/>
  </xdr:twoCellAnchor>
  <xdr:twoCellAnchor>
    <xdr:from>
      <xdr:col>13</xdr:col>
      <xdr:colOff>757116</xdr:colOff>
      <xdr:row>19</xdr:row>
      <xdr:rowOff>40706</xdr:rowOff>
    </xdr:from>
    <xdr:to>
      <xdr:col>13</xdr:col>
      <xdr:colOff>1245006</xdr:colOff>
      <xdr:row>28</xdr:row>
      <xdr:rowOff>84642</xdr:rowOff>
    </xdr:to>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42" name="Entrada de lápiz 41">
              <a:extLst>
                <a:ext uri="{FF2B5EF4-FFF2-40B4-BE49-F238E27FC236}">
                  <a16:creationId xmlns:a16="http://schemas.microsoft.com/office/drawing/2014/main" id="{00000000-0008-0000-0200-00002A000000}"/>
                </a:ext>
              </a:extLst>
            </xdr14:cNvPr>
            <xdr14:cNvContentPartPr/>
          </xdr14:nvContentPartPr>
          <xdr14:nvPr macro=""/>
          <xdr14:xfrm>
            <a:off x="15834295" y="4656668"/>
            <a:ext cx="487890" cy="2649064"/>
          </xdr14:xfrm>
        </xdr:contentPart>
      </mc:Choice>
      <mc:Fallback xmlns="">
        <xdr:pic>
          <xdr:nvPicPr>
            <xdr:cNvPr id="42" name="Entrada de lápiz 41"/>
            <xdr:cNvPicPr/>
          </xdr:nvPicPr>
          <xdr:blipFill>
            <a:blip xmlns:r="http://schemas.openxmlformats.org/officeDocument/2006/relationships" r:embed="rId13"/>
            <a:stretch>
              <a:fillRect/>
            </a:stretch>
          </xdr:blipFill>
          <xdr:spPr>
            <a:xfrm>
              <a:off x="15826013" y="4648410"/>
              <a:ext cx="504453" cy="2665580"/>
            </a:xfrm>
            <a:prstGeom prst="rect">
              <a:avLst/>
            </a:prstGeom>
          </xdr:spPr>
        </xdr:pic>
      </mc:Fallback>
    </mc:AlternateContent>
    <xdr:clientData/>
  </xdr:twoCellAnchor>
  <xdr:twoCellAnchor>
    <xdr:from>
      <xdr:col>13</xdr:col>
      <xdr:colOff>555670</xdr:colOff>
      <xdr:row>25</xdr:row>
      <xdr:rowOff>163524</xdr:rowOff>
    </xdr:from>
    <xdr:to>
      <xdr:col>13</xdr:col>
      <xdr:colOff>902072</xdr:colOff>
      <xdr:row>28</xdr:row>
      <xdr:rowOff>180758</xdr:rowOff>
    </xdr:to>
    <mc:AlternateContent xmlns:mc="http://schemas.openxmlformats.org/markup-compatibility/2006" xmlns:xdr14="http://schemas.microsoft.com/office/excel/2010/spreadsheetDrawing">
      <mc:Choice Requires="xdr14">
        <xdr:contentPart xmlns:r="http://schemas.openxmlformats.org/officeDocument/2006/relationships" r:id="rId14">
          <xdr14:nvContentPartPr>
            <xdr14:cNvPr id="45" name="Entrada de lápiz 44">
              <a:extLst>
                <a:ext uri="{FF2B5EF4-FFF2-40B4-BE49-F238E27FC236}">
                  <a16:creationId xmlns:a16="http://schemas.microsoft.com/office/drawing/2014/main" id="{00000000-0008-0000-0200-00002D000000}"/>
                </a:ext>
              </a:extLst>
            </xdr14:cNvPr>
            <xdr14:cNvContentPartPr/>
          </xdr14:nvContentPartPr>
          <xdr14:nvPr macro=""/>
          <xdr14:xfrm rot="642802" flipH="1">
            <a:off x="15632849" y="6432114"/>
            <a:ext cx="346402" cy="969734"/>
          </xdr14:xfrm>
        </xdr:contentPart>
      </mc:Choice>
      <mc:Fallback xmlns="">
        <xdr:pic>
          <xdr:nvPicPr>
            <xdr:cNvPr id="45" name="Entrada de lápiz 44"/>
            <xdr:cNvPicPr/>
          </xdr:nvPicPr>
          <xdr:blipFill>
            <a:blip xmlns:r="http://schemas.openxmlformats.org/officeDocument/2006/relationships" r:embed="rId15"/>
            <a:stretch>
              <a:fillRect/>
            </a:stretch>
          </xdr:blipFill>
          <xdr:spPr>
            <a:xfrm rot="642802" flipH="1">
              <a:off x="15624567" y="6423835"/>
              <a:ext cx="362966" cy="986292"/>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11</xdr:col>
      <xdr:colOff>62843</xdr:colOff>
      <xdr:row>15</xdr:row>
      <xdr:rowOff>92610</xdr:rowOff>
    </xdr:from>
    <xdr:to>
      <xdr:col>13</xdr:col>
      <xdr:colOff>1509155</xdr:colOff>
      <xdr:row>28</xdr:row>
      <xdr:rowOff>286564</xdr:rowOff>
    </xdr:to>
    <xdr:grpSp>
      <xdr:nvGrpSpPr>
        <xdr:cNvPr id="2" name="Grupo 1">
          <a:extLst>
            <a:ext uri="{FF2B5EF4-FFF2-40B4-BE49-F238E27FC236}">
              <a16:creationId xmlns:a16="http://schemas.microsoft.com/office/drawing/2014/main" id="{00000000-0008-0000-0300-000002000000}"/>
            </a:ext>
          </a:extLst>
        </xdr:cNvPr>
        <xdr:cNvGrpSpPr/>
      </xdr:nvGrpSpPr>
      <xdr:grpSpPr>
        <a:xfrm>
          <a:off x="14212632" y="3581285"/>
          <a:ext cx="2352909" cy="3785912"/>
          <a:chOff x="14249193" y="3714750"/>
          <a:chExt cx="2312401" cy="3840956"/>
        </a:xfrm>
      </xdr:grpSpPr>
      <xdr:sp macro="" textlink="">
        <xdr:nvSpPr>
          <xdr:cNvPr id="3" name="Rectángulo redondeado 4">
            <a:extLst>
              <a:ext uri="{FF2B5EF4-FFF2-40B4-BE49-F238E27FC236}">
                <a16:creationId xmlns:a16="http://schemas.microsoft.com/office/drawing/2014/main" id="{00000000-0008-0000-0300-000003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4" name="Cilindro 3">
            <a:extLst>
              <a:ext uri="{FF2B5EF4-FFF2-40B4-BE49-F238E27FC236}">
                <a16:creationId xmlns:a16="http://schemas.microsoft.com/office/drawing/2014/main" id="{00000000-0008-0000-0300-000004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0</xdr:col>
      <xdr:colOff>16897</xdr:colOff>
      <xdr:row>0</xdr:row>
      <xdr:rowOff>0</xdr:rowOff>
    </xdr:from>
    <xdr:to>
      <xdr:col>3</xdr:col>
      <xdr:colOff>777581</xdr:colOff>
      <xdr:row>3</xdr:row>
      <xdr:rowOff>90487</xdr:rowOff>
    </xdr:to>
    <xdr:pic>
      <xdr:nvPicPr>
        <xdr:cNvPr id="5" name="Imagen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97" y="0"/>
          <a:ext cx="3865834" cy="947737"/>
        </a:xfrm>
        <a:prstGeom prst="rect">
          <a:avLst/>
        </a:prstGeom>
      </xdr:spPr>
    </xdr:pic>
    <xdr:clientData/>
  </xdr:twoCellAnchor>
  <xdr:twoCellAnchor editAs="oneCell">
    <xdr:from>
      <xdr:col>8</xdr:col>
      <xdr:colOff>225592</xdr:colOff>
      <xdr:row>70</xdr:row>
      <xdr:rowOff>25066</xdr:rowOff>
    </xdr:from>
    <xdr:to>
      <xdr:col>8</xdr:col>
      <xdr:colOff>530392</xdr:colOff>
      <xdr:row>71</xdr:row>
      <xdr:rowOff>91741</xdr:rowOff>
    </xdr:to>
    <xdr:sp macro="" textlink="">
      <xdr:nvSpPr>
        <xdr:cNvPr id="6" name="AutoShape 1" descr="blob:https://web.whatsapp.com/61eb5d99-4d9e-487c-a09c-f15c91fb43bc">
          <a:extLst>
            <a:ext uri="{FF2B5EF4-FFF2-40B4-BE49-F238E27FC236}">
              <a16:creationId xmlns:a16="http://schemas.microsoft.com/office/drawing/2014/main" id="{00000000-0008-0000-0300-000006000000}"/>
            </a:ext>
          </a:extLst>
        </xdr:cNvPr>
        <xdr:cNvSpPr>
          <a:spLocks noChangeAspect="1" noChangeArrowheads="1"/>
        </xdr:cNvSpPr>
      </xdr:nvSpPr>
      <xdr:spPr bwMode="auto">
        <a:xfrm>
          <a:off x="9817267" y="20199016"/>
          <a:ext cx="304800" cy="381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7</xdr:col>
          <xdr:colOff>104775</xdr:colOff>
          <xdr:row>21</xdr:row>
          <xdr:rowOff>28575</xdr:rowOff>
        </xdr:from>
        <xdr:to>
          <xdr:col>7</xdr:col>
          <xdr:colOff>1133475</xdr:colOff>
          <xdr:row>21</xdr:row>
          <xdr:rowOff>219075</xdr:rowOff>
        </xdr:to>
        <xdr:sp macro="" textlink="">
          <xdr:nvSpPr>
            <xdr:cNvPr id="102401" name="Check Box 1" hidden="1">
              <a:extLst>
                <a:ext uri="{63B3BB69-23CF-44E3-9099-C40C66FF867C}">
                  <a14:compatExt spid="_x0000_s102401"/>
                </a:ext>
                <a:ext uri="{FF2B5EF4-FFF2-40B4-BE49-F238E27FC236}">
                  <a16:creationId xmlns:a16="http://schemas.microsoft.com/office/drawing/2014/main" id="{00000000-0008-0000-0300-0000019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ANTES DEL ENSAYO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21</xdr:row>
          <xdr:rowOff>19050</xdr:rowOff>
        </xdr:from>
        <xdr:to>
          <xdr:col>9</xdr:col>
          <xdr:colOff>352425</xdr:colOff>
          <xdr:row>21</xdr:row>
          <xdr:rowOff>295275</xdr:rowOff>
        </xdr:to>
        <xdr:sp macro="" textlink="">
          <xdr:nvSpPr>
            <xdr:cNvPr id="102402" name="Check Box 2" hidden="1">
              <a:extLst>
                <a:ext uri="{63B3BB69-23CF-44E3-9099-C40C66FF867C}">
                  <a14:compatExt spid="_x0000_s102402"/>
                </a:ext>
                <a:ext uri="{FF2B5EF4-FFF2-40B4-BE49-F238E27FC236}">
                  <a16:creationId xmlns:a16="http://schemas.microsoft.com/office/drawing/2014/main" id="{00000000-0008-0000-0300-0000029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DESPUÉS DEL ENSAYO </a:t>
              </a:r>
            </a:p>
          </xdr:txBody>
        </xdr:sp>
        <xdr:clientData/>
      </xdr:twoCellAnchor>
    </mc:Choice>
    <mc:Fallback/>
  </mc:AlternateContent>
  <xdr:twoCellAnchor>
    <xdr:from>
      <xdr:col>0</xdr:col>
      <xdr:colOff>533400</xdr:colOff>
      <xdr:row>60</xdr:row>
      <xdr:rowOff>114300</xdr:rowOff>
    </xdr:from>
    <xdr:to>
      <xdr:col>7</xdr:col>
      <xdr:colOff>581025</xdr:colOff>
      <xdr:row>74</xdr:row>
      <xdr:rowOff>266700</xdr:rowOff>
    </xdr:to>
    <xdr:graphicFrame macro="">
      <xdr:nvGraphicFramePr>
        <xdr:cNvPr id="9" name="Gráfico 8">
          <a:extLst>
            <a:ext uri="{FF2B5EF4-FFF2-40B4-BE49-F238E27FC236}">
              <a16:creationId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547687</xdr:colOff>
      <xdr:row>16</xdr:row>
      <xdr:rowOff>276225</xdr:rowOff>
    </xdr:from>
    <xdr:to>
      <xdr:col>21</xdr:col>
      <xdr:colOff>333374</xdr:colOff>
      <xdr:row>21</xdr:row>
      <xdr:rowOff>200025</xdr:rowOff>
    </xdr:to>
    <xdr:sp macro="" textlink="">
      <xdr:nvSpPr>
        <xdr:cNvPr id="10" name="Globo: flecha hacia abajo 6">
          <a:extLst>
            <a:ext uri="{FF2B5EF4-FFF2-40B4-BE49-F238E27FC236}">
              <a16:creationId xmlns:a16="http://schemas.microsoft.com/office/drawing/2014/main" id="{00000000-0008-0000-0300-00000A000000}"/>
            </a:ext>
          </a:extLst>
        </xdr:cNvPr>
        <xdr:cNvSpPr/>
      </xdr:nvSpPr>
      <xdr:spPr>
        <a:xfrm>
          <a:off x="22636162" y="3914775"/>
          <a:ext cx="2738437" cy="1495425"/>
        </a:xfrm>
        <a:prstGeom prst="downArrow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702469</xdr:colOff>
      <xdr:row>16</xdr:row>
      <xdr:rowOff>276225</xdr:rowOff>
    </xdr:from>
    <xdr:to>
      <xdr:col>21</xdr:col>
      <xdr:colOff>209550</xdr:colOff>
      <xdr:row>19</xdr:row>
      <xdr:rowOff>142875</xdr:rowOff>
    </xdr:to>
    <xdr:sp macro="" textlink="">
      <xdr:nvSpPr>
        <xdr:cNvPr id="11" name="CuadroTexto 10">
          <a:extLst>
            <a:ext uri="{FF2B5EF4-FFF2-40B4-BE49-F238E27FC236}">
              <a16:creationId xmlns:a16="http://schemas.microsoft.com/office/drawing/2014/main" id="{00000000-0008-0000-0300-00000B000000}"/>
            </a:ext>
          </a:extLst>
        </xdr:cNvPr>
        <xdr:cNvSpPr txBox="1"/>
      </xdr:nvSpPr>
      <xdr:spPr>
        <a:xfrm>
          <a:off x="22790944" y="3914775"/>
          <a:ext cx="2459831"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400" b="1">
              <a:solidFill>
                <a:srgbClr val="FF0000"/>
              </a:solidFill>
            </a:rPr>
            <a:t>INSERTE</a:t>
          </a:r>
          <a:r>
            <a:rPr lang="es-MX" sz="1400" b="1" baseline="0">
              <a:solidFill>
                <a:srgbClr val="FF0000"/>
              </a:solidFill>
            </a:rPr>
            <a:t> LOS DATOS DEL ENSAYO, TIEMPO EN SEGUNDOS </a:t>
          </a:r>
        </a:p>
        <a:p>
          <a:pPr algn="ctr"/>
          <a:endParaRPr lang="es-MX" sz="1100"/>
        </a:p>
      </xdr:txBody>
    </xdr:sp>
    <xdr:clientData/>
  </xdr:twoCellAnchor>
  <xdr:twoCellAnchor editAs="oneCell">
    <xdr:from>
      <xdr:col>8</xdr:col>
      <xdr:colOff>1200150</xdr:colOff>
      <xdr:row>108</xdr:row>
      <xdr:rowOff>9525</xdr:rowOff>
    </xdr:from>
    <xdr:to>
      <xdr:col>9</xdr:col>
      <xdr:colOff>1671237</xdr:colOff>
      <xdr:row>112</xdr:row>
      <xdr:rowOff>107122</xdr:rowOff>
    </xdr:to>
    <xdr:pic>
      <xdr:nvPicPr>
        <xdr:cNvPr id="12" name="Imagen 11">
          <a:extLst>
            <a:ext uri="{FF2B5EF4-FFF2-40B4-BE49-F238E27FC236}">
              <a16:creationId xmlns:a16="http://schemas.microsoft.com/office/drawing/2014/main" id="{00000000-0008-0000-0300-00000C000000}"/>
            </a:ext>
          </a:extLst>
        </xdr:cNvPr>
        <xdr:cNvPicPr>
          <a:picLocks noChangeAspect="1"/>
        </xdr:cNvPicPr>
      </xdr:nvPicPr>
      <xdr:blipFill rotWithShape="1">
        <a:blip xmlns:r="http://schemas.openxmlformats.org/officeDocument/2006/relationships" r:embed="rId3"/>
        <a:srcRect l="88188"/>
        <a:stretch/>
      </xdr:blipFill>
      <xdr:spPr>
        <a:xfrm>
          <a:off x="10791825" y="27193875"/>
          <a:ext cx="1852212" cy="707197"/>
        </a:xfrm>
        <a:prstGeom prst="rect">
          <a:avLst/>
        </a:prstGeom>
      </xdr:spPr>
    </xdr:pic>
    <xdr:clientData/>
  </xdr:twoCellAnchor>
  <xdr:twoCellAnchor>
    <xdr:from>
      <xdr:col>10</xdr:col>
      <xdr:colOff>142875</xdr:colOff>
      <xdr:row>69</xdr:row>
      <xdr:rowOff>285750</xdr:rowOff>
    </xdr:from>
    <xdr:to>
      <xdr:col>10</xdr:col>
      <xdr:colOff>188594</xdr:colOff>
      <xdr:row>70</xdr:row>
      <xdr:rowOff>47625</xdr:rowOff>
    </xdr:to>
    <xdr:sp macro="" textlink="">
      <xdr:nvSpPr>
        <xdr:cNvPr id="13" name="Rectángulo 12">
          <a:extLst>
            <a:ext uri="{FF2B5EF4-FFF2-40B4-BE49-F238E27FC236}">
              <a16:creationId xmlns:a16="http://schemas.microsoft.com/office/drawing/2014/main" id="{00000000-0008-0000-0300-00000D000000}"/>
            </a:ext>
          </a:extLst>
        </xdr:cNvPr>
        <xdr:cNvSpPr/>
      </xdr:nvSpPr>
      <xdr:spPr>
        <a:xfrm>
          <a:off x="13011150" y="20145375"/>
          <a:ext cx="45719" cy="762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457754</xdr:colOff>
      <xdr:row>66</xdr:row>
      <xdr:rowOff>38930</xdr:rowOff>
    </xdr:from>
    <xdr:to>
      <xdr:col>13</xdr:col>
      <xdr:colOff>1238250</xdr:colOff>
      <xdr:row>70</xdr:row>
      <xdr:rowOff>96311</xdr:rowOff>
    </xdr:to>
    <xdr:grpSp>
      <xdr:nvGrpSpPr>
        <xdr:cNvPr id="14" name="Grupo 13">
          <a:extLst>
            <a:ext uri="{FF2B5EF4-FFF2-40B4-BE49-F238E27FC236}">
              <a16:creationId xmlns:a16="http://schemas.microsoft.com/office/drawing/2014/main" id="{00000000-0008-0000-0300-00000E000000}"/>
            </a:ext>
          </a:extLst>
        </xdr:cNvPr>
        <xdr:cNvGrpSpPr/>
      </xdr:nvGrpSpPr>
      <xdr:grpSpPr>
        <a:xfrm>
          <a:off x="10040134" y="18710225"/>
          <a:ext cx="6254502" cy="1296779"/>
          <a:chOff x="10078004" y="18898430"/>
          <a:chExt cx="6264175" cy="1309238"/>
        </a:xfrm>
      </xdr:grpSpPr>
      <xdr:pic>
        <xdr:nvPicPr>
          <xdr:cNvPr id="15" name="Imagen 14">
            <a:extLst>
              <a:ext uri="{FF2B5EF4-FFF2-40B4-BE49-F238E27FC236}">
                <a16:creationId xmlns:a16="http://schemas.microsoft.com/office/drawing/2014/main" id="{00000000-0008-0000-0300-00000F000000}"/>
              </a:ext>
            </a:extLst>
          </xdr:cNvPr>
          <xdr:cNvPicPr>
            <a:picLocks noChangeAspect="1"/>
          </xdr:cNvPicPr>
        </xdr:nvPicPr>
        <xdr:blipFill rotWithShape="1">
          <a:blip xmlns:r="http://schemas.openxmlformats.org/officeDocument/2006/relationships" r:embed="rId3"/>
          <a:srcRect l="88188"/>
          <a:stretch/>
        </xdr:blipFill>
        <xdr:spPr>
          <a:xfrm>
            <a:off x="10078004" y="19028403"/>
            <a:ext cx="2733052" cy="1039875"/>
          </a:xfrm>
          <a:prstGeom prst="rect">
            <a:avLst/>
          </a:prstGeom>
        </xdr:spPr>
      </xdr:pic>
      <xdr:pic>
        <xdr:nvPicPr>
          <xdr:cNvPr id="16" name="Imagen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4"/>
          <a:stretch>
            <a:fillRect/>
          </a:stretch>
        </xdr:blipFill>
        <xdr:spPr>
          <a:xfrm>
            <a:off x="13511893" y="18898430"/>
            <a:ext cx="2830286" cy="1309238"/>
          </a:xfrm>
          <a:prstGeom prst="rect">
            <a:avLst/>
          </a:prstGeom>
        </xdr:spPr>
      </xdr:pic>
    </xdr:grpSp>
    <xdr:clientData/>
  </xdr:twoCellAnchor>
  <xdr:twoCellAnchor>
    <xdr:from>
      <xdr:col>30</xdr:col>
      <xdr:colOff>465174</xdr:colOff>
      <xdr:row>18</xdr:row>
      <xdr:rowOff>297933</xdr:rowOff>
    </xdr:from>
    <xdr:to>
      <xdr:col>33</xdr:col>
      <xdr:colOff>491576</xdr:colOff>
      <xdr:row>31</xdr:row>
      <xdr:rowOff>293964</xdr:rowOff>
    </xdr:to>
    <xdr:grpSp>
      <xdr:nvGrpSpPr>
        <xdr:cNvPr id="17" name="Grupo 16">
          <a:extLst>
            <a:ext uri="{FF2B5EF4-FFF2-40B4-BE49-F238E27FC236}">
              <a16:creationId xmlns:a16="http://schemas.microsoft.com/office/drawing/2014/main" id="{00000000-0008-0000-0300-000011000000}"/>
            </a:ext>
          </a:extLst>
        </xdr:cNvPr>
        <xdr:cNvGrpSpPr/>
      </xdr:nvGrpSpPr>
      <xdr:grpSpPr>
        <a:xfrm>
          <a:off x="32299331" y="4521066"/>
          <a:ext cx="2298631" cy="3783079"/>
          <a:chOff x="14249193" y="3714750"/>
          <a:chExt cx="2312401" cy="3840956"/>
        </a:xfrm>
      </xdr:grpSpPr>
      <xdr:sp macro="" textlink="">
        <xdr:nvSpPr>
          <xdr:cNvPr id="18" name="Rectángulo redondeado 4">
            <a:extLst>
              <a:ext uri="{FF2B5EF4-FFF2-40B4-BE49-F238E27FC236}">
                <a16:creationId xmlns:a16="http://schemas.microsoft.com/office/drawing/2014/main" id="{00000000-0008-0000-0300-000012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19" name="Cilindro 18">
            <a:extLst>
              <a:ext uri="{FF2B5EF4-FFF2-40B4-BE49-F238E27FC236}">
                <a16:creationId xmlns:a16="http://schemas.microsoft.com/office/drawing/2014/main" id="{00000000-0008-0000-0300-000013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xdr:from>
      <xdr:col>26</xdr:col>
      <xdr:colOff>686687</xdr:colOff>
      <xdr:row>19</xdr:row>
      <xdr:rowOff>22152</xdr:rowOff>
    </xdr:from>
    <xdr:to>
      <xdr:col>29</xdr:col>
      <xdr:colOff>742992</xdr:colOff>
      <xdr:row>32</xdr:row>
      <xdr:rowOff>25197</xdr:rowOff>
    </xdr:to>
    <xdr:grpSp>
      <xdr:nvGrpSpPr>
        <xdr:cNvPr id="20" name="Grupo 19">
          <a:extLst>
            <a:ext uri="{FF2B5EF4-FFF2-40B4-BE49-F238E27FC236}">
              <a16:creationId xmlns:a16="http://schemas.microsoft.com/office/drawing/2014/main" id="{00000000-0008-0000-0300-000014000000}"/>
            </a:ext>
          </a:extLst>
        </xdr:cNvPr>
        <xdr:cNvGrpSpPr/>
      </xdr:nvGrpSpPr>
      <xdr:grpSpPr>
        <a:xfrm>
          <a:off x="29491205" y="4555134"/>
          <a:ext cx="2328534" cy="3790093"/>
          <a:chOff x="14249193" y="3714750"/>
          <a:chExt cx="2312401" cy="3840956"/>
        </a:xfrm>
      </xdr:grpSpPr>
      <xdr:sp macro="" textlink="">
        <xdr:nvSpPr>
          <xdr:cNvPr id="21" name="Rectángulo redondeado 4">
            <a:extLst>
              <a:ext uri="{FF2B5EF4-FFF2-40B4-BE49-F238E27FC236}">
                <a16:creationId xmlns:a16="http://schemas.microsoft.com/office/drawing/2014/main" id="{00000000-0008-0000-0300-000015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2" name="Cilindro 21">
            <a:extLst>
              <a:ext uri="{FF2B5EF4-FFF2-40B4-BE49-F238E27FC236}">
                <a16:creationId xmlns:a16="http://schemas.microsoft.com/office/drawing/2014/main" id="{00000000-0008-0000-0300-000016000000}"/>
              </a:ext>
            </a:extLst>
          </xdr:cNvPr>
          <xdr:cNvSpPr/>
        </xdr:nvSpPr>
        <xdr:spPr>
          <a:xfrm>
            <a:off x="14335124" y="4193382"/>
            <a:ext cx="2131218"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8</xdr:col>
      <xdr:colOff>0</xdr:colOff>
      <xdr:row>94</xdr:row>
      <xdr:rowOff>0</xdr:rowOff>
    </xdr:from>
    <xdr:to>
      <xdr:col>13</xdr:col>
      <xdr:colOff>783552</xdr:colOff>
      <xdr:row>102</xdr:row>
      <xdr:rowOff>113325</xdr:rowOff>
    </xdr:to>
    <xdr:pic>
      <xdr:nvPicPr>
        <xdr:cNvPr id="23" name="Imagen 22">
          <a:extLst>
            <a:ext uri="{FF2B5EF4-FFF2-40B4-BE49-F238E27FC236}">
              <a16:creationId xmlns:a16="http://schemas.microsoft.com/office/drawing/2014/main" id="{00000000-0008-0000-0300-000017000000}"/>
            </a:ext>
          </a:extLst>
        </xdr:cNvPr>
        <xdr:cNvPicPr>
          <a:picLocks noChangeAspect="1"/>
        </xdr:cNvPicPr>
      </xdr:nvPicPr>
      <xdr:blipFill>
        <a:blip xmlns:r="http://schemas.openxmlformats.org/officeDocument/2006/relationships" r:embed="rId5"/>
        <a:stretch>
          <a:fillRect/>
        </a:stretch>
      </xdr:blipFill>
      <xdr:spPr>
        <a:xfrm>
          <a:off x="9591675" y="25050750"/>
          <a:ext cx="6260427" cy="1332525"/>
        </a:xfrm>
        <a:prstGeom prst="rect">
          <a:avLst/>
        </a:prstGeom>
      </xdr:spPr>
    </xdr:pic>
    <xdr:clientData/>
  </xdr:twoCellAnchor>
  <xdr:twoCellAnchor>
    <xdr:from>
      <xdr:col>11</xdr:col>
      <xdr:colOff>604631</xdr:colOff>
      <xdr:row>18</xdr:row>
      <xdr:rowOff>247058</xdr:rowOff>
    </xdr:from>
    <xdr:to>
      <xdr:col>12</xdr:col>
      <xdr:colOff>75088</xdr:colOff>
      <xdr:row>27</xdr:row>
      <xdr:rowOff>140803</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8" name="Entrada de lápiz 7">
              <a:extLst>
                <a:ext uri="{FF2B5EF4-FFF2-40B4-BE49-F238E27FC236}">
                  <a16:creationId xmlns:a16="http://schemas.microsoft.com/office/drawing/2014/main" id="{00000000-0008-0000-0300-000008000000}"/>
                </a:ext>
              </a:extLst>
            </xdr14:cNvPr>
            <xdr14:cNvContentPartPr/>
          </xdr14:nvContentPartPr>
          <xdr14:nvPr macro=""/>
          <xdr14:xfrm>
            <a:off x="14784457" y="4545732"/>
            <a:ext cx="240740" cy="2477919"/>
          </xdr14:xfrm>
        </xdr:contentPart>
      </mc:Choice>
      <mc:Fallback xmlns="">
        <xdr:pic>
          <xdr:nvPicPr>
            <xdr:cNvPr id="8" name="Entrada de lápiz 7"/>
            <xdr:cNvPicPr/>
          </xdr:nvPicPr>
          <xdr:blipFill>
            <a:blip xmlns:r="http://schemas.openxmlformats.org/officeDocument/2006/relationships" r:embed="rId7"/>
            <a:stretch>
              <a:fillRect/>
            </a:stretch>
          </xdr:blipFill>
          <xdr:spPr>
            <a:xfrm>
              <a:off x="14778018" y="4539193"/>
              <a:ext cx="253618" cy="2490997"/>
            </a:xfrm>
            <a:prstGeom prst="rect">
              <a:avLst/>
            </a:prstGeom>
          </xdr:spPr>
        </xdr:pic>
      </mc:Fallback>
    </mc:AlternateContent>
    <xdr:clientData/>
  </xdr:twoCellAnchor>
  <xdr:twoCellAnchor>
    <xdr:from>
      <xdr:col>6</xdr:col>
      <xdr:colOff>273652</xdr:colOff>
      <xdr:row>19</xdr:row>
      <xdr:rowOff>166564</xdr:rowOff>
    </xdr:from>
    <xdr:to>
      <xdr:col>6</xdr:col>
      <xdr:colOff>1345732</xdr:colOff>
      <xdr:row>19</xdr:row>
      <xdr:rowOff>202924</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25" name="Entrada de lápiz 24">
              <a:extLst>
                <a:ext uri="{FF2B5EF4-FFF2-40B4-BE49-F238E27FC236}">
                  <a16:creationId xmlns:a16="http://schemas.microsoft.com/office/drawing/2014/main" id="{00000000-0008-0000-0300-000019000000}"/>
                </a:ext>
              </a:extLst>
            </xdr14:cNvPr>
            <xdr14:cNvContentPartPr/>
          </xdr14:nvContentPartPr>
          <xdr14:nvPr macro=""/>
          <xdr14:xfrm>
            <a:off x="7115087" y="4779977"/>
            <a:ext cx="1072080" cy="36360"/>
          </xdr14:xfrm>
        </xdr:contentPart>
      </mc:Choice>
      <mc:Fallback xmlns="">
        <xdr:pic>
          <xdr:nvPicPr>
            <xdr:cNvPr id="25" name="Entrada de lápiz 24"/>
            <xdr:cNvPicPr/>
          </xdr:nvPicPr>
          <xdr:blipFill>
            <a:blip xmlns:r="http://schemas.openxmlformats.org/officeDocument/2006/relationships" r:embed="rId9"/>
            <a:stretch>
              <a:fillRect/>
            </a:stretch>
          </xdr:blipFill>
          <xdr:spPr>
            <a:xfrm>
              <a:off x="0" y="0"/>
              <a:ext cx="0" cy="0"/>
            </a:xfrm>
            <a:prstGeom prst="rect">
              <a:avLst/>
            </a:prstGeom>
          </xdr:spPr>
        </xdr:pic>
      </mc:Fallback>
    </mc:AlternateContent>
    <xdr:clientData/>
  </xdr:twoCellAnchor>
  <xdr:twoCellAnchor>
    <xdr:from>
      <xdr:col>13</xdr:col>
      <xdr:colOff>124239</xdr:colOff>
      <xdr:row>19</xdr:row>
      <xdr:rowOff>26742</xdr:rowOff>
    </xdr:from>
    <xdr:to>
      <xdr:col>13</xdr:col>
      <xdr:colOff>442837</xdr:colOff>
      <xdr:row>28</xdr:row>
      <xdr:rowOff>0</xdr:rowOff>
    </xdr:to>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28" name="Entrada de lápiz 27">
              <a:extLst>
                <a:ext uri="{FF2B5EF4-FFF2-40B4-BE49-F238E27FC236}">
                  <a16:creationId xmlns:a16="http://schemas.microsoft.com/office/drawing/2014/main" id="{00000000-0008-0000-0300-00001C000000}"/>
                </a:ext>
              </a:extLst>
            </xdr14:cNvPr>
            <xdr14:cNvContentPartPr/>
          </xdr14:nvContentPartPr>
          <xdr14:nvPr macro=""/>
          <xdr14:xfrm flipV="1">
            <a:off x="15206869" y="4640155"/>
            <a:ext cx="318598" cy="2557432"/>
          </xdr14:xfrm>
        </xdr:contentPart>
      </mc:Choice>
      <mc:Fallback xmlns="">
        <xdr:pic>
          <xdr:nvPicPr>
            <xdr:cNvPr id="28" name="Entrada de lápiz 27"/>
            <xdr:cNvPicPr/>
          </xdr:nvPicPr>
          <xdr:blipFill>
            <a:blip xmlns:r="http://schemas.openxmlformats.org/officeDocument/2006/relationships" r:embed="rId11"/>
            <a:stretch>
              <a:fillRect/>
            </a:stretch>
          </xdr:blipFill>
          <xdr:spPr>
            <a:xfrm flipV="1">
              <a:off x="15200389" y="4633618"/>
              <a:ext cx="331558" cy="2570506"/>
            </a:xfrm>
            <a:prstGeom prst="rect">
              <a:avLst/>
            </a:prstGeom>
          </xdr:spPr>
        </xdr:pic>
      </mc:Fallback>
    </mc:AlternateContent>
    <xdr:clientData/>
  </xdr:twoCellAnchor>
  <xdr:twoCellAnchor>
    <xdr:from>
      <xdr:col>13</xdr:col>
      <xdr:colOff>803412</xdr:colOff>
      <xdr:row>18</xdr:row>
      <xdr:rowOff>237118</xdr:rowOff>
    </xdr:from>
    <xdr:to>
      <xdr:col>13</xdr:col>
      <xdr:colOff>943105</xdr:colOff>
      <xdr:row>27</xdr:row>
      <xdr:rowOff>198781</xdr:rowOff>
    </xdr:to>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29" name="Entrada de lápiz 28">
              <a:extLst>
                <a:ext uri="{FF2B5EF4-FFF2-40B4-BE49-F238E27FC236}">
                  <a16:creationId xmlns:a16="http://schemas.microsoft.com/office/drawing/2014/main" id="{00000000-0008-0000-0300-00001D000000}"/>
                </a:ext>
              </a:extLst>
            </xdr14:cNvPr>
            <xdr14:cNvContentPartPr/>
          </xdr14:nvContentPartPr>
          <xdr14:nvPr macro=""/>
          <xdr14:xfrm flipH="1">
            <a:off x="15886042" y="4535792"/>
            <a:ext cx="139693" cy="2545837"/>
          </xdr14:xfrm>
        </xdr:contentPart>
      </mc:Choice>
      <mc:Fallback xmlns="">
        <xdr:pic>
          <xdr:nvPicPr>
            <xdr:cNvPr id="29" name="Entrada de lápiz 28"/>
            <xdr:cNvPicPr/>
          </xdr:nvPicPr>
          <xdr:blipFill>
            <a:blip xmlns:r="http://schemas.openxmlformats.org/officeDocument/2006/relationships" r:embed="rId13"/>
            <a:stretch>
              <a:fillRect/>
            </a:stretch>
          </xdr:blipFill>
          <xdr:spPr>
            <a:xfrm flipH="1">
              <a:off x="15879561" y="4529255"/>
              <a:ext cx="152654" cy="2558911"/>
            </a:xfrm>
            <a:prstGeom prst="rect">
              <a:avLst/>
            </a:prstGeom>
          </xdr:spPr>
        </xdr:pic>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11</xdr:col>
      <xdr:colOff>62843</xdr:colOff>
      <xdr:row>15</xdr:row>
      <xdr:rowOff>92610</xdr:rowOff>
    </xdr:from>
    <xdr:to>
      <xdr:col>13</xdr:col>
      <xdr:colOff>1493642</xdr:colOff>
      <xdr:row>28</xdr:row>
      <xdr:rowOff>300623</xdr:rowOff>
    </xdr:to>
    <xdr:grpSp>
      <xdr:nvGrpSpPr>
        <xdr:cNvPr id="25" name="Grupo 24">
          <a:extLst>
            <a:ext uri="{FF2B5EF4-FFF2-40B4-BE49-F238E27FC236}">
              <a16:creationId xmlns:a16="http://schemas.microsoft.com/office/drawing/2014/main" id="{00000000-0008-0000-0400-000019000000}"/>
            </a:ext>
          </a:extLst>
        </xdr:cNvPr>
        <xdr:cNvGrpSpPr/>
      </xdr:nvGrpSpPr>
      <xdr:grpSpPr>
        <a:xfrm>
          <a:off x="14208755" y="3580819"/>
          <a:ext cx="2331813" cy="3786324"/>
          <a:chOff x="14249193" y="3714750"/>
          <a:chExt cx="2312401" cy="3840956"/>
        </a:xfrm>
      </xdr:grpSpPr>
      <xdr:sp macro="" textlink="">
        <xdr:nvSpPr>
          <xdr:cNvPr id="26" name="Rectángulo redondeado 4">
            <a:extLst>
              <a:ext uri="{FF2B5EF4-FFF2-40B4-BE49-F238E27FC236}">
                <a16:creationId xmlns:a16="http://schemas.microsoft.com/office/drawing/2014/main" id="{00000000-0008-0000-0400-00001A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7" name="Cilindro 26">
            <a:extLst>
              <a:ext uri="{FF2B5EF4-FFF2-40B4-BE49-F238E27FC236}">
                <a16:creationId xmlns:a16="http://schemas.microsoft.com/office/drawing/2014/main" id="{00000000-0008-0000-0400-00001B000000}"/>
              </a:ext>
            </a:extLst>
          </xdr:cNvPr>
          <xdr:cNvSpPr/>
        </xdr:nvSpPr>
        <xdr:spPr>
          <a:xfrm>
            <a:off x="14335124" y="4193382"/>
            <a:ext cx="2131218"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xdr:from>
      <xdr:col>11</xdr:col>
      <xdr:colOff>42805</xdr:colOff>
      <xdr:row>15</xdr:row>
      <xdr:rowOff>107324</xdr:rowOff>
    </xdr:from>
    <xdr:to>
      <xdr:col>13</xdr:col>
      <xdr:colOff>1489117</xdr:colOff>
      <xdr:row>28</xdr:row>
      <xdr:rowOff>313479</xdr:rowOff>
    </xdr:to>
    <xdr:grpSp>
      <xdr:nvGrpSpPr>
        <xdr:cNvPr id="2" name="Grupo 1">
          <a:extLst>
            <a:ext uri="{FF2B5EF4-FFF2-40B4-BE49-F238E27FC236}">
              <a16:creationId xmlns:a16="http://schemas.microsoft.com/office/drawing/2014/main" id="{00000000-0008-0000-0400-000002000000}"/>
            </a:ext>
          </a:extLst>
        </xdr:cNvPr>
        <xdr:cNvGrpSpPr/>
      </xdr:nvGrpSpPr>
      <xdr:grpSpPr>
        <a:xfrm>
          <a:off x="14188717" y="3595533"/>
          <a:ext cx="2347326" cy="3784466"/>
          <a:chOff x="14249193" y="3714750"/>
          <a:chExt cx="2312401" cy="3840956"/>
        </a:xfrm>
      </xdr:grpSpPr>
      <xdr:sp macro="" textlink="">
        <xdr:nvSpPr>
          <xdr:cNvPr id="3" name="Rectángulo redondeado 4">
            <a:extLst>
              <a:ext uri="{FF2B5EF4-FFF2-40B4-BE49-F238E27FC236}">
                <a16:creationId xmlns:a16="http://schemas.microsoft.com/office/drawing/2014/main" id="{00000000-0008-0000-0400-000003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4" name="Cilindro 3">
            <a:extLst>
              <a:ext uri="{FF2B5EF4-FFF2-40B4-BE49-F238E27FC236}">
                <a16:creationId xmlns:a16="http://schemas.microsoft.com/office/drawing/2014/main" id="{00000000-0008-0000-0400-000004000000}"/>
              </a:ext>
            </a:extLst>
          </xdr:cNvPr>
          <xdr:cNvSpPr/>
        </xdr:nvSpPr>
        <xdr:spPr>
          <a:xfrm>
            <a:off x="14549449" y="4193382"/>
            <a:ext cx="1704974" cy="3243262"/>
          </a:xfrm>
          <a:prstGeom prst="can">
            <a:avLst>
              <a:gd name="adj" fmla="val 16652"/>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0</xdr:col>
      <xdr:colOff>16897</xdr:colOff>
      <xdr:row>0</xdr:row>
      <xdr:rowOff>0</xdr:rowOff>
    </xdr:from>
    <xdr:to>
      <xdr:col>3</xdr:col>
      <xdr:colOff>777581</xdr:colOff>
      <xdr:row>3</xdr:row>
      <xdr:rowOff>90487</xdr:rowOff>
    </xdr:to>
    <xdr:pic>
      <xdr:nvPicPr>
        <xdr:cNvPr id="5" name="Imagen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97" y="0"/>
          <a:ext cx="3865834" cy="947737"/>
        </a:xfrm>
        <a:prstGeom prst="rect">
          <a:avLst/>
        </a:prstGeom>
      </xdr:spPr>
    </xdr:pic>
    <xdr:clientData/>
  </xdr:twoCellAnchor>
  <xdr:twoCellAnchor editAs="oneCell">
    <xdr:from>
      <xdr:col>8</xdr:col>
      <xdr:colOff>225592</xdr:colOff>
      <xdr:row>70</xdr:row>
      <xdr:rowOff>25066</xdr:rowOff>
    </xdr:from>
    <xdr:to>
      <xdr:col>8</xdr:col>
      <xdr:colOff>530392</xdr:colOff>
      <xdr:row>71</xdr:row>
      <xdr:rowOff>91741</xdr:rowOff>
    </xdr:to>
    <xdr:sp macro="" textlink="">
      <xdr:nvSpPr>
        <xdr:cNvPr id="6" name="AutoShape 1" descr="blob:https://web.whatsapp.com/61eb5d99-4d9e-487c-a09c-f15c91fb43bc">
          <a:extLst>
            <a:ext uri="{FF2B5EF4-FFF2-40B4-BE49-F238E27FC236}">
              <a16:creationId xmlns:a16="http://schemas.microsoft.com/office/drawing/2014/main" id="{00000000-0008-0000-0400-000006000000}"/>
            </a:ext>
          </a:extLst>
        </xdr:cNvPr>
        <xdr:cNvSpPr>
          <a:spLocks noChangeAspect="1" noChangeArrowheads="1"/>
        </xdr:cNvSpPr>
      </xdr:nvSpPr>
      <xdr:spPr bwMode="auto">
        <a:xfrm>
          <a:off x="9817267" y="20199016"/>
          <a:ext cx="304800" cy="381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7</xdr:col>
          <xdr:colOff>104775</xdr:colOff>
          <xdr:row>21</xdr:row>
          <xdr:rowOff>28575</xdr:rowOff>
        </xdr:from>
        <xdr:to>
          <xdr:col>7</xdr:col>
          <xdr:colOff>1133475</xdr:colOff>
          <xdr:row>21</xdr:row>
          <xdr:rowOff>219075</xdr:rowOff>
        </xdr:to>
        <xdr:sp macro="" textlink="">
          <xdr:nvSpPr>
            <xdr:cNvPr id="103425" name="Check Box 1" hidden="1">
              <a:extLst>
                <a:ext uri="{63B3BB69-23CF-44E3-9099-C40C66FF867C}">
                  <a14:compatExt spid="_x0000_s103425"/>
                </a:ext>
                <a:ext uri="{FF2B5EF4-FFF2-40B4-BE49-F238E27FC236}">
                  <a16:creationId xmlns:a16="http://schemas.microsoft.com/office/drawing/2014/main" id="{00000000-0008-0000-0400-000001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ANTES DEL ENSAYO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21</xdr:row>
          <xdr:rowOff>19050</xdr:rowOff>
        </xdr:from>
        <xdr:to>
          <xdr:col>9</xdr:col>
          <xdr:colOff>352425</xdr:colOff>
          <xdr:row>21</xdr:row>
          <xdr:rowOff>295275</xdr:rowOff>
        </xdr:to>
        <xdr:sp macro="" textlink="">
          <xdr:nvSpPr>
            <xdr:cNvPr id="103426" name="Check Box 2" hidden="1">
              <a:extLst>
                <a:ext uri="{63B3BB69-23CF-44E3-9099-C40C66FF867C}">
                  <a14:compatExt spid="_x0000_s103426"/>
                </a:ext>
                <a:ext uri="{FF2B5EF4-FFF2-40B4-BE49-F238E27FC236}">
                  <a16:creationId xmlns:a16="http://schemas.microsoft.com/office/drawing/2014/main" id="{00000000-0008-0000-0400-000002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DESPUÉS DEL ENSAYO </a:t>
              </a:r>
            </a:p>
          </xdr:txBody>
        </xdr:sp>
        <xdr:clientData/>
      </xdr:twoCellAnchor>
    </mc:Choice>
    <mc:Fallback/>
  </mc:AlternateContent>
  <xdr:twoCellAnchor>
    <xdr:from>
      <xdr:col>0</xdr:col>
      <xdr:colOff>533400</xdr:colOff>
      <xdr:row>60</xdr:row>
      <xdr:rowOff>114300</xdr:rowOff>
    </xdr:from>
    <xdr:to>
      <xdr:col>7</xdr:col>
      <xdr:colOff>581025</xdr:colOff>
      <xdr:row>74</xdr:row>
      <xdr:rowOff>266700</xdr:rowOff>
    </xdr:to>
    <xdr:graphicFrame macro="">
      <xdr:nvGraphicFramePr>
        <xdr:cNvPr id="9" name="Gráfico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547687</xdr:colOff>
      <xdr:row>16</xdr:row>
      <xdr:rowOff>276225</xdr:rowOff>
    </xdr:from>
    <xdr:to>
      <xdr:col>21</xdr:col>
      <xdr:colOff>333374</xdr:colOff>
      <xdr:row>21</xdr:row>
      <xdr:rowOff>200025</xdr:rowOff>
    </xdr:to>
    <xdr:sp macro="" textlink="">
      <xdr:nvSpPr>
        <xdr:cNvPr id="10" name="Globo: flecha hacia abajo 6">
          <a:extLst>
            <a:ext uri="{FF2B5EF4-FFF2-40B4-BE49-F238E27FC236}">
              <a16:creationId xmlns:a16="http://schemas.microsoft.com/office/drawing/2014/main" id="{00000000-0008-0000-0400-00000A000000}"/>
            </a:ext>
          </a:extLst>
        </xdr:cNvPr>
        <xdr:cNvSpPr/>
      </xdr:nvSpPr>
      <xdr:spPr>
        <a:xfrm>
          <a:off x="22636162" y="3914775"/>
          <a:ext cx="2738437" cy="1495425"/>
        </a:xfrm>
        <a:prstGeom prst="downArrow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702469</xdr:colOff>
      <xdr:row>16</xdr:row>
      <xdr:rowOff>276225</xdr:rowOff>
    </xdr:from>
    <xdr:to>
      <xdr:col>21</xdr:col>
      <xdr:colOff>209550</xdr:colOff>
      <xdr:row>19</xdr:row>
      <xdr:rowOff>142875</xdr:rowOff>
    </xdr:to>
    <xdr:sp macro="" textlink="">
      <xdr:nvSpPr>
        <xdr:cNvPr id="11" name="CuadroTexto 10">
          <a:extLst>
            <a:ext uri="{FF2B5EF4-FFF2-40B4-BE49-F238E27FC236}">
              <a16:creationId xmlns:a16="http://schemas.microsoft.com/office/drawing/2014/main" id="{00000000-0008-0000-0400-00000B000000}"/>
            </a:ext>
          </a:extLst>
        </xdr:cNvPr>
        <xdr:cNvSpPr txBox="1"/>
      </xdr:nvSpPr>
      <xdr:spPr>
        <a:xfrm>
          <a:off x="22790944" y="3914775"/>
          <a:ext cx="2459831"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400" b="1">
              <a:solidFill>
                <a:srgbClr val="FF0000"/>
              </a:solidFill>
            </a:rPr>
            <a:t>INSERTE</a:t>
          </a:r>
          <a:r>
            <a:rPr lang="es-MX" sz="1400" b="1" baseline="0">
              <a:solidFill>
                <a:srgbClr val="FF0000"/>
              </a:solidFill>
            </a:rPr>
            <a:t> LOS DATOS DEL ENSAYO, TIEMPO EN SEGUNDOS </a:t>
          </a:r>
        </a:p>
        <a:p>
          <a:pPr algn="ctr"/>
          <a:endParaRPr lang="es-MX" sz="1100"/>
        </a:p>
      </xdr:txBody>
    </xdr:sp>
    <xdr:clientData/>
  </xdr:twoCellAnchor>
  <xdr:twoCellAnchor editAs="oneCell">
    <xdr:from>
      <xdr:col>8</xdr:col>
      <xdr:colOff>1200150</xdr:colOff>
      <xdr:row>108</xdr:row>
      <xdr:rowOff>9525</xdr:rowOff>
    </xdr:from>
    <xdr:to>
      <xdr:col>9</xdr:col>
      <xdr:colOff>1671237</xdr:colOff>
      <xdr:row>112</xdr:row>
      <xdr:rowOff>107122</xdr:rowOff>
    </xdr:to>
    <xdr:pic>
      <xdr:nvPicPr>
        <xdr:cNvPr id="12" name="Imagen 11">
          <a:extLst>
            <a:ext uri="{FF2B5EF4-FFF2-40B4-BE49-F238E27FC236}">
              <a16:creationId xmlns:a16="http://schemas.microsoft.com/office/drawing/2014/main" id="{00000000-0008-0000-0400-00000C000000}"/>
            </a:ext>
          </a:extLst>
        </xdr:cNvPr>
        <xdr:cNvPicPr>
          <a:picLocks noChangeAspect="1"/>
        </xdr:cNvPicPr>
      </xdr:nvPicPr>
      <xdr:blipFill rotWithShape="1">
        <a:blip xmlns:r="http://schemas.openxmlformats.org/officeDocument/2006/relationships" r:embed="rId3"/>
        <a:srcRect l="88188"/>
        <a:stretch/>
      </xdr:blipFill>
      <xdr:spPr>
        <a:xfrm>
          <a:off x="10791825" y="27193875"/>
          <a:ext cx="1852212" cy="707197"/>
        </a:xfrm>
        <a:prstGeom prst="rect">
          <a:avLst/>
        </a:prstGeom>
      </xdr:spPr>
    </xdr:pic>
    <xdr:clientData/>
  </xdr:twoCellAnchor>
  <xdr:twoCellAnchor>
    <xdr:from>
      <xdr:col>10</xdr:col>
      <xdr:colOff>142875</xdr:colOff>
      <xdr:row>69</xdr:row>
      <xdr:rowOff>285750</xdr:rowOff>
    </xdr:from>
    <xdr:to>
      <xdr:col>10</xdr:col>
      <xdr:colOff>188594</xdr:colOff>
      <xdr:row>70</xdr:row>
      <xdr:rowOff>47625</xdr:rowOff>
    </xdr:to>
    <xdr:sp macro="" textlink="">
      <xdr:nvSpPr>
        <xdr:cNvPr id="13" name="Rectángulo 12">
          <a:extLst>
            <a:ext uri="{FF2B5EF4-FFF2-40B4-BE49-F238E27FC236}">
              <a16:creationId xmlns:a16="http://schemas.microsoft.com/office/drawing/2014/main" id="{00000000-0008-0000-0400-00000D000000}"/>
            </a:ext>
          </a:extLst>
        </xdr:cNvPr>
        <xdr:cNvSpPr/>
      </xdr:nvSpPr>
      <xdr:spPr>
        <a:xfrm>
          <a:off x="13011150" y="20145375"/>
          <a:ext cx="45719" cy="762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457754</xdr:colOff>
      <xdr:row>66</xdr:row>
      <xdr:rowOff>38930</xdr:rowOff>
    </xdr:from>
    <xdr:to>
      <xdr:col>13</xdr:col>
      <xdr:colOff>1238250</xdr:colOff>
      <xdr:row>70</xdr:row>
      <xdr:rowOff>96311</xdr:rowOff>
    </xdr:to>
    <xdr:grpSp>
      <xdr:nvGrpSpPr>
        <xdr:cNvPr id="14" name="Grupo 13">
          <a:extLst>
            <a:ext uri="{FF2B5EF4-FFF2-40B4-BE49-F238E27FC236}">
              <a16:creationId xmlns:a16="http://schemas.microsoft.com/office/drawing/2014/main" id="{00000000-0008-0000-0400-00000E000000}"/>
            </a:ext>
          </a:extLst>
        </xdr:cNvPr>
        <xdr:cNvGrpSpPr/>
      </xdr:nvGrpSpPr>
      <xdr:grpSpPr>
        <a:xfrm>
          <a:off x="10034240" y="18664166"/>
          <a:ext cx="6250936" cy="1293057"/>
          <a:chOff x="10078004" y="18898430"/>
          <a:chExt cx="6264175" cy="1309238"/>
        </a:xfrm>
      </xdr:grpSpPr>
      <xdr:pic>
        <xdr:nvPicPr>
          <xdr:cNvPr id="15" name="Imagen 14">
            <a:extLst>
              <a:ext uri="{FF2B5EF4-FFF2-40B4-BE49-F238E27FC236}">
                <a16:creationId xmlns:a16="http://schemas.microsoft.com/office/drawing/2014/main" id="{00000000-0008-0000-0400-00000F000000}"/>
              </a:ext>
            </a:extLst>
          </xdr:cNvPr>
          <xdr:cNvPicPr>
            <a:picLocks noChangeAspect="1"/>
          </xdr:cNvPicPr>
        </xdr:nvPicPr>
        <xdr:blipFill rotWithShape="1">
          <a:blip xmlns:r="http://schemas.openxmlformats.org/officeDocument/2006/relationships" r:embed="rId3"/>
          <a:srcRect l="88188"/>
          <a:stretch/>
        </xdr:blipFill>
        <xdr:spPr>
          <a:xfrm>
            <a:off x="10078004" y="19028403"/>
            <a:ext cx="2733052" cy="1039875"/>
          </a:xfrm>
          <a:prstGeom prst="rect">
            <a:avLst/>
          </a:prstGeom>
        </xdr:spPr>
      </xdr:pic>
      <xdr:pic>
        <xdr:nvPicPr>
          <xdr:cNvPr id="16" name="Imagen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4"/>
          <a:stretch>
            <a:fillRect/>
          </a:stretch>
        </xdr:blipFill>
        <xdr:spPr>
          <a:xfrm>
            <a:off x="13511893" y="18898430"/>
            <a:ext cx="2830286" cy="1309238"/>
          </a:xfrm>
          <a:prstGeom prst="rect">
            <a:avLst/>
          </a:prstGeom>
        </xdr:spPr>
      </xdr:pic>
    </xdr:grpSp>
    <xdr:clientData/>
  </xdr:twoCellAnchor>
  <xdr:twoCellAnchor>
    <xdr:from>
      <xdr:col>30</xdr:col>
      <xdr:colOff>465174</xdr:colOff>
      <xdr:row>18</xdr:row>
      <xdr:rowOff>297933</xdr:rowOff>
    </xdr:from>
    <xdr:to>
      <xdr:col>33</xdr:col>
      <xdr:colOff>491576</xdr:colOff>
      <xdr:row>31</xdr:row>
      <xdr:rowOff>293964</xdr:rowOff>
    </xdr:to>
    <xdr:grpSp>
      <xdr:nvGrpSpPr>
        <xdr:cNvPr id="17" name="Grupo 16">
          <a:extLst>
            <a:ext uri="{FF2B5EF4-FFF2-40B4-BE49-F238E27FC236}">
              <a16:creationId xmlns:a16="http://schemas.microsoft.com/office/drawing/2014/main" id="{00000000-0008-0000-0400-000011000000}"/>
            </a:ext>
          </a:extLst>
        </xdr:cNvPr>
        <xdr:cNvGrpSpPr/>
      </xdr:nvGrpSpPr>
      <xdr:grpSpPr>
        <a:xfrm>
          <a:off x="32322438" y="4519825"/>
          <a:ext cx="2304679" cy="3767416"/>
          <a:chOff x="14249193" y="3714750"/>
          <a:chExt cx="2312401" cy="3840956"/>
        </a:xfrm>
      </xdr:grpSpPr>
      <xdr:sp macro="" textlink="">
        <xdr:nvSpPr>
          <xdr:cNvPr id="18" name="Rectángulo redondeado 4">
            <a:extLst>
              <a:ext uri="{FF2B5EF4-FFF2-40B4-BE49-F238E27FC236}">
                <a16:creationId xmlns:a16="http://schemas.microsoft.com/office/drawing/2014/main" id="{00000000-0008-0000-0400-000012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19" name="Cilindro 18">
            <a:extLst>
              <a:ext uri="{FF2B5EF4-FFF2-40B4-BE49-F238E27FC236}">
                <a16:creationId xmlns:a16="http://schemas.microsoft.com/office/drawing/2014/main" id="{00000000-0008-0000-0400-000013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xdr:from>
      <xdr:col>26</xdr:col>
      <xdr:colOff>686687</xdr:colOff>
      <xdr:row>19</xdr:row>
      <xdr:rowOff>22152</xdr:rowOff>
    </xdr:from>
    <xdr:to>
      <xdr:col>29</xdr:col>
      <xdr:colOff>742992</xdr:colOff>
      <xdr:row>32</xdr:row>
      <xdr:rowOff>25197</xdr:rowOff>
    </xdr:to>
    <xdr:grpSp>
      <xdr:nvGrpSpPr>
        <xdr:cNvPr id="20" name="Grupo 19">
          <a:extLst>
            <a:ext uri="{FF2B5EF4-FFF2-40B4-BE49-F238E27FC236}">
              <a16:creationId xmlns:a16="http://schemas.microsoft.com/office/drawing/2014/main" id="{00000000-0008-0000-0400-000014000000}"/>
            </a:ext>
          </a:extLst>
        </xdr:cNvPr>
        <xdr:cNvGrpSpPr/>
      </xdr:nvGrpSpPr>
      <xdr:grpSpPr>
        <a:xfrm>
          <a:off x="29506248" y="4552963"/>
          <a:ext cx="2334582" cy="3774430"/>
          <a:chOff x="14249193" y="3714750"/>
          <a:chExt cx="2312401" cy="3840956"/>
        </a:xfrm>
      </xdr:grpSpPr>
      <xdr:sp macro="" textlink="">
        <xdr:nvSpPr>
          <xdr:cNvPr id="21" name="Rectángulo redondeado 4">
            <a:extLst>
              <a:ext uri="{FF2B5EF4-FFF2-40B4-BE49-F238E27FC236}">
                <a16:creationId xmlns:a16="http://schemas.microsoft.com/office/drawing/2014/main" id="{00000000-0008-0000-0400-000015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2" name="Cilindro 21">
            <a:extLst>
              <a:ext uri="{FF2B5EF4-FFF2-40B4-BE49-F238E27FC236}">
                <a16:creationId xmlns:a16="http://schemas.microsoft.com/office/drawing/2014/main" id="{00000000-0008-0000-0400-000016000000}"/>
              </a:ext>
            </a:extLst>
          </xdr:cNvPr>
          <xdr:cNvSpPr/>
        </xdr:nvSpPr>
        <xdr:spPr>
          <a:xfrm>
            <a:off x="14335124" y="4193382"/>
            <a:ext cx="2131218"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8</xdr:col>
      <xdr:colOff>0</xdr:colOff>
      <xdr:row>94</xdr:row>
      <xdr:rowOff>0</xdr:rowOff>
    </xdr:from>
    <xdr:to>
      <xdr:col>13</xdr:col>
      <xdr:colOff>783552</xdr:colOff>
      <xdr:row>102</xdr:row>
      <xdr:rowOff>113325</xdr:rowOff>
    </xdr:to>
    <xdr:pic>
      <xdr:nvPicPr>
        <xdr:cNvPr id="23" name="Imagen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5"/>
        <a:stretch>
          <a:fillRect/>
        </a:stretch>
      </xdr:blipFill>
      <xdr:spPr>
        <a:xfrm>
          <a:off x="9591675" y="25050750"/>
          <a:ext cx="6260427" cy="1332525"/>
        </a:xfrm>
        <a:prstGeom prst="rect">
          <a:avLst/>
        </a:prstGeom>
      </xdr:spPr>
    </xdr:pic>
    <xdr:clientData/>
  </xdr:twoCellAnchor>
  <xdr:twoCellAnchor>
    <xdr:from>
      <xdr:col>6</xdr:col>
      <xdr:colOff>273652</xdr:colOff>
      <xdr:row>19</xdr:row>
      <xdr:rowOff>166564</xdr:rowOff>
    </xdr:from>
    <xdr:to>
      <xdr:col>6</xdr:col>
      <xdr:colOff>1345732</xdr:colOff>
      <xdr:row>19</xdr:row>
      <xdr:rowOff>202924</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24" name="Entrada de lápiz 23">
              <a:extLst>
                <a:ext uri="{FF2B5EF4-FFF2-40B4-BE49-F238E27FC236}">
                  <a16:creationId xmlns:a16="http://schemas.microsoft.com/office/drawing/2014/main" id="{00000000-0008-0000-0400-000018000000}"/>
                </a:ext>
              </a:extLst>
            </xdr14:cNvPr>
            <xdr14:cNvContentPartPr/>
          </xdr14:nvContentPartPr>
          <xdr14:nvPr macro=""/>
          <xdr14:xfrm>
            <a:off x="7114334" y="4694032"/>
            <a:ext cx="1072080" cy="36360"/>
          </xdr14:xfrm>
        </xdr:contentPart>
      </mc:Choice>
      <mc:Fallback xmlns="">
        <xdr:pic>
          <xdr:nvPicPr>
            <xdr:cNvPr id="24" name="Entrada de lápiz 23">
              <a:extLst>
                <a:ext uri="{FF2B5EF4-FFF2-40B4-BE49-F238E27FC236}">
                  <a16:creationId xmlns:a16="http://schemas.microsoft.com/office/drawing/2014/main" id="{00000000-0008-0000-2000-000027000000}"/>
                </a:ext>
              </a:extLst>
            </xdr:cNvPr>
            <xdr:cNvPicPr/>
          </xdr:nvPicPr>
          <xdr:blipFill>
            <a:blip xmlns:r="http://schemas.openxmlformats.org/officeDocument/2006/relationships" r:embed="rId7"/>
            <a:stretch>
              <a:fillRect/>
            </a:stretch>
          </xdr:blipFill>
          <xdr:spPr>
            <a:xfrm>
              <a:off x="7108214" y="4687912"/>
              <a:ext cx="1084320" cy="48600"/>
            </a:xfrm>
            <a:prstGeom prst="rect">
              <a:avLst/>
            </a:prstGeom>
          </xdr:spPr>
        </xdr:pic>
      </mc:Fallback>
    </mc:AlternateContent>
    <xdr:clientData/>
  </xdr:twoCellAnchor>
  <xdr:twoCellAnchor>
    <xdr:from>
      <xdr:col>13</xdr:col>
      <xdr:colOff>1140316</xdr:colOff>
      <xdr:row>17</xdr:row>
      <xdr:rowOff>270339</xdr:rowOff>
    </xdr:from>
    <xdr:to>
      <xdr:col>13</xdr:col>
      <xdr:colOff>1282113</xdr:colOff>
      <xdr:row>21</xdr:row>
      <xdr:rowOff>194525</xdr:rowOff>
    </xdr:to>
    <xdr:sp macro="" textlink="">
      <xdr:nvSpPr>
        <xdr:cNvPr id="29" name="Forma libre 28">
          <a:extLst>
            <a:ext uri="{FF2B5EF4-FFF2-40B4-BE49-F238E27FC236}">
              <a16:creationId xmlns:a16="http://schemas.microsoft.com/office/drawing/2014/main" id="{00000000-0008-0000-0400-00001D000000}"/>
            </a:ext>
          </a:extLst>
        </xdr:cNvPr>
        <xdr:cNvSpPr/>
      </xdr:nvSpPr>
      <xdr:spPr>
        <a:xfrm flipH="1">
          <a:off x="16212622" y="4241325"/>
          <a:ext cx="141797" cy="1185242"/>
        </a:xfrm>
        <a:custGeom>
          <a:avLst/>
          <a:gdLst>
            <a:gd name="connsiteX0" fmla="*/ 334706 w 334706"/>
            <a:gd name="connsiteY0" fmla="*/ 0 h 1422721"/>
            <a:gd name="connsiteX1" fmla="*/ 117681 w 334706"/>
            <a:gd name="connsiteY1" fmla="*/ 204968 h 1422721"/>
            <a:gd name="connsiteX2" fmla="*/ 9168 w 334706"/>
            <a:gd name="connsiteY2" fmla="*/ 458164 h 1422721"/>
            <a:gd name="connsiteX3" fmla="*/ 33282 w 334706"/>
            <a:gd name="connsiteY3" fmla="*/ 892215 h 1422721"/>
            <a:gd name="connsiteX4" fmla="*/ 250307 w 334706"/>
            <a:gd name="connsiteY4" fmla="*/ 1422721 h 142272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4706" h="1422721">
              <a:moveTo>
                <a:pt x="334706" y="0"/>
              </a:moveTo>
              <a:cubicBezTo>
                <a:pt x="253321" y="64303"/>
                <a:pt x="171937" y="128607"/>
                <a:pt x="117681" y="204968"/>
              </a:cubicBezTo>
              <a:cubicBezTo>
                <a:pt x="63425" y="281329"/>
                <a:pt x="23234" y="343623"/>
                <a:pt x="9168" y="458164"/>
              </a:cubicBezTo>
              <a:cubicBezTo>
                <a:pt x="-4898" y="572705"/>
                <a:pt x="-6908" y="731456"/>
                <a:pt x="33282" y="892215"/>
              </a:cubicBezTo>
              <a:cubicBezTo>
                <a:pt x="73472" y="1052974"/>
                <a:pt x="161889" y="1237847"/>
                <a:pt x="250307" y="1422721"/>
              </a:cubicBezTo>
            </a:path>
          </a:pathLst>
        </a:custGeom>
        <a:noFill/>
        <a:ln w="12700">
          <a:solidFill>
            <a:schemeClr val="accent1">
              <a:lumMod val="50000"/>
            </a:schemeClr>
          </a:solid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clientData/>
  </xdr:twoCellAnchor>
  <xdr:twoCellAnchor>
    <xdr:from>
      <xdr:col>11</xdr:col>
      <xdr:colOff>248185</xdr:colOff>
      <xdr:row>17</xdr:row>
      <xdr:rowOff>261602</xdr:rowOff>
    </xdr:from>
    <xdr:to>
      <xdr:col>11</xdr:col>
      <xdr:colOff>389982</xdr:colOff>
      <xdr:row>21</xdr:row>
      <xdr:rowOff>185788</xdr:rowOff>
    </xdr:to>
    <xdr:sp macro="" textlink="">
      <xdr:nvSpPr>
        <xdr:cNvPr id="30" name="Forma libre 29">
          <a:extLst>
            <a:ext uri="{FF2B5EF4-FFF2-40B4-BE49-F238E27FC236}">
              <a16:creationId xmlns:a16="http://schemas.microsoft.com/office/drawing/2014/main" id="{00000000-0008-0000-0400-00001E000000}"/>
            </a:ext>
          </a:extLst>
        </xdr:cNvPr>
        <xdr:cNvSpPr/>
      </xdr:nvSpPr>
      <xdr:spPr>
        <a:xfrm>
          <a:off x="14414946" y="4232588"/>
          <a:ext cx="141797" cy="1185242"/>
        </a:xfrm>
        <a:custGeom>
          <a:avLst/>
          <a:gdLst>
            <a:gd name="connsiteX0" fmla="*/ 334706 w 334706"/>
            <a:gd name="connsiteY0" fmla="*/ 0 h 1422721"/>
            <a:gd name="connsiteX1" fmla="*/ 117681 w 334706"/>
            <a:gd name="connsiteY1" fmla="*/ 204968 h 1422721"/>
            <a:gd name="connsiteX2" fmla="*/ 9168 w 334706"/>
            <a:gd name="connsiteY2" fmla="*/ 458164 h 1422721"/>
            <a:gd name="connsiteX3" fmla="*/ 33282 w 334706"/>
            <a:gd name="connsiteY3" fmla="*/ 892215 h 1422721"/>
            <a:gd name="connsiteX4" fmla="*/ 250307 w 334706"/>
            <a:gd name="connsiteY4" fmla="*/ 1422721 h 142272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4706" h="1422721">
              <a:moveTo>
                <a:pt x="334706" y="0"/>
              </a:moveTo>
              <a:cubicBezTo>
                <a:pt x="253321" y="64303"/>
                <a:pt x="171937" y="128607"/>
                <a:pt x="117681" y="204968"/>
              </a:cubicBezTo>
              <a:cubicBezTo>
                <a:pt x="63425" y="281329"/>
                <a:pt x="23234" y="343623"/>
                <a:pt x="9168" y="458164"/>
              </a:cubicBezTo>
              <a:cubicBezTo>
                <a:pt x="-4898" y="572705"/>
                <a:pt x="-6908" y="731456"/>
                <a:pt x="33282" y="892215"/>
              </a:cubicBezTo>
              <a:cubicBezTo>
                <a:pt x="73472" y="1052974"/>
                <a:pt x="161889" y="1237847"/>
                <a:pt x="250307" y="1422721"/>
              </a:cubicBezTo>
            </a:path>
          </a:pathLst>
        </a:custGeom>
        <a:noFill/>
        <a:ln w="12700">
          <a:solidFill>
            <a:schemeClr val="accent1">
              <a:lumMod val="50000"/>
            </a:schemeClr>
          </a:solid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clientData/>
  </xdr:twoCellAnchor>
  <xdr:twoCellAnchor>
    <xdr:from>
      <xdr:col>11</xdr:col>
      <xdr:colOff>719428</xdr:colOff>
      <xdr:row>18</xdr:row>
      <xdr:rowOff>105904</xdr:rowOff>
    </xdr:from>
    <xdr:to>
      <xdr:col>12</xdr:col>
      <xdr:colOff>64104</xdr:colOff>
      <xdr:row>23</xdr:row>
      <xdr:rowOff>65042</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35" name="Entrada de lápiz 34">
              <a:extLst>
                <a:ext uri="{FF2B5EF4-FFF2-40B4-BE49-F238E27FC236}">
                  <a16:creationId xmlns:a16="http://schemas.microsoft.com/office/drawing/2014/main" id="{00000000-0008-0000-0400-000023000000}"/>
                </a:ext>
              </a:extLst>
            </xdr14:cNvPr>
            <xdr14:cNvContentPartPr/>
          </xdr14:nvContentPartPr>
          <xdr14:nvPr macro=""/>
          <xdr14:xfrm>
            <a:off x="14889591" y="4399056"/>
            <a:ext cx="117720" cy="1298160"/>
          </xdr14:xfrm>
        </xdr:contentPart>
      </mc:Choice>
      <mc:Fallback xmlns="">
        <xdr:pic>
          <xdr:nvPicPr>
            <xdr:cNvPr id="35" name="Entrada de lápiz 34"/>
            <xdr:cNvPicPr/>
          </xdr:nvPicPr>
          <xdr:blipFill>
            <a:blip xmlns:r="http://schemas.openxmlformats.org/officeDocument/2006/relationships" r:embed="rId9"/>
            <a:stretch>
              <a:fillRect/>
            </a:stretch>
          </xdr:blipFill>
          <xdr:spPr>
            <a:xfrm>
              <a:off x="14883071" y="4392376"/>
              <a:ext cx="130760" cy="1311520"/>
            </a:xfrm>
            <a:prstGeom prst="rect">
              <a:avLst/>
            </a:prstGeom>
          </xdr:spPr>
        </xdr:pic>
      </mc:Fallback>
    </mc:AlternateContent>
    <xdr:clientData/>
  </xdr:twoCellAnchor>
  <xdr:twoCellAnchor>
    <xdr:from>
      <xdr:col>13</xdr:col>
      <xdr:colOff>985393</xdr:colOff>
      <xdr:row>18</xdr:row>
      <xdr:rowOff>48493</xdr:rowOff>
    </xdr:from>
    <xdr:to>
      <xdr:col>13</xdr:col>
      <xdr:colOff>1118233</xdr:colOff>
      <xdr:row>23</xdr:row>
      <xdr:rowOff>67391</xdr:rowOff>
    </xdr:to>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36" name="Entrada de lápiz 35">
              <a:extLst>
                <a:ext uri="{FF2B5EF4-FFF2-40B4-BE49-F238E27FC236}">
                  <a16:creationId xmlns:a16="http://schemas.microsoft.com/office/drawing/2014/main" id="{00000000-0008-0000-0400-000024000000}"/>
                </a:ext>
              </a:extLst>
            </xdr14:cNvPr>
            <xdr14:cNvContentPartPr/>
          </xdr14:nvContentPartPr>
          <xdr14:nvPr macro=""/>
          <xdr14:xfrm>
            <a:off x="16059741" y="4341645"/>
            <a:ext cx="132840" cy="1357920"/>
          </xdr14:xfrm>
        </xdr:contentPart>
      </mc:Choice>
      <mc:Fallback xmlns="">
        <xdr:pic>
          <xdr:nvPicPr>
            <xdr:cNvPr id="36" name="Entrada de lápiz 35"/>
            <xdr:cNvPicPr/>
          </xdr:nvPicPr>
          <xdr:blipFill>
            <a:blip xmlns:r="http://schemas.openxmlformats.org/officeDocument/2006/relationships" r:embed="rId11"/>
            <a:stretch>
              <a:fillRect/>
            </a:stretch>
          </xdr:blipFill>
          <xdr:spPr>
            <a:xfrm>
              <a:off x="16053261" y="4334974"/>
              <a:ext cx="145800" cy="1371262"/>
            </a:xfrm>
            <a:prstGeom prst="rect">
              <a:avLst/>
            </a:prstGeom>
          </xdr:spPr>
        </xdr:pic>
      </mc:Fallback>
    </mc:AlternateContent>
    <xdr:clientData/>
  </xdr:twoCellAnchor>
  <xdr:twoCellAnchor>
    <xdr:from>
      <xdr:col>13</xdr:col>
      <xdr:colOff>680538</xdr:colOff>
      <xdr:row>18</xdr:row>
      <xdr:rowOff>129431</xdr:rowOff>
    </xdr:from>
    <xdr:to>
      <xdr:col>13</xdr:col>
      <xdr:colOff>848298</xdr:colOff>
      <xdr:row>22</xdr:row>
      <xdr:rowOff>49231</xdr:rowOff>
    </xdr:to>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38" name="Entrada de lápiz 37">
              <a:extLst>
                <a:ext uri="{FF2B5EF4-FFF2-40B4-BE49-F238E27FC236}">
                  <a16:creationId xmlns:a16="http://schemas.microsoft.com/office/drawing/2014/main" id="{00000000-0008-0000-0400-000026000000}"/>
                </a:ext>
              </a:extLst>
            </xdr14:cNvPr>
            <xdr14:cNvContentPartPr/>
          </xdr14:nvContentPartPr>
          <xdr14:nvPr macro=""/>
          <xdr14:xfrm>
            <a:off x="15754886" y="4422583"/>
            <a:ext cx="167760" cy="1189800"/>
          </xdr14:xfrm>
        </xdr:contentPart>
      </mc:Choice>
      <mc:Fallback xmlns="">
        <xdr:pic>
          <xdr:nvPicPr>
            <xdr:cNvPr id="38" name="Entrada de lápiz 37"/>
            <xdr:cNvPicPr/>
          </xdr:nvPicPr>
          <xdr:blipFill>
            <a:blip xmlns:r="http://schemas.openxmlformats.org/officeDocument/2006/relationships" r:embed="rId13"/>
            <a:stretch>
              <a:fillRect/>
            </a:stretch>
          </xdr:blipFill>
          <xdr:spPr>
            <a:xfrm>
              <a:off x="15748406" y="4415911"/>
              <a:ext cx="180720" cy="1203144"/>
            </a:xfrm>
            <a:prstGeom prst="rect">
              <a:avLst/>
            </a:prstGeom>
          </xdr:spPr>
        </xdr:pic>
      </mc:Fallback>
    </mc:AlternateContent>
    <xdr:clientData/>
  </xdr:twoCellAnchor>
  <xdr:twoCellAnchor>
    <xdr:from>
      <xdr:col>11</xdr:col>
      <xdr:colOff>443160</xdr:colOff>
      <xdr:row>18</xdr:row>
      <xdr:rowOff>83335</xdr:rowOff>
    </xdr:from>
    <xdr:to>
      <xdr:col>11</xdr:col>
      <xdr:colOff>543240</xdr:colOff>
      <xdr:row>21</xdr:row>
      <xdr:rowOff>310915</xdr:rowOff>
    </xdr:to>
    <mc:AlternateContent xmlns:mc="http://schemas.openxmlformats.org/markup-compatibility/2006" xmlns:xdr14="http://schemas.microsoft.com/office/excel/2010/spreadsheetDrawing">
      <mc:Choice Requires="xdr14">
        <xdr:contentPart xmlns:r="http://schemas.openxmlformats.org/officeDocument/2006/relationships" r:id="rId14">
          <xdr14:nvContentPartPr>
            <xdr14:cNvPr id="42" name="Entrada de lápiz 41">
              <a:extLst>
                <a:ext uri="{FF2B5EF4-FFF2-40B4-BE49-F238E27FC236}">
                  <a16:creationId xmlns:a16="http://schemas.microsoft.com/office/drawing/2014/main" id="{00000000-0008-0000-0400-00002A000000}"/>
                </a:ext>
              </a:extLst>
            </xdr14:cNvPr>
            <xdr14:cNvContentPartPr/>
          </xdr14:nvContentPartPr>
          <xdr14:nvPr macro=""/>
          <xdr14:xfrm>
            <a:off x="14613323" y="4376487"/>
            <a:ext cx="100080" cy="1180080"/>
          </xdr14:xfrm>
        </xdr:contentPart>
      </mc:Choice>
      <mc:Fallback xmlns="">
        <xdr:pic>
          <xdr:nvPicPr>
            <xdr:cNvPr id="42" name="Entrada de lápiz 41"/>
            <xdr:cNvPicPr/>
          </xdr:nvPicPr>
          <xdr:blipFill>
            <a:blip xmlns:r="http://schemas.openxmlformats.org/officeDocument/2006/relationships" r:embed="rId15"/>
            <a:stretch>
              <a:fillRect/>
            </a:stretch>
          </xdr:blipFill>
          <xdr:spPr>
            <a:xfrm>
              <a:off x="14606843" y="4369861"/>
              <a:ext cx="113040" cy="1193331"/>
            </a:xfrm>
            <a:prstGeom prst="rect">
              <a:avLst/>
            </a:prstGeom>
          </xdr:spPr>
        </xdr:pic>
      </mc:Fallback>
    </mc:AlternateContent>
    <xdr:clientData/>
  </xdr:twoCellAnchor>
  <xdr:twoCellAnchor>
    <xdr:from>
      <xdr:col>13</xdr:col>
      <xdr:colOff>235733</xdr:colOff>
      <xdr:row>18</xdr:row>
      <xdr:rowOff>138552</xdr:rowOff>
    </xdr:from>
    <xdr:to>
      <xdr:col>13</xdr:col>
      <xdr:colOff>328613</xdr:colOff>
      <xdr:row>23</xdr:row>
      <xdr:rowOff>238090</xdr:rowOff>
    </xdr:to>
    <mc:AlternateContent xmlns:mc="http://schemas.openxmlformats.org/markup-compatibility/2006" xmlns:xdr14="http://schemas.microsoft.com/office/excel/2010/spreadsheetDrawing">
      <mc:Choice Requires="xdr14">
        <xdr:contentPart xmlns:r="http://schemas.openxmlformats.org/officeDocument/2006/relationships" r:id="rId16">
          <xdr14:nvContentPartPr>
            <xdr14:cNvPr id="44" name="Entrada de lápiz 43">
              <a:extLst>
                <a:ext uri="{FF2B5EF4-FFF2-40B4-BE49-F238E27FC236}">
                  <a16:creationId xmlns:a16="http://schemas.microsoft.com/office/drawing/2014/main" id="{00000000-0008-0000-0400-00002C000000}"/>
                </a:ext>
              </a:extLst>
            </xdr14:cNvPr>
            <xdr14:cNvContentPartPr/>
          </xdr14:nvContentPartPr>
          <xdr14:nvPr macro=""/>
          <xdr14:xfrm>
            <a:off x="15310081" y="4431704"/>
            <a:ext cx="92880" cy="1438560"/>
          </xdr14:xfrm>
        </xdr:contentPart>
      </mc:Choice>
      <mc:Fallback xmlns="">
        <xdr:pic>
          <xdr:nvPicPr>
            <xdr:cNvPr id="44" name="Entrada de lápiz 43"/>
            <xdr:cNvPicPr/>
          </xdr:nvPicPr>
          <xdr:blipFill>
            <a:blip xmlns:r="http://schemas.openxmlformats.org/officeDocument/2006/relationships" r:embed="rId17"/>
            <a:stretch>
              <a:fillRect/>
            </a:stretch>
          </xdr:blipFill>
          <xdr:spPr>
            <a:xfrm>
              <a:off x="15303601" y="4425044"/>
              <a:ext cx="105840" cy="145188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11</xdr:col>
      <xdr:colOff>62843</xdr:colOff>
      <xdr:row>15</xdr:row>
      <xdr:rowOff>92610</xdr:rowOff>
    </xdr:from>
    <xdr:to>
      <xdr:col>13</xdr:col>
      <xdr:colOff>1509155</xdr:colOff>
      <xdr:row>28</xdr:row>
      <xdr:rowOff>286564</xdr:rowOff>
    </xdr:to>
    <xdr:grpSp>
      <xdr:nvGrpSpPr>
        <xdr:cNvPr id="2" name="Grupo 1">
          <a:extLst>
            <a:ext uri="{FF2B5EF4-FFF2-40B4-BE49-F238E27FC236}">
              <a16:creationId xmlns:a16="http://schemas.microsoft.com/office/drawing/2014/main" id="{00000000-0008-0000-0500-000002000000}"/>
            </a:ext>
          </a:extLst>
        </xdr:cNvPr>
        <xdr:cNvGrpSpPr/>
      </xdr:nvGrpSpPr>
      <xdr:grpSpPr>
        <a:xfrm>
          <a:off x="14226518" y="3616860"/>
          <a:ext cx="2351187" cy="3832504"/>
          <a:chOff x="14249193" y="3714750"/>
          <a:chExt cx="2312401" cy="3840956"/>
        </a:xfrm>
      </xdr:grpSpPr>
      <xdr:sp macro="" textlink="">
        <xdr:nvSpPr>
          <xdr:cNvPr id="3" name="Rectángulo redondeado 4">
            <a:extLst>
              <a:ext uri="{FF2B5EF4-FFF2-40B4-BE49-F238E27FC236}">
                <a16:creationId xmlns:a16="http://schemas.microsoft.com/office/drawing/2014/main" id="{00000000-0008-0000-0500-000003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4" name="Cilindro 3">
            <a:extLst>
              <a:ext uri="{FF2B5EF4-FFF2-40B4-BE49-F238E27FC236}">
                <a16:creationId xmlns:a16="http://schemas.microsoft.com/office/drawing/2014/main" id="{00000000-0008-0000-0500-000004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0</xdr:col>
      <xdr:colOff>16897</xdr:colOff>
      <xdr:row>0</xdr:row>
      <xdr:rowOff>0</xdr:rowOff>
    </xdr:from>
    <xdr:to>
      <xdr:col>3</xdr:col>
      <xdr:colOff>777581</xdr:colOff>
      <xdr:row>3</xdr:row>
      <xdr:rowOff>90487</xdr:rowOff>
    </xdr:to>
    <xdr:pic>
      <xdr:nvPicPr>
        <xdr:cNvPr id="5" name="Imagen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97" y="0"/>
          <a:ext cx="3865834" cy="947737"/>
        </a:xfrm>
        <a:prstGeom prst="rect">
          <a:avLst/>
        </a:prstGeom>
      </xdr:spPr>
    </xdr:pic>
    <xdr:clientData/>
  </xdr:twoCellAnchor>
  <xdr:twoCellAnchor editAs="oneCell">
    <xdr:from>
      <xdr:col>8</xdr:col>
      <xdr:colOff>225592</xdr:colOff>
      <xdr:row>70</xdr:row>
      <xdr:rowOff>25066</xdr:rowOff>
    </xdr:from>
    <xdr:to>
      <xdr:col>8</xdr:col>
      <xdr:colOff>530392</xdr:colOff>
      <xdr:row>71</xdr:row>
      <xdr:rowOff>91741</xdr:rowOff>
    </xdr:to>
    <xdr:sp macro="" textlink="">
      <xdr:nvSpPr>
        <xdr:cNvPr id="6" name="AutoShape 1" descr="blob:https://web.whatsapp.com/61eb5d99-4d9e-487c-a09c-f15c91fb43bc">
          <a:extLst>
            <a:ext uri="{FF2B5EF4-FFF2-40B4-BE49-F238E27FC236}">
              <a16:creationId xmlns:a16="http://schemas.microsoft.com/office/drawing/2014/main" id="{00000000-0008-0000-0500-000006000000}"/>
            </a:ext>
          </a:extLst>
        </xdr:cNvPr>
        <xdr:cNvSpPr>
          <a:spLocks noChangeAspect="1" noChangeArrowheads="1"/>
        </xdr:cNvSpPr>
      </xdr:nvSpPr>
      <xdr:spPr bwMode="auto">
        <a:xfrm>
          <a:off x="9817267" y="20199016"/>
          <a:ext cx="304800" cy="381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7</xdr:col>
          <xdr:colOff>104775</xdr:colOff>
          <xdr:row>21</xdr:row>
          <xdr:rowOff>28575</xdr:rowOff>
        </xdr:from>
        <xdr:to>
          <xdr:col>7</xdr:col>
          <xdr:colOff>1133475</xdr:colOff>
          <xdr:row>21</xdr:row>
          <xdr:rowOff>219075</xdr:rowOff>
        </xdr:to>
        <xdr:sp macro="" textlink="">
          <xdr:nvSpPr>
            <xdr:cNvPr id="104449" name="Check Box 1" hidden="1">
              <a:extLst>
                <a:ext uri="{63B3BB69-23CF-44E3-9099-C40C66FF867C}">
                  <a14:compatExt spid="_x0000_s104449"/>
                </a:ext>
                <a:ext uri="{FF2B5EF4-FFF2-40B4-BE49-F238E27FC236}">
                  <a16:creationId xmlns:a16="http://schemas.microsoft.com/office/drawing/2014/main" id="{00000000-0008-0000-0500-000001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ANTES DEL ENSAYO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21</xdr:row>
          <xdr:rowOff>19050</xdr:rowOff>
        </xdr:from>
        <xdr:to>
          <xdr:col>9</xdr:col>
          <xdr:colOff>352425</xdr:colOff>
          <xdr:row>21</xdr:row>
          <xdr:rowOff>295275</xdr:rowOff>
        </xdr:to>
        <xdr:sp macro="" textlink="">
          <xdr:nvSpPr>
            <xdr:cNvPr id="104450" name="Check Box 2" hidden="1">
              <a:extLst>
                <a:ext uri="{63B3BB69-23CF-44E3-9099-C40C66FF867C}">
                  <a14:compatExt spid="_x0000_s104450"/>
                </a:ext>
                <a:ext uri="{FF2B5EF4-FFF2-40B4-BE49-F238E27FC236}">
                  <a16:creationId xmlns:a16="http://schemas.microsoft.com/office/drawing/2014/main" id="{00000000-0008-0000-0500-000002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DESPUÉS DEL ENSAYO </a:t>
              </a:r>
            </a:p>
          </xdr:txBody>
        </xdr:sp>
        <xdr:clientData/>
      </xdr:twoCellAnchor>
    </mc:Choice>
    <mc:Fallback/>
  </mc:AlternateContent>
  <xdr:twoCellAnchor>
    <xdr:from>
      <xdr:col>0</xdr:col>
      <xdr:colOff>533400</xdr:colOff>
      <xdr:row>60</xdr:row>
      <xdr:rowOff>114300</xdr:rowOff>
    </xdr:from>
    <xdr:to>
      <xdr:col>7</xdr:col>
      <xdr:colOff>581025</xdr:colOff>
      <xdr:row>74</xdr:row>
      <xdr:rowOff>266700</xdr:rowOff>
    </xdr:to>
    <xdr:graphicFrame macro="">
      <xdr:nvGraphicFramePr>
        <xdr:cNvPr id="9" name="Gráfico 8">
          <a:extLst>
            <a:ext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547687</xdr:colOff>
      <xdr:row>16</xdr:row>
      <xdr:rowOff>276225</xdr:rowOff>
    </xdr:from>
    <xdr:to>
      <xdr:col>21</xdr:col>
      <xdr:colOff>333374</xdr:colOff>
      <xdr:row>21</xdr:row>
      <xdr:rowOff>200025</xdr:rowOff>
    </xdr:to>
    <xdr:sp macro="" textlink="">
      <xdr:nvSpPr>
        <xdr:cNvPr id="10" name="Globo: flecha hacia abajo 6">
          <a:extLst>
            <a:ext uri="{FF2B5EF4-FFF2-40B4-BE49-F238E27FC236}">
              <a16:creationId xmlns:a16="http://schemas.microsoft.com/office/drawing/2014/main" id="{00000000-0008-0000-0500-00000A000000}"/>
            </a:ext>
          </a:extLst>
        </xdr:cNvPr>
        <xdr:cNvSpPr/>
      </xdr:nvSpPr>
      <xdr:spPr>
        <a:xfrm>
          <a:off x="22636162" y="3914775"/>
          <a:ext cx="2738437" cy="1495425"/>
        </a:xfrm>
        <a:prstGeom prst="downArrow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702469</xdr:colOff>
      <xdr:row>16</xdr:row>
      <xdr:rowOff>276225</xdr:rowOff>
    </xdr:from>
    <xdr:to>
      <xdr:col>21</xdr:col>
      <xdr:colOff>209550</xdr:colOff>
      <xdr:row>19</xdr:row>
      <xdr:rowOff>142875</xdr:rowOff>
    </xdr:to>
    <xdr:sp macro="" textlink="">
      <xdr:nvSpPr>
        <xdr:cNvPr id="11" name="CuadroTexto 10">
          <a:extLst>
            <a:ext uri="{FF2B5EF4-FFF2-40B4-BE49-F238E27FC236}">
              <a16:creationId xmlns:a16="http://schemas.microsoft.com/office/drawing/2014/main" id="{00000000-0008-0000-0500-00000B000000}"/>
            </a:ext>
          </a:extLst>
        </xdr:cNvPr>
        <xdr:cNvSpPr txBox="1"/>
      </xdr:nvSpPr>
      <xdr:spPr>
        <a:xfrm>
          <a:off x="22790944" y="3914775"/>
          <a:ext cx="2459831"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400" b="1">
              <a:solidFill>
                <a:srgbClr val="FF0000"/>
              </a:solidFill>
            </a:rPr>
            <a:t>INSERTE</a:t>
          </a:r>
          <a:r>
            <a:rPr lang="es-MX" sz="1400" b="1" baseline="0">
              <a:solidFill>
                <a:srgbClr val="FF0000"/>
              </a:solidFill>
            </a:rPr>
            <a:t> LOS DATOS DEL ENSAYO, TIEMPO EN SEGUNDOS </a:t>
          </a:r>
        </a:p>
        <a:p>
          <a:pPr algn="ctr"/>
          <a:endParaRPr lang="es-MX" sz="1100"/>
        </a:p>
      </xdr:txBody>
    </xdr:sp>
    <xdr:clientData/>
  </xdr:twoCellAnchor>
  <xdr:twoCellAnchor editAs="oneCell">
    <xdr:from>
      <xdr:col>8</xdr:col>
      <xdr:colOff>1200150</xdr:colOff>
      <xdr:row>108</xdr:row>
      <xdr:rowOff>9525</xdr:rowOff>
    </xdr:from>
    <xdr:to>
      <xdr:col>9</xdr:col>
      <xdr:colOff>1671237</xdr:colOff>
      <xdr:row>112</xdr:row>
      <xdr:rowOff>107122</xdr:rowOff>
    </xdr:to>
    <xdr:pic>
      <xdr:nvPicPr>
        <xdr:cNvPr id="12" name="Imagen 11">
          <a:extLst>
            <a:ext uri="{FF2B5EF4-FFF2-40B4-BE49-F238E27FC236}">
              <a16:creationId xmlns:a16="http://schemas.microsoft.com/office/drawing/2014/main" id="{00000000-0008-0000-0500-00000C000000}"/>
            </a:ext>
          </a:extLst>
        </xdr:cNvPr>
        <xdr:cNvPicPr>
          <a:picLocks noChangeAspect="1"/>
        </xdr:cNvPicPr>
      </xdr:nvPicPr>
      <xdr:blipFill rotWithShape="1">
        <a:blip xmlns:r="http://schemas.openxmlformats.org/officeDocument/2006/relationships" r:embed="rId3"/>
        <a:srcRect l="88188"/>
        <a:stretch/>
      </xdr:blipFill>
      <xdr:spPr>
        <a:xfrm>
          <a:off x="10791825" y="27193875"/>
          <a:ext cx="1852212" cy="707197"/>
        </a:xfrm>
        <a:prstGeom prst="rect">
          <a:avLst/>
        </a:prstGeom>
      </xdr:spPr>
    </xdr:pic>
    <xdr:clientData/>
  </xdr:twoCellAnchor>
  <xdr:twoCellAnchor>
    <xdr:from>
      <xdr:col>10</xdr:col>
      <xdr:colOff>142875</xdr:colOff>
      <xdr:row>69</xdr:row>
      <xdr:rowOff>285750</xdr:rowOff>
    </xdr:from>
    <xdr:to>
      <xdr:col>10</xdr:col>
      <xdr:colOff>188594</xdr:colOff>
      <xdr:row>70</xdr:row>
      <xdr:rowOff>47625</xdr:rowOff>
    </xdr:to>
    <xdr:sp macro="" textlink="">
      <xdr:nvSpPr>
        <xdr:cNvPr id="13" name="Rectángulo 12">
          <a:extLst>
            <a:ext uri="{FF2B5EF4-FFF2-40B4-BE49-F238E27FC236}">
              <a16:creationId xmlns:a16="http://schemas.microsoft.com/office/drawing/2014/main" id="{00000000-0008-0000-0500-00000D000000}"/>
            </a:ext>
          </a:extLst>
        </xdr:cNvPr>
        <xdr:cNvSpPr/>
      </xdr:nvSpPr>
      <xdr:spPr>
        <a:xfrm>
          <a:off x="13011150" y="20145375"/>
          <a:ext cx="45719" cy="762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457754</xdr:colOff>
      <xdr:row>66</xdr:row>
      <xdr:rowOff>38930</xdr:rowOff>
    </xdr:from>
    <xdr:to>
      <xdr:col>13</xdr:col>
      <xdr:colOff>1238250</xdr:colOff>
      <xdr:row>70</xdr:row>
      <xdr:rowOff>96311</xdr:rowOff>
    </xdr:to>
    <xdr:grpSp>
      <xdr:nvGrpSpPr>
        <xdr:cNvPr id="14" name="Grupo 13">
          <a:extLst>
            <a:ext uri="{FF2B5EF4-FFF2-40B4-BE49-F238E27FC236}">
              <a16:creationId xmlns:a16="http://schemas.microsoft.com/office/drawing/2014/main" id="{00000000-0008-0000-0500-00000E000000}"/>
            </a:ext>
          </a:extLst>
        </xdr:cNvPr>
        <xdr:cNvGrpSpPr/>
      </xdr:nvGrpSpPr>
      <xdr:grpSpPr>
        <a:xfrm>
          <a:off x="10049429" y="18955580"/>
          <a:ext cx="6257371" cy="1314681"/>
          <a:chOff x="10078004" y="18898430"/>
          <a:chExt cx="6264175" cy="1309238"/>
        </a:xfrm>
      </xdr:grpSpPr>
      <xdr:pic>
        <xdr:nvPicPr>
          <xdr:cNvPr id="15" name="Imagen 14">
            <a:extLst>
              <a:ext uri="{FF2B5EF4-FFF2-40B4-BE49-F238E27FC236}">
                <a16:creationId xmlns:a16="http://schemas.microsoft.com/office/drawing/2014/main" id="{00000000-0008-0000-0500-00000F000000}"/>
              </a:ext>
            </a:extLst>
          </xdr:cNvPr>
          <xdr:cNvPicPr>
            <a:picLocks noChangeAspect="1"/>
          </xdr:cNvPicPr>
        </xdr:nvPicPr>
        <xdr:blipFill rotWithShape="1">
          <a:blip xmlns:r="http://schemas.openxmlformats.org/officeDocument/2006/relationships" r:embed="rId3"/>
          <a:srcRect l="88188"/>
          <a:stretch/>
        </xdr:blipFill>
        <xdr:spPr>
          <a:xfrm>
            <a:off x="10078004" y="19028403"/>
            <a:ext cx="2733052" cy="1039875"/>
          </a:xfrm>
          <a:prstGeom prst="rect">
            <a:avLst/>
          </a:prstGeom>
        </xdr:spPr>
      </xdr:pic>
      <xdr:pic>
        <xdr:nvPicPr>
          <xdr:cNvPr id="16" name="Imagen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4"/>
          <a:stretch>
            <a:fillRect/>
          </a:stretch>
        </xdr:blipFill>
        <xdr:spPr>
          <a:xfrm>
            <a:off x="13511893" y="18898430"/>
            <a:ext cx="2830286" cy="1309238"/>
          </a:xfrm>
          <a:prstGeom prst="rect">
            <a:avLst/>
          </a:prstGeom>
        </xdr:spPr>
      </xdr:pic>
    </xdr:grpSp>
    <xdr:clientData/>
  </xdr:twoCellAnchor>
  <xdr:twoCellAnchor>
    <xdr:from>
      <xdr:col>30</xdr:col>
      <xdr:colOff>465174</xdr:colOff>
      <xdr:row>18</xdr:row>
      <xdr:rowOff>297933</xdr:rowOff>
    </xdr:from>
    <xdr:to>
      <xdr:col>33</xdr:col>
      <xdr:colOff>491576</xdr:colOff>
      <xdr:row>31</xdr:row>
      <xdr:rowOff>293964</xdr:rowOff>
    </xdr:to>
    <xdr:grpSp>
      <xdr:nvGrpSpPr>
        <xdr:cNvPr id="17" name="Grupo 16">
          <a:extLst>
            <a:ext uri="{FF2B5EF4-FFF2-40B4-BE49-F238E27FC236}">
              <a16:creationId xmlns:a16="http://schemas.microsoft.com/office/drawing/2014/main" id="{00000000-0008-0000-0500-000011000000}"/>
            </a:ext>
          </a:extLst>
        </xdr:cNvPr>
        <xdr:cNvGrpSpPr/>
      </xdr:nvGrpSpPr>
      <xdr:grpSpPr>
        <a:xfrm>
          <a:off x="32364399" y="4565133"/>
          <a:ext cx="2312402" cy="3834606"/>
          <a:chOff x="14249193" y="3714750"/>
          <a:chExt cx="2312401" cy="3840956"/>
        </a:xfrm>
      </xdr:grpSpPr>
      <xdr:sp macro="" textlink="">
        <xdr:nvSpPr>
          <xdr:cNvPr id="18" name="Rectángulo redondeado 4">
            <a:extLst>
              <a:ext uri="{FF2B5EF4-FFF2-40B4-BE49-F238E27FC236}">
                <a16:creationId xmlns:a16="http://schemas.microsoft.com/office/drawing/2014/main" id="{00000000-0008-0000-0500-000012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19" name="Cilindro 18">
            <a:extLst>
              <a:ext uri="{FF2B5EF4-FFF2-40B4-BE49-F238E27FC236}">
                <a16:creationId xmlns:a16="http://schemas.microsoft.com/office/drawing/2014/main" id="{00000000-0008-0000-0500-000013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xdr:from>
      <xdr:col>26</xdr:col>
      <xdr:colOff>686687</xdr:colOff>
      <xdr:row>19</xdr:row>
      <xdr:rowOff>22152</xdr:rowOff>
    </xdr:from>
    <xdr:to>
      <xdr:col>29</xdr:col>
      <xdr:colOff>742992</xdr:colOff>
      <xdr:row>32</xdr:row>
      <xdr:rowOff>25197</xdr:rowOff>
    </xdr:to>
    <xdr:grpSp>
      <xdr:nvGrpSpPr>
        <xdr:cNvPr id="20" name="Grupo 19">
          <a:extLst>
            <a:ext uri="{FF2B5EF4-FFF2-40B4-BE49-F238E27FC236}">
              <a16:creationId xmlns:a16="http://schemas.microsoft.com/office/drawing/2014/main" id="{00000000-0008-0000-0500-000014000000}"/>
            </a:ext>
          </a:extLst>
        </xdr:cNvPr>
        <xdr:cNvGrpSpPr/>
      </xdr:nvGrpSpPr>
      <xdr:grpSpPr>
        <a:xfrm>
          <a:off x="29537912" y="4603677"/>
          <a:ext cx="2342305" cy="3841620"/>
          <a:chOff x="14249193" y="3714750"/>
          <a:chExt cx="2312401" cy="3840956"/>
        </a:xfrm>
      </xdr:grpSpPr>
      <xdr:sp macro="" textlink="">
        <xdr:nvSpPr>
          <xdr:cNvPr id="21" name="Rectángulo redondeado 4">
            <a:extLst>
              <a:ext uri="{FF2B5EF4-FFF2-40B4-BE49-F238E27FC236}">
                <a16:creationId xmlns:a16="http://schemas.microsoft.com/office/drawing/2014/main" id="{00000000-0008-0000-0500-000015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2" name="Cilindro 21">
            <a:extLst>
              <a:ext uri="{FF2B5EF4-FFF2-40B4-BE49-F238E27FC236}">
                <a16:creationId xmlns:a16="http://schemas.microsoft.com/office/drawing/2014/main" id="{00000000-0008-0000-0500-000016000000}"/>
              </a:ext>
            </a:extLst>
          </xdr:cNvPr>
          <xdr:cNvSpPr/>
        </xdr:nvSpPr>
        <xdr:spPr>
          <a:xfrm>
            <a:off x="14335124" y="4193382"/>
            <a:ext cx="2131218"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8</xdr:col>
      <xdr:colOff>0</xdr:colOff>
      <xdr:row>94</xdr:row>
      <xdr:rowOff>0</xdr:rowOff>
    </xdr:from>
    <xdr:to>
      <xdr:col>13</xdr:col>
      <xdr:colOff>783552</xdr:colOff>
      <xdr:row>102</xdr:row>
      <xdr:rowOff>113325</xdr:rowOff>
    </xdr:to>
    <xdr:pic>
      <xdr:nvPicPr>
        <xdr:cNvPr id="23" name="Imagen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5"/>
        <a:stretch>
          <a:fillRect/>
        </a:stretch>
      </xdr:blipFill>
      <xdr:spPr>
        <a:xfrm>
          <a:off x="9591675" y="25050750"/>
          <a:ext cx="6260427" cy="1332525"/>
        </a:xfrm>
        <a:prstGeom prst="rect">
          <a:avLst/>
        </a:prstGeom>
      </xdr:spPr>
    </xdr:pic>
    <xdr:clientData/>
  </xdr:twoCellAnchor>
  <xdr:twoCellAnchor>
    <xdr:from>
      <xdr:col>6</xdr:col>
      <xdr:colOff>273652</xdr:colOff>
      <xdr:row>19</xdr:row>
      <xdr:rowOff>166564</xdr:rowOff>
    </xdr:from>
    <xdr:to>
      <xdr:col>6</xdr:col>
      <xdr:colOff>1345732</xdr:colOff>
      <xdr:row>19</xdr:row>
      <xdr:rowOff>202924</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24" name="Entrada de lápiz 23">
              <a:extLst>
                <a:ext uri="{FF2B5EF4-FFF2-40B4-BE49-F238E27FC236}">
                  <a16:creationId xmlns:a16="http://schemas.microsoft.com/office/drawing/2014/main" id="{00000000-0008-0000-0500-000018000000}"/>
                </a:ext>
              </a:extLst>
            </xdr14:cNvPr>
            <xdr14:cNvContentPartPr/>
          </xdr14:nvContentPartPr>
          <xdr14:nvPr macro=""/>
          <xdr14:xfrm>
            <a:off x="7114334" y="4694032"/>
            <a:ext cx="1072080" cy="36360"/>
          </xdr14:xfrm>
        </xdr:contentPart>
      </mc:Choice>
      <mc:Fallback xmlns="">
        <xdr:pic>
          <xdr:nvPicPr>
            <xdr:cNvPr id="24" name="Entrada de lápiz 23">
              <a:extLst>
                <a:ext uri="{FF2B5EF4-FFF2-40B4-BE49-F238E27FC236}">
                  <a16:creationId xmlns:a16="http://schemas.microsoft.com/office/drawing/2014/main" id="{00000000-0008-0000-2000-000027000000}"/>
                </a:ext>
              </a:extLst>
            </xdr:cNvPr>
            <xdr:cNvPicPr/>
          </xdr:nvPicPr>
          <xdr:blipFill>
            <a:blip xmlns:r="http://schemas.openxmlformats.org/officeDocument/2006/relationships" r:embed="rId7"/>
            <a:stretch>
              <a:fillRect/>
            </a:stretch>
          </xdr:blipFill>
          <xdr:spPr>
            <a:xfrm>
              <a:off x="7108214" y="4687912"/>
              <a:ext cx="1084320" cy="48600"/>
            </a:xfrm>
            <a:prstGeom prst="rect">
              <a:avLst/>
            </a:prstGeom>
          </xdr:spPr>
        </xdr:pic>
      </mc:Fallback>
    </mc:AlternateContent>
    <xdr:clientData/>
  </xdr:twoCellAnchor>
  <xdr:twoCellAnchor>
    <xdr:from>
      <xdr:col>11</xdr:col>
      <xdr:colOff>200065</xdr:colOff>
      <xdr:row>18</xdr:row>
      <xdr:rowOff>20484</xdr:rowOff>
    </xdr:from>
    <xdr:to>
      <xdr:col>11</xdr:col>
      <xdr:colOff>512097</xdr:colOff>
      <xdr:row>28</xdr:row>
      <xdr:rowOff>92178</xdr:rowOff>
    </xdr:to>
    <xdr:sp macro="" textlink="">
      <xdr:nvSpPr>
        <xdr:cNvPr id="7" name="Forma libre 6">
          <a:extLst>
            <a:ext uri="{FF2B5EF4-FFF2-40B4-BE49-F238E27FC236}">
              <a16:creationId xmlns:a16="http://schemas.microsoft.com/office/drawing/2014/main" id="{00000000-0008-0000-0500-000007000000}"/>
            </a:ext>
          </a:extLst>
        </xdr:cNvPr>
        <xdr:cNvSpPr/>
      </xdr:nvSpPr>
      <xdr:spPr>
        <a:xfrm>
          <a:off x="14364662" y="4332339"/>
          <a:ext cx="312032" cy="3000887"/>
        </a:xfrm>
        <a:custGeom>
          <a:avLst/>
          <a:gdLst>
            <a:gd name="connsiteX0" fmla="*/ 199370 w 312032"/>
            <a:gd name="connsiteY0" fmla="*/ 0 h 3011129"/>
            <a:gd name="connsiteX1" fmla="*/ 15015 w 312032"/>
            <a:gd name="connsiteY1" fmla="*/ 850080 h 3011129"/>
            <a:gd name="connsiteX2" fmla="*/ 117435 w 312032"/>
            <a:gd name="connsiteY2" fmla="*/ 1700161 h 3011129"/>
            <a:gd name="connsiteX3" fmla="*/ 4773 w 312032"/>
            <a:gd name="connsiteY3" fmla="*/ 2611693 h 3011129"/>
            <a:gd name="connsiteX4" fmla="*/ 312032 w 312032"/>
            <a:gd name="connsiteY4" fmla="*/ 3011129 h 301112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12032" h="3011129">
              <a:moveTo>
                <a:pt x="199370" y="0"/>
              </a:moveTo>
              <a:cubicBezTo>
                <a:pt x="114020" y="283360"/>
                <a:pt x="28671" y="566720"/>
                <a:pt x="15015" y="850080"/>
              </a:cubicBezTo>
              <a:cubicBezTo>
                <a:pt x="1359" y="1133440"/>
                <a:pt x="119142" y="1406559"/>
                <a:pt x="117435" y="1700161"/>
              </a:cubicBezTo>
              <a:cubicBezTo>
                <a:pt x="115728" y="1993763"/>
                <a:pt x="-27660" y="2393198"/>
                <a:pt x="4773" y="2611693"/>
              </a:cubicBezTo>
              <a:cubicBezTo>
                <a:pt x="37206" y="2830188"/>
                <a:pt x="174619" y="2920658"/>
                <a:pt x="312032" y="3011129"/>
              </a:cubicBezTo>
            </a:path>
          </a:pathLst>
        </a:custGeom>
        <a:noFill/>
        <a:ln w="12700">
          <a:solidFill>
            <a:schemeClr val="accent1">
              <a:lumMod val="50000"/>
            </a:schemeClr>
          </a:solid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clientData/>
  </xdr:twoCellAnchor>
  <xdr:twoCellAnchor>
    <xdr:from>
      <xdr:col>13</xdr:col>
      <xdr:colOff>1188065</xdr:colOff>
      <xdr:row>18</xdr:row>
      <xdr:rowOff>40968</xdr:rowOff>
    </xdr:from>
    <xdr:to>
      <xdr:col>13</xdr:col>
      <xdr:colOff>1413387</xdr:colOff>
      <xdr:row>27</xdr:row>
      <xdr:rowOff>297017</xdr:rowOff>
    </xdr:to>
    <xdr:sp macro="" textlink="">
      <xdr:nvSpPr>
        <xdr:cNvPr id="8" name="Forma libre 7">
          <a:extLst>
            <a:ext uri="{FF2B5EF4-FFF2-40B4-BE49-F238E27FC236}">
              <a16:creationId xmlns:a16="http://schemas.microsoft.com/office/drawing/2014/main" id="{00000000-0008-0000-0500-000008000000}"/>
            </a:ext>
          </a:extLst>
        </xdr:cNvPr>
        <xdr:cNvSpPr/>
      </xdr:nvSpPr>
      <xdr:spPr>
        <a:xfrm>
          <a:off x="16253952" y="4352823"/>
          <a:ext cx="225322" cy="2867742"/>
        </a:xfrm>
        <a:custGeom>
          <a:avLst/>
          <a:gdLst>
            <a:gd name="connsiteX0" fmla="*/ 0 w 225322"/>
            <a:gd name="connsiteY0" fmla="*/ 0 h 2867742"/>
            <a:gd name="connsiteX1" fmla="*/ 225322 w 225322"/>
            <a:gd name="connsiteY1" fmla="*/ 1403145 h 2867742"/>
            <a:gd name="connsiteX2" fmla="*/ 0 w 225322"/>
            <a:gd name="connsiteY2" fmla="*/ 2867742 h 2867742"/>
          </a:gdLst>
          <a:ahLst/>
          <a:cxnLst>
            <a:cxn ang="0">
              <a:pos x="connsiteX0" y="connsiteY0"/>
            </a:cxn>
            <a:cxn ang="0">
              <a:pos x="connsiteX1" y="connsiteY1"/>
            </a:cxn>
            <a:cxn ang="0">
              <a:pos x="connsiteX2" y="connsiteY2"/>
            </a:cxn>
          </a:cxnLst>
          <a:rect l="l" t="t" r="r" b="b"/>
          <a:pathLst>
            <a:path w="225322" h="2867742">
              <a:moveTo>
                <a:pt x="0" y="0"/>
              </a:moveTo>
              <a:cubicBezTo>
                <a:pt x="112661" y="462594"/>
                <a:pt x="225322" y="925188"/>
                <a:pt x="225322" y="1403145"/>
              </a:cubicBezTo>
              <a:cubicBezTo>
                <a:pt x="225322" y="1881102"/>
                <a:pt x="112661" y="2374422"/>
                <a:pt x="0" y="2867742"/>
              </a:cubicBezTo>
            </a:path>
          </a:pathLst>
        </a:custGeom>
        <a:noFill/>
        <a:ln w="12700">
          <a:solidFill>
            <a:schemeClr val="accent1">
              <a:lumMod val="50000"/>
            </a:schemeClr>
          </a:solid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clientData/>
  </xdr:twoCellAnchor>
  <xdr:twoCellAnchor>
    <xdr:from>
      <xdr:col>13</xdr:col>
      <xdr:colOff>756915</xdr:colOff>
      <xdr:row>21</xdr:row>
      <xdr:rowOff>75165</xdr:rowOff>
    </xdr:from>
    <xdr:to>
      <xdr:col>13</xdr:col>
      <xdr:colOff>884715</xdr:colOff>
      <xdr:row>23</xdr:row>
      <xdr:rowOff>131205</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31" name="Entrada de lápiz 30">
              <a:extLst>
                <a:ext uri="{FF2B5EF4-FFF2-40B4-BE49-F238E27FC236}">
                  <a16:creationId xmlns:a16="http://schemas.microsoft.com/office/drawing/2014/main" id="{00000000-0008-0000-0500-00001F000000}"/>
                </a:ext>
              </a:extLst>
            </xdr14:cNvPr>
            <xdr14:cNvContentPartPr/>
          </xdr14:nvContentPartPr>
          <xdr14:nvPr macro=""/>
          <xdr14:xfrm>
            <a:off x="15825465" y="5285340"/>
            <a:ext cx="127800" cy="437040"/>
          </xdr14:xfrm>
        </xdr:contentPart>
      </mc:Choice>
      <mc:Fallback xmlns="">
        <xdr:pic>
          <xdr:nvPicPr>
            <xdr:cNvPr id="31" name="Entrada de lápiz 30"/>
            <xdr:cNvPicPr/>
          </xdr:nvPicPr>
          <xdr:blipFill>
            <a:blip xmlns:r="http://schemas.openxmlformats.org/officeDocument/2006/relationships" r:embed="rId9"/>
            <a:stretch>
              <a:fillRect/>
            </a:stretch>
          </xdr:blipFill>
          <xdr:spPr>
            <a:xfrm>
              <a:off x="15818985" y="5278860"/>
              <a:ext cx="140760" cy="450000"/>
            </a:xfrm>
            <a:prstGeom prst="rect">
              <a:avLst/>
            </a:prstGeom>
          </xdr:spPr>
        </xdr:pic>
      </mc:Fallback>
    </mc:AlternateContent>
    <xdr:clientData/>
  </xdr:twoCellAnchor>
  <xdr:twoCellAnchor>
    <xdr:from>
      <xdr:col>11</xdr:col>
      <xdr:colOff>645150</xdr:colOff>
      <xdr:row>21</xdr:row>
      <xdr:rowOff>238245</xdr:rowOff>
    </xdr:from>
    <xdr:to>
      <xdr:col>11</xdr:col>
      <xdr:colOff>759270</xdr:colOff>
      <xdr:row>25</xdr:row>
      <xdr:rowOff>56595</xdr:rowOff>
    </xdr:to>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33" name="Entrada de lápiz 32">
              <a:extLst>
                <a:ext uri="{FF2B5EF4-FFF2-40B4-BE49-F238E27FC236}">
                  <a16:creationId xmlns:a16="http://schemas.microsoft.com/office/drawing/2014/main" id="{00000000-0008-0000-0500-000021000000}"/>
                </a:ext>
              </a:extLst>
            </xdr14:cNvPr>
            <xdr14:cNvContentPartPr/>
          </xdr14:nvContentPartPr>
          <xdr14:nvPr macro=""/>
          <xdr14:xfrm>
            <a:off x="14808825" y="5448420"/>
            <a:ext cx="114120" cy="828000"/>
          </xdr14:xfrm>
        </xdr:contentPart>
      </mc:Choice>
      <mc:Fallback xmlns="">
        <xdr:pic>
          <xdr:nvPicPr>
            <xdr:cNvPr id="33" name="Entrada de lápiz 32"/>
            <xdr:cNvPicPr/>
          </xdr:nvPicPr>
          <xdr:blipFill>
            <a:blip xmlns:r="http://schemas.openxmlformats.org/officeDocument/2006/relationships" r:embed="rId11"/>
            <a:stretch>
              <a:fillRect/>
            </a:stretch>
          </xdr:blipFill>
          <xdr:spPr>
            <a:xfrm>
              <a:off x="14802345" y="5441940"/>
              <a:ext cx="127080" cy="840960"/>
            </a:xfrm>
            <a:prstGeom prst="rect">
              <a:avLst/>
            </a:prstGeom>
          </xdr:spPr>
        </xdr:pic>
      </mc:Fallback>
    </mc:AlternateContent>
    <xdr:clientData/>
  </xdr:twoCellAnchor>
  <xdr:twoCellAnchor>
    <xdr:from>
      <xdr:col>13</xdr:col>
      <xdr:colOff>233115</xdr:colOff>
      <xdr:row>23</xdr:row>
      <xdr:rowOff>58125</xdr:rowOff>
    </xdr:from>
    <xdr:to>
      <xdr:col>13</xdr:col>
      <xdr:colOff>457395</xdr:colOff>
      <xdr:row>25</xdr:row>
      <xdr:rowOff>91155</xdr:rowOff>
    </xdr:to>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34" name="Entrada de lápiz 33">
              <a:extLst>
                <a:ext uri="{FF2B5EF4-FFF2-40B4-BE49-F238E27FC236}">
                  <a16:creationId xmlns:a16="http://schemas.microsoft.com/office/drawing/2014/main" id="{00000000-0008-0000-0500-000022000000}"/>
                </a:ext>
              </a:extLst>
            </xdr14:cNvPr>
            <xdr14:cNvContentPartPr/>
          </xdr14:nvContentPartPr>
          <xdr14:nvPr macro=""/>
          <xdr14:xfrm>
            <a:off x="15301665" y="5649300"/>
            <a:ext cx="224280" cy="661680"/>
          </xdr14:xfrm>
        </xdr:contentPart>
      </mc:Choice>
      <mc:Fallback xmlns="">
        <xdr:pic>
          <xdr:nvPicPr>
            <xdr:cNvPr id="34" name="Entrada de lápiz 33"/>
            <xdr:cNvPicPr/>
          </xdr:nvPicPr>
          <xdr:blipFill>
            <a:blip xmlns:r="http://schemas.openxmlformats.org/officeDocument/2006/relationships" r:embed="rId13"/>
            <a:stretch>
              <a:fillRect/>
            </a:stretch>
          </xdr:blipFill>
          <xdr:spPr>
            <a:xfrm>
              <a:off x="15295185" y="5642820"/>
              <a:ext cx="237240" cy="674640"/>
            </a:xfrm>
            <a:prstGeom prst="rect">
              <a:avLst/>
            </a:prstGeom>
          </xdr:spPr>
        </xdr:pic>
      </mc:Fallback>
    </mc:AlternateContent>
    <xdr:clientData/>
  </xdr:twoCellAnchor>
  <xdr:twoCellAnchor>
    <xdr:from>
      <xdr:col>13</xdr:col>
      <xdr:colOff>836115</xdr:colOff>
      <xdr:row>24</xdr:row>
      <xdr:rowOff>169680</xdr:rowOff>
    </xdr:from>
    <xdr:to>
      <xdr:col>13</xdr:col>
      <xdr:colOff>891555</xdr:colOff>
      <xdr:row>25</xdr:row>
      <xdr:rowOff>191595</xdr:rowOff>
    </xdr:to>
    <mc:AlternateContent xmlns:mc="http://schemas.openxmlformats.org/markup-compatibility/2006" xmlns:xdr14="http://schemas.microsoft.com/office/excel/2010/spreadsheetDrawing">
      <mc:Choice Requires="xdr14">
        <xdr:contentPart xmlns:r="http://schemas.openxmlformats.org/officeDocument/2006/relationships" r:id="rId14">
          <xdr14:nvContentPartPr>
            <xdr14:cNvPr id="36" name="Entrada de lápiz 35">
              <a:extLst>
                <a:ext uri="{FF2B5EF4-FFF2-40B4-BE49-F238E27FC236}">
                  <a16:creationId xmlns:a16="http://schemas.microsoft.com/office/drawing/2014/main" id="{00000000-0008-0000-0500-000024000000}"/>
                </a:ext>
              </a:extLst>
            </xdr14:cNvPr>
            <xdr14:cNvContentPartPr/>
          </xdr14:nvContentPartPr>
          <xdr14:nvPr macro=""/>
          <xdr14:xfrm>
            <a:off x="15904665" y="6075180"/>
            <a:ext cx="55440" cy="336240"/>
          </xdr14:xfrm>
        </xdr:contentPart>
      </mc:Choice>
      <mc:Fallback xmlns="">
        <xdr:pic>
          <xdr:nvPicPr>
            <xdr:cNvPr id="36" name="Entrada de lápiz 35"/>
            <xdr:cNvPicPr/>
          </xdr:nvPicPr>
          <xdr:blipFill>
            <a:blip xmlns:r="http://schemas.openxmlformats.org/officeDocument/2006/relationships" r:embed="rId15"/>
            <a:stretch>
              <a:fillRect/>
            </a:stretch>
          </xdr:blipFill>
          <xdr:spPr>
            <a:xfrm>
              <a:off x="15898185" y="6068700"/>
              <a:ext cx="68400" cy="349200"/>
            </a:xfrm>
            <a:prstGeom prst="rect">
              <a:avLst/>
            </a:prstGeom>
          </xdr:spPr>
        </xdr:pic>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ervidor\disco%20duro\irina\CLAS-BOG.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
      <sheetName val="Recipiente"/>
      <sheetName val="Guia rec."/>
      <sheetName val="MEZCLAS"/>
      <sheetName val="Módulo1"/>
      <sheetName val="Módulo11"/>
      <sheetName val="2-6"/>
      <sheetName val="LIMITE"/>
      <sheetName val="Hoja1"/>
      <sheetName val="Clasificado 1 1-2 "/>
      <sheetName val="CLAS-BOG"/>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0-16T20:31:09.020"/>
    </inkml:context>
    <inkml:brush xml:id="br0">
      <inkml:brushProperty name="width" value="0.025" units="cm"/>
      <inkml:brushProperty name="height" value="0.025" units="cm"/>
      <inkml:brushProperty name="color" value="#004F8B"/>
    </inkml:brush>
  </inkml:definitions>
  <inkml:traceGroup>
    <inkml:annotationXML>
      <emma:emma xmlns:emma="http://www.w3.org/2003/04/emma" version="1.0">
        <emma:interpretation id="{36C02B2F-E4A1-4FC9-9AD8-D72C715A57A0}" emma:medium="tactile" emma:mode="ink">
          <msink:context xmlns:msink="http://schemas.microsoft.com/ink/2010/main" type="inkDrawing"/>
        </emma:interpretation>
      </emma:emma>
    </inkml:annotationXML>
    <inkml:trace contextRef="#ctx0" brushRef="#br0">0 0 24575,'0'0'-8191</inkml:trace>
    <inkml:trace contextRef="#ctx0" brushRef="#br0">0 0 24575,'0'0'-8191</inkml:trace>
  </inkml:traceGroup>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0-17T20:47:18.806"/>
    </inkml:context>
    <inkml:brush xml:id="br0">
      <inkml:brushProperty name="width" value="0.025" units="cm"/>
      <inkml:brushProperty name="height" value="0.025" units="cm"/>
      <inkml:brushProperty name="color" value="#004F8B"/>
    </inkml:brush>
  </inkml:definitions>
  <inkml:traceGroup>
    <inkml:annotationXML>
      <emma:emma xmlns:emma="http://www.w3.org/2003/04/emma" version="1.0">
        <emma:interpretation id="{699A9389-4D3C-48DB-9539-0FBAE7CD7BF9}" emma:medium="tactile" emma:mode="ink">
          <msink:context xmlns:msink="http://schemas.microsoft.com/ink/2010/main" type="inkDrawing"/>
        </emma:interpretation>
      </emma:emma>
    </inkml:annotationXML>
    <inkml:trace contextRef="#ctx0" brushRef="#br0">-2147483648-2147483648 24575,'0'0'-8191</inkml:trace>
    <inkml:trace contextRef="#ctx0" brushRef="#br0" timeOffset="1">-2147483648-2147483648 24575,'0'0'-8191</inkml:trace>
  </inkml:traceGroup>
</inkml:ink>
</file>

<file path=xl/ink/ink3.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12:10.391"/>
    </inkml:context>
    <inkml:brush xml:id="br0">
      <inkml:brushProperty name="width" value="0.03528" units="cm"/>
      <inkml:brushProperty name="height" value="0.03528" units="cm"/>
      <inkml:brushProperty name="color" value="#2E75B5"/>
    </inkml:brush>
  </inkml:definitions>
  <inkml:traceGroup>
    <inkml:annotationXML>
      <emma:emma xmlns:emma="http://www.w3.org/2003/04/emma" version="1.0">
        <emma:interpretation id="{BB405CE2-C65A-4A4E-B0C9-29E84AE5BFEF}" emma:medium="tactile" emma:mode="ink">
          <msink:context xmlns:msink="http://schemas.microsoft.com/ink/2010/main" type="inkDrawing" rotatedBoundingBox="41768,12587 43816,20300 43460,20395 41411,12682" semanticType="callout" shapeName="Other">
            <msink:sourceLink direction="with" ref="{DC7D340A-60AD-4DCF-9D37-21BAED5717E2}"/>
          </msink:context>
        </emma:interpretation>
      </emma:emma>
    </inkml:annotationXML>
    <inkml:trace contextRef="#ctx0" brushRef="#br0">15 0 0,'0'0'0,"0"0"0,0 0 0,0 0 0,0 0 0,0 0 0,0 0 0,0 0 15,0 0-15,0 23 16,0 1 0,0 10-16,0 1 15,0 12-15,0 11 16,-7-12-16,7-11 15,-8 0-15,8-11 16,0-1-16,0 0 16,0-12-16,0 1 15,0 11-15,0 1 16,0-1 0,0 1-16,0 10 15,0 1-15,0-12 16,0-11-16,0 11 15,8 12-15,-8-12 16,7 24-16,1-12 16,-8 0-16,0-12 15,0 0-15,8 12 16,-1 0-16,1-12 16,0 1-16,0-1 15,7 0 1,1 0-16,0 0 15,-1 12-15,1 1 16,-1-13-16,0-1 16,1 2-16,-1-1 15,-7 1-15,0-1 16,-1-11-16,1-1 16,1 1-16,-2-12 15,1 0-15,7 0 16,1 0-16,-1 0 15,1 0-15,-9 0 16,-7 0-16,0 0 16,0 0-16,8 12 15,0-1-15,7 12 16,1 12-16,-1 0 31,1 12-31,7-13 16,-7 13-16,-1 11 15,-7-23-15,-8 35 16,0-23-16,-8-2 16,1-10-16,-1 1 15,8-13-15,0 0 16,0 1-16,0 10 16,8 13-16,-1 11 15,9 0-15,-9 0 0,1-11 16,0 11-1,-8-12-15,0 1 16,0-13-16,0 1 16,7 36-16,1-14 15,8-10-15,-1 11 16,9-12-16,-1-11 16,-7-11-16,-1-1 15,0-11-15,1 0 16,-1-1-16,8-11 15,-7 0-15,0 0 16,-1 0-16,1 0 16,-8 0-16,7 12 15,0 0 1,8 10-16,1 13 16,-1 0-16,16 36 15,-23-14-15,-9-10 16,-7 10-16,0-10 15,0-12-15,0 0 16,0-11-16,0-2 16,0-10-16,8 0 15,-8 23-15,8-12 16,7 12-16,8-1 16,0 1-1,1-11-15,-8 11 16,-1 0-16,-7-11 15,0-2-15,-1 13 16,1 0-16,0 0 16,-1-1-16,1 1 15,0 1-15,7-13 16,1 12-16,-1-1 16,1 1-16,0 0 15,-1 1 1,1-1-16,-1-1 15,-7-11-15,-1 1 16,1 11-16,0-12 16,-1 11-16,1 13 15,0 11-15,0-11 16,-1-1-16,1 1 16,0-12-16,-1-1 15,2-10-15,6-1 16,-7-11-1,0-1-15,0 1 16,-1 0-16,-7-12 16,8 11-16,-8-11 15,0 24-15,0-1 16,0 0-16,-8 12 16,8 0-16,-7 0 15,-1-1-15,8 1 16,0 0-16,0-11 15,0-1-15,8 1 16,-1-2-16,1 1 16,0-11-1,-1 11-15,1 1 16,0-1 0,7 1-1,-7 10-15,0 1 16,-8 12-16,0-12 15,0 11-15,-8 0 16,0 1-16,0-12 16,1-12-16,7 0 15,0 1-15,0-1 0,0-11 16,0-1-16,0-11 16,0 12-16,0 0 15,0-1-15,7 12 16,1 0-16,0-11 15,-8-12-15,8 12 16,-1-1-16,9 1 16,0 23-16,-1-11 15,-7-2-15,0-10 16,0-1 0,-1 25-16,9-13 15,-1 12-15,0 0 16,1-1-16,-1 1 15,1 0-15,0 1 16,-1 9-16,-7-9 31,0-1-31,0 0 0,-1-1 0,1 1 16,0 0-16,-8 0 16,0-11-16,0-13 15,0 1-15,0-12 16,0 22-1,0 13 1,0 1-16,0 10 16,0 0-1,0 1-15,0 12 0,0-14 16,0 14 0,0-12-16,0-13 15,0 13-15,0-12 16,-8 12-16,8-2 15,0-10-15,0-11 16,0-12-16,0-1 16,0-11-16,0 0 0,0 0 15,0 0-15,0 0 16,8 35 0,7 11-16,8 1 15,47 46-15,-8-23 16,-62-70-16</inkml:trace>
  </inkml:traceGroup>
</inkml:ink>
</file>

<file path=xl/ink/ink4.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13:41.584"/>
    </inkml:context>
    <inkml:brush xml:id="br0">
      <inkml:brushProperty name="width" value="0.03528" units="cm"/>
      <inkml:brushProperty name="height" value="0.03528" units="cm"/>
      <inkml:brushProperty name="color" value="#2E75B5"/>
    </inkml:brush>
  </inkml:definitions>
  <inkml:traceGroup>
    <inkml:annotationXML>
      <emma:emma xmlns:emma="http://www.w3.org/2003/04/emma" version="1.0">
        <emma:interpretation id="{F10FB809-92B8-4120-BE90-580E2CCA9681}" emma:medium="tactile" emma:mode="ink">
          <msink:context xmlns:msink="http://schemas.microsoft.com/ink/2010/main" type="writingRegion" rotatedBoundingBox="42393,17031 41228,17546 40712,16376 41877,15862"/>
        </emma:interpretation>
      </emma:emma>
    </inkml:annotationXML>
    <inkml:traceGroup>
      <inkml:annotationXML>
        <emma:emma xmlns:emma="http://www.w3.org/2003/04/emma" version="1.0">
          <emma:interpretation id="{667D6D18-D846-4ECD-B159-FAEFEC5286E5}" emma:medium="tactile" emma:mode="ink">
            <msink:context xmlns:msink="http://schemas.microsoft.com/ink/2010/main" type="paragraph" rotatedBoundingBox="42393,17031 41228,17546 40712,16376 41877,15862" alignmentLevel="1"/>
          </emma:interpretation>
        </emma:emma>
      </inkml:annotationXML>
      <inkml:traceGroup>
        <inkml:annotationXML>
          <emma:emma xmlns:emma="http://www.w3.org/2003/04/emma" version="1.0">
            <emma:interpretation id="{EA17DF25-9281-4BE6-8C0D-EA93E45BAC1F}" emma:medium="tactile" emma:mode="ink">
              <msink:context xmlns:msink="http://schemas.microsoft.com/ink/2010/main" type="line" rotatedBoundingBox="42393,17031 41228,17546 40712,16376 41877,15862"/>
            </emma:interpretation>
          </emma:emma>
        </inkml:annotationXML>
        <inkml:traceGroup>
          <inkml:annotationXML>
            <emma:emma xmlns:emma="http://www.w3.org/2003/04/emma" version="1.0">
              <emma:interpretation id="{66C0D686-709D-464A-8A28-8F1A485E8A98}" emma:medium="tactile" emma:mode="ink">
                <msink:context xmlns:msink="http://schemas.microsoft.com/ink/2010/main" type="inkWord" rotatedBoundingBox="42393,17031 41228,17546 40712,16376 41877,15862"/>
              </emma:interpretation>
              <emma:one-of disjunction-type="recognition" id="oneOf0">
                <emma:interpretation id="interp0" emma:lang="" emma:confidence="0">
                  <emma:literal>@</emma:literal>
                </emma:interpretation>
                <emma:interpretation id="interp1" emma:lang="" emma:confidence="0">
                  <emma:literal>a</emma:literal>
                </emma:interpretation>
                <emma:interpretation id="interp2" emma:lang="" emma:confidence="0">
                  <emma:literal>°</emma:literal>
                </emma:interpretation>
                <emma:interpretation id="interp3" emma:lang="" emma:confidence="0">
                  <emma:literal>e</emma:literal>
                </emma:interpretation>
                <emma:interpretation id="interp4" emma:lang="" emma:confidence="0">
                  <emma:literal>o</emma:literal>
                </emma:interpretation>
              </emma:one-of>
            </emma:emma>
          </inkml:annotationXML>
          <inkml:trace contextRef="#ctx0" brushRef="#br0">44 186 0,'0'14'0,"0"-6"16,0-1-16,0-7 15,0 0-15,0 0 16,0 0-16,0 0 16,0 0-16,0 0 15,0 0-15,-5 7 16,0 0-16,0 0 31,0 1-31,5-8 16,-4 13-16,-1 1 15,0 8-15,0-1 16,0 8-16,5-7 16,0-1-16,0 1 15,0-2-15,0 2 16,0-1-16,0 1 15,0-8 1,0 1-16,0-1 16,0-7-1,0 7-15,0 1 0,0-8 16,0-1-16,0 1 16,0-7-16,0 8 15,0-1-15,0 7 16,0 8-16,0-8 15,0-7-15,5 0 16,0 1-16,0-1 16,0 0-16,-1-7 15,1 0-15,0 0 16,5 7 0,-5-7-16,0 0 15,4 0-15,-4 0 16,5 0-16,-5 0 15,-1 0-15,6 0 16,-5 0-16,0 7 16,4 0-16,1 1 15,0-1-15,-1 0 16,1 0-16,0-1 16,0 2-16,-1-1 15,-4 0-15,5 7 16,-5 1-16,-1-1 15,1 0-15,0 1 16,0-1 0,0 0-16,0 8 15,-1-1-15,-4 0 16,0 1-16,-4-1 16,-1 1-16,0-1 15,0-6-15,0-1 16,0 0-16,1 1 15,-6-2-15,5 1 16,0 1-16,0-8 16,1 0-16,4-7 15,0 0-15,0 0 16,0 0-16,0 0 16,0 0-16,0 0 15,0 0-15,0 0 16,0 0-16,0 0 15,0 0-15,0 0 16,0 0-16,0 0 16,0 0-1,0 0-15,0 0 16,4 7 0,1 0-16,-5-7 15,5 0-15,5 8 16,4-1-16,1-7 15,-1 0-15,-9 0 16,5 0-16,4 0 16,1 0-16,-5 0 15,4 0-15,1 0 16,-6 0-16,1 0 16,0 0-16,-1 0 15,1 0-15,0 0 16,-1 0-16,-4 0 15,5 0-15,-5 0 16,4 0 0,-4 0-16,5 0 15,-5 0-15,4 0 16,-4 0-16,5 0 16,0 0-16,-1 0 15,1 0-15,-5 0 16,4 0-16,1 0 15,5-7-15,-1-8 16,-4 1-16,0 7 16,-6 0-16,1-15 15,0 9 1,0-2-16,0 1 16,-5 0-16,0-1 15,5-14-15,-1 1 16,6-1-16,0 1 15,-1 7-15,1-1 16,0 1-16,-1-1 16,1 8-16,0-1 15,-5 8-15,0 0 16,-1 0-16,1 0 16,-5 7-16,0 0 15,0 0-15,0 0 16,5-7-16,-5 7 15,0 0-15,0 0 16,5-8-16,0 2 16,0-1-1,-1 0-15,1 0 16,0-1-16,0 1 16,0 0-16,0 0 15,-1 0-15,1-8 16,0 1-16,5 0 15,-5-8-15,-1 1 16,1 6-16,0 2 31,0-2-31,0 1 16,0-7-16,0-1 16,-1 0-16,1 1 15,-5-1-15,0 8 16,0-7-16,0 7 15,0 0-15,0 7 16,0-1 0,0 1-16,0 7 15,0-7-15,-5 0 16,5 7-16,-4-7 16,4 7-16,-5-8 15,0 1-15,0 0 16,5 7-16,0 0 15,-5-7-15,5 7 16,0 0-16,-5 0 16,0 0-16,1 0 15,-1 0 1,0 0-16,0 0 16,0 0-16,0 0 15,1 0-15,-1 0 16,-10-29-16,1 2 15,-1 5-15,6 8 16,-1-1-16,0 1 16,5 7-16,5 7 15,-5-7-15,1-1 16,-1 1-16,0 0 16,0 0-16,0 0 15,0-1 1,5 8-16,0 0 15,0 0-15,0 0 16,0 0-16,-4 0 16,4 0-16,-10 8 15,-9 6-15,-1 0 16,1 8-16,4-8 16,1 1-16,4-1 15,0-7-15,6 0 16,-1 1-16,0-8 15,5 0-15,-5 0 16,5 0 0,0 0-16,-5 0 15,5 0-15,0 0 16,-5 0-16,1-8 16,-1 1-16,-5-7 15,0-1-15,1 1 16,-1 0-16,0-1 15,1 1-15,-1 0 16,0-1-16,1 1 16,-1 0-16,0 0 15,1 0-15,-1-8 16,5 8 0,0 7-16,5 7 15,0 0-15,0 0 16,0 0-16,-5-7 15,1-1-15,4 8 16,0 0-16,0 0 16,0 0-16,-5 0 15,-5 0-15,0 0 16,1 0-16,-1 0 16,0 0-16,1 0 15,4 0-15,0 0 16,0 0-16,0 0 15,0 0-15,1 8 16,-1-1-16,0 0 16,0 7-16,-5 1 15,1-1-15,-1 0 16,0 7-16,1 0 16,-1 1-16,-5 0 15,6-1-15,4-7 16,0 1-1,0-8-15,-4 7 16,-11 7-16,-4 8 16,5-1-16,9-21 15,10-7-15</inkml:trace>
        </inkml:traceGroup>
      </inkml:traceGroup>
    </inkml:traceGroup>
  </inkml:traceGroup>
</inkml:ink>
</file>

<file path=xl/ink/ink5.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15:01.032"/>
    </inkml:context>
    <inkml:brush xml:id="br0">
      <inkml:brushProperty name="width" value="0.03528" units="cm"/>
      <inkml:brushProperty name="height" value="0.03528" units="cm"/>
      <inkml:brushProperty name="color" value="#2E75B5"/>
    </inkml:brush>
  </inkml:definitions>
  <inkml:traceGroup>
    <inkml:annotationXML>
      <emma:emma xmlns:emma="http://www.w3.org/2003/04/emma" version="1.0">
        <emma:interpretation id="{8C78BD40-762E-448D-A654-A8A4794CE836}" emma:medium="tactile" emma:mode="ink">
          <msink:context xmlns:msink="http://schemas.microsoft.com/ink/2010/main" type="writingRegion" rotatedBoundingBox="36454,14101 36441,12466 37386,12458 37400,14093"/>
        </emma:interpretation>
      </emma:emma>
    </inkml:annotationXML>
    <inkml:traceGroup>
      <inkml:annotationXML>
        <emma:emma xmlns:emma="http://www.w3.org/2003/04/emma" version="1.0">
          <emma:interpretation id="{35950E2E-E657-4501-8439-111ACA2E2BA9}" emma:medium="tactile" emma:mode="ink">
            <msink:context xmlns:msink="http://schemas.microsoft.com/ink/2010/main" type="paragraph" rotatedBoundingBox="36454,14101 36441,12466 37386,12458 37400,14093" alignmentLevel="1"/>
          </emma:interpretation>
        </emma:emma>
      </inkml:annotationXML>
      <inkml:traceGroup>
        <inkml:annotationXML>
          <emma:emma xmlns:emma="http://www.w3.org/2003/04/emma" version="1.0">
            <emma:interpretation id="{47DDB9B5-72A1-49A1-A137-107F870F273E}" emma:medium="tactile" emma:mode="ink">
              <msink:context xmlns:msink="http://schemas.microsoft.com/ink/2010/main" type="line" rotatedBoundingBox="36454,14101 36441,12466 37386,12458 37400,14093"/>
            </emma:interpretation>
          </emma:emma>
        </inkml:annotationXML>
        <inkml:traceGroup>
          <inkml:annotationXML>
            <emma:emma xmlns:emma="http://www.w3.org/2003/04/emma" version="1.0">
              <emma:interpretation id="{DC7D340A-60AD-4DCF-9D37-21BAED5717E2}" emma:medium="tactile" emma:mode="ink">
                <msink:context xmlns:msink="http://schemas.microsoft.com/ink/2010/main" type="inkWord" rotatedBoundingBox="36454,14101 36441,12466 37386,12458 37400,14093">
                  <msink:destinationLink direction="with" ref="{BB405CE2-C65A-4A4E-B0C9-29E84AE5BFEF}"/>
                </msink:context>
              </emma:interpretation>
              <emma:one-of disjunction-type="recognition" id="oneOf0">
                <emma:interpretation id="interp0" emma:lang="" emma:confidence="0">
                  <emma:literal>@</emma:literal>
                </emma:interpretation>
                <emma:interpretation id="interp1" emma:lang="" emma:confidence="0">
                  <emma:literal>A</emma:literal>
                </emma:interpretation>
                <emma:interpretation id="interp2" emma:lang="" emma:confidence="0">
                  <emma:literal>o</emma:literal>
                </emma:interpretation>
                <emma:interpretation id="interp3" emma:lang="" emma:confidence="0">
                  <emma:literal>B</emma:literal>
                </emma:interpretation>
                <emma:interpretation id="interp4" emma:lang="" emma:confidence="0">
                  <emma:literal>M</emma:literal>
                </emma:interpretation>
              </emma:one-of>
            </emma:emma>
          </inkml:annotationXML>
          <inkml:trace contextRef="#ctx0" brushRef="#br0">553 613 0,'0'0'0,"0"0"16,0 0-16,0 0 15,0 0-15,0 0 16,0 0-16,0 0 16,0 0-16,0 0 15,0 0-15,0 0 16,0 0-16,0 0 16,0 0-16,0 0 15,0 0-15,0 0 16,0 0-1,0 0-15,0 0 16,0 0-16,0 0 16,0 0-16,0 0 15,0 13-15,0 8 16,0 13-16,0-7 16,0 0-16,0-1 15,6 14-15,0-6 16,5 0-16,1 0 15,0-7 1,-1 0-16,-5-14 16,0 0-16,0-6 15,0 0-15,0 0 16,-1-1-16,1-6 16,0 0-16,0 0 15,6 0-15,-1 0 31,1 0-31,-6 0 16,5 0-16,-5 0 16,-6 0-16,0 0 15,0 0-15,0 0 16,0 0-16,6 0 16,-6 0-16,6 7 15,0 0-15,-6-7 0,5 7 16,1 6-16,-6 8 15,0-1 1,0 0-16,-6 7 16,1 0-16,-1-7 15,0 7-15,0 0 16,0-7-16,0 1 16,1-8-16,-1 1 15,0-1-15,0 1 16,0-1-16,1 14 15,5-7-15,0-7 16,0-6 0,0-7-16,0 0 15,0 0-15,-6 7 16,6-7-16,0 0 16,-6 6-16,0 1 15,0 0-15,0 0 16,6-7-16,-5 7 15,-13-1-15,1 1 16,-1 0-16,12 0 16,-5-1-16,-1 1 15,0-7 1,1 0-16,-7 0 16,7 0-16,-1 0 15,0 0-15,1 0 16,-1 0-16,0-7 15,1 7-15,-1 0 16,6 0-16,0 0 16,1 0-16,-1-6 15,0-1-15,0 0 16,0 0-16,0 1 16,1-1-1,-1 0-15,0 0 16,0 0-16,0 1 15,0-8-15,1 7 16,-1-5-16,0-2 16,0 1-16,0-1 15,0 1-15,1-1 16,5 7-16,0 1 16,-6-1-16,0 0 15,0-6-15,6 6 31,-6-7-31,6 7 16,-5-6-16,5 6 16,-6-13-16,6 6 15,0 1-15,0 6 16,0 1-16,0-1 16,0 1-16,-6-1 15,0-13-15,0 6 16,0 0-16,-5-6 15,-7-7-15,1 7 16,5-1-16,6 1 16,0 7-1,1 6-15,-1 0 16,0 1-16,0-1 16,0 1-16,1-8 15,-1-6-15,-6-1 16,0-6-16,1 0 15,-1 7-15,0 0 16,1-7-16,-1 6 16,1 2-16,-1-1 15,6-1-15,0 8 16,0 6-16,1 0 16,-1-6-16,6-1 15,0 1-15,0-8 16,0 1-16,0 0 15,0-1-15,0-5 16,0 6-16,0-7 16,6 0-1,-1 6-15,1 1 16,0 0-16,0-1 16,0 8-16,0-1 15,-1 2-15,1-2 16,0-6-16,0 6 15,-6 8-15,6-1 16,5-7-16,1 1 16,-6 6-16,5 0 15,13 1-15,-7-8 16,1 7-16,-7 0 16,1 1-1,0-1-15,-1-7 16,1-6-16,0 6 0,-1 1 15,7 0-15,-1 0 16,1-1-16,-1 1 16,6-1-16,1 7 15,-7 1-15,1-1 16,-1 0-16,1 7 16,-7 0-16,1 0 31,0-7-31,-1 1 15,1 6-15,-12 0 16,6 0-16,0 0 16,-6 0-16,0 0 15,0 0-15,0 0 16,0 0-16,0 0 16,0 0-1,0 0-15,0 0 16,0 0-16,0 0 15,0 0-15,0 0 16,0 0-16,0 0 16,0 0-16,0 0 15,0 0-15,0 0 16,0 0-16,0 0 16,0 0-16,0 0 15,5 6-15,-5-6 16,0 0-1,0 0-15,0 0 16,0 7-16,0 0 16,0 13-16,0-6 15,0-1-15,0 1 16,0-1-16,0 0 16,0 0-16,0-6 15,6 0-15,0 0 16,0 0-16,0-1 15,0-6-15,-1 0 0,1 0 16,0 0 0,-6 0-16,6 0 15,0 7-15,-1 0 16,1 0-16,-6-7 16,0 0-16,6 0 15,0 0 1,0 0-16,0 0 15,-1 0-15,1 0 16,0 0-16,0 0 16,0 0-16,0 0 15,-1 0-15,1 6 16,0 1-16,0 0 16,0 0-1,0 0-15,-1-1 0,1 1 16,0 0-16,0 0 15,0-1 1,-1 8-16,1-7 16,0-1-16,-6-6 0,6 7 15,-6-7 1,0 0-16,0 7 16,0 0-16,0 0 15,0-1-15,0 1 16,0 0-16,0-1 15,-6 0-15,0 1 16,0 0-16,1 0 16,-1-1-16,0 1 15,0 0-15,0 0 16,1 0-16,-1-1 16,0 1-1,0 0-15,0 0 16,6-7-16,0 0 15,0 0-15,0 0 16,0 0-16,-6 6 16,6-6-16,0 0 15,0 0-15,0 0 16,0 0-16,0 0 16,0 0-16,0 0 15,0 0-15,0 0 16,0 0-1,0 0 1,0 0-16,0 0 16,0 0-16,0 0 15,0 0-15,0 0 0,0 0 16,0 0 0,0 0-16,0 0 0,-5 7 15,5-7 1,0 7-16,0-7 15,0 7-15,0 0 16,0-1-16,0 1 16,0 0-16,0 0 15,0 13-15,0-7 16,0 1-16,0-7 16,0-1-16,0-6 15,0 6-15,0-6 16,0 0-16,0 0 15,0 0-15,0 0 16,0 0 0,0 0-16,0 0 15,0 0-15,0 0 16,0 0-16,0 0 16,-6 14-16,6-7 15,0-7-15,0 0 16,-6 6-16,0 1 15,0 0-15,0 0 16,6-7-16,-5 0 16,-1 0-1,-6 7-15,6-7 16,0 0-16,1 0 16,-7 0-16,6 0 15,0 0-15,1 0 16,-1 6-16,6-6 15,0 0-15,-6 0 16,6 0-16,0 0 16,0 0-16,0 0 15,0 0 1,0 0-16,0 0 16,0 0-16,0 0 15,0 0-15,0 0 16,0 0-16,0 0 15,0 0-15,0 0 16,0 0-16,0 0 16,0 0-16,0 0 15,0 0-15,0 0 16,0 0-16,0 0 16,0 0-16,0 0 15,0 0 1,0 0-16,0 0 15,0 0-15,0 0 16,0 0-16,0 0 16,0 0-16,0 0 15,0 0-15,0 0 16,0 0-16,0 0 16,0 0-16,0 0 15,0 0-15,0 0 16,0 0-16,0 0 15,0 0 1</inkml:trace>
        </inkml:traceGroup>
      </inkml:traceGroup>
    </inkml:traceGroup>
  </inkml:traceGroup>
</inkml:ink>
</file>

<file path=xl/ink/ink6.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17:25.043"/>
    </inkml:context>
    <inkml:brush xml:id="br0">
      <inkml:brushProperty name="width" value="0.03528" units="cm"/>
      <inkml:brushProperty name="height" value="0.03528" units="cm"/>
      <inkml:brushProperty name="color" value="#2E75B5"/>
    </inkml:brush>
  </inkml:definitions>
  <inkml:trace contextRef="#ctx0" brushRef="#br0">0 282 0,'0'0'16,"0"0"-16,0 0 15,0 0-15,0 0 16,0 0-16,0 0 15,0 0-15,0 0 16,0 0-16,0 0 16,0 0-16,0 0 15,0 0 1,0 0-16,4 7 16,-4 0-16,4 8 15,0 12-15,-4-6 16,4 1-16,0-1 15,-1 0-15,1 1 0,-4 5 16,4 2 0,0 13-16,0-13 0,4-2 15,-4-6-15,4 1 16,-4-8-16,0 0 16,0-7-1,0 0-15,-4-7 0,0 0 16,3 8-1,-3-8-15,0 0 16,0 0-16,0 0 16,4 7-16,-4-7 15,4 6-15,0 1 16,0 0-16,0 0 31,4 0-31,-4 0 16,4 0-16,0 0 15,3 1-15,-3-1 16,4 0-16,0 7 16,3 0-16,1 0 15,-8 0-15,0-7 0,-4 0 16,0 0-16,0 0 16,0 0-16,-4-7 15,3 14-15,-3-14 16,4 8-16,-4-8 15,4 0-15,0 0 16,0 0-16,4 0 31,-4 0-31,4 0 16,0-8-16,-1 1 16,1-7-16,0 0 15,4-6-15,-4-2 16,0 8-16,-4 7 15,0 0-15,-1 0 16,1 0-16,-4 7 16,0 0-16,0 0 15,0 0-15,0 0 16,0 0-16,0 0 16,0 0-16,0-22 15,-4 1-15,4 7 16,-3 1-1,-1-2-15,0 1 16,0 0-16,0 0 16,0-1-16,4 8 15,-4 0-15,0-7 16,0 0-16,4 1 16,0-2-16,0 1 15,0 0-15,0 0 16,0 0-16,0-8 15,0 8-15,0-6 16,4-2-16,0-13 16,0 13-1,0 8-15,0 7 16,0 0-16,-4 7 16,0 0-16,0 0 0,0 0 15,0 0-15,0 0 16,0 0-16,0 0 15,0-7 1,0 1-16,0-1 16,-4 0-16,0-8 15,0 1-15,0 7 16,0 0-16,0-7 16,0 7-16,0 0 15,0-1-15,0 1 16,-3-7-16,3 7 15,0-13-15,0 5 16,0 8-16,0-7 16,4 7-1,0 0-15,0 0 16,0 7-16,0 0 16,0-7-16,0 7 15,0-15-15,0 15 16,0 0-16,0 0 15,0 0-15,0 0 16,0 0-16,0 0 16,0 0-16,0-7 15,0 7 1,0 0-16,0 0 16,0-14-16,0 7 15,0 7-15,0 0 16,0 0-16,-4-6 15,0-1-15,0 0 16,0 0-16,-4 0 16,1-1-16,-1 1 15,0 0-15,0 0 16,-4 0-16,4 7 16,1 0-1,-1 0-15,0 0 16,0 0-16,0 0 15,0 0-15,0 0 16,4 0-16,-3 0 31,3 0-31,0 7 16,0 0-16,0 0 16,0-7-16,0 7 15,0 1-15,0-1 16,4-7-16,-4 7 15,0 0-15,4-7 0,0 0 16,-4 7-16,1-1 16,-1 1-16,4-7 15,0 0-15,0 0 16,-4 7 0,4-7-16,-4 7 15,4-7-15,-4 7 16,0 8-16,0-8 15,0 0-15,4 0 16,0-7-16,0 7 16,0-7-16,0 7 15,0-7-15,0 7 16,0 0-16,0 1 16,0-8-16,0 14 15,0-1-15,0-6 16,0 0-16,0 0 15,0 0-15,0-7 16,0 0-16,0 0 16,0 0-16,0 0 15,0 0 1,0 0-16,0 0 16,0 0-16,0 8 15,0-8-15,0 7 16,0-7-16,0 0 15,0 0-15,0 7 16,0-7-16,0 0 31,0 7-31,0-7 16,0 0-16,0 7 16,0-7-16,0 0 15,0 7-15,0 0 16,-4 0-16,4-7 15,0 7-15,-4 0 16,4-7-16,-4 8 16,4-8-16,0 0 15,0 0-15,0 0 16,-4 7-16,4-7 16,0 0-16,0 0 15,0 7-15,-4-1 16,0 1-16,1 0 15,3-7 1,-4 7-16,4-7 16</inkml:trace>
</inkml:ink>
</file>

<file path=xl/ink/ink7.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20:18.672"/>
    </inkml:context>
    <inkml:brush xml:id="br0">
      <inkml:brushProperty name="width" value="0.03528" units="cm"/>
      <inkml:brushProperty name="height" value="0.03528" units="cm"/>
      <inkml:brushProperty name="color" value="#2E75B5"/>
    </inkml:brush>
  </inkml:definitions>
  <inkml:trace contextRef="#ctx0" brushRef="#br0">72 749 0,'0'0'16,"0"5"-16,-2 0 16,-1-3-16,1 5 15,-1-2-15,1-3 16,0 1-16,-1-1 16,1 3-16,-1 4 15,1 3 1,2-2-1,-2 2-15,-3 2 16,-5 1-16,3 2 16,-2 0-16,1-3 15,4-4-15,1-1 16,3 1-16,0-1 16,3 5-1,-1 1-15,0-4 16,-2 4-16,0-3 15,0 0-15,0-3 16,0 1-16,0-3 16,0 5-16,3-1 15,-3-3-15,2 1 16,3 1-16,0-3 16,-1 0-16,1 2 15,-2-2-15,-1-2 16,-2 0-1,0-3-15,0 1 16,0-1-16,0 1 16,0-1-16,2 5 15,-2-2-15,3 0 16,-1-1-16,1 1 16,-1 0-16,0 0 15,1-2 1,2 4-16,-1 1 15,1-1-15,0 0 16,0-2-16,-3-3 16,1 0-16,-1 5 15,0 1-15,1-1 16,1 0-16,1 0 16,0 0-16,2 0 15,0 0-15,5 3 16,0 2-16,-4-7 15,-1-3-15,-5 3 16,5-1 0,3 1-16,-1 0 15,-1-3-15,1 1 16,1-1-16,-1 3 16,1-3-16,2 3 15,0-3-15,0 1 16,-3-3-16,1 0 15,-1 0-15,-4 0 16,5 0-16,2 0 16,0 0-16,-3 0 15,-1-3 1,-1 3-16,0 0 16,2-2-16,3 0 15,0-1-15,0 1 16,3-3-16,-3 3 15,0-3-15,2-2 16,-7 2-16,0-2 16,1 0-16,-4 2 15,3 0-15,1 1 16,-1-1-16,0 0 16,0 0-16,0 1 15,1-4 1,-4 4-16,1 1 15,0 1-15,0-3 16,2 0-16,0 1 16,0-1-16,0-2 15,1 0-15,1-1 16,1-1-16,-5 7 16,-1-1-16,1-2 15,2-2-15,0 4 16,1-2-16,-1-2 15,0 0-15,3-1 16,-3 1-16,0 0 16,0 0-1,0-3-15,0 3 16,-2 3-16,0-4 16,0 1-16,0 3 15,-1-4-15,1 1 16,2 0-16,1 0 15,-4-2-15,1-1 16,-3 1-16,1-1 16,-3 1-16,0-1 15,0 0-15,-3 3 16,1 0 0,0 0-16,-1 0 15,-1 2-15,1 0 16,1 1-16,-1 1 15,1 1-15,0-3 16,-3 0-16,0-2 16,0 0-16,-2 0 15,0-2-15,0-1 16,2 3-16,0 0 16,0-3-16,1 3 15,1-5-15,1 3 16,2 3-1,0 1-15,0 0 16,0 0-16,2-2 16,1 2-16,-3-6 15,0 1-15,0 3 16,-3 0-16,1 0 16,-1 0-16,1-5 15,0 0-15,2 2 16,0 1-16,2-3 15,0 2 1,3-6-16,0 4 16,0 5-16,-3 2 15,0 3-15,1-1 16,-3-6-16,2-1 16,1 3-16,-1 0 15,0 0-15,1-3 16,-1 1-16,1-1 15,-1-2-15,0 3 16,1-1-16,-1-2 16,1 3-1,-1 2-15,-2 0 16,0 0-16,0 2 16,0 0-16,0 1 15,0-3-15,0 0 16,-2 0-16,-1 0 15,1 0-15,-3-1 16,0 1-16,0 0 16,1 0-16,-1 2 15,-2-2 1,0 2-16,-3-4 16,0 2-16,6 4 15,-6-1-15,0-3 16,-2 2-16,3 0 15,-3 0-15,2 0 16,1-2-16,2 3 16,2 1-16,-2-4 15,-1 0-15,1 0 16,-5-3-16,0 1 16,0 2-1,3 0-15,4-1 16,-2 1-16,0-2 15,-3-5-15,3 4 16,0 0-16,-3 3 16,3-2-16,0-1 15,0 3-15,-1-2 16,4-1-16,-1 3 16,0-2-16,-2-1 15,0 2-15,2-2 16,0 3-16,0 0 15,1 0-15,1-1 16,-2-1-16,1 2 16,-1 2-16,0-2 15,0 2 1,-2-4-16,0 2 16,0-3-16,2 3 15,0 0-15,0 0 16,3 2-16,0 3 15,-1-1-15,1 1 16,-1-1-16,1 1 16,0 0-16,-3-1 15,0 1-15,3 0 32,-3-1-32,0 1 0,3-1 0,-3 1 15,3 0-15,-3-1 16,2 1-16,1 2 15,0 0-15,-1 0 16,1 0-16,-1 0 16,1 2-1,-3 1-15,3-1 16,-3 0-16,3-2 16,-1 3-16,-2-1 15,3 5-15,0 3 16,-1-3-16,1-2 15,0 4-15,2 1 16,0-1-16,0 1 16,0-3-16,2 0 15,0 2-15,1 1 16,-1-1-16,3 1 16,4 9-1,-4-7-15,-2 4 16,-1-2-16,0-5 31,1 1-31,-1-3 16,1 0-16,-1 3 15,0-1-15,1 1 0,-1-1 16,1 1 0,-1-3-16,0 0 15,1 0-15,-1 0 16,1 0-16,-3 0 15,2 1-15,-2-1 16,2 0-16,-2-2 16,0-1-16,3 1 15,-3 0-15,0 0 16,0 4-16,0-2 16,0 0-16,0 1 15,0-1 1,0 0-16,0 0 15,0 0-15,-3 0 16,1 0-16,2-2 16,-2 2-16,-1 3 15,1 2-15,-3-1 16,3-1-16,-1-1 16,1-1-16,-1-2 15,1 1-15,0-2 16,-1-1-16,-2 1 15,3 0-15,0 0 16,-1-1 0,1 1-16,-1 0 15,-1 0-15,-1-1 16,0 1-16,0 0 16,1 0-16,-1-1 15,0 1-15,0 0 16,0 0-16,1 2 15,-1 0-15,0 0 16,0 0-16,0-2 16,1 2-16,-1 0 15,2 0-15,1 1 16,0-4 0,-1 1-16,3 0 0,-2 0 15,2-1-15,0-1 16,-2 1-16,2-1 15,-3 2 1,1-1-16,-1 1 16,1 0-16,0 0 15,-1-1-15,1 1 16,-1 0-16,1 0 16,0-1-16,-1-1 15,-2 6-15,3-6 16,-5 4-16,2 5 15,0-3-15,0-2 16,1 0 0,1-2-16,-1 0 15,-1 0-15,0-1 16,0 1-16,0-2 16,3 1-16,-3-1 15,3 1-15,-3 1 16,3 4-16,-1 7 15,3 13-15,0-29 16</inkml:trace>
</inkml:ink>
</file>

<file path=xl/ink/ink8.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22:03.256"/>
    </inkml:context>
    <inkml:brush xml:id="br0">
      <inkml:brushProperty name="width" value="0.03528" units="cm"/>
      <inkml:brushProperty name="height" value="0.03528" units="cm"/>
      <inkml:brushProperty name="color" value="#2E75B5"/>
    </inkml:brush>
  </inkml:definitions>
  <inkml:trace contextRef="#ctx0" brushRef="#br0">259 409 0,'0'0'0,"0"0"0,0 0 15,0 0-15,0 0 0,0 0 16,-3 3-16,0 3 16,0 2-1,0 1-15,1-1 16,-1 0-16,-3 3 15,1 3-15,-4 3 16,1-3-16,-4 3 16,4-4-16,-1 1 31,4-5-31,-1-4 16,3-2-16,-2 3 15,-1 2-15,-2 0 16,2 3-16,0 0 15,-2 2-15,0 1 16,2-2-16,0-1 16,1 0-16,2 8 15,0-8-15,3-2 16,0-4-16,0 1 16,0 2-16,0-2 15,0-3-15,-3 2 16,-2 6-16,-1-2 15,0-1-15,1 0 16,-1 3-16,3-2 16,0-1-16,1 0 15,-1 1-15,-3 2 16,1-1-16,-1 1 16,0 0-16,1-2 15,-1-1-15,0 3 16,1-3-16,2-2 15,0 2-15,3-2 16,0 2-16,0 3 16,0 1-16,0-1 15,0 3-15,0-3 16,-3 3 0,3-3-16,0 0 15,0-3-15,-3 1 16,1-1-16,2-3 15,0 1-15,0 0 16,0-1-16,0 1 16,0-4-16,0 3 15,2 1-15,1-1 16,0 4-16,3-1 16,2 0-1,1 6 1,-4-3-16,-2-2 15,0-4-15,0 1 16,0-1-16,-3 4 16,-3 5-16,0-6 15,0 3 1,3-3-16,0 1 16,0 5-16,0 2 15,3 1-15,-3-6 16,0-3-16,0 1 15,3-1-15,0 2 16,-1-1-16,-2-1 16,0-2-16,-2 5 15,2 0-15,0-3 16,0 1-16,0-1 16,0 0-1,0 1-15,2 2 16,1 0-16,0 3 15,0-6-15,0 0 16,-1 1-16,1-4 16,-3 1-16,0 2 15,3 1-15,0-1 16,0 0-16,-1 1 16,1-1-16,0 0 15,3 1-15,-1-1 16,1-1-1,0 2-15,-1-1 16,1-2-16,2-1 16,1 1-16,-4-3 15,1-1-15,0 1 16,-1 0-16,1-3 16,2 3-16,-2-1 15,5 4-15,3 0 16,3-1-16,-3 3 15,-2-2-15,-7-3 16,1-3-16,-1 0 16,1 3-1,0-1-15,-1 1 16,4 0-16,-1 0 16,1 0-16,-1-1 15,1 1-15,-1-3 16,0 0-16,4 3 15,-4 0-15,3-1 16,-5-2-16,3 0 16,2 0-16,-3 0 15,1 0 1,-1 0-16,-2 0 16,-1-2-16,1 2 15,0 0-15,-1 0 16,1 0-16,0 0 15,-1 0-15,4 0 16,-4 0-16,4 0 16,-1 0-16,1 0 15,-1 0-15,0 0 16,1 0-16,-3 0 16,2 0-1,-2 0-15,2 0 16,-8 0-16,6 0 15,2 0-15,1-3 16,-1 0-16,0 0 16,-2 1-16,0-1 15,-1 0-15,1-3 16,0 4-16,-1-1 16,-2 3-16,0 0 15,0 0-15,0-3 16,2-3-1,1 4-15,-1-4 16,1 1-16,0-1 16,2-2-16,1-1 15,2 1-15,3-3 16,-8 2-16,2 1 0,3 0 16,-5 3-1,-3-3-15,0 0 16,2-1-16,1 1 15,2-1-15,3 1 16,1 0-16,-4-3 16,-2 2-16,-1 4 15,-2-1-15,0-2 16,0 0-16,0-1 16,0 1-16,-1-1 15,1 4-15,0-3 16,0-1-16,2 1 15,1 0 1,0-1-16,-1-2 16,1 3-16,0-1 15,-1 1-15,-2 2 16,0 1-16,0-1 16,-1-4-16,4-4 15,0 3-15,-3 6 16,2-7-16,1 4 15,-1 0-15,1 2 16,0 1-16,2-6 16,1-1-1,-1 1-15,0 0 16,1 0-16,2-8 16,-2 5-16,-1 2 15,-2 7-15,-4 2 16,1 0-16,0 1 15,0-1-15,3-3 16,-1 3-16,1-2 16,-1-1-16,1 4 15,-3-1-15,3 0 16,-4 0-16,4 0 16,-3 1-1,0-1-15,2 0 16,1 0-16,-3 1 15,0 0-15,2-1 16,4 0-16,-1 0 16,3 3-16,-2 0 15,-4-2-15,1-1 16,0 0-16,-1 0 16,1-2-16,2 2 31,-2-3-31,2 1 15,-2-1-15,0 1 16,-1-1-16,1 1 16,0-1-16,-1 0 15,1 1-15,-1-1 16,-2 1-16,0-1 16,0 1-16,0-1 15,0 0-15,-3 1 16,0-3-1,0 2-15,0 0 16,0 1-16,0-4 16,0 1-16,-3 0 15,0-1-15,-3-2 16,1 0-16,-1 0 16,0 0-16,1 0 15,2 2-15,0-3 16,0 3-16,0 1 15,1 2-15,-1-2 16,-3-6-16,-2 3 16,-3 0-16,2 0 15,1 2-15,2-2 16,3 3-16,0 2 16,1 1-16,-1-1 15,0-5-15,-3 3 16,3 2-16,-2-2 15,-4-3-15,1 0 16,0-3-16,2 2 16,0 4-16,1 3 15,2-4-15,3 2 16,0-7-16,0-3 16,0-2-1,0-6-15,0 0 16,0 0-16,-3 8 15,3 3-15,0 3 16,0 0-16,0-3 16,0 0-16,0 0 15,0 0-15,-3 1 16,0-1-16,1 0 16,-4 1-16,0-1 15,3-3 1,1 9-16,-1 2 0,0 3 15,0 0 1,-2-2-16,-4-6 16,1 0-16,-4-3 31,1 0-31,3 0 16,2 3-16,3 2 15,-2-2-15,-4 0 16,1 3-16,-4-3 15,1 1-15,0 1 16,3 1-16,-1 2 16,1 1-16,2-1 15,0 3-15,4 1 16,-1-1-16,0 0 16,-3 0-1,3 3-15,-2-2 16,-1-4-16,1 0 15,-1 1-15,0-1 16,-2 1-16,-3-1 16,-1 1-16,4 2 15,5 0-15,-3 0 16,1 0-16,2 3 16,-3-2-16,4-1 15,-1 3-15,-3 0 16,-2-3-16,-1 0 15,1 1-15,-1 2 16,1-3-16,-1 3 16,1 0-16,0 0 15,-1 0-15,-2 0 16,2 0-16,1 3 16,0-3-16,-1 0 15,3 0-15,1 0 16,2 0-16,0 0 15,0 2-15,1 4 16,-1 2-16,0 1 16,0-4-16,3-2 15,0 0-15,0 2 16,0 1-16,0-1 16,0 1-16,-3 2 15,3-8 1</inkml:trace>
</inkml:ink>
</file>

<file path=xl/ink/ink9.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22:04.343"/>
    </inkml:context>
    <inkml:brush xml:id="br0">
      <inkml:brushProperty name="width" value="0.03528" units="cm"/>
      <inkml:brushProperty name="height" value="0.03528" units="cm"/>
      <inkml:brushProperty name="color" value="#2E75B5"/>
    </inkml:brush>
  </inkml:definitions>
  <inkml:trace contextRef="#ctx0" brushRef="#br0">163 0 0,'0'0'15,"-3"0"-15,-2 0 16,-1 0-16,0 0 16,1 0-16,-1 0 15,3 0-15,0 0 16,1 0-16,-1 0 16,0 0-16,0 0 15,3 0-15,-3 0 16,3 0-16,-2 0 0,-1 0 15,3 0-15,-3 0 16,0 0-16,0 0 16,1 0-1,-1 2-15,0 1 16,0 0-16,0 0 16,-2 0-16,-1 0 15,0-1-15,1 1 16,2 0-16,0 0 15,0 0-15,0-3 16,-2 2-16,2 1 16,0 0-16,0-3 15,1 3 1,2 0-16,0 0 16,0-3-16,0 2 15,0-2-15,0 0 16,0 3-16,0-3 15,0 3-15,0-3 16,0 0-16,0 0 16,0 0-16,0 3 15,0-3-15,0 0 16,0 0-16,0 3 16,-3 0-16,3-3 31,0 0-31,-3 2 15,0 1-15,0 0 16,3-3-16,-2 3 16,2-3-16,0 0 15,-3 3-15,3-3 16,-3 3-16,3-3 16,0 0-16,-3 2 15,3-2-15,0 0 16,-3 3-1,3-3-15,0 0 16,-3 3-16,3-3 16,0 0-16,-2 3 15,2-3-15,-3 3 16,3-3-16,0 0 16,0 0-16,0 0 15,0 0-15,0 0 16,0 0-16,0 0 15,0 0-15,0 0 16,0 0-16,0 0 16,0 0-16,0 0 15,3 0-15,-3 0 16</inkml:trace>
</inkml:ink>
</file>

<file path=xl/ink/ink10.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22:05.975"/>
    </inkml:context>
    <inkml:brush xml:id="br0">
      <inkml:brushProperty name="width" value="0.03528" units="cm"/>
      <inkml:brushProperty name="height" value="0.03528" units="cm"/>
      <inkml:brushProperty name="color" value="#2E75B5"/>
    </inkml:brush>
  </inkml:definitions>
  <inkml:trace contextRef="#ctx0" brushRef="#br0">0 432 0,'0'0'0,"0"0"16,0 0-16,0-5 16,0-1-16,3 1 15,3-4-15,-1 1 16,4 0-16,-1 3 15,-2-1 1,2 4 0,-2 0-16,-1-1 0,4 0 0,-3 3 15,2-3-15,0 3 16,1 0-16,2 0 16,0 0-16,6-2 15,-8 2-15,-4 0 16,-2 0-1,0 0-15,3 0 16,-1-3-16,7-3 16,2-5-16,2 0 15,1-2-15,-3-1 32,1 0-32,1-2 0,-2 0 0,20-17 15,-25 25-15,-4 3 16,-2 2-16,0 0 15,0 1-15,-3 2 16,0 0-16,3-3 16,-1 0-1,1-2-15,-3-1 16,0 1-16,0-1 16,0 1-16,3-4 15,-3 2-15,0-1 16,0 2-16,0-2 15,0 0-15,0 3 16,0-4-16,0 1 16,0 0-1,0 0-15,0-1 16,0 1-16,0 0 16,0 2-16,0 1 15,0 1-15,0-2 16,0 3-16,0 3 15,0-2-15,0-4 16,0 1-16,0-1 16,0 3-16,0-2 15,0 2-15,0 3 16,0 0 0,3-3-16,0 1 15,-1-1-15,1 0 16,-3 3-16,3 0 15,0 0-15,0 0 16,2 0-16,-2 0 16,0 0-16,3 3 15,-4 0-15,4-1 16,-6-2-16</inkml:trace>
</inkml:ink>
</file>

<file path=xl/ink/ink11.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22:13.031"/>
    </inkml:context>
    <inkml:brush xml:id="br0">
      <inkml:brushProperty name="width" value="0.03528" units="cm"/>
      <inkml:brushProperty name="height" value="0.03528" units="cm"/>
      <inkml:brushProperty name="color" value="#2E75B5"/>
    </inkml:brush>
  </inkml:definitions>
  <inkml:trace contextRef="#ctx0" brushRef="#br0">71 109 0,'0'0'0,"0"0"15,0 0-15,0 0 16,3-3 0,2-6-16,7-5 15,-7 3-15,1 0 16,-3 3-16,-1-1 15,1 1-15,-3 0 16,0 2-16,0-2 16,3 2-16,0 1 15,-3 5-15,3-3 16,2 3-16,1 0 0,2 0 16,4 0-1,2 3-15,-3-1 16,3 1-16,0 0 15,-3 0 1,1 0-16,-4-1 16,1 1-16,-1-3 15,-2 3 1,-1 0-16,1-1 16,-3-2-16,-3 0 15,0 0-15,0 0 0,2 3 16,1 0-16,0 0 15,0 0-15,0-1 16,0 1 0,-1 0-16,1 0 15,0 0-15,0-1 16,0 1-16,2 0 16,-2 0-16,3 2 15,-3-2-15,-3-3 16,2 0-16,1 0 15,0 0-15,0 0 16,2 3-16,1 0 16,-3-3-1,2 0-15,-2 0 16,3 0-16,0 0 16,-1 0-16,1 0 15,-1 0-15,1 0 16,-3 0-16,3 0 15,-1 0-15,4 0 16,-1 2-16,-2 1 16,2 0-16,6 0 15,0 2-15,-2 1 16,-7 0-16,1-1 16,-3 1-16,-1 5 15,1-1-15,0 1 16,0 3-1,0 0-15,2 0 16,4 14-16,-4-14 16,-2-6-16,0-2 15,-3-1-15,0 4 16,0 4-16,0 1 16,0 0-16,0-3 15,0 1-15,0-1 16,0-3-16,0 3 15,0 0 1,0-2-16,3 2 16,0-3-16,-1 5 15,1-4-15,-3-4 0,0-2 16,0-3 0,3 3-16,-3-3 15,0 0-15,3 3 16,-3 2-16,3-2 15,0 0-15,-1 2 16,1-2 0,0 0-16,3 2 15,-1 1-15,1 0 16,2-1 0,1 3-16,2 4 15,-3-1-15,-2-3 16,0 0-16,-3 4 15,2-1-15,1 0 16,-3 3-16,2 0 16,1 0-16,0-3 15,-4 3-15,1-6 16,0 0-16,0 1 16,-3 2-16,3-1 15,-1 1 1,1 0-16,0 1 15,0-4-15,0 3 16,0 0-16,2 9 16,-2-9-16,0-6 15,0 1-15,-1-3 16,-2-3-16,0 0 16,3 3-16,-3-3 15,0 2-15,0 4 16,0 0-16,-3 10 15,1 1-15,-1 0 16,0-1-16,0 1 16,3 19-16,3-20 15,0-8-15,-3-2 16,0 2 0,0 3-16,0-2 15,-3-1-15,0 12 16,0-6-16,1 0 15,2-3-15,0 0 16,0 0-16,0 9 16,0-7-16,0-4 15,0-1-15,0-2 16,0-1-16,0-2 16,0 0-16,0-3 15,2 3-15,-2-3 16,3 2-1,0 1-15,0 0 16,-3-3-16,3 3 16,-1 0-16,1 2 15,0 4-15,0-1 16,0 0-16,2 3 16,1 2-16,0 1 15,2 3-15,-2 0 16,-4-3-16,1-3 15,-3 0-15,0-3 16,0-2-16,0-1 16,0 4-1,0 7-15,0 4 16,-3 5-16,-2 0 16,2-5-16,-3-1 15,1 2-15,2-9 16,0-7-16,0 1 15,-5 2-15,-3 3 16,-3 3-16,8-5 16,0-1-16,3 0 15,1 1-15,-4-1 16,-5 3 0,-6 0-16,0 0 15,3-2-15,0-1 16,3-2-16,-1-4 15,1 1-15,0 0 16,-1 3-16,4-6 16,0 0-16,-1-3 15,4 0-15,2 0 16,-3 0-16,-2 1 16,-6 2-1,-3-3-15,0 0 16,-3 0-16,3 3 15,0 0-15,3 0 16,3 0-16,-3 0 16,5 3-16,1 0 15,2-3-15,4 0 16,-4 3-16,0-1 16,-2 1-16,2 3 15,-2-1-15,-1 4 16,-2-1-1,3 0-15,2-2 16,0-3-16,1 2 16,-1 1-16,0 0 15,1-1-15,-1 3 16,1 1-16,-1-4 16,-3 4-16,1 1 15,0-2-15,-1 1 16,1-1-16,2-2 15,-2 5-15,2-6 16,-2 1 0,8-6-16,-9 8 15,-2 1-15,0-1 16,-1 0-16,4-2 16,-1-1-16,1 4 15,0-4-15,2-2 16,0 0-16,1 0 15,-1 0-15,0-3 16,4 0-16,-1 0 16,0 0-16,0 0 15,0 0 1,0 0-16,3 0 16,-2 0-16,2 0 15,0 0-15,0 0 16,-3 0-16,-6 2 15,9-2-15</inkml:trace>
</inkml:ink>
</file>

<file path=xl/ink/ink12.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22:14.272"/>
    </inkml:context>
    <inkml:brush xml:id="br0">
      <inkml:brushProperty name="width" value="0.03528" units="cm"/>
      <inkml:brushProperty name="height" value="0.03528" units="cm"/>
      <inkml:brushProperty name="color" value="#2E75B5"/>
    </inkml:brush>
  </inkml:definitions>
  <inkml:trace contextRef="#ctx0" brushRef="#br0">217 0 0,'0'0'0,"0"0"16,0 0-1,0 0-15,0 0 16,0 6-16,0-3 0,0 0 15,-3-1-15,0 4 16,1 0-16,-1-1 16,0-2-16,0 0 15,-2 3 1,2-1-16,0 1 16,-3 0-16,1-1 15,-1 1-15,0 0 16,-5 2-16,-3 3 15,3-2-15,-3-1 16,0 1-16,2-3 16,1-1-16,0 1 15,2-3-15,1 0 16,0 2-16,2 1 16,0 0-1,3-4-15,1 1 16,-1 0-16,0 0 15,0 0-15,0 0 16,1-1-16,2-2 16,-3 3-16,0 3 15,0 2-15,0 1 16,3-3-16,0-4 16,0-2-16,0 0 15,0 0-15,0 0 16</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0-21T15:48:25.325"/>
    </inkml:context>
    <inkml:brush xml:id="br0">
      <inkml:brushProperty name="width" value="0.025" units="cm"/>
      <inkml:brushProperty name="height" value="0.025" units="cm"/>
      <inkml:brushProperty name="color" value="#004F8B"/>
    </inkml:brush>
  </inkml:definitions>
  <inkml:traceGroup>
    <inkml:annotationXML>
      <emma:emma xmlns:emma="http://www.w3.org/2003/04/emma" version="1.0">
        <emma:interpretation id="{179093E0-04E9-485C-A785-3094F945889A}" emma:medium="tactile" emma:mode="ink">
          <msink:context xmlns:msink="http://schemas.microsoft.com/ink/2010/main" type="inkDrawing"/>
        </emma:interpretation>
      </emma:emma>
    </inkml:annotationXML>
    <inkml:trace contextRef="#ctx0" brushRef="#br0">-2147483648-2147483648 24575,'0'0'-8191</inkml:trace>
    <inkml:trace contextRef="#ctx0" brushRef="#br0" timeOffset="0.99">-2147483648-2147483648 24575,'0'0'-8191</inkml:trace>
  </inkml:traceGroup>
</inkml:ink>
</file>

<file path=xl/ink/ink14.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1T16:23:53.406"/>
    </inkml:context>
    <inkml:brush xml:id="br0">
      <inkml:brushProperty name="width" value="0.04667" units="cm"/>
      <inkml:brushProperty name="height" value="0.04667" units="cm"/>
      <inkml:brushProperty name="color" value="#3165BB"/>
    </inkml:brush>
  </inkml:definitions>
  <inkml:traceGroup>
    <inkml:annotationXML>
      <emma:emma xmlns:emma="http://www.w3.org/2003/04/emma" version="1.0">
        <emma:interpretation id="{A3B3EC61-CF41-45AB-8DB6-669672EE48C3}" emma:medium="tactile" emma:mode="ink">
          <msink:context xmlns:msink="http://schemas.microsoft.com/ink/2010/main" type="inkDrawing" rotatedBoundingBox="39946,17986 40597,12687 41253,12767 40602,18067" semanticType="callout" shapeName="Other"/>
        </emma:interpretation>
      </emma:emma>
    </inkml:annotationXML>
    <inkml:trace contextRef="#ctx0" brushRef="#br0">616 0 0,'0'0'0,"0"0"16,0 0-16,0 0 15,0 0-15,0 0 16,0 0-16,0 0 16,0 0-16,0 0 15,0 0-15,0 0 16,0 0-16,0 0 15,0 0-15,0 0 16,0 0-16,0 0 16,0 0-16,0 0 15,-13 8 1,0 0-16,13 0 16,0 8-16,0 0 15,0 24-15,0 1 16,0-9-1,0 0-15,0-8 16,0 1-16,0-1 16,0 0-16,0 0 15,13 0-15,0-7 16,-13-1-16,0 8 16,0-8-16,13 8 0,0 0 15,-13 9-15,0-9 16,0 16-16,0-7 15,0-9-15,0 0 16,0 0-16,0 8 16,0 1-1,0-1 1,0-8-16,13 0 16,0 0-16,0 1 15,0-9-15,1 0 16,12 0-16,-13 0 15,0 0-15,0-8 16,0 0-16,0 1 16,0-1-16,0 0 15,-13-8-15,13 8 16,1 0-16,-1 8 16,0 0-16,-13 8 15,0 0-15,0 1 16,0-1-16,-13 0 15,0 8-15,-1 9 16,-12-1-16,13-16 16,0 0-16,0 1 0,13-1 15,-13 8 1,-13 8-16,-14 9 16,1-17-16,0-8 31,13 17-31,0-9 15,-1 0-15,1 0 16,13-7-16,0-9 16,0 0-16,0 0 15,0 0-15,0 0 0,13-8 16,-13 0-16,13 0 16,0 0-16,0 1 15,0-1-15,0-8 16,0 8-16,0 0 15,0 8-15,0-8 16,0 0 0,0 0-16,0-8 15,0 8-15,0 0 16,0 0-16,13 16 16,0 9-1,0-1-15,13-8 16,0-8-16,0 0 15,1 1-15,-1-1 16,-13 0-16,-13 16 16,0-8-16,0-8 15,0 1-15,0-1 16,0 0-16,0-8 16,13 8-16,0 8 15,-13-8-15,13 0 16,0 1-16,-13-9 15,0 0-15,13 0 16,0 0-16,-13 0 16,13 0-16,-13-8 15,14 8-15,-1 0 16,0 8-16,-13 0 16,13 9-16,-13 15 15,0 0 1,-13 1-16,0-9 15,0 0-15,-1-8 16,1 1-16,0-9 16,0 8-16,13 0 15,13 16-15,0 1 16,0-9-16,-13-8 16,0 8-16,0 17 15,-13 7-15,13-15 16,-13-9-16,0-8 15,0 16-15,0-7 16,0-1 0,0 0-16,-13 0 15,-1 1 1,14-9-16,-13 0 16,13 0-16,-13-8 15,0 9-15,0-1 16,-1 0-16,14-8 15,0 16-15,0-7 16,0-9-16,0 0 16,0 0-16,0-8 15,13-8-15,-13 8 16,13-8-16,0 0 16,-13 8-1,-1-8-15,1 0 16,0 0-16,0 0 0,-13 0 15,13 0-15,0 0 16,0 0-16,0 0 16,0 0-16,0 0 15,13 0 1,-14 8-16,-12 0 16,13 0-16,0 0 15,0 1-15,0-1 16,0 0-16,0 0 15,13 8-15,0 0 16,0 0 0,0 8-16,13-8 15,0 9-15,13-1 16,0-8-16,0 0 0,1 8 16,-14-8-16,0 1 15,0-1-15,0 0 16,0 0-16,0 8 15,0-8-15,-13-8 16,0 0-16,13 1 16,0 7-16,0 0 15,1 0-15,-1 0 16,0 0-16,0 0 16,0 0-16,-13 1 15,0-1-15,0 0 16,0 8-1,0 0-15,0-8 16,0 9 0,0-9-16,0 8 15,0-8-15,-13 0 16,0 0-16,0 0 16,0 1-16,-1-1 15,1 0-15,13 0 16,-13 8-16,0 16 15,0-7-15,0-9 16,13 0-16,0 0 16,0-8-16,0 1 15,0-1-15,0 0 16,0 0-16,0-8 16,0 0-1,0 0-15,0 0 16,0 0-16,0 8 15,0-7-15,0 7 16,0-8-16,0 8 16,0 0-16,0 0 15,0 0-15,0 0 16,0 0-16,0 9 16,0-9-16,0 0 15,0 8-15,0-8 16,0 8-16,0 1 15,13 7-15,13 16 16,79 89-16,13 1 16</inkml:trace>
  </inkml:traceGroup>
</inkml:ink>
</file>

<file path=xl/ink/ink15.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1T16:23:59.769"/>
    </inkml:context>
    <inkml:brush xml:id="br0">
      <inkml:brushProperty name="width" value="0.04667" units="cm"/>
      <inkml:brushProperty name="height" value="0.04667" units="cm"/>
      <inkml:brushProperty name="color" value="#3165BB"/>
    </inkml:brush>
  </inkml:definitions>
  <inkml:traceGroup>
    <inkml:annotationXML>
      <emma:emma xmlns:emma="http://www.w3.org/2003/04/emma" version="1.0">
        <emma:interpretation id="{CE04F296-C168-45F7-B11E-7DF940C35D6A}" emma:medium="tactile" emma:mode="ink">
          <msink:context xmlns:msink="http://schemas.microsoft.com/ink/2010/main" type="inkDrawing" rotatedBoundingBox="41134,14996 41892,19409 41426,19489 40669,15076" shapeName="Other"/>
        </emma:interpretation>
      </emma:emma>
    </inkml:annotationXML>
    <inkml:trace contextRef="#ctx0" brushRef="#br0">0 0 0,'0'0'0,"0"0"16,0 0-16,0 0 15,0 0-15,0 0 16,0 0-16,0 0 15,0 0-15,0 0 16,0 0-16,0 0 16,0 0-16,0 0 15,0 0-15,0 0 16,0 0 0,0 0-16,0 0 0,0 0 15,0 0-15,0 0 16,0 0-16,0 0 15,0 0-15,0 0 16,0 0-16,0 0 16,0 0-1,0 0-15,0 0 16,8 13-16,0 0 16,0 0-16,0 0 15,0 0 1,0 0-16,-8-13 15,8 0-15,0 13 16,-8-13-16,0 0 16,8 13-16,-8-13 0,0 0 15,0 0-15,8 13 16,-8-1-16,0 1 16,0 13-16,0-13 15,0 13-15,0 0 16,0 0-16,0 0 15,0-1-15,0 1 16,-8 52-16,0-39 16,0-1-1,0-12 1,8 0-16,0 0 0,0-13 0,0 0 16,8 26-16,0-14 31,0 1-31,0 0 15,0 0-15,-8-13 16,7 0-16,-7 0 16,8 0-16,-8-13 15,0 0-15,0 13 16,8 0-16,-8-13 16,8 12-16,0 1 15,-8-13 1,0 0-16,0 13 15,0-13-15,-8 52 16,0-26-16,0 0 16,0 0-16,8-1 15,-7 1-15,7 0 16,0 0-16,0 0 16,0 13-16,0-14 15,7 1-15,1 0 16,0 0-16,0 0 15,0-13-15,0 0 16,0 0 0,0 0-16,40 25 15,-16-12-15,-8-13 16,-8 0-16,0-13 16,0 13-16,-1 0 15,-7-13-15,0 13 16,0 0-16,0 0 15,0 0-15,0 0 0,0-1 16,-8 1 0,0 0-16,8 0 15,-8 0-15,0-13 16,0 13-16,8 0 16,-8 0-16,0-13 15,8 13-15,-8-13 16,0 0-1,0 0-15,24 13 16,-8 0-16,-8 0 16,0 0-1,0-1-15,-8-12 16,8 13-16,-8-13 16,8 13-16,-8 0 15,0 0-15,0 0 16,0 0-16,0 0 15,0 0-15,0-13 16,0 13-16,8 13 16,-8-13-16,0-13 15,0 0-15,0 0 16,16-13-16,0 0 16,-1-13-16,9 13 15,-8 0-15,0 0 16,0 13-16,-8 0 15,0 0 1,0 0-16,-8 0 0,8 0 16,-8 0-16,8 0 15,-8 0-15,0 0 16,0 0-16,8 13 16,-8 0-16,0 13 15,0 13 1,0-1-16,0 1 15,0 0-15,0 0 0,0-1 16,0 1-16,0 0 16,0 0-16,0 0 15,0-14-15,0 14 16,0 0 0,8 13-16,0-14 15,-8-12-15,0-13 16,0-13-1,0 0-15,0 13 16,0 13-16,-8 39 16,0-14-16,0 1 15,0 0-15,0-1 16,0-12-16,0 13 16,0 0-16,0-14 15,8 40-15,0-26 16,0-14-16,0 1 15,0-13 1,0 0-16,0 0 16,0 0-16,0-13 15,-8 25-15,0-12 16,0 0-16,0 13 16,0-13-1,0 0-15,0-1 16,0 1-16,8-13 15,0 13-15,0-13 16,0 0-16,0 0 16,0-13-16,0 13 15,0-13-15,0 13 16,0 12-16,0 27 16,0-39-16,0 13 15,0 13-15,0-26 16,0 0-1,8 12-15,0 1 16,0 0-16,0 0 16,0 0-16,0 0 0,0 0 15,8-14-15,-8 14 16,0-13-16,8 0 16,-8 0-16,0 0 15,0 0-15,8 0 16,-8 0-1,0 0-15,0 0 16,0 0-16,-8-13 16,8 12-16,-8-12 15,0 0-15,0 0 16,8 0-16,0 0 16,-8 0-16,7 13 15,1 0-15,0 0 16,0-13-16,0 13 15,0 0-15,-8-13 16,8 13-16,0 0 16,-8-13-16,0 0 31,0 0-31,8 13 16,-8-13-16,0 0 15,8 13-15,0 0 16,8 13-16,0 25 15,8 27-15,-24-78 16</inkml:trace>
  </inkml:traceGroup>
</inkml:ink>
</file>

<file path=xl/ink/ink16.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1T16:25:38.510"/>
    </inkml:context>
    <inkml:brush xml:id="br0">
      <inkml:brushProperty name="width" value="0.04667" units="cm"/>
      <inkml:brushProperty name="height" value="0.04667" units="cm"/>
      <inkml:brushProperty name="color" value="#3165BB"/>
    </inkml:brush>
  </inkml:definitions>
  <inkml:traceGroup>
    <inkml:annotationXML>
      <emma:emma xmlns:emma="http://www.w3.org/2003/04/emma" version="1.0">
        <emma:interpretation id="{C0FA74FE-2B1A-46D0-9760-CBF6F28340F6}" emma:medium="tactile" emma:mode="ink">
          <msink:context xmlns:msink="http://schemas.microsoft.com/ink/2010/main" type="inkDrawing" rotatedBoundingBox="44290,15771 44882,19520 44412,19594 43820,15845" shapeName="Other"/>
        </emma:interpretation>
      </emma:emma>
    </inkml:annotationXML>
    <inkml:trace contextRef="#ctx0" brushRef="#br0">816 7378 0,'0'0'0,"0"0"15,0 0-15,0 0 16,0 0 0,16 0-16,-16 0 0,16 0 15,1 0-15,-1-16 16,17 0-16,-17 0 15,0 0 1,1 0-16,-1 0 16,-16 0-16,0-16 15,0 0-15,0 0 16,0-16-16,0 16 16,-16-17-16,-1 1 15,1 0-15,0-16 16,-1 16-16,1-16 15,0 0-15,-1 16 16,17-32-16,0 32 16,0 16-1,0 16-15,0 16 16,0 0-16,0 0 16,0 0-16,0 0 15,-32-64-15,15 0 16,1 0-16,16 16 15,0-16-15,0 0 16,0 0-16,16 0 16,1 0-16,-1 0 15,0 0-15,1 0 16,-1 16 0,0 0-16,1 0 15,-17 16-15,0 0 16,0 0-1,0 16 1,0 16-16,0 0 16,0 0-16,16-16 0,-16 16 15,0 0-15,16-16 16,-16 16-16,17-16 16,-1 0-16,0 0 15,1-16-15,15 0 16,1 0-16,0 0 15,16-16-15,-17 0 16,1 0-16,16 0 16,-16 0-16,-17 0 15,0 0 1,0 0-16,-16 0 16,0 16-16,0 0 15,-16-16-15,0 0 16,0 0-16,-1 16 15,1-16-15,-17 16 16,17 0-16,0 0 16,-1 0-16,17-16 15,0 16-15,0 0 16,0 0-16,0 0 16,0 0-16,0 16 15,0 0-15,0-16 16,0 0-16,0 16 15,0-16-15,0 16 16,0 0-16,0 0 16,0-16-1,0 16-15,0-16 16,0 0-16,0 0 16,0 0-16,0 0 15,0 0-15,-16-16 16,0 16-16,-1 0 15,1 0-15,0 0 16,-1 16-16,1 0 16,0 0-1,-1 0-15,-15 0 16,-1 0-16,17 0 16,-1 0-16,1 0 15,0 0-15,-1 0 16,1 0-16,16 16 15,0 0-15,0 0 16,0 0-16,-16-16 16,16 16-16,-33-48 15,17 16-15,-1 0 16,1 0 0,0 0-1,-1 0-15,17 0 16,-16 0-16,16 0 15,-16 0-15,16 0 16,0 0-16,-17 0 16,17 0-16,0 16 15,-16-16-15,16 16 16,-16-16-16,16 16 16,0 0-1,-16-16-15,16 16 0,-17-32 16,17 16-16,0 16 15,0 0-15,0 0 16,-16 0-16,0 0 16,-1 0-16,-15-16 15,-1 0-15,-16 0 16,16 16-16,-16 0 16,33 0-16,-17 0 15,1 0 1,-1-16-16,0 16 15,17 0-15,0 0 16,-1 0-16,1 0 16,0 0-16,16 16 15,0-16-15,0 16 16,0-16-16,0 0 16,0-16-16,0 0 15,0 0-15,0 0 16,0 0-16,-17-16 15,17-16-15,-16 0 16,16-16 0,-16 0-16,16 0 15,-17 16-15,1 16 16,0-16-16,16 16 16,0 0-16,0 0 15,0-16-15,0 16 16,0 0-16,0-16 15,0 16-15,0 0 16,0-16-16,0 16 16,0 0-16,0 0 15,-16 0-15,-1 0 16,17 16 0,0 0-16,0 0 15,-16 0-15,16 0 16,0 0-16,0 16 15,0-16-15,0 16 16,-16-16-16,16 0 16,0 0-16,0 0 15,0 0-15,0 0 16,0 0-16,16 16 31,0-16-31,1 0 16,15 0-16,17-16 15,33-16-15,-82 64 0</inkml:trace>
  </inkml:traceGroup>
</inkml:ink>
</file>

<file path=xl/ink/ink17.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1T16:26:56.832"/>
    </inkml:context>
    <inkml:brush xml:id="br0">
      <inkml:brushProperty name="width" value="0.04667" units="cm"/>
      <inkml:brushProperty name="height" value="0.04667" units="cm"/>
      <inkml:brushProperty name="color" value="#3165BB"/>
    </inkml:brush>
  </inkml:definitions>
  <inkml:trace contextRef="#ctx0" brushRef="#br0">381 2694 0,'0'0'0,"0"0"15,0 0-15,0 0 16,0 0 0,-11 0-16,11 0 0,-12 0 15,1 0-15,-1-5 16,-11-1-16,11 0 15,1 0 1,-1 0-16,1 0 16,11 1-16,0-7 15,0 0-15,0 1 16,0-7-16,0 6 16,11-5-16,1-1 15,-1 1-15,1-7 16,0 7-16,-1-7 15,1 1-15,-1 6 16,-11-13-16,0 13 16,0 5-1,0 6-15,0 6 16,0 0-16,0 0 16,0 0-16,0 0 15,23-23-15,-11 0 16,0-1-16,-12 7 15,0-7-15,0 1 16,0-1-16,-12 1 16,0 0-16,1-1 15,-1 1-15,1 0 16,-1 5 0,1 1-16,-1-1 15,12 6-15,0 1 16,0-1-1,0 6 1,0 6-16,0 0 16,0 0-16,-12-6 0,12 6 15,0 0-15,-11-6 16,11 6-16,-12-5 16,1-1-16,-1 0 15,1-6-15,-13 1 16,1-1-16,0 0 15,-12-5-15,12-1 16,0 1-16,-12-1 16,12 1-16,12-1 15,-1 0 1,0 1-16,12-1 16,0 7-16,0-1 15,12-5-15,0-1 16,-1 0-16,1 7 15,-1-7-15,12 7 16,-11-1-16,0 0 16,-1 1-16,-11-7 15,0 6-15,0 1 16,0-1-16,0 0 16,0 1-16,0 5 15,0 0-15,0-6 16,0 1-16,0 5 15,0-6-15,0 6 16,0 0-16,0 0 16,0-5-1,0 5-15,0-6 16,0 1-16,0-1 16,0 0-16,0 0 15,0 1-15,12-7 16,-1 7-16,1-1 15,-1 0-15,1 1 16,0 5-16,-1 0 16,1 0-1,-1 0-15,13 0 16,-1 0-16,-12 1 16,1-1-16,-1 0 15,1 0-15,0 0 16,-1 0-16,-11 6 15,0 0-15,0 0 16,0 0-16,12-5 16,-12 5-16,23-18 15,-12 6-15,1 1 16,0-1 0,-1 0-1,1 1-15,-12-1 16,11 0-16,-11 1 15,12-1-15,-12 0 16,0 0-16,12 1 16,-12-1-16,0 6 15,11-5-15,-11 5 16,12-6-16,-12 6 16,0 0-1,11-5-15,-11 5 0,12-12 16,-12 7-16,0 5 15,0 0-15,0 0 16,11 0-16,1 0 16,0 1-16,11-7 15,0 0-15,12 1 16,-12 5-16,11 0 16,-22 0-16,11 0 15,0 0 1,1-5-16,-1 5 15,-12 0-15,1 0 16,-1 0-16,1 0 16,0 1-16,-12 5 15,0-6-15,0 6 16,0-6-16,0 0 16,0-6-16,0 1 15,0-1-15,0 0 16,0 1-16,11-7 15,-11-5-15,12-1 16,-12-5 0,11 0-16,-11 0 15,12 5-15,-1 7 16,1-7-16,-12 7 16,0-1-16,0 1 15,0-7-15,0 7 16,0-1-16,0-5 15,0 5-15,0 1 16,0-6-16,0 5 16,0 1-16,0-1 15,12 0-15,-1 1 16,-11 5 0,0 1-16,0-1 15,12 0-15,-12 1 16,0-1-16,0 6 15,0-6-15,0 6 16,11-5-16,-11-1 16,0 0-16,0 1 15,0-1-15,0 0 16,0 1-16,-11 5 31,-1-6-31,1 0 16,-13 1-16,-10-7 15,-24-5-15,58 23 0</inkml:trace>
</inkml:ink>
</file>

<file path=xl/ink/ink18.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0T15:25:57.061"/>
    </inkml:context>
    <inkml:brush xml:id="br0">
      <inkml:brushProperty name="width" value="0.03528" units="cm"/>
      <inkml:brushProperty name="height" value="0.03528" units="cm"/>
      <inkml:brushProperty name="color" value="#2E75B5"/>
    </inkml:brush>
  </inkml:definitions>
  <inkml:traceGroup>
    <inkml:annotationXML>
      <emma:emma xmlns:emma="http://www.w3.org/2003/04/emma" version="1.0">
        <emma:interpretation id="{6D296259-69CE-448A-B118-F4AB199271BD}" emma:medium="tactile" emma:mode="ink">
          <msink:context xmlns:msink="http://schemas.microsoft.com/ink/2010/main" type="inkDrawing" rotatedBoundingBox="42096,13546 42450,18191 42021,18223 41668,13578" shapeName="Other"/>
        </emma:interpretation>
      </emma:emma>
    </inkml:annotationXML>
    <inkml:trace contextRef="#ctx0" brushRef="#br0">413 0 0,'0'0'0,"0"0"16,0 0-16,0 0 0,0 0 15,0 0-15,0 0 16,0 0-16,0 0 15,0 0-15,0 0 16,0 0-16,0 0 16,0 0-16,0 0 15,-13 0-15,-12 24 16,-25 13-16,-12 23 16,11 13-1,27-24-15,-2-2 16,1 14-16,1 0 15,-15-1-15,14-11 16,1-12-16,11-1 16,0-12-16,13 0 15,0 1-15,0-1 16,0-24-16,0 12 16,13 0-16,0 1 15,-1 11-15,0 12 16,1 12-1,-1-11-15,-12 24 16,0-13-16,0 25 16,0-24-16,0-1 15,0 1-15,13-1 16,0 1-16,0-13 16,-2 0-16,15 1 15,-1-13-15,-12 1 16,-1-2-16,0-11 15,1 1-15,-1-1 16,1 0 0,0 12-16,-1 1 15,1-1-15,-1 1 16,0-1-16,1-1 16,12 2-16,0-1 15,0 13-15,0-1 16,-12 0-16,0 13 15,-2 0-15,2-13 16,0 12-16,-13 1 16,0 0-1,0-1-15,0 0 16,0-11-16,0-1 16,0 1-16,0-13 15,0 0-15,0 0 16,0 1-16,0-1 15,0 0-15,0 13 16,0-1-16,-13 0 16,13 13-16,0-12 15,0-1-15,0 0 16,0-12-16,0 1 16,0-13-16,0 0 15,13 0 1,-1 0-16,1 13 15,0-13-15,-1-1 16,0 14-16,1 11 16,-1 25-16,1 24 15,-13 37-15,-25 11 16,0 0-16,13-24 16,-1 1-16,13-38 15,0-11 1,0-12-16,13-13 15,-1 0-15,0 0 16,13-11-16,-12-1 16,12 1-16,-13-1 15,1 12-15,-1 0 16,1 1-16,-13-1 16,0 1-16,0-1 15,-13 0-15,1 1 16,12 24-1,0 11-15,0-11 16,0-1-16,12 1 16,-12 0-16,0-1 15,0 1-15,-12 0 16,-1-13-16,1 1 16,0 0-16,-1-13 15,0 0-15,1 0 16,12-11-16,-13-1 15,13 1-15,0-1 16,0-12-16,0 0 16,0 0-16,0 0 15,0 12 1,0 1-16,0-1 16,0 0-16,13 1 15,-13-1-15,12 0 16,1 0-16,-13 0 15,0 1-15,0 11 16,0 1-16,0-1 16,0-12-16,0 13 15,0-13 1,-13 13-16,1-2 16,-1 2-16,13-13 15,-12 13-15,0-1 16,-1 12-16,13 1 15,-13 12-15,1-1 16,-1 25-16,-11 49 16,-2 72-16,14-109 15,-101-24-15,113-73 16</inkml:trace>
  </inkml:traceGroup>
</inkml:ink>
</file>

<file path=xl/ink/ink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10T15:00:36.732"/>
    </inkml:context>
    <inkml:brush xml:id="br0">
      <inkml:brushProperty name="width" value="0.025" units="cm"/>
      <inkml:brushProperty name="height" value="0.025" units="cm"/>
      <inkml:brushProperty name="color" value="#004F8B"/>
    </inkml:brush>
  </inkml:definitions>
  <inkml:traceGroup>
    <inkml:annotationXML>
      <emma:emma xmlns:emma="http://www.w3.org/2003/04/emma" version="1.0">
        <emma:interpretation id="{EB76042E-C2DA-4630-A421-F5AA1BA1A9DA}" emma:medium="tactile" emma:mode="ink">
          <msink:context xmlns:msink="http://schemas.microsoft.com/ink/2010/main" type="writingRegion" rotatedBoundingBox="19764,13277 19779,13277 19779,13292 19764,13292"/>
        </emma:interpretation>
      </emma:emma>
    </inkml:annotationXML>
    <inkml:traceGroup>
      <inkml:annotationXML>
        <emma:emma xmlns:emma="http://www.w3.org/2003/04/emma" version="1.0">
          <emma:interpretation id="{5CD6E1CE-727E-497D-9338-B8B4BB53A974}" emma:medium="tactile" emma:mode="ink">
            <msink:context xmlns:msink="http://schemas.microsoft.com/ink/2010/main" type="paragraph" rotatedBoundingBox="19764,13277 19779,13277 19779,13292 19764,13292" alignmentLevel="1"/>
          </emma:interpretation>
        </emma:emma>
      </inkml:annotationXML>
      <inkml:traceGroup>
        <inkml:annotationXML>
          <emma:emma xmlns:emma="http://www.w3.org/2003/04/emma" version="1.0">
            <emma:interpretation id="{1712D340-6D70-4546-803A-D9937DCFB9A1}" emma:medium="tactile" emma:mode="ink">
              <msink:context xmlns:msink="http://schemas.microsoft.com/ink/2010/main" type="line" rotatedBoundingBox="19764,13277 19779,13277 19779,13292 19764,13292"/>
            </emma:interpretation>
          </emma:emma>
        </inkml:annotationXML>
        <inkml:traceGroup>
          <inkml:annotationXML>
            <emma:emma xmlns:emma="http://www.w3.org/2003/04/emma" version="1.0">
              <emma:interpretation id="{C072CBC7-6169-406B-B18A-95C70051050D}" emma:medium="tactile" emma:mode="ink">
                <msink:context xmlns:msink="http://schemas.microsoft.com/ink/2010/main" type="inkWord" rotatedBoundingBox="19764,13277 19779,13277 19779,13292 19764,13292"/>
              </emma:interpretation>
              <emma:one-of disjunction-type="recognition" id="oneOf0">
                <emma:interpretation id="interp0" emma:lang="" emma:confidence="0">
                  <emma:literal>!</emma:literal>
                </emma:interpretation>
                <emma:interpretation id="interp1" emma:lang="" emma:confidence="0">
                  <emma:literal>.</emma:literal>
                </emma:interpretation>
                <emma:interpretation id="interp2" emma:lang="" emma:confidence="0">
                  <emma:literal>i</emma:literal>
                </emma:interpretation>
                <emma:interpretation id="interp3" emma:lang="" emma:confidence="0">
                  <emma:literal>:</emma:literal>
                </emma:interpretation>
                <emma:interpretation id="interp4" emma:lang="" emma:confidence="0">
                  <emma:literal>f</emma:literal>
                </emma:interpretation>
              </emma:one-of>
            </emma:emma>
          </inkml:annotationXML>
          <inkml:trace contextRef="#ctx0" brushRef="#br0">0-2147483648 24575,'0'0'-8191</inkml:trace>
          <inkml:trace contextRef="#ctx0" brushRef="#br0" timeOffset="1">0-2147483648 24575,'0'0'-8191</inkml:trace>
        </inkml:traceGroup>
      </inkml:traceGroup>
    </inkml:traceGroup>
  </inkml:traceGroup>
</inkml:ink>
</file>

<file path=xl/ink/ink20.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0T15:26:06.679"/>
    </inkml:context>
    <inkml:brush xml:id="br0">
      <inkml:brushProperty name="width" value="0.03528" units="cm"/>
      <inkml:brushProperty name="height" value="0.03528" units="cm"/>
      <inkml:brushProperty name="color" value="#2E75B5"/>
    </inkml:brush>
  </inkml:definitions>
  <inkml:trace contextRef="#ctx0" brushRef="#br0">550 7010 0,'0'0'0,"0"0"16,0 0-16,0 0 0,0 0 15,0 0-15,0 0 16,0 0-16,0 0 15,0 0-15,0 0 16,0 0-16,0 0 16,0 0-16,0 0 15,-17 0-15,-16-25 16,-34-13-16,-16-24 16,16-14-1,34 26-15,-1 1 16,1-14-16,-1 0 15,-16 1-15,17 11 16,0 13-16,16 1 16,0 12-16,17 0 15,0 0-15,0 0 16,0 25-16,0-13 16,17 1-16,0-1 15,-1-12-15,1-12 16,0-13-1,-1 12-15,-16-25 16,0 14-16,0-27 16,0 26-16,0 0 15,0 0-15,17-1 16,0 1-16,-1 13 16,1 0-16,16-1 15,1 13-15,-17-1 16,-1 2-16,1 12 15,0-1-15,-1 0 16,1 1 0,0-13-16,-1-1 15,1 1-15,0 0 16,-1 0-16,1 1 16,16-2-16,1 1 15,-1-13-15,0 1 16,-16 0-16,0-14 15,0 1-15,-1 12 16,1-11-16,-17-1 16,0-1-1,0 1-15,0 0 16,0 13-16,0-1 16,0 0-16,0 13 15,0 1-15,0-2 16,0 1-16,0 0 15,0 0-15,0-13 16,0 1-16,-17 0 16,17-14-16,0 13 15,0 1-15,0 0 16,0 12-16,0-1 16,0 14-16,0-1 15,17 1 1,0-1-16,-1-12 15,1 12-15,0 2 16,-1-15-16,1-11 16,0-26-16,-1-24 15,-16-39-15,-33-12 16,0 0-16,16 26 16,0-1-16,17 38 15,0 12 1,0 13-16,17 12 15,0 1-15,-1-1 16,18 13-16,-18 0 16,18 0-16,-18 0 15,1-12-15,0-1 16,-1 0-16,-16 0 16,0 1-16,0 0 15,-16-1-15,-1 0 16,17-25-1,0-11-15,0 11 16,0 1-16,17-1 16,-17 0-16,0 1 15,0-1-15,-17 0 16,0 14-16,1-2 16,-1 1-16,0 12 15,1 1-15,-1-1 16,17 13-16,-17 0 15,17 0-15,0 0 16,0 12-16,0 0 16,0 2-16,0-2 15,0-12 1,0 0-16,0 0 16,0-1-16,17 1 15,-17 0-15,17 1 16,-1-1-16,-16 0 15,0-1-15,0-11 16,0-1-16,0 1 16,0 12-16,0-13 15,0 13 1,-16-13-16,-1 1 16,0-1-16,17 13 15,-16-13-15,-1 1 16,0-13-16,17 0 15,-16-13-15,-1 1 16,0-26-16,-16-50 16,-1-75-16,18 113 15,-134 25-15,150 75 16</inkml:trace>
</inkml:ink>
</file>

<file path=xl/ink/ink21.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0T15:26:07.095"/>
    </inkml:context>
    <inkml:brush xml:id="br0">
      <inkml:brushProperty name="width" value="0.03528" units="cm"/>
      <inkml:brushProperty name="height" value="0.03528" units="cm"/>
      <inkml:brushProperty name="color" value="#2E75B5"/>
    </inkml:brush>
  </inkml:definitions>
  <inkml:trace contextRef="#ctx0" brushRef="#br0">151 0 0,'0'0'0,"0"0"16,0 0-16,0 0 0,0 0 15,0 0-15,0 0 16,0 0-16,0 0 15,0 0-15,0 0 16,0 0-16,0 0 16,0 0-16,0 0 15,8 0-15,6 25 16,15 12-16,8 25 16,-8 13-1,-14-25-15,-1 0 16,1 12-16,0 1 15,7-1-15,-8-12 16,1-13-16,-8 0 16,0-12-16,-7 0 15,0 0-15,0 0 16,0-25-16,0 13 16,-7-1-16,0 1 15,0 12-15,-1 12 16,1 13-1,0-13-15,7 25 16,0-12-16,0 26 16,0-27-16,0 1 15,0 0-15,-8 0 16,1-1-16,0-11 16,-1 0-16,-6-1 15,-1-12-15,8-1 16,0 1-16,-1-12 15,1-1-15,0 1 16,-1 0 0,1 12-16,0 0 15,-1 0-15,1-1 16,0 1-16,-1 0 16,-6 0-16,-1 0 15,1 13-15,-1-2 16,8 2-16,-1 12 15,1 0-15,0-13 16,-1 13-16,8 0 16,0 0-1,0 0-15,0 0 16,0-13-16,0 1 16,0-1-16,0-12 15,0 0-15,0 0 16,0 0-16,0 0 15,0-1-15,0 14 16,0-1-16,8 1 16,-8 12-16,0-13 15,0 0-15,0 1 16,0-13-16,0 0 16,0-12-16,0-2 15,-8 2 1,1-1-16,0 13 15,0-12-15,-1-1 16,1 13-16,0 13 16,-1 24-16,1 25 15,7 38-15,15 12 16,-1 1-16,-6-26 16,-1-1-16,-7-35 15,0-15 1,0-11-16,-7-12 15,-1 0-15,1-1 16,-8-13-16,8 1 16,-8 1-16,8-1 15,0 12-15,0 1 16,-1-2-16,8 2 16,0 0-16,0-1 15,8 0-15,-1 1 16,-7 24-1,0 12-15,0-11 16,0 0-16,-7-1 16,7 0-16,0 1 15,0-1-15,7 0 16,0-12-16,0 0 16,1 0-16,-1-13 15,0 1-15,1-1 16,-8-12-16,7 0 15,-7 0-15,0 0 16,0-13-16,0 1 16,0 0-16,0-1 15,0 12 1,0 1-16,0 0 16,0 0-16,-7 0 15,7 1-15,-8-1 16,1-1-16,7 1 15,0 0-15,0 13 16,0-1-16,0 1 16,0-14-16,0 13 15,0-11 1,7 11-16,1 1 16,-1-2-16,-7-11 15,7 13-15,1 0 16,-1 12-16,-7-1 15,7 14-15,0-1 16,1 25-16,6 50 16,1 75-16,-8-112 15,59-25-15,-66-75 16</inkml:trace>
</inkml:ink>
</file>

<file path=xl/ink/ink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11T15:37:06.732"/>
    </inkml:context>
    <inkml:brush xml:id="br0">
      <inkml:brushProperty name="width" value="0.025" units="cm"/>
      <inkml:brushProperty name="height" value="0.025" units="cm"/>
      <inkml:brushProperty name="color" value="#004F8B"/>
    </inkml:brush>
  </inkml:definitions>
  <inkml:traceGroup>
    <inkml:annotationXML>
      <emma:emma xmlns:emma="http://www.w3.org/2003/04/emma" version="1.0">
        <emma:interpretation id="{71C3B545-CF75-4EF4-A70E-21E31DE0120D}" emma:medium="tactile" emma:mode="ink">
          <msink:context xmlns:msink="http://schemas.microsoft.com/ink/2010/main" type="inkDrawing"/>
        </emma:interpretation>
      </emma:emma>
    </inkml:annotationXML>
    <inkml:trace contextRef="#ctx0" brushRef="#br0">-2147483648-2147483648 24575,'0'0'-8191</inkml:trace>
    <inkml:trace contextRef="#ctx0" brushRef="#br0" timeOffset="1">-2147483648-2147483648 24575,'0'0'-8191</inkml:trace>
  </inkml:traceGroup>
</inkml:ink>
</file>

<file path=xl/ink/ink23.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1T16:21:03.753"/>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CA05ACF6-77DF-4C0F-9AD1-AB4FD06CB1D4}" emma:medium="tactile" emma:mode="ink">
          <msink:context xmlns:msink="http://schemas.microsoft.com/ink/2010/main" type="inkDrawing" rotatedBoundingBox="40695,15704 40746,12103 41094,12108 41043,15709" shapeName="Other"/>
        </emma:interpretation>
      </emma:emma>
    </inkml:annotationXML>
    <inkml:trace contextRef="#ctx0" brushRef="#br0">0 0 0,'0'0'16,"0"0"-16,7 0 15,0 21-15,-1-8 16,1 7-1,0-20-15,7 14 16,-7-14-16,7 7 16,-1 6-16,1-13 15,0 0-15,0 0 16,-7 0-16,7 0 16,-1 0-16,1 14 15,0-7-15,0 6 16,-1 7-16,-6 1 15,0-1 1,0 7-16,0-20 16,-7 6-16,7 8 0,-7-8 15,0 7-15,0 1 16,0-8 0,0-6-16,0 7 15,0-1-15,0-6 16,7 6-16,0 8 15,0-8-15,-1-6 16,8 6-16,-7 8 16,7-1-16,-7-6 15,0-14-15,-7 0 16,0 20-16,-7 14 16,-7-1-16,0 8 15,7-7 1,0 6-16,7 21 15,7-20-15,0-1 16,0-6-16,0-13 16,-7-8-16,0 1 15,0-8-15,0 8 16,0 6-16,0 0 16,-7 14-16,0-20 15,0 26-15,0-6 16,7-13-16,0 12 15,0 1-15,0 0 16,0 0-16,-6 6 16,6-19-1,0-8-15,0 7 16,0 14-16,0 0 16,0 7-16,0-21 15,0 14-15,0-21 16,0 8-16,0-1 15,0 0-15,0-6 16,0 20-16,0-14 16,0-7-16,6 21 15,-6-14-15,0 1 16,0-1-16,0-6 16,-6-14-16,-1 20 15,0 0-15,0 7 16,7-7-1,0 1-15,0 19 16,0-6-16,0 0 16,0-14-16,0-6 15,0 6-15,0-6 16,0-8-16,0 8 16,0-14-16,7 20 15,0-6-15,-7-8 16,0 8-16,0-14 15,0 14-15,0-8 16,0 8-16,-7 6 16,-7-6-16,0-8 15,7-6 1,-6 14-16,6-14 16,0 7-16,-7 26 15,0-5-15,0-8 16,8 20-16,-8-6 15,0 0-15,0 0 16,0-14-16,1 14 16,6 0-16,0-14 15,0 0-15,0 1 16,7-8-16,0-6 16,0 6-16,0-13 15,0 21-15,0-8 16,0-6-1,0 7-15,0 6 16,7-7-16,0 1 16,0-7-16,0 6 15,-1 7-15,1 1 16,0-8-16,0 8 16,0-8-16,0-6 15,0 13-15,0-6 16,0 6-16,0-6 15,-7 19-15,0-12 16,0-1-16,0-7 16,0 8-16,0-8 15,0-6 1,0 7-16,0-14 16,0 20-16,0-7 15,6-6-15,1 7 16,0 6-16,0 0 15,0 14-15,0-20 16,0 6-16,0 0 16,0 0-16,-1 14 15,-6-13-15,0-8 16,0 7-16,7-6 16,0-7-16,0 6 15,7 1-15,0 6 16,-14-20-1,7 20-15,-1-6 16,1-7-16,0 6 16,0 1-16,-7-8 15,-7 8-15,7-14 16</inkml:trace>
  </inkml:traceGroup>
</inkml:ink>
</file>

<file path=xl/ink/ink24.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1T16:21:37.640"/>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07C84792-B926-4459-BA72-DE291069729C}" emma:medium="tactile" emma:mode="ink">
          <msink:context xmlns:msink="http://schemas.microsoft.com/ink/2010/main" type="inkDrawing" rotatedBoundingBox="44422,12174 44564,15936 44169,15951 44026,12190" shapeName="Other"/>
        </emma:interpretation>
      </emma:emma>
    </inkml:annotationXML>
    <inkml:trace contextRef="#ctx0" brushRef="#br0">368-1 0,'0'0'0,"0"0"16,0 0-16,0 0 16,0 0-16,0 0 15,0 0-15,0 0 16,0 0-16,0 0 16,0 0-16,0 21 15,0-21-15,0 0 16,0 0-16,0 0 15,0 13-15,0-13 16,0 0 0,0 7-16,0 7 15,0-14-15,0 0 16,0 0-16,0 13 16,0-13-16,0 0 15,0 0-15,0 0 16,0 7-16,0-7 15,0 13-15,0-6 16,-7 7-16,-7 20 16,-14-1-16,0 1 15,-6 7 1,-1-7-16,7 0 16,1 0-16,13-28 15,0 8-15,7-7 16,0 6-16,0-13 15,0 14-15,0-14 16,0 0-16,0 6 16,-7-6-16,1 14 15,-8 27-15,7-8 16,0-12-16,7 13 16,0-14-1,7 14-15,0 20 16,0-20-16,0-14 15,7 0-15,0 8 16,0-8-16,0-7 16,0-6-16,-7-7 15,0 0-15,0 14 16,0 20-16,0-14 16,0 20-16,7-6 15,-7 0-15,7 0 16,-7 7-1,7-7-15,-7-1 16,7 1-16,6-7 16,-6 0-16,0-20 15,-7 7-15,7-14 16,-7 0-16,7 13 16,-7-13-16,7 7 15,-7-7-15,0 0 16,7 0-16,-7 0 15,7 14-15,0-14 16,0 0 0,0 6-16,0 8 15,0-14-15,0 20 16,0-6-16,0 6 16,-1 0-16,1 14 15,-7 0-15,0 0 16,0-14-16,0 14 15,0-14-15,0 1 16,0-1 0,0 7-16,0-20 15,0 6-15,0 8 0,0-8 16,0-6 0,0-7-16,0 0 15,0 0-15,0 0 16,0 0-16,0 14 15,0-14-15,7 0 16,0 13-16,0-6 16,0-7-16,0 13 15,0-13-15,0 21 16,0-8 0,7-6-16,0 7 15,-7 6-15,6-7 16,-6 8-16,0-1 15,0 0-15,-7-6 16,0 6-16,0 14 16,-7-14-16,0-6 15,0 20-15,0-14 16,-6 0-16,6 1 16,0-8-16,0 8 15,0-8 1,7-6-16,0 6 15,0 8-15,0-8 16,0 8-16,0-1 16,0 0-16,0 7 15,0-20-15,0 13 16,0 7-16,0-6 16,0-1-16,0 14 15,0-14-15,0 1 16,0 6-1,-7-7-15,0 0 16,7 1-16,0-8 16,0-13-16,0 7 15,7 6-15,0 8 16,0-8-16,7 8 16,0-8-16,-1 7 15,1 14-15,-7-13 16,-7-1-16,0 14 15,0-14-15,-7 14 16,0-14-16,-7 14 16,1-14-1,-1 14-15,7-20 16,7 6-16,0 0 16,7 14-16,0-13 15,7 12-15,-1 1 16,-6 0-16,0 0 15,-7-14-15,0 14 16,-7-14-16,0 14 16,-6-13-16,6-1 15,0 0 1,0 7-16,0-6 16,0-15-16,0 8 15,0-14-15,7 0 16,0 0-16,0 0 15,0 0-15,0 14 16,0-8-16,0-6 16,0 14-16,0-14 15,0 7-15,0 6 16,0 1-16,0-8 16,0 8-1,0 0-15,0-8 16,0 8-16,0-14 15,0 7-15,0 6 16,0-13-16,0 0 16,0 14-16,0-8 15,0-6-15,0 0 16,0 0-16,0 0 16,7 14-16,0-14 15,0 41-15,0 26 16,-7-67-16</inkml:trace>
  </inkml:traceGroup>
</inkml:ink>
</file>

<file path=xl/ink/ink25.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1T16:21:42.464"/>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B4A4A5CA-AE87-40DE-865B-2124FADE319D}" emma:medium="tactile" emma:mode="ink">
          <msink:context xmlns:msink="http://schemas.microsoft.com/ink/2010/main" type="inkDrawing" rotatedBoundingBox="43492,12297 43911,15606 43634,15641 43216,12332" shapeName="Other"/>
        </emma:interpretation>
      </emma:emma>
    </inkml:annotationXML>
    <inkml:trace contextRef="#ctx0" brushRef="#br0">465 3196 0,'0'13'0,"0"-13"16,0 0-16,0 0 16,0 0-16,0 0 15,0 0 1,-7 0-16,0 0 15,0 0-15,0 0 16,0 0-16,7 0 16,0 0-16,0 0 15,-7-13-15,0-8 16,7-33-16,0 0 16,0 0-16,-13-14 15,6 14-15,0 20 16,0 14-16,7 6 15,0 7 1,0-13-16,0-7 16,0 7-16,7-34 15,-7 13-15,0 7 16,0 0-16,0 0 16,-7 14-16,0 7 15,0-8-15,0 1 16,-7 6-16,0 8 15,0-8-15,1-6 16,6 6-16,-7 7 16,7-6-16,0 13 15,0-14-15,0 8 16,-7 6-16,0-14 16,0 14-16,0-7 15,1-6-15,-1 13 16,0-14-1,0-6-15,-7 0 16,0-1-16,7-13 16,1 14-16,-1-14 15,7 14-15,7-7 16,0 6-16,7-12 16,0 12-16,0-13 15,0 14-15,-1 0 16,1 6-16,0 7 15,-7-20-15,0 7 16,0 0 0,0 6-16,-7-6 15,7 0-15,0-14 16,0 13-16,0-12 0,0 12 16,0-13-1,0 1-15,7 12 16,0 1-16,0-14 15,0 21-15,0-8 16,0 8-16,0 6 16,0-7-16,-7 8 15,0-8-15,0-6 16,0-1 0,0-6-16,0 7 15,0 0-15,0-1 16,0-6-16,0 7 15,0 0-15,0-1 16,-7 8-16,7-8 16,-7 8-16,0 6 15,0-6-15,7-1 16,0 7-16,-7 7 16,0-13-16,7 13 15,0 0-15,-7 0 16,7 0-16,-7-7 15,0-7-15,1 14 16,-1-13-16,0 6 16,0 7-1,7-13-15,0 13 16,0-7-16,-7-7 16,0 14-16,0-13 15,7 6-15,0-7 16,0 8-16,0-8 15,0-6-15,0-1 16,0-6-16,0 7 16,0 0-16,0 6 15,0 7-15,0-6 16,0-7-16,0 6 16,0 7-16,0-6 15,0-8 1,0 8-16,0 13 15,0-20-15,0-1 16,0-6-16,0 7 16,0 13-16,0-6 15,0-8-15,0 8 16,0 13-16,0-7 16,0-7-16,0 1 15,0 6-15,0 7 16,0-13-16,0 6 15,0-7-15,0-6 16,0 6 0,0-6-16,0 6 15,0 8-15,0-21 16,0 6-16,0 15 16,0-8-16,0-6 15,0 6-15,0-6 16,0 6-16,-7 8 15,7-8-15,-7-6 16,7 6-16,0 7 16,0 7-16,-7-13 15,0-8-15,0 8 16,7 6-16,-7-6 16,7-1-1,0 7-15,0 7 16,0 0-16,0 0 15,0-13-15,0 13 16,0-7-16,0-7 16,0 14-16,0-13 15,0 6-15,0 7 16,0 0-16,0 0 16,0 0-16,0-13 15,0 6-15,0-7 16,0 14-16,0-13 15,0 13-15,0 0 16,0-7 0,0 7-16,0 0 15,0 0-15,0 0 16,0-14-16,0 14 16,0 0-16,0 0 15,0-6-15,0 6 16,0-14-16,0 14 15,0 0-15,0 0 16,0 0-16,0 0 16,0 0-16,0-13 15,0 13-15,0 0 16,0 0-16,0 0 16,0 0-16,0 0 15,0 0 1,0-7-16,0-7 15,0 14-15,7-20 16,-7 6-16,0 8 16,0-8-16,0 14 15,0-13-15,0 13 16,0 0-16</inkml:trace>
  </inkml:traceGroup>
</inkml:ink>
</file>

<file path=xl/ink/ink26.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1T16:22:13.552"/>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6E4CDA99-B394-4EF9-8442-A941918F03AA}" emma:medium="tactile" emma:mode="ink">
          <msink:context xmlns:msink="http://schemas.microsoft.com/ink/2010/main" type="inkDrawing" rotatedBoundingBox="41788,12271 41855,15543 41558,15549 41492,12277" shapeName="Other"/>
        </emma:interpretation>
      </emma:emma>
    </inkml:annotationXML>
    <inkml:trace contextRef="#ctx0" brushRef="#br0">277 0 0,'0'0'0,"0"0"0,0 7 16,0 7 0,0-1-16,0-6 15,0-7-15,0 0 16,0 0-16,0 0 16,0 0-16,0 0 15,-6 0-15,-1 14 16,-7 6-16,0-6 15,0-7-15,-7 13 16,0 8-16,1-8 16,6 0-16,7-6 15,0 7-15,0-1 16,0-6 0,0-8-16,7 8 15,0 7-15,0-8 16,0-6-16,0 7 15,0-1-15,0-6 16,0-7-16,0 14 16,0-14-16,0 20 15,0-20-15,0 14 16,0-7-16,0 6 16,0-6-16,0 7 15,0 6-15,0-6 16,0-14-16,0 0 15,-7 13 1,7-13-16,-7 7 16,7 7-16,0 6 15,-7 1-15,7-8 16,0 8-16,0-1 16,-7 28-16,7-21 15,-7 1-15,0-8 16,0 1-16,0-1 15,1 7-15,-1-6 16,0-14-16,0 6 16,0 8-16,0-8 15,0-6-15,0 7 16,7-1 0,0-6-16,0-7 15,0 0-15,0 0 16,0 0-16,0 0 15,0 0-15,0 0 16,0 0-16,0 0 16,0 14-16,0-14 15,0 13-15,0-6 16,0 7-16,7 6 16,-7 1-16,0-1 15,0 8-15,7-8 16,-7 1-16,7-1 15,-7-6-15,0-8 16,0 8 0,0 0-16,7 6 15,-7-6-15,0-7 16,0 6-16,0-13 16,0 7-16,0 7 15,0-14-15,7 13 16,0-6-16,6 7 15,1 6-15,0 1 16,0-8-16,-7-6 16,0 7-16,0-1 15,0-6-15,0 7 16,0 6-16,-7-6 16,0-7-1,0 6-15,0 8 16,0 13-16,0-14 15,0 15-15,0-15 16,7 14-16,0 0 16,0-13-16,-1-8 15,1 8-15,0-8 16,0-6-16,0 7 16,-7 6-16,0-6 15,0-7-15,0 6 16,0-13-16,0 21 15,0-8 1,-7-6-16,0 7 0,0 6 16,0-6-1,1-7-15,-1 20 16,0-6-16,7-1 16,0 0-16,0 1 15,0 6-15,0-6 16,0-1-16,0-6 15,7-7-15,0 6 16,-1 8-16,1-8 16,0-6-16,0 7 15,0 6-15,0-6 16,-7-7-16,0 6 16,0 8-1,0-8-15,0-6 16,-7 7-16,0 6 15,0-6-15,0 0 16,0 6-16,1-13 16,-1 7-16,0 6 15,0-6-15,0-14 16,0 20-16,0-20 16,0 21-16,7-21 15,0 13-15,0-13 16,0 7-1,0 7-15,0-1 16,0-6-16,0-7 16,0 14-16,7 6 15,0-6-15,0-7 16,0 6-16,-7 1 16,7-7-16,0 6 15,0-6-15,-1 7 16,1-14-16,0 20 15,0-20-15,0 14 16,-7 6-16,0-20 16,0 14-16,0-7 15,0-7-15,0 13 16,0-13-16,0 7 16,0 7-1,0-14-15,0 14 16,0-8-16,0-6 15,0 14-15,0-14 16,0 0-16,0 14 16,-7-8-16,0-6 15,0 21-15,7-7 16,-7 6-16,1-6 16,-1-8-16,0 8 15,7 0-15,-7-7 16,7 6-16,0-13 15,0 21 1,0-21-16,0 20 16,0-6-16,7 6 15,0-6-15,0-7 16,-1 6-16,1 8 16,0-8-16,0 8 15,-7-1-15,0 1 16,-7 6-16,0-7 15,-6 1-15,-1-1 16,0 28-16,14-48 16</inkml:trace>
  </inkml:traceGroup>
</inkml:ink>
</file>

<file path=xl/ink/ink27.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1T16:22:49.270"/>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C5CEFE39-1EA4-4C65-89FE-EB9FFBCF6502}" emma:medium="tactile" emma:mode="ink">
          <msink:context xmlns:msink="http://schemas.microsoft.com/ink/2010/main" type="inkDrawing" rotatedBoundingBox="42856,12959 42986,16955 42772,16962 42641,12966" shapeName="Other"/>
        </emma:interpretation>
      </emma:emma>
    </inkml:annotationXML>
    <inkml:trace contextRef="#ctx0" brushRef="#br0">139 0 0,'0'0'16,"0"0"-16,0 0 15,0 0-15,0 0 16,-7 0-16,7 0 16,-7 0-16,0 0 15,7 0-15,-7 0 16,7 0-1,0 0-15,0 0 16,0 0-16,0 0 16,0 0-16,0 0 15,0 0-15,0 0 16,0 0-16,0 0 16,0 0-16,0 7 15,0 7-15,0 6 16,-7-6-16,0 6 15,0-6-15,0 6 16,0-13-16,0 20 16,1-7-1,6 0-15,0 1 16,0-8-16,0 8 16,0-8-16,0 8 15,0-8-15,6-6 16,1 7-16,0 6 15,0-7-15,0-6 16,0 7-16,0 6 16,0-6-16,0-7 15,0 6-15,0 7 16,0-6-16,0-7 16,-7 6-16,0 8 15,0-8 1,0-6-16,0 7 15,0 6-15,7-6 16,-7 6-16,0 0 16,0-6-16,0 6 15,0-6-15,0 6 16,0-13-16,-7 20 16,7-20-16,0 20 15,0-20-15,0 6 16,-7 8-16,7-8 15,-7 8-15,7-15 16,0 8-16,0 6 16,0-20-1,0 14-15,0-7 16,0 6-16,0 1 16,0-7-16,0-7 15,0 13-15,0-13 16,0 14-16,0-8 15,0-6-15,0 0 16,0 0-16,0 0 16,0 14-16,0-14 15,-7 7-15,0 6 16,0-13-16,0 14 16,0-7-16,0-7 15,-7 13-15,0 8 16,1-8-1,-1-6-15,0 7 16,7 6-16,0-20 16,0 13-16,7-6 15,-7 7-15,7-14 16,0 7-16,0 6 16,0 8-16,0-8 15,7 7-15,0-6 16,7 6-16,0-6 15,0 6-15,-7 14 16,6-13-16,1 12 16,-7-12-1,7-8-15,0 8 16,-7-14-16,0 6 16,0 7-16,0-6 15,0-7-15,0 6 16,7 8-16,-7-8 15,0 8-15,0-8 16,0-6-16,0 13 16,0-6-16,0 6 15,-7-6-15,0 6 16,0-6-16,0-8 16,0 8-16,0 6 15,0-6-15,0-7 16,0 20-16,0-20 15,0 6 1,0 8-16,0-8 16,0-6-16,0 7 15,0-14-15,0 20 16,0-7-16,0-13 16,0 7-16,0 7 15,0 6-15,0-20 16,0 14-16,0 6 15,0-20-15,0 20 16,0-20-16,0 14 16,0-14-16,0 0 15,0 0 1,0 0-16,0 0 16,0 0-16,0 0 15,0 0-15,0 0 16,0 0-16,0 0 15,0 0-15,0 0 16,0 0-16,0 0 16,0 0-16,0 0 15,0 0-15,-7 7 16,0 6-16,0 8 16,0-1-16,7 7 15,-7-7 1,7 1-16,0-8 15,0 8-15,-7 13 16,7 0-16,0-14 16,0 0-16,0 1 15,0-8-15,0 8 16,0-21-16,0 0 16,0 0-16,0 0 15,0 0-15,0 0 16,0 0-16,0 0 15,0 0-15,0 0 16,0 0-16,0 0 16,0 0-16,0 0 15,0 13 1,0-6-16,0 20 16,0-7-16,0 14 15,0-13-15,0 13 16,0-14-16,0 0 15,0-6-15,0-7 16,0 6-16,0-13 16,0 0-16,0 0 15,0 0-15,0 0 16,0 0-16,0 0 16,0 0-16,0 14 15,0-7-15,0-7 16,0 13-16,0-13 15,7 20 1,-7-6-16,7 6 16,0 14-16,0-27 15,-7 7-15,7 6 16,-7-20-16,0 14 16,0-14-16,0 0 15,0 6-15,0-6 16,0 0-16,0 14 15,0-14-15,0 13 16,0-6-16,0-7 16,0 14-16,0-7 15,0 6 1,0 8-16,0-21 16,-7 13-16,7-6 15,-7 6-15,7 1 16,0-7-16,0-7 15,0 13-15,0-13 16,-7 21-16,7-8 16,0-6-16,0 7 15,0 6-15,-7-6 16,7 6-16,-7 0 16,0-6-16,0 6 15,7 14 1,0-14-16,0 1 15,0-1-15,0 7 16,0-20-16,0 7 16,0 6-16,0-6 15,0-14-15,0 20 16,0-7-16,0-6 16,0 7-16,0-7 15,0 6-15,0-13 16,0 21-16,0-21 15,7 13-15,-7 7 16,0-20-16,0 21 16,0-8-1,0-6-15,0 7 16,0-1-16,7 8 16,0 13-16,-7 6 15,0-19-15,0 6 16,7-7-16,-7-13 15,0 6-15,0 1 16,0-7-16,0-7 16,0 0-16,0 0 15,0 13-15,0-13 16,0 0-16,0 0 16,0 0-16,0 14 15,0-7-15,0-7 16,0 13-16,0-13 15,0 7 1,0 7-16,0-14 16,0 0-16,0 13 15,0-6-15,7-7 16,0 14-16,0-8 16,0 8-16,0 6 15,0 14-15,-7 34 16,13-14-16,-13-54 15</inkml:trace>
  </inkml:traceGroup>
</inkml:ink>
</file>

<file path=xl/ink/ink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11T15:41:43.904"/>
    </inkml:context>
    <inkml:brush xml:id="br0">
      <inkml:brushProperty name="width" value="0.025" units="cm"/>
      <inkml:brushProperty name="height" value="0.025" units="cm"/>
      <inkml:brushProperty name="color" value="#004F8B"/>
    </inkml:brush>
  </inkml:definitions>
  <inkml:traceGroup>
    <inkml:annotationXML>
      <emma:emma xmlns:emma="http://www.w3.org/2003/04/emma" version="1.0">
        <emma:interpretation id="{1EE602A6-D832-4BEE-B84A-E1BC8C24CB96}" emma:medium="tactile" emma:mode="ink">
          <msink:context xmlns:msink="http://schemas.microsoft.com/ink/2010/main" type="inkDrawing"/>
        </emma:interpretation>
      </emma:emma>
    </inkml:annotationXML>
    <inkml:trace contextRef="#ctx0" brushRef="#br0">0-2147483648 24575,'0'0'-8191</inkml:trace>
    <inkml:trace contextRef="#ctx0" brushRef="#br0" timeOffset="1">0-2147483648 24575,'0'0'-8191</inkml:trace>
  </inkml:traceGroup>
</inkml:ink>
</file>

<file path=xl/ink/ink29.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2T17:19:24.779"/>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8F626006-C1D3-4B13-86CD-993FA2D9EBB5}" emma:medium="tactile" emma:mode="ink">
          <msink:context xmlns:msink="http://schemas.microsoft.com/ink/2010/main" type="inkDrawing" rotatedBoundingBox="44169,14680 44423,15863 44149,15922 43894,14740" semanticType="callout" shapeName="Other">
            <msink:sourceLink direction="with" ref="{74FE1CCC-4BE4-4037-ABCC-9E6CC19F21D4}"/>
            <msink:sourceLink direction="with" ref="{D5BC85AE-A670-4457-9657-2A4C2C055653}"/>
          </msink:context>
        </emma:interpretation>
      </emma:emma>
    </inkml:annotationXML>
    <inkml:trace contextRef="#ctx0" brushRef="#br0">209 0 0,'0'0'0,"0"0"16,0 10-16,0 0 16,0-1-1,0 1-15,0 0 16,0-1-16,0-9 16,0 10-16,-9-1 15,-10 11-15,-10 9 16,1-10-16,-1 10 15,0-10-15,10 0 16,0 0 0,0 1-16,9-1 15,10 0-15,0 20 16,0-11-16,10 11 16,9-1-16,0-9 15,10 0-15,19 10 16,-1-1-16,-9-9 15,-18-10-15,-1 10 16,0-10-16,-10 1 16,1-1-1,-1 10-15,1 9 16,-1 1-16,1-1 16,0 1-16,-1 9 15,1 29-15,-10-20 16,0-8-16,-10-11 15,1-9-15,-1 0 16,10-29-16</inkml:trace>
  </inkml:traceGroup>
</inkml:ink>
</file>

<file path=xl/ink/ink30.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2T17:19:27.835"/>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43B5C276-8BA8-4464-8FC9-818CA6F99EF5}" emma:medium="tactile" emma:mode="ink">
          <msink:context xmlns:msink="http://schemas.microsoft.com/ink/2010/main" type="inkDrawing" rotatedBoundingBox="41363,15123 41508,17409 41144,17432 40998,15146" semanticType="callout" shapeName="Other">
            <msink:sourceLink direction="with" ref="{74FE1CCC-4BE4-4037-ABCC-9E6CC19F21D4}"/>
          </msink:context>
        </emma:interpretation>
      </emma:emma>
    </inkml:annotationXML>
    <inkml:trace contextRef="#ctx0" brushRef="#br0">67 0 0,'0'0'0,"0"0"15,9 19 1,1 0-16,0-9 15,-1-1-15,-9-9 16,0 0-16,0 0 16,0 0-1,0 0-15,0 0 16,0 20-16,0-1 16,0 0-16,-9 0 15,-1 1-15,-9 8 16,0 1-1,0-9-15,9 18 16,0-9-16,1 0 16,9-10-16,0 20 15,9-1-15,1 0 16,28 68-16,1-38 16,-11-20-16,-9-10 15,10-9-15,-10 0 16,0 0-16,1 0 15,-1 0-15,-10-1 16,1 11 0,-1-1-16,1 1 15,0 19-15,-10-1 16,0 11-16,0-20 16,0-19-16,0 0 15,0-1-15,-10 1 16,10 0-16,-10 0 15,10 0-15,0-10 16,0 10-16,0 0 16,0 0-1,0 0-15,10-1 16,0 11-16,-1-1 16,1-9-16,-10 10 15,0-1-15,0-9 16,0 0-16,-10 0 15,1 0-15,-11 0 16,1-1-16,0 1 16,-10 0-16,-9 0 15,0 0-15,9 9 16,0-9 0,10-10-16,0 1 15,0-1-15,9 0 16,10 10-16,0 19 15,0-48-15</inkml:trace>
  </inkml:traceGroup>
</inkml:ink>
</file>

<file path=xl/ink/ink31.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2T17:19:26.188"/>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74FE1CCC-4BE4-4037-ABCC-9E6CC19F21D4}" emma:medium="tactile" emma:mode="ink">
          <msink:context xmlns:msink="http://schemas.microsoft.com/ink/2010/main" type="inkDrawing" rotatedBoundingBox="42864,15611 43287,17454 42925,17537 42502,15694" shapeName="Other">
            <msink:destinationLink direction="with" ref="{8F626006-C1D3-4B13-86CD-993FA2D9EBB5}"/>
            <msink:destinationLink direction="with" ref="{43B5C276-8BA8-4464-8FC9-818CA6F99EF5}"/>
          </msink:context>
        </emma:interpretation>
      </emma:emma>
    </inkml:annotationXML>
    <inkml:trace contextRef="#ctx0" brushRef="#br0">0 9 0,'0'0'0,"9"-9"15,10 9-15,0 0 16,20 19 0,-1 10-16,-9 0 15,9 0-15,0 9 16,1 1-16,-11-11 16,-9 1-16,-9 19 15,-10-9-15,-10-1 16,1 1-16,-10-1 15,9 10-15,1-9 16,-1-1-16,10 1 16,0-1-16,10 1 15,9-20 1,19 20-16,19 9 16,1-10-16,-10 1 15,-10-11-15,-9-8 16,-10 9-16,0-10 15,-9 10-15,-1 0 16,1 9-16,-10-9 16,-10 19-16,-18 10 15,-30 9-15,10-19 16,29-9-16,0-1 16,9-9-16,1 19 15,9 0 1,-10 0-16,-9 10 15,19 0-15,29 38 16,-1-48-16,-18-29 16,-10-19-16,0 0 15</inkml:trace>
  </inkml:traceGroup>
</inkml:ink>
</file>

<file path=xl/ink/ink32.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2T17:19:29.075"/>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D5BC85AE-A670-4457-9657-2A4C2C055653}" emma:medium="tactile" emma:mode="ink">
          <msink:context xmlns:msink="http://schemas.microsoft.com/ink/2010/main" type="inkDrawing" rotatedBoundingBox="44322,16870 44352,17804 44208,17808 44178,16875" shapeName="Other">
            <msink:destinationLink direction="with" ref="{8F626006-C1D3-4B13-86CD-993FA2D9EBB5}"/>
          </msink:context>
        </emma:interpretation>
      </emma:emma>
    </inkml:annotationXML>
    <inkml:trace contextRef="#ctx0" brushRef="#br0">0 10 0,'0'0'0,"9"-10"16,-9 10-16,0 0 16,0 0-16,0 0 15,0 0-15,0 0 16,0 0 0,19 10-16,1 9 15,-1 0-15,0 20 16,0-1-16,-9 1 15,-1-1-15,1-9 0,-1 0 16,1 0-16,-10 0 16,0-1-16,0 1 15,0 0 1,0 19-16,0-9 16,-19 76-16,9-38 15,1-19-15,-1-20 16,0 1-16,1-10 15,9 0-15,-10-10 16,-9 19-16,19-38 16</inkml:trace>
  </inkml:traceGroup>
</inkm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defRPr/>
        </a:defPPr>
      </a:lstStyle>
      <a:style>
        <a:lnRef idx="1">
          <a:schemeClr val="accent3"/>
        </a:lnRef>
        <a:fillRef idx="2">
          <a:schemeClr val="accent3"/>
        </a:fillRef>
        <a:effectRef idx="1">
          <a:schemeClr val="accent3"/>
        </a:effectRef>
        <a:fontRef idx="minor">
          <a:schemeClr val="dk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6.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7">
    <pageSetUpPr fitToPage="1"/>
  </sheetPr>
  <dimension ref="A1:AG87"/>
  <sheetViews>
    <sheetView showGridLines="0" tabSelected="1" view="pageBreakPreview" topLeftCell="A30" zoomScale="80" zoomScaleNormal="100" zoomScaleSheetLayoutView="80" zoomScalePageLayoutView="55" workbookViewId="0">
      <selection activeCell="P70" sqref="P70"/>
    </sheetView>
  </sheetViews>
  <sheetFormatPr baseColWidth="10" defaultRowHeight="12" x14ac:dyDescent="0.2"/>
  <cols>
    <col min="1" max="1" width="8.7109375" style="1" customWidth="1"/>
    <col min="2" max="2" width="20.7109375" style="1" customWidth="1"/>
    <col min="3" max="3" width="17.140625" style="1" customWidth="1"/>
    <col min="4" max="4" width="15.7109375" style="1" customWidth="1"/>
    <col min="5" max="5" width="24.42578125" style="1" customWidth="1"/>
    <col min="6" max="6" width="15.7109375" style="1" customWidth="1"/>
    <col min="7" max="9" width="20.7109375" style="1" customWidth="1"/>
    <col min="10" max="10" width="28.42578125" style="1" customWidth="1"/>
    <col min="11" max="11" width="19.42578125" style="1" customWidth="1"/>
    <col min="12" max="12" width="11.5703125" style="1" customWidth="1"/>
    <col min="13" max="13" width="2" style="1" customWidth="1"/>
    <col min="14" max="14" width="23.5703125" style="1" customWidth="1"/>
    <col min="15" max="15" width="11.42578125" style="1"/>
    <col min="16" max="16" width="22.140625" style="23" customWidth="1"/>
    <col min="17" max="17" width="18.5703125" style="12" customWidth="1"/>
    <col min="18" max="18" width="18.140625" style="12" customWidth="1"/>
    <col min="19" max="19" width="18" style="12" customWidth="1"/>
    <col min="20" max="20" width="17" style="11" customWidth="1"/>
    <col min="21" max="29" width="11.42578125" style="11"/>
    <col min="30" max="239" width="11.42578125" style="1"/>
    <col min="240" max="240" width="3" style="1" customWidth="1"/>
    <col min="241" max="247" width="17.42578125" style="1" customWidth="1"/>
    <col min="248" max="248" width="3.85546875" style="1" customWidth="1"/>
    <col min="249" max="249" width="3.5703125" style="1" customWidth="1"/>
    <col min="250" max="253" width="8.140625" style="1" customWidth="1"/>
    <col min="254" max="495" width="11.42578125" style="1"/>
    <col min="496" max="496" width="3" style="1" customWidth="1"/>
    <col min="497" max="503" width="17.42578125" style="1" customWidth="1"/>
    <col min="504" max="504" width="3.85546875" style="1" customWidth="1"/>
    <col min="505" max="505" width="3.5703125" style="1" customWidth="1"/>
    <col min="506" max="509" width="8.140625" style="1" customWidth="1"/>
    <col min="510" max="751" width="11.42578125" style="1"/>
    <col min="752" max="752" width="3" style="1" customWidth="1"/>
    <col min="753" max="759" width="17.42578125" style="1" customWidth="1"/>
    <col min="760" max="760" width="3.85546875" style="1" customWidth="1"/>
    <col min="761" max="761" width="3.5703125" style="1" customWidth="1"/>
    <col min="762" max="765" width="8.140625" style="1" customWidth="1"/>
    <col min="766" max="1007" width="11.42578125" style="1"/>
    <col min="1008" max="1008" width="3" style="1" customWidth="1"/>
    <col min="1009" max="1015" width="17.42578125" style="1" customWidth="1"/>
    <col min="1016" max="1016" width="3.85546875" style="1" customWidth="1"/>
    <col min="1017" max="1017" width="3.5703125" style="1" customWidth="1"/>
    <col min="1018" max="1021" width="8.140625" style="1" customWidth="1"/>
    <col min="1022" max="1263" width="11.42578125" style="1"/>
    <col min="1264" max="1264" width="3" style="1" customWidth="1"/>
    <col min="1265" max="1271" width="17.42578125" style="1" customWidth="1"/>
    <col min="1272" max="1272" width="3.85546875" style="1" customWidth="1"/>
    <col min="1273" max="1273" width="3.5703125" style="1" customWidth="1"/>
    <col min="1274" max="1277" width="8.140625" style="1" customWidth="1"/>
    <col min="1278" max="1519" width="11.42578125" style="1"/>
    <col min="1520" max="1520" width="3" style="1" customWidth="1"/>
    <col min="1521" max="1527" width="17.42578125" style="1" customWidth="1"/>
    <col min="1528" max="1528" width="3.85546875" style="1" customWidth="1"/>
    <col min="1529" max="1529" width="3.5703125" style="1" customWidth="1"/>
    <col min="1530" max="1533" width="8.140625" style="1" customWidth="1"/>
    <col min="1534" max="1775" width="11.42578125" style="1"/>
    <col min="1776" max="1776" width="3" style="1" customWidth="1"/>
    <col min="1777" max="1783" width="17.42578125" style="1" customWidth="1"/>
    <col min="1784" max="1784" width="3.85546875" style="1" customWidth="1"/>
    <col min="1785" max="1785" width="3.5703125" style="1" customWidth="1"/>
    <col min="1786" max="1789" width="8.140625" style="1" customWidth="1"/>
    <col min="1790" max="2031" width="11.42578125" style="1"/>
    <col min="2032" max="2032" width="3" style="1" customWidth="1"/>
    <col min="2033" max="2039" width="17.42578125" style="1" customWidth="1"/>
    <col min="2040" max="2040" width="3.85546875" style="1" customWidth="1"/>
    <col min="2041" max="2041" width="3.5703125" style="1" customWidth="1"/>
    <col min="2042" max="2045" width="8.140625" style="1" customWidth="1"/>
    <col min="2046" max="2287" width="11.42578125" style="1"/>
    <col min="2288" max="2288" width="3" style="1" customWidth="1"/>
    <col min="2289" max="2295" width="17.42578125" style="1" customWidth="1"/>
    <col min="2296" max="2296" width="3.85546875" style="1" customWidth="1"/>
    <col min="2297" max="2297" width="3.5703125" style="1" customWidth="1"/>
    <col min="2298" max="2301" width="8.140625" style="1" customWidth="1"/>
    <col min="2302" max="2543" width="11.42578125" style="1"/>
    <col min="2544" max="2544" width="3" style="1" customWidth="1"/>
    <col min="2545" max="2551" width="17.42578125" style="1" customWidth="1"/>
    <col min="2552" max="2552" width="3.85546875" style="1" customWidth="1"/>
    <col min="2553" max="2553" width="3.5703125" style="1" customWidth="1"/>
    <col min="2554" max="2557" width="8.140625" style="1" customWidth="1"/>
    <col min="2558" max="2799" width="11.42578125" style="1"/>
    <col min="2800" max="2800" width="3" style="1" customWidth="1"/>
    <col min="2801" max="2807" width="17.42578125" style="1" customWidth="1"/>
    <col min="2808" max="2808" width="3.85546875" style="1" customWidth="1"/>
    <col min="2809" max="2809" width="3.5703125" style="1" customWidth="1"/>
    <col min="2810" max="2813" width="8.140625" style="1" customWidth="1"/>
    <col min="2814" max="3055" width="11.42578125" style="1"/>
    <col min="3056" max="3056" width="3" style="1" customWidth="1"/>
    <col min="3057" max="3063" width="17.42578125" style="1" customWidth="1"/>
    <col min="3064" max="3064" width="3.85546875" style="1" customWidth="1"/>
    <col min="3065" max="3065" width="3.5703125" style="1" customWidth="1"/>
    <col min="3066" max="3069" width="8.140625" style="1" customWidth="1"/>
    <col min="3070" max="3311" width="11.42578125" style="1"/>
    <col min="3312" max="3312" width="3" style="1" customWidth="1"/>
    <col min="3313" max="3319" width="17.42578125" style="1" customWidth="1"/>
    <col min="3320" max="3320" width="3.85546875" style="1" customWidth="1"/>
    <col min="3321" max="3321" width="3.5703125" style="1" customWidth="1"/>
    <col min="3322" max="3325" width="8.140625" style="1" customWidth="1"/>
    <col min="3326" max="3567" width="11.42578125" style="1"/>
    <col min="3568" max="3568" width="3" style="1" customWidth="1"/>
    <col min="3569" max="3575" width="17.42578125" style="1" customWidth="1"/>
    <col min="3576" max="3576" width="3.85546875" style="1" customWidth="1"/>
    <col min="3577" max="3577" width="3.5703125" style="1" customWidth="1"/>
    <col min="3578" max="3581" width="8.140625" style="1" customWidth="1"/>
    <col min="3582" max="3823" width="11.42578125" style="1"/>
    <col min="3824" max="3824" width="3" style="1" customWidth="1"/>
    <col min="3825" max="3831" width="17.42578125" style="1" customWidth="1"/>
    <col min="3832" max="3832" width="3.85546875" style="1" customWidth="1"/>
    <col min="3833" max="3833" width="3.5703125" style="1" customWidth="1"/>
    <col min="3834" max="3837" width="8.140625" style="1" customWidth="1"/>
    <col min="3838" max="4079" width="11.42578125" style="1"/>
    <col min="4080" max="4080" width="3" style="1" customWidth="1"/>
    <col min="4081" max="4087" width="17.42578125" style="1" customWidth="1"/>
    <col min="4088" max="4088" width="3.85546875" style="1" customWidth="1"/>
    <col min="4089" max="4089" width="3.5703125" style="1" customWidth="1"/>
    <col min="4090" max="4093" width="8.140625" style="1" customWidth="1"/>
    <col min="4094" max="4335" width="11.42578125" style="1"/>
    <col min="4336" max="4336" width="3" style="1" customWidth="1"/>
    <col min="4337" max="4343" width="17.42578125" style="1" customWidth="1"/>
    <col min="4344" max="4344" width="3.85546875" style="1" customWidth="1"/>
    <col min="4345" max="4345" width="3.5703125" style="1" customWidth="1"/>
    <col min="4346" max="4349" width="8.140625" style="1" customWidth="1"/>
    <col min="4350" max="4591" width="11.42578125" style="1"/>
    <col min="4592" max="4592" width="3" style="1" customWidth="1"/>
    <col min="4593" max="4599" width="17.42578125" style="1" customWidth="1"/>
    <col min="4600" max="4600" width="3.85546875" style="1" customWidth="1"/>
    <col min="4601" max="4601" width="3.5703125" style="1" customWidth="1"/>
    <col min="4602" max="4605" width="8.140625" style="1" customWidth="1"/>
    <col min="4606" max="4847" width="11.42578125" style="1"/>
    <col min="4848" max="4848" width="3" style="1" customWidth="1"/>
    <col min="4849" max="4855" width="17.42578125" style="1" customWidth="1"/>
    <col min="4856" max="4856" width="3.85546875" style="1" customWidth="1"/>
    <col min="4857" max="4857" width="3.5703125" style="1" customWidth="1"/>
    <col min="4858" max="4861" width="8.140625" style="1" customWidth="1"/>
    <col min="4862" max="5103" width="11.42578125" style="1"/>
    <col min="5104" max="5104" width="3" style="1" customWidth="1"/>
    <col min="5105" max="5111" width="17.42578125" style="1" customWidth="1"/>
    <col min="5112" max="5112" width="3.85546875" style="1" customWidth="1"/>
    <col min="5113" max="5113" width="3.5703125" style="1" customWidth="1"/>
    <col min="5114" max="5117" width="8.140625" style="1" customWidth="1"/>
    <col min="5118" max="5359" width="11.42578125" style="1"/>
    <col min="5360" max="5360" width="3" style="1" customWidth="1"/>
    <col min="5361" max="5367" width="17.42578125" style="1" customWidth="1"/>
    <col min="5368" max="5368" width="3.85546875" style="1" customWidth="1"/>
    <col min="5369" max="5369" width="3.5703125" style="1" customWidth="1"/>
    <col min="5370" max="5373" width="8.140625" style="1" customWidth="1"/>
    <col min="5374" max="5615" width="11.42578125" style="1"/>
    <col min="5616" max="5616" width="3" style="1" customWidth="1"/>
    <col min="5617" max="5623" width="17.42578125" style="1" customWidth="1"/>
    <col min="5624" max="5624" width="3.85546875" style="1" customWidth="1"/>
    <col min="5625" max="5625" width="3.5703125" style="1" customWidth="1"/>
    <col min="5626" max="5629" width="8.140625" style="1" customWidth="1"/>
    <col min="5630" max="5871" width="11.42578125" style="1"/>
    <col min="5872" max="5872" width="3" style="1" customWidth="1"/>
    <col min="5873" max="5879" width="17.42578125" style="1" customWidth="1"/>
    <col min="5880" max="5880" width="3.85546875" style="1" customWidth="1"/>
    <col min="5881" max="5881" width="3.5703125" style="1" customWidth="1"/>
    <col min="5882" max="5885" width="8.140625" style="1" customWidth="1"/>
    <col min="5886" max="6127" width="11.42578125" style="1"/>
    <col min="6128" max="6128" width="3" style="1" customWidth="1"/>
    <col min="6129" max="6135" width="17.42578125" style="1" customWidth="1"/>
    <col min="6136" max="6136" width="3.85546875" style="1" customWidth="1"/>
    <col min="6137" max="6137" width="3.5703125" style="1" customWidth="1"/>
    <col min="6138" max="6141" width="8.140625" style="1" customWidth="1"/>
    <col min="6142" max="6383" width="11.42578125" style="1"/>
    <col min="6384" max="6384" width="3" style="1" customWidth="1"/>
    <col min="6385" max="6391" width="17.42578125" style="1" customWidth="1"/>
    <col min="6392" max="6392" width="3.85546875" style="1" customWidth="1"/>
    <col min="6393" max="6393" width="3.5703125" style="1" customWidth="1"/>
    <col min="6394" max="6397" width="8.140625" style="1" customWidth="1"/>
    <col min="6398" max="6639" width="11.42578125" style="1"/>
    <col min="6640" max="6640" width="3" style="1" customWidth="1"/>
    <col min="6641" max="6647" width="17.42578125" style="1" customWidth="1"/>
    <col min="6648" max="6648" width="3.85546875" style="1" customWidth="1"/>
    <col min="6649" max="6649" width="3.5703125" style="1" customWidth="1"/>
    <col min="6650" max="6653" width="8.140625" style="1" customWidth="1"/>
    <col min="6654" max="6895" width="11.42578125" style="1"/>
    <col min="6896" max="6896" width="3" style="1" customWidth="1"/>
    <col min="6897" max="6903" width="17.42578125" style="1" customWidth="1"/>
    <col min="6904" max="6904" width="3.85546875" style="1" customWidth="1"/>
    <col min="6905" max="6905" width="3.5703125" style="1" customWidth="1"/>
    <col min="6906" max="6909" width="8.140625" style="1" customWidth="1"/>
    <col min="6910" max="7151" width="11.42578125" style="1"/>
    <col min="7152" max="7152" width="3" style="1" customWidth="1"/>
    <col min="7153" max="7159" width="17.42578125" style="1" customWidth="1"/>
    <col min="7160" max="7160" width="3.85546875" style="1" customWidth="1"/>
    <col min="7161" max="7161" width="3.5703125" style="1" customWidth="1"/>
    <col min="7162" max="7165" width="8.140625" style="1" customWidth="1"/>
    <col min="7166" max="7407" width="11.42578125" style="1"/>
    <col min="7408" max="7408" width="3" style="1" customWidth="1"/>
    <col min="7409" max="7415" width="17.42578125" style="1" customWidth="1"/>
    <col min="7416" max="7416" width="3.85546875" style="1" customWidth="1"/>
    <col min="7417" max="7417" width="3.5703125" style="1" customWidth="1"/>
    <col min="7418" max="7421" width="8.140625" style="1" customWidth="1"/>
    <col min="7422" max="7663" width="11.42578125" style="1"/>
    <col min="7664" max="7664" width="3" style="1" customWidth="1"/>
    <col min="7665" max="7671" width="17.42578125" style="1" customWidth="1"/>
    <col min="7672" max="7672" width="3.85546875" style="1" customWidth="1"/>
    <col min="7673" max="7673" width="3.5703125" style="1" customWidth="1"/>
    <col min="7674" max="7677" width="8.140625" style="1" customWidth="1"/>
    <col min="7678" max="7919" width="11.42578125" style="1"/>
    <col min="7920" max="7920" width="3" style="1" customWidth="1"/>
    <col min="7921" max="7927" width="17.42578125" style="1" customWidth="1"/>
    <col min="7928" max="7928" width="3.85546875" style="1" customWidth="1"/>
    <col min="7929" max="7929" width="3.5703125" style="1" customWidth="1"/>
    <col min="7930" max="7933" width="8.140625" style="1" customWidth="1"/>
    <col min="7934" max="8175" width="11.42578125" style="1"/>
    <col min="8176" max="8176" width="3" style="1" customWidth="1"/>
    <col min="8177" max="8183" width="17.42578125" style="1" customWidth="1"/>
    <col min="8184" max="8184" width="3.85546875" style="1" customWidth="1"/>
    <col min="8185" max="8185" width="3.5703125" style="1" customWidth="1"/>
    <col min="8186" max="8189" width="8.140625" style="1" customWidth="1"/>
    <col min="8190" max="8431" width="11.42578125" style="1"/>
    <col min="8432" max="8432" width="3" style="1" customWidth="1"/>
    <col min="8433" max="8439" width="17.42578125" style="1" customWidth="1"/>
    <col min="8440" max="8440" width="3.85546875" style="1" customWidth="1"/>
    <col min="8441" max="8441" width="3.5703125" style="1" customWidth="1"/>
    <col min="8442" max="8445" width="8.140625" style="1" customWidth="1"/>
    <col min="8446" max="8687" width="11.42578125" style="1"/>
    <col min="8688" max="8688" width="3" style="1" customWidth="1"/>
    <col min="8689" max="8695" width="17.42578125" style="1" customWidth="1"/>
    <col min="8696" max="8696" width="3.85546875" style="1" customWidth="1"/>
    <col min="8697" max="8697" width="3.5703125" style="1" customWidth="1"/>
    <col min="8698" max="8701" width="8.140625" style="1" customWidth="1"/>
    <col min="8702" max="8943" width="11.42578125" style="1"/>
    <col min="8944" max="8944" width="3" style="1" customWidth="1"/>
    <col min="8945" max="8951" width="17.42578125" style="1" customWidth="1"/>
    <col min="8952" max="8952" width="3.85546875" style="1" customWidth="1"/>
    <col min="8953" max="8953" width="3.5703125" style="1" customWidth="1"/>
    <col min="8954" max="8957" width="8.140625" style="1" customWidth="1"/>
    <col min="8958" max="9199" width="11.42578125" style="1"/>
    <col min="9200" max="9200" width="3" style="1" customWidth="1"/>
    <col min="9201" max="9207" width="17.42578125" style="1" customWidth="1"/>
    <col min="9208" max="9208" width="3.85546875" style="1" customWidth="1"/>
    <col min="9209" max="9209" width="3.5703125" style="1" customWidth="1"/>
    <col min="9210" max="9213" width="8.140625" style="1" customWidth="1"/>
    <col min="9214" max="9455" width="11.42578125" style="1"/>
    <col min="9456" max="9456" width="3" style="1" customWidth="1"/>
    <col min="9457" max="9463" width="17.42578125" style="1" customWidth="1"/>
    <col min="9464" max="9464" width="3.85546875" style="1" customWidth="1"/>
    <col min="9465" max="9465" width="3.5703125" style="1" customWidth="1"/>
    <col min="9466" max="9469" width="8.140625" style="1" customWidth="1"/>
    <col min="9470" max="9711" width="11.42578125" style="1"/>
    <col min="9712" max="9712" width="3" style="1" customWidth="1"/>
    <col min="9713" max="9719" width="17.42578125" style="1" customWidth="1"/>
    <col min="9720" max="9720" width="3.85546875" style="1" customWidth="1"/>
    <col min="9721" max="9721" width="3.5703125" style="1" customWidth="1"/>
    <col min="9722" max="9725" width="8.140625" style="1" customWidth="1"/>
    <col min="9726" max="9967" width="11.42578125" style="1"/>
    <col min="9968" max="9968" width="3" style="1" customWidth="1"/>
    <col min="9969" max="9975" width="17.42578125" style="1" customWidth="1"/>
    <col min="9976" max="9976" width="3.85546875" style="1" customWidth="1"/>
    <col min="9977" max="9977" width="3.5703125" style="1" customWidth="1"/>
    <col min="9978" max="9981" width="8.140625" style="1" customWidth="1"/>
    <col min="9982" max="10223" width="11.42578125" style="1"/>
    <col min="10224" max="10224" width="3" style="1" customWidth="1"/>
    <col min="10225" max="10231" width="17.42578125" style="1" customWidth="1"/>
    <col min="10232" max="10232" width="3.85546875" style="1" customWidth="1"/>
    <col min="10233" max="10233" width="3.5703125" style="1" customWidth="1"/>
    <col min="10234" max="10237" width="8.140625" style="1" customWidth="1"/>
    <col min="10238" max="10479" width="11.42578125" style="1"/>
    <col min="10480" max="10480" width="3" style="1" customWidth="1"/>
    <col min="10481" max="10487" width="17.42578125" style="1" customWidth="1"/>
    <col min="10488" max="10488" width="3.85546875" style="1" customWidth="1"/>
    <col min="10489" max="10489" width="3.5703125" style="1" customWidth="1"/>
    <col min="10490" max="10493" width="8.140625" style="1" customWidth="1"/>
    <col min="10494" max="10735" width="11.42578125" style="1"/>
    <col min="10736" max="10736" width="3" style="1" customWidth="1"/>
    <col min="10737" max="10743" width="17.42578125" style="1" customWidth="1"/>
    <col min="10744" max="10744" width="3.85546875" style="1" customWidth="1"/>
    <col min="10745" max="10745" width="3.5703125" style="1" customWidth="1"/>
    <col min="10746" max="10749" width="8.140625" style="1" customWidth="1"/>
    <col min="10750" max="10991" width="11.42578125" style="1"/>
    <col min="10992" max="10992" width="3" style="1" customWidth="1"/>
    <col min="10993" max="10999" width="17.42578125" style="1" customWidth="1"/>
    <col min="11000" max="11000" width="3.85546875" style="1" customWidth="1"/>
    <col min="11001" max="11001" width="3.5703125" style="1" customWidth="1"/>
    <col min="11002" max="11005" width="8.140625" style="1" customWidth="1"/>
    <col min="11006" max="11247" width="11.42578125" style="1"/>
    <col min="11248" max="11248" width="3" style="1" customWidth="1"/>
    <col min="11249" max="11255" width="17.42578125" style="1" customWidth="1"/>
    <col min="11256" max="11256" width="3.85546875" style="1" customWidth="1"/>
    <col min="11257" max="11257" width="3.5703125" style="1" customWidth="1"/>
    <col min="11258" max="11261" width="8.140625" style="1" customWidth="1"/>
    <col min="11262" max="11503" width="11.42578125" style="1"/>
    <col min="11504" max="11504" width="3" style="1" customWidth="1"/>
    <col min="11505" max="11511" width="17.42578125" style="1" customWidth="1"/>
    <col min="11512" max="11512" width="3.85546875" style="1" customWidth="1"/>
    <col min="11513" max="11513" width="3.5703125" style="1" customWidth="1"/>
    <col min="11514" max="11517" width="8.140625" style="1" customWidth="1"/>
    <col min="11518" max="11759" width="11.42578125" style="1"/>
    <col min="11760" max="11760" width="3" style="1" customWidth="1"/>
    <col min="11761" max="11767" width="17.42578125" style="1" customWidth="1"/>
    <col min="11768" max="11768" width="3.85546875" style="1" customWidth="1"/>
    <col min="11769" max="11769" width="3.5703125" style="1" customWidth="1"/>
    <col min="11770" max="11773" width="8.140625" style="1" customWidth="1"/>
    <col min="11774" max="12015" width="11.42578125" style="1"/>
    <col min="12016" max="12016" width="3" style="1" customWidth="1"/>
    <col min="12017" max="12023" width="17.42578125" style="1" customWidth="1"/>
    <col min="12024" max="12024" width="3.85546875" style="1" customWidth="1"/>
    <col min="12025" max="12025" width="3.5703125" style="1" customWidth="1"/>
    <col min="12026" max="12029" width="8.140625" style="1" customWidth="1"/>
    <col min="12030" max="12271" width="11.42578125" style="1"/>
    <col min="12272" max="12272" width="3" style="1" customWidth="1"/>
    <col min="12273" max="12279" width="17.42578125" style="1" customWidth="1"/>
    <col min="12280" max="12280" width="3.85546875" style="1" customWidth="1"/>
    <col min="12281" max="12281" width="3.5703125" style="1" customWidth="1"/>
    <col min="12282" max="12285" width="8.140625" style="1" customWidth="1"/>
    <col min="12286" max="12527" width="11.42578125" style="1"/>
    <col min="12528" max="12528" width="3" style="1" customWidth="1"/>
    <col min="12529" max="12535" width="17.42578125" style="1" customWidth="1"/>
    <col min="12536" max="12536" width="3.85546875" style="1" customWidth="1"/>
    <col min="12537" max="12537" width="3.5703125" style="1" customWidth="1"/>
    <col min="12538" max="12541" width="8.140625" style="1" customWidth="1"/>
    <col min="12542" max="12783" width="11.42578125" style="1"/>
    <col min="12784" max="12784" width="3" style="1" customWidth="1"/>
    <col min="12785" max="12791" width="17.42578125" style="1" customWidth="1"/>
    <col min="12792" max="12792" width="3.85546875" style="1" customWidth="1"/>
    <col min="12793" max="12793" width="3.5703125" style="1" customWidth="1"/>
    <col min="12794" max="12797" width="8.140625" style="1" customWidth="1"/>
    <col min="12798" max="13039" width="11.42578125" style="1"/>
    <col min="13040" max="13040" width="3" style="1" customWidth="1"/>
    <col min="13041" max="13047" width="17.42578125" style="1" customWidth="1"/>
    <col min="13048" max="13048" width="3.85546875" style="1" customWidth="1"/>
    <col min="13049" max="13049" width="3.5703125" style="1" customWidth="1"/>
    <col min="13050" max="13053" width="8.140625" style="1" customWidth="1"/>
    <col min="13054" max="13295" width="11.42578125" style="1"/>
    <col min="13296" max="13296" width="3" style="1" customWidth="1"/>
    <col min="13297" max="13303" width="17.42578125" style="1" customWidth="1"/>
    <col min="13304" max="13304" width="3.85546875" style="1" customWidth="1"/>
    <col min="13305" max="13305" width="3.5703125" style="1" customWidth="1"/>
    <col min="13306" max="13309" width="8.140625" style="1" customWidth="1"/>
    <col min="13310" max="13551" width="11.42578125" style="1"/>
    <col min="13552" max="13552" width="3" style="1" customWidth="1"/>
    <col min="13553" max="13559" width="17.42578125" style="1" customWidth="1"/>
    <col min="13560" max="13560" width="3.85546875" style="1" customWidth="1"/>
    <col min="13561" max="13561" width="3.5703125" style="1" customWidth="1"/>
    <col min="13562" max="13565" width="8.140625" style="1" customWidth="1"/>
    <col min="13566" max="13807" width="11.42578125" style="1"/>
    <col min="13808" max="13808" width="3" style="1" customWidth="1"/>
    <col min="13809" max="13815" width="17.42578125" style="1" customWidth="1"/>
    <col min="13816" max="13816" width="3.85546875" style="1" customWidth="1"/>
    <col min="13817" max="13817" width="3.5703125" style="1" customWidth="1"/>
    <col min="13818" max="13821" width="8.140625" style="1" customWidth="1"/>
    <col min="13822" max="14063" width="11.42578125" style="1"/>
    <col min="14064" max="14064" width="3" style="1" customWidth="1"/>
    <col min="14065" max="14071" width="17.42578125" style="1" customWidth="1"/>
    <col min="14072" max="14072" width="3.85546875" style="1" customWidth="1"/>
    <col min="14073" max="14073" width="3.5703125" style="1" customWidth="1"/>
    <col min="14074" max="14077" width="8.140625" style="1" customWidth="1"/>
    <col min="14078" max="14319" width="11.42578125" style="1"/>
    <col min="14320" max="14320" width="3" style="1" customWidth="1"/>
    <col min="14321" max="14327" width="17.42578125" style="1" customWidth="1"/>
    <col min="14328" max="14328" width="3.85546875" style="1" customWidth="1"/>
    <col min="14329" max="14329" width="3.5703125" style="1" customWidth="1"/>
    <col min="14330" max="14333" width="8.140625" style="1" customWidth="1"/>
    <col min="14334" max="14575" width="11.42578125" style="1"/>
    <col min="14576" max="14576" width="3" style="1" customWidth="1"/>
    <col min="14577" max="14583" width="17.42578125" style="1" customWidth="1"/>
    <col min="14584" max="14584" width="3.85546875" style="1" customWidth="1"/>
    <col min="14585" max="14585" width="3.5703125" style="1" customWidth="1"/>
    <col min="14586" max="14589" width="8.140625" style="1" customWidth="1"/>
    <col min="14590" max="14831" width="11.42578125" style="1"/>
    <col min="14832" max="14832" width="3" style="1" customWidth="1"/>
    <col min="14833" max="14839" width="17.42578125" style="1" customWidth="1"/>
    <col min="14840" max="14840" width="3.85546875" style="1" customWidth="1"/>
    <col min="14841" max="14841" width="3.5703125" style="1" customWidth="1"/>
    <col min="14842" max="14845" width="8.140625" style="1" customWidth="1"/>
    <col min="14846" max="15087" width="11.42578125" style="1"/>
    <col min="15088" max="15088" width="3" style="1" customWidth="1"/>
    <col min="15089" max="15095" width="17.42578125" style="1" customWidth="1"/>
    <col min="15096" max="15096" width="3.85546875" style="1" customWidth="1"/>
    <col min="15097" max="15097" width="3.5703125" style="1" customWidth="1"/>
    <col min="15098" max="15101" width="8.140625" style="1" customWidth="1"/>
    <col min="15102" max="15343" width="11.42578125" style="1"/>
    <col min="15344" max="15344" width="3" style="1" customWidth="1"/>
    <col min="15345" max="15351" width="17.42578125" style="1" customWidth="1"/>
    <col min="15352" max="15352" width="3.85546875" style="1" customWidth="1"/>
    <col min="15353" max="15353" width="3.5703125" style="1" customWidth="1"/>
    <col min="15354" max="15357" width="8.140625" style="1" customWidth="1"/>
    <col min="15358" max="15599" width="11.42578125" style="1"/>
    <col min="15600" max="15600" width="3" style="1" customWidth="1"/>
    <col min="15601" max="15607" width="17.42578125" style="1" customWidth="1"/>
    <col min="15608" max="15608" width="3.85546875" style="1" customWidth="1"/>
    <col min="15609" max="15609" width="3.5703125" style="1" customWidth="1"/>
    <col min="15610" max="15613" width="8.140625" style="1" customWidth="1"/>
    <col min="15614" max="15855" width="11.42578125" style="1"/>
    <col min="15856" max="15856" width="3" style="1" customWidth="1"/>
    <col min="15857" max="15863" width="17.42578125" style="1" customWidth="1"/>
    <col min="15864" max="15864" width="3.85546875" style="1" customWidth="1"/>
    <col min="15865" max="15865" width="3.5703125" style="1" customWidth="1"/>
    <col min="15866" max="15869" width="8.140625" style="1" customWidth="1"/>
    <col min="15870" max="16111" width="11.42578125" style="1"/>
    <col min="16112" max="16112" width="3" style="1" customWidth="1"/>
    <col min="16113" max="16119" width="17.42578125" style="1" customWidth="1"/>
    <col min="16120" max="16120" width="3.85546875" style="1" customWidth="1"/>
    <col min="16121" max="16121" width="3.5703125" style="1" customWidth="1"/>
    <col min="16122" max="16125" width="8.140625" style="1" customWidth="1"/>
    <col min="16126" max="16384" width="11.42578125" style="1"/>
  </cols>
  <sheetData>
    <row r="1" spans="1:25" ht="22.5" customHeight="1" x14ac:dyDescent="0.2">
      <c r="A1" s="56"/>
      <c r="B1" s="8"/>
      <c r="C1" s="8"/>
      <c r="D1" s="134"/>
      <c r="E1" s="137" t="s">
        <v>8</v>
      </c>
      <c r="F1" s="137"/>
      <c r="G1" s="137"/>
      <c r="H1" s="137"/>
      <c r="I1" s="137"/>
      <c r="J1" s="137"/>
      <c r="K1" s="138"/>
      <c r="L1" s="139" t="s">
        <v>21</v>
      </c>
      <c r="M1" s="140"/>
      <c r="N1" s="141"/>
      <c r="P1" s="11"/>
    </row>
    <row r="2" spans="1:25" ht="22.5" customHeight="1" x14ac:dyDescent="0.2">
      <c r="A2" s="58"/>
      <c r="B2" s="25"/>
      <c r="C2" s="25"/>
      <c r="D2" s="62"/>
      <c r="E2" s="142" t="s">
        <v>81</v>
      </c>
      <c r="F2" s="142"/>
      <c r="G2" s="142"/>
      <c r="H2" s="142"/>
      <c r="I2" s="142"/>
      <c r="J2" s="142"/>
      <c r="K2" s="143"/>
      <c r="L2" s="144" t="s">
        <v>86</v>
      </c>
      <c r="M2" s="145"/>
      <c r="N2" s="146"/>
      <c r="P2" s="147"/>
      <c r="Q2" s="147"/>
      <c r="R2" s="147"/>
      <c r="S2" s="147"/>
      <c r="T2" s="147"/>
      <c r="U2" s="147"/>
      <c r="V2" s="147"/>
      <c r="W2" s="147"/>
      <c r="X2" s="147"/>
      <c r="Y2" s="147"/>
    </row>
    <row r="3" spans="1:25" ht="22.5" customHeight="1" x14ac:dyDescent="0.2">
      <c r="A3" s="58"/>
      <c r="B3" s="25"/>
      <c r="C3" s="25"/>
      <c r="D3" s="135"/>
      <c r="E3" s="142"/>
      <c r="F3" s="142"/>
      <c r="G3" s="142"/>
      <c r="H3" s="142"/>
      <c r="I3" s="142"/>
      <c r="J3" s="142"/>
      <c r="K3" s="143"/>
      <c r="L3" s="144" t="s">
        <v>70</v>
      </c>
      <c r="M3" s="145"/>
      <c r="N3" s="146"/>
      <c r="P3" s="148"/>
      <c r="Q3" s="148"/>
      <c r="R3" s="148"/>
    </row>
    <row r="4" spans="1:25" ht="22.5" customHeight="1" thickBot="1" x14ac:dyDescent="0.25">
      <c r="A4" s="60"/>
      <c r="B4" s="9"/>
      <c r="C4" s="9"/>
      <c r="D4" s="136"/>
      <c r="E4" s="149" t="s">
        <v>82</v>
      </c>
      <c r="F4" s="149"/>
      <c r="G4" s="149"/>
      <c r="H4" s="149"/>
      <c r="I4" s="149"/>
      <c r="J4" s="149"/>
      <c r="K4" s="150"/>
      <c r="L4" s="151" t="s">
        <v>87</v>
      </c>
      <c r="M4" s="152"/>
      <c r="N4" s="153"/>
      <c r="P4" s="11"/>
      <c r="Q4" s="154" t="s">
        <v>23</v>
      </c>
      <c r="R4" s="155" t="s">
        <v>63</v>
      </c>
      <c r="S4" s="120" t="s">
        <v>47</v>
      </c>
    </row>
    <row r="5" spans="1:25" ht="3.95" customHeight="1" thickBot="1" x14ac:dyDescent="0.25">
      <c r="A5" s="58"/>
      <c r="B5" s="25"/>
      <c r="C5" s="25"/>
      <c r="D5" s="25"/>
      <c r="E5" s="25"/>
      <c r="F5" s="25"/>
      <c r="G5" s="61"/>
      <c r="H5" s="25"/>
      <c r="I5" s="25"/>
      <c r="J5" s="25"/>
      <c r="K5" s="25"/>
      <c r="L5" s="25"/>
      <c r="M5" s="25"/>
      <c r="N5" s="62"/>
      <c r="P5" s="11"/>
      <c r="Q5" s="154"/>
      <c r="R5" s="156"/>
    </row>
    <row r="6" spans="1:25" ht="24.95" customHeight="1" x14ac:dyDescent="0.2">
      <c r="A6" s="157" t="s">
        <v>14</v>
      </c>
      <c r="B6" s="158"/>
      <c r="C6" s="159"/>
      <c r="D6" s="159"/>
      <c r="E6" s="159"/>
      <c r="F6" s="159"/>
      <c r="G6" s="159"/>
      <c r="H6" s="159"/>
      <c r="I6" s="159"/>
      <c r="J6" s="108" t="s">
        <v>10</v>
      </c>
      <c r="K6" s="160"/>
      <c r="L6" s="160"/>
      <c r="M6" s="160"/>
      <c r="N6" s="161"/>
      <c r="P6" s="11"/>
      <c r="Q6" s="13"/>
      <c r="R6" s="14" t="s">
        <v>28</v>
      </c>
      <c r="S6" s="15" t="s">
        <v>48</v>
      </c>
    </row>
    <row r="7" spans="1:25" ht="24.95" customHeight="1" x14ac:dyDescent="0.2">
      <c r="A7" s="162" t="s">
        <v>15</v>
      </c>
      <c r="B7" s="163"/>
      <c r="C7" s="164"/>
      <c r="D7" s="164"/>
      <c r="E7" s="164"/>
      <c r="F7" s="164"/>
      <c r="G7" s="164"/>
      <c r="H7" s="164"/>
      <c r="I7" s="164"/>
      <c r="J7" s="26" t="s">
        <v>11</v>
      </c>
      <c r="K7" s="165"/>
      <c r="L7" s="165"/>
      <c r="M7" s="165"/>
      <c r="N7" s="166"/>
      <c r="P7" s="11"/>
      <c r="Q7" s="16" t="s">
        <v>24</v>
      </c>
      <c r="R7" s="14" t="s">
        <v>29</v>
      </c>
      <c r="S7" s="15" t="s">
        <v>49</v>
      </c>
    </row>
    <row r="8" spans="1:25" ht="24.95" customHeight="1" x14ac:dyDescent="0.2">
      <c r="A8" s="162" t="s">
        <v>64</v>
      </c>
      <c r="B8" s="163"/>
      <c r="C8" s="167"/>
      <c r="D8" s="164"/>
      <c r="E8" s="164"/>
      <c r="F8" s="164"/>
      <c r="G8" s="164"/>
      <c r="H8" s="164"/>
      <c r="I8" s="164"/>
      <c r="J8" s="26" t="s">
        <v>12</v>
      </c>
      <c r="K8" s="165"/>
      <c r="L8" s="165"/>
      <c r="M8" s="165"/>
      <c r="N8" s="166"/>
      <c r="P8" s="11"/>
      <c r="Q8" s="16" t="s">
        <v>25</v>
      </c>
      <c r="R8" s="14" t="s">
        <v>30</v>
      </c>
      <c r="S8" s="15" t="s">
        <v>50</v>
      </c>
    </row>
    <row r="9" spans="1:25" ht="24.95" customHeight="1" x14ac:dyDescent="0.2">
      <c r="A9" s="162" t="s">
        <v>16</v>
      </c>
      <c r="B9" s="163"/>
      <c r="C9" s="164"/>
      <c r="D9" s="164"/>
      <c r="E9" s="164"/>
      <c r="F9" s="164"/>
      <c r="G9" s="164"/>
      <c r="H9" s="164"/>
      <c r="I9" s="164"/>
      <c r="J9" s="26" t="s">
        <v>13</v>
      </c>
      <c r="K9" s="111" t="s">
        <v>69</v>
      </c>
      <c r="L9" s="112"/>
      <c r="M9" s="113" t="s">
        <v>1</v>
      </c>
      <c r="N9" s="114"/>
      <c r="P9" s="11"/>
      <c r="Q9" s="16" t="s">
        <v>26</v>
      </c>
      <c r="R9" s="17" t="s">
        <v>31</v>
      </c>
      <c r="S9" s="15" t="s">
        <v>51</v>
      </c>
    </row>
    <row r="10" spans="1:25" ht="24.75" customHeight="1" x14ac:dyDescent="0.2">
      <c r="A10" s="162" t="s">
        <v>17</v>
      </c>
      <c r="B10" s="163"/>
      <c r="C10" s="164"/>
      <c r="D10" s="164"/>
      <c r="E10" s="164"/>
      <c r="F10" s="164"/>
      <c r="G10" s="164"/>
      <c r="H10" s="164"/>
      <c r="I10" s="164"/>
      <c r="J10" s="26" t="s">
        <v>9</v>
      </c>
      <c r="K10" s="168" t="str">
        <f>+CONCATENATE(L9,," ",N9,"-",D12,"-",F12)</f>
        <v xml:space="preserve"> --</v>
      </c>
      <c r="L10" s="168"/>
      <c r="M10" s="168"/>
      <c r="N10" s="169"/>
      <c r="P10" s="11"/>
      <c r="Q10" s="18" t="s">
        <v>27</v>
      </c>
      <c r="R10" s="17" t="s">
        <v>32</v>
      </c>
      <c r="S10" s="15"/>
    </row>
    <row r="11" spans="1:25" ht="3.95" customHeight="1" thickBot="1" x14ac:dyDescent="0.25">
      <c r="A11" s="162"/>
      <c r="B11" s="163"/>
      <c r="C11" s="119"/>
      <c r="D11" s="119"/>
      <c r="E11" s="119"/>
      <c r="F11" s="119"/>
      <c r="G11" s="63"/>
      <c r="H11" s="63"/>
      <c r="I11" s="63"/>
      <c r="J11" s="63"/>
      <c r="K11" s="63"/>
      <c r="L11" s="63"/>
      <c r="M11" s="63"/>
      <c r="N11" s="64"/>
      <c r="P11" s="11"/>
      <c r="R11" s="13"/>
      <c r="S11" s="15" t="s">
        <v>52</v>
      </c>
    </row>
    <row r="12" spans="1:25" ht="24.95" customHeight="1" x14ac:dyDescent="0.2">
      <c r="A12" s="157" t="s">
        <v>18</v>
      </c>
      <c r="B12" s="158"/>
      <c r="C12" s="121" t="s">
        <v>48</v>
      </c>
      <c r="D12" s="3"/>
      <c r="E12" s="4" t="s">
        <v>19</v>
      </c>
      <c r="F12" s="121"/>
      <c r="G12" s="4" t="s">
        <v>0</v>
      </c>
      <c r="H12" s="117"/>
      <c r="I12" s="7" t="s">
        <v>1</v>
      </c>
      <c r="J12" s="118"/>
      <c r="K12" s="65"/>
      <c r="L12" s="65"/>
      <c r="M12" s="65"/>
      <c r="N12" s="66"/>
      <c r="P12" s="11"/>
      <c r="R12" s="17" t="s">
        <v>33</v>
      </c>
      <c r="S12" s="15"/>
    </row>
    <row r="13" spans="1:25" ht="24.95" customHeight="1" x14ac:dyDescent="0.2">
      <c r="A13" s="162" t="s">
        <v>66</v>
      </c>
      <c r="B13" s="163"/>
      <c r="C13" s="170"/>
      <c r="D13" s="170"/>
      <c r="E13" s="170"/>
      <c r="F13" s="170"/>
      <c r="G13" s="170"/>
      <c r="H13" s="170"/>
      <c r="I13" s="170"/>
      <c r="J13" s="170"/>
      <c r="K13" s="170"/>
      <c r="L13" s="170"/>
      <c r="M13" s="170"/>
      <c r="N13" s="171"/>
      <c r="P13" s="11"/>
    </row>
    <row r="14" spans="1:25" ht="3.95" customHeight="1" thickBot="1" x14ac:dyDescent="0.3">
      <c r="A14" s="67"/>
      <c r="B14" s="68"/>
      <c r="C14" s="68"/>
      <c r="D14" s="68"/>
      <c r="E14" s="68"/>
      <c r="F14" s="68"/>
      <c r="G14" s="172"/>
      <c r="H14" s="172"/>
      <c r="I14" s="172"/>
      <c r="J14" s="69"/>
      <c r="K14" s="70"/>
      <c r="L14" s="70"/>
      <c r="M14" s="70"/>
      <c r="N14" s="71"/>
      <c r="P14" s="11"/>
    </row>
    <row r="15" spans="1:25" ht="3" customHeight="1" x14ac:dyDescent="0.25">
      <c r="A15" s="72"/>
      <c r="B15" s="73"/>
      <c r="C15" s="73"/>
      <c r="D15" s="73"/>
      <c r="E15" s="73"/>
      <c r="F15" s="73"/>
      <c r="G15" s="74"/>
      <c r="H15" s="75"/>
      <c r="I15" s="76"/>
      <c r="J15" s="74"/>
      <c r="K15" s="77"/>
      <c r="L15" s="77"/>
      <c r="M15" s="77"/>
      <c r="N15" s="78"/>
      <c r="P15" s="11"/>
    </row>
    <row r="16" spans="1:25" ht="9" customHeight="1" thickBot="1" x14ac:dyDescent="0.25">
      <c r="A16" s="79"/>
      <c r="B16" s="80"/>
      <c r="C16" s="80"/>
      <c r="D16" s="80"/>
      <c r="E16" s="80"/>
      <c r="F16" s="80"/>
      <c r="G16" s="81"/>
      <c r="H16" s="81"/>
      <c r="I16" s="81"/>
      <c r="J16" s="81"/>
      <c r="K16" s="81"/>
      <c r="L16" s="81"/>
      <c r="M16" s="81"/>
      <c r="N16" s="62"/>
      <c r="P16" s="11"/>
    </row>
    <row r="17" spans="1:33" ht="24.95" customHeight="1" thickBot="1" x14ac:dyDescent="0.35">
      <c r="A17" s="58"/>
      <c r="B17" s="173" t="s">
        <v>7</v>
      </c>
      <c r="C17" s="174"/>
      <c r="D17" s="174"/>
      <c r="E17" s="174"/>
      <c r="F17" s="174"/>
      <c r="G17" s="174"/>
      <c r="H17" s="173" t="s">
        <v>4</v>
      </c>
      <c r="I17" s="175"/>
      <c r="J17" s="82"/>
      <c r="K17" s="82"/>
      <c r="L17" s="82"/>
      <c r="M17" s="82"/>
      <c r="N17" s="83"/>
      <c r="O17" s="101">
        <f>E32</f>
        <v>0</v>
      </c>
      <c r="P17" s="97" t="e">
        <f>I32</f>
        <v>#DIV/0!</v>
      </c>
      <c r="Q17" s="98">
        <f>B32</f>
        <v>0</v>
      </c>
      <c r="R17" s="12" t="e">
        <f>Q17/P17</f>
        <v>#DIV/0!</v>
      </c>
      <c r="S17" s="12" t="e">
        <f>O17/Q17</f>
        <v>#DIV/0!</v>
      </c>
    </row>
    <row r="18" spans="1:33" ht="24.95" customHeight="1" x14ac:dyDescent="0.3">
      <c r="A18" s="58"/>
      <c r="B18" s="31" t="s">
        <v>57</v>
      </c>
      <c r="C18" s="176"/>
      <c r="D18" s="177"/>
      <c r="E18" s="50" t="s">
        <v>79</v>
      </c>
      <c r="F18" s="178" t="e">
        <f>F19/(1+I21/100)</f>
        <v>#DIV/0!</v>
      </c>
      <c r="G18" s="179"/>
      <c r="H18" s="31" t="s">
        <v>58</v>
      </c>
      <c r="I18" s="34"/>
      <c r="J18" s="82"/>
      <c r="K18" s="84"/>
      <c r="L18" s="84"/>
      <c r="M18" s="84"/>
      <c r="N18" s="85"/>
      <c r="O18" s="100">
        <f>E37</f>
        <v>0</v>
      </c>
      <c r="P18" s="99" t="e">
        <f>I37</f>
        <v>#DIV/0!</v>
      </c>
      <c r="Q18" s="98">
        <f>B37</f>
        <v>0</v>
      </c>
      <c r="R18" s="12" t="e">
        <f>Q18/P18</f>
        <v>#DIV/0!</v>
      </c>
      <c r="S18" s="12" t="e">
        <f>O18/Q18</f>
        <v>#DIV/0!</v>
      </c>
      <c r="AC18" s="11" t="s">
        <v>89</v>
      </c>
      <c r="AG18" s="1" t="s">
        <v>90</v>
      </c>
    </row>
    <row r="19" spans="1:33" ht="24.95" customHeight="1" x14ac:dyDescent="0.3">
      <c r="A19" s="58"/>
      <c r="B19" s="32" t="s">
        <v>36</v>
      </c>
      <c r="C19" s="180"/>
      <c r="D19" s="181"/>
      <c r="E19" s="51" t="s">
        <v>80</v>
      </c>
      <c r="F19" s="182" t="e">
        <f>+C21/(C20)</f>
        <v>#DIV/0!</v>
      </c>
      <c r="G19" s="183"/>
      <c r="H19" s="32" t="s">
        <v>5</v>
      </c>
      <c r="I19" s="36"/>
      <c r="J19" s="82"/>
      <c r="K19" s="84"/>
      <c r="L19" s="84"/>
      <c r="M19" s="84"/>
      <c r="N19" s="85"/>
      <c r="O19" s="100">
        <f>E48</f>
        <v>0</v>
      </c>
      <c r="P19" s="97" t="e">
        <f>I48</f>
        <v>#DIV/0!</v>
      </c>
      <c r="Q19" s="98">
        <f>B48</f>
        <v>0</v>
      </c>
      <c r="R19" s="12" t="e">
        <f>Q19/P19</f>
        <v>#DIV/0!</v>
      </c>
      <c r="S19" s="12" t="e">
        <f>O19/Q19</f>
        <v>#DIV/0!</v>
      </c>
    </row>
    <row r="20" spans="1:33" ht="24.95" customHeight="1" x14ac:dyDescent="0.3">
      <c r="A20" s="58"/>
      <c r="B20" s="32" t="s">
        <v>37</v>
      </c>
      <c r="C20" s="184">
        <f>(PI()*((C18^2)/4)*C19)</f>
        <v>0</v>
      </c>
      <c r="D20" s="185"/>
      <c r="E20" s="52" t="s">
        <v>22</v>
      </c>
      <c r="F20" s="186" t="s">
        <v>26</v>
      </c>
      <c r="G20" s="187"/>
      <c r="H20" s="32" t="s">
        <v>6</v>
      </c>
      <c r="I20" s="36"/>
      <c r="J20" s="82"/>
      <c r="K20" s="84"/>
      <c r="L20" s="84"/>
      <c r="M20" s="84"/>
      <c r="N20" s="85"/>
      <c r="O20" s="2"/>
      <c r="P20" s="96"/>
      <c r="Q20" s="11" t="s">
        <v>84</v>
      </c>
      <c r="R20" s="102" t="e">
        <f>(R17+R18+R19)/3</f>
        <v>#DIV/0!</v>
      </c>
      <c r="S20" s="11"/>
    </row>
    <row r="21" spans="1:33" ht="24.95" customHeight="1" x14ac:dyDescent="0.3">
      <c r="A21" s="58"/>
      <c r="B21" s="32" t="s">
        <v>3</v>
      </c>
      <c r="C21" s="180"/>
      <c r="D21" s="181"/>
      <c r="E21" s="52" t="s">
        <v>59</v>
      </c>
      <c r="F21" s="194" t="s">
        <v>29</v>
      </c>
      <c r="G21" s="195"/>
      <c r="H21" s="35" t="s">
        <v>38</v>
      </c>
      <c r="I21" s="37" t="e">
        <f>(I18-I19)/(I19-I20)*100</f>
        <v>#DIV/0!</v>
      </c>
      <c r="J21" s="82"/>
      <c r="K21" s="84"/>
      <c r="L21" s="84"/>
      <c r="M21" s="84"/>
      <c r="N21" s="85"/>
      <c r="O21" s="2"/>
      <c r="P21" s="11"/>
      <c r="Q21" s="11" t="s">
        <v>83</v>
      </c>
      <c r="R21" s="102" t="e">
        <f>(S17+S18+S19)/3</f>
        <v>#DIV/0!</v>
      </c>
      <c r="S21" s="11"/>
    </row>
    <row r="22" spans="1:33" ht="24.95" customHeight="1" thickBot="1" x14ac:dyDescent="0.35">
      <c r="A22" s="58"/>
      <c r="B22" s="33" t="s">
        <v>60</v>
      </c>
      <c r="C22" s="196">
        <f>(PI()*(C18*C18))/4</f>
        <v>0</v>
      </c>
      <c r="D22" s="197"/>
      <c r="E22" s="53" t="s">
        <v>34</v>
      </c>
      <c r="F22" s="198">
        <v>1</v>
      </c>
      <c r="G22" s="199"/>
      <c r="H22" s="94"/>
      <c r="I22" s="95"/>
      <c r="J22" s="82"/>
      <c r="K22" s="84"/>
      <c r="L22" s="84"/>
      <c r="M22" s="84"/>
      <c r="N22" s="85"/>
      <c r="O22" s="2"/>
      <c r="P22" s="11"/>
      <c r="Q22" s="11"/>
      <c r="R22" s="11"/>
      <c r="S22" s="11"/>
    </row>
    <row r="23" spans="1:33" ht="5.25" customHeight="1" thickBot="1" x14ac:dyDescent="0.35">
      <c r="A23" s="58"/>
      <c r="B23" s="86"/>
      <c r="C23" s="86"/>
      <c r="D23" s="86"/>
      <c r="E23" s="86"/>
      <c r="F23" s="86"/>
      <c r="G23" s="87"/>
      <c r="H23" s="87"/>
      <c r="I23" s="87"/>
      <c r="J23" s="87"/>
      <c r="K23" s="87"/>
      <c r="L23" s="87"/>
      <c r="M23" s="87"/>
      <c r="N23" s="83"/>
      <c r="P23" s="11"/>
    </row>
    <row r="24" spans="1:33" ht="24.95" customHeight="1" thickBot="1" x14ac:dyDescent="0.35">
      <c r="A24" s="58"/>
      <c r="B24" s="188" t="s">
        <v>45</v>
      </c>
      <c r="C24" s="190" t="s">
        <v>53</v>
      </c>
      <c r="D24" s="190" t="s">
        <v>65</v>
      </c>
      <c r="E24" s="192" t="s">
        <v>54</v>
      </c>
      <c r="F24" s="193"/>
      <c r="G24" s="192" t="s">
        <v>55</v>
      </c>
      <c r="H24" s="193"/>
      <c r="I24" s="190" t="s">
        <v>77</v>
      </c>
      <c r="J24" s="190" t="s">
        <v>78</v>
      </c>
      <c r="K24" s="190" t="s">
        <v>43</v>
      </c>
      <c r="L24" s="88"/>
      <c r="M24" s="88"/>
      <c r="N24" s="83"/>
      <c r="P24" s="201" t="s">
        <v>46</v>
      </c>
      <c r="Q24" s="203" t="s">
        <v>107</v>
      </c>
      <c r="R24" s="204"/>
      <c r="S24" s="207" t="s">
        <v>61</v>
      </c>
      <c r="T24" s="208"/>
      <c r="U24" s="209"/>
    </row>
    <row r="25" spans="1:33" ht="24.95" customHeight="1" thickBot="1" x14ac:dyDescent="0.35">
      <c r="A25" s="58"/>
      <c r="B25" s="189"/>
      <c r="C25" s="191"/>
      <c r="D25" s="191"/>
      <c r="E25" s="103" t="s">
        <v>2</v>
      </c>
      <c r="F25" s="103" t="s">
        <v>42</v>
      </c>
      <c r="G25" s="103" t="s">
        <v>41</v>
      </c>
      <c r="H25" s="103" t="s">
        <v>44</v>
      </c>
      <c r="I25" s="191"/>
      <c r="J25" s="191"/>
      <c r="K25" s="191"/>
      <c r="L25" s="88"/>
      <c r="M25" s="88"/>
      <c r="N25" s="83"/>
      <c r="P25" s="202"/>
      <c r="Q25" s="205"/>
      <c r="R25" s="206"/>
      <c r="S25" s="210"/>
      <c r="T25" s="211"/>
      <c r="U25" s="212"/>
    </row>
    <row r="26" spans="1:33" ht="24.95" customHeight="1" x14ac:dyDescent="0.3">
      <c r="A26" s="89"/>
      <c r="B26" s="38">
        <f>P26/60</f>
        <v>0</v>
      </c>
      <c r="C26" s="104">
        <f>R26</f>
        <v>0</v>
      </c>
      <c r="D26" s="41">
        <v>0</v>
      </c>
      <c r="E26" s="39">
        <f>U26</f>
        <v>0</v>
      </c>
      <c r="F26" s="41">
        <f>E26/25.4</f>
        <v>0</v>
      </c>
      <c r="G26" s="41">
        <v>0</v>
      </c>
      <c r="H26" s="42" t="e">
        <f>IF(D26="","",(D26/K26))</f>
        <v>#DIV/0!</v>
      </c>
      <c r="I26" s="41" t="e">
        <f>(E26/($C$19*10))*100</f>
        <v>#DIV/0!</v>
      </c>
      <c r="J26" s="43" t="e">
        <f>$C$22/(1-I26/100)</f>
        <v>#DIV/0!</v>
      </c>
      <c r="K26" s="109" t="e">
        <f>J26*0.155</f>
        <v>#DIV/0!</v>
      </c>
      <c r="L26" s="90"/>
      <c r="M26" s="90"/>
      <c r="N26" s="83"/>
      <c r="O26" s="5">
        <v>0</v>
      </c>
      <c r="P26" s="19"/>
      <c r="Q26" s="129"/>
      <c r="R26" s="130"/>
      <c r="S26" s="127"/>
      <c r="T26" s="133"/>
      <c r="U26" s="106"/>
    </row>
    <row r="27" spans="1:33" ht="24.95" customHeight="1" x14ac:dyDescent="0.3">
      <c r="A27" s="89"/>
      <c r="B27" s="38">
        <f t="shared" ref="B27:B58" si="0">P27/60</f>
        <v>0</v>
      </c>
      <c r="C27" s="104">
        <f t="shared" ref="C27:C58" si="1">R27</f>
        <v>0</v>
      </c>
      <c r="D27" s="40">
        <f t="shared" ref="D27:D58" si="2">C27*0.224809*1000</f>
        <v>0</v>
      </c>
      <c r="E27" s="39">
        <f t="shared" ref="E27:E57" si="3">U27</f>
        <v>0</v>
      </c>
      <c r="F27" s="41">
        <f>E27/25.4</f>
        <v>0</v>
      </c>
      <c r="G27" s="41" t="e">
        <f>IF(C27="","",(C27/(J27/10000)))</f>
        <v>#DIV/0!</v>
      </c>
      <c r="H27" s="42" t="e">
        <f t="shared" ref="H27:H58" si="4">IF(D27="","",(D27/K27))</f>
        <v>#DIV/0!</v>
      </c>
      <c r="I27" s="41" t="e">
        <f t="shared" ref="I27:I58" si="5">(E27/($C$19*10))*100</f>
        <v>#DIV/0!</v>
      </c>
      <c r="J27" s="43" t="e">
        <f>$C$22/(1-I27/100)</f>
        <v>#DIV/0!</v>
      </c>
      <c r="K27" s="109" t="e">
        <f t="shared" ref="K27:K58" si="6">J27*0.155</f>
        <v>#DIV/0!</v>
      </c>
      <c r="L27" s="90"/>
      <c r="M27" s="90"/>
      <c r="N27" s="83"/>
      <c r="O27" s="6">
        <v>0</v>
      </c>
      <c r="P27" s="21"/>
      <c r="Q27" s="13"/>
      <c r="R27" s="131"/>
      <c r="S27" s="128"/>
      <c r="T27" s="132"/>
      <c r="U27" s="107"/>
    </row>
    <row r="28" spans="1:33" ht="24.95" customHeight="1" x14ac:dyDescent="0.3">
      <c r="A28" s="89"/>
      <c r="B28" s="38">
        <f t="shared" si="0"/>
        <v>0</v>
      </c>
      <c r="C28" s="104">
        <f t="shared" si="1"/>
        <v>0</v>
      </c>
      <c r="D28" s="40">
        <f t="shared" si="2"/>
        <v>0</v>
      </c>
      <c r="E28" s="39">
        <f t="shared" si="3"/>
        <v>0</v>
      </c>
      <c r="F28" s="41">
        <f t="shared" ref="F28:F58" si="7">E28/25.4</f>
        <v>0</v>
      </c>
      <c r="G28" s="41" t="e">
        <f t="shared" ref="G28:G58" si="8">IF(C28="","",(C28/(J28/10000)))</f>
        <v>#DIV/0!</v>
      </c>
      <c r="H28" s="42" t="e">
        <f t="shared" si="4"/>
        <v>#DIV/0!</v>
      </c>
      <c r="I28" s="41" t="e">
        <f t="shared" si="5"/>
        <v>#DIV/0!</v>
      </c>
      <c r="J28" s="43" t="e">
        <f t="shared" ref="J28:J58" si="9">$C$22/(1-I28/100)</f>
        <v>#DIV/0!</v>
      </c>
      <c r="K28" s="109" t="e">
        <f t="shared" si="6"/>
        <v>#DIV/0!</v>
      </c>
      <c r="L28" s="90"/>
      <c r="M28" s="90"/>
      <c r="N28" s="83"/>
      <c r="O28" s="6">
        <v>0.59499999999999997</v>
      </c>
      <c r="P28" s="21"/>
      <c r="Q28" s="13"/>
      <c r="R28" s="131"/>
      <c r="S28" s="128"/>
      <c r="T28" s="132"/>
      <c r="U28" s="107"/>
    </row>
    <row r="29" spans="1:33" ht="24.95" customHeight="1" x14ac:dyDescent="0.3">
      <c r="A29" s="89"/>
      <c r="B29" s="38">
        <f t="shared" si="0"/>
        <v>0</v>
      </c>
      <c r="C29" s="104">
        <f t="shared" si="1"/>
        <v>0</v>
      </c>
      <c r="D29" s="40">
        <f t="shared" si="2"/>
        <v>0</v>
      </c>
      <c r="E29" s="39">
        <f t="shared" si="3"/>
        <v>0</v>
      </c>
      <c r="F29" s="41">
        <f t="shared" si="7"/>
        <v>0</v>
      </c>
      <c r="G29" s="41" t="e">
        <f t="shared" si="8"/>
        <v>#DIV/0!</v>
      </c>
      <c r="H29" s="42" t="e">
        <f t="shared" si="4"/>
        <v>#DIV/0!</v>
      </c>
      <c r="I29" s="41" t="e">
        <f t="shared" si="5"/>
        <v>#DIV/0!</v>
      </c>
      <c r="J29" s="43" t="e">
        <f t="shared" si="9"/>
        <v>#DIV/0!</v>
      </c>
      <c r="K29" s="109" t="e">
        <f t="shared" si="6"/>
        <v>#DIV/0!</v>
      </c>
      <c r="L29" s="90"/>
      <c r="M29" s="90"/>
      <c r="N29" s="83"/>
      <c r="O29" s="6">
        <v>1.1120000000000001</v>
      </c>
      <c r="P29" s="21"/>
      <c r="Q29" s="13"/>
      <c r="R29" s="131"/>
      <c r="S29" s="128"/>
      <c r="T29" s="132"/>
      <c r="U29" s="107"/>
    </row>
    <row r="30" spans="1:33" ht="24.95" customHeight="1" x14ac:dyDescent="0.3">
      <c r="A30" s="89"/>
      <c r="B30" s="38">
        <f t="shared" si="0"/>
        <v>0</v>
      </c>
      <c r="C30" s="104">
        <f>R30</f>
        <v>0</v>
      </c>
      <c r="D30" s="40">
        <f t="shared" si="2"/>
        <v>0</v>
      </c>
      <c r="E30" s="39">
        <f t="shared" si="3"/>
        <v>0</v>
      </c>
      <c r="F30" s="41">
        <f t="shared" si="7"/>
        <v>0</v>
      </c>
      <c r="G30" s="41" t="e">
        <f t="shared" si="8"/>
        <v>#DIV/0!</v>
      </c>
      <c r="H30" s="42" t="e">
        <f t="shared" si="4"/>
        <v>#DIV/0!</v>
      </c>
      <c r="I30" s="41" t="e">
        <f t="shared" si="5"/>
        <v>#DIV/0!</v>
      </c>
      <c r="J30" s="43" t="e">
        <f t="shared" si="9"/>
        <v>#DIV/0!</v>
      </c>
      <c r="K30" s="109" t="e">
        <f t="shared" si="6"/>
        <v>#DIV/0!</v>
      </c>
      <c r="L30" s="90"/>
      <c r="M30" s="90"/>
      <c r="N30" s="83"/>
      <c r="O30" s="6">
        <v>1.605</v>
      </c>
      <c r="P30" s="21"/>
      <c r="Q30" s="13"/>
      <c r="R30" s="131"/>
      <c r="S30" s="128"/>
      <c r="T30" s="132"/>
      <c r="U30" s="107"/>
    </row>
    <row r="31" spans="1:33" ht="24.95" customHeight="1" x14ac:dyDescent="0.3">
      <c r="A31" s="89"/>
      <c r="B31" s="38">
        <f t="shared" si="0"/>
        <v>0</v>
      </c>
      <c r="C31" s="104">
        <f t="shared" si="1"/>
        <v>0</v>
      </c>
      <c r="D31" s="40">
        <f t="shared" si="2"/>
        <v>0</v>
      </c>
      <c r="E31" s="39">
        <f t="shared" si="3"/>
        <v>0</v>
      </c>
      <c r="F31" s="41">
        <f t="shared" si="7"/>
        <v>0</v>
      </c>
      <c r="G31" s="41" t="e">
        <f t="shared" si="8"/>
        <v>#DIV/0!</v>
      </c>
      <c r="H31" s="42" t="e">
        <f t="shared" si="4"/>
        <v>#DIV/0!</v>
      </c>
      <c r="I31" s="41" t="e">
        <f t="shared" si="5"/>
        <v>#DIV/0!</v>
      </c>
      <c r="J31" s="43" t="e">
        <f t="shared" si="9"/>
        <v>#DIV/0!</v>
      </c>
      <c r="K31" s="109" t="e">
        <f t="shared" si="6"/>
        <v>#DIV/0!</v>
      </c>
      <c r="L31" s="90"/>
      <c r="M31" s="90"/>
      <c r="N31" s="83"/>
      <c r="O31" s="6">
        <v>2.0270000000000001</v>
      </c>
      <c r="P31" s="21"/>
      <c r="Q31" s="13"/>
      <c r="R31" s="131"/>
      <c r="S31" s="128"/>
      <c r="T31" s="132"/>
      <c r="U31" s="107"/>
    </row>
    <row r="32" spans="1:33" ht="24.95" customHeight="1" x14ac:dyDescent="0.3">
      <c r="A32" s="89"/>
      <c r="B32" s="38">
        <f t="shared" si="0"/>
        <v>0</v>
      </c>
      <c r="C32" s="104">
        <f t="shared" si="1"/>
        <v>0</v>
      </c>
      <c r="D32" s="40">
        <f t="shared" si="2"/>
        <v>0</v>
      </c>
      <c r="E32" s="39">
        <f t="shared" si="3"/>
        <v>0</v>
      </c>
      <c r="F32" s="41">
        <f t="shared" si="7"/>
        <v>0</v>
      </c>
      <c r="G32" s="41" t="e">
        <f t="shared" si="8"/>
        <v>#DIV/0!</v>
      </c>
      <c r="H32" s="42" t="e">
        <f t="shared" si="4"/>
        <v>#DIV/0!</v>
      </c>
      <c r="I32" s="41" t="e">
        <f t="shared" si="5"/>
        <v>#DIV/0!</v>
      </c>
      <c r="J32" s="43" t="e">
        <f t="shared" si="9"/>
        <v>#DIV/0!</v>
      </c>
      <c r="K32" s="109" t="e">
        <f t="shared" si="6"/>
        <v>#DIV/0!</v>
      </c>
      <c r="L32" s="90"/>
      <c r="M32" s="90"/>
      <c r="N32" s="83"/>
      <c r="O32" s="6">
        <v>2.4540000000000002</v>
      </c>
      <c r="P32" s="21"/>
      <c r="Q32" s="13"/>
      <c r="R32" s="131"/>
      <c r="S32" s="128"/>
      <c r="T32" s="132"/>
      <c r="U32" s="107"/>
    </row>
    <row r="33" spans="1:21" ht="24.95" customHeight="1" x14ac:dyDescent="0.3">
      <c r="A33" s="89"/>
      <c r="B33" s="38">
        <f t="shared" si="0"/>
        <v>0</v>
      </c>
      <c r="C33" s="104">
        <f t="shared" si="1"/>
        <v>0</v>
      </c>
      <c r="D33" s="40">
        <f t="shared" si="2"/>
        <v>0</v>
      </c>
      <c r="E33" s="39">
        <f t="shared" si="3"/>
        <v>0</v>
      </c>
      <c r="F33" s="41">
        <f t="shared" si="7"/>
        <v>0</v>
      </c>
      <c r="G33" s="41" t="e">
        <f t="shared" si="8"/>
        <v>#DIV/0!</v>
      </c>
      <c r="H33" s="42" t="e">
        <f t="shared" si="4"/>
        <v>#DIV/0!</v>
      </c>
      <c r="I33" s="41" t="e">
        <f t="shared" si="5"/>
        <v>#DIV/0!</v>
      </c>
      <c r="J33" s="43" t="e">
        <f t="shared" si="9"/>
        <v>#DIV/0!</v>
      </c>
      <c r="K33" s="109" t="e">
        <f t="shared" si="6"/>
        <v>#DIV/0!</v>
      </c>
      <c r="L33" s="90"/>
      <c r="M33" s="90"/>
      <c r="N33" s="83"/>
      <c r="O33" s="6">
        <v>2.81</v>
      </c>
      <c r="P33" s="21"/>
      <c r="Q33" s="13"/>
      <c r="R33" s="131"/>
      <c r="S33" s="128"/>
      <c r="T33" s="132"/>
      <c r="U33" s="107"/>
    </row>
    <row r="34" spans="1:21" ht="24.95" customHeight="1" x14ac:dyDescent="0.3">
      <c r="A34" s="89"/>
      <c r="B34" s="38">
        <f t="shared" si="0"/>
        <v>0</v>
      </c>
      <c r="C34" s="104">
        <f>R34</f>
        <v>0</v>
      </c>
      <c r="D34" s="40">
        <f t="shared" si="2"/>
        <v>0</v>
      </c>
      <c r="E34" s="39">
        <f t="shared" si="3"/>
        <v>0</v>
      </c>
      <c r="F34" s="41">
        <f t="shared" si="7"/>
        <v>0</v>
      </c>
      <c r="G34" s="41" t="e">
        <f t="shared" si="8"/>
        <v>#DIV/0!</v>
      </c>
      <c r="H34" s="42" t="e">
        <f t="shared" si="4"/>
        <v>#DIV/0!</v>
      </c>
      <c r="I34" s="41" t="e">
        <f t="shared" si="5"/>
        <v>#DIV/0!</v>
      </c>
      <c r="J34" s="43" t="e">
        <f t="shared" si="9"/>
        <v>#DIV/0!</v>
      </c>
      <c r="K34" s="109" t="e">
        <f t="shared" si="6"/>
        <v>#DIV/0!</v>
      </c>
      <c r="L34" s="90"/>
      <c r="M34" s="90"/>
      <c r="N34" s="83"/>
      <c r="O34" s="6">
        <v>3.2429999999999999</v>
      </c>
      <c r="P34" s="21"/>
      <c r="Q34" s="13"/>
      <c r="R34" s="131"/>
      <c r="S34" s="128"/>
      <c r="T34" s="132"/>
      <c r="U34" s="107"/>
    </row>
    <row r="35" spans="1:21" ht="24.95" customHeight="1" x14ac:dyDescent="0.3">
      <c r="A35" s="89"/>
      <c r="B35" s="38">
        <f t="shared" si="0"/>
        <v>0</v>
      </c>
      <c r="C35" s="104">
        <f t="shared" si="1"/>
        <v>0</v>
      </c>
      <c r="D35" s="40">
        <f t="shared" si="2"/>
        <v>0</v>
      </c>
      <c r="E35" s="39">
        <f t="shared" si="3"/>
        <v>0</v>
      </c>
      <c r="F35" s="41">
        <f t="shared" si="7"/>
        <v>0</v>
      </c>
      <c r="G35" s="41" t="e">
        <f t="shared" si="8"/>
        <v>#DIV/0!</v>
      </c>
      <c r="H35" s="42" t="e">
        <f t="shared" si="4"/>
        <v>#DIV/0!</v>
      </c>
      <c r="I35" s="41" t="e">
        <f t="shared" si="5"/>
        <v>#DIV/0!</v>
      </c>
      <c r="J35" s="43" t="e">
        <f t="shared" si="9"/>
        <v>#DIV/0!</v>
      </c>
      <c r="K35" s="109" t="e">
        <f t="shared" si="6"/>
        <v>#DIV/0!</v>
      </c>
      <c r="L35" s="90"/>
      <c r="M35" s="90"/>
      <c r="N35" s="83"/>
      <c r="O35" s="6">
        <v>3.6720000000000002</v>
      </c>
      <c r="P35" s="21"/>
      <c r="Q35" s="13"/>
      <c r="R35" s="131"/>
      <c r="S35" s="128"/>
      <c r="T35" s="132"/>
      <c r="U35" s="107"/>
    </row>
    <row r="36" spans="1:21" ht="24.95" customHeight="1" x14ac:dyDescent="0.3">
      <c r="A36" s="89"/>
      <c r="B36" s="38">
        <f t="shared" si="0"/>
        <v>0</v>
      </c>
      <c r="C36" s="104">
        <f t="shared" si="1"/>
        <v>0</v>
      </c>
      <c r="D36" s="40">
        <f t="shared" si="2"/>
        <v>0</v>
      </c>
      <c r="E36" s="39">
        <f t="shared" si="3"/>
        <v>0</v>
      </c>
      <c r="F36" s="41">
        <f t="shared" si="7"/>
        <v>0</v>
      </c>
      <c r="G36" s="41" t="e">
        <f t="shared" si="8"/>
        <v>#DIV/0!</v>
      </c>
      <c r="H36" s="42" t="e">
        <f t="shared" si="4"/>
        <v>#DIV/0!</v>
      </c>
      <c r="I36" s="41" t="e">
        <f t="shared" si="5"/>
        <v>#DIV/0!</v>
      </c>
      <c r="J36" s="43" t="e">
        <f t="shared" si="9"/>
        <v>#DIV/0!</v>
      </c>
      <c r="K36" s="109" t="e">
        <f t="shared" si="6"/>
        <v>#DIV/0!</v>
      </c>
      <c r="L36" s="90"/>
      <c r="M36" s="90"/>
      <c r="N36" s="83"/>
      <c r="O36" s="6">
        <v>4.0990000000000002</v>
      </c>
      <c r="P36" s="21"/>
      <c r="Q36" s="13"/>
      <c r="R36" s="131"/>
      <c r="S36" s="128"/>
      <c r="T36" s="132"/>
      <c r="U36" s="107"/>
    </row>
    <row r="37" spans="1:21" ht="24.95" customHeight="1" x14ac:dyDescent="0.3">
      <c r="A37" s="89"/>
      <c r="B37" s="38">
        <f t="shared" si="0"/>
        <v>0</v>
      </c>
      <c r="C37" s="104">
        <f t="shared" si="1"/>
        <v>0</v>
      </c>
      <c r="D37" s="40">
        <f t="shared" si="2"/>
        <v>0</v>
      </c>
      <c r="E37" s="39">
        <f t="shared" si="3"/>
        <v>0</v>
      </c>
      <c r="F37" s="41">
        <f t="shared" si="7"/>
        <v>0</v>
      </c>
      <c r="G37" s="41" t="e">
        <f t="shared" si="8"/>
        <v>#DIV/0!</v>
      </c>
      <c r="H37" s="42" t="e">
        <f t="shared" si="4"/>
        <v>#DIV/0!</v>
      </c>
      <c r="I37" s="41" t="e">
        <f t="shared" si="5"/>
        <v>#DIV/0!</v>
      </c>
      <c r="J37" s="43" t="e">
        <f t="shared" si="9"/>
        <v>#DIV/0!</v>
      </c>
      <c r="K37" s="109" t="e">
        <f t="shared" si="6"/>
        <v>#DIV/0!</v>
      </c>
      <c r="L37" s="90"/>
      <c r="M37" s="90"/>
      <c r="N37" s="83"/>
      <c r="O37" s="6">
        <v>4.4050000000000002</v>
      </c>
      <c r="P37" s="21"/>
      <c r="Q37" s="13"/>
      <c r="R37" s="131"/>
      <c r="S37" s="128"/>
      <c r="T37" s="132"/>
      <c r="U37" s="107"/>
    </row>
    <row r="38" spans="1:21" ht="24.95" customHeight="1" x14ac:dyDescent="0.3">
      <c r="A38" s="89"/>
      <c r="B38" s="38">
        <f t="shared" si="0"/>
        <v>0</v>
      </c>
      <c r="C38" s="104">
        <f t="shared" si="1"/>
        <v>0</v>
      </c>
      <c r="D38" s="40">
        <f t="shared" si="2"/>
        <v>0</v>
      </c>
      <c r="E38" s="39">
        <f t="shared" si="3"/>
        <v>0</v>
      </c>
      <c r="F38" s="41">
        <f t="shared" si="7"/>
        <v>0</v>
      </c>
      <c r="G38" s="41" t="e">
        <f t="shared" si="8"/>
        <v>#DIV/0!</v>
      </c>
      <c r="H38" s="42" t="e">
        <f t="shared" si="4"/>
        <v>#DIV/0!</v>
      </c>
      <c r="I38" s="41" t="e">
        <f t="shared" si="5"/>
        <v>#DIV/0!</v>
      </c>
      <c r="J38" s="43" t="e">
        <f t="shared" si="9"/>
        <v>#DIV/0!</v>
      </c>
      <c r="K38" s="109" t="e">
        <f t="shared" si="6"/>
        <v>#DIV/0!</v>
      </c>
      <c r="L38" s="90"/>
      <c r="M38" s="90"/>
      <c r="N38" s="83"/>
      <c r="O38" s="6">
        <v>4.83</v>
      </c>
      <c r="P38" s="21"/>
      <c r="Q38" s="13"/>
      <c r="R38" s="131"/>
      <c r="S38" s="128"/>
      <c r="T38" s="132"/>
      <c r="U38" s="107"/>
    </row>
    <row r="39" spans="1:21" ht="24.95" customHeight="1" x14ac:dyDescent="0.3">
      <c r="A39" s="89"/>
      <c r="B39" s="38">
        <f t="shared" si="0"/>
        <v>0</v>
      </c>
      <c r="C39" s="104">
        <f t="shared" si="1"/>
        <v>0</v>
      </c>
      <c r="D39" s="40">
        <f t="shared" si="2"/>
        <v>0</v>
      </c>
      <c r="E39" s="39">
        <f t="shared" si="3"/>
        <v>0</v>
      </c>
      <c r="F39" s="41">
        <f t="shared" si="7"/>
        <v>0</v>
      </c>
      <c r="G39" s="41" t="e">
        <f t="shared" si="8"/>
        <v>#DIV/0!</v>
      </c>
      <c r="H39" s="42" t="e">
        <f t="shared" si="4"/>
        <v>#DIV/0!</v>
      </c>
      <c r="I39" s="41" t="e">
        <f t="shared" si="5"/>
        <v>#DIV/0!</v>
      </c>
      <c r="J39" s="43" t="e">
        <f t="shared" si="9"/>
        <v>#DIV/0!</v>
      </c>
      <c r="K39" s="109" t="e">
        <f t="shared" si="6"/>
        <v>#DIV/0!</v>
      </c>
      <c r="L39" s="90"/>
      <c r="M39" s="90"/>
      <c r="N39" s="83"/>
      <c r="O39" s="6">
        <v>5.2560000000000002</v>
      </c>
      <c r="P39" s="21"/>
      <c r="Q39" s="13"/>
      <c r="R39" s="131"/>
      <c r="S39" s="128"/>
      <c r="T39" s="132"/>
      <c r="U39" s="107"/>
    </row>
    <row r="40" spans="1:21" ht="24.95" customHeight="1" x14ac:dyDescent="0.3">
      <c r="A40" s="89"/>
      <c r="B40" s="38">
        <f t="shared" si="0"/>
        <v>0</v>
      </c>
      <c r="C40" s="104">
        <f t="shared" si="1"/>
        <v>0</v>
      </c>
      <c r="D40" s="40">
        <f t="shared" si="2"/>
        <v>0</v>
      </c>
      <c r="E40" s="39">
        <f t="shared" si="3"/>
        <v>0</v>
      </c>
      <c r="F40" s="41">
        <f t="shared" si="7"/>
        <v>0</v>
      </c>
      <c r="G40" s="41" t="e">
        <f t="shared" si="8"/>
        <v>#DIV/0!</v>
      </c>
      <c r="H40" s="42" t="e">
        <f t="shared" si="4"/>
        <v>#DIV/0!</v>
      </c>
      <c r="I40" s="41" t="e">
        <f t="shared" si="5"/>
        <v>#DIV/0!</v>
      </c>
      <c r="J40" s="43" t="e">
        <f t="shared" si="9"/>
        <v>#DIV/0!</v>
      </c>
      <c r="K40" s="109" t="e">
        <f t="shared" si="6"/>
        <v>#DIV/0!</v>
      </c>
      <c r="L40" s="90"/>
      <c r="M40" s="90"/>
      <c r="N40" s="83"/>
      <c r="O40" s="6">
        <v>5.593</v>
      </c>
      <c r="P40" s="21"/>
      <c r="Q40" s="13"/>
      <c r="R40" s="131"/>
      <c r="S40" s="128"/>
      <c r="T40" s="132"/>
      <c r="U40" s="107"/>
    </row>
    <row r="41" spans="1:21" ht="24.95" customHeight="1" x14ac:dyDescent="0.3">
      <c r="A41" s="89"/>
      <c r="B41" s="38">
        <f t="shared" si="0"/>
        <v>0</v>
      </c>
      <c r="C41" s="104">
        <f t="shared" si="1"/>
        <v>0</v>
      </c>
      <c r="D41" s="40">
        <f t="shared" si="2"/>
        <v>0</v>
      </c>
      <c r="E41" s="39">
        <f t="shared" si="3"/>
        <v>0</v>
      </c>
      <c r="F41" s="41">
        <f t="shared" si="7"/>
        <v>0</v>
      </c>
      <c r="G41" s="41" t="e">
        <f t="shared" si="8"/>
        <v>#DIV/0!</v>
      </c>
      <c r="H41" s="42" t="e">
        <f t="shared" si="4"/>
        <v>#DIV/0!</v>
      </c>
      <c r="I41" s="41" t="e">
        <f t="shared" si="5"/>
        <v>#DIV/0!</v>
      </c>
      <c r="J41" s="43" t="e">
        <f t="shared" si="9"/>
        <v>#DIV/0!</v>
      </c>
      <c r="K41" s="109" t="e">
        <f t="shared" si="6"/>
        <v>#DIV/0!</v>
      </c>
      <c r="L41" s="90"/>
      <c r="M41" s="90"/>
      <c r="N41" s="83"/>
      <c r="O41" s="6">
        <v>6.0650000000000004</v>
      </c>
      <c r="P41" s="21"/>
      <c r="Q41" s="13"/>
      <c r="R41" s="131"/>
      <c r="S41" s="128"/>
      <c r="T41" s="132"/>
      <c r="U41" s="107"/>
    </row>
    <row r="42" spans="1:21" ht="24.95" customHeight="1" x14ac:dyDescent="0.3">
      <c r="A42" s="89"/>
      <c r="B42" s="38">
        <f t="shared" si="0"/>
        <v>0</v>
      </c>
      <c r="C42" s="104">
        <f t="shared" si="1"/>
        <v>0</v>
      </c>
      <c r="D42" s="40">
        <f t="shared" si="2"/>
        <v>0</v>
      </c>
      <c r="E42" s="39">
        <f t="shared" si="3"/>
        <v>0</v>
      </c>
      <c r="F42" s="41">
        <f t="shared" si="7"/>
        <v>0</v>
      </c>
      <c r="G42" s="41" t="e">
        <f t="shared" si="8"/>
        <v>#DIV/0!</v>
      </c>
      <c r="H42" s="42" t="e">
        <f t="shared" si="4"/>
        <v>#DIV/0!</v>
      </c>
      <c r="I42" s="41" t="e">
        <f t="shared" si="5"/>
        <v>#DIV/0!</v>
      </c>
      <c r="J42" s="43" t="e">
        <f t="shared" si="9"/>
        <v>#DIV/0!</v>
      </c>
      <c r="K42" s="109" t="e">
        <f t="shared" si="6"/>
        <v>#DIV/0!</v>
      </c>
      <c r="L42" s="90"/>
      <c r="M42" s="90"/>
      <c r="N42" s="83"/>
      <c r="O42" s="6">
        <v>6.5289999999999999</v>
      </c>
      <c r="P42" s="21"/>
      <c r="Q42" s="13"/>
      <c r="R42" s="131"/>
      <c r="S42" s="128"/>
      <c r="T42" s="132"/>
      <c r="U42" s="107"/>
    </row>
    <row r="43" spans="1:21" ht="24.95" customHeight="1" x14ac:dyDescent="0.3">
      <c r="A43" s="89"/>
      <c r="B43" s="38">
        <f t="shared" si="0"/>
        <v>0</v>
      </c>
      <c r="C43" s="104">
        <f t="shared" si="1"/>
        <v>0</v>
      </c>
      <c r="D43" s="40">
        <f t="shared" si="2"/>
        <v>0</v>
      </c>
      <c r="E43" s="39">
        <f t="shared" si="3"/>
        <v>0</v>
      </c>
      <c r="F43" s="41">
        <f t="shared" si="7"/>
        <v>0</v>
      </c>
      <c r="G43" s="41" t="e">
        <f t="shared" si="8"/>
        <v>#DIV/0!</v>
      </c>
      <c r="H43" s="42" t="e">
        <f t="shared" si="4"/>
        <v>#DIV/0!</v>
      </c>
      <c r="I43" s="41" t="e">
        <f t="shared" si="5"/>
        <v>#DIV/0!</v>
      </c>
      <c r="J43" s="43" t="e">
        <f t="shared" si="9"/>
        <v>#DIV/0!</v>
      </c>
      <c r="K43" s="109" t="e">
        <f t="shared" si="6"/>
        <v>#DIV/0!</v>
      </c>
      <c r="L43" s="90"/>
      <c r="M43" s="90"/>
      <c r="N43" s="83"/>
      <c r="O43" s="6">
        <v>6.9450000000000003</v>
      </c>
      <c r="P43" s="21"/>
      <c r="Q43" s="13"/>
      <c r="R43" s="131"/>
      <c r="S43" s="128"/>
      <c r="T43" s="132"/>
      <c r="U43" s="107"/>
    </row>
    <row r="44" spans="1:21" ht="24.95" customHeight="1" x14ac:dyDescent="0.3">
      <c r="A44" s="89"/>
      <c r="B44" s="38">
        <f t="shared" si="0"/>
        <v>0</v>
      </c>
      <c r="C44" s="104">
        <f t="shared" si="1"/>
        <v>0</v>
      </c>
      <c r="D44" s="40">
        <f t="shared" si="2"/>
        <v>0</v>
      </c>
      <c r="E44" s="39">
        <f t="shared" si="3"/>
        <v>0</v>
      </c>
      <c r="F44" s="41">
        <f t="shared" si="7"/>
        <v>0</v>
      </c>
      <c r="G44" s="41" t="e">
        <f t="shared" si="8"/>
        <v>#DIV/0!</v>
      </c>
      <c r="H44" s="42" t="e">
        <f t="shared" si="4"/>
        <v>#DIV/0!</v>
      </c>
      <c r="I44" s="41" t="e">
        <f t="shared" si="5"/>
        <v>#DIV/0!</v>
      </c>
      <c r="J44" s="43" t="e">
        <f t="shared" si="9"/>
        <v>#DIV/0!</v>
      </c>
      <c r="K44" s="109" t="e">
        <f t="shared" si="6"/>
        <v>#DIV/0!</v>
      </c>
      <c r="L44" s="90"/>
      <c r="M44" s="90"/>
      <c r="N44" s="83"/>
      <c r="O44" s="6">
        <v>7.2439999999999998</v>
      </c>
      <c r="P44" s="21"/>
      <c r="Q44" s="13"/>
      <c r="R44" s="131"/>
      <c r="S44" s="128"/>
      <c r="T44" s="132"/>
      <c r="U44" s="107"/>
    </row>
    <row r="45" spans="1:21" ht="24.95" customHeight="1" x14ac:dyDescent="0.3">
      <c r="A45" s="89"/>
      <c r="B45" s="38">
        <f t="shared" si="0"/>
        <v>0</v>
      </c>
      <c r="C45" s="104">
        <f t="shared" si="1"/>
        <v>0</v>
      </c>
      <c r="D45" s="40">
        <f t="shared" si="2"/>
        <v>0</v>
      </c>
      <c r="E45" s="39">
        <f t="shared" si="3"/>
        <v>0</v>
      </c>
      <c r="F45" s="41">
        <f>E45/25.4</f>
        <v>0</v>
      </c>
      <c r="G45" s="41" t="e">
        <f t="shared" si="8"/>
        <v>#DIV/0!</v>
      </c>
      <c r="H45" s="42" t="e">
        <f t="shared" si="4"/>
        <v>#DIV/0!</v>
      </c>
      <c r="I45" s="41" t="e">
        <f t="shared" si="5"/>
        <v>#DIV/0!</v>
      </c>
      <c r="J45" s="43" t="e">
        <f>$C$22/(1-I45/100)</f>
        <v>#DIV/0!</v>
      </c>
      <c r="K45" s="109" t="e">
        <f t="shared" si="6"/>
        <v>#DIV/0!</v>
      </c>
      <c r="L45" s="90"/>
      <c r="M45" s="90"/>
      <c r="N45" s="83"/>
      <c r="O45" s="6">
        <v>7.7009999999999996</v>
      </c>
      <c r="P45" s="21"/>
      <c r="Q45" s="13"/>
      <c r="R45" s="131"/>
      <c r="S45" s="128"/>
      <c r="T45" s="132"/>
      <c r="U45" s="107"/>
    </row>
    <row r="46" spans="1:21" ht="24.95" customHeight="1" x14ac:dyDescent="0.3">
      <c r="A46" s="89"/>
      <c r="B46" s="38">
        <f t="shared" si="0"/>
        <v>0</v>
      </c>
      <c r="C46" s="104">
        <f t="shared" si="1"/>
        <v>0</v>
      </c>
      <c r="D46" s="40">
        <f t="shared" si="2"/>
        <v>0</v>
      </c>
      <c r="E46" s="39">
        <f t="shared" si="3"/>
        <v>0</v>
      </c>
      <c r="F46" s="41">
        <f t="shared" si="7"/>
        <v>0</v>
      </c>
      <c r="G46" s="41" t="e">
        <f t="shared" si="8"/>
        <v>#DIV/0!</v>
      </c>
      <c r="H46" s="42" t="e">
        <f t="shared" si="4"/>
        <v>#DIV/0!</v>
      </c>
      <c r="I46" s="41" t="e">
        <f t="shared" si="5"/>
        <v>#DIV/0!</v>
      </c>
      <c r="J46" s="43" t="e">
        <f t="shared" si="9"/>
        <v>#DIV/0!</v>
      </c>
      <c r="K46" s="109" t="e">
        <f t="shared" si="6"/>
        <v>#DIV/0!</v>
      </c>
      <c r="L46" s="90"/>
      <c r="M46" s="90"/>
      <c r="N46" s="83"/>
      <c r="O46" s="6">
        <v>8.1920000000000002</v>
      </c>
      <c r="P46" s="21"/>
      <c r="Q46" s="13"/>
      <c r="R46" s="131"/>
      <c r="S46" s="128"/>
      <c r="T46" s="132"/>
      <c r="U46" s="107"/>
    </row>
    <row r="47" spans="1:21" ht="24.95" customHeight="1" x14ac:dyDescent="0.3">
      <c r="A47" s="89"/>
      <c r="B47" s="38">
        <f t="shared" si="0"/>
        <v>0</v>
      </c>
      <c r="C47" s="104">
        <f t="shared" si="1"/>
        <v>0</v>
      </c>
      <c r="D47" s="40">
        <f t="shared" si="2"/>
        <v>0</v>
      </c>
      <c r="E47" s="39">
        <f t="shared" si="3"/>
        <v>0</v>
      </c>
      <c r="F47" s="41">
        <f t="shared" si="7"/>
        <v>0</v>
      </c>
      <c r="G47" s="41" t="e">
        <f t="shared" si="8"/>
        <v>#DIV/0!</v>
      </c>
      <c r="H47" s="42" t="e">
        <f t="shared" si="4"/>
        <v>#DIV/0!</v>
      </c>
      <c r="I47" s="41" t="e">
        <f t="shared" si="5"/>
        <v>#DIV/0!</v>
      </c>
      <c r="J47" s="43" t="e">
        <f t="shared" si="9"/>
        <v>#DIV/0!</v>
      </c>
      <c r="K47" s="109" t="e">
        <f t="shared" si="6"/>
        <v>#DIV/0!</v>
      </c>
      <c r="L47" s="90"/>
      <c r="M47" s="90"/>
      <c r="N47" s="83"/>
      <c r="O47" s="6">
        <v>8.5820000000000007</v>
      </c>
      <c r="P47" s="21"/>
      <c r="Q47" s="13"/>
      <c r="R47" s="131"/>
      <c r="S47" s="128"/>
      <c r="T47" s="132"/>
      <c r="U47" s="107"/>
    </row>
    <row r="48" spans="1:21" ht="24.95" customHeight="1" x14ac:dyDescent="0.3">
      <c r="A48" s="89"/>
      <c r="B48" s="38">
        <f t="shared" si="0"/>
        <v>0</v>
      </c>
      <c r="C48" s="104">
        <f t="shared" si="1"/>
        <v>0</v>
      </c>
      <c r="D48" s="40">
        <f t="shared" si="2"/>
        <v>0</v>
      </c>
      <c r="E48" s="39">
        <f t="shared" si="3"/>
        <v>0</v>
      </c>
      <c r="F48" s="41">
        <f t="shared" si="7"/>
        <v>0</v>
      </c>
      <c r="G48" s="41" t="e">
        <f t="shared" si="8"/>
        <v>#DIV/0!</v>
      </c>
      <c r="H48" s="42" t="e">
        <f t="shared" si="4"/>
        <v>#DIV/0!</v>
      </c>
      <c r="I48" s="41" t="e">
        <f t="shared" si="5"/>
        <v>#DIV/0!</v>
      </c>
      <c r="J48" s="43" t="e">
        <f t="shared" si="9"/>
        <v>#DIV/0!</v>
      </c>
      <c r="K48" s="109" t="e">
        <f t="shared" si="6"/>
        <v>#DIV/0!</v>
      </c>
      <c r="L48" s="90"/>
      <c r="M48" s="90"/>
      <c r="N48" s="83"/>
      <c r="O48" s="6">
        <v>9.0809999999999995</v>
      </c>
      <c r="P48" s="21"/>
      <c r="Q48" s="13"/>
      <c r="R48" s="131"/>
      <c r="S48" s="128"/>
      <c r="T48" s="132"/>
      <c r="U48" s="107"/>
    </row>
    <row r="49" spans="1:21" ht="24.95" customHeight="1" x14ac:dyDescent="0.3">
      <c r="A49" s="89"/>
      <c r="B49" s="38">
        <f t="shared" si="0"/>
        <v>0</v>
      </c>
      <c r="C49" s="104">
        <f t="shared" si="1"/>
        <v>0</v>
      </c>
      <c r="D49" s="40">
        <f t="shared" si="2"/>
        <v>0</v>
      </c>
      <c r="E49" s="39">
        <f t="shared" si="3"/>
        <v>0</v>
      </c>
      <c r="F49" s="41">
        <f t="shared" si="7"/>
        <v>0</v>
      </c>
      <c r="G49" s="41" t="e">
        <f t="shared" si="8"/>
        <v>#DIV/0!</v>
      </c>
      <c r="H49" s="42" t="e">
        <f t="shared" si="4"/>
        <v>#DIV/0!</v>
      </c>
      <c r="I49" s="41" t="e">
        <f t="shared" si="5"/>
        <v>#DIV/0!</v>
      </c>
      <c r="J49" s="43" t="e">
        <f t="shared" si="9"/>
        <v>#DIV/0!</v>
      </c>
      <c r="K49" s="109" t="e">
        <f t="shared" si="6"/>
        <v>#DIV/0!</v>
      </c>
      <c r="L49" s="90"/>
      <c r="M49" s="90"/>
      <c r="N49" s="83"/>
      <c r="O49" s="6">
        <v>9.5820000000000007</v>
      </c>
      <c r="P49" s="21"/>
      <c r="Q49" s="13"/>
      <c r="R49" s="131"/>
      <c r="S49" s="128"/>
      <c r="T49" s="132"/>
      <c r="U49" s="107"/>
    </row>
    <row r="50" spans="1:21" ht="24.95" customHeight="1" x14ac:dyDescent="0.3">
      <c r="A50" s="89"/>
      <c r="B50" s="38">
        <f t="shared" si="0"/>
        <v>0</v>
      </c>
      <c r="C50" s="104">
        <f t="shared" si="1"/>
        <v>0</v>
      </c>
      <c r="D50" s="40">
        <f t="shared" si="2"/>
        <v>0</v>
      </c>
      <c r="E50" s="39">
        <f t="shared" si="3"/>
        <v>0</v>
      </c>
      <c r="F50" s="41">
        <f>E50/25.4</f>
        <v>0</v>
      </c>
      <c r="G50" s="41" t="e">
        <f t="shared" si="8"/>
        <v>#DIV/0!</v>
      </c>
      <c r="H50" s="42" t="e">
        <f t="shared" si="4"/>
        <v>#DIV/0!</v>
      </c>
      <c r="I50" s="41" t="e">
        <f t="shared" si="5"/>
        <v>#DIV/0!</v>
      </c>
      <c r="J50" s="43" t="e">
        <f t="shared" si="9"/>
        <v>#DIV/0!</v>
      </c>
      <c r="K50" s="109" t="e">
        <f t="shared" si="6"/>
        <v>#DIV/0!</v>
      </c>
      <c r="L50" s="90"/>
      <c r="M50" s="90"/>
      <c r="N50" s="83"/>
      <c r="O50" s="6">
        <v>10.092000000000001</v>
      </c>
      <c r="P50" s="21"/>
      <c r="Q50" s="13"/>
      <c r="R50" s="131"/>
      <c r="S50" s="128"/>
      <c r="T50" s="132"/>
      <c r="U50" s="107"/>
    </row>
    <row r="51" spans="1:21" ht="24.95" customHeight="1" x14ac:dyDescent="0.3">
      <c r="A51" s="89"/>
      <c r="B51" s="38">
        <f t="shared" si="0"/>
        <v>0</v>
      </c>
      <c r="C51" s="104">
        <f t="shared" si="1"/>
        <v>0</v>
      </c>
      <c r="D51" s="40">
        <f t="shared" si="2"/>
        <v>0</v>
      </c>
      <c r="E51" s="39">
        <f t="shared" si="3"/>
        <v>0</v>
      </c>
      <c r="F51" s="41">
        <f t="shared" si="7"/>
        <v>0</v>
      </c>
      <c r="G51" s="41" t="e">
        <f t="shared" si="8"/>
        <v>#DIV/0!</v>
      </c>
      <c r="H51" s="42" t="e">
        <f t="shared" si="4"/>
        <v>#DIV/0!</v>
      </c>
      <c r="I51" s="41" t="e">
        <f t="shared" si="5"/>
        <v>#DIV/0!</v>
      </c>
      <c r="J51" s="43" t="e">
        <f t="shared" si="9"/>
        <v>#DIV/0!</v>
      </c>
      <c r="K51" s="109" t="e">
        <f t="shared" si="6"/>
        <v>#DIV/0!</v>
      </c>
      <c r="L51" s="90"/>
      <c r="M51" s="90"/>
      <c r="N51" s="83"/>
      <c r="O51" s="6">
        <v>10.505000000000001</v>
      </c>
      <c r="P51" s="21"/>
      <c r="Q51" s="13"/>
      <c r="R51" s="131"/>
      <c r="S51" s="128"/>
      <c r="T51" s="132"/>
      <c r="U51" s="107"/>
    </row>
    <row r="52" spans="1:21" ht="24.95" customHeight="1" x14ac:dyDescent="0.3">
      <c r="A52" s="89"/>
      <c r="B52" s="38">
        <f t="shared" si="0"/>
        <v>0</v>
      </c>
      <c r="C52" s="104">
        <f t="shared" si="1"/>
        <v>0</v>
      </c>
      <c r="D52" s="40">
        <f t="shared" si="2"/>
        <v>0</v>
      </c>
      <c r="E52" s="39">
        <f t="shared" si="3"/>
        <v>0</v>
      </c>
      <c r="F52" s="41">
        <f t="shared" si="7"/>
        <v>0</v>
      </c>
      <c r="G52" s="41" t="e">
        <f t="shared" si="8"/>
        <v>#DIV/0!</v>
      </c>
      <c r="H52" s="42" t="e">
        <f t="shared" si="4"/>
        <v>#DIV/0!</v>
      </c>
      <c r="I52" s="41" t="e">
        <f t="shared" si="5"/>
        <v>#DIV/0!</v>
      </c>
      <c r="J52" s="43" t="e">
        <f t="shared" si="9"/>
        <v>#DIV/0!</v>
      </c>
      <c r="K52" s="109" t="e">
        <f t="shared" si="6"/>
        <v>#DIV/0!</v>
      </c>
      <c r="L52" s="90"/>
      <c r="M52" s="90"/>
      <c r="N52" s="83"/>
      <c r="O52" s="6">
        <v>11.025</v>
      </c>
      <c r="P52" s="21"/>
      <c r="Q52" s="13"/>
      <c r="R52" s="131"/>
      <c r="S52" s="128"/>
      <c r="T52" s="132"/>
      <c r="U52" s="107"/>
    </row>
    <row r="53" spans="1:21" ht="24.95" customHeight="1" x14ac:dyDescent="0.3">
      <c r="A53" s="89"/>
      <c r="B53" s="38">
        <f t="shared" si="0"/>
        <v>0</v>
      </c>
      <c r="C53" s="104">
        <f t="shared" si="1"/>
        <v>0</v>
      </c>
      <c r="D53" s="40">
        <f t="shared" si="2"/>
        <v>0</v>
      </c>
      <c r="E53" s="39">
        <f t="shared" si="3"/>
        <v>0</v>
      </c>
      <c r="F53" s="41">
        <f t="shared" si="7"/>
        <v>0</v>
      </c>
      <c r="G53" s="41" t="e">
        <f t="shared" si="8"/>
        <v>#DIV/0!</v>
      </c>
      <c r="H53" s="42" t="e">
        <f t="shared" si="4"/>
        <v>#DIV/0!</v>
      </c>
      <c r="I53" s="41" t="e">
        <f t="shared" si="5"/>
        <v>#DIV/0!</v>
      </c>
      <c r="J53" s="43" t="e">
        <f t="shared" si="9"/>
        <v>#DIV/0!</v>
      </c>
      <c r="K53" s="109" t="e">
        <f t="shared" si="6"/>
        <v>#DIV/0!</v>
      </c>
      <c r="L53" s="90"/>
      <c r="M53" s="90"/>
      <c r="N53" s="83"/>
      <c r="O53" s="6">
        <v>11.539</v>
      </c>
      <c r="P53" s="21"/>
      <c r="Q53" s="13"/>
      <c r="R53" s="131"/>
      <c r="S53" s="128"/>
      <c r="T53" s="132"/>
      <c r="U53" s="107"/>
    </row>
    <row r="54" spans="1:21" ht="24.95" customHeight="1" x14ac:dyDescent="0.3">
      <c r="A54" s="89"/>
      <c r="B54" s="38">
        <f t="shared" si="0"/>
        <v>0</v>
      </c>
      <c r="C54" s="104">
        <f t="shared" si="1"/>
        <v>0</v>
      </c>
      <c r="D54" s="40">
        <f t="shared" si="2"/>
        <v>0</v>
      </c>
      <c r="E54" s="39">
        <f t="shared" si="3"/>
        <v>0</v>
      </c>
      <c r="F54" s="41">
        <f t="shared" si="7"/>
        <v>0</v>
      </c>
      <c r="G54" s="41" t="e">
        <f t="shared" si="8"/>
        <v>#DIV/0!</v>
      </c>
      <c r="H54" s="42" t="e">
        <f t="shared" si="4"/>
        <v>#DIV/0!</v>
      </c>
      <c r="I54" s="41" t="e">
        <f t="shared" si="5"/>
        <v>#DIV/0!</v>
      </c>
      <c r="J54" s="43" t="e">
        <f t="shared" si="9"/>
        <v>#DIV/0!</v>
      </c>
      <c r="K54" s="109" t="e">
        <f t="shared" si="6"/>
        <v>#DIV/0!</v>
      </c>
      <c r="L54" s="90"/>
      <c r="M54" s="90"/>
      <c r="N54" s="83"/>
      <c r="O54" s="6">
        <v>12.015000000000001</v>
      </c>
      <c r="P54" s="21"/>
      <c r="Q54" s="13"/>
      <c r="R54" s="131"/>
      <c r="S54" s="128"/>
      <c r="T54" s="132"/>
      <c r="U54" s="107"/>
    </row>
    <row r="55" spans="1:21" ht="24.95" customHeight="1" x14ac:dyDescent="0.3">
      <c r="A55" s="89"/>
      <c r="B55" s="38">
        <f t="shared" si="0"/>
        <v>0</v>
      </c>
      <c r="C55" s="104">
        <f t="shared" si="1"/>
        <v>0</v>
      </c>
      <c r="D55" s="40">
        <f t="shared" si="2"/>
        <v>0</v>
      </c>
      <c r="E55" s="39">
        <f t="shared" si="3"/>
        <v>0</v>
      </c>
      <c r="F55" s="41">
        <f t="shared" si="7"/>
        <v>0</v>
      </c>
      <c r="G55" s="41" t="e">
        <f t="shared" si="8"/>
        <v>#DIV/0!</v>
      </c>
      <c r="H55" s="42" t="e">
        <f t="shared" si="4"/>
        <v>#DIV/0!</v>
      </c>
      <c r="I55" s="41" t="e">
        <f t="shared" si="5"/>
        <v>#DIV/0!</v>
      </c>
      <c r="J55" s="43" t="e">
        <f t="shared" si="9"/>
        <v>#DIV/0!</v>
      </c>
      <c r="K55" s="109" t="e">
        <f t="shared" si="6"/>
        <v>#DIV/0!</v>
      </c>
      <c r="L55" s="90"/>
      <c r="M55" s="90"/>
      <c r="N55" s="83"/>
      <c r="O55" s="6">
        <v>12.36</v>
      </c>
      <c r="P55" s="21"/>
      <c r="Q55" s="13"/>
      <c r="R55" s="131"/>
      <c r="S55" s="128"/>
      <c r="T55" s="132"/>
      <c r="U55" s="107"/>
    </row>
    <row r="56" spans="1:21" ht="24.95" customHeight="1" x14ac:dyDescent="0.3">
      <c r="A56" s="89"/>
      <c r="B56" s="38">
        <f t="shared" si="0"/>
        <v>0</v>
      </c>
      <c r="C56" s="104">
        <f t="shared" si="1"/>
        <v>0</v>
      </c>
      <c r="D56" s="40">
        <f t="shared" si="2"/>
        <v>0</v>
      </c>
      <c r="E56" s="39">
        <f t="shared" si="3"/>
        <v>0</v>
      </c>
      <c r="F56" s="41">
        <f t="shared" si="7"/>
        <v>0</v>
      </c>
      <c r="G56" s="41" t="e">
        <f t="shared" si="8"/>
        <v>#DIV/0!</v>
      </c>
      <c r="H56" s="42" t="e">
        <f t="shared" si="4"/>
        <v>#DIV/0!</v>
      </c>
      <c r="I56" s="41" t="e">
        <f t="shared" si="5"/>
        <v>#DIV/0!</v>
      </c>
      <c r="J56" s="43" t="e">
        <f t="shared" si="9"/>
        <v>#DIV/0!</v>
      </c>
      <c r="K56" s="109" t="e">
        <f t="shared" si="6"/>
        <v>#DIV/0!</v>
      </c>
      <c r="L56" s="90"/>
      <c r="M56" s="90"/>
      <c r="N56" s="83"/>
      <c r="O56" s="6">
        <v>12.875999999999999</v>
      </c>
      <c r="P56" s="21"/>
      <c r="Q56" s="13"/>
      <c r="R56" s="131"/>
      <c r="S56" s="128"/>
      <c r="T56" s="132"/>
      <c r="U56" s="107"/>
    </row>
    <row r="57" spans="1:21" ht="24.95" customHeight="1" x14ac:dyDescent="0.3">
      <c r="A57" s="89"/>
      <c r="B57" s="38">
        <f t="shared" si="0"/>
        <v>0</v>
      </c>
      <c r="C57" s="104">
        <f t="shared" si="1"/>
        <v>0</v>
      </c>
      <c r="D57" s="40">
        <f t="shared" si="2"/>
        <v>0</v>
      </c>
      <c r="E57" s="39">
        <f t="shared" si="3"/>
        <v>0</v>
      </c>
      <c r="F57" s="41">
        <f t="shared" si="7"/>
        <v>0</v>
      </c>
      <c r="G57" s="41" t="e">
        <f t="shared" si="8"/>
        <v>#DIV/0!</v>
      </c>
      <c r="H57" s="42" t="e">
        <f t="shared" si="4"/>
        <v>#DIV/0!</v>
      </c>
      <c r="I57" s="41" t="e">
        <f t="shared" si="5"/>
        <v>#DIV/0!</v>
      </c>
      <c r="J57" s="43" t="e">
        <f t="shared" si="9"/>
        <v>#DIV/0!</v>
      </c>
      <c r="K57" s="109" t="e">
        <f t="shared" si="6"/>
        <v>#DIV/0!</v>
      </c>
      <c r="L57" s="90"/>
      <c r="M57" s="90"/>
      <c r="N57" s="83"/>
      <c r="O57" s="6"/>
      <c r="P57" s="21"/>
      <c r="Q57" s="13"/>
      <c r="R57" s="131"/>
      <c r="S57" s="128"/>
      <c r="T57" s="132"/>
      <c r="U57" s="107"/>
    </row>
    <row r="58" spans="1:21" ht="24.95" customHeight="1" x14ac:dyDescent="0.3">
      <c r="A58" s="89"/>
      <c r="B58" s="38">
        <f t="shared" si="0"/>
        <v>0</v>
      </c>
      <c r="C58" s="104">
        <f t="shared" si="1"/>
        <v>0</v>
      </c>
      <c r="D58" s="40">
        <f t="shared" si="2"/>
        <v>0</v>
      </c>
      <c r="E58" s="39">
        <f>U58</f>
        <v>0</v>
      </c>
      <c r="F58" s="41">
        <f t="shared" si="7"/>
        <v>0</v>
      </c>
      <c r="G58" s="41" t="e">
        <f t="shared" si="8"/>
        <v>#DIV/0!</v>
      </c>
      <c r="H58" s="42" t="e">
        <f t="shared" si="4"/>
        <v>#DIV/0!</v>
      </c>
      <c r="I58" s="41" t="e">
        <f t="shared" si="5"/>
        <v>#DIV/0!</v>
      </c>
      <c r="J58" s="43" t="e">
        <f t="shared" si="9"/>
        <v>#DIV/0!</v>
      </c>
      <c r="K58" s="109" t="e">
        <f t="shared" si="6"/>
        <v>#DIV/0!</v>
      </c>
      <c r="L58" s="90"/>
      <c r="M58" s="90"/>
      <c r="N58" s="83"/>
      <c r="O58" s="6"/>
      <c r="P58" s="21"/>
      <c r="Q58" s="13"/>
      <c r="R58" s="131"/>
      <c r="S58" s="128"/>
      <c r="T58" s="132"/>
      <c r="U58" s="107"/>
    </row>
    <row r="59" spans="1:21" ht="24.95" customHeight="1" thickBot="1" x14ac:dyDescent="0.35">
      <c r="A59" s="89"/>
      <c r="B59" s="44" t="s">
        <v>1</v>
      </c>
      <c r="C59" s="105" t="s">
        <v>1</v>
      </c>
      <c r="D59" s="45" t="s">
        <v>1</v>
      </c>
      <c r="E59" s="46" t="s">
        <v>1</v>
      </c>
      <c r="F59" s="47" t="s">
        <v>1</v>
      </c>
      <c r="G59" s="47" t="s">
        <v>1</v>
      </c>
      <c r="H59" s="48" t="s">
        <v>1</v>
      </c>
      <c r="I59" s="47" t="s">
        <v>1</v>
      </c>
      <c r="J59" s="49" t="s">
        <v>1</v>
      </c>
      <c r="K59" s="110" t="s">
        <v>1</v>
      </c>
      <c r="L59" s="90"/>
      <c r="M59" s="90"/>
      <c r="N59" s="83"/>
      <c r="O59" s="6"/>
      <c r="P59" s="21"/>
      <c r="Q59" s="13"/>
      <c r="R59" s="131"/>
      <c r="S59" s="128"/>
      <c r="T59" s="132"/>
      <c r="U59" s="107"/>
    </row>
    <row r="60" spans="1:21" ht="9.75" customHeight="1" x14ac:dyDescent="0.2">
      <c r="A60" s="58"/>
      <c r="B60" s="91"/>
      <c r="C60" s="91"/>
      <c r="D60" s="91"/>
      <c r="E60" s="91"/>
      <c r="F60" s="91"/>
      <c r="G60" s="25"/>
      <c r="H60" s="25"/>
      <c r="I60" s="25"/>
      <c r="J60" s="25"/>
      <c r="K60" s="25"/>
      <c r="L60" s="25"/>
      <c r="M60" s="25"/>
      <c r="N60" s="62"/>
      <c r="S60" s="24">
        <f t="shared" ref="S60:S68" si="10">B60/25.4</f>
        <v>0</v>
      </c>
    </row>
    <row r="61" spans="1:21" ht="24.95" customHeight="1" x14ac:dyDescent="0.2">
      <c r="A61" s="58"/>
      <c r="B61" s="91"/>
      <c r="C61" s="91"/>
      <c r="D61" s="91"/>
      <c r="E61" s="91"/>
      <c r="F61" s="91"/>
      <c r="G61" s="25"/>
      <c r="H61" s="25"/>
      <c r="I61" s="59"/>
      <c r="J61" s="59"/>
      <c r="K61" s="59"/>
      <c r="L61" s="59"/>
      <c r="M61" s="59"/>
      <c r="N61" s="62"/>
      <c r="S61" s="24">
        <f t="shared" si="10"/>
        <v>0</v>
      </c>
    </row>
    <row r="62" spans="1:21" ht="24.95" customHeight="1" x14ac:dyDescent="0.3">
      <c r="A62" s="58"/>
      <c r="B62" s="91"/>
      <c r="C62" s="91"/>
      <c r="D62" s="91"/>
      <c r="E62" s="91"/>
      <c r="F62" s="91"/>
      <c r="G62" s="25"/>
      <c r="H62" s="200" t="s">
        <v>75</v>
      </c>
      <c r="I62" s="200"/>
      <c r="J62" s="200"/>
      <c r="K62" s="200"/>
      <c r="L62" s="217" t="e">
        <f>MAX(G26:G59)</f>
        <v>#DIV/0!</v>
      </c>
      <c r="M62" s="217"/>
      <c r="N62" s="218"/>
      <c r="S62" s="24">
        <f t="shared" si="10"/>
        <v>0</v>
      </c>
    </row>
    <row r="63" spans="1:21" ht="24.95" customHeight="1" x14ac:dyDescent="0.3">
      <c r="A63" s="58"/>
      <c r="B63" s="25"/>
      <c r="C63" s="25"/>
      <c r="D63" s="25"/>
      <c r="E63" s="25"/>
      <c r="F63" s="25"/>
      <c r="G63" s="25"/>
      <c r="H63" s="25"/>
      <c r="I63" s="216" t="s">
        <v>76</v>
      </c>
      <c r="J63" s="216"/>
      <c r="K63" s="216"/>
      <c r="L63" s="217" t="e">
        <f>L62*0.5</f>
        <v>#DIV/0!</v>
      </c>
      <c r="M63" s="217"/>
      <c r="N63" s="218"/>
      <c r="S63" s="24">
        <f t="shared" si="10"/>
        <v>0</v>
      </c>
    </row>
    <row r="64" spans="1:21" ht="24.95" customHeight="1" x14ac:dyDescent="0.3">
      <c r="A64" s="58"/>
      <c r="B64" s="25"/>
      <c r="C64" s="25"/>
      <c r="D64" s="25"/>
      <c r="E64" s="25"/>
      <c r="F64" s="25"/>
      <c r="G64" s="25"/>
      <c r="H64" s="25"/>
      <c r="I64" s="216" t="s">
        <v>85</v>
      </c>
      <c r="J64" s="216"/>
      <c r="K64" s="216"/>
      <c r="L64" s="217" t="e">
        <f>IF((C18)*10="","",(G28-G27)/(I28-I27))*100</f>
        <v>#DIV/0!</v>
      </c>
      <c r="M64" s="217"/>
      <c r="N64" s="218"/>
      <c r="P64" s="23" t="e">
        <f>SLOPE(G26:G28,E26:E28)</f>
        <v>#DIV/0!</v>
      </c>
      <c r="S64" s="24">
        <f t="shared" si="10"/>
        <v>0</v>
      </c>
    </row>
    <row r="65" spans="1:19" ht="24.95" customHeight="1" x14ac:dyDescent="0.3">
      <c r="A65" s="58"/>
      <c r="B65" s="25"/>
      <c r="C65" s="25"/>
      <c r="D65" s="25"/>
      <c r="E65" s="25"/>
      <c r="F65" s="25"/>
      <c r="G65" s="25"/>
      <c r="H65" s="25"/>
      <c r="I65" s="213"/>
      <c r="J65" s="213"/>
      <c r="K65" s="213"/>
      <c r="L65" s="122"/>
      <c r="M65" s="122"/>
      <c r="N65" s="83"/>
      <c r="O65" s="245" t="s">
        <v>108</v>
      </c>
      <c r="P65" s="246"/>
      <c r="S65" s="24">
        <f t="shared" si="10"/>
        <v>0</v>
      </c>
    </row>
    <row r="66" spans="1:19" ht="24.95" customHeight="1" x14ac:dyDescent="0.2">
      <c r="A66" s="58"/>
      <c r="B66" s="25"/>
      <c r="C66" s="25"/>
      <c r="D66" s="25"/>
      <c r="E66" s="25"/>
      <c r="F66" s="25"/>
      <c r="G66" s="25"/>
      <c r="H66" s="25"/>
      <c r="I66" s="214" t="s">
        <v>72</v>
      </c>
      <c r="J66" s="214"/>
      <c r="K66" s="214" t="s">
        <v>73</v>
      </c>
      <c r="L66" s="214"/>
      <c r="M66" s="214"/>
      <c r="N66" s="215"/>
      <c r="O66" s="245"/>
      <c r="P66" s="246"/>
      <c r="S66" s="24">
        <f t="shared" si="10"/>
        <v>0</v>
      </c>
    </row>
    <row r="67" spans="1:19" ht="24.95" customHeight="1" x14ac:dyDescent="0.2">
      <c r="A67" s="58"/>
      <c r="B67" s="25"/>
      <c r="C67" s="25"/>
      <c r="D67" s="25"/>
      <c r="E67" s="25"/>
      <c r="F67" s="25"/>
      <c r="G67" s="25"/>
      <c r="H67" s="25"/>
      <c r="I67" s="27"/>
      <c r="J67" s="27"/>
      <c r="K67" s="27"/>
      <c r="L67" s="27"/>
      <c r="M67" s="27"/>
      <c r="N67" s="28"/>
      <c r="S67" s="24">
        <f t="shared" si="10"/>
        <v>0</v>
      </c>
    </row>
    <row r="68" spans="1:19" ht="24.95" customHeight="1" x14ac:dyDescent="0.2">
      <c r="A68" s="58"/>
      <c r="B68" s="25"/>
      <c r="C68" s="25"/>
      <c r="D68" s="25"/>
      <c r="E68" s="25"/>
      <c r="F68" s="25"/>
      <c r="G68" s="25"/>
      <c r="H68" s="25"/>
      <c r="I68" s="27"/>
      <c r="J68" s="27"/>
      <c r="K68" s="27"/>
      <c r="L68" s="27"/>
      <c r="M68" s="27"/>
      <c r="N68" s="28"/>
      <c r="S68" s="24">
        <f t="shared" si="10"/>
        <v>0</v>
      </c>
    </row>
    <row r="69" spans="1:19" ht="24.95" customHeight="1" x14ac:dyDescent="0.2">
      <c r="A69" s="58"/>
      <c r="B69" s="25"/>
      <c r="C69" s="25"/>
      <c r="D69" s="25"/>
      <c r="E69" s="25"/>
      <c r="F69" s="25"/>
      <c r="G69" s="25"/>
      <c r="H69" s="25"/>
      <c r="I69" s="27"/>
      <c r="J69" s="27"/>
      <c r="K69" s="27"/>
      <c r="L69" s="27"/>
      <c r="M69" s="27"/>
      <c r="N69" s="28"/>
      <c r="S69" s="24"/>
    </row>
    <row r="70" spans="1:19" ht="24.95" customHeight="1" x14ac:dyDescent="0.2">
      <c r="A70" s="58"/>
      <c r="B70" s="25"/>
      <c r="C70" s="25"/>
      <c r="D70" s="25"/>
      <c r="E70" s="25"/>
      <c r="F70" s="25"/>
      <c r="G70" s="25"/>
      <c r="H70" s="25"/>
      <c r="I70" s="92"/>
      <c r="J70" s="92"/>
      <c r="K70" s="92"/>
      <c r="L70" s="29"/>
      <c r="M70" s="29"/>
      <c r="N70" s="30"/>
      <c r="S70" s="24"/>
    </row>
    <row r="71" spans="1:19" ht="24.95" customHeight="1" x14ac:dyDescent="0.2">
      <c r="A71" s="58"/>
      <c r="B71" s="25"/>
      <c r="C71" s="25"/>
      <c r="D71" s="25"/>
      <c r="E71" s="25"/>
      <c r="F71" s="25"/>
      <c r="G71" s="25"/>
      <c r="H71" s="25"/>
      <c r="I71" s="214" t="s">
        <v>62</v>
      </c>
      <c r="J71" s="214"/>
      <c r="K71" s="214" t="s">
        <v>88</v>
      </c>
      <c r="L71" s="214"/>
      <c r="M71" s="214"/>
      <c r="N71" s="215"/>
      <c r="S71" s="24">
        <f>B71/25.4</f>
        <v>0</v>
      </c>
    </row>
    <row r="72" spans="1:19" ht="24.95" customHeight="1" x14ac:dyDescent="0.2">
      <c r="A72" s="58"/>
      <c r="B72" s="25"/>
      <c r="C72" s="25"/>
      <c r="D72" s="25"/>
      <c r="E72" s="25"/>
      <c r="F72" s="25"/>
      <c r="G72" s="25"/>
      <c r="H72" s="25"/>
      <c r="I72" s="231" t="s">
        <v>39</v>
      </c>
      <c r="J72" s="231"/>
      <c r="K72" s="231" t="s">
        <v>74</v>
      </c>
      <c r="L72" s="231"/>
      <c r="M72" s="231"/>
      <c r="N72" s="232"/>
      <c r="S72" s="24"/>
    </row>
    <row r="73" spans="1:19" ht="24.95" customHeight="1" x14ac:dyDescent="0.3">
      <c r="A73" s="58"/>
      <c r="B73" s="25"/>
      <c r="C73" s="25"/>
      <c r="D73" s="25"/>
      <c r="E73" s="25"/>
      <c r="F73" s="25"/>
      <c r="G73" s="25"/>
      <c r="H73" s="25"/>
      <c r="I73" s="214"/>
      <c r="J73" s="214"/>
      <c r="K73" s="214"/>
      <c r="L73" s="123"/>
      <c r="M73" s="123"/>
      <c r="N73" s="83"/>
      <c r="S73" s="24">
        <f t="shared" ref="S73:S79" si="11">B73/25.4</f>
        <v>0</v>
      </c>
    </row>
    <row r="74" spans="1:19" ht="24.95" customHeight="1" x14ac:dyDescent="0.2">
      <c r="A74" s="58"/>
      <c r="B74" s="25"/>
      <c r="C74" s="25"/>
      <c r="D74" s="25"/>
      <c r="E74" s="25"/>
      <c r="F74" s="25"/>
      <c r="G74" s="25"/>
      <c r="H74" s="25"/>
      <c r="I74" s="233"/>
      <c r="J74" s="233"/>
      <c r="K74" s="233"/>
      <c r="L74" s="124"/>
      <c r="M74" s="124"/>
      <c r="N74" s="62"/>
      <c r="S74" s="24">
        <f t="shared" si="11"/>
        <v>0</v>
      </c>
    </row>
    <row r="75" spans="1:19" ht="24.95" customHeight="1" x14ac:dyDescent="0.2">
      <c r="A75" s="58"/>
      <c r="B75" s="25"/>
      <c r="C75" s="25"/>
      <c r="D75" s="25"/>
      <c r="E75" s="25"/>
      <c r="F75" s="25"/>
      <c r="G75" s="25"/>
      <c r="H75" s="25"/>
      <c r="I75" s="234"/>
      <c r="J75" s="234"/>
      <c r="K75" s="234"/>
      <c r="L75" s="125"/>
      <c r="M75" s="125"/>
      <c r="N75" s="62"/>
      <c r="S75" s="24">
        <f t="shared" si="11"/>
        <v>0</v>
      </c>
    </row>
    <row r="76" spans="1:19" ht="24.95" customHeight="1" x14ac:dyDescent="0.2">
      <c r="A76" s="58"/>
      <c r="B76" s="25"/>
      <c r="C76" s="25"/>
      <c r="D76" s="25"/>
      <c r="E76" s="25"/>
      <c r="F76" s="25"/>
      <c r="G76" s="25"/>
      <c r="H76" s="25"/>
      <c r="I76" s="25"/>
      <c r="J76" s="93"/>
      <c r="K76" s="93"/>
      <c r="L76" s="93"/>
      <c r="M76" s="93"/>
      <c r="N76" s="62"/>
      <c r="S76" s="24">
        <f t="shared" si="11"/>
        <v>0</v>
      </c>
    </row>
    <row r="77" spans="1:19" ht="17.25" customHeight="1" x14ac:dyDescent="0.25">
      <c r="A77" s="235" t="s">
        <v>68</v>
      </c>
      <c r="B77" s="236"/>
      <c r="C77" s="236"/>
      <c r="D77" s="236"/>
      <c r="E77" s="236"/>
      <c r="F77" s="236"/>
      <c r="G77" s="236"/>
      <c r="H77" s="236"/>
      <c r="I77" s="236"/>
      <c r="J77" s="236"/>
      <c r="K77" s="236"/>
      <c r="L77" s="236"/>
      <c r="M77" s="236"/>
      <c r="N77" s="237"/>
      <c r="S77" s="24">
        <f t="shared" si="11"/>
        <v>0</v>
      </c>
    </row>
    <row r="78" spans="1:19" ht="7.5" customHeight="1" x14ac:dyDescent="0.2">
      <c r="A78" s="219" t="s">
        <v>67</v>
      </c>
      <c r="B78" s="220"/>
      <c r="C78" s="220"/>
      <c r="D78" s="220"/>
      <c r="E78" s="220"/>
      <c r="F78" s="220"/>
      <c r="G78" s="220"/>
      <c r="H78" s="220"/>
      <c r="I78" s="220"/>
      <c r="J78" s="220"/>
      <c r="K78" s="220"/>
      <c r="L78" s="220"/>
      <c r="M78" s="220"/>
      <c r="N78" s="221"/>
      <c r="S78" s="24">
        <f t="shared" si="11"/>
        <v>0</v>
      </c>
    </row>
    <row r="79" spans="1:19" ht="13.5" customHeight="1" x14ac:dyDescent="0.2">
      <c r="A79" s="222"/>
      <c r="B79" s="220"/>
      <c r="C79" s="220"/>
      <c r="D79" s="220"/>
      <c r="E79" s="220"/>
      <c r="F79" s="220"/>
      <c r="G79" s="220"/>
      <c r="H79" s="220"/>
      <c r="I79" s="220"/>
      <c r="J79" s="220"/>
      <c r="K79" s="220"/>
      <c r="L79" s="220"/>
      <c r="M79" s="220"/>
      <c r="N79" s="221"/>
      <c r="S79" s="24">
        <f t="shared" si="11"/>
        <v>0</v>
      </c>
    </row>
    <row r="80" spans="1:19" ht="7.5" customHeight="1" x14ac:dyDescent="0.2">
      <c r="A80" s="222"/>
      <c r="B80" s="220"/>
      <c r="C80" s="220"/>
      <c r="D80" s="220"/>
      <c r="E80" s="220"/>
      <c r="F80" s="220"/>
      <c r="G80" s="220"/>
      <c r="H80" s="220"/>
      <c r="I80" s="220"/>
      <c r="J80" s="220"/>
      <c r="K80" s="220"/>
      <c r="L80" s="220"/>
      <c r="M80" s="220"/>
      <c r="N80" s="221"/>
    </row>
    <row r="81" spans="1:14" ht="7.5" customHeight="1" x14ac:dyDescent="0.2">
      <c r="A81" s="222"/>
      <c r="B81" s="220"/>
      <c r="C81" s="220"/>
      <c r="D81" s="220"/>
      <c r="E81" s="220"/>
      <c r="F81" s="220"/>
      <c r="G81" s="220"/>
      <c r="H81" s="220"/>
      <c r="I81" s="220"/>
      <c r="J81" s="220"/>
      <c r="K81" s="220"/>
      <c r="L81" s="220"/>
      <c r="M81" s="220"/>
      <c r="N81" s="221"/>
    </row>
    <row r="82" spans="1:14" ht="7.5" customHeight="1" x14ac:dyDescent="0.2">
      <c r="A82" s="222"/>
      <c r="B82" s="220"/>
      <c r="C82" s="220"/>
      <c r="D82" s="220"/>
      <c r="E82" s="220"/>
      <c r="F82" s="220"/>
      <c r="G82" s="220"/>
      <c r="H82" s="220"/>
      <c r="I82" s="220"/>
      <c r="J82" s="220"/>
      <c r="K82" s="220"/>
      <c r="L82" s="220"/>
      <c r="M82" s="220"/>
      <c r="N82" s="221"/>
    </row>
    <row r="83" spans="1:14" ht="7.5" customHeight="1" x14ac:dyDescent="0.2">
      <c r="A83" s="222"/>
      <c r="B83" s="220"/>
      <c r="C83" s="220"/>
      <c r="D83" s="220"/>
      <c r="E83" s="220"/>
      <c r="F83" s="220"/>
      <c r="G83" s="220"/>
      <c r="H83" s="220"/>
      <c r="I83" s="220"/>
      <c r="J83" s="220"/>
      <c r="K83" s="220"/>
      <c r="L83" s="220"/>
      <c r="M83" s="220"/>
      <c r="N83" s="221"/>
    </row>
    <row r="84" spans="1:14" ht="11.25" customHeight="1" x14ac:dyDescent="0.2">
      <c r="A84" s="223" t="s">
        <v>20</v>
      </c>
      <c r="B84" s="224"/>
      <c r="C84" s="224"/>
      <c r="D84" s="224"/>
      <c r="E84" s="224"/>
      <c r="F84" s="224"/>
      <c r="G84" s="224"/>
      <c r="H84" s="224"/>
      <c r="I84" s="224"/>
      <c r="J84" s="224"/>
      <c r="K84" s="224"/>
      <c r="L84" s="224"/>
      <c r="M84" s="224"/>
      <c r="N84" s="225"/>
    </row>
    <row r="85" spans="1:14" ht="11.25" customHeight="1" thickBot="1" x14ac:dyDescent="0.25">
      <c r="A85" s="226"/>
      <c r="B85" s="227"/>
      <c r="C85" s="227"/>
      <c r="D85" s="227"/>
      <c r="E85" s="227"/>
      <c r="F85" s="227"/>
      <c r="G85" s="227"/>
      <c r="H85" s="227"/>
      <c r="I85" s="227"/>
      <c r="J85" s="227"/>
      <c r="K85" s="227"/>
      <c r="L85" s="227"/>
      <c r="M85" s="227"/>
      <c r="N85" s="228"/>
    </row>
    <row r="86" spans="1:14" ht="12.75" thickBot="1" x14ac:dyDescent="0.25"/>
    <row r="87" spans="1:14" ht="48" customHeight="1" thickBot="1" x14ac:dyDescent="0.45">
      <c r="B87" s="10"/>
      <c r="C87" s="229" t="s">
        <v>71</v>
      </c>
      <c r="D87" s="230"/>
    </row>
  </sheetData>
  <sheetProtection insertColumns="0" insertRows="0" deleteColumns="0" deleteRows="0"/>
  <mergeCells count="74">
    <mergeCell ref="A78:N83"/>
    <mergeCell ref="A84:N85"/>
    <mergeCell ref="I71:J71"/>
    <mergeCell ref="K71:N71"/>
    <mergeCell ref="C87:D87"/>
    <mergeCell ref="I72:J72"/>
    <mergeCell ref="K72:N72"/>
    <mergeCell ref="I73:K73"/>
    <mergeCell ref="I74:K74"/>
    <mergeCell ref="I75:K75"/>
    <mergeCell ref="A77:N77"/>
    <mergeCell ref="P24:P25"/>
    <mergeCell ref="Q24:R25"/>
    <mergeCell ref="S24:U25"/>
    <mergeCell ref="I65:K65"/>
    <mergeCell ref="I66:J66"/>
    <mergeCell ref="K66:N66"/>
    <mergeCell ref="I64:K64"/>
    <mergeCell ref="L64:N64"/>
    <mergeCell ref="L62:N62"/>
    <mergeCell ref="I63:K63"/>
    <mergeCell ref="L63:N63"/>
    <mergeCell ref="O65:P66"/>
    <mergeCell ref="C21:D21"/>
    <mergeCell ref="F21:G21"/>
    <mergeCell ref="C22:D22"/>
    <mergeCell ref="F22:G22"/>
    <mergeCell ref="H62:K62"/>
    <mergeCell ref="I24:I25"/>
    <mergeCell ref="J24:J25"/>
    <mergeCell ref="K24:K25"/>
    <mergeCell ref="B24:B25"/>
    <mergeCell ref="C24:C25"/>
    <mergeCell ref="D24:D25"/>
    <mergeCell ref="E24:F24"/>
    <mergeCell ref="G24:H24"/>
    <mergeCell ref="C18:D18"/>
    <mergeCell ref="F18:G18"/>
    <mergeCell ref="C19:D19"/>
    <mergeCell ref="F19:G19"/>
    <mergeCell ref="C20:D20"/>
    <mergeCell ref="F20:G20"/>
    <mergeCell ref="A12:B12"/>
    <mergeCell ref="A13:B13"/>
    <mergeCell ref="C13:N13"/>
    <mergeCell ref="G14:I14"/>
    <mergeCell ref="B17:G17"/>
    <mergeCell ref="H17:I17"/>
    <mergeCell ref="A11:B11"/>
    <mergeCell ref="A7:B7"/>
    <mergeCell ref="C7:I7"/>
    <mergeCell ref="K7:N7"/>
    <mergeCell ref="A8:B8"/>
    <mergeCell ref="C8:I8"/>
    <mergeCell ref="K8:N8"/>
    <mergeCell ref="A9:B9"/>
    <mergeCell ref="C9:I9"/>
    <mergeCell ref="A10:B10"/>
    <mergeCell ref="C10:I10"/>
    <mergeCell ref="K10:N10"/>
    <mergeCell ref="E4:K4"/>
    <mergeCell ref="L4:N4"/>
    <mergeCell ref="Q4:Q5"/>
    <mergeCell ref="R4:R5"/>
    <mergeCell ref="A6:B6"/>
    <mergeCell ref="C6:I6"/>
    <mergeCell ref="K6:N6"/>
    <mergeCell ref="E1:K1"/>
    <mergeCell ref="L1:N1"/>
    <mergeCell ref="E2:K3"/>
    <mergeCell ref="L2:N2"/>
    <mergeCell ref="P2:Y2"/>
    <mergeCell ref="L3:N3"/>
    <mergeCell ref="P3:R3"/>
  </mergeCells>
  <conditionalFormatting sqref="C6:C10 K9:N10 C13">
    <cfRule type="containsBlanks" dxfId="77" priority="13">
      <formula>LEN(TRIM(C6))=0</formula>
    </cfRule>
  </conditionalFormatting>
  <conditionalFormatting sqref="C12:D12 F12 I12">
    <cfRule type="containsBlanks" dxfId="76" priority="12">
      <formula>LEN(TRIM(C12))=0</formula>
    </cfRule>
  </conditionalFormatting>
  <conditionalFormatting sqref="C18:D19 I18:I20 C21:D21">
    <cfRule type="containsBlanks" dxfId="75" priority="9">
      <formula>LEN(TRIM(C18))=0</formula>
    </cfRule>
  </conditionalFormatting>
  <conditionalFormatting sqref="F22">
    <cfRule type="containsBlanks" dxfId="74" priority="11">
      <formula>LEN(TRIM(F22))=0</formula>
    </cfRule>
  </conditionalFormatting>
  <conditionalFormatting sqref="F20:G21">
    <cfRule type="containsBlanks" dxfId="73" priority="10">
      <formula>LEN(TRIM(F20))=0</formula>
    </cfRule>
  </conditionalFormatting>
  <conditionalFormatting sqref="K6:N8">
    <cfRule type="containsBlanks" dxfId="72" priority="8">
      <formula>LEN(TRIM(K6))=0</formula>
    </cfRule>
  </conditionalFormatting>
  <conditionalFormatting sqref="P2">
    <cfRule type="containsBlanks" dxfId="71" priority="7">
      <formula>LEN(TRIM(P2))=0</formula>
    </cfRule>
  </conditionalFormatting>
  <conditionalFormatting sqref="P2">
    <cfRule type="containsBlanks" dxfId="70" priority="6">
      <formula>LEN(TRIM(P2))=0</formula>
    </cfRule>
  </conditionalFormatting>
  <conditionalFormatting sqref="P3">
    <cfRule type="containsBlanks" dxfId="69" priority="5">
      <formula>LEN(TRIM(P3))=0</formula>
    </cfRule>
  </conditionalFormatting>
  <conditionalFormatting sqref="H12">
    <cfRule type="containsBlanks" dxfId="68" priority="4">
      <formula>LEN(TRIM(H12))=0</formula>
    </cfRule>
  </conditionalFormatting>
  <conditionalFormatting sqref="H12">
    <cfRule type="containsBlanks" dxfId="67" priority="3">
      <formula>LEN(TRIM(H12))=0</formula>
    </cfRule>
  </conditionalFormatting>
  <conditionalFormatting sqref="J12">
    <cfRule type="containsBlanks" dxfId="66" priority="2">
      <formula>LEN(TRIM(J12))=0</formula>
    </cfRule>
  </conditionalFormatting>
  <conditionalFormatting sqref="J12">
    <cfRule type="containsBlanks" dxfId="65" priority="1">
      <formula>LEN(TRIM(J12))=0</formula>
    </cfRule>
  </conditionalFormatting>
  <dataValidations disablePrompts="1" count="3">
    <dataValidation type="list" allowBlank="1" showInputMessage="1" showErrorMessage="1" sqref="F20" xr:uid="{00000000-0002-0000-0000-000000000000}">
      <formula1>$Q$6:$Q$10</formula1>
    </dataValidation>
    <dataValidation type="list" allowBlank="1" showInputMessage="1" showErrorMessage="1" sqref="F21" xr:uid="{00000000-0002-0000-0000-000001000000}">
      <formula1>$R$6:$R$12</formula1>
    </dataValidation>
    <dataValidation type="list" allowBlank="1" showInputMessage="1" showErrorMessage="1" sqref="C12" xr:uid="{00000000-0002-0000-0000-000002000000}">
      <formula1>$S$6:$S$12</formula1>
    </dataValidation>
  </dataValidations>
  <printOptions horizontalCentered="1" verticalCentered="1"/>
  <pageMargins left="0.31496062992125984" right="0.31496062992125984" top="0.78740157480314965" bottom="0.78740157480314965" header="0.31496062992125984" footer="0.19685039370078741"/>
  <pageSetup scale="38" orientation="portrait" r:id="rId1"/>
  <headerFooter>
    <oddFooter xml:space="preserve">&amp;C
GEODELTA S.A.S. Calle 68 B bis No 70 C 95, Móvil: 318 7902368 Bogotá DC - Colombia
e-mail: laboratoriogeodelta@gmail.com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9329" r:id="rId4" name="Check Box 1">
              <controlPr defaultSize="0" autoFill="0" autoLine="0" autoPict="0">
                <anchor moveWithCells="1">
                  <from>
                    <xdr:col>7</xdr:col>
                    <xdr:colOff>104775</xdr:colOff>
                    <xdr:row>21</xdr:row>
                    <xdr:rowOff>28575</xdr:rowOff>
                  </from>
                  <to>
                    <xdr:col>7</xdr:col>
                    <xdr:colOff>1133475</xdr:colOff>
                    <xdr:row>21</xdr:row>
                    <xdr:rowOff>219075</xdr:rowOff>
                  </to>
                </anchor>
              </controlPr>
            </control>
          </mc:Choice>
        </mc:AlternateContent>
        <mc:AlternateContent xmlns:mc="http://schemas.openxmlformats.org/markup-compatibility/2006">
          <mc:Choice Requires="x14">
            <control shapeId="99330" r:id="rId5" name="Check Box 2">
              <controlPr defaultSize="0" autoFill="0" autoLine="0" autoPict="0">
                <anchor moveWithCells="1">
                  <from>
                    <xdr:col>8</xdr:col>
                    <xdr:colOff>19050</xdr:colOff>
                    <xdr:row>21</xdr:row>
                    <xdr:rowOff>19050</xdr:rowOff>
                  </from>
                  <to>
                    <xdr:col>9</xdr:col>
                    <xdr:colOff>342900</xdr:colOff>
                    <xdr:row>21</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8">
    <pageSetUpPr fitToPage="1"/>
  </sheetPr>
  <dimension ref="A1:AG87"/>
  <sheetViews>
    <sheetView showGridLines="0" view="pageBreakPreview" topLeftCell="A17" zoomScale="62" zoomScaleNormal="100" zoomScaleSheetLayoutView="62" zoomScalePageLayoutView="55" workbookViewId="0">
      <selection activeCell="N46" sqref="N46"/>
    </sheetView>
  </sheetViews>
  <sheetFormatPr baseColWidth="10" defaultRowHeight="12" x14ac:dyDescent="0.2"/>
  <cols>
    <col min="1" max="1" width="8.7109375" style="1" customWidth="1"/>
    <col min="2" max="2" width="20.7109375" style="1" customWidth="1"/>
    <col min="3" max="3" width="17.140625" style="1" customWidth="1"/>
    <col min="4" max="4" width="15.7109375" style="1" customWidth="1"/>
    <col min="5" max="5" width="24.42578125" style="1" customWidth="1"/>
    <col min="6" max="6" width="15.7109375" style="1" customWidth="1"/>
    <col min="7" max="9" width="20.7109375" style="1" customWidth="1"/>
    <col min="10" max="10" width="28.42578125" style="1" customWidth="1"/>
    <col min="11" max="11" width="19.42578125" style="1" customWidth="1"/>
    <col min="12" max="12" width="11.5703125" style="1" customWidth="1"/>
    <col min="13" max="13" width="2" style="1" customWidth="1"/>
    <col min="14" max="14" width="23.5703125" style="1" customWidth="1"/>
    <col min="15" max="15" width="11.42578125" style="1"/>
    <col min="16" max="16" width="22.140625" style="23" customWidth="1"/>
    <col min="17" max="17" width="26.5703125" style="12" customWidth="1"/>
    <col min="18" max="18" width="21.5703125" style="12" customWidth="1"/>
    <col min="19" max="19" width="21.42578125" style="12" customWidth="1"/>
    <col min="20" max="29" width="11.42578125" style="11"/>
    <col min="30" max="239" width="11.42578125" style="1"/>
    <col min="240" max="240" width="3" style="1" customWidth="1"/>
    <col min="241" max="247" width="17.42578125" style="1" customWidth="1"/>
    <col min="248" max="248" width="3.85546875" style="1" customWidth="1"/>
    <col min="249" max="249" width="3.5703125" style="1" customWidth="1"/>
    <col min="250" max="253" width="8.140625" style="1" customWidth="1"/>
    <col min="254" max="495" width="11.42578125" style="1"/>
    <col min="496" max="496" width="3" style="1" customWidth="1"/>
    <col min="497" max="503" width="17.42578125" style="1" customWidth="1"/>
    <col min="504" max="504" width="3.85546875" style="1" customWidth="1"/>
    <col min="505" max="505" width="3.5703125" style="1" customWidth="1"/>
    <col min="506" max="509" width="8.140625" style="1" customWidth="1"/>
    <col min="510" max="751" width="11.42578125" style="1"/>
    <col min="752" max="752" width="3" style="1" customWidth="1"/>
    <col min="753" max="759" width="17.42578125" style="1" customWidth="1"/>
    <col min="760" max="760" width="3.85546875" style="1" customWidth="1"/>
    <col min="761" max="761" width="3.5703125" style="1" customWidth="1"/>
    <col min="762" max="765" width="8.140625" style="1" customWidth="1"/>
    <col min="766" max="1007" width="11.42578125" style="1"/>
    <col min="1008" max="1008" width="3" style="1" customWidth="1"/>
    <col min="1009" max="1015" width="17.42578125" style="1" customWidth="1"/>
    <col min="1016" max="1016" width="3.85546875" style="1" customWidth="1"/>
    <col min="1017" max="1017" width="3.5703125" style="1" customWidth="1"/>
    <col min="1018" max="1021" width="8.140625" style="1" customWidth="1"/>
    <col min="1022" max="1263" width="11.42578125" style="1"/>
    <col min="1264" max="1264" width="3" style="1" customWidth="1"/>
    <col min="1265" max="1271" width="17.42578125" style="1" customWidth="1"/>
    <col min="1272" max="1272" width="3.85546875" style="1" customWidth="1"/>
    <col min="1273" max="1273" width="3.5703125" style="1" customWidth="1"/>
    <col min="1274" max="1277" width="8.140625" style="1" customWidth="1"/>
    <col min="1278" max="1519" width="11.42578125" style="1"/>
    <col min="1520" max="1520" width="3" style="1" customWidth="1"/>
    <col min="1521" max="1527" width="17.42578125" style="1" customWidth="1"/>
    <col min="1528" max="1528" width="3.85546875" style="1" customWidth="1"/>
    <col min="1529" max="1529" width="3.5703125" style="1" customWidth="1"/>
    <col min="1530" max="1533" width="8.140625" style="1" customWidth="1"/>
    <col min="1534" max="1775" width="11.42578125" style="1"/>
    <col min="1776" max="1776" width="3" style="1" customWidth="1"/>
    <col min="1777" max="1783" width="17.42578125" style="1" customWidth="1"/>
    <col min="1784" max="1784" width="3.85546875" style="1" customWidth="1"/>
    <col min="1785" max="1785" width="3.5703125" style="1" customWidth="1"/>
    <col min="1786" max="1789" width="8.140625" style="1" customWidth="1"/>
    <col min="1790" max="2031" width="11.42578125" style="1"/>
    <col min="2032" max="2032" width="3" style="1" customWidth="1"/>
    <col min="2033" max="2039" width="17.42578125" style="1" customWidth="1"/>
    <col min="2040" max="2040" width="3.85546875" style="1" customWidth="1"/>
    <col min="2041" max="2041" width="3.5703125" style="1" customWidth="1"/>
    <col min="2042" max="2045" width="8.140625" style="1" customWidth="1"/>
    <col min="2046" max="2287" width="11.42578125" style="1"/>
    <col min="2288" max="2288" width="3" style="1" customWidth="1"/>
    <col min="2289" max="2295" width="17.42578125" style="1" customWidth="1"/>
    <col min="2296" max="2296" width="3.85546875" style="1" customWidth="1"/>
    <col min="2297" max="2297" width="3.5703125" style="1" customWidth="1"/>
    <col min="2298" max="2301" width="8.140625" style="1" customWidth="1"/>
    <col min="2302" max="2543" width="11.42578125" style="1"/>
    <col min="2544" max="2544" width="3" style="1" customWidth="1"/>
    <col min="2545" max="2551" width="17.42578125" style="1" customWidth="1"/>
    <col min="2552" max="2552" width="3.85546875" style="1" customWidth="1"/>
    <col min="2553" max="2553" width="3.5703125" style="1" customWidth="1"/>
    <col min="2554" max="2557" width="8.140625" style="1" customWidth="1"/>
    <col min="2558" max="2799" width="11.42578125" style="1"/>
    <col min="2800" max="2800" width="3" style="1" customWidth="1"/>
    <col min="2801" max="2807" width="17.42578125" style="1" customWidth="1"/>
    <col min="2808" max="2808" width="3.85546875" style="1" customWidth="1"/>
    <col min="2809" max="2809" width="3.5703125" style="1" customWidth="1"/>
    <col min="2810" max="2813" width="8.140625" style="1" customWidth="1"/>
    <col min="2814" max="3055" width="11.42578125" style="1"/>
    <col min="3056" max="3056" width="3" style="1" customWidth="1"/>
    <col min="3057" max="3063" width="17.42578125" style="1" customWidth="1"/>
    <col min="3064" max="3064" width="3.85546875" style="1" customWidth="1"/>
    <col min="3065" max="3065" width="3.5703125" style="1" customWidth="1"/>
    <col min="3066" max="3069" width="8.140625" style="1" customWidth="1"/>
    <col min="3070" max="3311" width="11.42578125" style="1"/>
    <col min="3312" max="3312" width="3" style="1" customWidth="1"/>
    <col min="3313" max="3319" width="17.42578125" style="1" customWidth="1"/>
    <col min="3320" max="3320" width="3.85546875" style="1" customWidth="1"/>
    <col min="3321" max="3321" width="3.5703125" style="1" customWidth="1"/>
    <col min="3322" max="3325" width="8.140625" style="1" customWidth="1"/>
    <col min="3326" max="3567" width="11.42578125" style="1"/>
    <col min="3568" max="3568" width="3" style="1" customWidth="1"/>
    <col min="3569" max="3575" width="17.42578125" style="1" customWidth="1"/>
    <col min="3576" max="3576" width="3.85546875" style="1" customWidth="1"/>
    <col min="3577" max="3577" width="3.5703125" style="1" customWidth="1"/>
    <col min="3578" max="3581" width="8.140625" style="1" customWidth="1"/>
    <col min="3582" max="3823" width="11.42578125" style="1"/>
    <col min="3824" max="3824" width="3" style="1" customWidth="1"/>
    <col min="3825" max="3831" width="17.42578125" style="1" customWidth="1"/>
    <col min="3832" max="3832" width="3.85546875" style="1" customWidth="1"/>
    <col min="3833" max="3833" width="3.5703125" style="1" customWidth="1"/>
    <col min="3834" max="3837" width="8.140625" style="1" customWidth="1"/>
    <col min="3838" max="4079" width="11.42578125" style="1"/>
    <col min="4080" max="4080" width="3" style="1" customWidth="1"/>
    <col min="4081" max="4087" width="17.42578125" style="1" customWidth="1"/>
    <col min="4088" max="4088" width="3.85546875" style="1" customWidth="1"/>
    <col min="4089" max="4089" width="3.5703125" style="1" customWidth="1"/>
    <col min="4090" max="4093" width="8.140625" style="1" customWidth="1"/>
    <col min="4094" max="4335" width="11.42578125" style="1"/>
    <col min="4336" max="4336" width="3" style="1" customWidth="1"/>
    <col min="4337" max="4343" width="17.42578125" style="1" customWidth="1"/>
    <col min="4344" max="4344" width="3.85546875" style="1" customWidth="1"/>
    <col min="4345" max="4345" width="3.5703125" style="1" customWidth="1"/>
    <col min="4346" max="4349" width="8.140625" style="1" customWidth="1"/>
    <col min="4350" max="4591" width="11.42578125" style="1"/>
    <col min="4592" max="4592" width="3" style="1" customWidth="1"/>
    <col min="4593" max="4599" width="17.42578125" style="1" customWidth="1"/>
    <col min="4600" max="4600" width="3.85546875" style="1" customWidth="1"/>
    <col min="4601" max="4601" width="3.5703125" style="1" customWidth="1"/>
    <col min="4602" max="4605" width="8.140625" style="1" customWidth="1"/>
    <col min="4606" max="4847" width="11.42578125" style="1"/>
    <col min="4848" max="4848" width="3" style="1" customWidth="1"/>
    <col min="4849" max="4855" width="17.42578125" style="1" customWidth="1"/>
    <col min="4856" max="4856" width="3.85546875" style="1" customWidth="1"/>
    <col min="4857" max="4857" width="3.5703125" style="1" customWidth="1"/>
    <col min="4858" max="4861" width="8.140625" style="1" customWidth="1"/>
    <col min="4862" max="5103" width="11.42578125" style="1"/>
    <col min="5104" max="5104" width="3" style="1" customWidth="1"/>
    <col min="5105" max="5111" width="17.42578125" style="1" customWidth="1"/>
    <col min="5112" max="5112" width="3.85546875" style="1" customWidth="1"/>
    <col min="5113" max="5113" width="3.5703125" style="1" customWidth="1"/>
    <col min="5114" max="5117" width="8.140625" style="1" customWidth="1"/>
    <col min="5118" max="5359" width="11.42578125" style="1"/>
    <col min="5360" max="5360" width="3" style="1" customWidth="1"/>
    <col min="5361" max="5367" width="17.42578125" style="1" customWidth="1"/>
    <col min="5368" max="5368" width="3.85546875" style="1" customWidth="1"/>
    <col min="5369" max="5369" width="3.5703125" style="1" customWidth="1"/>
    <col min="5370" max="5373" width="8.140625" style="1" customWidth="1"/>
    <col min="5374" max="5615" width="11.42578125" style="1"/>
    <col min="5616" max="5616" width="3" style="1" customWidth="1"/>
    <col min="5617" max="5623" width="17.42578125" style="1" customWidth="1"/>
    <col min="5624" max="5624" width="3.85546875" style="1" customWidth="1"/>
    <col min="5625" max="5625" width="3.5703125" style="1" customWidth="1"/>
    <col min="5626" max="5629" width="8.140625" style="1" customWidth="1"/>
    <col min="5630" max="5871" width="11.42578125" style="1"/>
    <col min="5872" max="5872" width="3" style="1" customWidth="1"/>
    <col min="5873" max="5879" width="17.42578125" style="1" customWidth="1"/>
    <col min="5880" max="5880" width="3.85546875" style="1" customWidth="1"/>
    <col min="5881" max="5881" width="3.5703125" style="1" customWidth="1"/>
    <col min="5882" max="5885" width="8.140625" style="1" customWidth="1"/>
    <col min="5886" max="6127" width="11.42578125" style="1"/>
    <col min="6128" max="6128" width="3" style="1" customWidth="1"/>
    <col min="6129" max="6135" width="17.42578125" style="1" customWidth="1"/>
    <col min="6136" max="6136" width="3.85546875" style="1" customWidth="1"/>
    <col min="6137" max="6137" width="3.5703125" style="1" customWidth="1"/>
    <col min="6138" max="6141" width="8.140625" style="1" customWidth="1"/>
    <col min="6142" max="6383" width="11.42578125" style="1"/>
    <col min="6384" max="6384" width="3" style="1" customWidth="1"/>
    <col min="6385" max="6391" width="17.42578125" style="1" customWidth="1"/>
    <col min="6392" max="6392" width="3.85546875" style="1" customWidth="1"/>
    <col min="6393" max="6393" width="3.5703125" style="1" customWidth="1"/>
    <col min="6394" max="6397" width="8.140625" style="1" customWidth="1"/>
    <col min="6398" max="6639" width="11.42578125" style="1"/>
    <col min="6640" max="6640" width="3" style="1" customWidth="1"/>
    <col min="6641" max="6647" width="17.42578125" style="1" customWidth="1"/>
    <col min="6648" max="6648" width="3.85546875" style="1" customWidth="1"/>
    <col min="6649" max="6649" width="3.5703125" style="1" customWidth="1"/>
    <col min="6650" max="6653" width="8.140625" style="1" customWidth="1"/>
    <col min="6654" max="6895" width="11.42578125" style="1"/>
    <col min="6896" max="6896" width="3" style="1" customWidth="1"/>
    <col min="6897" max="6903" width="17.42578125" style="1" customWidth="1"/>
    <col min="6904" max="6904" width="3.85546875" style="1" customWidth="1"/>
    <col min="6905" max="6905" width="3.5703125" style="1" customWidth="1"/>
    <col min="6906" max="6909" width="8.140625" style="1" customWidth="1"/>
    <col min="6910" max="7151" width="11.42578125" style="1"/>
    <col min="7152" max="7152" width="3" style="1" customWidth="1"/>
    <col min="7153" max="7159" width="17.42578125" style="1" customWidth="1"/>
    <col min="7160" max="7160" width="3.85546875" style="1" customWidth="1"/>
    <col min="7161" max="7161" width="3.5703125" style="1" customWidth="1"/>
    <col min="7162" max="7165" width="8.140625" style="1" customWidth="1"/>
    <col min="7166" max="7407" width="11.42578125" style="1"/>
    <col min="7408" max="7408" width="3" style="1" customWidth="1"/>
    <col min="7409" max="7415" width="17.42578125" style="1" customWidth="1"/>
    <col min="7416" max="7416" width="3.85546875" style="1" customWidth="1"/>
    <col min="7417" max="7417" width="3.5703125" style="1" customWidth="1"/>
    <col min="7418" max="7421" width="8.140625" style="1" customWidth="1"/>
    <col min="7422" max="7663" width="11.42578125" style="1"/>
    <col min="7664" max="7664" width="3" style="1" customWidth="1"/>
    <col min="7665" max="7671" width="17.42578125" style="1" customWidth="1"/>
    <col min="7672" max="7672" width="3.85546875" style="1" customWidth="1"/>
    <col min="7673" max="7673" width="3.5703125" style="1" customWidth="1"/>
    <col min="7674" max="7677" width="8.140625" style="1" customWidth="1"/>
    <col min="7678" max="7919" width="11.42578125" style="1"/>
    <col min="7920" max="7920" width="3" style="1" customWidth="1"/>
    <col min="7921" max="7927" width="17.42578125" style="1" customWidth="1"/>
    <col min="7928" max="7928" width="3.85546875" style="1" customWidth="1"/>
    <col min="7929" max="7929" width="3.5703125" style="1" customWidth="1"/>
    <col min="7930" max="7933" width="8.140625" style="1" customWidth="1"/>
    <col min="7934" max="8175" width="11.42578125" style="1"/>
    <col min="8176" max="8176" width="3" style="1" customWidth="1"/>
    <col min="8177" max="8183" width="17.42578125" style="1" customWidth="1"/>
    <col min="8184" max="8184" width="3.85546875" style="1" customWidth="1"/>
    <col min="8185" max="8185" width="3.5703125" style="1" customWidth="1"/>
    <col min="8186" max="8189" width="8.140625" style="1" customWidth="1"/>
    <col min="8190" max="8431" width="11.42578125" style="1"/>
    <col min="8432" max="8432" width="3" style="1" customWidth="1"/>
    <col min="8433" max="8439" width="17.42578125" style="1" customWidth="1"/>
    <col min="8440" max="8440" width="3.85546875" style="1" customWidth="1"/>
    <col min="8441" max="8441" width="3.5703125" style="1" customWidth="1"/>
    <col min="8442" max="8445" width="8.140625" style="1" customWidth="1"/>
    <col min="8446" max="8687" width="11.42578125" style="1"/>
    <col min="8688" max="8688" width="3" style="1" customWidth="1"/>
    <col min="8689" max="8695" width="17.42578125" style="1" customWidth="1"/>
    <col min="8696" max="8696" width="3.85546875" style="1" customWidth="1"/>
    <col min="8697" max="8697" width="3.5703125" style="1" customWidth="1"/>
    <col min="8698" max="8701" width="8.140625" style="1" customWidth="1"/>
    <col min="8702" max="8943" width="11.42578125" style="1"/>
    <col min="8944" max="8944" width="3" style="1" customWidth="1"/>
    <col min="8945" max="8951" width="17.42578125" style="1" customWidth="1"/>
    <col min="8952" max="8952" width="3.85546875" style="1" customWidth="1"/>
    <col min="8953" max="8953" width="3.5703125" style="1" customWidth="1"/>
    <col min="8954" max="8957" width="8.140625" style="1" customWidth="1"/>
    <col min="8958" max="9199" width="11.42578125" style="1"/>
    <col min="9200" max="9200" width="3" style="1" customWidth="1"/>
    <col min="9201" max="9207" width="17.42578125" style="1" customWidth="1"/>
    <col min="9208" max="9208" width="3.85546875" style="1" customWidth="1"/>
    <col min="9209" max="9209" width="3.5703125" style="1" customWidth="1"/>
    <col min="9210" max="9213" width="8.140625" style="1" customWidth="1"/>
    <col min="9214" max="9455" width="11.42578125" style="1"/>
    <col min="9456" max="9456" width="3" style="1" customWidth="1"/>
    <col min="9457" max="9463" width="17.42578125" style="1" customWidth="1"/>
    <col min="9464" max="9464" width="3.85546875" style="1" customWidth="1"/>
    <col min="9465" max="9465" width="3.5703125" style="1" customWidth="1"/>
    <col min="9466" max="9469" width="8.140625" style="1" customWidth="1"/>
    <col min="9470" max="9711" width="11.42578125" style="1"/>
    <col min="9712" max="9712" width="3" style="1" customWidth="1"/>
    <col min="9713" max="9719" width="17.42578125" style="1" customWidth="1"/>
    <col min="9720" max="9720" width="3.85546875" style="1" customWidth="1"/>
    <col min="9721" max="9721" width="3.5703125" style="1" customWidth="1"/>
    <col min="9722" max="9725" width="8.140625" style="1" customWidth="1"/>
    <col min="9726" max="9967" width="11.42578125" style="1"/>
    <col min="9968" max="9968" width="3" style="1" customWidth="1"/>
    <col min="9969" max="9975" width="17.42578125" style="1" customWidth="1"/>
    <col min="9976" max="9976" width="3.85546875" style="1" customWidth="1"/>
    <col min="9977" max="9977" width="3.5703125" style="1" customWidth="1"/>
    <col min="9978" max="9981" width="8.140625" style="1" customWidth="1"/>
    <col min="9982" max="10223" width="11.42578125" style="1"/>
    <col min="10224" max="10224" width="3" style="1" customWidth="1"/>
    <col min="10225" max="10231" width="17.42578125" style="1" customWidth="1"/>
    <col min="10232" max="10232" width="3.85546875" style="1" customWidth="1"/>
    <col min="10233" max="10233" width="3.5703125" style="1" customWidth="1"/>
    <col min="10234" max="10237" width="8.140625" style="1" customWidth="1"/>
    <col min="10238" max="10479" width="11.42578125" style="1"/>
    <col min="10480" max="10480" width="3" style="1" customWidth="1"/>
    <col min="10481" max="10487" width="17.42578125" style="1" customWidth="1"/>
    <col min="10488" max="10488" width="3.85546875" style="1" customWidth="1"/>
    <col min="10489" max="10489" width="3.5703125" style="1" customWidth="1"/>
    <col min="10490" max="10493" width="8.140625" style="1" customWidth="1"/>
    <col min="10494" max="10735" width="11.42578125" style="1"/>
    <col min="10736" max="10736" width="3" style="1" customWidth="1"/>
    <col min="10737" max="10743" width="17.42578125" style="1" customWidth="1"/>
    <col min="10744" max="10744" width="3.85546875" style="1" customWidth="1"/>
    <col min="10745" max="10745" width="3.5703125" style="1" customWidth="1"/>
    <col min="10746" max="10749" width="8.140625" style="1" customWidth="1"/>
    <col min="10750" max="10991" width="11.42578125" style="1"/>
    <col min="10992" max="10992" width="3" style="1" customWidth="1"/>
    <col min="10993" max="10999" width="17.42578125" style="1" customWidth="1"/>
    <col min="11000" max="11000" width="3.85546875" style="1" customWidth="1"/>
    <col min="11001" max="11001" width="3.5703125" style="1" customWidth="1"/>
    <col min="11002" max="11005" width="8.140625" style="1" customWidth="1"/>
    <col min="11006" max="11247" width="11.42578125" style="1"/>
    <col min="11248" max="11248" width="3" style="1" customWidth="1"/>
    <col min="11249" max="11255" width="17.42578125" style="1" customWidth="1"/>
    <col min="11256" max="11256" width="3.85546875" style="1" customWidth="1"/>
    <col min="11257" max="11257" width="3.5703125" style="1" customWidth="1"/>
    <col min="11258" max="11261" width="8.140625" style="1" customWidth="1"/>
    <col min="11262" max="11503" width="11.42578125" style="1"/>
    <col min="11504" max="11504" width="3" style="1" customWidth="1"/>
    <col min="11505" max="11511" width="17.42578125" style="1" customWidth="1"/>
    <col min="11512" max="11512" width="3.85546875" style="1" customWidth="1"/>
    <col min="11513" max="11513" width="3.5703125" style="1" customWidth="1"/>
    <col min="11514" max="11517" width="8.140625" style="1" customWidth="1"/>
    <col min="11518" max="11759" width="11.42578125" style="1"/>
    <col min="11760" max="11760" width="3" style="1" customWidth="1"/>
    <col min="11761" max="11767" width="17.42578125" style="1" customWidth="1"/>
    <col min="11768" max="11768" width="3.85546875" style="1" customWidth="1"/>
    <col min="11769" max="11769" width="3.5703125" style="1" customWidth="1"/>
    <col min="11770" max="11773" width="8.140625" style="1" customWidth="1"/>
    <col min="11774" max="12015" width="11.42578125" style="1"/>
    <col min="12016" max="12016" width="3" style="1" customWidth="1"/>
    <col min="12017" max="12023" width="17.42578125" style="1" customWidth="1"/>
    <col min="12024" max="12024" width="3.85546875" style="1" customWidth="1"/>
    <col min="12025" max="12025" width="3.5703125" style="1" customWidth="1"/>
    <col min="12026" max="12029" width="8.140625" style="1" customWidth="1"/>
    <col min="12030" max="12271" width="11.42578125" style="1"/>
    <col min="12272" max="12272" width="3" style="1" customWidth="1"/>
    <col min="12273" max="12279" width="17.42578125" style="1" customWidth="1"/>
    <col min="12280" max="12280" width="3.85546875" style="1" customWidth="1"/>
    <col min="12281" max="12281" width="3.5703125" style="1" customWidth="1"/>
    <col min="12282" max="12285" width="8.140625" style="1" customWidth="1"/>
    <col min="12286" max="12527" width="11.42578125" style="1"/>
    <col min="12528" max="12528" width="3" style="1" customWidth="1"/>
    <col min="12529" max="12535" width="17.42578125" style="1" customWidth="1"/>
    <col min="12536" max="12536" width="3.85546875" style="1" customWidth="1"/>
    <col min="12537" max="12537" width="3.5703125" style="1" customWidth="1"/>
    <col min="12538" max="12541" width="8.140625" style="1" customWidth="1"/>
    <col min="12542" max="12783" width="11.42578125" style="1"/>
    <col min="12784" max="12784" width="3" style="1" customWidth="1"/>
    <col min="12785" max="12791" width="17.42578125" style="1" customWidth="1"/>
    <col min="12792" max="12792" width="3.85546875" style="1" customWidth="1"/>
    <col min="12793" max="12793" width="3.5703125" style="1" customWidth="1"/>
    <col min="12794" max="12797" width="8.140625" style="1" customWidth="1"/>
    <col min="12798" max="13039" width="11.42578125" style="1"/>
    <col min="13040" max="13040" width="3" style="1" customWidth="1"/>
    <col min="13041" max="13047" width="17.42578125" style="1" customWidth="1"/>
    <col min="13048" max="13048" width="3.85546875" style="1" customWidth="1"/>
    <col min="13049" max="13049" width="3.5703125" style="1" customWidth="1"/>
    <col min="13050" max="13053" width="8.140625" style="1" customWidth="1"/>
    <col min="13054" max="13295" width="11.42578125" style="1"/>
    <col min="13296" max="13296" width="3" style="1" customWidth="1"/>
    <col min="13297" max="13303" width="17.42578125" style="1" customWidth="1"/>
    <col min="13304" max="13304" width="3.85546875" style="1" customWidth="1"/>
    <col min="13305" max="13305" width="3.5703125" style="1" customWidth="1"/>
    <col min="13306" max="13309" width="8.140625" style="1" customWidth="1"/>
    <col min="13310" max="13551" width="11.42578125" style="1"/>
    <col min="13552" max="13552" width="3" style="1" customWidth="1"/>
    <col min="13553" max="13559" width="17.42578125" style="1" customWidth="1"/>
    <col min="13560" max="13560" width="3.85546875" style="1" customWidth="1"/>
    <col min="13561" max="13561" width="3.5703125" style="1" customWidth="1"/>
    <col min="13562" max="13565" width="8.140625" style="1" customWidth="1"/>
    <col min="13566" max="13807" width="11.42578125" style="1"/>
    <col min="13808" max="13808" width="3" style="1" customWidth="1"/>
    <col min="13809" max="13815" width="17.42578125" style="1" customWidth="1"/>
    <col min="13816" max="13816" width="3.85546875" style="1" customWidth="1"/>
    <col min="13817" max="13817" width="3.5703125" style="1" customWidth="1"/>
    <col min="13818" max="13821" width="8.140625" style="1" customWidth="1"/>
    <col min="13822" max="14063" width="11.42578125" style="1"/>
    <col min="14064" max="14064" width="3" style="1" customWidth="1"/>
    <col min="14065" max="14071" width="17.42578125" style="1" customWidth="1"/>
    <col min="14072" max="14072" width="3.85546875" style="1" customWidth="1"/>
    <col min="14073" max="14073" width="3.5703125" style="1" customWidth="1"/>
    <col min="14074" max="14077" width="8.140625" style="1" customWidth="1"/>
    <col min="14078" max="14319" width="11.42578125" style="1"/>
    <col min="14320" max="14320" width="3" style="1" customWidth="1"/>
    <col min="14321" max="14327" width="17.42578125" style="1" customWidth="1"/>
    <col min="14328" max="14328" width="3.85546875" style="1" customWidth="1"/>
    <col min="14329" max="14329" width="3.5703125" style="1" customWidth="1"/>
    <col min="14330" max="14333" width="8.140625" style="1" customWidth="1"/>
    <col min="14334" max="14575" width="11.42578125" style="1"/>
    <col min="14576" max="14576" width="3" style="1" customWidth="1"/>
    <col min="14577" max="14583" width="17.42578125" style="1" customWidth="1"/>
    <col min="14584" max="14584" width="3.85546875" style="1" customWidth="1"/>
    <col min="14585" max="14585" width="3.5703125" style="1" customWidth="1"/>
    <col min="14586" max="14589" width="8.140625" style="1" customWidth="1"/>
    <col min="14590" max="14831" width="11.42578125" style="1"/>
    <col min="14832" max="14832" width="3" style="1" customWidth="1"/>
    <col min="14833" max="14839" width="17.42578125" style="1" customWidth="1"/>
    <col min="14840" max="14840" width="3.85546875" style="1" customWidth="1"/>
    <col min="14841" max="14841" width="3.5703125" style="1" customWidth="1"/>
    <col min="14842" max="14845" width="8.140625" style="1" customWidth="1"/>
    <col min="14846" max="15087" width="11.42578125" style="1"/>
    <col min="15088" max="15088" width="3" style="1" customWidth="1"/>
    <col min="15089" max="15095" width="17.42578125" style="1" customWidth="1"/>
    <col min="15096" max="15096" width="3.85546875" style="1" customWidth="1"/>
    <col min="15097" max="15097" width="3.5703125" style="1" customWidth="1"/>
    <col min="15098" max="15101" width="8.140625" style="1" customWidth="1"/>
    <col min="15102" max="15343" width="11.42578125" style="1"/>
    <col min="15344" max="15344" width="3" style="1" customWidth="1"/>
    <col min="15345" max="15351" width="17.42578125" style="1" customWidth="1"/>
    <col min="15352" max="15352" width="3.85546875" style="1" customWidth="1"/>
    <col min="15353" max="15353" width="3.5703125" style="1" customWidth="1"/>
    <col min="15354" max="15357" width="8.140625" style="1" customWidth="1"/>
    <col min="15358" max="15599" width="11.42578125" style="1"/>
    <col min="15600" max="15600" width="3" style="1" customWidth="1"/>
    <col min="15601" max="15607" width="17.42578125" style="1" customWidth="1"/>
    <col min="15608" max="15608" width="3.85546875" style="1" customWidth="1"/>
    <col min="15609" max="15609" width="3.5703125" style="1" customWidth="1"/>
    <col min="15610" max="15613" width="8.140625" style="1" customWidth="1"/>
    <col min="15614" max="15855" width="11.42578125" style="1"/>
    <col min="15856" max="15856" width="3" style="1" customWidth="1"/>
    <col min="15857" max="15863" width="17.42578125" style="1" customWidth="1"/>
    <col min="15864" max="15864" width="3.85546875" style="1" customWidth="1"/>
    <col min="15865" max="15865" width="3.5703125" style="1" customWidth="1"/>
    <col min="15866" max="15869" width="8.140625" style="1" customWidth="1"/>
    <col min="15870" max="16111" width="11.42578125" style="1"/>
    <col min="16112" max="16112" width="3" style="1" customWidth="1"/>
    <col min="16113" max="16119" width="17.42578125" style="1" customWidth="1"/>
    <col min="16120" max="16120" width="3.85546875" style="1" customWidth="1"/>
    <col min="16121" max="16121" width="3.5703125" style="1" customWidth="1"/>
    <col min="16122" max="16125" width="8.140625" style="1" customWidth="1"/>
    <col min="16126" max="16384" width="11.42578125" style="1"/>
  </cols>
  <sheetData>
    <row r="1" spans="1:25" ht="22.5" customHeight="1" x14ac:dyDescent="0.2">
      <c r="A1" s="56"/>
      <c r="B1" s="8"/>
      <c r="C1" s="8"/>
      <c r="D1" s="57"/>
      <c r="E1" s="137" t="s">
        <v>8</v>
      </c>
      <c r="F1" s="137"/>
      <c r="G1" s="137"/>
      <c r="H1" s="137"/>
      <c r="I1" s="137"/>
      <c r="J1" s="137"/>
      <c r="K1" s="138"/>
      <c r="L1" s="139" t="s">
        <v>21</v>
      </c>
      <c r="M1" s="140"/>
      <c r="N1" s="141"/>
      <c r="P1" s="11"/>
    </row>
    <row r="2" spans="1:25" ht="22.5" customHeight="1" x14ac:dyDescent="0.2">
      <c r="A2" s="58"/>
      <c r="B2" s="25"/>
      <c r="C2" s="25"/>
      <c r="D2" s="59"/>
      <c r="E2" s="142" t="s">
        <v>81</v>
      </c>
      <c r="F2" s="142"/>
      <c r="G2" s="142"/>
      <c r="H2" s="142"/>
      <c r="I2" s="142"/>
      <c r="J2" s="142"/>
      <c r="K2" s="143"/>
      <c r="L2" s="144" t="s">
        <v>86</v>
      </c>
      <c r="M2" s="145"/>
      <c r="N2" s="146"/>
      <c r="P2" s="147"/>
      <c r="Q2" s="147"/>
      <c r="R2" s="147"/>
      <c r="S2" s="147"/>
      <c r="T2" s="147"/>
      <c r="U2" s="147"/>
      <c r="V2" s="147"/>
      <c r="W2" s="147"/>
      <c r="X2" s="147"/>
      <c r="Y2" s="147"/>
    </row>
    <row r="3" spans="1:25" ht="22.5" customHeight="1" x14ac:dyDescent="0.2">
      <c r="A3" s="58"/>
      <c r="B3" s="25"/>
      <c r="C3" s="25"/>
      <c r="D3" s="55"/>
      <c r="E3" s="142"/>
      <c r="F3" s="142"/>
      <c r="G3" s="142"/>
      <c r="H3" s="142"/>
      <c r="I3" s="142"/>
      <c r="J3" s="142"/>
      <c r="K3" s="143"/>
      <c r="L3" s="144" t="s">
        <v>70</v>
      </c>
      <c r="M3" s="145"/>
      <c r="N3" s="146"/>
      <c r="P3" s="148"/>
      <c r="Q3" s="148"/>
      <c r="R3" s="148"/>
    </row>
    <row r="4" spans="1:25" ht="22.5" customHeight="1" thickBot="1" x14ac:dyDescent="0.25">
      <c r="A4" s="60"/>
      <c r="B4" s="9"/>
      <c r="C4" s="9"/>
      <c r="D4" s="54"/>
      <c r="E4" s="149" t="s">
        <v>82</v>
      </c>
      <c r="F4" s="149"/>
      <c r="G4" s="149"/>
      <c r="H4" s="149"/>
      <c r="I4" s="149"/>
      <c r="J4" s="149"/>
      <c r="K4" s="150"/>
      <c r="L4" s="151" t="s">
        <v>87</v>
      </c>
      <c r="M4" s="152"/>
      <c r="N4" s="153"/>
      <c r="P4" s="11"/>
      <c r="Q4" s="154" t="s">
        <v>23</v>
      </c>
      <c r="R4" s="155" t="s">
        <v>63</v>
      </c>
      <c r="S4" s="120" t="s">
        <v>47</v>
      </c>
    </row>
    <row r="5" spans="1:25" ht="3.95" customHeight="1" thickBot="1" x14ac:dyDescent="0.25">
      <c r="A5" s="58"/>
      <c r="B5" s="25"/>
      <c r="C5" s="25"/>
      <c r="D5" s="25"/>
      <c r="E5" s="25"/>
      <c r="F5" s="25"/>
      <c r="G5" s="61"/>
      <c r="H5" s="25"/>
      <c r="I5" s="25"/>
      <c r="J5" s="25"/>
      <c r="K5" s="25"/>
      <c r="L5" s="25"/>
      <c r="M5" s="25"/>
      <c r="N5" s="62"/>
      <c r="P5" s="11"/>
      <c r="Q5" s="154"/>
      <c r="R5" s="156"/>
    </row>
    <row r="6" spans="1:25" ht="24.95" customHeight="1" x14ac:dyDescent="0.2">
      <c r="A6" s="157" t="s">
        <v>14</v>
      </c>
      <c r="B6" s="158"/>
      <c r="C6" s="159" t="s">
        <v>92</v>
      </c>
      <c r="D6" s="159"/>
      <c r="E6" s="159"/>
      <c r="F6" s="159"/>
      <c r="G6" s="159"/>
      <c r="H6" s="159"/>
      <c r="I6" s="159"/>
      <c r="J6" s="108" t="s">
        <v>10</v>
      </c>
      <c r="K6" s="160">
        <v>45924</v>
      </c>
      <c r="L6" s="160"/>
      <c r="M6" s="160"/>
      <c r="N6" s="161"/>
      <c r="P6" s="11"/>
      <c r="Q6" s="13"/>
      <c r="R6" s="14" t="s">
        <v>28</v>
      </c>
      <c r="S6" s="15" t="s">
        <v>48</v>
      </c>
    </row>
    <row r="7" spans="1:25" ht="24.95" customHeight="1" x14ac:dyDescent="0.2">
      <c r="A7" s="162" t="s">
        <v>15</v>
      </c>
      <c r="B7" s="163"/>
      <c r="C7" s="164" t="s">
        <v>93</v>
      </c>
      <c r="D7" s="164"/>
      <c r="E7" s="164"/>
      <c r="F7" s="164"/>
      <c r="G7" s="164"/>
      <c r="H7" s="164"/>
      <c r="I7" s="164"/>
      <c r="J7" s="26" t="s">
        <v>11</v>
      </c>
      <c r="K7" s="165">
        <v>45940</v>
      </c>
      <c r="L7" s="165"/>
      <c r="M7" s="165"/>
      <c r="N7" s="166"/>
      <c r="P7" s="11"/>
      <c r="Q7" s="16" t="s">
        <v>24</v>
      </c>
      <c r="R7" s="14" t="s">
        <v>29</v>
      </c>
      <c r="S7" s="15" t="s">
        <v>49</v>
      </c>
    </row>
    <row r="8" spans="1:25" ht="24.95" customHeight="1" x14ac:dyDescent="0.2">
      <c r="A8" s="162" t="s">
        <v>64</v>
      </c>
      <c r="B8" s="163"/>
      <c r="C8" s="238" t="s">
        <v>94</v>
      </c>
      <c r="D8" s="164"/>
      <c r="E8" s="164"/>
      <c r="F8" s="164"/>
      <c r="G8" s="164"/>
      <c r="H8" s="164"/>
      <c r="I8" s="164"/>
      <c r="J8" s="26" t="s">
        <v>12</v>
      </c>
      <c r="K8" s="165">
        <v>45947</v>
      </c>
      <c r="L8" s="165"/>
      <c r="M8" s="165"/>
      <c r="N8" s="166"/>
      <c r="P8" s="11"/>
      <c r="Q8" s="16" t="s">
        <v>25</v>
      </c>
      <c r="R8" s="14" t="s">
        <v>30</v>
      </c>
      <c r="S8" s="15" t="s">
        <v>50</v>
      </c>
    </row>
    <row r="9" spans="1:25" ht="24.95" customHeight="1" x14ac:dyDescent="0.2">
      <c r="A9" s="162" t="s">
        <v>16</v>
      </c>
      <c r="B9" s="163"/>
      <c r="C9" s="164" t="s">
        <v>95</v>
      </c>
      <c r="D9" s="164"/>
      <c r="E9" s="164"/>
      <c r="F9" s="164"/>
      <c r="G9" s="164"/>
      <c r="H9" s="164"/>
      <c r="I9" s="164"/>
      <c r="J9" s="26" t="s">
        <v>13</v>
      </c>
      <c r="K9" s="111" t="s">
        <v>69</v>
      </c>
      <c r="L9" s="112" t="s">
        <v>91</v>
      </c>
      <c r="M9" s="113" t="s">
        <v>1</v>
      </c>
      <c r="N9" s="114">
        <v>25</v>
      </c>
      <c r="P9" s="11"/>
      <c r="Q9" s="16" t="s">
        <v>26</v>
      </c>
      <c r="R9" s="17" t="s">
        <v>31</v>
      </c>
      <c r="S9" s="15" t="s">
        <v>51</v>
      </c>
    </row>
    <row r="10" spans="1:25" ht="24.75" customHeight="1" x14ac:dyDescent="0.2">
      <c r="A10" s="162" t="s">
        <v>17</v>
      </c>
      <c r="B10" s="163"/>
      <c r="C10" s="164" t="s">
        <v>96</v>
      </c>
      <c r="D10" s="164"/>
      <c r="E10" s="164"/>
      <c r="F10" s="164"/>
      <c r="G10" s="164"/>
      <c r="H10" s="164"/>
      <c r="I10" s="164"/>
      <c r="J10" s="26" t="s">
        <v>9</v>
      </c>
      <c r="K10" s="168" t="str">
        <f>+CONCATENATE(L9,," ",N9,"-",D12,"-",F12)</f>
        <v>058 25-PE4-3-10</v>
      </c>
      <c r="L10" s="168"/>
      <c r="M10" s="168"/>
      <c r="N10" s="169"/>
      <c r="P10" s="11"/>
      <c r="Q10" s="18" t="s">
        <v>27</v>
      </c>
      <c r="R10" s="17" t="s">
        <v>32</v>
      </c>
      <c r="S10" s="15"/>
    </row>
    <row r="11" spans="1:25" ht="3.95" customHeight="1" thickBot="1" x14ac:dyDescent="0.25">
      <c r="A11" s="162"/>
      <c r="B11" s="163"/>
      <c r="C11" s="119"/>
      <c r="D11" s="119"/>
      <c r="E11" s="119"/>
      <c r="F11" s="119"/>
      <c r="G11" s="63"/>
      <c r="H11" s="63"/>
      <c r="I11" s="63"/>
      <c r="J11" s="63"/>
      <c r="K11" s="63"/>
      <c r="L11" s="63"/>
      <c r="M11" s="63"/>
      <c r="N11" s="64"/>
      <c r="P11" s="11"/>
      <c r="R11" s="13"/>
      <c r="S11" s="15" t="s">
        <v>52</v>
      </c>
    </row>
    <row r="12" spans="1:25" ht="24.95" customHeight="1" x14ac:dyDescent="0.2">
      <c r="A12" s="157" t="s">
        <v>18</v>
      </c>
      <c r="B12" s="158"/>
      <c r="C12" s="121" t="s">
        <v>48</v>
      </c>
      <c r="D12" s="3" t="s">
        <v>97</v>
      </c>
      <c r="E12" s="4" t="s">
        <v>19</v>
      </c>
      <c r="F12" s="121">
        <v>10</v>
      </c>
      <c r="G12" s="4" t="s">
        <v>0</v>
      </c>
      <c r="H12" s="117">
        <v>4.1500000000000004</v>
      </c>
      <c r="I12" s="7" t="s">
        <v>1</v>
      </c>
      <c r="J12" s="118">
        <v>4.5999999999999996</v>
      </c>
      <c r="K12" s="65"/>
      <c r="L12" s="65"/>
      <c r="M12" s="65"/>
      <c r="N12" s="66"/>
      <c r="P12" s="11"/>
      <c r="R12" s="17" t="s">
        <v>33</v>
      </c>
      <c r="S12" s="15"/>
    </row>
    <row r="13" spans="1:25" ht="24.95" customHeight="1" x14ac:dyDescent="0.2">
      <c r="A13" s="162" t="s">
        <v>66</v>
      </c>
      <c r="B13" s="163"/>
      <c r="C13" s="170" t="s">
        <v>98</v>
      </c>
      <c r="D13" s="170"/>
      <c r="E13" s="170"/>
      <c r="F13" s="170"/>
      <c r="G13" s="170"/>
      <c r="H13" s="170"/>
      <c r="I13" s="170"/>
      <c r="J13" s="170"/>
      <c r="K13" s="170"/>
      <c r="L13" s="170"/>
      <c r="M13" s="170"/>
      <c r="N13" s="171"/>
      <c r="P13" s="11"/>
    </row>
    <row r="14" spans="1:25" ht="3.95" customHeight="1" thickBot="1" x14ac:dyDescent="0.3">
      <c r="A14" s="67"/>
      <c r="B14" s="68"/>
      <c r="C14" s="68"/>
      <c r="D14" s="68"/>
      <c r="E14" s="68"/>
      <c r="F14" s="68"/>
      <c r="G14" s="172"/>
      <c r="H14" s="172"/>
      <c r="I14" s="172"/>
      <c r="J14" s="69"/>
      <c r="K14" s="70"/>
      <c r="L14" s="70"/>
      <c r="M14" s="70"/>
      <c r="N14" s="71"/>
      <c r="P14" s="11"/>
    </row>
    <row r="15" spans="1:25" ht="3" customHeight="1" x14ac:dyDescent="0.25">
      <c r="A15" s="72"/>
      <c r="B15" s="73"/>
      <c r="C15" s="73"/>
      <c r="D15" s="73"/>
      <c r="E15" s="73"/>
      <c r="F15" s="73"/>
      <c r="G15" s="74"/>
      <c r="H15" s="75"/>
      <c r="I15" s="76"/>
      <c r="J15" s="74"/>
      <c r="K15" s="77"/>
      <c r="L15" s="77"/>
      <c r="M15" s="77"/>
      <c r="N15" s="78"/>
      <c r="P15" s="11"/>
    </row>
    <row r="16" spans="1:25" ht="9" customHeight="1" thickBot="1" x14ac:dyDescent="0.25">
      <c r="A16" s="79"/>
      <c r="B16" s="80"/>
      <c r="C16" s="80"/>
      <c r="D16" s="80"/>
      <c r="E16" s="80"/>
      <c r="F16" s="80"/>
      <c r="G16" s="81"/>
      <c r="H16" s="81"/>
      <c r="I16" s="81"/>
      <c r="J16" s="81"/>
      <c r="K16" s="81"/>
      <c r="L16" s="81"/>
      <c r="M16" s="81"/>
      <c r="N16" s="62"/>
      <c r="P16" s="11"/>
    </row>
    <row r="17" spans="1:33" ht="24.95" customHeight="1" thickBot="1" x14ac:dyDescent="0.35">
      <c r="A17" s="58"/>
      <c r="B17" s="173" t="s">
        <v>7</v>
      </c>
      <c r="C17" s="174"/>
      <c r="D17" s="174"/>
      <c r="E17" s="174"/>
      <c r="F17" s="174"/>
      <c r="G17" s="174"/>
      <c r="H17" s="173" t="s">
        <v>4</v>
      </c>
      <c r="I17" s="175"/>
      <c r="J17" s="82"/>
      <c r="K17" s="82"/>
      <c r="L17" s="82"/>
      <c r="M17" s="82"/>
      <c r="N17" s="83"/>
      <c r="O17" s="101">
        <f>E32</f>
        <v>2.2599999999999998</v>
      </c>
      <c r="P17" s="97">
        <f>I32</f>
        <v>2.6713947990543727</v>
      </c>
      <c r="Q17" s="98">
        <f>B32</f>
        <v>2.35</v>
      </c>
      <c r="R17" s="12">
        <f>Q17/P17</f>
        <v>0.87969026548672591</v>
      </c>
      <c r="S17" s="12">
        <f>O17/Q17</f>
        <v>0.9617021276595743</v>
      </c>
    </row>
    <row r="18" spans="1:33" ht="24.95" customHeight="1" x14ac:dyDescent="0.3">
      <c r="A18" s="58"/>
      <c r="B18" s="31" t="s">
        <v>57</v>
      </c>
      <c r="C18" s="176">
        <v>4.4000000000000004</v>
      </c>
      <c r="D18" s="177"/>
      <c r="E18" s="50" t="s">
        <v>79</v>
      </c>
      <c r="F18" s="178">
        <f>F19/(1+I21/100)</f>
        <v>1.4416692315293369</v>
      </c>
      <c r="G18" s="179"/>
      <c r="H18" s="31" t="s">
        <v>58</v>
      </c>
      <c r="I18" s="34">
        <v>214.63</v>
      </c>
      <c r="J18" s="82"/>
      <c r="K18" s="126"/>
      <c r="L18" s="84"/>
      <c r="M18" s="84"/>
      <c r="N18" s="85"/>
      <c r="O18" s="100" t="str">
        <f>E37</f>
        <v>-</v>
      </c>
      <c r="P18" s="99" t="str">
        <f>I37</f>
        <v>-</v>
      </c>
      <c r="Q18" s="98" t="str">
        <f>B37</f>
        <v>-</v>
      </c>
      <c r="R18" s="12" t="e">
        <f>Q18/P18</f>
        <v>#VALUE!</v>
      </c>
      <c r="S18" s="12" t="e">
        <f>O18/Q18</f>
        <v>#VALUE!</v>
      </c>
      <c r="AC18" s="11" t="s">
        <v>89</v>
      </c>
      <c r="AG18" s="1" t="s">
        <v>90</v>
      </c>
    </row>
    <row r="19" spans="1:33" ht="24.95" customHeight="1" x14ac:dyDescent="0.3">
      <c r="A19" s="58"/>
      <c r="B19" s="32" t="s">
        <v>36</v>
      </c>
      <c r="C19" s="180">
        <v>8.4600000000000009</v>
      </c>
      <c r="D19" s="181"/>
      <c r="E19" s="51" t="s">
        <v>80</v>
      </c>
      <c r="F19" s="182">
        <f>+C21/(C20)</f>
        <v>1.8073350877945187</v>
      </c>
      <c r="G19" s="183"/>
      <c r="H19" s="32" t="s">
        <v>5</v>
      </c>
      <c r="I19" s="36">
        <v>178.75</v>
      </c>
      <c r="J19" s="82"/>
      <c r="K19" s="84"/>
      <c r="L19" s="84"/>
      <c r="M19" s="84"/>
      <c r="N19" s="85"/>
      <c r="O19" s="100" t="str">
        <f>E48</f>
        <v>-</v>
      </c>
      <c r="P19" s="97" t="str">
        <f>I48</f>
        <v>-</v>
      </c>
      <c r="Q19" s="98" t="str">
        <f>B48</f>
        <v>-</v>
      </c>
      <c r="R19" s="12" t="e">
        <f>Q19/P19</f>
        <v>#VALUE!</v>
      </c>
      <c r="S19" s="12" t="e">
        <f>O19/Q19</f>
        <v>#VALUE!</v>
      </c>
    </row>
    <row r="20" spans="1:33" ht="24.95" customHeight="1" x14ac:dyDescent="0.3">
      <c r="A20" s="58"/>
      <c r="B20" s="32" t="s">
        <v>37</v>
      </c>
      <c r="C20" s="184">
        <f>(PI()*((C18^2)/4)*C19)</f>
        <v>128.63690943094915</v>
      </c>
      <c r="D20" s="185"/>
      <c r="E20" s="52" t="s">
        <v>22</v>
      </c>
      <c r="F20" s="186" t="s">
        <v>27</v>
      </c>
      <c r="G20" s="187"/>
      <c r="H20" s="32" t="s">
        <v>6</v>
      </c>
      <c r="I20" s="36">
        <v>37.29</v>
      </c>
      <c r="J20" s="82"/>
      <c r="K20" s="84"/>
      <c r="L20" s="84"/>
      <c r="M20" s="84"/>
      <c r="N20" s="85"/>
      <c r="O20" s="2"/>
      <c r="P20" s="96"/>
      <c r="Q20" s="11" t="s">
        <v>84</v>
      </c>
      <c r="R20" s="102" t="e">
        <f>(R17+R18+R19)/3</f>
        <v>#VALUE!</v>
      </c>
      <c r="S20" s="11"/>
    </row>
    <row r="21" spans="1:33" ht="24.95" customHeight="1" x14ac:dyDescent="0.3">
      <c r="A21" s="58"/>
      <c r="B21" s="32" t="s">
        <v>3</v>
      </c>
      <c r="C21" s="180">
        <v>232.49</v>
      </c>
      <c r="D21" s="181"/>
      <c r="E21" s="52" t="s">
        <v>59</v>
      </c>
      <c r="F21" s="194" t="s">
        <v>29</v>
      </c>
      <c r="G21" s="195"/>
      <c r="H21" s="35" t="s">
        <v>38</v>
      </c>
      <c r="I21" s="37">
        <f>(I18-I19)/(I19-I20)*100</f>
        <v>25.364060511805452</v>
      </c>
      <c r="J21" s="82"/>
      <c r="K21" s="84"/>
      <c r="L21" s="84"/>
      <c r="M21" s="84"/>
      <c r="N21" s="85"/>
      <c r="O21" s="2"/>
      <c r="P21" s="11"/>
      <c r="Q21" s="11" t="s">
        <v>83</v>
      </c>
      <c r="R21" s="102" t="e">
        <f>(S17+S18+S19)/3</f>
        <v>#VALUE!</v>
      </c>
      <c r="S21" s="11"/>
    </row>
    <row r="22" spans="1:33" ht="24.95" customHeight="1" thickBot="1" x14ac:dyDescent="0.35">
      <c r="A22" s="58"/>
      <c r="B22" s="33" t="s">
        <v>60</v>
      </c>
      <c r="C22" s="196">
        <f>(PI()*(C18*C18))/4</f>
        <v>15.205308443374602</v>
      </c>
      <c r="D22" s="197"/>
      <c r="E22" s="53" t="s">
        <v>34</v>
      </c>
      <c r="F22" s="198">
        <v>1</v>
      </c>
      <c r="G22" s="199"/>
      <c r="H22" s="94"/>
      <c r="I22" s="95"/>
      <c r="J22" s="82"/>
      <c r="K22" s="84"/>
      <c r="L22" s="84"/>
      <c r="M22" s="84"/>
      <c r="N22" s="85"/>
      <c r="O22" s="2"/>
      <c r="P22" s="11"/>
      <c r="Q22" s="11"/>
      <c r="R22" s="11"/>
      <c r="S22" s="11"/>
    </row>
    <row r="23" spans="1:33" ht="5.25" customHeight="1" thickBot="1" x14ac:dyDescent="0.35">
      <c r="A23" s="58"/>
      <c r="B23" s="86"/>
      <c r="C23" s="86"/>
      <c r="D23" s="86"/>
      <c r="E23" s="86"/>
      <c r="F23" s="86"/>
      <c r="G23" s="87"/>
      <c r="H23" s="87"/>
      <c r="I23" s="87"/>
      <c r="J23" s="87"/>
      <c r="K23" s="87"/>
      <c r="L23" s="87"/>
      <c r="M23" s="87"/>
      <c r="N23" s="83"/>
      <c r="P23" s="11"/>
    </row>
    <row r="24" spans="1:33" ht="24.95" customHeight="1" thickBot="1" x14ac:dyDescent="0.35">
      <c r="A24" s="58"/>
      <c r="B24" s="188" t="s">
        <v>45</v>
      </c>
      <c r="C24" s="190" t="s">
        <v>53</v>
      </c>
      <c r="D24" s="190" t="s">
        <v>65</v>
      </c>
      <c r="E24" s="192" t="s">
        <v>54</v>
      </c>
      <c r="F24" s="193"/>
      <c r="G24" s="192" t="s">
        <v>55</v>
      </c>
      <c r="H24" s="193"/>
      <c r="I24" s="190" t="s">
        <v>77</v>
      </c>
      <c r="J24" s="190" t="s">
        <v>78</v>
      </c>
      <c r="K24" s="190" t="s">
        <v>43</v>
      </c>
      <c r="L24" s="88"/>
      <c r="M24" s="88"/>
      <c r="N24" s="83"/>
      <c r="P24" s="239" t="s">
        <v>56</v>
      </c>
      <c r="Q24" s="243" t="s">
        <v>40</v>
      </c>
      <c r="R24" s="243" t="s">
        <v>35</v>
      </c>
      <c r="S24" s="239" t="s">
        <v>61</v>
      </c>
      <c r="T24" s="241" t="s">
        <v>46</v>
      </c>
    </row>
    <row r="25" spans="1:33" ht="24.95" customHeight="1" thickBot="1" x14ac:dyDescent="0.35">
      <c r="A25" s="58"/>
      <c r="B25" s="189"/>
      <c r="C25" s="191"/>
      <c r="D25" s="191"/>
      <c r="E25" s="103" t="s">
        <v>2</v>
      </c>
      <c r="F25" s="103" t="s">
        <v>42</v>
      </c>
      <c r="G25" s="103" t="s">
        <v>41</v>
      </c>
      <c r="H25" s="103" t="s">
        <v>44</v>
      </c>
      <c r="I25" s="191"/>
      <c r="J25" s="191"/>
      <c r="K25" s="191"/>
      <c r="L25" s="88"/>
      <c r="M25" s="88"/>
      <c r="N25" s="83"/>
      <c r="P25" s="240"/>
      <c r="Q25" s="244"/>
      <c r="R25" s="244"/>
      <c r="S25" s="240"/>
      <c r="T25" s="242"/>
    </row>
    <row r="26" spans="1:33" ht="24.95" customHeight="1" x14ac:dyDescent="0.3">
      <c r="A26" s="89"/>
      <c r="B26" s="38">
        <f>T26/60</f>
        <v>0</v>
      </c>
      <c r="C26" s="104">
        <f>R26</f>
        <v>0</v>
      </c>
      <c r="D26" s="41">
        <v>0</v>
      </c>
      <c r="E26" s="39">
        <f>S26</f>
        <v>0</v>
      </c>
      <c r="F26" s="41">
        <f>E26/25.4</f>
        <v>0</v>
      </c>
      <c r="G26" s="41">
        <v>0</v>
      </c>
      <c r="H26" s="42">
        <f>IF(D26="","",(D26/K26))</f>
        <v>0</v>
      </c>
      <c r="I26" s="41">
        <f>(E26/($C$19*10))*100</f>
        <v>0</v>
      </c>
      <c r="J26" s="43">
        <f>$C$22/(1-I26/100)</f>
        <v>15.205308443374602</v>
      </c>
      <c r="K26" s="109">
        <f>J26*0.155</f>
        <v>2.3568228087230634</v>
      </c>
      <c r="L26" s="90"/>
      <c r="M26" s="90"/>
      <c r="N26" s="83"/>
      <c r="O26" s="5">
        <v>0</v>
      </c>
      <c r="P26" s="19">
        <v>0</v>
      </c>
      <c r="Q26" s="19"/>
      <c r="R26" s="115">
        <v>0</v>
      </c>
      <c r="S26" s="20">
        <v>0</v>
      </c>
      <c r="T26" s="106">
        <v>0</v>
      </c>
    </row>
    <row r="27" spans="1:33" ht="24.95" customHeight="1" x14ac:dyDescent="0.3">
      <c r="A27" s="89"/>
      <c r="B27" s="38">
        <f>T27/60</f>
        <v>0.4</v>
      </c>
      <c r="C27" s="104">
        <f t="shared" ref="C27:C33" si="0">R27</f>
        <v>5.6000000000000001E-2</v>
      </c>
      <c r="D27" s="40">
        <f t="shared" ref="D27:D34" si="1">C27*0.224809*1000</f>
        <v>12.589304</v>
      </c>
      <c r="E27" s="39">
        <f>S27</f>
        <v>0.33</v>
      </c>
      <c r="F27" s="41">
        <f>E27/25.4</f>
        <v>1.299212598425197E-2</v>
      </c>
      <c r="G27" s="41">
        <f t="shared" ref="G27:G34" si="2">IF(C27="","",(C27/(J27/10000)))</f>
        <v>36.685582861683812</v>
      </c>
      <c r="H27" s="42">
        <f t="shared" ref="H27:H34" si="3">IF(D27="","",(D27/K27))</f>
        <v>5.320805933904694</v>
      </c>
      <c r="I27" s="41">
        <f t="shared" ref="I27:I34" si="4">(E27/($C$19*10))*100</f>
        <v>0.39007092198581561</v>
      </c>
      <c r="J27" s="43">
        <f>$C$22/(1-I27/100)</f>
        <v>15.264852193063858</v>
      </c>
      <c r="K27" s="109">
        <f t="shared" ref="K27:K34" si="5">J27*0.155</f>
        <v>2.366052089924898</v>
      </c>
      <c r="L27" s="90"/>
      <c r="M27" s="90"/>
      <c r="N27" s="83"/>
      <c r="O27" s="6">
        <v>0</v>
      </c>
      <c r="P27" s="19">
        <v>1.2992100000000001E-2</v>
      </c>
      <c r="Q27" s="21"/>
      <c r="R27" s="115">
        <v>5.6000000000000001E-2</v>
      </c>
      <c r="S27" s="22">
        <v>0.33</v>
      </c>
      <c r="T27" s="106">
        <v>24</v>
      </c>
    </row>
    <row r="28" spans="1:33" ht="24.95" customHeight="1" x14ac:dyDescent="0.3">
      <c r="A28" s="89"/>
      <c r="B28" s="38">
        <f t="shared" ref="B28:B34" si="6">T28/60</f>
        <v>0.78333333333333333</v>
      </c>
      <c r="C28" s="104">
        <f t="shared" si="0"/>
        <v>9.4E-2</v>
      </c>
      <c r="D28" s="40">
        <f t="shared" si="1"/>
        <v>21.132046000000003</v>
      </c>
      <c r="E28" s="39">
        <f t="shared" ref="E28:E34" si="7">S28</f>
        <v>0.7</v>
      </c>
      <c r="F28" s="41">
        <f t="shared" ref="F28:F34" si="8">E28/25.4</f>
        <v>2.7559055118110236E-2</v>
      </c>
      <c r="G28" s="41">
        <f t="shared" si="2"/>
        <v>61.308997820982633</v>
      </c>
      <c r="H28" s="42">
        <f t="shared" si="3"/>
        <v>8.8921383813788939</v>
      </c>
      <c r="I28" s="41">
        <f t="shared" si="4"/>
        <v>0.82742316784869963</v>
      </c>
      <c r="J28" s="43">
        <f t="shared" ref="J28:J34" si="9">$C$22/(1-I28/100)</f>
        <v>15.332170373176297</v>
      </c>
      <c r="K28" s="109">
        <f t="shared" si="5"/>
        <v>2.376486407842326</v>
      </c>
      <c r="L28" s="90"/>
      <c r="M28" s="90"/>
      <c r="N28" s="83"/>
      <c r="O28" s="6">
        <v>0.59499999999999997</v>
      </c>
      <c r="P28" s="19">
        <v>2.7559E-2</v>
      </c>
      <c r="Q28" s="21"/>
      <c r="R28" s="115">
        <v>9.4E-2</v>
      </c>
      <c r="S28" s="22">
        <v>0.7</v>
      </c>
      <c r="T28" s="106">
        <v>47</v>
      </c>
    </row>
    <row r="29" spans="1:33" ht="24.95" customHeight="1" x14ac:dyDescent="0.3">
      <c r="A29" s="89"/>
      <c r="B29" s="38">
        <f>T29/60</f>
        <v>1.1833333333333333</v>
      </c>
      <c r="C29" s="104">
        <f t="shared" si="0"/>
        <v>9.6000000000000002E-2</v>
      </c>
      <c r="D29" s="40">
        <f t="shared" si="1"/>
        <v>21.581664</v>
      </c>
      <c r="E29" s="39">
        <f t="shared" si="7"/>
        <v>1.08</v>
      </c>
      <c r="F29" s="41">
        <f t="shared" si="8"/>
        <v>4.2519685039370085E-2</v>
      </c>
      <c r="G29" s="41">
        <f t="shared" si="2"/>
        <v>62.329855680370891</v>
      </c>
      <c r="H29" s="42">
        <f t="shared" si="3"/>
        <v>9.0402016294506442</v>
      </c>
      <c r="I29" s="41">
        <f t="shared" si="4"/>
        <v>1.2765957446808509</v>
      </c>
      <c r="J29" s="43">
        <f t="shared" si="9"/>
        <v>15.401928811176859</v>
      </c>
      <c r="K29" s="109">
        <f t="shared" si="5"/>
        <v>2.3872989657324131</v>
      </c>
      <c r="L29" s="90"/>
      <c r="M29" s="90"/>
      <c r="N29" s="83"/>
      <c r="O29" s="6">
        <v>1.1120000000000001</v>
      </c>
      <c r="P29" s="19">
        <v>4.2519600000000005E-2</v>
      </c>
      <c r="Q29" s="21"/>
      <c r="R29" s="115">
        <v>9.6000000000000002E-2</v>
      </c>
      <c r="S29" s="22">
        <v>1.08</v>
      </c>
      <c r="T29" s="106">
        <v>71</v>
      </c>
    </row>
    <row r="30" spans="1:33" ht="24.95" customHeight="1" x14ac:dyDescent="0.3">
      <c r="A30" s="89"/>
      <c r="B30" s="38">
        <f t="shared" si="6"/>
        <v>1.5666666666666667</v>
      </c>
      <c r="C30" s="104">
        <f t="shared" si="0"/>
        <v>8.6999999999999994E-2</v>
      </c>
      <c r="D30" s="40">
        <f t="shared" si="1"/>
        <v>19.558382999999999</v>
      </c>
      <c r="E30" s="39">
        <f t="shared" si="7"/>
        <v>1.43</v>
      </c>
      <c r="F30" s="41">
        <f t="shared" si="8"/>
        <v>5.62992125984252E-2</v>
      </c>
      <c r="G30" s="41">
        <f t="shared" si="2"/>
        <v>56.249718933772208</v>
      </c>
      <c r="H30" s="42">
        <f t="shared" si="3"/>
        <v>8.1583503637305785</v>
      </c>
      <c r="I30" s="41">
        <f t="shared" si="4"/>
        <v>1.6903073286052006</v>
      </c>
      <c r="J30" s="43">
        <f t="shared" si="9"/>
        <v>15.466743949855612</v>
      </c>
      <c r="K30" s="109">
        <f t="shared" si="5"/>
        <v>2.3973453122276198</v>
      </c>
      <c r="L30" s="90"/>
      <c r="M30" s="90"/>
      <c r="N30" s="83"/>
      <c r="O30" s="6">
        <v>1.605</v>
      </c>
      <c r="P30" s="19">
        <v>5.6299099999999998E-2</v>
      </c>
      <c r="Q30" s="21"/>
      <c r="R30" s="115">
        <v>8.6999999999999994E-2</v>
      </c>
      <c r="S30" s="22">
        <v>1.43</v>
      </c>
      <c r="T30" s="106">
        <v>94</v>
      </c>
    </row>
    <row r="31" spans="1:33" ht="24.95" customHeight="1" x14ac:dyDescent="0.3">
      <c r="A31" s="89"/>
      <c r="B31" s="38">
        <f t="shared" si="6"/>
        <v>1.9666666666666666</v>
      </c>
      <c r="C31" s="104">
        <f t="shared" si="0"/>
        <v>7.8E-2</v>
      </c>
      <c r="D31" s="40">
        <f t="shared" si="1"/>
        <v>17.535102000000002</v>
      </c>
      <c r="E31" s="39">
        <f t="shared" si="7"/>
        <v>1.83</v>
      </c>
      <c r="F31" s="41">
        <f t="shared" si="8"/>
        <v>7.2047244094488191E-2</v>
      </c>
      <c r="G31" s="41">
        <f t="shared" si="2"/>
        <v>50.18823935182882</v>
      </c>
      <c r="H31" s="42">
        <f t="shared" si="3"/>
        <v>7.2792050970614746</v>
      </c>
      <c r="I31" s="41">
        <f t="shared" si="4"/>
        <v>2.1631205673758864</v>
      </c>
      <c r="J31" s="43">
        <f t="shared" si="9"/>
        <v>15.541489601419491</v>
      </c>
      <c r="K31" s="109">
        <f t="shared" si="5"/>
        <v>2.4089308882200209</v>
      </c>
      <c r="L31" s="90"/>
      <c r="M31" s="90"/>
      <c r="N31" s="83"/>
      <c r="O31" s="6">
        <v>2.0270000000000001</v>
      </c>
      <c r="P31" s="19">
        <v>7.2047100000000003E-2</v>
      </c>
      <c r="Q31" s="21"/>
      <c r="R31" s="115">
        <v>7.8E-2</v>
      </c>
      <c r="S31" s="22">
        <v>1.83</v>
      </c>
      <c r="T31" s="106">
        <v>118</v>
      </c>
    </row>
    <row r="32" spans="1:33" ht="24.95" customHeight="1" x14ac:dyDescent="0.3">
      <c r="A32" s="89"/>
      <c r="B32" s="38">
        <f t="shared" si="6"/>
        <v>2.35</v>
      </c>
      <c r="C32" s="104">
        <f t="shared" si="0"/>
        <v>6.8000000000000005E-2</v>
      </c>
      <c r="D32" s="40">
        <f t="shared" si="1"/>
        <v>15.287012000000001</v>
      </c>
      <c r="E32" s="39">
        <f t="shared" si="7"/>
        <v>2.2599999999999998</v>
      </c>
      <c r="F32" s="41">
        <f t="shared" si="8"/>
        <v>8.8976377952755897E-2</v>
      </c>
      <c r="G32" s="41">
        <f t="shared" si="2"/>
        <v>43.52654323528774</v>
      </c>
      <c r="H32" s="42">
        <f t="shared" si="3"/>
        <v>6.3130055859237428</v>
      </c>
      <c r="I32" s="41">
        <f t="shared" si="4"/>
        <v>2.6713947990543727</v>
      </c>
      <c r="J32" s="43">
        <f t="shared" si="9"/>
        <v>15.6226511332219</v>
      </c>
      <c r="K32" s="109">
        <f t="shared" si="5"/>
        <v>2.4215109256493945</v>
      </c>
      <c r="L32" s="90"/>
      <c r="M32" s="90"/>
      <c r="N32" s="83"/>
      <c r="O32" s="6">
        <v>2.4540000000000002</v>
      </c>
      <c r="P32" s="19">
        <v>8.8976199999999991E-2</v>
      </c>
      <c r="Q32" s="21"/>
      <c r="R32" s="115">
        <v>6.8000000000000005E-2</v>
      </c>
      <c r="S32" s="22">
        <v>2.2599999999999998</v>
      </c>
      <c r="T32" s="106">
        <v>141</v>
      </c>
    </row>
    <row r="33" spans="1:20" ht="24.95" customHeight="1" x14ac:dyDescent="0.3">
      <c r="A33" s="89"/>
      <c r="B33" s="38">
        <f t="shared" si="6"/>
        <v>2.75</v>
      </c>
      <c r="C33" s="104">
        <f t="shared" si="0"/>
        <v>6.2E-2</v>
      </c>
      <c r="D33" s="40">
        <f t="shared" si="1"/>
        <v>13.938158000000001</v>
      </c>
      <c r="E33" s="39">
        <f t="shared" si="7"/>
        <v>2.71</v>
      </c>
      <c r="F33" s="41">
        <f t="shared" si="8"/>
        <v>0.10669291338582677</v>
      </c>
      <c r="G33" s="41">
        <f t="shared" si="2"/>
        <v>39.46907635187997</v>
      </c>
      <c r="H33" s="42">
        <f t="shared" si="3"/>
        <v>5.7245184423159907</v>
      </c>
      <c r="I33" s="41">
        <f t="shared" si="4"/>
        <v>3.2033096926713944</v>
      </c>
      <c r="J33" s="43">
        <f t="shared" si="9"/>
        <v>15.708500357912948</v>
      </c>
      <c r="K33" s="109">
        <f t="shared" si="5"/>
        <v>2.4348175554765068</v>
      </c>
      <c r="L33" s="90"/>
      <c r="M33" s="90"/>
      <c r="N33" s="83"/>
      <c r="O33" s="6">
        <v>2.81</v>
      </c>
      <c r="P33" s="19">
        <v>0.1066927</v>
      </c>
      <c r="Q33" s="21"/>
      <c r="R33" s="115">
        <v>6.2E-2</v>
      </c>
      <c r="S33" s="22">
        <v>2.71</v>
      </c>
      <c r="T33" s="106">
        <v>165</v>
      </c>
    </row>
    <row r="34" spans="1:20" ht="24.95" customHeight="1" x14ac:dyDescent="0.3">
      <c r="A34" s="89"/>
      <c r="B34" s="38">
        <f t="shared" si="6"/>
        <v>3.15</v>
      </c>
      <c r="C34" s="104">
        <f>R34</f>
        <v>5.5E-2</v>
      </c>
      <c r="D34" s="40">
        <f t="shared" si="1"/>
        <v>12.364495000000002</v>
      </c>
      <c r="E34" s="39">
        <f t="shared" si="7"/>
        <v>3.12</v>
      </c>
      <c r="F34" s="41">
        <f t="shared" si="8"/>
        <v>0.12283464566929135</v>
      </c>
      <c r="G34" s="41">
        <f t="shared" si="2"/>
        <v>34.837590702577984</v>
      </c>
      <c r="H34" s="42">
        <f t="shared" si="3"/>
        <v>5.0527767279070037</v>
      </c>
      <c r="I34" s="41">
        <f t="shared" si="4"/>
        <v>3.6879432624113475</v>
      </c>
      <c r="J34" s="43">
        <f t="shared" si="9"/>
        <v>15.787544112782172</v>
      </c>
      <c r="K34" s="109">
        <f t="shared" si="5"/>
        <v>2.4470693374812367</v>
      </c>
      <c r="L34" s="90"/>
      <c r="M34" s="90"/>
      <c r="N34" s="83"/>
      <c r="O34" s="6">
        <v>3.2429999999999999</v>
      </c>
      <c r="P34" s="19">
        <v>0.12283440000000001</v>
      </c>
      <c r="Q34" s="21"/>
      <c r="R34" s="115">
        <v>5.5E-2</v>
      </c>
      <c r="S34" s="22">
        <v>3.12</v>
      </c>
      <c r="T34" s="106">
        <v>189</v>
      </c>
    </row>
    <row r="35" spans="1:20" ht="24.95" customHeight="1" x14ac:dyDescent="0.3">
      <c r="A35" s="89"/>
      <c r="B35" s="38" t="s">
        <v>1</v>
      </c>
      <c r="C35" s="104" t="s">
        <v>1</v>
      </c>
      <c r="D35" s="40" t="s">
        <v>1</v>
      </c>
      <c r="E35" s="39" t="s">
        <v>1</v>
      </c>
      <c r="F35" s="41" t="s">
        <v>1</v>
      </c>
      <c r="G35" s="41" t="s">
        <v>1</v>
      </c>
      <c r="H35" s="42" t="s">
        <v>1</v>
      </c>
      <c r="I35" s="41" t="s">
        <v>1</v>
      </c>
      <c r="J35" s="43" t="s">
        <v>1</v>
      </c>
      <c r="K35" s="109" t="s">
        <v>1</v>
      </c>
      <c r="L35" s="90"/>
      <c r="M35" s="90"/>
      <c r="N35" s="83"/>
      <c r="O35" s="6">
        <v>3.6720000000000002</v>
      </c>
      <c r="P35" s="19">
        <v>0.1374013</v>
      </c>
      <c r="Q35" s="21"/>
      <c r="R35" s="115">
        <v>4.5999999999999999E-2</v>
      </c>
      <c r="S35" s="22">
        <v>3.49</v>
      </c>
      <c r="T35" s="106">
        <v>212</v>
      </c>
    </row>
    <row r="36" spans="1:20" ht="24.95" customHeight="1" x14ac:dyDescent="0.3">
      <c r="A36" s="89"/>
      <c r="B36" s="38" t="s">
        <v>1</v>
      </c>
      <c r="C36" s="104" t="s">
        <v>1</v>
      </c>
      <c r="D36" s="40" t="s">
        <v>1</v>
      </c>
      <c r="E36" s="39" t="s">
        <v>1</v>
      </c>
      <c r="F36" s="41" t="s">
        <v>1</v>
      </c>
      <c r="G36" s="41" t="s">
        <v>1</v>
      </c>
      <c r="H36" s="42" t="s">
        <v>1</v>
      </c>
      <c r="I36" s="41" t="s">
        <v>1</v>
      </c>
      <c r="J36" s="43" t="s">
        <v>1</v>
      </c>
      <c r="K36" s="109" t="s">
        <v>1</v>
      </c>
      <c r="L36" s="90"/>
      <c r="M36" s="90"/>
      <c r="N36" s="83"/>
      <c r="O36" s="6">
        <v>4.0990000000000002</v>
      </c>
      <c r="P36" s="19">
        <v>0.15236190000000002</v>
      </c>
      <c r="Q36" s="21"/>
      <c r="R36" s="115">
        <v>0.04</v>
      </c>
      <c r="S36" s="22">
        <v>3.87</v>
      </c>
      <c r="T36" s="106">
        <v>236</v>
      </c>
    </row>
    <row r="37" spans="1:20" ht="24.95" customHeight="1" x14ac:dyDescent="0.3">
      <c r="A37" s="89"/>
      <c r="B37" s="38" t="s">
        <v>1</v>
      </c>
      <c r="C37" s="104" t="s">
        <v>1</v>
      </c>
      <c r="D37" s="40" t="s">
        <v>1</v>
      </c>
      <c r="E37" s="39" t="s">
        <v>1</v>
      </c>
      <c r="F37" s="41" t="s">
        <v>1</v>
      </c>
      <c r="G37" s="41" t="s">
        <v>1</v>
      </c>
      <c r="H37" s="42" t="s">
        <v>1</v>
      </c>
      <c r="I37" s="41" t="s">
        <v>1</v>
      </c>
      <c r="J37" s="43" t="s">
        <v>1</v>
      </c>
      <c r="K37" s="109" t="s">
        <v>1</v>
      </c>
      <c r="L37" s="90"/>
      <c r="M37" s="90"/>
      <c r="N37" s="83"/>
      <c r="O37" s="6">
        <v>4.4050000000000002</v>
      </c>
      <c r="P37" s="19">
        <v>0.16610203000000001</v>
      </c>
      <c r="Q37" s="21"/>
      <c r="R37" s="115">
        <v>3.5000000000000003E-2</v>
      </c>
      <c r="S37" s="22">
        <v>4.2190000000000003</v>
      </c>
      <c r="T37" s="106">
        <v>259</v>
      </c>
    </row>
    <row r="38" spans="1:20" ht="24.95" customHeight="1" x14ac:dyDescent="0.3">
      <c r="A38" s="89"/>
      <c r="B38" s="38" t="s">
        <v>1</v>
      </c>
      <c r="C38" s="104" t="s">
        <v>1</v>
      </c>
      <c r="D38" s="40" t="s">
        <v>1</v>
      </c>
      <c r="E38" s="39" t="s">
        <v>1</v>
      </c>
      <c r="F38" s="41" t="s">
        <v>1</v>
      </c>
      <c r="G38" s="41" t="s">
        <v>1</v>
      </c>
      <c r="H38" s="42" t="s">
        <v>1</v>
      </c>
      <c r="I38" s="41" t="s">
        <v>1</v>
      </c>
      <c r="J38" s="43" t="s">
        <v>1</v>
      </c>
      <c r="K38" s="109" t="s">
        <v>1</v>
      </c>
      <c r="L38" s="90"/>
      <c r="M38" s="90"/>
      <c r="N38" s="83"/>
      <c r="O38" s="6">
        <v>4.83</v>
      </c>
      <c r="P38" s="19">
        <v>0.18070830000000002</v>
      </c>
      <c r="Q38" s="21"/>
      <c r="R38" s="115">
        <v>0.03</v>
      </c>
      <c r="S38" s="22">
        <v>4.59</v>
      </c>
      <c r="T38" s="106">
        <v>283</v>
      </c>
    </row>
    <row r="39" spans="1:20" ht="24.95" customHeight="1" x14ac:dyDescent="0.3">
      <c r="A39" s="89"/>
      <c r="B39" s="38" t="s">
        <v>1</v>
      </c>
      <c r="C39" s="104" t="s">
        <v>1</v>
      </c>
      <c r="D39" s="40" t="s">
        <v>1</v>
      </c>
      <c r="E39" s="39" t="s">
        <v>1</v>
      </c>
      <c r="F39" s="41" t="s">
        <v>1</v>
      </c>
      <c r="G39" s="41" t="s">
        <v>1</v>
      </c>
      <c r="H39" s="42" t="s">
        <v>1</v>
      </c>
      <c r="I39" s="41" t="s">
        <v>1</v>
      </c>
      <c r="J39" s="43" t="s">
        <v>1</v>
      </c>
      <c r="K39" s="109" t="s">
        <v>1</v>
      </c>
      <c r="L39" s="90"/>
      <c r="M39" s="90"/>
      <c r="N39" s="83"/>
      <c r="O39" s="6">
        <v>5.2560000000000002</v>
      </c>
      <c r="P39" s="19">
        <v>0.19724369999999999</v>
      </c>
      <c r="Q39" s="21"/>
      <c r="R39" s="115">
        <v>2.5999999999999999E-2</v>
      </c>
      <c r="S39" s="22">
        <v>5.01</v>
      </c>
      <c r="T39" s="106">
        <v>307</v>
      </c>
    </row>
    <row r="40" spans="1:20" ht="24.95" customHeight="1" x14ac:dyDescent="0.3">
      <c r="A40" s="89"/>
      <c r="B40" s="38" t="s">
        <v>1</v>
      </c>
      <c r="C40" s="104" t="s">
        <v>1</v>
      </c>
      <c r="D40" s="40" t="s">
        <v>1</v>
      </c>
      <c r="E40" s="39" t="s">
        <v>1</v>
      </c>
      <c r="F40" s="41" t="s">
        <v>1</v>
      </c>
      <c r="G40" s="41" t="s">
        <v>1</v>
      </c>
      <c r="H40" s="42" t="s">
        <v>1</v>
      </c>
      <c r="I40" s="41" t="s">
        <v>1</v>
      </c>
      <c r="J40" s="43" t="s">
        <v>1</v>
      </c>
      <c r="K40" s="109" t="s">
        <v>1</v>
      </c>
      <c r="L40" s="90"/>
      <c r="M40" s="90"/>
      <c r="N40" s="83"/>
      <c r="O40" s="6">
        <v>5.593</v>
      </c>
      <c r="P40" s="19">
        <v>0.21456650000000002</v>
      </c>
      <c r="Q40" s="21"/>
      <c r="R40" s="115">
        <v>2.3E-2</v>
      </c>
      <c r="S40" s="22">
        <v>5.45</v>
      </c>
      <c r="T40" s="106">
        <v>330</v>
      </c>
    </row>
    <row r="41" spans="1:20" ht="24.95" customHeight="1" x14ac:dyDescent="0.3">
      <c r="A41" s="89"/>
      <c r="B41" s="38" t="s">
        <v>1</v>
      </c>
      <c r="C41" s="104" t="s">
        <v>1</v>
      </c>
      <c r="D41" s="40" t="s">
        <v>1</v>
      </c>
      <c r="E41" s="39" t="s">
        <v>1</v>
      </c>
      <c r="F41" s="41" t="s">
        <v>1</v>
      </c>
      <c r="G41" s="41" t="s">
        <v>1</v>
      </c>
      <c r="H41" s="42" t="s">
        <v>1</v>
      </c>
      <c r="I41" s="41" t="s">
        <v>1</v>
      </c>
      <c r="J41" s="43" t="s">
        <v>1</v>
      </c>
      <c r="K41" s="109" t="s">
        <v>1</v>
      </c>
      <c r="L41" s="90"/>
      <c r="M41" s="90"/>
      <c r="N41" s="83"/>
      <c r="O41" s="6">
        <v>6.0650000000000004</v>
      </c>
      <c r="P41" s="19">
        <v>0.23188929999999999</v>
      </c>
      <c r="Q41" s="21"/>
      <c r="R41" s="115">
        <v>2.3E-2</v>
      </c>
      <c r="S41" s="22">
        <v>5.89</v>
      </c>
      <c r="T41" s="106">
        <v>354</v>
      </c>
    </row>
    <row r="42" spans="1:20" ht="24.95" customHeight="1" x14ac:dyDescent="0.3">
      <c r="A42" s="89"/>
      <c r="B42" s="38" t="s">
        <v>1</v>
      </c>
      <c r="C42" s="104" t="s">
        <v>1</v>
      </c>
      <c r="D42" s="40" t="s">
        <v>1</v>
      </c>
      <c r="E42" s="39" t="s">
        <v>1</v>
      </c>
      <c r="F42" s="41" t="s">
        <v>1</v>
      </c>
      <c r="G42" s="41" t="s">
        <v>1</v>
      </c>
      <c r="H42" s="42" t="s">
        <v>1</v>
      </c>
      <c r="I42" s="41" t="s">
        <v>1</v>
      </c>
      <c r="J42" s="43" t="s">
        <v>1</v>
      </c>
      <c r="K42" s="109" t="s">
        <v>1</v>
      </c>
      <c r="L42" s="90"/>
      <c r="M42" s="90"/>
      <c r="N42" s="83"/>
      <c r="O42" s="6">
        <v>6.5289999999999999</v>
      </c>
      <c r="P42" s="19">
        <v>0.24606250000000002</v>
      </c>
      <c r="Q42" s="21"/>
      <c r="R42" s="115">
        <v>2.1999999999999999E-2</v>
      </c>
      <c r="S42" s="22">
        <v>6.25</v>
      </c>
      <c r="T42" s="106">
        <v>377</v>
      </c>
    </row>
    <row r="43" spans="1:20" ht="24.95" customHeight="1" x14ac:dyDescent="0.3">
      <c r="A43" s="89"/>
      <c r="B43" s="38" t="s">
        <v>1</v>
      </c>
      <c r="C43" s="104" t="s">
        <v>1</v>
      </c>
      <c r="D43" s="40" t="s">
        <v>1</v>
      </c>
      <c r="E43" s="39" t="s">
        <v>1</v>
      </c>
      <c r="F43" s="41" t="s">
        <v>1</v>
      </c>
      <c r="G43" s="41" t="s">
        <v>1</v>
      </c>
      <c r="H43" s="42" t="s">
        <v>1</v>
      </c>
      <c r="I43" s="41" t="s">
        <v>1</v>
      </c>
      <c r="J43" s="43" t="s">
        <v>1</v>
      </c>
      <c r="K43" s="109" t="s">
        <v>1</v>
      </c>
      <c r="L43" s="90"/>
      <c r="M43" s="90"/>
      <c r="N43" s="83"/>
      <c r="O43" s="6">
        <v>6.9450000000000003</v>
      </c>
      <c r="P43" s="19">
        <v>0.26102310000000001</v>
      </c>
      <c r="Q43" s="21"/>
      <c r="R43" s="115">
        <v>2.1000000000000001E-2</v>
      </c>
      <c r="S43" s="22">
        <v>6.63</v>
      </c>
      <c r="T43" s="106">
        <v>401</v>
      </c>
    </row>
    <row r="44" spans="1:20" ht="24.95" customHeight="1" x14ac:dyDescent="0.3">
      <c r="A44" s="89"/>
      <c r="B44" s="38" t="s">
        <v>1</v>
      </c>
      <c r="C44" s="104" t="s">
        <v>1</v>
      </c>
      <c r="D44" s="40" t="s">
        <v>1</v>
      </c>
      <c r="E44" s="39" t="s">
        <v>1</v>
      </c>
      <c r="F44" s="41" t="s">
        <v>1</v>
      </c>
      <c r="G44" s="41" t="s">
        <v>1</v>
      </c>
      <c r="H44" s="42" t="s">
        <v>1</v>
      </c>
      <c r="I44" s="41" t="s">
        <v>1</v>
      </c>
      <c r="J44" s="43" t="s">
        <v>1</v>
      </c>
      <c r="K44" s="109" t="s">
        <v>1</v>
      </c>
      <c r="L44" s="90"/>
      <c r="M44" s="90"/>
      <c r="N44" s="83"/>
      <c r="O44" s="6">
        <v>7.2439999999999998</v>
      </c>
      <c r="P44" s="19">
        <v>0.27480260000000001</v>
      </c>
      <c r="Q44" s="21"/>
      <c r="R44" s="115">
        <v>0.02</v>
      </c>
      <c r="S44" s="22">
        <v>6.98</v>
      </c>
      <c r="T44" s="106">
        <v>424</v>
      </c>
    </row>
    <row r="45" spans="1:20" ht="24.95" customHeight="1" x14ac:dyDescent="0.3">
      <c r="A45" s="89"/>
      <c r="B45" s="38" t="s">
        <v>1</v>
      </c>
      <c r="C45" s="104" t="s">
        <v>1</v>
      </c>
      <c r="D45" s="40" t="s">
        <v>1</v>
      </c>
      <c r="E45" s="39" t="s">
        <v>1</v>
      </c>
      <c r="F45" s="41" t="s">
        <v>1</v>
      </c>
      <c r="G45" s="41" t="s">
        <v>1</v>
      </c>
      <c r="H45" s="42" t="s">
        <v>1</v>
      </c>
      <c r="I45" s="41" t="s">
        <v>1</v>
      </c>
      <c r="J45" s="43" t="s">
        <v>1</v>
      </c>
      <c r="K45" s="109" t="s">
        <v>1</v>
      </c>
      <c r="L45" s="90"/>
      <c r="M45" s="90"/>
      <c r="N45" s="83"/>
      <c r="O45" s="6">
        <v>7.7009999999999996</v>
      </c>
      <c r="P45" s="19">
        <v>0.2893695</v>
      </c>
      <c r="Q45" s="21"/>
      <c r="R45" s="115">
        <v>1.7999999999999999E-2</v>
      </c>
      <c r="S45" s="22">
        <v>7.35</v>
      </c>
      <c r="T45" s="106">
        <v>448</v>
      </c>
    </row>
    <row r="46" spans="1:20" ht="24.95" customHeight="1" x14ac:dyDescent="0.3">
      <c r="A46" s="89"/>
      <c r="B46" s="38" t="s">
        <v>1</v>
      </c>
      <c r="C46" s="104" t="s">
        <v>1</v>
      </c>
      <c r="D46" s="40" t="s">
        <v>1</v>
      </c>
      <c r="E46" s="39" t="s">
        <v>1</v>
      </c>
      <c r="F46" s="41" t="s">
        <v>1</v>
      </c>
      <c r="G46" s="41" t="s">
        <v>1</v>
      </c>
      <c r="H46" s="42" t="s">
        <v>1</v>
      </c>
      <c r="I46" s="41" t="s">
        <v>1</v>
      </c>
      <c r="J46" s="43" t="s">
        <v>1</v>
      </c>
      <c r="K46" s="109" t="s">
        <v>1</v>
      </c>
      <c r="L46" s="90"/>
      <c r="M46" s="90"/>
      <c r="N46" s="83"/>
      <c r="O46" s="6">
        <v>8.1920000000000002</v>
      </c>
      <c r="P46" s="19">
        <v>0.30551119999999998</v>
      </c>
      <c r="Q46" s="21"/>
      <c r="R46" s="115">
        <v>1.7000000000000001E-2</v>
      </c>
      <c r="S46" s="22">
        <v>7.76</v>
      </c>
      <c r="T46" s="106">
        <v>472</v>
      </c>
    </row>
    <row r="47" spans="1:20" ht="24.95" customHeight="1" x14ac:dyDescent="0.3">
      <c r="A47" s="89"/>
      <c r="B47" s="38" t="s">
        <v>1</v>
      </c>
      <c r="C47" s="104" t="s">
        <v>1</v>
      </c>
      <c r="D47" s="40" t="s">
        <v>1</v>
      </c>
      <c r="E47" s="39" t="s">
        <v>1</v>
      </c>
      <c r="F47" s="41" t="s">
        <v>1</v>
      </c>
      <c r="G47" s="41" t="s">
        <v>1</v>
      </c>
      <c r="H47" s="42" t="s">
        <v>1</v>
      </c>
      <c r="I47" s="41" t="s">
        <v>1</v>
      </c>
      <c r="J47" s="43" t="s">
        <v>1</v>
      </c>
      <c r="K47" s="109" t="s">
        <v>1</v>
      </c>
      <c r="L47" s="90"/>
      <c r="M47" s="90"/>
      <c r="N47" s="83"/>
      <c r="O47" s="6">
        <v>8.5820000000000007</v>
      </c>
      <c r="P47" s="19">
        <v>0.32244030000000001</v>
      </c>
      <c r="Q47" s="21"/>
      <c r="R47" s="115">
        <v>1.6E-2</v>
      </c>
      <c r="S47" s="22">
        <v>8.19</v>
      </c>
      <c r="T47" s="106">
        <v>495</v>
      </c>
    </row>
    <row r="48" spans="1:20" ht="24.95" customHeight="1" x14ac:dyDescent="0.3">
      <c r="A48" s="89"/>
      <c r="B48" s="38" t="s">
        <v>1</v>
      </c>
      <c r="C48" s="104" t="s">
        <v>1</v>
      </c>
      <c r="D48" s="40" t="s">
        <v>1</v>
      </c>
      <c r="E48" s="39" t="s">
        <v>1</v>
      </c>
      <c r="F48" s="41" t="s">
        <v>1</v>
      </c>
      <c r="G48" s="41" t="s">
        <v>1</v>
      </c>
      <c r="H48" s="42" t="s">
        <v>1</v>
      </c>
      <c r="I48" s="41" t="s">
        <v>1</v>
      </c>
      <c r="J48" s="43" t="s">
        <v>1</v>
      </c>
      <c r="K48" s="109" t="s">
        <v>1</v>
      </c>
      <c r="L48" s="90"/>
      <c r="M48" s="90"/>
      <c r="N48" s="83"/>
      <c r="O48" s="6">
        <v>9.0809999999999995</v>
      </c>
      <c r="P48" s="19">
        <v>0.34133790000000003</v>
      </c>
      <c r="Q48" s="21"/>
      <c r="R48" s="115">
        <v>1.4E-2</v>
      </c>
      <c r="S48" s="22">
        <v>8.67</v>
      </c>
      <c r="T48" s="106">
        <v>519</v>
      </c>
    </row>
    <row r="49" spans="1:20" ht="24.95" customHeight="1" x14ac:dyDescent="0.3">
      <c r="A49" s="89"/>
      <c r="B49" s="38" t="s">
        <v>1</v>
      </c>
      <c r="C49" s="104" t="s">
        <v>1</v>
      </c>
      <c r="D49" s="40" t="s">
        <v>1</v>
      </c>
      <c r="E49" s="39" t="s">
        <v>1</v>
      </c>
      <c r="F49" s="41" t="s">
        <v>1</v>
      </c>
      <c r="G49" s="41" t="s">
        <v>1</v>
      </c>
      <c r="H49" s="42" t="s">
        <v>1</v>
      </c>
      <c r="I49" s="41" t="s">
        <v>1</v>
      </c>
      <c r="J49" s="43" t="s">
        <v>1</v>
      </c>
      <c r="K49" s="109" t="s">
        <v>1</v>
      </c>
      <c r="L49" s="90"/>
      <c r="M49" s="90"/>
      <c r="N49" s="83"/>
      <c r="O49" s="6">
        <v>9.5820000000000007</v>
      </c>
      <c r="P49" s="19">
        <v>0.35669220000000001</v>
      </c>
      <c r="Q49" s="21"/>
      <c r="R49" s="115">
        <v>1.2999999999999999E-2</v>
      </c>
      <c r="S49" s="22">
        <v>9.06</v>
      </c>
      <c r="T49" s="106">
        <v>542</v>
      </c>
    </row>
    <row r="50" spans="1:20" ht="24.95" customHeight="1" x14ac:dyDescent="0.3">
      <c r="A50" s="89"/>
      <c r="B50" s="38" t="s">
        <v>1</v>
      </c>
      <c r="C50" s="104" t="s">
        <v>1</v>
      </c>
      <c r="D50" s="40" t="s">
        <v>1</v>
      </c>
      <c r="E50" s="39" t="s">
        <v>1</v>
      </c>
      <c r="F50" s="41" t="s">
        <v>1</v>
      </c>
      <c r="G50" s="41" t="s">
        <v>1</v>
      </c>
      <c r="H50" s="42" t="s">
        <v>1</v>
      </c>
      <c r="I50" s="41" t="s">
        <v>1</v>
      </c>
      <c r="J50" s="43" t="s">
        <v>1</v>
      </c>
      <c r="K50" s="109" t="s">
        <v>1</v>
      </c>
      <c r="L50" s="90"/>
      <c r="M50" s="90"/>
      <c r="N50" s="83"/>
      <c r="O50" s="6">
        <v>10.092000000000001</v>
      </c>
      <c r="P50" s="19">
        <v>0.37086540000000001</v>
      </c>
      <c r="Q50" s="21"/>
      <c r="R50" s="115">
        <v>1.0999999999999999E-2</v>
      </c>
      <c r="S50" s="22">
        <v>9.42</v>
      </c>
      <c r="T50" s="106">
        <v>566</v>
      </c>
    </row>
    <row r="51" spans="1:20" ht="24.95" customHeight="1" x14ac:dyDescent="0.3">
      <c r="A51" s="89"/>
      <c r="B51" s="38" t="s">
        <v>1</v>
      </c>
      <c r="C51" s="104" t="s">
        <v>1</v>
      </c>
      <c r="D51" s="40" t="s">
        <v>1</v>
      </c>
      <c r="E51" s="39" t="s">
        <v>1</v>
      </c>
      <c r="F51" s="41" t="s">
        <v>1</v>
      </c>
      <c r="G51" s="41" t="s">
        <v>1</v>
      </c>
      <c r="H51" s="42" t="s">
        <v>1</v>
      </c>
      <c r="I51" s="41" t="s">
        <v>1</v>
      </c>
      <c r="J51" s="43" t="s">
        <v>1</v>
      </c>
      <c r="K51" s="109" t="s">
        <v>1</v>
      </c>
      <c r="L51" s="90"/>
      <c r="M51" s="90"/>
      <c r="N51" s="83"/>
      <c r="O51" s="6">
        <v>10.505000000000001</v>
      </c>
      <c r="P51" s="19">
        <v>0.38499923000000003</v>
      </c>
      <c r="Q51" s="21"/>
      <c r="R51" s="115">
        <v>8.9999999999999993E-3</v>
      </c>
      <c r="S51" s="22">
        <v>9.7789999999999999</v>
      </c>
      <c r="T51" s="106">
        <v>589</v>
      </c>
    </row>
    <row r="52" spans="1:20" ht="24.95" customHeight="1" x14ac:dyDescent="0.3">
      <c r="A52" s="89"/>
      <c r="B52" s="38" t="s">
        <v>1</v>
      </c>
      <c r="C52" s="104" t="s">
        <v>1</v>
      </c>
      <c r="D52" s="40" t="s">
        <v>1</v>
      </c>
      <c r="E52" s="39" t="s">
        <v>1</v>
      </c>
      <c r="F52" s="41" t="s">
        <v>1</v>
      </c>
      <c r="G52" s="41" t="s">
        <v>1</v>
      </c>
      <c r="H52" s="42" t="s">
        <v>1</v>
      </c>
      <c r="I52" s="41" t="s">
        <v>1</v>
      </c>
      <c r="J52" s="43" t="s">
        <v>1</v>
      </c>
      <c r="K52" s="109" t="s">
        <v>1</v>
      </c>
      <c r="L52" s="90"/>
      <c r="M52" s="90"/>
      <c r="N52" s="83"/>
      <c r="O52" s="6">
        <v>11.025</v>
      </c>
      <c r="P52" s="19">
        <v>0.39960550000000006</v>
      </c>
      <c r="Q52" s="21"/>
      <c r="R52" s="115">
        <v>8.0000000000000002E-3</v>
      </c>
      <c r="S52" s="22">
        <v>10.15</v>
      </c>
      <c r="T52" s="106">
        <v>613</v>
      </c>
    </row>
    <row r="53" spans="1:20" ht="24.95" customHeight="1" x14ac:dyDescent="0.3">
      <c r="A53" s="89"/>
      <c r="B53" s="38" t="s">
        <v>1</v>
      </c>
      <c r="C53" s="104" t="s">
        <v>1</v>
      </c>
      <c r="D53" s="40" t="s">
        <v>1</v>
      </c>
      <c r="E53" s="39" t="s">
        <v>1</v>
      </c>
      <c r="F53" s="41" t="s">
        <v>1</v>
      </c>
      <c r="G53" s="41" t="s">
        <v>1</v>
      </c>
      <c r="H53" s="42" t="s">
        <v>1</v>
      </c>
      <c r="I53" s="41" t="s">
        <v>1</v>
      </c>
      <c r="J53" s="43" t="s">
        <v>1</v>
      </c>
      <c r="K53" s="109" t="s">
        <v>1</v>
      </c>
      <c r="L53" s="90"/>
      <c r="M53" s="90"/>
      <c r="N53" s="83"/>
      <c r="O53" s="6">
        <v>11.539</v>
      </c>
      <c r="P53" s="19">
        <v>0.41495979999999999</v>
      </c>
      <c r="Q53" s="21"/>
      <c r="R53" s="115">
        <v>7.0000000000000001E-3</v>
      </c>
      <c r="S53" s="22">
        <v>10.54</v>
      </c>
      <c r="T53" s="106">
        <v>637</v>
      </c>
    </row>
    <row r="54" spans="1:20" ht="24.95" customHeight="1" x14ac:dyDescent="0.3">
      <c r="A54" s="89"/>
      <c r="B54" s="38" t="s">
        <v>1</v>
      </c>
      <c r="C54" s="104" t="s">
        <v>1</v>
      </c>
      <c r="D54" s="40" t="s">
        <v>1</v>
      </c>
      <c r="E54" s="39" t="s">
        <v>1</v>
      </c>
      <c r="F54" s="41" t="s">
        <v>1</v>
      </c>
      <c r="G54" s="41" t="s">
        <v>1</v>
      </c>
      <c r="H54" s="42" t="s">
        <v>1</v>
      </c>
      <c r="I54" s="41" t="s">
        <v>1</v>
      </c>
      <c r="J54" s="43" t="s">
        <v>1</v>
      </c>
      <c r="K54" s="109" t="s">
        <v>1</v>
      </c>
      <c r="L54" s="90"/>
      <c r="M54" s="90"/>
      <c r="N54" s="83"/>
      <c r="O54" s="6">
        <v>12.015000000000001</v>
      </c>
      <c r="P54" s="19">
        <v>0.43031410000000003</v>
      </c>
      <c r="Q54" s="21"/>
      <c r="R54" s="115">
        <v>6.0000000000000001E-3</v>
      </c>
      <c r="S54" s="22">
        <v>10.93</v>
      </c>
      <c r="T54" s="106">
        <v>660</v>
      </c>
    </row>
    <row r="55" spans="1:20" ht="24.95" customHeight="1" x14ac:dyDescent="0.3">
      <c r="A55" s="89"/>
      <c r="B55" s="38" t="s">
        <v>1</v>
      </c>
      <c r="C55" s="104" t="s">
        <v>1</v>
      </c>
      <c r="D55" s="40" t="s">
        <v>1</v>
      </c>
      <c r="E55" s="39" t="s">
        <v>1</v>
      </c>
      <c r="F55" s="41" t="s">
        <v>1</v>
      </c>
      <c r="G55" s="41" t="s">
        <v>1</v>
      </c>
      <c r="H55" s="42" t="s">
        <v>1</v>
      </c>
      <c r="I55" s="41" t="s">
        <v>1</v>
      </c>
      <c r="J55" s="43" t="s">
        <v>1</v>
      </c>
      <c r="K55" s="109" t="s">
        <v>1</v>
      </c>
      <c r="L55" s="90"/>
      <c r="M55" s="90"/>
      <c r="N55" s="83"/>
      <c r="O55" s="6">
        <v>12.36</v>
      </c>
      <c r="P55" s="19">
        <v>0.44881800000000005</v>
      </c>
      <c r="Q55" s="21"/>
      <c r="R55" s="115">
        <v>5.0000000000000001E-3</v>
      </c>
      <c r="S55" s="22">
        <v>11.4</v>
      </c>
      <c r="T55" s="106">
        <v>684</v>
      </c>
    </row>
    <row r="56" spans="1:20" ht="24.95" customHeight="1" x14ac:dyDescent="0.3">
      <c r="A56" s="89"/>
      <c r="B56" s="38" t="s">
        <v>1</v>
      </c>
      <c r="C56" s="104" t="s">
        <v>1</v>
      </c>
      <c r="D56" s="40" t="s">
        <v>1</v>
      </c>
      <c r="E56" s="39" t="s">
        <v>1</v>
      </c>
      <c r="F56" s="41" t="s">
        <v>1</v>
      </c>
      <c r="G56" s="41" t="s">
        <v>1</v>
      </c>
      <c r="H56" s="42" t="s">
        <v>1</v>
      </c>
      <c r="I56" s="41" t="s">
        <v>1</v>
      </c>
      <c r="J56" s="43" t="s">
        <v>1</v>
      </c>
      <c r="K56" s="109" t="s">
        <v>1</v>
      </c>
      <c r="L56" s="90"/>
      <c r="M56" s="90"/>
      <c r="N56" s="83"/>
      <c r="O56" s="6">
        <v>12.875999999999999</v>
      </c>
      <c r="P56" s="19">
        <v>0.46692820000000002</v>
      </c>
      <c r="Q56" s="21"/>
      <c r="R56" s="115">
        <v>5.0000000000000001E-3</v>
      </c>
      <c r="S56" s="22">
        <v>11.86</v>
      </c>
      <c r="T56" s="106">
        <v>707</v>
      </c>
    </row>
    <row r="57" spans="1:20" ht="24.95" customHeight="1" x14ac:dyDescent="0.3">
      <c r="A57" s="89"/>
      <c r="B57" s="38" t="s">
        <v>1</v>
      </c>
      <c r="C57" s="104" t="s">
        <v>1</v>
      </c>
      <c r="D57" s="40" t="s">
        <v>1</v>
      </c>
      <c r="E57" s="39" t="s">
        <v>1</v>
      </c>
      <c r="F57" s="41" t="s">
        <v>1</v>
      </c>
      <c r="G57" s="41" t="s">
        <v>1</v>
      </c>
      <c r="H57" s="42" t="s">
        <v>1</v>
      </c>
      <c r="I57" s="41" t="s">
        <v>1</v>
      </c>
      <c r="J57" s="43" t="s">
        <v>1</v>
      </c>
      <c r="K57" s="109" t="s">
        <v>1</v>
      </c>
      <c r="L57" s="90"/>
      <c r="M57" s="90"/>
      <c r="N57" s="83"/>
      <c r="O57" s="6"/>
      <c r="P57" s="19">
        <v>0.48149510000000006</v>
      </c>
      <c r="Q57" s="21"/>
      <c r="R57" s="115">
        <v>4.0000000000000001E-3</v>
      </c>
      <c r="S57" s="22">
        <v>12.23</v>
      </c>
      <c r="T57" s="106">
        <v>731</v>
      </c>
    </row>
    <row r="58" spans="1:20" ht="24.95" customHeight="1" x14ac:dyDescent="0.3">
      <c r="A58" s="89"/>
      <c r="B58" s="38" t="s">
        <v>1</v>
      </c>
      <c r="C58" s="104" t="s">
        <v>1</v>
      </c>
      <c r="D58" s="40" t="s">
        <v>1</v>
      </c>
      <c r="E58" s="39" t="s">
        <v>1</v>
      </c>
      <c r="F58" s="41" t="s">
        <v>1</v>
      </c>
      <c r="G58" s="41" t="s">
        <v>1</v>
      </c>
      <c r="H58" s="42" t="s">
        <v>1</v>
      </c>
      <c r="I58" s="41" t="s">
        <v>1</v>
      </c>
      <c r="J58" s="43" t="s">
        <v>1</v>
      </c>
      <c r="K58" s="109" t="s">
        <v>1</v>
      </c>
      <c r="L58" s="90"/>
      <c r="M58" s="90"/>
      <c r="N58" s="83"/>
      <c r="O58" s="6"/>
      <c r="P58" s="19">
        <v>0.49527460000000001</v>
      </c>
      <c r="Q58" s="21"/>
      <c r="R58" s="115">
        <v>2E-3</v>
      </c>
      <c r="S58" s="22">
        <v>12.58</v>
      </c>
      <c r="T58" s="106">
        <v>754</v>
      </c>
    </row>
    <row r="59" spans="1:20" ht="24.95" customHeight="1" thickBot="1" x14ac:dyDescent="0.35">
      <c r="A59" s="89"/>
      <c r="B59" s="44" t="s">
        <v>1</v>
      </c>
      <c r="C59" s="105" t="s">
        <v>1</v>
      </c>
      <c r="D59" s="45" t="s">
        <v>1</v>
      </c>
      <c r="E59" s="46" t="s">
        <v>1</v>
      </c>
      <c r="F59" s="47" t="s">
        <v>1</v>
      </c>
      <c r="G59" s="47" t="s">
        <v>1</v>
      </c>
      <c r="H59" s="48" t="s">
        <v>1</v>
      </c>
      <c r="I59" s="47" t="s">
        <v>1</v>
      </c>
      <c r="J59" s="49" t="s">
        <v>1</v>
      </c>
      <c r="K59" s="110" t="s">
        <v>1</v>
      </c>
      <c r="L59" s="90"/>
      <c r="M59" s="90"/>
      <c r="N59" s="83"/>
      <c r="O59" s="6"/>
      <c r="P59" s="21"/>
      <c r="Q59" s="21"/>
      <c r="R59" s="116"/>
      <c r="S59" s="22"/>
      <c r="T59" s="107"/>
    </row>
    <row r="60" spans="1:20" ht="9.75" customHeight="1" x14ac:dyDescent="0.2">
      <c r="A60" s="58"/>
      <c r="B60" s="91"/>
      <c r="C60" s="91"/>
      <c r="D60" s="91"/>
      <c r="E60" s="91"/>
      <c r="F60" s="91"/>
      <c r="G60" s="25"/>
      <c r="H60" s="25"/>
      <c r="I60" s="25"/>
      <c r="J60" s="25"/>
      <c r="K60" s="25"/>
      <c r="L60" s="25"/>
      <c r="M60" s="25"/>
      <c r="N60" s="62"/>
      <c r="S60" s="24">
        <f t="shared" ref="S60:S68" si="10">B60/25.4</f>
        <v>0</v>
      </c>
    </row>
    <row r="61" spans="1:20" ht="24.95" customHeight="1" x14ac:dyDescent="0.2">
      <c r="A61" s="58"/>
      <c r="B61" s="91"/>
      <c r="C61" s="91"/>
      <c r="D61" s="91"/>
      <c r="E61" s="91"/>
      <c r="F61" s="91"/>
      <c r="G61" s="25"/>
      <c r="H61" s="25"/>
      <c r="I61" s="59"/>
      <c r="J61" s="59"/>
      <c r="K61" s="59"/>
      <c r="L61" s="59"/>
      <c r="M61" s="59"/>
      <c r="N61" s="62"/>
      <c r="S61" s="24">
        <f t="shared" si="10"/>
        <v>0</v>
      </c>
    </row>
    <row r="62" spans="1:20" ht="24.95" customHeight="1" x14ac:dyDescent="0.3">
      <c r="A62" s="58"/>
      <c r="B62" s="91"/>
      <c r="C62" s="91"/>
      <c r="D62" s="91"/>
      <c r="E62" s="91"/>
      <c r="F62" s="91"/>
      <c r="G62" s="25"/>
      <c r="H62" s="200" t="s">
        <v>75</v>
      </c>
      <c r="I62" s="200"/>
      <c r="J62" s="200"/>
      <c r="K62" s="200"/>
      <c r="L62" s="217">
        <f>MAX(G26:G59)</f>
        <v>62.329855680370891</v>
      </c>
      <c r="M62" s="217"/>
      <c r="N62" s="218"/>
      <c r="S62" s="24">
        <f t="shared" si="10"/>
        <v>0</v>
      </c>
    </row>
    <row r="63" spans="1:20" ht="24.95" customHeight="1" x14ac:dyDescent="0.3">
      <c r="A63" s="58"/>
      <c r="B63" s="25"/>
      <c r="C63" s="25"/>
      <c r="D63" s="25"/>
      <c r="E63" s="25"/>
      <c r="F63" s="25"/>
      <c r="G63" s="25"/>
      <c r="H63" s="25"/>
      <c r="I63" s="216" t="s">
        <v>76</v>
      </c>
      <c r="J63" s="216"/>
      <c r="K63" s="216"/>
      <c r="L63" s="217">
        <f>L62*0.5</f>
        <v>31.164927840185445</v>
      </c>
      <c r="M63" s="217"/>
      <c r="N63" s="218"/>
      <c r="S63" s="24">
        <f t="shared" si="10"/>
        <v>0</v>
      </c>
    </row>
    <row r="64" spans="1:20" ht="24.95" customHeight="1" x14ac:dyDescent="0.3">
      <c r="A64" s="58"/>
      <c r="B64" s="25"/>
      <c r="C64" s="25"/>
      <c r="D64" s="25"/>
      <c r="E64" s="25"/>
      <c r="F64" s="25"/>
      <c r="G64" s="25"/>
      <c r="H64" s="25"/>
      <c r="I64" s="216" t="s">
        <v>85</v>
      </c>
      <c r="J64" s="216"/>
      <c r="K64" s="216"/>
      <c r="L64" s="217">
        <f>IF((C18)*10="","",(G28-G27)/(I28-I27))*100</f>
        <v>5630.1105555585973</v>
      </c>
      <c r="M64" s="217"/>
      <c r="N64" s="218"/>
      <c r="P64" s="23">
        <f>SLOPE(G26:G28,E26:E28)</f>
        <v>87.161191021995194</v>
      </c>
      <c r="S64" s="24">
        <f t="shared" si="10"/>
        <v>0</v>
      </c>
    </row>
    <row r="65" spans="1:19" ht="24.95" customHeight="1" x14ac:dyDescent="0.3">
      <c r="A65" s="58"/>
      <c r="B65" s="25"/>
      <c r="C65" s="25"/>
      <c r="D65" s="25"/>
      <c r="E65" s="25"/>
      <c r="F65" s="25"/>
      <c r="G65" s="25"/>
      <c r="H65" s="25"/>
      <c r="I65" s="213"/>
      <c r="J65" s="213"/>
      <c r="K65" s="213"/>
      <c r="L65" s="122"/>
      <c r="M65" s="122"/>
      <c r="N65" s="83"/>
      <c r="S65" s="24">
        <f t="shared" si="10"/>
        <v>0</v>
      </c>
    </row>
    <row r="66" spans="1:19" ht="24.95" customHeight="1" x14ac:dyDescent="0.2">
      <c r="A66" s="58"/>
      <c r="B66" s="25"/>
      <c r="C66" s="25"/>
      <c r="D66" s="25"/>
      <c r="E66" s="25"/>
      <c r="F66" s="25"/>
      <c r="G66" s="25"/>
      <c r="H66" s="25"/>
      <c r="I66" s="214" t="s">
        <v>72</v>
      </c>
      <c r="J66" s="214"/>
      <c r="K66" s="214" t="s">
        <v>73</v>
      </c>
      <c r="L66" s="214"/>
      <c r="M66" s="214"/>
      <c r="N66" s="215"/>
      <c r="S66" s="24">
        <f t="shared" si="10"/>
        <v>0</v>
      </c>
    </row>
    <row r="67" spans="1:19" ht="24.95" customHeight="1" x14ac:dyDescent="0.2">
      <c r="A67" s="58"/>
      <c r="B67" s="25"/>
      <c r="C67" s="25"/>
      <c r="D67" s="25"/>
      <c r="E67" s="25"/>
      <c r="F67" s="25"/>
      <c r="G67" s="25"/>
      <c r="H67" s="25"/>
      <c r="I67" s="27"/>
      <c r="J67" s="27"/>
      <c r="K67" s="27"/>
      <c r="L67" s="27"/>
      <c r="M67" s="27"/>
      <c r="N67" s="28"/>
      <c r="S67" s="24">
        <f t="shared" si="10"/>
        <v>0</v>
      </c>
    </row>
    <row r="68" spans="1:19" ht="24.95" customHeight="1" x14ac:dyDescent="0.2">
      <c r="A68" s="58"/>
      <c r="B68" s="25"/>
      <c r="C68" s="25"/>
      <c r="D68" s="25"/>
      <c r="E68" s="25"/>
      <c r="F68" s="25"/>
      <c r="G68" s="25"/>
      <c r="H68" s="25"/>
      <c r="I68" s="27"/>
      <c r="J68" s="27"/>
      <c r="K68" s="27"/>
      <c r="L68" s="27"/>
      <c r="M68" s="27"/>
      <c r="N68" s="28"/>
      <c r="S68" s="24">
        <f t="shared" si="10"/>
        <v>0</v>
      </c>
    </row>
    <row r="69" spans="1:19" ht="24.95" customHeight="1" x14ac:dyDescent="0.2">
      <c r="A69" s="58"/>
      <c r="B69" s="25"/>
      <c r="C69" s="25"/>
      <c r="D69" s="25"/>
      <c r="E69" s="25"/>
      <c r="F69" s="25"/>
      <c r="G69" s="25"/>
      <c r="H69" s="25"/>
      <c r="I69" s="27"/>
      <c r="J69" s="27"/>
      <c r="K69" s="27"/>
      <c r="L69" s="27"/>
      <c r="M69" s="27"/>
      <c r="N69" s="28"/>
      <c r="S69" s="24"/>
    </row>
    <row r="70" spans="1:19" ht="24.95" customHeight="1" x14ac:dyDescent="0.2">
      <c r="A70" s="58"/>
      <c r="B70" s="25"/>
      <c r="C70" s="25"/>
      <c r="D70" s="25"/>
      <c r="E70" s="25"/>
      <c r="F70" s="25"/>
      <c r="G70" s="25"/>
      <c r="H70" s="25"/>
      <c r="I70" s="92"/>
      <c r="J70" s="92"/>
      <c r="K70" s="92"/>
      <c r="L70" s="29"/>
      <c r="M70" s="29"/>
      <c r="N70" s="30"/>
      <c r="S70" s="24"/>
    </row>
    <row r="71" spans="1:19" ht="24.95" customHeight="1" x14ac:dyDescent="0.2">
      <c r="A71" s="58"/>
      <c r="B71" s="25"/>
      <c r="C71" s="25"/>
      <c r="D71" s="25"/>
      <c r="E71" s="25"/>
      <c r="F71" s="25"/>
      <c r="G71" s="25"/>
      <c r="H71" s="25"/>
      <c r="I71" s="214" t="s">
        <v>62</v>
      </c>
      <c r="J71" s="214"/>
      <c r="K71" s="214" t="s">
        <v>88</v>
      </c>
      <c r="L71" s="214"/>
      <c r="M71" s="214"/>
      <c r="N71" s="215"/>
      <c r="S71" s="24">
        <f>B71/25.4</f>
        <v>0</v>
      </c>
    </row>
    <row r="72" spans="1:19" ht="24.95" customHeight="1" x14ac:dyDescent="0.2">
      <c r="A72" s="58"/>
      <c r="B72" s="25"/>
      <c r="C72" s="25"/>
      <c r="D72" s="25"/>
      <c r="E72" s="25"/>
      <c r="F72" s="25"/>
      <c r="G72" s="25"/>
      <c r="H72" s="25"/>
      <c r="I72" s="231" t="s">
        <v>39</v>
      </c>
      <c r="J72" s="231"/>
      <c r="K72" s="231" t="s">
        <v>74</v>
      </c>
      <c r="L72" s="231"/>
      <c r="M72" s="231"/>
      <c r="N72" s="232"/>
      <c r="S72" s="24"/>
    </row>
    <row r="73" spans="1:19" ht="24.95" customHeight="1" x14ac:dyDescent="0.3">
      <c r="A73" s="58"/>
      <c r="B73" s="25"/>
      <c r="C73" s="25"/>
      <c r="D73" s="25"/>
      <c r="E73" s="25"/>
      <c r="F73" s="25"/>
      <c r="G73" s="25"/>
      <c r="H73" s="25"/>
      <c r="I73" s="214"/>
      <c r="J73" s="214"/>
      <c r="K73" s="214"/>
      <c r="L73" s="123"/>
      <c r="M73" s="123"/>
      <c r="N73" s="83"/>
      <c r="S73" s="24">
        <f t="shared" ref="S73:S79" si="11">B73/25.4</f>
        <v>0</v>
      </c>
    </row>
    <row r="74" spans="1:19" ht="24.95" customHeight="1" x14ac:dyDescent="0.2">
      <c r="A74" s="58"/>
      <c r="B74" s="25"/>
      <c r="C74" s="25"/>
      <c r="D74" s="25"/>
      <c r="E74" s="25"/>
      <c r="F74" s="25"/>
      <c r="G74" s="25"/>
      <c r="H74" s="25"/>
      <c r="I74" s="233"/>
      <c r="J74" s="233"/>
      <c r="K74" s="233"/>
      <c r="L74" s="124"/>
      <c r="M74" s="124"/>
      <c r="N74" s="62"/>
      <c r="S74" s="24">
        <f t="shared" si="11"/>
        <v>0</v>
      </c>
    </row>
    <row r="75" spans="1:19" ht="24.95" customHeight="1" x14ac:dyDescent="0.2">
      <c r="A75" s="58"/>
      <c r="B75" s="25"/>
      <c r="C75" s="25"/>
      <c r="D75" s="25"/>
      <c r="E75" s="25"/>
      <c r="F75" s="25"/>
      <c r="G75" s="25"/>
      <c r="H75" s="25"/>
      <c r="I75" s="234"/>
      <c r="J75" s="234"/>
      <c r="K75" s="234"/>
      <c r="L75" s="125"/>
      <c r="M75" s="125"/>
      <c r="N75" s="62"/>
      <c r="S75" s="24">
        <f t="shared" si="11"/>
        <v>0</v>
      </c>
    </row>
    <row r="76" spans="1:19" ht="24.95" customHeight="1" x14ac:dyDescent="0.2">
      <c r="A76" s="58"/>
      <c r="B76" s="25"/>
      <c r="C76" s="25"/>
      <c r="D76" s="25"/>
      <c r="E76" s="25"/>
      <c r="F76" s="25"/>
      <c r="G76" s="25"/>
      <c r="H76" s="25"/>
      <c r="I76" s="25"/>
      <c r="J76" s="93"/>
      <c r="K76" s="93"/>
      <c r="L76" s="93"/>
      <c r="M76" s="93"/>
      <c r="N76" s="62"/>
      <c r="S76" s="24">
        <f t="shared" si="11"/>
        <v>0</v>
      </c>
    </row>
    <row r="77" spans="1:19" ht="17.25" customHeight="1" x14ac:dyDescent="0.25">
      <c r="A77" s="235" t="s">
        <v>68</v>
      </c>
      <c r="B77" s="236"/>
      <c r="C77" s="236"/>
      <c r="D77" s="236"/>
      <c r="E77" s="236"/>
      <c r="F77" s="236"/>
      <c r="G77" s="236"/>
      <c r="H77" s="236"/>
      <c r="I77" s="236"/>
      <c r="J77" s="236"/>
      <c r="K77" s="236"/>
      <c r="L77" s="236"/>
      <c r="M77" s="236"/>
      <c r="N77" s="237"/>
      <c r="S77" s="24">
        <f t="shared" si="11"/>
        <v>0</v>
      </c>
    </row>
    <row r="78" spans="1:19" ht="7.5" customHeight="1" x14ac:dyDescent="0.2">
      <c r="A78" s="219" t="s">
        <v>67</v>
      </c>
      <c r="B78" s="220"/>
      <c r="C78" s="220"/>
      <c r="D78" s="220"/>
      <c r="E78" s="220"/>
      <c r="F78" s="220"/>
      <c r="G78" s="220"/>
      <c r="H78" s="220"/>
      <c r="I78" s="220"/>
      <c r="J78" s="220"/>
      <c r="K78" s="220"/>
      <c r="L78" s="220"/>
      <c r="M78" s="220"/>
      <c r="N78" s="221"/>
      <c r="S78" s="24">
        <f t="shared" si="11"/>
        <v>0</v>
      </c>
    </row>
    <row r="79" spans="1:19" ht="13.5" customHeight="1" x14ac:dyDescent="0.2">
      <c r="A79" s="222"/>
      <c r="B79" s="220"/>
      <c r="C79" s="220"/>
      <c r="D79" s="220"/>
      <c r="E79" s="220"/>
      <c r="F79" s="220"/>
      <c r="G79" s="220"/>
      <c r="H79" s="220"/>
      <c r="I79" s="220"/>
      <c r="J79" s="220"/>
      <c r="K79" s="220"/>
      <c r="L79" s="220"/>
      <c r="M79" s="220"/>
      <c r="N79" s="221"/>
      <c r="S79" s="24">
        <f t="shared" si="11"/>
        <v>0</v>
      </c>
    </row>
    <row r="80" spans="1:19" ht="7.5" customHeight="1" x14ac:dyDescent="0.2">
      <c r="A80" s="222"/>
      <c r="B80" s="220"/>
      <c r="C80" s="220"/>
      <c r="D80" s="220"/>
      <c r="E80" s="220"/>
      <c r="F80" s="220"/>
      <c r="G80" s="220"/>
      <c r="H80" s="220"/>
      <c r="I80" s="220"/>
      <c r="J80" s="220"/>
      <c r="K80" s="220"/>
      <c r="L80" s="220"/>
      <c r="M80" s="220"/>
      <c r="N80" s="221"/>
    </row>
    <row r="81" spans="1:14" ht="7.5" customHeight="1" x14ac:dyDescent="0.2">
      <c r="A81" s="222"/>
      <c r="B81" s="220"/>
      <c r="C81" s="220"/>
      <c r="D81" s="220"/>
      <c r="E81" s="220"/>
      <c r="F81" s="220"/>
      <c r="G81" s="220"/>
      <c r="H81" s="220"/>
      <c r="I81" s="220"/>
      <c r="J81" s="220"/>
      <c r="K81" s="220"/>
      <c r="L81" s="220"/>
      <c r="M81" s="220"/>
      <c r="N81" s="221"/>
    </row>
    <row r="82" spans="1:14" ht="7.5" customHeight="1" x14ac:dyDescent="0.2">
      <c r="A82" s="222"/>
      <c r="B82" s="220"/>
      <c r="C82" s="220"/>
      <c r="D82" s="220"/>
      <c r="E82" s="220"/>
      <c r="F82" s="220"/>
      <c r="G82" s="220"/>
      <c r="H82" s="220"/>
      <c r="I82" s="220"/>
      <c r="J82" s="220"/>
      <c r="K82" s="220"/>
      <c r="L82" s="220"/>
      <c r="M82" s="220"/>
      <c r="N82" s="221"/>
    </row>
    <row r="83" spans="1:14" ht="7.5" customHeight="1" x14ac:dyDescent="0.2">
      <c r="A83" s="222"/>
      <c r="B83" s="220"/>
      <c r="C83" s="220"/>
      <c r="D83" s="220"/>
      <c r="E83" s="220"/>
      <c r="F83" s="220"/>
      <c r="G83" s="220"/>
      <c r="H83" s="220"/>
      <c r="I83" s="220"/>
      <c r="J83" s="220"/>
      <c r="K83" s="220"/>
      <c r="L83" s="220"/>
      <c r="M83" s="220"/>
      <c r="N83" s="221"/>
    </row>
    <row r="84" spans="1:14" ht="11.25" customHeight="1" x14ac:dyDescent="0.2">
      <c r="A84" s="223" t="s">
        <v>20</v>
      </c>
      <c r="B84" s="224"/>
      <c r="C84" s="224"/>
      <c r="D84" s="224"/>
      <c r="E84" s="224"/>
      <c r="F84" s="224"/>
      <c r="G84" s="224"/>
      <c r="H84" s="224"/>
      <c r="I84" s="224"/>
      <c r="J84" s="224"/>
      <c r="K84" s="224"/>
      <c r="L84" s="224"/>
      <c r="M84" s="224"/>
      <c r="N84" s="225"/>
    </row>
    <row r="85" spans="1:14" ht="11.25" customHeight="1" thickBot="1" x14ac:dyDescent="0.25">
      <c r="A85" s="226"/>
      <c r="B85" s="227"/>
      <c r="C85" s="227"/>
      <c r="D85" s="227"/>
      <c r="E85" s="227"/>
      <c r="F85" s="227"/>
      <c r="G85" s="227"/>
      <c r="H85" s="227"/>
      <c r="I85" s="227"/>
      <c r="J85" s="227"/>
      <c r="K85" s="227"/>
      <c r="L85" s="227"/>
      <c r="M85" s="227"/>
      <c r="N85" s="228"/>
    </row>
    <row r="86" spans="1:14" ht="12.75" thickBot="1" x14ac:dyDescent="0.25"/>
    <row r="87" spans="1:14" ht="48" customHeight="1" thickBot="1" x14ac:dyDescent="0.45">
      <c r="B87" s="10"/>
      <c r="C87" s="229" t="s">
        <v>71</v>
      </c>
      <c r="D87" s="230"/>
    </row>
  </sheetData>
  <sheetProtection insertColumns="0" insertRows="0" deleteColumns="0" deleteRows="0"/>
  <mergeCells count="75">
    <mergeCell ref="C87:D87"/>
    <mergeCell ref="I72:J72"/>
    <mergeCell ref="K72:N72"/>
    <mergeCell ref="I73:K73"/>
    <mergeCell ref="I74:K74"/>
    <mergeCell ref="I75:K75"/>
    <mergeCell ref="A77:N77"/>
    <mergeCell ref="I65:K65"/>
    <mergeCell ref="I66:J66"/>
    <mergeCell ref="K66:N66"/>
    <mergeCell ref="A78:N83"/>
    <mergeCell ref="A84:N85"/>
    <mergeCell ref="I71:J71"/>
    <mergeCell ref="K71:N71"/>
    <mergeCell ref="S24:S25"/>
    <mergeCell ref="T24:T25"/>
    <mergeCell ref="H62:K62"/>
    <mergeCell ref="L62:N62"/>
    <mergeCell ref="I63:K63"/>
    <mergeCell ref="L63:N63"/>
    <mergeCell ref="I24:I25"/>
    <mergeCell ref="J24:J25"/>
    <mergeCell ref="K24:K25"/>
    <mergeCell ref="P24:P25"/>
    <mergeCell ref="Q24:Q25"/>
    <mergeCell ref="R24:R25"/>
    <mergeCell ref="I64:K64"/>
    <mergeCell ref="L64:N64"/>
    <mergeCell ref="C21:D21"/>
    <mergeCell ref="F21:G21"/>
    <mergeCell ref="C22:D22"/>
    <mergeCell ref="F22:G22"/>
    <mergeCell ref="B24:B25"/>
    <mergeCell ref="C24:C25"/>
    <mergeCell ref="D24:D25"/>
    <mergeCell ref="E24:F24"/>
    <mergeCell ref="G24:H24"/>
    <mergeCell ref="C18:D18"/>
    <mergeCell ref="F18:G18"/>
    <mergeCell ref="C19:D19"/>
    <mergeCell ref="F19:G19"/>
    <mergeCell ref="C20:D20"/>
    <mergeCell ref="F20:G20"/>
    <mergeCell ref="A12:B12"/>
    <mergeCell ref="A13:B13"/>
    <mergeCell ref="C13:N13"/>
    <mergeCell ref="G14:I14"/>
    <mergeCell ref="B17:G17"/>
    <mergeCell ref="H17:I17"/>
    <mergeCell ref="A11:B11"/>
    <mergeCell ref="A7:B7"/>
    <mergeCell ref="C7:I7"/>
    <mergeCell ref="K7:N7"/>
    <mergeCell ref="A8:B8"/>
    <mergeCell ref="C8:I8"/>
    <mergeCell ref="K8:N8"/>
    <mergeCell ref="A9:B9"/>
    <mergeCell ref="C9:I9"/>
    <mergeCell ref="A10:B10"/>
    <mergeCell ref="C10:I10"/>
    <mergeCell ref="K10:N10"/>
    <mergeCell ref="E4:K4"/>
    <mergeCell ref="L4:N4"/>
    <mergeCell ref="Q4:Q5"/>
    <mergeCell ref="R4:R5"/>
    <mergeCell ref="A6:B6"/>
    <mergeCell ref="C6:I6"/>
    <mergeCell ref="K6:N6"/>
    <mergeCell ref="E1:K1"/>
    <mergeCell ref="L1:N1"/>
    <mergeCell ref="E2:K3"/>
    <mergeCell ref="L2:N2"/>
    <mergeCell ref="P2:Y2"/>
    <mergeCell ref="L3:N3"/>
    <mergeCell ref="P3:R3"/>
  </mergeCells>
  <conditionalFormatting sqref="C6:C10 K9:N10 C13">
    <cfRule type="containsBlanks" dxfId="64" priority="13">
      <formula>LEN(TRIM(C6))=0</formula>
    </cfRule>
  </conditionalFormatting>
  <conditionalFormatting sqref="C12:D12 F12 I12">
    <cfRule type="containsBlanks" dxfId="63" priority="12">
      <formula>LEN(TRIM(C12))=0</formula>
    </cfRule>
  </conditionalFormatting>
  <conditionalFormatting sqref="C18:D19 I18:I20 C21:D21">
    <cfRule type="containsBlanks" dxfId="62" priority="9">
      <formula>LEN(TRIM(C18))=0</formula>
    </cfRule>
  </conditionalFormatting>
  <conditionalFormatting sqref="F22">
    <cfRule type="containsBlanks" dxfId="61" priority="11">
      <formula>LEN(TRIM(F22))=0</formula>
    </cfRule>
  </conditionalFormatting>
  <conditionalFormatting sqref="F20:G21">
    <cfRule type="containsBlanks" dxfId="60" priority="10">
      <formula>LEN(TRIM(F20))=0</formula>
    </cfRule>
  </conditionalFormatting>
  <conditionalFormatting sqref="K6:N8">
    <cfRule type="containsBlanks" dxfId="59" priority="8">
      <formula>LEN(TRIM(K6))=0</formula>
    </cfRule>
  </conditionalFormatting>
  <conditionalFormatting sqref="P2">
    <cfRule type="containsBlanks" dxfId="58" priority="7">
      <formula>LEN(TRIM(P2))=0</formula>
    </cfRule>
  </conditionalFormatting>
  <conditionalFormatting sqref="P2">
    <cfRule type="containsBlanks" dxfId="57" priority="6">
      <formula>LEN(TRIM(P2))=0</formula>
    </cfRule>
  </conditionalFormatting>
  <conditionalFormatting sqref="P3">
    <cfRule type="containsBlanks" dxfId="56" priority="5">
      <formula>LEN(TRIM(P3))=0</formula>
    </cfRule>
  </conditionalFormatting>
  <conditionalFormatting sqref="H12">
    <cfRule type="containsBlanks" dxfId="55" priority="4">
      <formula>LEN(TRIM(H12))=0</formula>
    </cfRule>
  </conditionalFormatting>
  <conditionalFormatting sqref="H12">
    <cfRule type="containsBlanks" dxfId="54" priority="3">
      <formula>LEN(TRIM(H12))=0</formula>
    </cfRule>
  </conditionalFormatting>
  <conditionalFormatting sqref="J12">
    <cfRule type="containsBlanks" dxfId="53" priority="2">
      <formula>LEN(TRIM(J12))=0</formula>
    </cfRule>
  </conditionalFormatting>
  <conditionalFormatting sqref="J12">
    <cfRule type="containsBlanks" dxfId="52" priority="1">
      <formula>LEN(TRIM(J12))=0</formula>
    </cfRule>
  </conditionalFormatting>
  <dataValidations count="3">
    <dataValidation type="list" allowBlank="1" showInputMessage="1" showErrorMessage="1" sqref="C12" xr:uid="{00000000-0002-0000-0100-000000000000}">
      <formula1>$S$6:$S$12</formula1>
    </dataValidation>
    <dataValidation type="list" allowBlank="1" showInputMessage="1" showErrorMessage="1" sqref="F21" xr:uid="{00000000-0002-0000-0100-000001000000}">
      <formula1>$R$6:$R$12</formula1>
    </dataValidation>
    <dataValidation type="list" allowBlank="1" showInputMessage="1" showErrorMessage="1" sqref="F20" xr:uid="{00000000-0002-0000-0100-000002000000}">
      <formula1>$Q$6:$Q$10</formula1>
    </dataValidation>
  </dataValidations>
  <printOptions horizontalCentered="1" verticalCentered="1"/>
  <pageMargins left="0.31496062992125984" right="0.31496062992125984" top="0.78740157480314965" bottom="0.78740157480314965" header="0.31496062992125984" footer="0.19685039370078741"/>
  <pageSetup scale="38" orientation="portrait" r:id="rId1"/>
  <headerFooter>
    <oddFooter xml:space="preserve">&amp;C
GEODELTA S.A.S. Calle 68 B bis No 70 C 95, Móvil: 318 7902368 Bogotá DC - Colombia
e-mail: laboratoriogeodelta@gmail.com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Check Box 1">
              <controlPr defaultSize="0" autoFill="0" autoLine="0" autoPict="0">
                <anchor moveWithCells="1">
                  <from>
                    <xdr:col>7</xdr:col>
                    <xdr:colOff>104775</xdr:colOff>
                    <xdr:row>21</xdr:row>
                    <xdr:rowOff>28575</xdr:rowOff>
                  </from>
                  <to>
                    <xdr:col>7</xdr:col>
                    <xdr:colOff>1133475</xdr:colOff>
                    <xdr:row>21</xdr:row>
                    <xdr:rowOff>219075</xdr:rowOff>
                  </to>
                </anchor>
              </controlPr>
            </control>
          </mc:Choice>
        </mc:AlternateContent>
        <mc:AlternateContent xmlns:mc="http://schemas.openxmlformats.org/markup-compatibility/2006">
          <mc:Choice Requires="x14">
            <control shapeId="100354" r:id="rId5" name="Check Box 2">
              <controlPr defaultSize="0" autoFill="0" autoLine="0" autoPict="0">
                <anchor moveWithCells="1">
                  <from>
                    <xdr:col>8</xdr:col>
                    <xdr:colOff>19050</xdr:colOff>
                    <xdr:row>21</xdr:row>
                    <xdr:rowOff>19050</xdr:rowOff>
                  </from>
                  <to>
                    <xdr:col>9</xdr:col>
                    <xdr:colOff>352425</xdr:colOff>
                    <xdr:row>21</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9">
    <pageSetUpPr fitToPage="1"/>
  </sheetPr>
  <dimension ref="A1:AG87"/>
  <sheetViews>
    <sheetView showGridLines="0" view="pageBreakPreview" zoomScale="66" zoomScaleNormal="100" zoomScaleSheetLayoutView="66" zoomScalePageLayoutView="55" workbookViewId="0">
      <selection activeCell="F20" sqref="F20:G20"/>
    </sheetView>
  </sheetViews>
  <sheetFormatPr baseColWidth="10" defaultRowHeight="12" x14ac:dyDescent="0.2"/>
  <cols>
    <col min="1" max="1" width="8.7109375" style="1" customWidth="1"/>
    <col min="2" max="2" width="20.7109375" style="1" customWidth="1"/>
    <col min="3" max="3" width="17.140625" style="1" customWidth="1"/>
    <col min="4" max="4" width="15.7109375" style="1" customWidth="1"/>
    <col min="5" max="5" width="24.42578125" style="1" customWidth="1"/>
    <col min="6" max="6" width="15.7109375" style="1" customWidth="1"/>
    <col min="7" max="9" width="20.7109375" style="1" customWidth="1"/>
    <col min="10" max="10" width="28.42578125" style="1" customWidth="1"/>
    <col min="11" max="11" width="19.42578125" style="1" customWidth="1"/>
    <col min="12" max="12" width="11.5703125" style="1" customWidth="1"/>
    <col min="13" max="13" width="2" style="1" customWidth="1"/>
    <col min="14" max="14" width="23.5703125" style="1" customWidth="1"/>
    <col min="15" max="15" width="11.42578125" style="1"/>
    <col min="16" max="16" width="22.140625" style="23" customWidth="1"/>
    <col min="17" max="17" width="26.5703125" style="12" customWidth="1"/>
    <col min="18" max="18" width="21.5703125" style="12" customWidth="1"/>
    <col min="19" max="19" width="21.42578125" style="12" customWidth="1"/>
    <col min="20" max="29" width="11.42578125" style="11"/>
    <col min="30" max="239" width="11.42578125" style="1"/>
    <col min="240" max="240" width="3" style="1" customWidth="1"/>
    <col min="241" max="247" width="17.42578125" style="1" customWidth="1"/>
    <col min="248" max="248" width="3.85546875" style="1" customWidth="1"/>
    <col min="249" max="249" width="3.5703125" style="1" customWidth="1"/>
    <col min="250" max="253" width="8.140625" style="1" customWidth="1"/>
    <col min="254" max="495" width="11.42578125" style="1"/>
    <col min="496" max="496" width="3" style="1" customWidth="1"/>
    <col min="497" max="503" width="17.42578125" style="1" customWidth="1"/>
    <col min="504" max="504" width="3.85546875" style="1" customWidth="1"/>
    <col min="505" max="505" width="3.5703125" style="1" customWidth="1"/>
    <col min="506" max="509" width="8.140625" style="1" customWidth="1"/>
    <col min="510" max="751" width="11.42578125" style="1"/>
    <col min="752" max="752" width="3" style="1" customWidth="1"/>
    <col min="753" max="759" width="17.42578125" style="1" customWidth="1"/>
    <col min="760" max="760" width="3.85546875" style="1" customWidth="1"/>
    <col min="761" max="761" width="3.5703125" style="1" customWidth="1"/>
    <col min="762" max="765" width="8.140625" style="1" customWidth="1"/>
    <col min="766" max="1007" width="11.42578125" style="1"/>
    <col min="1008" max="1008" width="3" style="1" customWidth="1"/>
    <col min="1009" max="1015" width="17.42578125" style="1" customWidth="1"/>
    <col min="1016" max="1016" width="3.85546875" style="1" customWidth="1"/>
    <col min="1017" max="1017" width="3.5703125" style="1" customWidth="1"/>
    <col min="1018" max="1021" width="8.140625" style="1" customWidth="1"/>
    <col min="1022" max="1263" width="11.42578125" style="1"/>
    <col min="1264" max="1264" width="3" style="1" customWidth="1"/>
    <col min="1265" max="1271" width="17.42578125" style="1" customWidth="1"/>
    <col min="1272" max="1272" width="3.85546875" style="1" customWidth="1"/>
    <col min="1273" max="1273" width="3.5703125" style="1" customWidth="1"/>
    <col min="1274" max="1277" width="8.140625" style="1" customWidth="1"/>
    <col min="1278" max="1519" width="11.42578125" style="1"/>
    <col min="1520" max="1520" width="3" style="1" customWidth="1"/>
    <col min="1521" max="1527" width="17.42578125" style="1" customWidth="1"/>
    <col min="1528" max="1528" width="3.85546875" style="1" customWidth="1"/>
    <col min="1529" max="1529" width="3.5703125" style="1" customWidth="1"/>
    <col min="1530" max="1533" width="8.140625" style="1" customWidth="1"/>
    <col min="1534" max="1775" width="11.42578125" style="1"/>
    <col min="1776" max="1776" width="3" style="1" customWidth="1"/>
    <col min="1777" max="1783" width="17.42578125" style="1" customWidth="1"/>
    <col min="1784" max="1784" width="3.85546875" style="1" customWidth="1"/>
    <col min="1785" max="1785" width="3.5703125" style="1" customWidth="1"/>
    <col min="1786" max="1789" width="8.140625" style="1" customWidth="1"/>
    <col min="1790" max="2031" width="11.42578125" style="1"/>
    <col min="2032" max="2032" width="3" style="1" customWidth="1"/>
    <col min="2033" max="2039" width="17.42578125" style="1" customWidth="1"/>
    <col min="2040" max="2040" width="3.85546875" style="1" customWidth="1"/>
    <col min="2041" max="2041" width="3.5703125" style="1" customWidth="1"/>
    <col min="2042" max="2045" width="8.140625" style="1" customWidth="1"/>
    <col min="2046" max="2287" width="11.42578125" style="1"/>
    <col min="2288" max="2288" width="3" style="1" customWidth="1"/>
    <col min="2289" max="2295" width="17.42578125" style="1" customWidth="1"/>
    <col min="2296" max="2296" width="3.85546875" style="1" customWidth="1"/>
    <col min="2297" max="2297" width="3.5703125" style="1" customWidth="1"/>
    <col min="2298" max="2301" width="8.140625" style="1" customWidth="1"/>
    <col min="2302" max="2543" width="11.42578125" style="1"/>
    <col min="2544" max="2544" width="3" style="1" customWidth="1"/>
    <col min="2545" max="2551" width="17.42578125" style="1" customWidth="1"/>
    <col min="2552" max="2552" width="3.85546875" style="1" customWidth="1"/>
    <col min="2553" max="2553" width="3.5703125" style="1" customWidth="1"/>
    <col min="2554" max="2557" width="8.140625" style="1" customWidth="1"/>
    <col min="2558" max="2799" width="11.42578125" style="1"/>
    <col min="2800" max="2800" width="3" style="1" customWidth="1"/>
    <col min="2801" max="2807" width="17.42578125" style="1" customWidth="1"/>
    <col min="2808" max="2808" width="3.85546875" style="1" customWidth="1"/>
    <col min="2809" max="2809" width="3.5703125" style="1" customWidth="1"/>
    <col min="2810" max="2813" width="8.140625" style="1" customWidth="1"/>
    <col min="2814" max="3055" width="11.42578125" style="1"/>
    <col min="3056" max="3056" width="3" style="1" customWidth="1"/>
    <col min="3057" max="3063" width="17.42578125" style="1" customWidth="1"/>
    <col min="3064" max="3064" width="3.85546875" style="1" customWidth="1"/>
    <col min="3065" max="3065" width="3.5703125" style="1" customWidth="1"/>
    <col min="3066" max="3069" width="8.140625" style="1" customWidth="1"/>
    <col min="3070" max="3311" width="11.42578125" style="1"/>
    <col min="3312" max="3312" width="3" style="1" customWidth="1"/>
    <col min="3313" max="3319" width="17.42578125" style="1" customWidth="1"/>
    <col min="3320" max="3320" width="3.85546875" style="1" customWidth="1"/>
    <col min="3321" max="3321" width="3.5703125" style="1" customWidth="1"/>
    <col min="3322" max="3325" width="8.140625" style="1" customWidth="1"/>
    <col min="3326" max="3567" width="11.42578125" style="1"/>
    <col min="3568" max="3568" width="3" style="1" customWidth="1"/>
    <col min="3569" max="3575" width="17.42578125" style="1" customWidth="1"/>
    <col min="3576" max="3576" width="3.85546875" style="1" customWidth="1"/>
    <col min="3577" max="3577" width="3.5703125" style="1" customWidth="1"/>
    <col min="3578" max="3581" width="8.140625" style="1" customWidth="1"/>
    <col min="3582" max="3823" width="11.42578125" style="1"/>
    <col min="3824" max="3824" width="3" style="1" customWidth="1"/>
    <col min="3825" max="3831" width="17.42578125" style="1" customWidth="1"/>
    <col min="3832" max="3832" width="3.85546875" style="1" customWidth="1"/>
    <col min="3833" max="3833" width="3.5703125" style="1" customWidth="1"/>
    <col min="3834" max="3837" width="8.140625" style="1" customWidth="1"/>
    <col min="3838" max="4079" width="11.42578125" style="1"/>
    <col min="4080" max="4080" width="3" style="1" customWidth="1"/>
    <col min="4081" max="4087" width="17.42578125" style="1" customWidth="1"/>
    <col min="4088" max="4088" width="3.85546875" style="1" customWidth="1"/>
    <col min="4089" max="4089" width="3.5703125" style="1" customWidth="1"/>
    <col min="4090" max="4093" width="8.140625" style="1" customWidth="1"/>
    <col min="4094" max="4335" width="11.42578125" style="1"/>
    <col min="4336" max="4336" width="3" style="1" customWidth="1"/>
    <col min="4337" max="4343" width="17.42578125" style="1" customWidth="1"/>
    <col min="4344" max="4344" width="3.85546875" style="1" customWidth="1"/>
    <col min="4345" max="4345" width="3.5703125" style="1" customWidth="1"/>
    <col min="4346" max="4349" width="8.140625" style="1" customWidth="1"/>
    <col min="4350" max="4591" width="11.42578125" style="1"/>
    <col min="4592" max="4592" width="3" style="1" customWidth="1"/>
    <col min="4593" max="4599" width="17.42578125" style="1" customWidth="1"/>
    <col min="4600" max="4600" width="3.85546875" style="1" customWidth="1"/>
    <col min="4601" max="4601" width="3.5703125" style="1" customWidth="1"/>
    <col min="4602" max="4605" width="8.140625" style="1" customWidth="1"/>
    <col min="4606" max="4847" width="11.42578125" style="1"/>
    <col min="4848" max="4848" width="3" style="1" customWidth="1"/>
    <col min="4849" max="4855" width="17.42578125" style="1" customWidth="1"/>
    <col min="4856" max="4856" width="3.85546875" style="1" customWidth="1"/>
    <col min="4857" max="4857" width="3.5703125" style="1" customWidth="1"/>
    <col min="4858" max="4861" width="8.140625" style="1" customWidth="1"/>
    <col min="4862" max="5103" width="11.42578125" style="1"/>
    <col min="5104" max="5104" width="3" style="1" customWidth="1"/>
    <col min="5105" max="5111" width="17.42578125" style="1" customWidth="1"/>
    <col min="5112" max="5112" width="3.85546875" style="1" customWidth="1"/>
    <col min="5113" max="5113" width="3.5703125" style="1" customWidth="1"/>
    <col min="5114" max="5117" width="8.140625" style="1" customWidth="1"/>
    <col min="5118" max="5359" width="11.42578125" style="1"/>
    <col min="5360" max="5360" width="3" style="1" customWidth="1"/>
    <col min="5361" max="5367" width="17.42578125" style="1" customWidth="1"/>
    <col min="5368" max="5368" width="3.85546875" style="1" customWidth="1"/>
    <col min="5369" max="5369" width="3.5703125" style="1" customWidth="1"/>
    <col min="5370" max="5373" width="8.140625" style="1" customWidth="1"/>
    <col min="5374" max="5615" width="11.42578125" style="1"/>
    <col min="5616" max="5616" width="3" style="1" customWidth="1"/>
    <col min="5617" max="5623" width="17.42578125" style="1" customWidth="1"/>
    <col min="5624" max="5624" width="3.85546875" style="1" customWidth="1"/>
    <col min="5625" max="5625" width="3.5703125" style="1" customWidth="1"/>
    <col min="5626" max="5629" width="8.140625" style="1" customWidth="1"/>
    <col min="5630" max="5871" width="11.42578125" style="1"/>
    <col min="5872" max="5872" width="3" style="1" customWidth="1"/>
    <col min="5873" max="5879" width="17.42578125" style="1" customWidth="1"/>
    <col min="5880" max="5880" width="3.85546875" style="1" customWidth="1"/>
    <col min="5881" max="5881" width="3.5703125" style="1" customWidth="1"/>
    <col min="5882" max="5885" width="8.140625" style="1" customWidth="1"/>
    <col min="5886" max="6127" width="11.42578125" style="1"/>
    <col min="6128" max="6128" width="3" style="1" customWidth="1"/>
    <col min="6129" max="6135" width="17.42578125" style="1" customWidth="1"/>
    <col min="6136" max="6136" width="3.85546875" style="1" customWidth="1"/>
    <col min="6137" max="6137" width="3.5703125" style="1" customWidth="1"/>
    <col min="6138" max="6141" width="8.140625" style="1" customWidth="1"/>
    <col min="6142" max="6383" width="11.42578125" style="1"/>
    <col min="6384" max="6384" width="3" style="1" customWidth="1"/>
    <col min="6385" max="6391" width="17.42578125" style="1" customWidth="1"/>
    <col min="6392" max="6392" width="3.85546875" style="1" customWidth="1"/>
    <col min="6393" max="6393" width="3.5703125" style="1" customWidth="1"/>
    <col min="6394" max="6397" width="8.140625" style="1" customWidth="1"/>
    <col min="6398" max="6639" width="11.42578125" style="1"/>
    <col min="6640" max="6640" width="3" style="1" customWidth="1"/>
    <col min="6641" max="6647" width="17.42578125" style="1" customWidth="1"/>
    <col min="6648" max="6648" width="3.85546875" style="1" customWidth="1"/>
    <col min="6649" max="6649" width="3.5703125" style="1" customWidth="1"/>
    <col min="6650" max="6653" width="8.140625" style="1" customWidth="1"/>
    <col min="6654" max="6895" width="11.42578125" style="1"/>
    <col min="6896" max="6896" width="3" style="1" customWidth="1"/>
    <col min="6897" max="6903" width="17.42578125" style="1" customWidth="1"/>
    <col min="6904" max="6904" width="3.85546875" style="1" customWidth="1"/>
    <col min="6905" max="6905" width="3.5703125" style="1" customWidth="1"/>
    <col min="6906" max="6909" width="8.140625" style="1" customWidth="1"/>
    <col min="6910" max="7151" width="11.42578125" style="1"/>
    <col min="7152" max="7152" width="3" style="1" customWidth="1"/>
    <col min="7153" max="7159" width="17.42578125" style="1" customWidth="1"/>
    <col min="7160" max="7160" width="3.85546875" style="1" customWidth="1"/>
    <col min="7161" max="7161" width="3.5703125" style="1" customWidth="1"/>
    <col min="7162" max="7165" width="8.140625" style="1" customWidth="1"/>
    <col min="7166" max="7407" width="11.42578125" style="1"/>
    <col min="7408" max="7408" width="3" style="1" customWidth="1"/>
    <col min="7409" max="7415" width="17.42578125" style="1" customWidth="1"/>
    <col min="7416" max="7416" width="3.85546875" style="1" customWidth="1"/>
    <col min="7417" max="7417" width="3.5703125" style="1" customWidth="1"/>
    <col min="7418" max="7421" width="8.140625" style="1" customWidth="1"/>
    <col min="7422" max="7663" width="11.42578125" style="1"/>
    <col min="7664" max="7664" width="3" style="1" customWidth="1"/>
    <col min="7665" max="7671" width="17.42578125" style="1" customWidth="1"/>
    <col min="7672" max="7672" width="3.85546875" style="1" customWidth="1"/>
    <col min="7673" max="7673" width="3.5703125" style="1" customWidth="1"/>
    <col min="7674" max="7677" width="8.140625" style="1" customWidth="1"/>
    <col min="7678" max="7919" width="11.42578125" style="1"/>
    <col min="7920" max="7920" width="3" style="1" customWidth="1"/>
    <col min="7921" max="7927" width="17.42578125" style="1" customWidth="1"/>
    <col min="7928" max="7928" width="3.85546875" style="1" customWidth="1"/>
    <col min="7929" max="7929" width="3.5703125" style="1" customWidth="1"/>
    <col min="7930" max="7933" width="8.140625" style="1" customWidth="1"/>
    <col min="7934" max="8175" width="11.42578125" style="1"/>
    <col min="8176" max="8176" width="3" style="1" customWidth="1"/>
    <col min="8177" max="8183" width="17.42578125" style="1" customWidth="1"/>
    <col min="8184" max="8184" width="3.85546875" style="1" customWidth="1"/>
    <col min="8185" max="8185" width="3.5703125" style="1" customWidth="1"/>
    <col min="8186" max="8189" width="8.140625" style="1" customWidth="1"/>
    <col min="8190" max="8431" width="11.42578125" style="1"/>
    <col min="8432" max="8432" width="3" style="1" customWidth="1"/>
    <col min="8433" max="8439" width="17.42578125" style="1" customWidth="1"/>
    <col min="8440" max="8440" width="3.85546875" style="1" customWidth="1"/>
    <col min="8441" max="8441" width="3.5703125" style="1" customWidth="1"/>
    <col min="8442" max="8445" width="8.140625" style="1" customWidth="1"/>
    <col min="8446" max="8687" width="11.42578125" style="1"/>
    <col min="8688" max="8688" width="3" style="1" customWidth="1"/>
    <col min="8689" max="8695" width="17.42578125" style="1" customWidth="1"/>
    <col min="8696" max="8696" width="3.85546875" style="1" customWidth="1"/>
    <col min="8697" max="8697" width="3.5703125" style="1" customWidth="1"/>
    <col min="8698" max="8701" width="8.140625" style="1" customWidth="1"/>
    <col min="8702" max="8943" width="11.42578125" style="1"/>
    <col min="8944" max="8944" width="3" style="1" customWidth="1"/>
    <col min="8945" max="8951" width="17.42578125" style="1" customWidth="1"/>
    <col min="8952" max="8952" width="3.85546875" style="1" customWidth="1"/>
    <col min="8953" max="8953" width="3.5703125" style="1" customWidth="1"/>
    <col min="8954" max="8957" width="8.140625" style="1" customWidth="1"/>
    <col min="8958" max="9199" width="11.42578125" style="1"/>
    <col min="9200" max="9200" width="3" style="1" customWidth="1"/>
    <col min="9201" max="9207" width="17.42578125" style="1" customWidth="1"/>
    <col min="9208" max="9208" width="3.85546875" style="1" customWidth="1"/>
    <col min="9209" max="9209" width="3.5703125" style="1" customWidth="1"/>
    <col min="9210" max="9213" width="8.140625" style="1" customWidth="1"/>
    <col min="9214" max="9455" width="11.42578125" style="1"/>
    <col min="9456" max="9456" width="3" style="1" customWidth="1"/>
    <col min="9457" max="9463" width="17.42578125" style="1" customWidth="1"/>
    <col min="9464" max="9464" width="3.85546875" style="1" customWidth="1"/>
    <col min="9465" max="9465" width="3.5703125" style="1" customWidth="1"/>
    <col min="9466" max="9469" width="8.140625" style="1" customWidth="1"/>
    <col min="9470" max="9711" width="11.42578125" style="1"/>
    <col min="9712" max="9712" width="3" style="1" customWidth="1"/>
    <col min="9713" max="9719" width="17.42578125" style="1" customWidth="1"/>
    <col min="9720" max="9720" width="3.85546875" style="1" customWidth="1"/>
    <col min="9721" max="9721" width="3.5703125" style="1" customWidth="1"/>
    <col min="9722" max="9725" width="8.140625" style="1" customWidth="1"/>
    <col min="9726" max="9967" width="11.42578125" style="1"/>
    <col min="9968" max="9968" width="3" style="1" customWidth="1"/>
    <col min="9969" max="9975" width="17.42578125" style="1" customWidth="1"/>
    <col min="9976" max="9976" width="3.85546875" style="1" customWidth="1"/>
    <col min="9977" max="9977" width="3.5703125" style="1" customWidth="1"/>
    <col min="9978" max="9981" width="8.140625" style="1" customWidth="1"/>
    <col min="9982" max="10223" width="11.42578125" style="1"/>
    <col min="10224" max="10224" width="3" style="1" customWidth="1"/>
    <col min="10225" max="10231" width="17.42578125" style="1" customWidth="1"/>
    <col min="10232" max="10232" width="3.85546875" style="1" customWidth="1"/>
    <col min="10233" max="10233" width="3.5703125" style="1" customWidth="1"/>
    <col min="10234" max="10237" width="8.140625" style="1" customWidth="1"/>
    <col min="10238" max="10479" width="11.42578125" style="1"/>
    <col min="10480" max="10480" width="3" style="1" customWidth="1"/>
    <col min="10481" max="10487" width="17.42578125" style="1" customWidth="1"/>
    <col min="10488" max="10488" width="3.85546875" style="1" customWidth="1"/>
    <col min="10489" max="10489" width="3.5703125" style="1" customWidth="1"/>
    <col min="10490" max="10493" width="8.140625" style="1" customWidth="1"/>
    <col min="10494" max="10735" width="11.42578125" style="1"/>
    <col min="10736" max="10736" width="3" style="1" customWidth="1"/>
    <col min="10737" max="10743" width="17.42578125" style="1" customWidth="1"/>
    <col min="10744" max="10744" width="3.85546875" style="1" customWidth="1"/>
    <col min="10745" max="10745" width="3.5703125" style="1" customWidth="1"/>
    <col min="10746" max="10749" width="8.140625" style="1" customWidth="1"/>
    <col min="10750" max="10991" width="11.42578125" style="1"/>
    <col min="10992" max="10992" width="3" style="1" customWidth="1"/>
    <col min="10993" max="10999" width="17.42578125" style="1" customWidth="1"/>
    <col min="11000" max="11000" width="3.85546875" style="1" customWidth="1"/>
    <col min="11001" max="11001" width="3.5703125" style="1" customWidth="1"/>
    <col min="11002" max="11005" width="8.140625" style="1" customWidth="1"/>
    <col min="11006" max="11247" width="11.42578125" style="1"/>
    <col min="11248" max="11248" width="3" style="1" customWidth="1"/>
    <col min="11249" max="11255" width="17.42578125" style="1" customWidth="1"/>
    <col min="11256" max="11256" width="3.85546875" style="1" customWidth="1"/>
    <col min="11257" max="11257" width="3.5703125" style="1" customWidth="1"/>
    <col min="11258" max="11261" width="8.140625" style="1" customWidth="1"/>
    <col min="11262" max="11503" width="11.42578125" style="1"/>
    <col min="11504" max="11504" width="3" style="1" customWidth="1"/>
    <col min="11505" max="11511" width="17.42578125" style="1" customWidth="1"/>
    <col min="11512" max="11512" width="3.85546875" style="1" customWidth="1"/>
    <col min="11513" max="11513" width="3.5703125" style="1" customWidth="1"/>
    <col min="11514" max="11517" width="8.140625" style="1" customWidth="1"/>
    <col min="11518" max="11759" width="11.42578125" style="1"/>
    <col min="11760" max="11760" width="3" style="1" customWidth="1"/>
    <col min="11761" max="11767" width="17.42578125" style="1" customWidth="1"/>
    <col min="11768" max="11768" width="3.85546875" style="1" customWidth="1"/>
    <col min="11769" max="11769" width="3.5703125" style="1" customWidth="1"/>
    <col min="11770" max="11773" width="8.140625" style="1" customWidth="1"/>
    <col min="11774" max="12015" width="11.42578125" style="1"/>
    <col min="12016" max="12016" width="3" style="1" customWidth="1"/>
    <col min="12017" max="12023" width="17.42578125" style="1" customWidth="1"/>
    <col min="12024" max="12024" width="3.85546875" style="1" customWidth="1"/>
    <col min="12025" max="12025" width="3.5703125" style="1" customWidth="1"/>
    <col min="12026" max="12029" width="8.140625" style="1" customWidth="1"/>
    <col min="12030" max="12271" width="11.42578125" style="1"/>
    <col min="12272" max="12272" width="3" style="1" customWidth="1"/>
    <col min="12273" max="12279" width="17.42578125" style="1" customWidth="1"/>
    <col min="12280" max="12280" width="3.85546875" style="1" customWidth="1"/>
    <col min="12281" max="12281" width="3.5703125" style="1" customWidth="1"/>
    <col min="12282" max="12285" width="8.140625" style="1" customWidth="1"/>
    <col min="12286" max="12527" width="11.42578125" style="1"/>
    <col min="12528" max="12528" width="3" style="1" customWidth="1"/>
    <col min="12529" max="12535" width="17.42578125" style="1" customWidth="1"/>
    <col min="12536" max="12536" width="3.85546875" style="1" customWidth="1"/>
    <col min="12537" max="12537" width="3.5703125" style="1" customWidth="1"/>
    <col min="12538" max="12541" width="8.140625" style="1" customWidth="1"/>
    <col min="12542" max="12783" width="11.42578125" style="1"/>
    <col min="12784" max="12784" width="3" style="1" customWidth="1"/>
    <col min="12785" max="12791" width="17.42578125" style="1" customWidth="1"/>
    <col min="12792" max="12792" width="3.85546875" style="1" customWidth="1"/>
    <col min="12793" max="12793" width="3.5703125" style="1" customWidth="1"/>
    <col min="12794" max="12797" width="8.140625" style="1" customWidth="1"/>
    <col min="12798" max="13039" width="11.42578125" style="1"/>
    <col min="13040" max="13040" width="3" style="1" customWidth="1"/>
    <col min="13041" max="13047" width="17.42578125" style="1" customWidth="1"/>
    <col min="13048" max="13048" width="3.85546875" style="1" customWidth="1"/>
    <col min="13049" max="13049" width="3.5703125" style="1" customWidth="1"/>
    <col min="13050" max="13053" width="8.140625" style="1" customWidth="1"/>
    <col min="13054" max="13295" width="11.42578125" style="1"/>
    <col min="13296" max="13296" width="3" style="1" customWidth="1"/>
    <col min="13297" max="13303" width="17.42578125" style="1" customWidth="1"/>
    <col min="13304" max="13304" width="3.85546875" style="1" customWidth="1"/>
    <col min="13305" max="13305" width="3.5703125" style="1" customWidth="1"/>
    <col min="13306" max="13309" width="8.140625" style="1" customWidth="1"/>
    <col min="13310" max="13551" width="11.42578125" style="1"/>
    <col min="13552" max="13552" width="3" style="1" customWidth="1"/>
    <col min="13553" max="13559" width="17.42578125" style="1" customWidth="1"/>
    <col min="13560" max="13560" width="3.85546875" style="1" customWidth="1"/>
    <col min="13561" max="13561" width="3.5703125" style="1" customWidth="1"/>
    <col min="13562" max="13565" width="8.140625" style="1" customWidth="1"/>
    <col min="13566" max="13807" width="11.42578125" style="1"/>
    <col min="13808" max="13808" width="3" style="1" customWidth="1"/>
    <col min="13809" max="13815" width="17.42578125" style="1" customWidth="1"/>
    <col min="13816" max="13816" width="3.85546875" style="1" customWidth="1"/>
    <col min="13817" max="13817" width="3.5703125" style="1" customWidth="1"/>
    <col min="13818" max="13821" width="8.140625" style="1" customWidth="1"/>
    <col min="13822" max="14063" width="11.42578125" style="1"/>
    <col min="14064" max="14064" width="3" style="1" customWidth="1"/>
    <col min="14065" max="14071" width="17.42578125" style="1" customWidth="1"/>
    <col min="14072" max="14072" width="3.85546875" style="1" customWidth="1"/>
    <col min="14073" max="14073" width="3.5703125" style="1" customWidth="1"/>
    <col min="14074" max="14077" width="8.140625" style="1" customWidth="1"/>
    <col min="14078" max="14319" width="11.42578125" style="1"/>
    <col min="14320" max="14320" width="3" style="1" customWidth="1"/>
    <col min="14321" max="14327" width="17.42578125" style="1" customWidth="1"/>
    <col min="14328" max="14328" width="3.85546875" style="1" customWidth="1"/>
    <col min="14329" max="14329" width="3.5703125" style="1" customWidth="1"/>
    <col min="14330" max="14333" width="8.140625" style="1" customWidth="1"/>
    <col min="14334" max="14575" width="11.42578125" style="1"/>
    <col min="14576" max="14576" width="3" style="1" customWidth="1"/>
    <col min="14577" max="14583" width="17.42578125" style="1" customWidth="1"/>
    <col min="14584" max="14584" width="3.85546875" style="1" customWidth="1"/>
    <col min="14585" max="14585" width="3.5703125" style="1" customWidth="1"/>
    <col min="14586" max="14589" width="8.140625" style="1" customWidth="1"/>
    <col min="14590" max="14831" width="11.42578125" style="1"/>
    <col min="14832" max="14832" width="3" style="1" customWidth="1"/>
    <col min="14833" max="14839" width="17.42578125" style="1" customWidth="1"/>
    <col min="14840" max="14840" width="3.85546875" style="1" customWidth="1"/>
    <col min="14841" max="14841" width="3.5703125" style="1" customWidth="1"/>
    <col min="14842" max="14845" width="8.140625" style="1" customWidth="1"/>
    <col min="14846" max="15087" width="11.42578125" style="1"/>
    <col min="15088" max="15088" width="3" style="1" customWidth="1"/>
    <col min="15089" max="15095" width="17.42578125" style="1" customWidth="1"/>
    <col min="15096" max="15096" width="3.85546875" style="1" customWidth="1"/>
    <col min="15097" max="15097" width="3.5703125" style="1" customWidth="1"/>
    <col min="15098" max="15101" width="8.140625" style="1" customWidth="1"/>
    <col min="15102" max="15343" width="11.42578125" style="1"/>
    <col min="15344" max="15344" width="3" style="1" customWidth="1"/>
    <col min="15345" max="15351" width="17.42578125" style="1" customWidth="1"/>
    <col min="15352" max="15352" width="3.85546875" style="1" customWidth="1"/>
    <col min="15353" max="15353" width="3.5703125" style="1" customWidth="1"/>
    <col min="15354" max="15357" width="8.140625" style="1" customWidth="1"/>
    <col min="15358" max="15599" width="11.42578125" style="1"/>
    <col min="15600" max="15600" width="3" style="1" customWidth="1"/>
    <col min="15601" max="15607" width="17.42578125" style="1" customWidth="1"/>
    <col min="15608" max="15608" width="3.85546875" style="1" customWidth="1"/>
    <col min="15609" max="15609" width="3.5703125" style="1" customWidth="1"/>
    <col min="15610" max="15613" width="8.140625" style="1" customWidth="1"/>
    <col min="15614" max="15855" width="11.42578125" style="1"/>
    <col min="15856" max="15856" width="3" style="1" customWidth="1"/>
    <col min="15857" max="15863" width="17.42578125" style="1" customWidth="1"/>
    <col min="15864" max="15864" width="3.85546875" style="1" customWidth="1"/>
    <col min="15865" max="15865" width="3.5703125" style="1" customWidth="1"/>
    <col min="15866" max="15869" width="8.140625" style="1" customWidth="1"/>
    <col min="15870" max="16111" width="11.42578125" style="1"/>
    <col min="16112" max="16112" width="3" style="1" customWidth="1"/>
    <col min="16113" max="16119" width="17.42578125" style="1" customWidth="1"/>
    <col min="16120" max="16120" width="3.85546875" style="1" customWidth="1"/>
    <col min="16121" max="16121" width="3.5703125" style="1" customWidth="1"/>
    <col min="16122" max="16125" width="8.140625" style="1" customWidth="1"/>
    <col min="16126" max="16384" width="11.42578125" style="1"/>
  </cols>
  <sheetData>
    <row r="1" spans="1:25" ht="22.5" customHeight="1" x14ac:dyDescent="0.2">
      <c r="A1" s="56"/>
      <c r="B1" s="8"/>
      <c r="C1" s="8"/>
      <c r="D1" s="57"/>
      <c r="E1" s="137" t="s">
        <v>8</v>
      </c>
      <c r="F1" s="137"/>
      <c r="G1" s="137"/>
      <c r="H1" s="137"/>
      <c r="I1" s="137"/>
      <c r="J1" s="137"/>
      <c r="K1" s="138"/>
      <c r="L1" s="139" t="s">
        <v>21</v>
      </c>
      <c r="M1" s="140"/>
      <c r="N1" s="141"/>
      <c r="P1" s="11"/>
    </row>
    <row r="2" spans="1:25" ht="22.5" customHeight="1" x14ac:dyDescent="0.2">
      <c r="A2" s="58"/>
      <c r="B2" s="25"/>
      <c r="C2" s="25"/>
      <c r="D2" s="59"/>
      <c r="E2" s="142" t="s">
        <v>81</v>
      </c>
      <c r="F2" s="142"/>
      <c r="G2" s="142"/>
      <c r="H2" s="142"/>
      <c r="I2" s="142"/>
      <c r="J2" s="142"/>
      <c r="K2" s="143"/>
      <c r="L2" s="144" t="s">
        <v>86</v>
      </c>
      <c r="M2" s="145"/>
      <c r="N2" s="146"/>
      <c r="P2" s="147"/>
      <c r="Q2" s="147"/>
      <c r="R2" s="147"/>
      <c r="S2" s="147"/>
      <c r="T2" s="147"/>
      <c r="U2" s="147"/>
      <c r="V2" s="147"/>
      <c r="W2" s="147"/>
      <c r="X2" s="147"/>
      <c r="Y2" s="147"/>
    </row>
    <row r="3" spans="1:25" ht="22.5" customHeight="1" x14ac:dyDescent="0.2">
      <c r="A3" s="58"/>
      <c r="B3" s="25"/>
      <c r="C3" s="25"/>
      <c r="D3" s="55"/>
      <c r="E3" s="142"/>
      <c r="F3" s="142"/>
      <c r="G3" s="142"/>
      <c r="H3" s="142"/>
      <c r="I3" s="142"/>
      <c r="J3" s="142"/>
      <c r="K3" s="143"/>
      <c r="L3" s="144" t="s">
        <v>70</v>
      </c>
      <c r="M3" s="145"/>
      <c r="N3" s="146"/>
      <c r="P3" s="148"/>
      <c r="Q3" s="148"/>
      <c r="R3" s="148"/>
    </row>
    <row r="4" spans="1:25" ht="22.5" customHeight="1" thickBot="1" x14ac:dyDescent="0.25">
      <c r="A4" s="60"/>
      <c r="B4" s="9"/>
      <c r="C4" s="9"/>
      <c r="D4" s="54"/>
      <c r="E4" s="149" t="s">
        <v>82</v>
      </c>
      <c r="F4" s="149"/>
      <c r="G4" s="149"/>
      <c r="H4" s="149"/>
      <c r="I4" s="149"/>
      <c r="J4" s="149"/>
      <c r="K4" s="150"/>
      <c r="L4" s="151" t="s">
        <v>87</v>
      </c>
      <c r="M4" s="152"/>
      <c r="N4" s="153"/>
      <c r="P4" s="11"/>
      <c r="Q4" s="154" t="s">
        <v>23</v>
      </c>
      <c r="R4" s="155" t="s">
        <v>63</v>
      </c>
      <c r="S4" s="120" t="s">
        <v>47</v>
      </c>
    </row>
    <row r="5" spans="1:25" ht="3.95" customHeight="1" thickBot="1" x14ac:dyDescent="0.25">
      <c r="A5" s="58"/>
      <c r="B5" s="25"/>
      <c r="C5" s="25"/>
      <c r="D5" s="25"/>
      <c r="E5" s="25"/>
      <c r="F5" s="25"/>
      <c r="G5" s="61"/>
      <c r="H5" s="25"/>
      <c r="I5" s="25"/>
      <c r="J5" s="25"/>
      <c r="K5" s="25"/>
      <c r="L5" s="25"/>
      <c r="M5" s="25"/>
      <c r="N5" s="62"/>
      <c r="P5" s="11"/>
      <c r="Q5" s="154"/>
      <c r="R5" s="156"/>
    </row>
    <row r="6" spans="1:25" ht="24.95" customHeight="1" x14ac:dyDescent="0.2">
      <c r="A6" s="157" t="s">
        <v>14</v>
      </c>
      <c r="B6" s="158"/>
      <c r="C6" s="159" t="s">
        <v>92</v>
      </c>
      <c r="D6" s="159"/>
      <c r="E6" s="159"/>
      <c r="F6" s="159"/>
      <c r="G6" s="159"/>
      <c r="H6" s="159"/>
      <c r="I6" s="159"/>
      <c r="J6" s="108" t="s">
        <v>10</v>
      </c>
      <c r="K6" s="160">
        <v>45924</v>
      </c>
      <c r="L6" s="160"/>
      <c r="M6" s="160"/>
      <c r="N6" s="161"/>
      <c r="P6" s="11"/>
      <c r="Q6" s="13"/>
      <c r="R6" s="14" t="s">
        <v>28</v>
      </c>
      <c r="S6" s="15" t="s">
        <v>48</v>
      </c>
    </row>
    <row r="7" spans="1:25" ht="24.95" customHeight="1" x14ac:dyDescent="0.2">
      <c r="A7" s="162" t="s">
        <v>15</v>
      </c>
      <c r="B7" s="163"/>
      <c r="C7" s="164" t="s">
        <v>93</v>
      </c>
      <c r="D7" s="164"/>
      <c r="E7" s="164"/>
      <c r="F7" s="164"/>
      <c r="G7" s="164"/>
      <c r="H7" s="164"/>
      <c r="I7" s="164"/>
      <c r="J7" s="26" t="s">
        <v>11</v>
      </c>
      <c r="K7" s="165">
        <v>45940</v>
      </c>
      <c r="L7" s="165"/>
      <c r="M7" s="165"/>
      <c r="N7" s="166"/>
      <c r="P7" s="11"/>
      <c r="Q7" s="16" t="s">
        <v>24</v>
      </c>
      <c r="R7" s="14" t="s">
        <v>29</v>
      </c>
      <c r="S7" s="15" t="s">
        <v>49</v>
      </c>
    </row>
    <row r="8" spans="1:25" ht="24.95" customHeight="1" x14ac:dyDescent="0.2">
      <c r="A8" s="162" t="s">
        <v>64</v>
      </c>
      <c r="B8" s="163"/>
      <c r="C8" s="238" t="s">
        <v>94</v>
      </c>
      <c r="D8" s="164"/>
      <c r="E8" s="164"/>
      <c r="F8" s="164"/>
      <c r="G8" s="164"/>
      <c r="H8" s="164"/>
      <c r="I8" s="164"/>
      <c r="J8" s="26" t="s">
        <v>12</v>
      </c>
      <c r="K8" s="165">
        <v>45951</v>
      </c>
      <c r="L8" s="165"/>
      <c r="M8" s="165"/>
      <c r="N8" s="166"/>
      <c r="P8" s="11"/>
      <c r="Q8" s="16" t="s">
        <v>25</v>
      </c>
      <c r="R8" s="14" t="s">
        <v>30</v>
      </c>
      <c r="S8" s="15" t="s">
        <v>50</v>
      </c>
    </row>
    <row r="9" spans="1:25" ht="24.95" customHeight="1" x14ac:dyDescent="0.2">
      <c r="A9" s="162" t="s">
        <v>16</v>
      </c>
      <c r="B9" s="163"/>
      <c r="C9" s="164" t="s">
        <v>95</v>
      </c>
      <c r="D9" s="164"/>
      <c r="E9" s="164"/>
      <c r="F9" s="164"/>
      <c r="G9" s="164"/>
      <c r="H9" s="164"/>
      <c r="I9" s="164"/>
      <c r="J9" s="26" t="s">
        <v>13</v>
      </c>
      <c r="K9" s="111" t="s">
        <v>69</v>
      </c>
      <c r="L9" s="112" t="s">
        <v>91</v>
      </c>
      <c r="M9" s="113" t="s">
        <v>1</v>
      </c>
      <c r="N9" s="114">
        <v>25</v>
      </c>
      <c r="P9" s="11"/>
      <c r="Q9" s="16" t="s">
        <v>26</v>
      </c>
      <c r="R9" s="17" t="s">
        <v>31</v>
      </c>
      <c r="S9" s="15" t="s">
        <v>51</v>
      </c>
    </row>
    <row r="10" spans="1:25" ht="24.75" customHeight="1" x14ac:dyDescent="0.2">
      <c r="A10" s="162" t="s">
        <v>17</v>
      </c>
      <c r="B10" s="163"/>
      <c r="C10" s="164" t="s">
        <v>96</v>
      </c>
      <c r="D10" s="164"/>
      <c r="E10" s="164"/>
      <c r="F10" s="164"/>
      <c r="G10" s="164"/>
      <c r="H10" s="164"/>
      <c r="I10" s="164"/>
      <c r="J10" s="26" t="s">
        <v>9</v>
      </c>
      <c r="K10" s="168" t="str">
        <f>+CONCATENATE(L9,," ",N9,"-",D12,"-",F12)</f>
        <v>058 25-PE4-2-11</v>
      </c>
      <c r="L10" s="168"/>
      <c r="M10" s="168"/>
      <c r="N10" s="169"/>
      <c r="P10" s="11"/>
      <c r="Q10" s="18" t="s">
        <v>27</v>
      </c>
      <c r="R10" s="17" t="s">
        <v>32</v>
      </c>
      <c r="S10" s="15"/>
    </row>
    <row r="11" spans="1:25" ht="3.95" customHeight="1" thickBot="1" x14ac:dyDescent="0.25">
      <c r="A11" s="162"/>
      <c r="B11" s="163"/>
      <c r="C11" s="119"/>
      <c r="D11" s="119"/>
      <c r="E11" s="119"/>
      <c r="F11" s="119"/>
      <c r="G11" s="63"/>
      <c r="H11" s="63"/>
      <c r="I11" s="63"/>
      <c r="J11" s="63"/>
      <c r="K11" s="63"/>
      <c r="L11" s="63"/>
      <c r="M11" s="63"/>
      <c r="N11" s="64"/>
      <c r="P11" s="11"/>
      <c r="R11" s="13"/>
      <c r="S11" s="15" t="s">
        <v>52</v>
      </c>
    </row>
    <row r="12" spans="1:25" ht="24.95" customHeight="1" x14ac:dyDescent="0.2">
      <c r="A12" s="157" t="s">
        <v>18</v>
      </c>
      <c r="B12" s="158"/>
      <c r="C12" s="121" t="s">
        <v>48</v>
      </c>
      <c r="D12" s="3" t="s">
        <v>99</v>
      </c>
      <c r="E12" s="4" t="s">
        <v>19</v>
      </c>
      <c r="F12" s="121">
        <v>11</v>
      </c>
      <c r="G12" s="4" t="s">
        <v>0</v>
      </c>
      <c r="H12" s="117">
        <v>6.5</v>
      </c>
      <c r="I12" s="7" t="s">
        <v>1</v>
      </c>
      <c r="J12" s="118">
        <v>8</v>
      </c>
      <c r="K12" s="65"/>
      <c r="L12" s="65"/>
      <c r="M12" s="65"/>
      <c r="N12" s="66"/>
      <c r="P12" s="11"/>
      <c r="R12" s="17" t="s">
        <v>33</v>
      </c>
      <c r="S12" s="15"/>
    </row>
    <row r="13" spans="1:25" ht="24.95" customHeight="1" x14ac:dyDescent="0.2">
      <c r="A13" s="162" t="s">
        <v>66</v>
      </c>
      <c r="B13" s="163"/>
      <c r="C13" s="170" t="s">
        <v>100</v>
      </c>
      <c r="D13" s="170"/>
      <c r="E13" s="170"/>
      <c r="F13" s="170"/>
      <c r="G13" s="170"/>
      <c r="H13" s="170"/>
      <c r="I13" s="170"/>
      <c r="J13" s="170"/>
      <c r="K13" s="170"/>
      <c r="L13" s="170"/>
      <c r="M13" s="170"/>
      <c r="N13" s="171"/>
      <c r="P13" s="11"/>
    </row>
    <row r="14" spans="1:25" ht="3.95" customHeight="1" thickBot="1" x14ac:dyDescent="0.3">
      <c r="A14" s="67"/>
      <c r="B14" s="68"/>
      <c r="C14" s="68"/>
      <c r="D14" s="68"/>
      <c r="E14" s="68"/>
      <c r="F14" s="68"/>
      <c r="G14" s="172"/>
      <c r="H14" s="172"/>
      <c r="I14" s="172"/>
      <c r="J14" s="69"/>
      <c r="K14" s="70"/>
      <c r="L14" s="70"/>
      <c r="M14" s="70"/>
      <c r="N14" s="71"/>
      <c r="P14" s="11"/>
    </row>
    <row r="15" spans="1:25" ht="3" customHeight="1" x14ac:dyDescent="0.25">
      <c r="A15" s="72"/>
      <c r="B15" s="73"/>
      <c r="C15" s="73"/>
      <c r="D15" s="73"/>
      <c r="E15" s="73"/>
      <c r="F15" s="73"/>
      <c r="G15" s="74"/>
      <c r="H15" s="75"/>
      <c r="I15" s="76"/>
      <c r="J15" s="74"/>
      <c r="K15" s="77"/>
      <c r="L15" s="77"/>
      <c r="M15" s="77"/>
      <c r="N15" s="78"/>
      <c r="P15" s="11"/>
    </row>
    <row r="16" spans="1:25" ht="9" customHeight="1" thickBot="1" x14ac:dyDescent="0.25">
      <c r="A16" s="79"/>
      <c r="B16" s="80"/>
      <c r="C16" s="80"/>
      <c r="D16" s="80"/>
      <c r="E16" s="80"/>
      <c r="F16" s="80"/>
      <c r="G16" s="81"/>
      <c r="H16" s="81"/>
      <c r="I16" s="81"/>
      <c r="J16" s="81"/>
      <c r="K16" s="81"/>
      <c r="L16" s="81"/>
      <c r="M16" s="81"/>
      <c r="N16" s="62"/>
      <c r="P16" s="11"/>
    </row>
    <row r="17" spans="1:33" ht="24.95" customHeight="1" thickBot="1" x14ac:dyDescent="0.35">
      <c r="A17" s="58"/>
      <c r="B17" s="173" t="s">
        <v>7</v>
      </c>
      <c r="C17" s="174"/>
      <c r="D17" s="174"/>
      <c r="E17" s="174"/>
      <c r="F17" s="174"/>
      <c r="G17" s="174"/>
      <c r="H17" s="173" t="s">
        <v>4</v>
      </c>
      <c r="I17" s="175"/>
      <c r="J17" s="82"/>
      <c r="K17" s="82"/>
      <c r="L17" s="82"/>
      <c r="M17" s="82"/>
      <c r="N17" s="83"/>
      <c r="O17" s="101">
        <f>E32</f>
        <v>0.52</v>
      </c>
      <c r="P17" s="97">
        <f>I32</f>
        <v>0.54564533053515218</v>
      </c>
      <c r="Q17" s="98">
        <f>B32</f>
        <v>0.6166666666666667</v>
      </c>
      <c r="R17" s="12">
        <f>Q17/P17</f>
        <v>1.1301602564102564</v>
      </c>
      <c r="S17" s="12">
        <f>O17/Q17</f>
        <v>0.84324324324324318</v>
      </c>
    </row>
    <row r="18" spans="1:33" ht="24.95" customHeight="1" x14ac:dyDescent="0.3">
      <c r="A18" s="58"/>
      <c r="B18" s="31" t="s">
        <v>57</v>
      </c>
      <c r="C18" s="176">
        <v>4.43</v>
      </c>
      <c r="D18" s="177"/>
      <c r="E18" s="50" t="s">
        <v>79</v>
      </c>
      <c r="F18" s="178">
        <f>F19/(1+I21/100)</f>
        <v>1.6475296725009885</v>
      </c>
      <c r="G18" s="179"/>
      <c r="H18" s="31" t="s">
        <v>58</v>
      </c>
      <c r="I18" s="34">
        <v>245.53</v>
      </c>
      <c r="J18" s="82"/>
      <c r="K18" s="84"/>
      <c r="L18" s="84"/>
      <c r="M18" s="84"/>
      <c r="N18" s="85"/>
      <c r="O18" s="100">
        <f>E37</f>
        <v>0.95899999999999996</v>
      </c>
      <c r="P18" s="99">
        <f>I37</f>
        <v>1.0062959076600211</v>
      </c>
      <c r="Q18" s="98">
        <f>B37</f>
        <v>1.1333333333333333</v>
      </c>
      <c r="R18" s="12">
        <f>Q18/P18</f>
        <v>1.1262426138338546</v>
      </c>
      <c r="S18" s="12">
        <f>O18/Q18</f>
        <v>0.84617647058823531</v>
      </c>
      <c r="AC18" s="11" t="s">
        <v>89</v>
      </c>
      <c r="AG18" s="1" t="s">
        <v>90</v>
      </c>
    </row>
    <row r="19" spans="1:33" ht="24.95" customHeight="1" x14ac:dyDescent="0.3">
      <c r="A19" s="58"/>
      <c r="B19" s="32" t="s">
        <v>36</v>
      </c>
      <c r="C19" s="180">
        <v>9.5299999999999994</v>
      </c>
      <c r="D19" s="181"/>
      <c r="E19" s="51" t="s">
        <v>80</v>
      </c>
      <c r="F19" s="182">
        <f>+C21/(C20)</f>
        <v>1.9810153014887879</v>
      </c>
      <c r="G19" s="183"/>
      <c r="H19" s="32" t="s">
        <v>5</v>
      </c>
      <c r="I19" s="36">
        <v>214.19</v>
      </c>
      <c r="J19" s="82"/>
      <c r="K19" s="84"/>
      <c r="L19" s="84"/>
      <c r="M19" s="84"/>
      <c r="N19" s="85"/>
      <c r="O19" s="100" t="str">
        <f>E48</f>
        <v>-</v>
      </c>
      <c r="P19" s="97" t="str">
        <f>I48</f>
        <v>-</v>
      </c>
      <c r="Q19" s="98" t="str">
        <f>B48</f>
        <v>-</v>
      </c>
      <c r="R19" s="12" t="e">
        <f>Q19/P19</f>
        <v>#VALUE!</v>
      </c>
      <c r="S19" s="12" t="e">
        <f>O19/Q19</f>
        <v>#VALUE!</v>
      </c>
    </row>
    <row r="20" spans="1:33" ht="24.95" customHeight="1" x14ac:dyDescent="0.3">
      <c r="A20" s="58"/>
      <c r="B20" s="32" t="s">
        <v>37</v>
      </c>
      <c r="C20" s="184">
        <f>(PI()*((C18^2)/4)*C19)</f>
        <v>146.88932477266226</v>
      </c>
      <c r="D20" s="185"/>
      <c r="E20" s="52" t="s">
        <v>22</v>
      </c>
      <c r="F20" s="186" t="s">
        <v>26</v>
      </c>
      <c r="G20" s="187"/>
      <c r="H20" s="32" t="s">
        <v>6</v>
      </c>
      <c r="I20" s="36">
        <v>59.36</v>
      </c>
      <c r="J20" s="82"/>
      <c r="K20" s="84"/>
      <c r="L20" s="84"/>
      <c r="M20" s="84"/>
      <c r="N20" s="85"/>
      <c r="O20" s="2"/>
      <c r="P20" s="96"/>
      <c r="Q20" s="11" t="s">
        <v>84</v>
      </c>
      <c r="R20" s="102" t="e">
        <f>(R17+R18+R19)/3</f>
        <v>#VALUE!</v>
      </c>
      <c r="S20" s="11"/>
    </row>
    <row r="21" spans="1:33" ht="24.95" customHeight="1" x14ac:dyDescent="0.3">
      <c r="A21" s="58"/>
      <c r="B21" s="32" t="s">
        <v>3</v>
      </c>
      <c r="C21" s="180">
        <v>290.99</v>
      </c>
      <c r="D21" s="181"/>
      <c r="E21" s="52" t="s">
        <v>59</v>
      </c>
      <c r="F21" s="194" t="s">
        <v>29</v>
      </c>
      <c r="G21" s="195"/>
      <c r="H21" s="35" t="s">
        <v>38</v>
      </c>
      <c r="I21" s="37">
        <f>(I18-I19)/(I19-I20)*100</f>
        <v>20.241555254149716</v>
      </c>
      <c r="J21" s="82"/>
      <c r="K21" s="84"/>
      <c r="L21" s="84"/>
      <c r="M21" s="84"/>
      <c r="N21" s="85"/>
      <c r="O21" s="2"/>
      <c r="P21" s="11"/>
      <c r="Q21" s="11" t="s">
        <v>83</v>
      </c>
      <c r="R21" s="102" t="e">
        <f>(S17+S18+S19)/3</f>
        <v>#VALUE!</v>
      </c>
      <c r="S21" s="11"/>
    </row>
    <row r="22" spans="1:33" ht="24.95" customHeight="1" thickBot="1" x14ac:dyDescent="0.35">
      <c r="A22" s="58"/>
      <c r="B22" s="33" t="s">
        <v>60</v>
      </c>
      <c r="C22" s="196">
        <f>(PI()*(C18*C18))/4</f>
        <v>15.41336041685858</v>
      </c>
      <c r="D22" s="197"/>
      <c r="E22" s="53" t="s">
        <v>34</v>
      </c>
      <c r="F22" s="198">
        <v>1</v>
      </c>
      <c r="G22" s="199"/>
      <c r="H22" s="94"/>
      <c r="I22" s="95"/>
      <c r="J22" s="82"/>
      <c r="K22" s="84"/>
      <c r="L22" s="84"/>
      <c r="M22" s="84"/>
      <c r="N22" s="85"/>
      <c r="O22" s="2"/>
      <c r="P22" s="11"/>
      <c r="Q22" s="11"/>
      <c r="R22" s="11"/>
      <c r="S22" s="11"/>
    </row>
    <row r="23" spans="1:33" ht="5.25" customHeight="1" thickBot="1" x14ac:dyDescent="0.35">
      <c r="A23" s="58"/>
      <c r="B23" s="86"/>
      <c r="C23" s="86"/>
      <c r="D23" s="86"/>
      <c r="E23" s="86"/>
      <c r="F23" s="86"/>
      <c r="G23" s="87"/>
      <c r="H23" s="87"/>
      <c r="I23" s="87"/>
      <c r="J23" s="87"/>
      <c r="K23" s="87"/>
      <c r="L23" s="87"/>
      <c r="M23" s="87"/>
      <c r="N23" s="83"/>
      <c r="P23" s="11"/>
    </row>
    <row r="24" spans="1:33" ht="24.95" customHeight="1" thickBot="1" x14ac:dyDescent="0.35">
      <c r="A24" s="58"/>
      <c r="B24" s="188" t="s">
        <v>45</v>
      </c>
      <c r="C24" s="190" t="s">
        <v>53</v>
      </c>
      <c r="D24" s="190" t="s">
        <v>65</v>
      </c>
      <c r="E24" s="192" t="s">
        <v>54</v>
      </c>
      <c r="F24" s="193"/>
      <c r="G24" s="192" t="s">
        <v>55</v>
      </c>
      <c r="H24" s="193"/>
      <c r="I24" s="190" t="s">
        <v>77</v>
      </c>
      <c r="J24" s="190" t="s">
        <v>78</v>
      </c>
      <c r="K24" s="190" t="s">
        <v>43</v>
      </c>
      <c r="L24" s="88"/>
      <c r="M24" s="88"/>
      <c r="N24" s="83"/>
      <c r="P24" s="239" t="s">
        <v>56</v>
      </c>
      <c r="Q24" s="243" t="s">
        <v>40</v>
      </c>
      <c r="R24" s="243" t="s">
        <v>35</v>
      </c>
      <c r="S24" s="239" t="s">
        <v>61</v>
      </c>
      <c r="T24" s="241" t="s">
        <v>46</v>
      </c>
    </row>
    <row r="25" spans="1:33" ht="24.95" customHeight="1" thickBot="1" x14ac:dyDescent="0.35">
      <c r="A25" s="58"/>
      <c r="B25" s="189"/>
      <c r="C25" s="191"/>
      <c r="D25" s="191"/>
      <c r="E25" s="103" t="s">
        <v>2</v>
      </c>
      <c r="F25" s="103" t="s">
        <v>42</v>
      </c>
      <c r="G25" s="103" t="s">
        <v>41</v>
      </c>
      <c r="H25" s="103" t="s">
        <v>44</v>
      </c>
      <c r="I25" s="191"/>
      <c r="J25" s="191"/>
      <c r="K25" s="191"/>
      <c r="L25" s="88"/>
      <c r="M25" s="88"/>
      <c r="N25" s="83"/>
      <c r="P25" s="240"/>
      <c r="Q25" s="244"/>
      <c r="R25" s="244"/>
      <c r="S25" s="240"/>
      <c r="T25" s="242"/>
    </row>
    <row r="26" spans="1:33" ht="24.95" customHeight="1" x14ac:dyDescent="0.3">
      <c r="A26" s="89"/>
      <c r="B26" s="38">
        <f>T26/60</f>
        <v>0</v>
      </c>
      <c r="C26" s="104">
        <f>R26</f>
        <v>0</v>
      </c>
      <c r="D26" s="41">
        <v>0</v>
      </c>
      <c r="E26" s="39">
        <f>S26</f>
        <v>0</v>
      </c>
      <c r="F26" s="41">
        <f>E26/25.4</f>
        <v>0</v>
      </c>
      <c r="G26" s="41">
        <v>0</v>
      </c>
      <c r="H26" s="42">
        <f>IF(D26="","",(D26/K26))</f>
        <v>0</v>
      </c>
      <c r="I26" s="41">
        <f>(E26/($C$19*10))*100</f>
        <v>0</v>
      </c>
      <c r="J26" s="43">
        <f>$C$22/(1-I26/100)</f>
        <v>15.41336041685858</v>
      </c>
      <c r="K26" s="109">
        <f>J26*0.155</f>
        <v>2.38907086461308</v>
      </c>
      <c r="L26" s="90"/>
      <c r="M26" s="90"/>
      <c r="N26" s="83"/>
      <c r="O26" s="5">
        <v>0</v>
      </c>
      <c r="P26" s="19">
        <v>0</v>
      </c>
      <c r="Q26" s="19"/>
      <c r="R26" s="115">
        <v>0</v>
      </c>
      <c r="S26" s="20">
        <v>0</v>
      </c>
      <c r="T26" s="106">
        <v>0</v>
      </c>
    </row>
    <row r="27" spans="1:33" ht="24.95" customHeight="1" x14ac:dyDescent="0.3">
      <c r="A27" s="89"/>
      <c r="B27" s="38">
        <f>T27/60</f>
        <v>0.1</v>
      </c>
      <c r="C27" s="104">
        <f t="shared" ref="C27:C38" si="0">R27</f>
        <v>0.03</v>
      </c>
      <c r="D27" s="40">
        <f t="shared" ref="D27:D38" si="1">C27*0.224809*1000</f>
        <v>6.7442700000000002</v>
      </c>
      <c r="E27" s="39">
        <f>S27</f>
        <v>0</v>
      </c>
      <c r="F27" s="41">
        <f>E27/25.4</f>
        <v>0</v>
      </c>
      <c r="G27" s="41">
        <f t="shared" ref="G27:G38" si="2">IF(C27="","",(C27/(J27/10000)))</f>
        <v>19.463633619562334</v>
      </c>
      <c r="H27" s="42">
        <f t="shared" ref="H27:H38" si="3">IF(D27="","",(D27/K27))</f>
        <v>2.8229677486323799</v>
      </c>
      <c r="I27" s="41">
        <f t="shared" ref="I27:I38" si="4">(E27/($C$19*10))*100</f>
        <v>0</v>
      </c>
      <c r="J27" s="43">
        <f>$C$22/(1-I27/100)</f>
        <v>15.41336041685858</v>
      </c>
      <c r="K27" s="109">
        <f t="shared" ref="K27:K38" si="5">J27*0.155</f>
        <v>2.38907086461308</v>
      </c>
      <c r="L27" s="90"/>
      <c r="M27" s="90"/>
      <c r="N27" s="83"/>
      <c r="O27" s="6">
        <v>0</v>
      </c>
      <c r="P27" s="19">
        <v>0</v>
      </c>
      <c r="Q27" s="21"/>
      <c r="R27" s="115">
        <v>0.03</v>
      </c>
      <c r="S27" s="22">
        <v>0</v>
      </c>
      <c r="T27" s="106">
        <v>6</v>
      </c>
    </row>
    <row r="28" spans="1:33" ht="24.95" customHeight="1" x14ac:dyDescent="0.3">
      <c r="A28" s="89"/>
      <c r="B28" s="38">
        <f t="shared" ref="B28:B38" si="6">T28/60</f>
        <v>0.2</v>
      </c>
      <c r="C28" s="104">
        <f t="shared" si="0"/>
        <v>0.113</v>
      </c>
      <c r="D28" s="40">
        <f t="shared" si="1"/>
        <v>25.403417000000001</v>
      </c>
      <c r="E28" s="39">
        <f t="shared" ref="E28:E38" si="7">S28</f>
        <v>0.11</v>
      </c>
      <c r="F28" s="41">
        <f t="shared" ref="F28:F38" si="8">E28/25.4</f>
        <v>4.3307086614173228E-3</v>
      </c>
      <c r="G28" s="41">
        <f t="shared" si="2"/>
        <v>73.228398432953369</v>
      </c>
      <c r="H28" s="42">
        <f t="shared" si="3"/>
        <v>10.620905176331492</v>
      </c>
      <c r="I28" s="41">
        <f t="shared" si="4"/>
        <v>0.11542497376705142</v>
      </c>
      <c r="J28" s="43">
        <f t="shared" ref="J28:J38" si="9">$C$22/(1-I28/100)</f>
        <v>15.431171842910208</v>
      </c>
      <c r="K28" s="109">
        <f t="shared" si="5"/>
        <v>2.3918316356510823</v>
      </c>
      <c r="L28" s="90"/>
      <c r="M28" s="90"/>
      <c r="N28" s="83"/>
      <c r="O28" s="6">
        <v>0.59499999999999997</v>
      </c>
      <c r="P28" s="19">
        <v>4.3307000000000007E-3</v>
      </c>
      <c r="Q28" s="21"/>
      <c r="R28" s="115">
        <v>0.113</v>
      </c>
      <c r="S28" s="22">
        <v>0.11</v>
      </c>
      <c r="T28" s="106">
        <v>12</v>
      </c>
    </row>
    <row r="29" spans="1:33" ht="24.95" customHeight="1" x14ac:dyDescent="0.3">
      <c r="A29" s="89"/>
      <c r="B29" s="38">
        <f>T29/60</f>
        <v>0.31666666666666665</v>
      </c>
      <c r="C29" s="104">
        <f t="shared" si="0"/>
        <v>0.184</v>
      </c>
      <c r="D29" s="40">
        <f t="shared" si="1"/>
        <v>41.364855999999996</v>
      </c>
      <c r="E29" s="39">
        <f>S29</f>
        <v>0.24</v>
      </c>
      <c r="F29" s="41">
        <f t="shared" si="8"/>
        <v>9.4488188976377951E-3</v>
      </c>
      <c r="G29" s="41">
        <f t="shared" si="2"/>
        <v>119.07631835785574</v>
      </c>
      <c r="H29" s="42">
        <f t="shared" si="3"/>
        <v>17.270598744329799</v>
      </c>
      <c r="I29" s="41">
        <f t="shared" si="4"/>
        <v>0.25183630640083943</v>
      </c>
      <c r="J29" s="43">
        <f t="shared" si="9"/>
        <v>15.452274855108593</v>
      </c>
      <c r="K29" s="109">
        <f t="shared" si="5"/>
        <v>2.395102602541832</v>
      </c>
      <c r="L29" s="90"/>
      <c r="M29" s="90"/>
      <c r="N29" s="83"/>
      <c r="O29" s="6">
        <v>1.1120000000000001</v>
      </c>
      <c r="P29" s="19">
        <v>9.4488000000000003E-3</v>
      </c>
      <c r="Q29" s="21"/>
      <c r="R29" s="115">
        <v>0.184</v>
      </c>
      <c r="S29" s="22">
        <v>0.24</v>
      </c>
      <c r="T29" s="106">
        <v>19</v>
      </c>
    </row>
    <row r="30" spans="1:33" ht="24.95" customHeight="1" x14ac:dyDescent="0.3">
      <c r="A30" s="89"/>
      <c r="B30" s="38">
        <f t="shared" si="6"/>
        <v>0.41666666666666669</v>
      </c>
      <c r="C30" s="104">
        <f t="shared" si="0"/>
        <v>0.23400000000000001</v>
      </c>
      <c r="D30" s="40">
        <f t="shared" si="1"/>
        <v>52.605306000000006</v>
      </c>
      <c r="E30" s="39">
        <f t="shared" si="7"/>
        <v>0.33</v>
      </c>
      <c r="F30" s="41">
        <f t="shared" si="8"/>
        <v>1.299212598425197E-2</v>
      </c>
      <c r="G30" s="41">
        <f t="shared" si="2"/>
        <v>151.29064031299805</v>
      </c>
      <c r="H30" s="42">
        <f t="shared" si="3"/>
        <v>21.942901650403083</v>
      </c>
      <c r="I30" s="41">
        <f t="shared" si="4"/>
        <v>0.34627492130115428</v>
      </c>
      <c r="J30" s="43">
        <f t="shared" si="9"/>
        <v>15.466918476641284</v>
      </c>
      <c r="K30" s="109">
        <f t="shared" si="5"/>
        <v>2.3973723638793989</v>
      </c>
      <c r="L30" s="90"/>
      <c r="M30" s="90"/>
      <c r="N30" s="83"/>
      <c r="O30" s="6">
        <v>1.605</v>
      </c>
      <c r="P30" s="19">
        <v>1.2992100000000001E-2</v>
      </c>
      <c r="Q30" s="21"/>
      <c r="R30" s="115">
        <v>0.23400000000000001</v>
      </c>
      <c r="S30" s="22">
        <v>0.33</v>
      </c>
      <c r="T30" s="106">
        <v>25</v>
      </c>
    </row>
    <row r="31" spans="1:33" ht="24.95" customHeight="1" x14ac:dyDescent="0.3">
      <c r="A31" s="89"/>
      <c r="B31" s="38">
        <f t="shared" si="6"/>
        <v>0.51666666666666672</v>
      </c>
      <c r="C31" s="104">
        <f t="shared" si="0"/>
        <v>0.28699999999999998</v>
      </c>
      <c r="D31" s="40">
        <f t="shared" si="1"/>
        <v>64.520182999999989</v>
      </c>
      <c r="E31" s="39">
        <f t="shared" si="7"/>
        <v>0.42</v>
      </c>
      <c r="F31" s="41">
        <f t="shared" si="8"/>
        <v>1.6535433070866142E-2</v>
      </c>
      <c r="G31" s="41">
        <f t="shared" si="2"/>
        <v>185.38147712329814</v>
      </c>
      <c r="H31" s="42">
        <f t="shared" si="3"/>
        <v>26.887370639104212</v>
      </c>
      <c r="I31" s="41">
        <f t="shared" si="4"/>
        <v>0.44071353620146902</v>
      </c>
      <c r="J31" s="43">
        <f t="shared" si="9"/>
        <v>15.481589879074859</v>
      </c>
      <c r="K31" s="109">
        <f t="shared" si="5"/>
        <v>2.399646431256603</v>
      </c>
      <c r="L31" s="90"/>
      <c r="M31" s="90"/>
      <c r="N31" s="83"/>
      <c r="O31" s="6">
        <v>2.0270000000000001</v>
      </c>
      <c r="P31" s="19">
        <v>1.6535399999999999E-2</v>
      </c>
      <c r="Q31" s="21"/>
      <c r="R31" s="115">
        <v>0.28699999999999998</v>
      </c>
      <c r="S31" s="22">
        <v>0.42</v>
      </c>
      <c r="T31" s="106">
        <v>31</v>
      </c>
    </row>
    <row r="32" spans="1:33" ht="24.95" customHeight="1" x14ac:dyDescent="0.3">
      <c r="A32" s="89"/>
      <c r="B32" s="38">
        <f t="shared" si="6"/>
        <v>0.6166666666666667</v>
      </c>
      <c r="C32" s="104">
        <f t="shared" si="0"/>
        <v>0.34699999999999998</v>
      </c>
      <c r="D32" s="40">
        <f t="shared" si="1"/>
        <v>78.008723000000003</v>
      </c>
      <c r="E32" s="39">
        <f t="shared" si="7"/>
        <v>0.52</v>
      </c>
      <c r="F32" s="41">
        <f t="shared" si="8"/>
        <v>2.0472440944881893E-2</v>
      </c>
      <c r="G32" s="41">
        <f t="shared" si="2"/>
        <v>223.90095434709863</v>
      </c>
      <c r="H32" s="42">
        <f t="shared" si="3"/>
        <v>32.474161061817355</v>
      </c>
      <c r="I32" s="41">
        <f t="shared" si="4"/>
        <v>0.54564533053515218</v>
      </c>
      <c r="J32" s="43">
        <f t="shared" si="9"/>
        <v>15.497924116128114</v>
      </c>
      <c r="K32" s="109">
        <f t="shared" si="5"/>
        <v>2.4021782379998577</v>
      </c>
      <c r="L32" s="90"/>
      <c r="M32" s="90"/>
      <c r="N32" s="83"/>
      <c r="O32" s="6">
        <v>2.4540000000000002</v>
      </c>
      <c r="P32" s="19">
        <v>2.0472400000000002E-2</v>
      </c>
      <c r="Q32" s="21"/>
      <c r="R32" s="115">
        <v>0.34699999999999998</v>
      </c>
      <c r="S32" s="22">
        <v>0.52</v>
      </c>
      <c r="T32" s="106">
        <v>37</v>
      </c>
    </row>
    <row r="33" spans="1:20" ht="24.95" customHeight="1" x14ac:dyDescent="0.3">
      <c r="A33" s="89"/>
      <c r="B33" s="38">
        <f t="shared" si="6"/>
        <v>0.71666666666666667</v>
      </c>
      <c r="C33" s="104">
        <f t="shared" si="0"/>
        <v>0.40100000000000002</v>
      </c>
      <c r="D33" s="40">
        <f t="shared" si="1"/>
        <v>90.148409000000015</v>
      </c>
      <c r="E33" s="39">
        <f t="shared" si="7"/>
        <v>0.6</v>
      </c>
      <c r="F33" s="41">
        <f t="shared" si="8"/>
        <v>2.3622047244094488E-2</v>
      </c>
      <c r="G33" s="41">
        <f t="shared" si="2"/>
        <v>258.5259348068534</v>
      </c>
      <c r="H33" s="42">
        <f t="shared" si="3"/>
        <v>37.496101211608973</v>
      </c>
      <c r="I33" s="41">
        <f t="shared" si="4"/>
        <v>0.62959076600209862</v>
      </c>
      <c r="J33" s="43">
        <f t="shared" si="9"/>
        <v>15.511016343470144</v>
      </c>
      <c r="K33" s="109">
        <f t="shared" si="5"/>
        <v>2.4042075332378725</v>
      </c>
      <c r="L33" s="90"/>
      <c r="M33" s="90"/>
      <c r="N33" s="83"/>
      <c r="O33" s="6">
        <v>2.81</v>
      </c>
      <c r="P33" s="19">
        <v>2.3622000000000001E-2</v>
      </c>
      <c r="Q33" s="21"/>
      <c r="R33" s="115">
        <v>0.40100000000000002</v>
      </c>
      <c r="S33" s="22">
        <v>0.6</v>
      </c>
      <c r="T33" s="106">
        <v>43</v>
      </c>
    </row>
    <row r="34" spans="1:20" ht="24.95" customHeight="1" x14ac:dyDescent="0.3">
      <c r="A34" s="89"/>
      <c r="B34" s="38">
        <f t="shared" si="6"/>
        <v>0.83333333333333337</v>
      </c>
      <c r="C34" s="104">
        <f>R34</f>
        <v>0.46400000000000002</v>
      </c>
      <c r="D34" s="40">
        <f t="shared" si="1"/>
        <v>104.31137600000001</v>
      </c>
      <c r="E34" s="39">
        <f t="shared" si="7"/>
        <v>0.7</v>
      </c>
      <c r="F34" s="41">
        <f t="shared" si="8"/>
        <v>2.7559055118110236E-2</v>
      </c>
      <c r="G34" s="41">
        <f t="shared" si="2"/>
        <v>298.82634471861388</v>
      </c>
      <c r="H34" s="42">
        <f t="shared" si="3"/>
        <v>43.34119466441733</v>
      </c>
      <c r="I34" s="41">
        <f t="shared" si="4"/>
        <v>0.73452256033578167</v>
      </c>
      <c r="J34" s="43">
        <f t="shared" si="9"/>
        <v>15.527412766666203</v>
      </c>
      <c r="K34" s="109">
        <f t="shared" si="5"/>
        <v>2.4067489788332614</v>
      </c>
      <c r="L34" s="90"/>
      <c r="M34" s="90"/>
      <c r="N34" s="83"/>
      <c r="O34" s="6">
        <v>3.2429999999999999</v>
      </c>
      <c r="P34" s="19">
        <v>2.7559E-2</v>
      </c>
      <c r="Q34" s="21"/>
      <c r="R34" s="115">
        <v>0.46400000000000002</v>
      </c>
      <c r="S34" s="22">
        <v>0.7</v>
      </c>
      <c r="T34" s="106">
        <v>50</v>
      </c>
    </row>
    <row r="35" spans="1:20" ht="24.95" customHeight="1" x14ac:dyDescent="0.3">
      <c r="A35" s="89"/>
      <c r="B35" s="38">
        <f t="shared" si="6"/>
        <v>0.93333333333333335</v>
      </c>
      <c r="C35" s="104">
        <f t="shared" si="0"/>
        <v>0.50900000000000001</v>
      </c>
      <c r="D35" s="40">
        <f t="shared" si="1"/>
        <v>114.42778100000001</v>
      </c>
      <c r="E35" s="39">
        <f t="shared" si="7"/>
        <v>0.78</v>
      </c>
      <c r="F35" s="41">
        <f t="shared" si="8"/>
        <v>3.0708661417322838E-2</v>
      </c>
      <c r="G35" s="41">
        <f t="shared" si="2"/>
        <v>327.53013246170173</v>
      </c>
      <c r="H35" s="42">
        <f t="shared" si="3"/>
        <v>47.504336482956589</v>
      </c>
      <c r="I35" s="41">
        <f t="shared" si="4"/>
        <v>0.81846799580272833</v>
      </c>
      <c r="J35" s="43">
        <f t="shared" si="9"/>
        <v>15.540554884962154</v>
      </c>
      <c r="K35" s="109">
        <f t="shared" si="5"/>
        <v>2.4087860071691338</v>
      </c>
      <c r="L35" s="90"/>
      <c r="M35" s="90"/>
      <c r="N35" s="83"/>
      <c r="O35" s="6">
        <v>3.6720000000000002</v>
      </c>
      <c r="P35" s="19">
        <v>3.0708600000000003E-2</v>
      </c>
      <c r="Q35" s="21"/>
      <c r="R35" s="115">
        <v>0.50900000000000001</v>
      </c>
      <c r="S35" s="22">
        <v>0.78</v>
      </c>
      <c r="T35" s="106">
        <v>56</v>
      </c>
    </row>
    <row r="36" spans="1:20" ht="24.95" customHeight="1" x14ac:dyDescent="0.3">
      <c r="A36" s="89"/>
      <c r="B36" s="38">
        <f t="shared" si="6"/>
        <v>1.0333333333333334</v>
      </c>
      <c r="C36" s="104">
        <f t="shared" si="0"/>
        <v>0.51700000000000002</v>
      </c>
      <c r="D36" s="40">
        <f t="shared" si="1"/>
        <v>116.226253</v>
      </c>
      <c r="E36" s="39">
        <f t="shared" si="7"/>
        <v>0.87</v>
      </c>
      <c r="F36" s="41">
        <f t="shared" si="8"/>
        <v>3.4251968503937011E-2</v>
      </c>
      <c r="G36" s="41">
        <f t="shared" si="2"/>
        <v>332.36118469165979</v>
      </c>
      <c r="H36" s="42">
        <f t="shared" si="3"/>
        <v>48.205022947966022</v>
      </c>
      <c r="I36" s="41">
        <f t="shared" si="4"/>
        <v>0.91290661070304313</v>
      </c>
      <c r="J36" s="43">
        <f t="shared" si="9"/>
        <v>15.555366384905462</v>
      </c>
      <c r="K36" s="109">
        <f t="shared" si="5"/>
        <v>2.4110817896603467</v>
      </c>
      <c r="L36" s="90"/>
      <c r="M36" s="90"/>
      <c r="N36" s="83"/>
      <c r="O36" s="6">
        <v>4.0990000000000002</v>
      </c>
      <c r="P36" s="19">
        <v>3.4251900000000002E-2</v>
      </c>
      <c r="Q36" s="21"/>
      <c r="R36" s="115">
        <v>0.51700000000000002</v>
      </c>
      <c r="S36" s="22">
        <v>0.87</v>
      </c>
      <c r="T36" s="106">
        <v>62</v>
      </c>
    </row>
    <row r="37" spans="1:20" ht="24.95" customHeight="1" x14ac:dyDescent="0.3">
      <c r="A37" s="89"/>
      <c r="B37" s="38">
        <f t="shared" si="6"/>
        <v>1.1333333333333333</v>
      </c>
      <c r="C37" s="104">
        <f t="shared" si="0"/>
        <v>0.40799999999999997</v>
      </c>
      <c r="D37" s="40">
        <f t="shared" si="1"/>
        <v>91.722071999999997</v>
      </c>
      <c r="E37" s="39">
        <f t="shared" si="7"/>
        <v>0.95899999999999996</v>
      </c>
      <c r="F37" s="41">
        <f t="shared" si="8"/>
        <v>3.7755905511811023E-2</v>
      </c>
      <c r="G37" s="41">
        <f t="shared" si="2"/>
        <v>262.04169744514763</v>
      </c>
      <c r="H37" s="42">
        <f t="shared" si="3"/>
        <v>38.006020619965284</v>
      </c>
      <c r="I37" s="41">
        <f t="shared" si="4"/>
        <v>1.0062959076600211</v>
      </c>
      <c r="J37" s="43">
        <f t="shared" si="9"/>
        <v>15.570041103302094</v>
      </c>
      <c r="K37" s="109">
        <f t="shared" si="5"/>
        <v>2.4133563710118247</v>
      </c>
      <c r="L37" s="90"/>
      <c r="M37" s="90"/>
      <c r="N37" s="83"/>
      <c r="O37" s="6">
        <v>4.4050000000000002</v>
      </c>
      <c r="P37" s="19">
        <v>3.7755830000000004E-2</v>
      </c>
      <c r="Q37" s="21"/>
      <c r="R37" s="115">
        <v>0.40799999999999997</v>
      </c>
      <c r="S37" s="22">
        <v>0.95899999999999996</v>
      </c>
      <c r="T37" s="106">
        <v>68</v>
      </c>
    </row>
    <row r="38" spans="1:20" ht="24.95" customHeight="1" x14ac:dyDescent="0.3">
      <c r="A38" s="89"/>
      <c r="B38" s="38">
        <f t="shared" si="6"/>
        <v>1.2333333333333334</v>
      </c>
      <c r="C38" s="104">
        <f t="shared" si="0"/>
        <v>0.30099999999999999</v>
      </c>
      <c r="D38" s="40">
        <f t="shared" si="1"/>
        <v>67.667508999999995</v>
      </c>
      <c r="E38" s="39">
        <f t="shared" si="7"/>
        <v>1.0589999999999999</v>
      </c>
      <c r="F38" s="41">
        <f t="shared" si="8"/>
        <v>4.1692913385826771E-2</v>
      </c>
      <c r="G38" s="41">
        <f t="shared" si="2"/>
        <v>193.11506158737089</v>
      </c>
      <c r="H38" s="42">
        <f t="shared" si="3"/>
        <v>28.00903476154533</v>
      </c>
      <c r="I38" s="41">
        <f t="shared" si="4"/>
        <v>1.111227701993704</v>
      </c>
      <c r="J38" s="43">
        <f t="shared" si="9"/>
        <v>15.586562618463542</v>
      </c>
      <c r="K38" s="109">
        <f t="shared" si="5"/>
        <v>2.4159172058618492</v>
      </c>
      <c r="L38" s="90"/>
      <c r="M38" s="90"/>
      <c r="N38" s="83"/>
      <c r="O38" s="6">
        <v>4.83</v>
      </c>
      <c r="P38" s="19">
        <v>4.169283E-2</v>
      </c>
      <c r="Q38" s="21"/>
      <c r="R38" s="115">
        <v>0.30099999999999999</v>
      </c>
      <c r="S38" s="22">
        <v>1.0589999999999999</v>
      </c>
      <c r="T38" s="106">
        <v>74</v>
      </c>
    </row>
    <row r="39" spans="1:20" ht="24.95" customHeight="1" x14ac:dyDescent="0.3">
      <c r="A39" s="89"/>
      <c r="B39" s="38" t="s">
        <v>1</v>
      </c>
      <c r="C39" s="104" t="s">
        <v>1</v>
      </c>
      <c r="D39" s="40" t="s">
        <v>1</v>
      </c>
      <c r="E39" s="39" t="s">
        <v>1</v>
      </c>
      <c r="F39" s="41" t="s">
        <v>1</v>
      </c>
      <c r="G39" s="41" t="s">
        <v>1</v>
      </c>
      <c r="H39" s="42" t="s">
        <v>1</v>
      </c>
      <c r="I39" s="41" t="s">
        <v>1</v>
      </c>
      <c r="J39" s="43" t="s">
        <v>1</v>
      </c>
      <c r="K39" s="109" t="s">
        <v>1</v>
      </c>
      <c r="L39" s="90"/>
      <c r="M39" s="90"/>
      <c r="N39" s="83"/>
      <c r="O39" s="6">
        <v>5.2560000000000002</v>
      </c>
      <c r="P39" s="19">
        <v>4.5629830000000003E-2</v>
      </c>
      <c r="Q39" s="21"/>
      <c r="R39" s="115">
        <v>0.28499999999999998</v>
      </c>
      <c r="S39" s="22">
        <v>1.159</v>
      </c>
      <c r="T39" s="106">
        <v>81</v>
      </c>
    </row>
    <row r="40" spans="1:20" ht="24.95" customHeight="1" x14ac:dyDescent="0.3">
      <c r="A40" s="89"/>
      <c r="B40" s="38" t="s">
        <v>1</v>
      </c>
      <c r="C40" s="104" t="s">
        <v>1</v>
      </c>
      <c r="D40" s="40" t="s">
        <v>1</v>
      </c>
      <c r="E40" s="39" t="s">
        <v>1</v>
      </c>
      <c r="F40" s="41" t="s">
        <v>1</v>
      </c>
      <c r="G40" s="41" t="s">
        <v>1</v>
      </c>
      <c r="H40" s="42" t="s">
        <v>1</v>
      </c>
      <c r="I40" s="41" t="s">
        <v>1</v>
      </c>
      <c r="J40" s="43" t="s">
        <v>1</v>
      </c>
      <c r="K40" s="109" t="s">
        <v>1</v>
      </c>
      <c r="L40" s="90"/>
      <c r="M40" s="90"/>
      <c r="N40" s="83"/>
      <c r="O40" s="6">
        <v>5.593</v>
      </c>
      <c r="P40" s="19">
        <v>4.9212500000000006E-2</v>
      </c>
      <c r="Q40" s="21"/>
      <c r="R40" s="115">
        <v>0.30399999999999999</v>
      </c>
      <c r="S40" s="22">
        <v>1.25</v>
      </c>
      <c r="T40" s="106">
        <v>87</v>
      </c>
    </row>
    <row r="41" spans="1:20" ht="24.95" customHeight="1" x14ac:dyDescent="0.3">
      <c r="A41" s="89"/>
      <c r="B41" s="38" t="s">
        <v>1</v>
      </c>
      <c r="C41" s="104" t="s">
        <v>1</v>
      </c>
      <c r="D41" s="40" t="s">
        <v>1</v>
      </c>
      <c r="E41" s="39" t="s">
        <v>1</v>
      </c>
      <c r="F41" s="41" t="s">
        <v>1</v>
      </c>
      <c r="G41" s="41" t="s">
        <v>1</v>
      </c>
      <c r="H41" s="42" t="s">
        <v>1</v>
      </c>
      <c r="I41" s="41" t="s">
        <v>1</v>
      </c>
      <c r="J41" s="43" t="s">
        <v>1</v>
      </c>
      <c r="K41" s="109" t="s">
        <v>1</v>
      </c>
      <c r="L41" s="90"/>
      <c r="M41" s="90"/>
      <c r="N41" s="83"/>
      <c r="O41" s="6">
        <v>6.0650000000000004</v>
      </c>
      <c r="P41" s="19">
        <v>5.2755800000000005E-2</v>
      </c>
      <c r="Q41" s="21"/>
      <c r="R41" s="115">
        <v>0.31</v>
      </c>
      <c r="S41" s="22">
        <v>1.34</v>
      </c>
      <c r="T41" s="106">
        <v>93</v>
      </c>
    </row>
    <row r="42" spans="1:20" ht="24.95" customHeight="1" x14ac:dyDescent="0.3">
      <c r="A42" s="89"/>
      <c r="B42" s="38" t="s">
        <v>1</v>
      </c>
      <c r="C42" s="104" t="s">
        <v>1</v>
      </c>
      <c r="D42" s="40" t="s">
        <v>1</v>
      </c>
      <c r="E42" s="39" t="s">
        <v>1</v>
      </c>
      <c r="F42" s="41" t="s">
        <v>1</v>
      </c>
      <c r="G42" s="41" t="s">
        <v>1</v>
      </c>
      <c r="H42" s="42" t="s">
        <v>1</v>
      </c>
      <c r="I42" s="41" t="s">
        <v>1</v>
      </c>
      <c r="J42" s="43" t="s">
        <v>1</v>
      </c>
      <c r="K42" s="109" t="s">
        <v>1</v>
      </c>
      <c r="L42" s="90"/>
      <c r="M42" s="90"/>
      <c r="N42" s="83"/>
      <c r="O42" s="6">
        <v>6.5289999999999999</v>
      </c>
      <c r="P42" s="19">
        <v>5.7047130000000008E-2</v>
      </c>
      <c r="Q42" s="21"/>
      <c r="R42" s="115">
        <v>0.18</v>
      </c>
      <c r="S42" s="22">
        <v>1.4490000000000001</v>
      </c>
      <c r="T42" s="106">
        <v>99</v>
      </c>
    </row>
    <row r="43" spans="1:20" ht="24.95" customHeight="1" x14ac:dyDescent="0.3">
      <c r="A43" s="89"/>
      <c r="B43" s="38" t="s">
        <v>1</v>
      </c>
      <c r="C43" s="104" t="s">
        <v>1</v>
      </c>
      <c r="D43" s="40" t="s">
        <v>1</v>
      </c>
      <c r="E43" s="39" t="s">
        <v>1</v>
      </c>
      <c r="F43" s="41" t="s">
        <v>1</v>
      </c>
      <c r="G43" s="41" t="s">
        <v>1</v>
      </c>
      <c r="H43" s="42" t="s">
        <v>1</v>
      </c>
      <c r="I43" s="41" t="s">
        <v>1</v>
      </c>
      <c r="J43" s="43" t="s">
        <v>1</v>
      </c>
      <c r="K43" s="109" t="s">
        <v>1</v>
      </c>
      <c r="L43" s="90"/>
      <c r="M43" s="90"/>
      <c r="N43" s="83"/>
      <c r="O43" s="6">
        <v>6.9450000000000003</v>
      </c>
      <c r="P43" s="19">
        <v>6.0236100000000008E-2</v>
      </c>
      <c r="Q43" s="21"/>
      <c r="R43" s="115">
        <v>0.19400000000000001</v>
      </c>
      <c r="S43" s="22">
        <v>1.53</v>
      </c>
      <c r="T43" s="106">
        <v>105</v>
      </c>
    </row>
    <row r="44" spans="1:20" ht="24.95" customHeight="1" x14ac:dyDescent="0.3">
      <c r="A44" s="89"/>
      <c r="B44" s="38" t="s">
        <v>1</v>
      </c>
      <c r="C44" s="104" t="s">
        <v>1</v>
      </c>
      <c r="D44" s="40" t="s">
        <v>1</v>
      </c>
      <c r="E44" s="39" t="s">
        <v>1</v>
      </c>
      <c r="F44" s="41" t="s">
        <v>1</v>
      </c>
      <c r="G44" s="41" t="s">
        <v>1</v>
      </c>
      <c r="H44" s="42" t="s">
        <v>1</v>
      </c>
      <c r="I44" s="41" t="s">
        <v>1</v>
      </c>
      <c r="J44" s="43" t="s">
        <v>1</v>
      </c>
      <c r="K44" s="109" t="s">
        <v>1</v>
      </c>
      <c r="L44" s="90"/>
      <c r="M44" s="90"/>
      <c r="N44" s="83"/>
      <c r="O44" s="6">
        <v>7.2439999999999998</v>
      </c>
      <c r="P44" s="19">
        <v>6.5354200000000001E-2</v>
      </c>
      <c r="Q44" s="21"/>
      <c r="R44" s="115">
        <v>0.21199999999999999</v>
      </c>
      <c r="S44" s="22">
        <v>1.66</v>
      </c>
      <c r="T44" s="106">
        <v>112</v>
      </c>
    </row>
    <row r="45" spans="1:20" ht="24.95" customHeight="1" x14ac:dyDescent="0.3">
      <c r="A45" s="89"/>
      <c r="B45" s="38" t="s">
        <v>1</v>
      </c>
      <c r="C45" s="104" t="s">
        <v>1</v>
      </c>
      <c r="D45" s="40" t="s">
        <v>1</v>
      </c>
      <c r="E45" s="39" t="s">
        <v>1</v>
      </c>
      <c r="F45" s="41" t="s">
        <v>1</v>
      </c>
      <c r="G45" s="41" t="s">
        <v>1</v>
      </c>
      <c r="H45" s="42" t="s">
        <v>1</v>
      </c>
      <c r="I45" s="41" t="s">
        <v>1</v>
      </c>
      <c r="J45" s="43" t="s">
        <v>1</v>
      </c>
      <c r="K45" s="109" t="s">
        <v>1</v>
      </c>
      <c r="L45" s="90"/>
      <c r="M45" s="90"/>
      <c r="N45" s="83"/>
      <c r="O45" s="6">
        <v>7.7009999999999996</v>
      </c>
      <c r="P45" s="19">
        <v>6.9291200000000011E-2</v>
      </c>
      <c r="Q45" s="21"/>
      <c r="R45" s="115">
        <v>0.16300000000000001</v>
      </c>
      <c r="S45" s="22">
        <v>1.76</v>
      </c>
      <c r="T45" s="106">
        <v>118</v>
      </c>
    </row>
    <row r="46" spans="1:20" ht="24.95" customHeight="1" x14ac:dyDescent="0.3">
      <c r="A46" s="89"/>
      <c r="B46" s="38" t="s">
        <v>1</v>
      </c>
      <c r="C46" s="104" t="s">
        <v>1</v>
      </c>
      <c r="D46" s="40" t="s">
        <v>1</v>
      </c>
      <c r="E46" s="39" t="s">
        <v>1</v>
      </c>
      <c r="F46" s="41" t="s">
        <v>1</v>
      </c>
      <c r="G46" s="41" t="s">
        <v>1</v>
      </c>
      <c r="H46" s="42" t="s">
        <v>1</v>
      </c>
      <c r="I46" s="41" t="s">
        <v>1</v>
      </c>
      <c r="J46" s="43" t="s">
        <v>1</v>
      </c>
      <c r="K46" s="109" t="s">
        <v>1</v>
      </c>
      <c r="L46" s="90"/>
      <c r="M46" s="90"/>
      <c r="N46" s="83"/>
      <c r="O46" s="6">
        <v>8.1920000000000002</v>
      </c>
      <c r="P46" s="19">
        <v>7.4409299999999998E-2</v>
      </c>
      <c r="Q46" s="21"/>
      <c r="R46" s="115">
        <v>5.1999999999999998E-2</v>
      </c>
      <c r="S46" s="22">
        <v>1.89</v>
      </c>
      <c r="T46" s="106">
        <v>124</v>
      </c>
    </row>
    <row r="47" spans="1:20" ht="24.95" customHeight="1" x14ac:dyDescent="0.3">
      <c r="A47" s="89"/>
      <c r="B47" s="38" t="s">
        <v>1</v>
      </c>
      <c r="C47" s="104" t="s">
        <v>1</v>
      </c>
      <c r="D47" s="40" t="s">
        <v>1</v>
      </c>
      <c r="E47" s="39" t="s">
        <v>1</v>
      </c>
      <c r="F47" s="41" t="s">
        <v>1</v>
      </c>
      <c r="G47" s="41" t="s">
        <v>1</v>
      </c>
      <c r="H47" s="42" t="s">
        <v>1</v>
      </c>
      <c r="I47" s="41" t="s">
        <v>1</v>
      </c>
      <c r="J47" s="43" t="s">
        <v>1</v>
      </c>
      <c r="K47" s="109" t="s">
        <v>1</v>
      </c>
      <c r="L47" s="90"/>
      <c r="M47" s="90"/>
      <c r="N47" s="83"/>
      <c r="O47" s="6">
        <v>8.5820000000000007</v>
      </c>
      <c r="P47" s="19">
        <v>7.8346300000000008E-2</v>
      </c>
      <c r="Q47" s="21"/>
      <c r="R47" s="115">
        <v>6.0999999999999999E-2</v>
      </c>
      <c r="S47" s="22">
        <v>1.99</v>
      </c>
      <c r="T47" s="106">
        <v>130</v>
      </c>
    </row>
    <row r="48" spans="1:20" ht="24.95" customHeight="1" x14ac:dyDescent="0.3">
      <c r="A48" s="89"/>
      <c r="B48" s="38" t="s">
        <v>1</v>
      </c>
      <c r="C48" s="104" t="s">
        <v>1</v>
      </c>
      <c r="D48" s="40" t="s">
        <v>1</v>
      </c>
      <c r="E48" s="39" t="s">
        <v>1</v>
      </c>
      <c r="F48" s="41" t="s">
        <v>1</v>
      </c>
      <c r="G48" s="41" t="s">
        <v>1</v>
      </c>
      <c r="H48" s="42" t="s">
        <v>1</v>
      </c>
      <c r="I48" s="41" t="s">
        <v>1</v>
      </c>
      <c r="J48" s="43" t="s">
        <v>1</v>
      </c>
      <c r="K48" s="109" t="s">
        <v>1</v>
      </c>
      <c r="L48" s="90"/>
      <c r="M48" s="90"/>
      <c r="N48" s="83"/>
      <c r="O48" s="6">
        <v>9.0809999999999995</v>
      </c>
      <c r="P48" s="19">
        <v>8.2677000000000014E-2</v>
      </c>
      <c r="Q48" s="21"/>
      <c r="R48" s="115">
        <v>7.8E-2</v>
      </c>
      <c r="S48" s="22">
        <v>2.1</v>
      </c>
      <c r="T48" s="106">
        <v>136</v>
      </c>
    </row>
    <row r="49" spans="1:20" ht="24.95" customHeight="1" x14ac:dyDescent="0.3">
      <c r="A49" s="89"/>
      <c r="B49" s="38" t="s">
        <v>1</v>
      </c>
      <c r="C49" s="104" t="s">
        <v>1</v>
      </c>
      <c r="D49" s="40" t="s">
        <v>1</v>
      </c>
      <c r="E49" s="39" t="s">
        <v>1</v>
      </c>
      <c r="F49" s="41" t="s">
        <v>1</v>
      </c>
      <c r="G49" s="41" t="s">
        <v>1</v>
      </c>
      <c r="H49" s="42" t="s">
        <v>1</v>
      </c>
      <c r="I49" s="41" t="s">
        <v>1</v>
      </c>
      <c r="J49" s="43" t="s">
        <v>1</v>
      </c>
      <c r="K49" s="109" t="s">
        <v>1</v>
      </c>
      <c r="L49" s="90"/>
      <c r="M49" s="90"/>
      <c r="N49" s="83"/>
      <c r="O49" s="6">
        <v>9.5820000000000007</v>
      </c>
      <c r="P49" s="19">
        <v>8.7401400000000018E-2</v>
      </c>
      <c r="Q49" s="21"/>
      <c r="R49" s="115">
        <v>9.4E-2</v>
      </c>
      <c r="S49" s="22">
        <v>2.2200000000000002</v>
      </c>
      <c r="T49" s="106">
        <v>143</v>
      </c>
    </row>
    <row r="50" spans="1:20" ht="24.95" customHeight="1" x14ac:dyDescent="0.3">
      <c r="A50" s="89"/>
      <c r="B50" s="38" t="s">
        <v>1</v>
      </c>
      <c r="C50" s="104" t="s">
        <v>1</v>
      </c>
      <c r="D50" s="40" t="s">
        <v>1</v>
      </c>
      <c r="E50" s="39" t="s">
        <v>1</v>
      </c>
      <c r="F50" s="41" t="s">
        <v>1</v>
      </c>
      <c r="G50" s="41" t="s">
        <v>1</v>
      </c>
      <c r="H50" s="42" t="s">
        <v>1</v>
      </c>
      <c r="I50" s="41" t="s">
        <v>1</v>
      </c>
      <c r="J50" s="43" t="s">
        <v>1</v>
      </c>
      <c r="K50" s="109" t="s">
        <v>1</v>
      </c>
      <c r="L50" s="90"/>
      <c r="M50" s="90"/>
      <c r="N50" s="83"/>
      <c r="O50" s="6">
        <v>10.092000000000001</v>
      </c>
      <c r="P50" s="19">
        <v>9.2125799999999994E-2</v>
      </c>
      <c r="Q50" s="21"/>
      <c r="R50" s="115">
        <v>9.5000000000000001E-2</v>
      </c>
      <c r="S50" s="22">
        <v>2.34</v>
      </c>
      <c r="T50" s="106">
        <v>149</v>
      </c>
    </row>
    <row r="51" spans="1:20" ht="24.95" customHeight="1" x14ac:dyDescent="0.3">
      <c r="A51" s="89"/>
      <c r="B51" s="38" t="s">
        <v>1</v>
      </c>
      <c r="C51" s="104" t="s">
        <v>1</v>
      </c>
      <c r="D51" s="40" t="s">
        <v>1</v>
      </c>
      <c r="E51" s="39" t="s">
        <v>1</v>
      </c>
      <c r="F51" s="41" t="s">
        <v>1</v>
      </c>
      <c r="G51" s="41" t="s">
        <v>1</v>
      </c>
      <c r="H51" s="42" t="s">
        <v>1</v>
      </c>
      <c r="I51" s="41" t="s">
        <v>1</v>
      </c>
      <c r="J51" s="43" t="s">
        <v>1</v>
      </c>
      <c r="K51" s="109" t="s">
        <v>1</v>
      </c>
      <c r="L51" s="90"/>
      <c r="M51" s="90"/>
      <c r="N51" s="83"/>
      <c r="O51" s="6">
        <v>10.505000000000001</v>
      </c>
      <c r="P51" s="19">
        <v>9.6456500000000014E-2</v>
      </c>
      <c r="Q51" s="21"/>
      <c r="R51" s="115">
        <v>0.10299999999999999</v>
      </c>
      <c r="S51" s="22">
        <v>2.4500000000000002</v>
      </c>
      <c r="T51" s="106">
        <v>155</v>
      </c>
    </row>
    <row r="52" spans="1:20" ht="24.95" customHeight="1" x14ac:dyDescent="0.3">
      <c r="A52" s="89"/>
      <c r="B52" s="38" t="s">
        <v>1</v>
      </c>
      <c r="C52" s="104" t="s">
        <v>1</v>
      </c>
      <c r="D52" s="40" t="s">
        <v>1</v>
      </c>
      <c r="E52" s="39" t="s">
        <v>1</v>
      </c>
      <c r="F52" s="41" t="s">
        <v>1</v>
      </c>
      <c r="G52" s="41" t="s">
        <v>1</v>
      </c>
      <c r="H52" s="42" t="s">
        <v>1</v>
      </c>
      <c r="I52" s="41" t="s">
        <v>1</v>
      </c>
      <c r="J52" s="43" t="s">
        <v>1</v>
      </c>
      <c r="K52" s="109" t="s">
        <v>1</v>
      </c>
      <c r="L52" s="90"/>
      <c r="M52" s="90"/>
      <c r="N52" s="83"/>
      <c r="O52" s="6">
        <v>11.025</v>
      </c>
      <c r="P52" s="19">
        <v>0.10078720000000001</v>
      </c>
      <c r="Q52" s="21"/>
      <c r="R52" s="115">
        <v>0.108</v>
      </c>
      <c r="S52" s="22">
        <v>2.56</v>
      </c>
      <c r="T52" s="106">
        <v>161</v>
      </c>
    </row>
    <row r="53" spans="1:20" ht="24.95" customHeight="1" x14ac:dyDescent="0.3">
      <c r="A53" s="89"/>
      <c r="B53" s="38" t="s">
        <v>1</v>
      </c>
      <c r="C53" s="104" t="s">
        <v>1</v>
      </c>
      <c r="D53" s="40" t="s">
        <v>1</v>
      </c>
      <c r="E53" s="39" t="s">
        <v>1</v>
      </c>
      <c r="F53" s="41" t="s">
        <v>1</v>
      </c>
      <c r="G53" s="41" t="s">
        <v>1</v>
      </c>
      <c r="H53" s="42" t="s">
        <v>1</v>
      </c>
      <c r="I53" s="41" t="s">
        <v>1</v>
      </c>
      <c r="J53" s="43" t="s">
        <v>1</v>
      </c>
      <c r="K53" s="109" t="s">
        <v>1</v>
      </c>
      <c r="L53" s="90"/>
      <c r="M53" s="90"/>
      <c r="N53" s="83"/>
      <c r="O53" s="6">
        <v>11.539</v>
      </c>
      <c r="P53" s="19">
        <v>0.10590530000000001</v>
      </c>
      <c r="Q53" s="21"/>
      <c r="R53" s="115">
        <v>0.121</v>
      </c>
      <c r="S53" s="22">
        <v>2.69</v>
      </c>
      <c r="T53" s="106">
        <v>167</v>
      </c>
    </row>
    <row r="54" spans="1:20" ht="24.95" customHeight="1" x14ac:dyDescent="0.3">
      <c r="A54" s="89"/>
      <c r="B54" s="38" t="s">
        <v>1</v>
      </c>
      <c r="C54" s="104" t="s">
        <v>1</v>
      </c>
      <c r="D54" s="40" t="s">
        <v>1</v>
      </c>
      <c r="E54" s="39" t="s">
        <v>1</v>
      </c>
      <c r="F54" s="41" t="s">
        <v>1</v>
      </c>
      <c r="G54" s="41" t="s">
        <v>1</v>
      </c>
      <c r="H54" s="42" t="s">
        <v>1</v>
      </c>
      <c r="I54" s="41" t="s">
        <v>1</v>
      </c>
      <c r="J54" s="43" t="s">
        <v>1</v>
      </c>
      <c r="K54" s="109" t="s">
        <v>1</v>
      </c>
      <c r="L54" s="90"/>
      <c r="M54" s="90"/>
      <c r="N54" s="83"/>
      <c r="O54" s="6">
        <v>12.015000000000001</v>
      </c>
      <c r="P54" s="19">
        <v>0.11102339999999999</v>
      </c>
      <c r="Q54" s="21"/>
      <c r="R54" s="115">
        <v>0.13400000000000001</v>
      </c>
      <c r="S54" s="22">
        <v>2.82</v>
      </c>
      <c r="T54" s="106">
        <v>174</v>
      </c>
    </row>
    <row r="55" spans="1:20" ht="24.95" customHeight="1" x14ac:dyDescent="0.3">
      <c r="A55" s="89"/>
      <c r="B55" s="38" t="s">
        <v>1</v>
      </c>
      <c r="C55" s="104" t="s">
        <v>1</v>
      </c>
      <c r="D55" s="40" t="s">
        <v>1</v>
      </c>
      <c r="E55" s="39" t="s">
        <v>1</v>
      </c>
      <c r="F55" s="41" t="s">
        <v>1</v>
      </c>
      <c r="G55" s="41" t="s">
        <v>1</v>
      </c>
      <c r="H55" s="42" t="s">
        <v>1</v>
      </c>
      <c r="I55" s="41" t="s">
        <v>1</v>
      </c>
      <c r="J55" s="43" t="s">
        <v>1</v>
      </c>
      <c r="K55" s="109" t="s">
        <v>1</v>
      </c>
      <c r="L55" s="90"/>
      <c r="M55" s="90"/>
      <c r="N55" s="83"/>
      <c r="O55" s="6">
        <v>12.36</v>
      </c>
      <c r="P55" s="19">
        <v>0.1157478</v>
      </c>
      <c r="Q55" s="21"/>
      <c r="R55" s="115">
        <v>0.14099999999999999</v>
      </c>
      <c r="S55" s="22">
        <v>2.94</v>
      </c>
      <c r="T55" s="106">
        <v>180</v>
      </c>
    </row>
    <row r="56" spans="1:20" ht="24.95" customHeight="1" x14ac:dyDescent="0.3">
      <c r="A56" s="89"/>
      <c r="B56" s="38" t="s">
        <v>1</v>
      </c>
      <c r="C56" s="104" t="s">
        <v>1</v>
      </c>
      <c r="D56" s="40" t="s">
        <v>1</v>
      </c>
      <c r="E56" s="39" t="s">
        <v>1</v>
      </c>
      <c r="F56" s="41" t="s">
        <v>1</v>
      </c>
      <c r="G56" s="41" t="s">
        <v>1</v>
      </c>
      <c r="H56" s="42" t="s">
        <v>1</v>
      </c>
      <c r="I56" s="41" t="s">
        <v>1</v>
      </c>
      <c r="J56" s="43" t="s">
        <v>1</v>
      </c>
      <c r="K56" s="109" t="s">
        <v>1</v>
      </c>
      <c r="L56" s="90"/>
      <c r="M56" s="90"/>
      <c r="N56" s="83"/>
      <c r="O56" s="6">
        <v>12.875999999999999</v>
      </c>
      <c r="P56" s="19">
        <v>0.12047220000000002</v>
      </c>
      <c r="Q56" s="21"/>
      <c r="R56" s="115">
        <v>0.14099999999999999</v>
      </c>
      <c r="S56" s="22">
        <v>3.06</v>
      </c>
      <c r="T56" s="106">
        <v>186</v>
      </c>
    </row>
    <row r="57" spans="1:20" ht="24.95" customHeight="1" x14ac:dyDescent="0.3">
      <c r="A57" s="89"/>
      <c r="B57" s="38" t="s">
        <v>1</v>
      </c>
      <c r="C57" s="104" t="s">
        <v>1</v>
      </c>
      <c r="D57" s="40" t="s">
        <v>1</v>
      </c>
      <c r="E57" s="39" t="s">
        <v>1</v>
      </c>
      <c r="F57" s="41" t="s">
        <v>1</v>
      </c>
      <c r="G57" s="41" t="s">
        <v>1</v>
      </c>
      <c r="H57" s="42" t="s">
        <v>1</v>
      </c>
      <c r="I57" s="41" t="s">
        <v>1</v>
      </c>
      <c r="J57" s="43" t="s">
        <v>1</v>
      </c>
      <c r="K57" s="109" t="s">
        <v>1</v>
      </c>
      <c r="L57" s="90"/>
      <c r="M57" s="90"/>
      <c r="N57" s="83"/>
      <c r="O57" s="6"/>
      <c r="P57" s="19">
        <v>0.12519660000000002</v>
      </c>
      <c r="Q57" s="21"/>
      <c r="R57" s="115">
        <v>0.13800000000000001</v>
      </c>
      <c r="S57" s="22">
        <v>3.18</v>
      </c>
      <c r="T57" s="106">
        <v>192</v>
      </c>
    </row>
    <row r="58" spans="1:20" ht="24.95" customHeight="1" x14ac:dyDescent="0.3">
      <c r="A58" s="89"/>
      <c r="B58" s="38" t="s">
        <v>1</v>
      </c>
      <c r="C58" s="104" t="s">
        <v>1</v>
      </c>
      <c r="D58" s="40" t="s">
        <v>1</v>
      </c>
      <c r="E58" s="39" t="s">
        <v>1</v>
      </c>
      <c r="F58" s="41" t="s">
        <v>1</v>
      </c>
      <c r="G58" s="41" t="s">
        <v>1</v>
      </c>
      <c r="H58" s="42" t="s">
        <v>1</v>
      </c>
      <c r="I58" s="41" t="s">
        <v>1</v>
      </c>
      <c r="J58" s="43" t="s">
        <v>1</v>
      </c>
      <c r="K58" s="109" t="s">
        <v>1</v>
      </c>
      <c r="L58" s="90"/>
      <c r="M58" s="90"/>
      <c r="N58" s="83"/>
      <c r="O58" s="6"/>
      <c r="P58" s="19">
        <v>0.12992100000000001</v>
      </c>
      <c r="Q58" s="21"/>
      <c r="R58" s="115">
        <v>0.13400000000000001</v>
      </c>
      <c r="S58" s="22">
        <v>3.3</v>
      </c>
      <c r="T58" s="106">
        <v>198</v>
      </c>
    </row>
    <row r="59" spans="1:20" ht="24.95" customHeight="1" thickBot="1" x14ac:dyDescent="0.35">
      <c r="A59" s="89"/>
      <c r="B59" s="44" t="s">
        <v>1</v>
      </c>
      <c r="C59" s="105" t="s">
        <v>1</v>
      </c>
      <c r="D59" s="45" t="s">
        <v>1</v>
      </c>
      <c r="E59" s="46" t="s">
        <v>1</v>
      </c>
      <c r="F59" s="47" t="s">
        <v>1</v>
      </c>
      <c r="G59" s="47" t="s">
        <v>1</v>
      </c>
      <c r="H59" s="48" t="s">
        <v>1</v>
      </c>
      <c r="I59" s="47" t="s">
        <v>1</v>
      </c>
      <c r="J59" s="49" t="s">
        <v>1</v>
      </c>
      <c r="K59" s="110" t="s">
        <v>1</v>
      </c>
      <c r="L59" s="90"/>
      <c r="M59" s="90"/>
      <c r="N59" s="83"/>
      <c r="O59" s="6"/>
      <c r="P59" s="21"/>
      <c r="Q59" s="21"/>
      <c r="R59" s="116"/>
      <c r="S59" s="22"/>
      <c r="T59" s="107"/>
    </row>
    <row r="60" spans="1:20" ht="9.75" customHeight="1" x14ac:dyDescent="0.2">
      <c r="A60" s="58"/>
      <c r="B60" s="91"/>
      <c r="C60" s="91"/>
      <c r="D60" s="91"/>
      <c r="E60" s="91"/>
      <c r="F60" s="91"/>
      <c r="G60" s="25"/>
      <c r="H60" s="25"/>
      <c r="I60" s="25"/>
      <c r="J60" s="25"/>
      <c r="K60" s="25"/>
      <c r="L60" s="25"/>
      <c r="M60" s="25"/>
      <c r="N60" s="62"/>
      <c r="S60" s="24">
        <f t="shared" ref="S60:S68" si="10">B60/25.4</f>
        <v>0</v>
      </c>
    </row>
    <row r="61" spans="1:20" ht="24.95" customHeight="1" x14ac:dyDescent="0.2">
      <c r="A61" s="58"/>
      <c r="B61" s="91"/>
      <c r="C61" s="91"/>
      <c r="D61" s="91"/>
      <c r="E61" s="91"/>
      <c r="F61" s="91"/>
      <c r="G61" s="25"/>
      <c r="H61" s="25"/>
      <c r="I61" s="59"/>
      <c r="J61" s="59"/>
      <c r="K61" s="59"/>
      <c r="L61" s="59"/>
      <c r="M61" s="59"/>
      <c r="N61" s="62"/>
      <c r="S61" s="24">
        <f t="shared" si="10"/>
        <v>0</v>
      </c>
    </row>
    <row r="62" spans="1:20" ht="24.95" customHeight="1" x14ac:dyDescent="0.3">
      <c r="A62" s="58"/>
      <c r="B62" s="91"/>
      <c r="C62" s="91"/>
      <c r="D62" s="91"/>
      <c r="E62" s="91"/>
      <c r="F62" s="91"/>
      <c r="G62" s="25"/>
      <c r="H62" s="200" t="s">
        <v>75</v>
      </c>
      <c r="I62" s="200"/>
      <c r="J62" s="200"/>
      <c r="K62" s="200"/>
      <c r="L62" s="217">
        <f>MAX(G26:G59)</f>
        <v>332.36118469165979</v>
      </c>
      <c r="M62" s="217"/>
      <c r="N62" s="218"/>
      <c r="S62" s="24">
        <f t="shared" si="10"/>
        <v>0</v>
      </c>
    </row>
    <row r="63" spans="1:20" ht="24.95" customHeight="1" x14ac:dyDescent="0.3">
      <c r="A63" s="58"/>
      <c r="B63" s="25"/>
      <c r="C63" s="25"/>
      <c r="D63" s="25"/>
      <c r="E63" s="25"/>
      <c r="F63" s="25"/>
      <c r="G63" s="25"/>
      <c r="H63" s="25"/>
      <c r="I63" s="216" t="s">
        <v>76</v>
      </c>
      <c r="J63" s="216"/>
      <c r="K63" s="216"/>
      <c r="L63" s="217">
        <f>L62*0.5</f>
        <v>166.18059234582989</v>
      </c>
      <c r="M63" s="217"/>
      <c r="N63" s="218"/>
      <c r="S63" s="24">
        <f t="shared" si="10"/>
        <v>0</v>
      </c>
    </row>
    <row r="64" spans="1:20" ht="24.95" customHeight="1" x14ac:dyDescent="0.3">
      <c r="A64" s="58"/>
      <c r="B64" s="25"/>
      <c r="C64" s="25"/>
      <c r="D64" s="25"/>
      <c r="E64" s="25"/>
      <c r="F64" s="25"/>
      <c r="G64" s="25"/>
      <c r="H64" s="25"/>
      <c r="I64" s="216" t="s">
        <v>85</v>
      </c>
      <c r="J64" s="216"/>
      <c r="K64" s="216"/>
      <c r="L64" s="217">
        <f>IF((C18)*10="","",(G35-G27)/(I35-I27))*100</f>
        <v>37639.406845712663</v>
      </c>
      <c r="M64" s="217"/>
      <c r="N64" s="218"/>
      <c r="P64" s="23">
        <f>SLOPE(G26:G28,E26:E28)</f>
        <v>577.2416511197473</v>
      </c>
      <c r="S64" s="24">
        <f t="shared" si="10"/>
        <v>0</v>
      </c>
    </row>
    <row r="65" spans="1:19" ht="24.95" customHeight="1" x14ac:dyDescent="0.3">
      <c r="A65" s="58"/>
      <c r="B65" s="25"/>
      <c r="C65" s="25"/>
      <c r="D65" s="25"/>
      <c r="E65" s="25"/>
      <c r="F65" s="25"/>
      <c r="G65" s="25"/>
      <c r="H65" s="25"/>
      <c r="I65" s="213"/>
      <c r="J65" s="213"/>
      <c r="K65" s="213"/>
      <c r="L65" s="122"/>
      <c r="M65" s="122"/>
      <c r="N65" s="83"/>
      <c r="S65" s="24">
        <f t="shared" si="10"/>
        <v>0</v>
      </c>
    </row>
    <row r="66" spans="1:19" ht="24.95" customHeight="1" x14ac:dyDescent="0.2">
      <c r="A66" s="58"/>
      <c r="B66" s="25"/>
      <c r="C66" s="25"/>
      <c r="D66" s="25"/>
      <c r="E66" s="25"/>
      <c r="F66" s="25"/>
      <c r="G66" s="25"/>
      <c r="H66" s="25"/>
      <c r="I66" s="214" t="s">
        <v>72</v>
      </c>
      <c r="J66" s="214"/>
      <c r="K66" s="214" t="s">
        <v>73</v>
      </c>
      <c r="L66" s="214"/>
      <c r="M66" s="214"/>
      <c r="N66" s="215"/>
      <c r="S66" s="24">
        <f t="shared" si="10"/>
        <v>0</v>
      </c>
    </row>
    <row r="67" spans="1:19" ht="24.95" customHeight="1" x14ac:dyDescent="0.2">
      <c r="A67" s="58"/>
      <c r="B67" s="25"/>
      <c r="C67" s="25"/>
      <c r="D67" s="25"/>
      <c r="E67" s="25"/>
      <c r="F67" s="25"/>
      <c r="G67" s="25"/>
      <c r="H67" s="25"/>
      <c r="I67" s="27"/>
      <c r="J67" s="27"/>
      <c r="K67" s="27"/>
      <c r="L67" s="27"/>
      <c r="M67" s="27"/>
      <c r="N67" s="28"/>
      <c r="S67" s="24">
        <f t="shared" si="10"/>
        <v>0</v>
      </c>
    </row>
    <row r="68" spans="1:19" ht="24.95" customHeight="1" x14ac:dyDescent="0.2">
      <c r="A68" s="58"/>
      <c r="B68" s="25"/>
      <c r="C68" s="25"/>
      <c r="D68" s="25"/>
      <c r="E68" s="25"/>
      <c r="F68" s="25"/>
      <c r="G68" s="25"/>
      <c r="H68" s="25"/>
      <c r="I68" s="27"/>
      <c r="J68" s="27"/>
      <c r="K68" s="27"/>
      <c r="L68" s="27"/>
      <c r="M68" s="27"/>
      <c r="N68" s="28"/>
      <c r="S68" s="24">
        <f t="shared" si="10"/>
        <v>0</v>
      </c>
    </row>
    <row r="69" spans="1:19" ht="24.95" customHeight="1" x14ac:dyDescent="0.2">
      <c r="A69" s="58"/>
      <c r="B69" s="25"/>
      <c r="C69" s="25"/>
      <c r="D69" s="25"/>
      <c r="E69" s="25"/>
      <c r="F69" s="25"/>
      <c r="G69" s="25"/>
      <c r="H69" s="25"/>
      <c r="I69" s="27"/>
      <c r="J69" s="27"/>
      <c r="K69" s="27"/>
      <c r="L69" s="27"/>
      <c r="M69" s="27"/>
      <c r="N69" s="28"/>
      <c r="S69" s="24"/>
    </row>
    <row r="70" spans="1:19" ht="24.95" customHeight="1" x14ac:dyDescent="0.2">
      <c r="A70" s="58"/>
      <c r="B70" s="25"/>
      <c r="C70" s="25"/>
      <c r="D70" s="25"/>
      <c r="E70" s="25"/>
      <c r="F70" s="25"/>
      <c r="G70" s="25"/>
      <c r="H70" s="25"/>
      <c r="I70" s="92"/>
      <c r="J70" s="92"/>
      <c r="K70" s="92"/>
      <c r="L70" s="29"/>
      <c r="M70" s="29"/>
      <c r="N70" s="30"/>
      <c r="S70" s="24"/>
    </row>
    <row r="71" spans="1:19" ht="24.95" customHeight="1" x14ac:dyDescent="0.2">
      <c r="A71" s="58"/>
      <c r="B71" s="25"/>
      <c r="C71" s="25"/>
      <c r="D71" s="25"/>
      <c r="E71" s="25"/>
      <c r="F71" s="25"/>
      <c r="G71" s="25"/>
      <c r="H71" s="25"/>
      <c r="I71" s="214" t="s">
        <v>62</v>
      </c>
      <c r="J71" s="214"/>
      <c r="K71" s="214" t="s">
        <v>88</v>
      </c>
      <c r="L71" s="214"/>
      <c r="M71" s="214"/>
      <c r="N71" s="215"/>
      <c r="S71" s="24">
        <f>B71/25.4</f>
        <v>0</v>
      </c>
    </row>
    <row r="72" spans="1:19" ht="24.95" customHeight="1" x14ac:dyDescent="0.2">
      <c r="A72" s="58"/>
      <c r="B72" s="25"/>
      <c r="C72" s="25"/>
      <c r="D72" s="25"/>
      <c r="E72" s="25"/>
      <c r="F72" s="25"/>
      <c r="G72" s="25"/>
      <c r="H72" s="25"/>
      <c r="I72" s="231" t="s">
        <v>39</v>
      </c>
      <c r="J72" s="231"/>
      <c r="K72" s="231" t="s">
        <v>74</v>
      </c>
      <c r="L72" s="231"/>
      <c r="M72" s="231"/>
      <c r="N72" s="232"/>
      <c r="S72" s="24"/>
    </row>
    <row r="73" spans="1:19" ht="24.95" customHeight="1" x14ac:dyDescent="0.3">
      <c r="A73" s="58"/>
      <c r="B73" s="25"/>
      <c r="C73" s="25"/>
      <c r="D73" s="25"/>
      <c r="E73" s="25"/>
      <c r="F73" s="25"/>
      <c r="G73" s="25"/>
      <c r="H73" s="25"/>
      <c r="I73" s="214"/>
      <c r="J73" s="214"/>
      <c r="K73" s="214"/>
      <c r="L73" s="123"/>
      <c r="M73" s="123"/>
      <c r="N73" s="83"/>
      <c r="S73" s="24">
        <f t="shared" ref="S73:S79" si="11">B73/25.4</f>
        <v>0</v>
      </c>
    </row>
    <row r="74" spans="1:19" ht="24.95" customHeight="1" x14ac:dyDescent="0.2">
      <c r="A74" s="58"/>
      <c r="B74" s="25"/>
      <c r="C74" s="25"/>
      <c r="D74" s="25"/>
      <c r="E74" s="25"/>
      <c r="F74" s="25"/>
      <c r="G74" s="25"/>
      <c r="H74" s="25"/>
      <c r="I74" s="233"/>
      <c r="J74" s="233"/>
      <c r="K74" s="233"/>
      <c r="L74" s="124"/>
      <c r="M74" s="124"/>
      <c r="N74" s="62"/>
      <c r="S74" s="24">
        <f t="shared" si="11"/>
        <v>0</v>
      </c>
    </row>
    <row r="75" spans="1:19" ht="24.95" customHeight="1" x14ac:dyDescent="0.2">
      <c r="A75" s="58"/>
      <c r="B75" s="25"/>
      <c r="C75" s="25"/>
      <c r="D75" s="25"/>
      <c r="E75" s="25"/>
      <c r="F75" s="25"/>
      <c r="G75" s="25"/>
      <c r="H75" s="25"/>
      <c r="I75" s="234"/>
      <c r="J75" s="234"/>
      <c r="K75" s="234"/>
      <c r="L75" s="125"/>
      <c r="M75" s="125"/>
      <c r="N75" s="62"/>
      <c r="S75" s="24">
        <f t="shared" si="11"/>
        <v>0</v>
      </c>
    </row>
    <row r="76" spans="1:19" ht="24.95" customHeight="1" x14ac:dyDescent="0.2">
      <c r="A76" s="58"/>
      <c r="B76" s="25"/>
      <c r="C76" s="25"/>
      <c r="D76" s="25"/>
      <c r="E76" s="25"/>
      <c r="F76" s="25"/>
      <c r="G76" s="25"/>
      <c r="H76" s="25"/>
      <c r="I76" s="25"/>
      <c r="J76" s="93"/>
      <c r="K76" s="93"/>
      <c r="L76" s="93"/>
      <c r="M76" s="93"/>
      <c r="N76" s="62"/>
      <c r="S76" s="24">
        <f t="shared" si="11"/>
        <v>0</v>
      </c>
    </row>
    <row r="77" spans="1:19" ht="17.25" customHeight="1" x14ac:dyDescent="0.25">
      <c r="A77" s="235" t="s">
        <v>68</v>
      </c>
      <c r="B77" s="236"/>
      <c r="C77" s="236"/>
      <c r="D77" s="236"/>
      <c r="E77" s="236"/>
      <c r="F77" s="236"/>
      <c r="G77" s="236"/>
      <c r="H77" s="236"/>
      <c r="I77" s="236"/>
      <c r="J77" s="236"/>
      <c r="K77" s="236"/>
      <c r="L77" s="236"/>
      <c r="M77" s="236"/>
      <c r="N77" s="237"/>
      <c r="S77" s="24">
        <f t="shared" si="11"/>
        <v>0</v>
      </c>
    </row>
    <row r="78" spans="1:19" ht="7.5" customHeight="1" x14ac:dyDescent="0.2">
      <c r="A78" s="219" t="s">
        <v>67</v>
      </c>
      <c r="B78" s="220"/>
      <c r="C78" s="220"/>
      <c r="D78" s="220"/>
      <c r="E78" s="220"/>
      <c r="F78" s="220"/>
      <c r="G78" s="220"/>
      <c r="H78" s="220"/>
      <c r="I78" s="220"/>
      <c r="J78" s="220"/>
      <c r="K78" s="220"/>
      <c r="L78" s="220"/>
      <c r="M78" s="220"/>
      <c r="N78" s="221"/>
      <c r="S78" s="24">
        <f t="shared" si="11"/>
        <v>0</v>
      </c>
    </row>
    <row r="79" spans="1:19" ht="13.5" customHeight="1" x14ac:dyDescent="0.2">
      <c r="A79" s="222"/>
      <c r="B79" s="220"/>
      <c r="C79" s="220"/>
      <c r="D79" s="220"/>
      <c r="E79" s="220"/>
      <c r="F79" s="220"/>
      <c r="G79" s="220"/>
      <c r="H79" s="220"/>
      <c r="I79" s="220"/>
      <c r="J79" s="220"/>
      <c r="K79" s="220"/>
      <c r="L79" s="220"/>
      <c r="M79" s="220"/>
      <c r="N79" s="221"/>
      <c r="S79" s="24">
        <f t="shared" si="11"/>
        <v>0</v>
      </c>
    </row>
    <row r="80" spans="1:19" ht="7.5" customHeight="1" x14ac:dyDescent="0.2">
      <c r="A80" s="222"/>
      <c r="B80" s="220"/>
      <c r="C80" s="220"/>
      <c r="D80" s="220"/>
      <c r="E80" s="220"/>
      <c r="F80" s="220"/>
      <c r="G80" s="220"/>
      <c r="H80" s="220"/>
      <c r="I80" s="220"/>
      <c r="J80" s="220"/>
      <c r="K80" s="220"/>
      <c r="L80" s="220"/>
      <c r="M80" s="220"/>
      <c r="N80" s="221"/>
    </row>
    <row r="81" spans="1:14" ht="7.5" customHeight="1" x14ac:dyDescent="0.2">
      <c r="A81" s="222"/>
      <c r="B81" s="220"/>
      <c r="C81" s="220"/>
      <c r="D81" s="220"/>
      <c r="E81" s="220"/>
      <c r="F81" s="220"/>
      <c r="G81" s="220"/>
      <c r="H81" s="220"/>
      <c r="I81" s="220"/>
      <c r="J81" s="220"/>
      <c r="K81" s="220"/>
      <c r="L81" s="220"/>
      <c r="M81" s="220"/>
      <c r="N81" s="221"/>
    </row>
    <row r="82" spans="1:14" ht="7.5" customHeight="1" x14ac:dyDescent="0.2">
      <c r="A82" s="222"/>
      <c r="B82" s="220"/>
      <c r="C82" s="220"/>
      <c r="D82" s="220"/>
      <c r="E82" s="220"/>
      <c r="F82" s="220"/>
      <c r="G82" s="220"/>
      <c r="H82" s="220"/>
      <c r="I82" s="220"/>
      <c r="J82" s="220"/>
      <c r="K82" s="220"/>
      <c r="L82" s="220"/>
      <c r="M82" s="220"/>
      <c r="N82" s="221"/>
    </row>
    <row r="83" spans="1:14" ht="7.5" customHeight="1" x14ac:dyDescent="0.2">
      <c r="A83" s="222"/>
      <c r="B83" s="220"/>
      <c r="C83" s="220"/>
      <c r="D83" s="220"/>
      <c r="E83" s="220"/>
      <c r="F83" s="220"/>
      <c r="G83" s="220"/>
      <c r="H83" s="220"/>
      <c r="I83" s="220"/>
      <c r="J83" s="220"/>
      <c r="K83" s="220"/>
      <c r="L83" s="220"/>
      <c r="M83" s="220"/>
      <c r="N83" s="221"/>
    </row>
    <row r="84" spans="1:14" ht="11.25" customHeight="1" x14ac:dyDescent="0.2">
      <c r="A84" s="223" t="s">
        <v>20</v>
      </c>
      <c r="B84" s="224"/>
      <c r="C84" s="224"/>
      <c r="D84" s="224"/>
      <c r="E84" s="224"/>
      <c r="F84" s="224"/>
      <c r="G84" s="224"/>
      <c r="H84" s="224"/>
      <c r="I84" s="224"/>
      <c r="J84" s="224"/>
      <c r="K84" s="224"/>
      <c r="L84" s="224"/>
      <c r="M84" s="224"/>
      <c r="N84" s="225"/>
    </row>
    <row r="85" spans="1:14" ht="11.25" customHeight="1" thickBot="1" x14ac:dyDescent="0.25">
      <c r="A85" s="226"/>
      <c r="B85" s="227"/>
      <c r="C85" s="227"/>
      <c r="D85" s="227"/>
      <c r="E85" s="227"/>
      <c r="F85" s="227"/>
      <c r="G85" s="227"/>
      <c r="H85" s="227"/>
      <c r="I85" s="227"/>
      <c r="J85" s="227"/>
      <c r="K85" s="227"/>
      <c r="L85" s="227"/>
      <c r="M85" s="227"/>
      <c r="N85" s="228"/>
    </row>
    <row r="86" spans="1:14" ht="12.75" thickBot="1" x14ac:dyDescent="0.25"/>
    <row r="87" spans="1:14" ht="48" customHeight="1" thickBot="1" x14ac:dyDescent="0.45">
      <c r="B87" s="10"/>
      <c r="C87" s="229" t="s">
        <v>71</v>
      </c>
      <c r="D87" s="230"/>
    </row>
  </sheetData>
  <sheetProtection insertColumns="0" insertRows="0" deleteColumns="0" deleteRows="0"/>
  <mergeCells count="75">
    <mergeCell ref="C87:D87"/>
    <mergeCell ref="I72:J72"/>
    <mergeCell ref="K72:N72"/>
    <mergeCell ref="I73:K73"/>
    <mergeCell ref="I74:K74"/>
    <mergeCell ref="I75:K75"/>
    <mergeCell ref="A77:N77"/>
    <mergeCell ref="I65:K65"/>
    <mergeCell ref="I66:J66"/>
    <mergeCell ref="K66:N66"/>
    <mergeCell ref="A78:N83"/>
    <mergeCell ref="A84:N85"/>
    <mergeCell ref="I71:J71"/>
    <mergeCell ref="K71:N71"/>
    <mergeCell ref="S24:S25"/>
    <mergeCell ref="T24:T25"/>
    <mergeCell ref="H62:K62"/>
    <mergeCell ref="L62:N62"/>
    <mergeCell ref="I63:K63"/>
    <mergeCell ref="L63:N63"/>
    <mergeCell ref="I24:I25"/>
    <mergeCell ref="J24:J25"/>
    <mergeCell ref="K24:K25"/>
    <mergeCell ref="P24:P25"/>
    <mergeCell ref="Q24:Q25"/>
    <mergeCell ref="R24:R25"/>
    <mergeCell ref="I64:K64"/>
    <mergeCell ref="L64:N64"/>
    <mergeCell ref="C21:D21"/>
    <mergeCell ref="F21:G21"/>
    <mergeCell ref="C22:D22"/>
    <mergeCell ref="F22:G22"/>
    <mergeCell ref="B24:B25"/>
    <mergeCell ref="C24:C25"/>
    <mergeCell ref="D24:D25"/>
    <mergeCell ref="E24:F24"/>
    <mergeCell ref="G24:H24"/>
    <mergeCell ref="C18:D18"/>
    <mergeCell ref="F18:G18"/>
    <mergeCell ref="C19:D19"/>
    <mergeCell ref="F19:G19"/>
    <mergeCell ref="C20:D20"/>
    <mergeCell ref="F20:G20"/>
    <mergeCell ref="A12:B12"/>
    <mergeCell ref="A13:B13"/>
    <mergeCell ref="C13:N13"/>
    <mergeCell ref="G14:I14"/>
    <mergeCell ref="B17:G17"/>
    <mergeCell ref="H17:I17"/>
    <mergeCell ref="A11:B11"/>
    <mergeCell ref="A7:B7"/>
    <mergeCell ref="C7:I7"/>
    <mergeCell ref="K7:N7"/>
    <mergeCell ref="A8:B8"/>
    <mergeCell ref="C8:I8"/>
    <mergeCell ref="K8:N8"/>
    <mergeCell ref="A9:B9"/>
    <mergeCell ref="C9:I9"/>
    <mergeCell ref="A10:B10"/>
    <mergeCell ref="C10:I10"/>
    <mergeCell ref="K10:N10"/>
    <mergeCell ref="E4:K4"/>
    <mergeCell ref="L4:N4"/>
    <mergeCell ref="Q4:Q5"/>
    <mergeCell ref="R4:R5"/>
    <mergeCell ref="A6:B6"/>
    <mergeCell ref="C6:I6"/>
    <mergeCell ref="K6:N6"/>
    <mergeCell ref="E1:K1"/>
    <mergeCell ref="L1:N1"/>
    <mergeCell ref="E2:K3"/>
    <mergeCell ref="L2:N2"/>
    <mergeCell ref="P2:Y2"/>
    <mergeCell ref="L3:N3"/>
    <mergeCell ref="P3:R3"/>
  </mergeCells>
  <conditionalFormatting sqref="C6:C10 K9:N10 C13">
    <cfRule type="containsBlanks" dxfId="51" priority="13">
      <formula>LEN(TRIM(C6))=0</formula>
    </cfRule>
  </conditionalFormatting>
  <conditionalFormatting sqref="C12:D12 F12 I12">
    <cfRule type="containsBlanks" dxfId="50" priority="12">
      <formula>LEN(TRIM(C12))=0</formula>
    </cfRule>
  </conditionalFormatting>
  <conditionalFormatting sqref="C18:D19 I18:I20 C21:D21">
    <cfRule type="containsBlanks" dxfId="49" priority="9">
      <formula>LEN(TRIM(C18))=0</formula>
    </cfRule>
  </conditionalFormatting>
  <conditionalFormatting sqref="F22">
    <cfRule type="containsBlanks" dxfId="48" priority="11">
      <formula>LEN(TRIM(F22))=0</formula>
    </cfRule>
  </conditionalFormatting>
  <conditionalFormatting sqref="F20:G21">
    <cfRule type="containsBlanks" dxfId="47" priority="10">
      <formula>LEN(TRIM(F20))=0</formula>
    </cfRule>
  </conditionalFormatting>
  <conditionalFormatting sqref="K6:N8">
    <cfRule type="containsBlanks" dxfId="46" priority="8">
      <formula>LEN(TRIM(K6))=0</formula>
    </cfRule>
  </conditionalFormatting>
  <conditionalFormatting sqref="P2">
    <cfRule type="containsBlanks" dxfId="45" priority="7">
      <formula>LEN(TRIM(P2))=0</formula>
    </cfRule>
  </conditionalFormatting>
  <conditionalFormatting sqref="P2">
    <cfRule type="containsBlanks" dxfId="44" priority="6">
      <formula>LEN(TRIM(P2))=0</formula>
    </cfRule>
  </conditionalFormatting>
  <conditionalFormatting sqref="P3">
    <cfRule type="containsBlanks" dxfId="43" priority="5">
      <formula>LEN(TRIM(P3))=0</formula>
    </cfRule>
  </conditionalFormatting>
  <conditionalFormatting sqref="H12">
    <cfRule type="containsBlanks" dxfId="42" priority="4">
      <formula>LEN(TRIM(H12))=0</formula>
    </cfRule>
  </conditionalFormatting>
  <conditionalFormatting sqref="H12">
    <cfRule type="containsBlanks" dxfId="41" priority="3">
      <formula>LEN(TRIM(H12))=0</formula>
    </cfRule>
  </conditionalFormatting>
  <conditionalFormatting sqref="J12">
    <cfRule type="containsBlanks" dxfId="40" priority="2">
      <formula>LEN(TRIM(J12))=0</formula>
    </cfRule>
  </conditionalFormatting>
  <conditionalFormatting sqref="J12">
    <cfRule type="containsBlanks" dxfId="39" priority="1">
      <formula>LEN(TRIM(J12))=0</formula>
    </cfRule>
  </conditionalFormatting>
  <dataValidations count="3">
    <dataValidation type="list" allowBlank="1" showInputMessage="1" showErrorMessage="1" sqref="C12" xr:uid="{00000000-0002-0000-0200-000000000000}">
      <formula1>$S$6:$S$12</formula1>
    </dataValidation>
    <dataValidation type="list" allowBlank="1" showInputMessage="1" showErrorMessage="1" sqref="F21" xr:uid="{00000000-0002-0000-0200-000001000000}">
      <formula1>$R$6:$R$12</formula1>
    </dataValidation>
    <dataValidation type="list" allowBlank="1" showInputMessage="1" showErrorMessage="1" sqref="F20" xr:uid="{00000000-0002-0000-0200-000002000000}">
      <formula1>$Q$6:$Q$10</formula1>
    </dataValidation>
  </dataValidations>
  <printOptions horizontalCentered="1" verticalCentered="1"/>
  <pageMargins left="0.31496062992125984" right="0.31496062992125984" top="0.78740157480314965" bottom="0.78740157480314965" header="0.31496062992125984" footer="0.19685039370078741"/>
  <pageSetup scale="38" orientation="portrait" r:id="rId1"/>
  <headerFooter>
    <oddFooter xml:space="preserve">&amp;C
GEODELTA S.A.S. Calle 68 B bis No 70 C 95, Móvil: 318 7902368 Bogotá DC - Colombia
e-mail: laboratoriogeodelta@gmail.com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1377" r:id="rId4" name="Check Box 1">
              <controlPr defaultSize="0" autoFill="0" autoLine="0" autoPict="0">
                <anchor moveWithCells="1">
                  <from>
                    <xdr:col>7</xdr:col>
                    <xdr:colOff>104775</xdr:colOff>
                    <xdr:row>21</xdr:row>
                    <xdr:rowOff>28575</xdr:rowOff>
                  </from>
                  <to>
                    <xdr:col>7</xdr:col>
                    <xdr:colOff>1133475</xdr:colOff>
                    <xdr:row>21</xdr:row>
                    <xdr:rowOff>219075</xdr:rowOff>
                  </to>
                </anchor>
              </controlPr>
            </control>
          </mc:Choice>
        </mc:AlternateContent>
        <mc:AlternateContent xmlns:mc="http://schemas.openxmlformats.org/markup-compatibility/2006">
          <mc:Choice Requires="x14">
            <control shapeId="101378" r:id="rId5" name="Check Box 2">
              <controlPr defaultSize="0" autoFill="0" autoLine="0" autoPict="0">
                <anchor moveWithCells="1">
                  <from>
                    <xdr:col>8</xdr:col>
                    <xdr:colOff>19050</xdr:colOff>
                    <xdr:row>21</xdr:row>
                    <xdr:rowOff>19050</xdr:rowOff>
                  </from>
                  <to>
                    <xdr:col>9</xdr:col>
                    <xdr:colOff>352425</xdr:colOff>
                    <xdr:row>21</xdr:row>
                    <xdr:rowOff>295275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0">
    <pageSetUpPr fitToPage="1"/>
  </sheetPr>
  <dimension ref="A1:AG87"/>
  <sheetViews>
    <sheetView showGridLines="0" view="pageBreakPreview" topLeftCell="C9" zoomScale="83" zoomScaleNormal="100" zoomScaleSheetLayoutView="85" zoomScalePageLayoutView="55" workbookViewId="0">
      <selection activeCell="F20" sqref="F20:G20"/>
    </sheetView>
  </sheetViews>
  <sheetFormatPr baseColWidth="10" defaultRowHeight="12" x14ac:dyDescent="0.2"/>
  <cols>
    <col min="1" max="1" width="8.7109375" style="1" customWidth="1"/>
    <col min="2" max="2" width="20.7109375" style="1" customWidth="1"/>
    <col min="3" max="3" width="17.140625" style="1" customWidth="1"/>
    <col min="4" max="4" width="15.7109375" style="1" customWidth="1"/>
    <col min="5" max="5" width="24.42578125" style="1" customWidth="1"/>
    <col min="6" max="6" width="15.7109375" style="1" customWidth="1"/>
    <col min="7" max="9" width="20.7109375" style="1" customWidth="1"/>
    <col min="10" max="10" width="28.42578125" style="1" customWidth="1"/>
    <col min="11" max="11" width="19.42578125" style="1" customWidth="1"/>
    <col min="12" max="12" width="11.5703125" style="1" customWidth="1"/>
    <col min="13" max="13" width="2" style="1" customWidth="1"/>
    <col min="14" max="14" width="23.5703125" style="1" customWidth="1"/>
    <col min="15" max="15" width="11.42578125" style="1"/>
    <col min="16" max="16" width="22.140625" style="23" customWidth="1"/>
    <col min="17" max="17" width="26.5703125" style="12" customWidth="1"/>
    <col min="18" max="18" width="21.5703125" style="12" customWidth="1"/>
    <col min="19" max="19" width="21.42578125" style="12" customWidth="1"/>
    <col min="20" max="29" width="11.42578125" style="11"/>
    <col min="30" max="239" width="11.42578125" style="1"/>
    <col min="240" max="240" width="3" style="1" customWidth="1"/>
    <col min="241" max="247" width="17.42578125" style="1" customWidth="1"/>
    <col min="248" max="248" width="3.85546875" style="1" customWidth="1"/>
    <col min="249" max="249" width="3.5703125" style="1" customWidth="1"/>
    <col min="250" max="253" width="8.140625" style="1" customWidth="1"/>
    <col min="254" max="495" width="11.42578125" style="1"/>
    <col min="496" max="496" width="3" style="1" customWidth="1"/>
    <col min="497" max="503" width="17.42578125" style="1" customWidth="1"/>
    <col min="504" max="504" width="3.85546875" style="1" customWidth="1"/>
    <col min="505" max="505" width="3.5703125" style="1" customWidth="1"/>
    <col min="506" max="509" width="8.140625" style="1" customWidth="1"/>
    <col min="510" max="751" width="11.42578125" style="1"/>
    <col min="752" max="752" width="3" style="1" customWidth="1"/>
    <col min="753" max="759" width="17.42578125" style="1" customWidth="1"/>
    <col min="760" max="760" width="3.85546875" style="1" customWidth="1"/>
    <col min="761" max="761" width="3.5703125" style="1" customWidth="1"/>
    <col min="762" max="765" width="8.140625" style="1" customWidth="1"/>
    <col min="766" max="1007" width="11.42578125" style="1"/>
    <col min="1008" max="1008" width="3" style="1" customWidth="1"/>
    <col min="1009" max="1015" width="17.42578125" style="1" customWidth="1"/>
    <col min="1016" max="1016" width="3.85546875" style="1" customWidth="1"/>
    <col min="1017" max="1017" width="3.5703125" style="1" customWidth="1"/>
    <col min="1018" max="1021" width="8.140625" style="1" customWidth="1"/>
    <col min="1022" max="1263" width="11.42578125" style="1"/>
    <col min="1264" max="1264" width="3" style="1" customWidth="1"/>
    <col min="1265" max="1271" width="17.42578125" style="1" customWidth="1"/>
    <col min="1272" max="1272" width="3.85546875" style="1" customWidth="1"/>
    <col min="1273" max="1273" width="3.5703125" style="1" customWidth="1"/>
    <col min="1274" max="1277" width="8.140625" style="1" customWidth="1"/>
    <col min="1278" max="1519" width="11.42578125" style="1"/>
    <col min="1520" max="1520" width="3" style="1" customWidth="1"/>
    <col min="1521" max="1527" width="17.42578125" style="1" customWidth="1"/>
    <col min="1528" max="1528" width="3.85546875" style="1" customWidth="1"/>
    <col min="1529" max="1529" width="3.5703125" style="1" customWidth="1"/>
    <col min="1530" max="1533" width="8.140625" style="1" customWidth="1"/>
    <col min="1534" max="1775" width="11.42578125" style="1"/>
    <col min="1776" max="1776" width="3" style="1" customWidth="1"/>
    <col min="1777" max="1783" width="17.42578125" style="1" customWidth="1"/>
    <col min="1784" max="1784" width="3.85546875" style="1" customWidth="1"/>
    <col min="1785" max="1785" width="3.5703125" style="1" customWidth="1"/>
    <col min="1786" max="1789" width="8.140625" style="1" customWidth="1"/>
    <col min="1790" max="2031" width="11.42578125" style="1"/>
    <col min="2032" max="2032" width="3" style="1" customWidth="1"/>
    <col min="2033" max="2039" width="17.42578125" style="1" customWidth="1"/>
    <col min="2040" max="2040" width="3.85546875" style="1" customWidth="1"/>
    <col min="2041" max="2041" width="3.5703125" style="1" customWidth="1"/>
    <col min="2042" max="2045" width="8.140625" style="1" customWidth="1"/>
    <col min="2046" max="2287" width="11.42578125" style="1"/>
    <col min="2288" max="2288" width="3" style="1" customWidth="1"/>
    <col min="2289" max="2295" width="17.42578125" style="1" customWidth="1"/>
    <col min="2296" max="2296" width="3.85546875" style="1" customWidth="1"/>
    <col min="2297" max="2297" width="3.5703125" style="1" customWidth="1"/>
    <col min="2298" max="2301" width="8.140625" style="1" customWidth="1"/>
    <col min="2302" max="2543" width="11.42578125" style="1"/>
    <col min="2544" max="2544" width="3" style="1" customWidth="1"/>
    <col min="2545" max="2551" width="17.42578125" style="1" customWidth="1"/>
    <col min="2552" max="2552" width="3.85546875" style="1" customWidth="1"/>
    <col min="2553" max="2553" width="3.5703125" style="1" customWidth="1"/>
    <col min="2554" max="2557" width="8.140625" style="1" customWidth="1"/>
    <col min="2558" max="2799" width="11.42578125" style="1"/>
    <col min="2800" max="2800" width="3" style="1" customWidth="1"/>
    <col min="2801" max="2807" width="17.42578125" style="1" customWidth="1"/>
    <col min="2808" max="2808" width="3.85546875" style="1" customWidth="1"/>
    <col min="2809" max="2809" width="3.5703125" style="1" customWidth="1"/>
    <col min="2810" max="2813" width="8.140625" style="1" customWidth="1"/>
    <col min="2814" max="3055" width="11.42578125" style="1"/>
    <col min="3056" max="3056" width="3" style="1" customWidth="1"/>
    <col min="3057" max="3063" width="17.42578125" style="1" customWidth="1"/>
    <col min="3064" max="3064" width="3.85546875" style="1" customWidth="1"/>
    <col min="3065" max="3065" width="3.5703125" style="1" customWidth="1"/>
    <col min="3066" max="3069" width="8.140625" style="1" customWidth="1"/>
    <col min="3070" max="3311" width="11.42578125" style="1"/>
    <col min="3312" max="3312" width="3" style="1" customWidth="1"/>
    <col min="3313" max="3319" width="17.42578125" style="1" customWidth="1"/>
    <col min="3320" max="3320" width="3.85546875" style="1" customWidth="1"/>
    <col min="3321" max="3321" width="3.5703125" style="1" customWidth="1"/>
    <col min="3322" max="3325" width="8.140625" style="1" customWidth="1"/>
    <col min="3326" max="3567" width="11.42578125" style="1"/>
    <col min="3568" max="3568" width="3" style="1" customWidth="1"/>
    <col min="3569" max="3575" width="17.42578125" style="1" customWidth="1"/>
    <col min="3576" max="3576" width="3.85546875" style="1" customWidth="1"/>
    <col min="3577" max="3577" width="3.5703125" style="1" customWidth="1"/>
    <col min="3578" max="3581" width="8.140625" style="1" customWidth="1"/>
    <col min="3582" max="3823" width="11.42578125" style="1"/>
    <col min="3824" max="3824" width="3" style="1" customWidth="1"/>
    <col min="3825" max="3831" width="17.42578125" style="1" customWidth="1"/>
    <col min="3832" max="3832" width="3.85546875" style="1" customWidth="1"/>
    <col min="3833" max="3833" width="3.5703125" style="1" customWidth="1"/>
    <col min="3834" max="3837" width="8.140625" style="1" customWidth="1"/>
    <col min="3838" max="4079" width="11.42578125" style="1"/>
    <col min="4080" max="4080" width="3" style="1" customWidth="1"/>
    <col min="4081" max="4087" width="17.42578125" style="1" customWidth="1"/>
    <col min="4088" max="4088" width="3.85546875" style="1" customWidth="1"/>
    <col min="4089" max="4089" width="3.5703125" style="1" customWidth="1"/>
    <col min="4090" max="4093" width="8.140625" style="1" customWidth="1"/>
    <col min="4094" max="4335" width="11.42578125" style="1"/>
    <col min="4336" max="4336" width="3" style="1" customWidth="1"/>
    <col min="4337" max="4343" width="17.42578125" style="1" customWidth="1"/>
    <col min="4344" max="4344" width="3.85546875" style="1" customWidth="1"/>
    <col min="4345" max="4345" width="3.5703125" style="1" customWidth="1"/>
    <col min="4346" max="4349" width="8.140625" style="1" customWidth="1"/>
    <col min="4350" max="4591" width="11.42578125" style="1"/>
    <col min="4592" max="4592" width="3" style="1" customWidth="1"/>
    <col min="4593" max="4599" width="17.42578125" style="1" customWidth="1"/>
    <col min="4600" max="4600" width="3.85546875" style="1" customWidth="1"/>
    <col min="4601" max="4601" width="3.5703125" style="1" customWidth="1"/>
    <col min="4602" max="4605" width="8.140625" style="1" customWidth="1"/>
    <col min="4606" max="4847" width="11.42578125" style="1"/>
    <col min="4848" max="4848" width="3" style="1" customWidth="1"/>
    <col min="4849" max="4855" width="17.42578125" style="1" customWidth="1"/>
    <col min="4856" max="4856" width="3.85546875" style="1" customWidth="1"/>
    <col min="4857" max="4857" width="3.5703125" style="1" customWidth="1"/>
    <col min="4858" max="4861" width="8.140625" style="1" customWidth="1"/>
    <col min="4862" max="5103" width="11.42578125" style="1"/>
    <col min="5104" max="5104" width="3" style="1" customWidth="1"/>
    <col min="5105" max="5111" width="17.42578125" style="1" customWidth="1"/>
    <col min="5112" max="5112" width="3.85546875" style="1" customWidth="1"/>
    <col min="5113" max="5113" width="3.5703125" style="1" customWidth="1"/>
    <col min="5114" max="5117" width="8.140625" style="1" customWidth="1"/>
    <col min="5118" max="5359" width="11.42578125" style="1"/>
    <col min="5360" max="5360" width="3" style="1" customWidth="1"/>
    <col min="5361" max="5367" width="17.42578125" style="1" customWidth="1"/>
    <col min="5368" max="5368" width="3.85546875" style="1" customWidth="1"/>
    <col min="5369" max="5369" width="3.5703125" style="1" customWidth="1"/>
    <col min="5370" max="5373" width="8.140625" style="1" customWidth="1"/>
    <col min="5374" max="5615" width="11.42578125" style="1"/>
    <col min="5616" max="5616" width="3" style="1" customWidth="1"/>
    <col min="5617" max="5623" width="17.42578125" style="1" customWidth="1"/>
    <col min="5624" max="5624" width="3.85546875" style="1" customWidth="1"/>
    <col min="5625" max="5625" width="3.5703125" style="1" customWidth="1"/>
    <col min="5626" max="5629" width="8.140625" style="1" customWidth="1"/>
    <col min="5630" max="5871" width="11.42578125" style="1"/>
    <col min="5872" max="5872" width="3" style="1" customWidth="1"/>
    <col min="5873" max="5879" width="17.42578125" style="1" customWidth="1"/>
    <col min="5880" max="5880" width="3.85546875" style="1" customWidth="1"/>
    <col min="5881" max="5881" width="3.5703125" style="1" customWidth="1"/>
    <col min="5882" max="5885" width="8.140625" style="1" customWidth="1"/>
    <col min="5886" max="6127" width="11.42578125" style="1"/>
    <col min="6128" max="6128" width="3" style="1" customWidth="1"/>
    <col min="6129" max="6135" width="17.42578125" style="1" customWidth="1"/>
    <col min="6136" max="6136" width="3.85546875" style="1" customWidth="1"/>
    <col min="6137" max="6137" width="3.5703125" style="1" customWidth="1"/>
    <col min="6138" max="6141" width="8.140625" style="1" customWidth="1"/>
    <col min="6142" max="6383" width="11.42578125" style="1"/>
    <col min="6384" max="6384" width="3" style="1" customWidth="1"/>
    <col min="6385" max="6391" width="17.42578125" style="1" customWidth="1"/>
    <col min="6392" max="6392" width="3.85546875" style="1" customWidth="1"/>
    <col min="6393" max="6393" width="3.5703125" style="1" customWidth="1"/>
    <col min="6394" max="6397" width="8.140625" style="1" customWidth="1"/>
    <col min="6398" max="6639" width="11.42578125" style="1"/>
    <col min="6640" max="6640" width="3" style="1" customWidth="1"/>
    <col min="6641" max="6647" width="17.42578125" style="1" customWidth="1"/>
    <col min="6648" max="6648" width="3.85546875" style="1" customWidth="1"/>
    <col min="6649" max="6649" width="3.5703125" style="1" customWidth="1"/>
    <col min="6650" max="6653" width="8.140625" style="1" customWidth="1"/>
    <col min="6654" max="6895" width="11.42578125" style="1"/>
    <col min="6896" max="6896" width="3" style="1" customWidth="1"/>
    <col min="6897" max="6903" width="17.42578125" style="1" customWidth="1"/>
    <col min="6904" max="6904" width="3.85546875" style="1" customWidth="1"/>
    <col min="6905" max="6905" width="3.5703125" style="1" customWidth="1"/>
    <col min="6906" max="6909" width="8.140625" style="1" customWidth="1"/>
    <col min="6910" max="7151" width="11.42578125" style="1"/>
    <col min="7152" max="7152" width="3" style="1" customWidth="1"/>
    <col min="7153" max="7159" width="17.42578125" style="1" customWidth="1"/>
    <col min="7160" max="7160" width="3.85546875" style="1" customWidth="1"/>
    <col min="7161" max="7161" width="3.5703125" style="1" customWidth="1"/>
    <col min="7162" max="7165" width="8.140625" style="1" customWidth="1"/>
    <col min="7166" max="7407" width="11.42578125" style="1"/>
    <col min="7408" max="7408" width="3" style="1" customWidth="1"/>
    <col min="7409" max="7415" width="17.42578125" style="1" customWidth="1"/>
    <col min="7416" max="7416" width="3.85546875" style="1" customWidth="1"/>
    <col min="7417" max="7417" width="3.5703125" style="1" customWidth="1"/>
    <col min="7418" max="7421" width="8.140625" style="1" customWidth="1"/>
    <col min="7422" max="7663" width="11.42578125" style="1"/>
    <col min="7664" max="7664" width="3" style="1" customWidth="1"/>
    <col min="7665" max="7671" width="17.42578125" style="1" customWidth="1"/>
    <col min="7672" max="7672" width="3.85546875" style="1" customWidth="1"/>
    <col min="7673" max="7673" width="3.5703125" style="1" customWidth="1"/>
    <col min="7674" max="7677" width="8.140625" style="1" customWidth="1"/>
    <col min="7678" max="7919" width="11.42578125" style="1"/>
    <col min="7920" max="7920" width="3" style="1" customWidth="1"/>
    <col min="7921" max="7927" width="17.42578125" style="1" customWidth="1"/>
    <col min="7928" max="7928" width="3.85546875" style="1" customWidth="1"/>
    <col min="7929" max="7929" width="3.5703125" style="1" customWidth="1"/>
    <col min="7930" max="7933" width="8.140625" style="1" customWidth="1"/>
    <col min="7934" max="8175" width="11.42578125" style="1"/>
    <col min="8176" max="8176" width="3" style="1" customWidth="1"/>
    <col min="8177" max="8183" width="17.42578125" style="1" customWidth="1"/>
    <col min="8184" max="8184" width="3.85546875" style="1" customWidth="1"/>
    <col min="8185" max="8185" width="3.5703125" style="1" customWidth="1"/>
    <col min="8186" max="8189" width="8.140625" style="1" customWidth="1"/>
    <col min="8190" max="8431" width="11.42578125" style="1"/>
    <col min="8432" max="8432" width="3" style="1" customWidth="1"/>
    <col min="8433" max="8439" width="17.42578125" style="1" customWidth="1"/>
    <col min="8440" max="8440" width="3.85546875" style="1" customWidth="1"/>
    <col min="8441" max="8441" width="3.5703125" style="1" customWidth="1"/>
    <col min="8442" max="8445" width="8.140625" style="1" customWidth="1"/>
    <col min="8446" max="8687" width="11.42578125" style="1"/>
    <col min="8688" max="8688" width="3" style="1" customWidth="1"/>
    <col min="8689" max="8695" width="17.42578125" style="1" customWidth="1"/>
    <col min="8696" max="8696" width="3.85546875" style="1" customWidth="1"/>
    <col min="8697" max="8697" width="3.5703125" style="1" customWidth="1"/>
    <col min="8698" max="8701" width="8.140625" style="1" customWidth="1"/>
    <col min="8702" max="8943" width="11.42578125" style="1"/>
    <col min="8944" max="8944" width="3" style="1" customWidth="1"/>
    <col min="8945" max="8951" width="17.42578125" style="1" customWidth="1"/>
    <col min="8952" max="8952" width="3.85546875" style="1" customWidth="1"/>
    <col min="8953" max="8953" width="3.5703125" style="1" customWidth="1"/>
    <col min="8954" max="8957" width="8.140625" style="1" customWidth="1"/>
    <col min="8958" max="9199" width="11.42578125" style="1"/>
    <col min="9200" max="9200" width="3" style="1" customWidth="1"/>
    <col min="9201" max="9207" width="17.42578125" style="1" customWidth="1"/>
    <col min="9208" max="9208" width="3.85546875" style="1" customWidth="1"/>
    <col min="9209" max="9209" width="3.5703125" style="1" customWidth="1"/>
    <col min="9210" max="9213" width="8.140625" style="1" customWidth="1"/>
    <col min="9214" max="9455" width="11.42578125" style="1"/>
    <col min="9456" max="9456" width="3" style="1" customWidth="1"/>
    <col min="9457" max="9463" width="17.42578125" style="1" customWidth="1"/>
    <col min="9464" max="9464" width="3.85546875" style="1" customWidth="1"/>
    <col min="9465" max="9465" width="3.5703125" style="1" customWidth="1"/>
    <col min="9466" max="9469" width="8.140625" style="1" customWidth="1"/>
    <col min="9470" max="9711" width="11.42578125" style="1"/>
    <col min="9712" max="9712" width="3" style="1" customWidth="1"/>
    <col min="9713" max="9719" width="17.42578125" style="1" customWidth="1"/>
    <col min="9720" max="9720" width="3.85546875" style="1" customWidth="1"/>
    <col min="9721" max="9721" width="3.5703125" style="1" customWidth="1"/>
    <col min="9722" max="9725" width="8.140625" style="1" customWidth="1"/>
    <col min="9726" max="9967" width="11.42578125" style="1"/>
    <col min="9968" max="9968" width="3" style="1" customWidth="1"/>
    <col min="9969" max="9975" width="17.42578125" style="1" customWidth="1"/>
    <col min="9976" max="9976" width="3.85546875" style="1" customWidth="1"/>
    <col min="9977" max="9977" width="3.5703125" style="1" customWidth="1"/>
    <col min="9978" max="9981" width="8.140625" style="1" customWidth="1"/>
    <col min="9982" max="10223" width="11.42578125" style="1"/>
    <col min="10224" max="10224" width="3" style="1" customWidth="1"/>
    <col min="10225" max="10231" width="17.42578125" style="1" customWidth="1"/>
    <col min="10232" max="10232" width="3.85546875" style="1" customWidth="1"/>
    <col min="10233" max="10233" width="3.5703125" style="1" customWidth="1"/>
    <col min="10234" max="10237" width="8.140625" style="1" customWidth="1"/>
    <col min="10238" max="10479" width="11.42578125" style="1"/>
    <col min="10480" max="10480" width="3" style="1" customWidth="1"/>
    <col min="10481" max="10487" width="17.42578125" style="1" customWidth="1"/>
    <col min="10488" max="10488" width="3.85546875" style="1" customWidth="1"/>
    <col min="10489" max="10489" width="3.5703125" style="1" customWidth="1"/>
    <col min="10490" max="10493" width="8.140625" style="1" customWidth="1"/>
    <col min="10494" max="10735" width="11.42578125" style="1"/>
    <col min="10736" max="10736" width="3" style="1" customWidth="1"/>
    <col min="10737" max="10743" width="17.42578125" style="1" customWidth="1"/>
    <col min="10744" max="10744" width="3.85546875" style="1" customWidth="1"/>
    <col min="10745" max="10745" width="3.5703125" style="1" customWidth="1"/>
    <col min="10746" max="10749" width="8.140625" style="1" customWidth="1"/>
    <col min="10750" max="10991" width="11.42578125" style="1"/>
    <col min="10992" max="10992" width="3" style="1" customWidth="1"/>
    <col min="10993" max="10999" width="17.42578125" style="1" customWidth="1"/>
    <col min="11000" max="11000" width="3.85546875" style="1" customWidth="1"/>
    <col min="11001" max="11001" width="3.5703125" style="1" customWidth="1"/>
    <col min="11002" max="11005" width="8.140625" style="1" customWidth="1"/>
    <col min="11006" max="11247" width="11.42578125" style="1"/>
    <col min="11248" max="11248" width="3" style="1" customWidth="1"/>
    <col min="11249" max="11255" width="17.42578125" style="1" customWidth="1"/>
    <col min="11256" max="11256" width="3.85546875" style="1" customWidth="1"/>
    <col min="11257" max="11257" width="3.5703125" style="1" customWidth="1"/>
    <col min="11258" max="11261" width="8.140625" style="1" customWidth="1"/>
    <col min="11262" max="11503" width="11.42578125" style="1"/>
    <col min="11504" max="11504" width="3" style="1" customWidth="1"/>
    <col min="11505" max="11511" width="17.42578125" style="1" customWidth="1"/>
    <col min="11512" max="11512" width="3.85546875" style="1" customWidth="1"/>
    <col min="11513" max="11513" width="3.5703125" style="1" customWidth="1"/>
    <col min="11514" max="11517" width="8.140625" style="1" customWidth="1"/>
    <col min="11518" max="11759" width="11.42578125" style="1"/>
    <col min="11760" max="11760" width="3" style="1" customWidth="1"/>
    <col min="11761" max="11767" width="17.42578125" style="1" customWidth="1"/>
    <col min="11768" max="11768" width="3.85546875" style="1" customWidth="1"/>
    <col min="11769" max="11769" width="3.5703125" style="1" customWidth="1"/>
    <col min="11770" max="11773" width="8.140625" style="1" customWidth="1"/>
    <col min="11774" max="12015" width="11.42578125" style="1"/>
    <col min="12016" max="12016" width="3" style="1" customWidth="1"/>
    <col min="12017" max="12023" width="17.42578125" style="1" customWidth="1"/>
    <col min="12024" max="12024" width="3.85546875" style="1" customWidth="1"/>
    <col min="12025" max="12025" width="3.5703125" style="1" customWidth="1"/>
    <col min="12026" max="12029" width="8.140625" style="1" customWidth="1"/>
    <col min="12030" max="12271" width="11.42578125" style="1"/>
    <col min="12272" max="12272" width="3" style="1" customWidth="1"/>
    <col min="12273" max="12279" width="17.42578125" style="1" customWidth="1"/>
    <col min="12280" max="12280" width="3.85546875" style="1" customWidth="1"/>
    <col min="12281" max="12281" width="3.5703125" style="1" customWidth="1"/>
    <col min="12282" max="12285" width="8.140625" style="1" customWidth="1"/>
    <col min="12286" max="12527" width="11.42578125" style="1"/>
    <col min="12528" max="12528" width="3" style="1" customWidth="1"/>
    <col min="12529" max="12535" width="17.42578125" style="1" customWidth="1"/>
    <col min="12536" max="12536" width="3.85546875" style="1" customWidth="1"/>
    <col min="12537" max="12537" width="3.5703125" style="1" customWidth="1"/>
    <col min="12538" max="12541" width="8.140625" style="1" customWidth="1"/>
    <col min="12542" max="12783" width="11.42578125" style="1"/>
    <col min="12784" max="12784" width="3" style="1" customWidth="1"/>
    <col min="12785" max="12791" width="17.42578125" style="1" customWidth="1"/>
    <col min="12792" max="12792" width="3.85546875" style="1" customWidth="1"/>
    <col min="12793" max="12793" width="3.5703125" style="1" customWidth="1"/>
    <col min="12794" max="12797" width="8.140625" style="1" customWidth="1"/>
    <col min="12798" max="13039" width="11.42578125" style="1"/>
    <col min="13040" max="13040" width="3" style="1" customWidth="1"/>
    <col min="13041" max="13047" width="17.42578125" style="1" customWidth="1"/>
    <col min="13048" max="13048" width="3.85546875" style="1" customWidth="1"/>
    <col min="13049" max="13049" width="3.5703125" style="1" customWidth="1"/>
    <col min="13050" max="13053" width="8.140625" style="1" customWidth="1"/>
    <col min="13054" max="13295" width="11.42578125" style="1"/>
    <col min="13296" max="13296" width="3" style="1" customWidth="1"/>
    <col min="13297" max="13303" width="17.42578125" style="1" customWidth="1"/>
    <col min="13304" max="13304" width="3.85546875" style="1" customWidth="1"/>
    <col min="13305" max="13305" width="3.5703125" style="1" customWidth="1"/>
    <col min="13306" max="13309" width="8.140625" style="1" customWidth="1"/>
    <col min="13310" max="13551" width="11.42578125" style="1"/>
    <col min="13552" max="13552" width="3" style="1" customWidth="1"/>
    <col min="13553" max="13559" width="17.42578125" style="1" customWidth="1"/>
    <col min="13560" max="13560" width="3.85546875" style="1" customWidth="1"/>
    <col min="13561" max="13561" width="3.5703125" style="1" customWidth="1"/>
    <col min="13562" max="13565" width="8.140625" style="1" customWidth="1"/>
    <col min="13566" max="13807" width="11.42578125" style="1"/>
    <col min="13808" max="13808" width="3" style="1" customWidth="1"/>
    <col min="13809" max="13815" width="17.42578125" style="1" customWidth="1"/>
    <col min="13816" max="13816" width="3.85546875" style="1" customWidth="1"/>
    <col min="13817" max="13817" width="3.5703125" style="1" customWidth="1"/>
    <col min="13818" max="13821" width="8.140625" style="1" customWidth="1"/>
    <col min="13822" max="14063" width="11.42578125" style="1"/>
    <col min="14064" max="14064" width="3" style="1" customWidth="1"/>
    <col min="14065" max="14071" width="17.42578125" style="1" customWidth="1"/>
    <col min="14072" max="14072" width="3.85546875" style="1" customWidth="1"/>
    <col min="14073" max="14073" width="3.5703125" style="1" customWidth="1"/>
    <col min="14074" max="14077" width="8.140625" style="1" customWidth="1"/>
    <col min="14078" max="14319" width="11.42578125" style="1"/>
    <col min="14320" max="14320" width="3" style="1" customWidth="1"/>
    <col min="14321" max="14327" width="17.42578125" style="1" customWidth="1"/>
    <col min="14328" max="14328" width="3.85546875" style="1" customWidth="1"/>
    <col min="14329" max="14329" width="3.5703125" style="1" customWidth="1"/>
    <col min="14330" max="14333" width="8.140625" style="1" customWidth="1"/>
    <col min="14334" max="14575" width="11.42578125" style="1"/>
    <col min="14576" max="14576" width="3" style="1" customWidth="1"/>
    <col min="14577" max="14583" width="17.42578125" style="1" customWidth="1"/>
    <col min="14584" max="14584" width="3.85546875" style="1" customWidth="1"/>
    <col min="14585" max="14585" width="3.5703125" style="1" customWidth="1"/>
    <col min="14586" max="14589" width="8.140625" style="1" customWidth="1"/>
    <col min="14590" max="14831" width="11.42578125" style="1"/>
    <col min="14832" max="14832" width="3" style="1" customWidth="1"/>
    <col min="14833" max="14839" width="17.42578125" style="1" customWidth="1"/>
    <col min="14840" max="14840" width="3.85546875" style="1" customWidth="1"/>
    <col min="14841" max="14841" width="3.5703125" style="1" customWidth="1"/>
    <col min="14842" max="14845" width="8.140625" style="1" customWidth="1"/>
    <col min="14846" max="15087" width="11.42578125" style="1"/>
    <col min="15088" max="15088" width="3" style="1" customWidth="1"/>
    <col min="15089" max="15095" width="17.42578125" style="1" customWidth="1"/>
    <col min="15096" max="15096" width="3.85546875" style="1" customWidth="1"/>
    <col min="15097" max="15097" width="3.5703125" style="1" customWidth="1"/>
    <col min="15098" max="15101" width="8.140625" style="1" customWidth="1"/>
    <col min="15102" max="15343" width="11.42578125" style="1"/>
    <col min="15344" max="15344" width="3" style="1" customWidth="1"/>
    <col min="15345" max="15351" width="17.42578125" style="1" customWidth="1"/>
    <col min="15352" max="15352" width="3.85546875" style="1" customWidth="1"/>
    <col min="15353" max="15353" width="3.5703125" style="1" customWidth="1"/>
    <col min="15354" max="15357" width="8.140625" style="1" customWidth="1"/>
    <col min="15358" max="15599" width="11.42578125" style="1"/>
    <col min="15600" max="15600" width="3" style="1" customWidth="1"/>
    <col min="15601" max="15607" width="17.42578125" style="1" customWidth="1"/>
    <col min="15608" max="15608" width="3.85546875" style="1" customWidth="1"/>
    <col min="15609" max="15609" width="3.5703125" style="1" customWidth="1"/>
    <col min="15610" max="15613" width="8.140625" style="1" customWidth="1"/>
    <col min="15614" max="15855" width="11.42578125" style="1"/>
    <col min="15856" max="15856" width="3" style="1" customWidth="1"/>
    <col min="15857" max="15863" width="17.42578125" style="1" customWidth="1"/>
    <col min="15864" max="15864" width="3.85546875" style="1" customWidth="1"/>
    <col min="15865" max="15865" width="3.5703125" style="1" customWidth="1"/>
    <col min="15866" max="15869" width="8.140625" style="1" customWidth="1"/>
    <col min="15870" max="16111" width="11.42578125" style="1"/>
    <col min="16112" max="16112" width="3" style="1" customWidth="1"/>
    <col min="16113" max="16119" width="17.42578125" style="1" customWidth="1"/>
    <col min="16120" max="16120" width="3.85546875" style="1" customWidth="1"/>
    <col min="16121" max="16121" width="3.5703125" style="1" customWidth="1"/>
    <col min="16122" max="16125" width="8.140625" style="1" customWidth="1"/>
    <col min="16126" max="16384" width="11.42578125" style="1"/>
  </cols>
  <sheetData>
    <row r="1" spans="1:25" ht="22.5" customHeight="1" x14ac:dyDescent="0.2">
      <c r="A1" s="56"/>
      <c r="B1" s="8"/>
      <c r="C1" s="8"/>
      <c r="D1" s="57"/>
      <c r="E1" s="137" t="s">
        <v>8</v>
      </c>
      <c r="F1" s="137"/>
      <c r="G1" s="137"/>
      <c r="H1" s="137"/>
      <c r="I1" s="137"/>
      <c r="J1" s="137"/>
      <c r="K1" s="138"/>
      <c r="L1" s="139" t="s">
        <v>21</v>
      </c>
      <c r="M1" s="140"/>
      <c r="N1" s="141"/>
      <c r="P1" s="11"/>
    </row>
    <row r="2" spans="1:25" ht="22.5" customHeight="1" x14ac:dyDescent="0.2">
      <c r="A2" s="58"/>
      <c r="B2" s="25"/>
      <c r="C2" s="25"/>
      <c r="D2" s="59"/>
      <c r="E2" s="142" t="s">
        <v>81</v>
      </c>
      <c r="F2" s="142"/>
      <c r="G2" s="142"/>
      <c r="H2" s="142"/>
      <c r="I2" s="142"/>
      <c r="J2" s="142"/>
      <c r="K2" s="143"/>
      <c r="L2" s="144" t="s">
        <v>86</v>
      </c>
      <c r="M2" s="145"/>
      <c r="N2" s="146"/>
      <c r="P2" s="147"/>
      <c r="Q2" s="147"/>
      <c r="R2" s="147"/>
      <c r="S2" s="147"/>
      <c r="T2" s="147"/>
      <c r="U2" s="147"/>
      <c r="V2" s="147"/>
      <c r="W2" s="147"/>
      <c r="X2" s="147"/>
      <c r="Y2" s="147"/>
    </row>
    <row r="3" spans="1:25" ht="22.5" customHeight="1" x14ac:dyDescent="0.2">
      <c r="A3" s="58"/>
      <c r="B3" s="25"/>
      <c r="C3" s="25"/>
      <c r="D3" s="55"/>
      <c r="E3" s="142"/>
      <c r="F3" s="142"/>
      <c r="G3" s="142"/>
      <c r="H3" s="142"/>
      <c r="I3" s="142"/>
      <c r="J3" s="142"/>
      <c r="K3" s="143"/>
      <c r="L3" s="144" t="s">
        <v>70</v>
      </c>
      <c r="M3" s="145"/>
      <c r="N3" s="146"/>
      <c r="P3" s="148"/>
      <c r="Q3" s="148"/>
      <c r="R3" s="148"/>
    </row>
    <row r="4" spans="1:25" ht="22.5" customHeight="1" thickBot="1" x14ac:dyDescent="0.25">
      <c r="A4" s="60"/>
      <c r="B4" s="9"/>
      <c r="C4" s="9"/>
      <c r="D4" s="54"/>
      <c r="E4" s="149" t="s">
        <v>82</v>
      </c>
      <c r="F4" s="149"/>
      <c r="G4" s="149"/>
      <c r="H4" s="149"/>
      <c r="I4" s="149"/>
      <c r="J4" s="149"/>
      <c r="K4" s="150"/>
      <c r="L4" s="151" t="s">
        <v>87</v>
      </c>
      <c r="M4" s="152"/>
      <c r="N4" s="153"/>
      <c r="P4" s="11"/>
      <c r="Q4" s="154" t="s">
        <v>23</v>
      </c>
      <c r="R4" s="155" t="s">
        <v>63</v>
      </c>
      <c r="S4" s="120" t="s">
        <v>47</v>
      </c>
    </row>
    <row r="5" spans="1:25" ht="3.95" customHeight="1" thickBot="1" x14ac:dyDescent="0.25">
      <c r="A5" s="58"/>
      <c r="B5" s="25"/>
      <c r="C5" s="25"/>
      <c r="D5" s="25"/>
      <c r="E5" s="25"/>
      <c r="F5" s="25"/>
      <c r="G5" s="61"/>
      <c r="H5" s="25"/>
      <c r="I5" s="25"/>
      <c r="J5" s="25"/>
      <c r="K5" s="25"/>
      <c r="L5" s="25"/>
      <c r="M5" s="25"/>
      <c r="N5" s="62"/>
      <c r="P5" s="11"/>
      <c r="Q5" s="154"/>
      <c r="R5" s="156"/>
    </row>
    <row r="6" spans="1:25" ht="24.95" customHeight="1" x14ac:dyDescent="0.2">
      <c r="A6" s="157" t="s">
        <v>14</v>
      </c>
      <c r="B6" s="158"/>
      <c r="C6" s="159" t="s">
        <v>92</v>
      </c>
      <c r="D6" s="159"/>
      <c r="E6" s="159"/>
      <c r="F6" s="159"/>
      <c r="G6" s="159"/>
      <c r="H6" s="159"/>
      <c r="I6" s="159"/>
      <c r="J6" s="108" t="s">
        <v>10</v>
      </c>
      <c r="K6" s="160">
        <v>45985</v>
      </c>
      <c r="L6" s="160"/>
      <c r="M6" s="160"/>
      <c r="N6" s="161"/>
      <c r="P6" s="11"/>
      <c r="Q6" s="13"/>
      <c r="R6" s="14" t="s">
        <v>28</v>
      </c>
      <c r="S6" s="15" t="s">
        <v>48</v>
      </c>
    </row>
    <row r="7" spans="1:25" ht="24.95" customHeight="1" x14ac:dyDescent="0.2">
      <c r="A7" s="162" t="s">
        <v>15</v>
      </c>
      <c r="B7" s="163"/>
      <c r="C7" s="164" t="s">
        <v>93</v>
      </c>
      <c r="D7" s="164"/>
      <c r="E7" s="164"/>
      <c r="F7" s="164"/>
      <c r="G7" s="164"/>
      <c r="H7" s="164"/>
      <c r="I7" s="164"/>
      <c r="J7" s="26" t="s">
        <v>11</v>
      </c>
      <c r="K7" s="165">
        <v>45944</v>
      </c>
      <c r="L7" s="165"/>
      <c r="M7" s="165"/>
      <c r="N7" s="166"/>
      <c r="P7" s="11"/>
      <c r="Q7" s="16" t="s">
        <v>24</v>
      </c>
      <c r="R7" s="14" t="s">
        <v>29</v>
      </c>
      <c r="S7" s="15" t="s">
        <v>49</v>
      </c>
    </row>
    <row r="8" spans="1:25" ht="24.95" customHeight="1" x14ac:dyDescent="0.2">
      <c r="A8" s="162" t="s">
        <v>64</v>
      </c>
      <c r="B8" s="163"/>
      <c r="C8" s="238" t="s">
        <v>94</v>
      </c>
      <c r="D8" s="164"/>
      <c r="E8" s="164"/>
      <c r="F8" s="164"/>
      <c r="G8" s="164"/>
      <c r="H8" s="164"/>
      <c r="I8" s="164"/>
      <c r="J8" s="26" t="s">
        <v>12</v>
      </c>
      <c r="K8" s="165">
        <v>44145</v>
      </c>
      <c r="L8" s="165"/>
      <c r="M8" s="165"/>
      <c r="N8" s="166"/>
      <c r="P8" s="11"/>
      <c r="Q8" s="16" t="s">
        <v>25</v>
      </c>
      <c r="R8" s="14" t="s">
        <v>30</v>
      </c>
      <c r="S8" s="15" t="s">
        <v>50</v>
      </c>
    </row>
    <row r="9" spans="1:25" ht="24.95" customHeight="1" x14ac:dyDescent="0.2">
      <c r="A9" s="162" t="s">
        <v>16</v>
      </c>
      <c r="B9" s="163"/>
      <c r="C9" s="164" t="s">
        <v>95</v>
      </c>
      <c r="D9" s="164"/>
      <c r="E9" s="164"/>
      <c r="F9" s="164"/>
      <c r="G9" s="164"/>
      <c r="H9" s="164"/>
      <c r="I9" s="164"/>
      <c r="J9" s="26" t="s">
        <v>13</v>
      </c>
      <c r="K9" s="111" t="s">
        <v>69</v>
      </c>
      <c r="L9" s="112" t="s">
        <v>91</v>
      </c>
      <c r="M9" s="113" t="s">
        <v>1</v>
      </c>
      <c r="N9" s="114">
        <v>25</v>
      </c>
      <c r="P9" s="11"/>
      <c r="Q9" s="16" t="s">
        <v>26</v>
      </c>
      <c r="R9" s="17" t="s">
        <v>31</v>
      </c>
      <c r="S9" s="15" t="s">
        <v>51</v>
      </c>
    </row>
    <row r="10" spans="1:25" ht="24.75" customHeight="1" x14ac:dyDescent="0.2">
      <c r="A10" s="162" t="s">
        <v>17</v>
      </c>
      <c r="B10" s="163"/>
      <c r="C10" s="164" t="s">
        <v>96</v>
      </c>
      <c r="D10" s="164"/>
      <c r="E10" s="164"/>
      <c r="F10" s="164"/>
      <c r="G10" s="164"/>
      <c r="H10" s="164"/>
      <c r="I10" s="164"/>
      <c r="J10" s="26" t="s">
        <v>9</v>
      </c>
      <c r="K10" s="168" t="str">
        <f>+CONCATENATE(L9,," ",N9,"-",D12,"-",F12)</f>
        <v>058 25-PE4-7-7</v>
      </c>
      <c r="L10" s="168"/>
      <c r="M10" s="168"/>
      <c r="N10" s="169"/>
      <c r="P10" s="11"/>
      <c r="Q10" s="18" t="s">
        <v>27</v>
      </c>
      <c r="R10" s="17" t="s">
        <v>32</v>
      </c>
      <c r="S10" s="15"/>
    </row>
    <row r="11" spans="1:25" ht="3.95" customHeight="1" thickBot="1" x14ac:dyDescent="0.25">
      <c r="A11" s="162"/>
      <c r="B11" s="163"/>
      <c r="C11" s="119"/>
      <c r="D11" s="119"/>
      <c r="E11" s="119"/>
      <c r="F11" s="119"/>
      <c r="G11" s="63"/>
      <c r="H11" s="63"/>
      <c r="I11" s="63"/>
      <c r="J11" s="63"/>
      <c r="K11" s="63"/>
      <c r="L11" s="63"/>
      <c r="M11" s="63"/>
      <c r="N11" s="64"/>
      <c r="P11" s="11"/>
      <c r="R11" s="13"/>
      <c r="S11" s="15" t="s">
        <v>52</v>
      </c>
    </row>
    <row r="12" spans="1:25" ht="24.95" customHeight="1" x14ac:dyDescent="0.2">
      <c r="A12" s="157" t="s">
        <v>18</v>
      </c>
      <c r="B12" s="158"/>
      <c r="C12" s="121" t="s">
        <v>48</v>
      </c>
      <c r="D12" s="3" t="s">
        <v>101</v>
      </c>
      <c r="E12" s="4" t="s">
        <v>19</v>
      </c>
      <c r="F12" s="121">
        <v>7</v>
      </c>
      <c r="G12" s="4" t="s">
        <v>0</v>
      </c>
      <c r="H12" s="117">
        <v>2.95</v>
      </c>
      <c r="I12" s="7" t="s">
        <v>1</v>
      </c>
      <c r="J12" s="118">
        <v>3.4</v>
      </c>
      <c r="K12" s="65"/>
      <c r="L12" s="65"/>
      <c r="M12" s="65"/>
      <c r="N12" s="66"/>
      <c r="P12" s="11"/>
      <c r="R12" s="17" t="s">
        <v>33</v>
      </c>
      <c r="S12" s="15"/>
    </row>
    <row r="13" spans="1:25" ht="24.95" customHeight="1" x14ac:dyDescent="0.2">
      <c r="A13" s="162" t="s">
        <v>66</v>
      </c>
      <c r="B13" s="163"/>
      <c r="C13" s="170" t="s">
        <v>106</v>
      </c>
      <c r="D13" s="170"/>
      <c r="E13" s="170"/>
      <c r="F13" s="170"/>
      <c r="G13" s="170"/>
      <c r="H13" s="170"/>
      <c r="I13" s="170"/>
      <c r="J13" s="170"/>
      <c r="K13" s="170"/>
      <c r="L13" s="170"/>
      <c r="M13" s="170"/>
      <c r="N13" s="171"/>
      <c r="P13" s="11"/>
    </row>
    <row r="14" spans="1:25" ht="3.95" customHeight="1" thickBot="1" x14ac:dyDescent="0.3">
      <c r="A14" s="67"/>
      <c r="B14" s="68"/>
      <c r="C14" s="68"/>
      <c r="D14" s="68"/>
      <c r="E14" s="68"/>
      <c r="F14" s="68"/>
      <c r="G14" s="172"/>
      <c r="H14" s="172"/>
      <c r="I14" s="172"/>
      <c r="J14" s="69"/>
      <c r="K14" s="70"/>
      <c r="L14" s="70"/>
      <c r="M14" s="70"/>
      <c r="N14" s="71"/>
      <c r="P14" s="11"/>
    </row>
    <row r="15" spans="1:25" ht="3" customHeight="1" x14ac:dyDescent="0.25">
      <c r="A15" s="72"/>
      <c r="B15" s="73"/>
      <c r="C15" s="73"/>
      <c r="D15" s="73"/>
      <c r="E15" s="73"/>
      <c r="F15" s="73"/>
      <c r="G15" s="74"/>
      <c r="H15" s="75"/>
      <c r="I15" s="76"/>
      <c r="J15" s="74"/>
      <c r="K15" s="77"/>
      <c r="L15" s="77"/>
      <c r="M15" s="77"/>
      <c r="N15" s="78"/>
      <c r="P15" s="11"/>
    </row>
    <row r="16" spans="1:25" ht="9" customHeight="1" thickBot="1" x14ac:dyDescent="0.25">
      <c r="A16" s="79"/>
      <c r="B16" s="80"/>
      <c r="C16" s="80"/>
      <c r="D16" s="80"/>
      <c r="E16" s="80"/>
      <c r="F16" s="80"/>
      <c r="G16" s="81"/>
      <c r="H16" s="81"/>
      <c r="I16" s="81"/>
      <c r="J16" s="81"/>
      <c r="K16" s="81"/>
      <c r="L16" s="81"/>
      <c r="M16" s="81"/>
      <c r="N16" s="62"/>
      <c r="P16" s="11"/>
    </row>
    <row r="17" spans="1:33" ht="24.95" customHeight="1" thickBot="1" x14ac:dyDescent="0.35">
      <c r="A17" s="58"/>
      <c r="B17" s="173" t="s">
        <v>7</v>
      </c>
      <c r="C17" s="174"/>
      <c r="D17" s="174"/>
      <c r="E17" s="174"/>
      <c r="F17" s="174"/>
      <c r="G17" s="174"/>
      <c r="H17" s="173" t="s">
        <v>4</v>
      </c>
      <c r="I17" s="175"/>
      <c r="J17" s="82"/>
      <c r="K17" s="82"/>
      <c r="L17" s="82"/>
      <c r="M17" s="82"/>
      <c r="N17" s="83"/>
      <c r="O17" s="101">
        <f>E32</f>
        <v>1.8</v>
      </c>
      <c r="P17" s="97">
        <f>I32</f>
        <v>2.3376623376623376</v>
      </c>
      <c r="Q17" s="98">
        <f>B32</f>
        <v>1.9166666666666667</v>
      </c>
      <c r="R17" s="12">
        <f>Q17/P17</f>
        <v>0.81990740740740753</v>
      </c>
      <c r="S17" s="12">
        <f>O17/Q17</f>
        <v>0.93913043478260871</v>
      </c>
    </row>
    <row r="18" spans="1:33" ht="24.95" customHeight="1" x14ac:dyDescent="0.3">
      <c r="A18" s="58"/>
      <c r="B18" s="31" t="s">
        <v>57</v>
      </c>
      <c r="C18" s="176">
        <v>3.71</v>
      </c>
      <c r="D18" s="177"/>
      <c r="E18" s="50" t="s">
        <v>79</v>
      </c>
      <c r="F18" s="178">
        <f>F19/(1+I21/100)</f>
        <v>1.6734173380698305</v>
      </c>
      <c r="G18" s="179"/>
      <c r="H18" s="31" t="s">
        <v>58</v>
      </c>
      <c r="I18" s="34">
        <v>171.47</v>
      </c>
      <c r="J18" s="82"/>
      <c r="K18" s="84"/>
      <c r="L18" s="84"/>
      <c r="M18" s="84"/>
      <c r="N18" s="85"/>
      <c r="O18" s="100">
        <f>E37</f>
        <v>3.47</v>
      </c>
      <c r="P18" s="99">
        <f>I37</f>
        <v>4.5064935064935066</v>
      </c>
      <c r="Q18" s="98">
        <f>B37</f>
        <v>3.5166666666666666</v>
      </c>
      <c r="R18" s="12">
        <f>Q18/P18</f>
        <v>0.78035542747358311</v>
      </c>
      <c r="S18" s="12">
        <f>O18/Q18</f>
        <v>0.9867298578199053</v>
      </c>
      <c r="AC18" s="11" t="s">
        <v>89</v>
      </c>
      <c r="AG18" s="1" t="s">
        <v>90</v>
      </c>
    </row>
    <row r="19" spans="1:33" ht="24.95" customHeight="1" x14ac:dyDescent="0.3">
      <c r="A19" s="58"/>
      <c r="B19" s="32" t="s">
        <v>36</v>
      </c>
      <c r="C19" s="180">
        <v>7.7</v>
      </c>
      <c r="D19" s="181"/>
      <c r="E19" s="51" t="s">
        <v>80</v>
      </c>
      <c r="F19" s="182">
        <f>+C21/(C20)</f>
        <v>1.8992230553017027</v>
      </c>
      <c r="G19" s="183"/>
      <c r="H19" s="32" t="s">
        <v>5</v>
      </c>
      <c r="I19" s="36">
        <v>155.65</v>
      </c>
      <c r="J19" s="82"/>
      <c r="K19" s="84"/>
      <c r="L19" s="84"/>
      <c r="M19" s="84"/>
      <c r="N19" s="85"/>
      <c r="O19" s="100" t="str">
        <f>E48</f>
        <v>-</v>
      </c>
      <c r="P19" s="97" t="str">
        <f>I48</f>
        <v>-</v>
      </c>
      <c r="Q19" s="98" t="str">
        <f>B48</f>
        <v>-</v>
      </c>
      <c r="R19" s="12" t="e">
        <f>Q19/P19</f>
        <v>#VALUE!</v>
      </c>
      <c r="S19" s="12" t="e">
        <f>O19/Q19</f>
        <v>#VALUE!</v>
      </c>
    </row>
    <row r="20" spans="1:33" ht="24.95" customHeight="1" x14ac:dyDescent="0.3">
      <c r="A20" s="58"/>
      <c r="B20" s="32" t="s">
        <v>37</v>
      </c>
      <c r="C20" s="184">
        <f>(PI()*((C18^2)/4)*C19)</f>
        <v>83.239301228304896</v>
      </c>
      <c r="D20" s="185"/>
      <c r="E20" s="52" t="s">
        <v>22</v>
      </c>
      <c r="F20" s="186" t="s">
        <v>26</v>
      </c>
      <c r="G20" s="187"/>
      <c r="H20" s="32" t="s">
        <v>6</v>
      </c>
      <c r="I20" s="36">
        <v>38.409999999999997</v>
      </c>
      <c r="J20" s="82"/>
      <c r="K20" s="84"/>
      <c r="L20" s="84"/>
      <c r="M20" s="84"/>
      <c r="N20" s="85"/>
      <c r="O20" s="2"/>
      <c r="P20" s="96"/>
      <c r="Q20" s="11" t="s">
        <v>84</v>
      </c>
      <c r="R20" s="102" t="e">
        <f>(R17+R18+R19)/3</f>
        <v>#VALUE!</v>
      </c>
      <c r="S20" s="11"/>
    </row>
    <row r="21" spans="1:33" ht="24.95" customHeight="1" x14ac:dyDescent="0.3">
      <c r="A21" s="58"/>
      <c r="B21" s="32" t="s">
        <v>3</v>
      </c>
      <c r="C21" s="180">
        <v>158.09</v>
      </c>
      <c r="D21" s="181"/>
      <c r="E21" s="52" t="s">
        <v>59</v>
      </c>
      <c r="F21" s="194" t="s">
        <v>29</v>
      </c>
      <c r="G21" s="195"/>
      <c r="H21" s="35" t="s">
        <v>38</v>
      </c>
      <c r="I21" s="37">
        <f>(I18-I19)/(I19-I20)*100</f>
        <v>13.493688161037182</v>
      </c>
      <c r="J21" s="82"/>
      <c r="K21" s="84"/>
      <c r="L21" s="84"/>
      <c r="M21" s="84"/>
      <c r="N21" s="85"/>
      <c r="O21" s="2"/>
      <c r="P21" s="11"/>
      <c r="Q21" s="11" t="s">
        <v>83</v>
      </c>
      <c r="R21" s="102" t="e">
        <f>(S17+S18+S19)/3</f>
        <v>#VALUE!</v>
      </c>
      <c r="S21" s="11"/>
    </row>
    <row r="22" spans="1:33" ht="24.95" customHeight="1" thickBot="1" x14ac:dyDescent="0.35">
      <c r="A22" s="58"/>
      <c r="B22" s="33" t="s">
        <v>60</v>
      </c>
      <c r="C22" s="196">
        <f>(PI()*(C18*C18))/4</f>
        <v>10.810298860818817</v>
      </c>
      <c r="D22" s="197"/>
      <c r="E22" s="53" t="s">
        <v>34</v>
      </c>
      <c r="F22" s="198">
        <v>1</v>
      </c>
      <c r="G22" s="199"/>
      <c r="H22" s="94"/>
      <c r="I22" s="95"/>
      <c r="J22" s="82"/>
      <c r="K22" s="84"/>
      <c r="L22" s="84"/>
      <c r="M22" s="84"/>
      <c r="N22" s="85"/>
      <c r="O22" s="2"/>
      <c r="P22" s="11"/>
      <c r="Q22" s="11"/>
      <c r="R22" s="11"/>
      <c r="S22" s="11"/>
    </row>
    <row r="23" spans="1:33" ht="5.25" customHeight="1" thickBot="1" x14ac:dyDescent="0.35">
      <c r="A23" s="58"/>
      <c r="B23" s="86"/>
      <c r="C23" s="86"/>
      <c r="D23" s="86"/>
      <c r="E23" s="86"/>
      <c r="F23" s="86"/>
      <c r="G23" s="87"/>
      <c r="H23" s="87"/>
      <c r="I23" s="87"/>
      <c r="J23" s="87"/>
      <c r="K23" s="87"/>
      <c r="L23" s="87"/>
      <c r="M23" s="87"/>
      <c r="N23" s="83"/>
      <c r="P23" s="11"/>
    </row>
    <row r="24" spans="1:33" ht="24.95" customHeight="1" thickBot="1" x14ac:dyDescent="0.35">
      <c r="A24" s="58"/>
      <c r="B24" s="188" t="s">
        <v>45</v>
      </c>
      <c r="C24" s="190" t="s">
        <v>53</v>
      </c>
      <c r="D24" s="190" t="s">
        <v>65</v>
      </c>
      <c r="E24" s="192" t="s">
        <v>54</v>
      </c>
      <c r="F24" s="193"/>
      <c r="G24" s="192" t="s">
        <v>55</v>
      </c>
      <c r="H24" s="193"/>
      <c r="I24" s="190" t="s">
        <v>77</v>
      </c>
      <c r="J24" s="190" t="s">
        <v>78</v>
      </c>
      <c r="K24" s="190" t="s">
        <v>43</v>
      </c>
      <c r="L24" s="88"/>
      <c r="M24" s="88"/>
      <c r="N24" s="83"/>
      <c r="P24" s="239" t="s">
        <v>56</v>
      </c>
      <c r="Q24" s="243" t="s">
        <v>40</v>
      </c>
      <c r="R24" s="243" t="s">
        <v>35</v>
      </c>
      <c r="S24" s="239" t="s">
        <v>61</v>
      </c>
      <c r="T24" s="241" t="s">
        <v>46</v>
      </c>
    </row>
    <row r="25" spans="1:33" ht="24.95" customHeight="1" thickBot="1" x14ac:dyDescent="0.35">
      <c r="A25" s="58"/>
      <c r="B25" s="189"/>
      <c r="C25" s="191"/>
      <c r="D25" s="191"/>
      <c r="E25" s="103" t="s">
        <v>2</v>
      </c>
      <c r="F25" s="103" t="s">
        <v>42</v>
      </c>
      <c r="G25" s="103" t="s">
        <v>41</v>
      </c>
      <c r="H25" s="103" t="s">
        <v>44</v>
      </c>
      <c r="I25" s="191"/>
      <c r="J25" s="191"/>
      <c r="K25" s="191"/>
      <c r="L25" s="88"/>
      <c r="M25" s="88"/>
      <c r="N25" s="83"/>
      <c r="P25" s="240"/>
      <c r="Q25" s="244"/>
      <c r="R25" s="244"/>
      <c r="S25" s="240"/>
      <c r="T25" s="242"/>
    </row>
    <row r="26" spans="1:33" ht="24.95" customHeight="1" x14ac:dyDescent="0.3">
      <c r="A26" s="89"/>
      <c r="B26" s="38">
        <f>T26/60</f>
        <v>0</v>
      </c>
      <c r="C26" s="104">
        <f>R26</f>
        <v>0</v>
      </c>
      <c r="D26" s="41">
        <v>0</v>
      </c>
      <c r="E26" s="39">
        <f>S26</f>
        <v>0</v>
      </c>
      <c r="F26" s="41">
        <f>E26/25.4</f>
        <v>0</v>
      </c>
      <c r="G26" s="41">
        <v>0</v>
      </c>
      <c r="H26" s="42">
        <f>IF(D26="","",(D26/K26))</f>
        <v>0</v>
      </c>
      <c r="I26" s="41">
        <f>(E26/($C$19*10))*100</f>
        <v>0</v>
      </c>
      <c r="J26" s="43">
        <f>$C$22/(1-I26/100)</f>
        <v>10.810298860818817</v>
      </c>
      <c r="K26" s="109">
        <f>J26*0.155</f>
        <v>1.6755963234269167</v>
      </c>
      <c r="L26" s="90"/>
      <c r="M26" s="90"/>
      <c r="N26" s="83"/>
      <c r="O26" s="5">
        <v>0</v>
      </c>
      <c r="P26" s="19">
        <v>0</v>
      </c>
      <c r="Q26" s="19">
        <v>0</v>
      </c>
      <c r="R26" s="115">
        <v>0</v>
      </c>
      <c r="S26" s="20">
        <v>0</v>
      </c>
      <c r="T26" s="106">
        <v>0</v>
      </c>
    </row>
    <row r="27" spans="1:33" ht="24.95" customHeight="1" x14ac:dyDescent="0.3">
      <c r="A27" s="89"/>
      <c r="B27" s="38">
        <f>T27/60</f>
        <v>0.31666666666666665</v>
      </c>
      <c r="C27" s="104">
        <f t="shared" ref="C27:C38" si="0">R27</f>
        <v>2.1000000000000001E-2</v>
      </c>
      <c r="D27" s="40">
        <f t="shared" ref="D27:D38" si="1">C27*0.224809*1000</f>
        <v>4.7209890000000003</v>
      </c>
      <c r="E27" s="39">
        <f>S27</f>
        <v>0.25</v>
      </c>
      <c r="F27" s="41">
        <f>E27/25.4</f>
        <v>9.8425196850393699E-3</v>
      </c>
      <c r="G27" s="41">
        <f t="shared" ref="G27:G38" si="2">IF(C27="","",(C27/(J27/10000)))</f>
        <v>19.362848753131249</v>
      </c>
      <c r="H27" s="42">
        <f t="shared" ref="H27:H38" si="3">IF(D27="","",(D27/K27))</f>
        <v>2.808350106672699</v>
      </c>
      <c r="I27" s="41">
        <f t="shared" ref="I27:I38" si="4">(E27/($C$19*10))*100</f>
        <v>0.32467532467532467</v>
      </c>
      <c r="J27" s="43">
        <f>$C$22/(1-I27/100)</f>
        <v>10.845511560691191</v>
      </c>
      <c r="K27" s="109">
        <f t="shared" ref="K27:K38" si="5">J27*0.155</f>
        <v>1.6810542919071347</v>
      </c>
      <c r="L27" s="90"/>
      <c r="M27" s="90"/>
      <c r="N27" s="83"/>
      <c r="O27" s="6">
        <v>0</v>
      </c>
      <c r="P27" s="19">
        <v>9.8425000000000006E-3</v>
      </c>
      <c r="Q27" s="21"/>
      <c r="R27" s="115">
        <v>2.1000000000000001E-2</v>
      </c>
      <c r="S27" s="22">
        <v>0.25</v>
      </c>
      <c r="T27" s="106">
        <v>19</v>
      </c>
    </row>
    <row r="28" spans="1:33" ht="24.95" customHeight="1" x14ac:dyDescent="0.3">
      <c r="A28" s="89"/>
      <c r="B28" s="38">
        <f t="shared" ref="B28:B38" si="6">T28/60</f>
        <v>0.6333333333333333</v>
      </c>
      <c r="C28" s="104">
        <f t="shared" si="0"/>
        <v>0.03</v>
      </c>
      <c r="D28" s="40">
        <f t="shared" si="1"/>
        <v>6.7442700000000002</v>
      </c>
      <c r="E28" s="39">
        <f t="shared" ref="E28:E38" si="7">S28</f>
        <v>0.54</v>
      </c>
      <c r="F28" s="41">
        <f t="shared" ref="F28:F38" si="8">E28/25.4</f>
        <v>2.1259842519685043E-2</v>
      </c>
      <c r="G28" s="41">
        <f t="shared" si="2"/>
        <v>27.556694567974226</v>
      </c>
      <c r="H28" s="42">
        <f t="shared" si="3"/>
        <v>3.9967696446011085</v>
      </c>
      <c r="I28" s="41">
        <f t="shared" si="4"/>
        <v>0.70129870129870131</v>
      </c>
      <c r="J28" s="43">
        <f t="shared" ref="J28:J38" si="9">$C$22/(1-I28/100)</f>
        <v>10.886646773254629</v>
      </c>
      <c r="K28" s="109">
        <f t="shared" si="5"/>
        <v>1.6874302498544675</v>
      </c>
      <c r="L28" s="90"/>
      <c r="M28" s="90"/>
      <c r="N28" s="83"/>
      <c r="O28" s="6">
        <v>0.59499999999999997</v>
      </c>
      <c r="P28" s="19">
        <v>2.1259800000000002E-2</v>
      </c>
      <c r="Q28" s="21"/>
      <c r="R28" s="115">
        <v>0.03</v>
      </c>
      <c r="S28" s="22">
        <v>0.54</v>
      </c>
      <c r="T28" s="106">
        <v>38</v>
      </c>
    </row>
    <row r="29" spans="1:33" ht="24.95" customHeight="1" x14ac:dyDescent="0.3">
      <c r="A29" s="89"/>
      <c r="B29" s="38">
        <f>T29/60</f>
        <v>0.96666666666666667</v>
      </c>
      <c r="C29" s="104">
        <f t="shared" si="0"/>
        <v>3.2000000000000001E-2</v>
      </c>
      <c r="D29" s="40">
        <f t="shared" si="1"/>
        <v>7.1938880000000003</v>
      </c>
      <c r="E29" s="39">
        <f t="shared" si="7"/>
        <v>0.85</v>
      </c>
      <c r="F29" s="41">
        <f t="shared" si="8"/>
        <v>3.3464566929133861E-2</v>
      </c>
      <c r="G29" s="41">
        <f t="shared" si="2"/>
        <v>29.274633064451834</v>
      </c>
      <c r="H29" s="42">
        <f t="shared" si="3"/>
        <v>4.2459361190879683</v>
      </c>
      <c r="I29" s="41">
        <f t="shared" si="4"/>
        <v>1.1038961038961039</v>
      </c>
      <c r="J29" s="43">
        <f t="shared" si="9"/>
        <v>10.930965361563347</v>
      </c>
      <c r="K29" s="109">
        <f t="shared" si="5"/>
        <v>1.6942996310423188</v>
      </c>
      <c r="L29" s="90"/>
      <c r="M29" s="90"/>
      <c r="N29" s="83"/>
      <c r="O29" s="6">
        <v>1.1120000000000001</v>
      </c>
      <c r="P29" s="19">
        <v>3.3464500000000001E-2</v>
      </c>
      <c r="Q29" s="21"/>
      <c r="R29" s="115">
        <v>3.2000000000000001E-2</v>
      </c>
      <c r="S29" s="22">
        <v>0.85</v>
      </c>
      <c r="T29" s="106">
        <v>58</v>
      </c>
    </row>
    <row r="30" spans="1:33" ht="24.95" customHeight="1" x14ac:dyDescent="0.3">
      <c r="A30" s="89"/>
      <c r="B30" s="38">
        <f t="shared" si="6"/>
        <v>1.2833333333333334</v>
      </c>
      <c r="C30" s="104">
        <f t="shared" si="0"/>
        <v>3.5000000000000003E-2</v>
      </c>
      <c r="D30" s="40">
        <f t="shared" si="1"/>
        <v>7.8683150000000008</v>
      </c>
      <c r="E30" s="39">
        <f t="shared" si="7"/>
        <v>1.1399999999999999</v>
      </c>
      <c r="F30" s="41">
        <f t="shared" si="8"/>
        <v>4.4881889763779527E-2</v>
      </c>
      <c r="G30" s="41">
        <f t="shared" si="2"/>
        <v>31.897192321662036</v>
      </c>
      <c r="H30" s="42">
        <f t="shared" si="3"/>
        <v>4.6263070378325946</v>
      </c>
      <c r="I30" s="41">
        <f t="shared" si="4"/>
        <v>1.4805194805194803</v>
      </c>
      <c r="J30" s="43">
        <f t="shared" si="9"/>
        <v>10.972752600620208</v>
      </c>
      <c r="K30" s="109">
        <f t="shared" si="5"/>
        <v>1.7007766530961321</v>
      </c>
      <c r="L30" s="90"/>
      <c r="M30" s="90"/>
      <c r="N30" s="83"/>
      <c r="O30" s="6">
        <v>1.605</v>
      </c>
      <c r="P30" s="19">
        <v>4.4881799999999999E-2</v>
      </c>
      <c r="Q30" s="21"/>
      <c r="R30" s="115">
        <v>3.5000000000000003E-2</v>
      </c>
      <c r="S30" s="22">
        <v>1.1399999999999999</v>
      </c>
      <c r="T30" s="106">
        <v>77</v>
      </c>
    </row>
    <row r="31" spans="1:33" ht="24.95" customHeight="1" x14ac:dyDescent="0.3">
      <c r="A31" s="89"/>
      <c r="B31" s="38">
        <f t="shared" si="6"/>
        <v>1.6</v>
      </c>
      <c r="C31" s="104">
        <f t="shared" si="0"/>
        <v>3.5999999999999997E-2</v>
      </c>
      <c r="D31" s="40">
        <f t="shared" si="1"/>
        <v>8.0931239999999995</v>
      </c>
      <c r="E31" s="39">
        <f t="shared" si="7"/>
        <v>1.46</v>
      </c>
      <c r="F31" s="41">
        <f t="shared" si="8"/>
        <v>5.748031496062992E-2</v>
      </c>
      <c r="G31" s="41">
        <f t="shared" si="2"/>
        <v>32.670144509517762</v>
      </c>
      <c r="H31" s="42">
        <f t="shared" si="3"/>
        <v>4.7384145271226963</v>
      </c>
      <c r="I31" s="41">
        <f t="shared" si="4"/>
        <v>1.8961038961038961</v>
      </c>
      <c r="J31" s="43">
        <f t="shared" si="9"/>
        <v>11.019235005070808</v>
      </c>
      <c r="K31" s="109">
        <f t="shared" si="5"/>
        <v>1.7079814257859751</v>
      </c>
      <c r="L31" s="90"/>
      <c r="M31" s="90"/>
      <c r="N31" s="83"/>
      <c r="O31" s="6">
        <v>2.0270000000000001</v>
      </c>
      <c r="P31" s="19">
        <v>5.7480200000000002E-2</v>
      </c>
      <c r="Q31" s="21"/>
      <c r="R31" s="115">
        <v>3.5999999999999997E-2</v>
      </c>
      <c r="S31" s="22">
        <v>1.46</v>
      </c>
      <c r="T31" s="106">
        <v>96</v>
      </c>
    </row>
    <row r="32" spans="1:33" ht="24.95" customHeight="1" x14ac:dyDescent="0.3">
      <c r="A32" s="89"/>
      <c r="B32" s="38">
        <f t="shared" si="6"/>
        <v>1.9166666666666667</v>
      </c>
      <c r="C32" s="104">
        <f t="shared" si="0"/>
        <v>3.1E-2</v>
      </c>
      <c r="D32" s="40">
        <f t="shared" si="1"/>
        <v>6.9690790000000007</v>
      </c>
      <c r="E32" s="39">
        <f t="shared" si="7"/>
        <v>1.8</v>
      </c>
      <c r="F32" s="41">
        <f t="shared" si="8"/>
        <v>7.0866141732283464E-2</v>
      </c>
      <c r="G32" s="41">
        <f t="shared" si="2"/>
        <v>28.006001559360676</v>
      </c>
      <c r="H32" s="42">
        <f t="shared" si="3"/>
        <v>4.0619362610053651</v>
      </c>
      <c r="I32" s="41">
        <f t="shared" si="4"/>
        <v>2.3376623376623376</v>
      </c>
      <c r="J32" s="43">
        <f t="shared" si="9"/>
        <v>11.069056014402246</v>
      </c>
      <c r="K32" s="109">
        <f t="shared" si="5"/>
        <v>1.7157036822323481</v>
      </c>
      <c r="L32" s="90"/>
      <c r="M32" s="90"/>
      <c r="N32" s="83"/>
      <c r="O32" s="6">
        <v>2.4540000000000002</v>
      </c>
      <c r="P32" s="19">
        <v>7.0866000000000012E-2</v>
      </c>
      <c r="Q32" s="21"/>
      <c r="R32" s="115">
        <v>3.1E-2</v>
      </c>
      <c r="S32" s="22">
        <v>1.8</v>
      </c>
      <c r="T32" s="106">
        <v>115</v>
      </c>
    </row>
    <row r="33" spans="1:20" ht="24.95" customHeight="1" x14ac:dyDescent="0.3">
      <c r="A33" s="89"/>
      <c r="B33" s="38">
        <f t="shared" si="6"/>
        <v>2.25</v>
      </c>
      <c r="C33" s="104">
        <f t="shared" si="0"/>
        <v>2.9000000000000001E-2</v>
      </c>
      <c r="D33" s="40">
        <f t="shared" si="1"/>
        <v>6.5194610000000006</v>
      </c>
      <c r="E33" s="39">
        <f t="shared" si="7"/>
        <v>2.2000000000000002</v>
      </c>
      <c r="F33" s="41">
        <f t="shared" si="8"/>
        <v>8.6614173228346469E-2</v>
      </c>
      <c r="G33" s="41">
        <f t="shared" si="2"/>
        <v>26.059805500414029</v>
      </c>
      <c r="H33" s="42">
        <f t="shared" si="3"/>
        <v>3.7796637514468245</v>
      </c>
      <c r="I33" s="41">
        <f t="shared" si="4"/>
        <v>2.8571428571428572</v>
      </c>
      <c r="J33" s="43">
        <f t="shared" si="9"/>
        <v>11.128248827313488</v>
      </c>
      <c r="K33" s="109">
        <f t="shared" si="5"/>
        <v>1.7248785682335905</v>
      </c>
      <c r="L33" s="90"/>
      <c r="M33" s="90"/>
      <c r="N33" s="83"/>
      <c r="O33" s="6">
        <v>2.81</v>
      </c>
      <c r="P33" s="19">
        <v>8.661400000000001E-2</v>
      </c>
      <c r="Q33" s="21"/>
      <c r="R33" s="115">
        <v>2.9000000000000001E-2</v>
      </c>
      <c r="S33" s="22">
        <v>2.2000000000000002</v>
      </c>
      <c r="T33" s="106">
        <v>135</v>
      </c>
    </row>
    <row r="34" spans="1:20" ht="24.95" customHeight="1" x14ac:dyDescent="0.3">
      <c r="A34" s="89"/>
      <c r="B34" s="38">
        <f t="shared" si="6"/>
        <v>2.5666666666666669</v>
      </c>
      <c r="C34" s="104">
        <f>R34</f>
        <v>2.8000000000000001E-2</v>
      </c>
      <c r="D34" s="40">
        <f t="shared" si="1"/>
        <v>6.2946520000000001</v>
      </c>
      <c r="E34" s="39">
        <f t="shared" si="7"/>
        <v>2.56</v>
      </c>
      <c r="F34" s="41">
        <f t="shared" si="8"/>
        <v>0.10078740157480316</v>
      </c>
      <c r="G34" s="41">
        <f t="shared" si="2"/>
        <v>25.040094873973342</v>
      </c>
      <c r="H34" s="42">
        <f t="shared" si="3"/>
        <v>3.6317668958213369</v>
      </c>
      <c r="I34" s="41">
        <f t="shared" si="4"/>
        <v>3.3246753246753249</v>
      </c>
      <c r="J34" s="43">
        <f t="shared" si="9"/>
        <v>11.18206625850415</v>
      </c>
      <c r="K34" s="109">
        <f t="shared" si="5"/>
        <v>1.7332202700681434</v>
      </c>
      <c r="L34" s="90"/>
      <c r="M34" s="90"/>
      <c r="N34" s="83"/>
      <c r="O34" s="6">
        <v>3.2429999999999999</v>
      </c>
      <c r="P34" s="19">
        <v>0.10078720000000001</v>
      </c>
      <c r="Q34" s="21"/>
      <c r="R34" s="115">
        <v>2.8000000000000001E-2</v>
      </c>
      <c r="S34" s="22">
        <v>2.56</v>
      </c>
      <c r="T34" s="106">
        <v>154</v>
      </c>
    </row>
    <row r="35" spans="1:20" ht="24.95" customHeight="1" x14ac:dyDescent="0.3">
      <c r="A35" s="89"/>
      <c r="B35" s="38">
        <f t="shared" si="6"/>
        <v>2.8833333333333333</v>
      </c>
      <c r="C35" s="104">
        <f t="shared" si="0"/>
        <v>2.7E-2</v>
      </c>
      <c r="D35" s="40">
        <f t="shared" si="1"/>
        <v>6.0698430000000005</v>
      </c>
      <c r="E35" s="39">
        <f t="shared" si="7"/>
        <v>2.87</v>
      </c>
      <c r="F35" s="41">
        <f t="shared" si="8"/>
        <v>0.11299212598425198</v>
      </c>
      <c r="G35" s="41">
        <f t="shared" si="2"/>
        <v>24.04525230828586</v>
      </c>
      <c r="H35" s="42">
        <f t="shared" si="3"/>
        <v>3.4874768555957649</v>
      </c>
      <c r="I35" s="41">
        <f t="shared" si="4"/>
        <v>3.7272727272727275</v>
      </c>
      <c r="J35" s="43">
        <f t="shared" si="9"/>
        <v>11.228827900756089</v>
      </c>
      <c r="K35" s="109">
        <f t="shared" si="5"/>
        <v>1.7404683246171939</v>
      </c>
      <c r="L35" s="90"/>
      <c r="M35" s="90"/>
      <c r="N35" s="83"/>
      <c r="O35" s="6">
        <v>3.6720000000000002</v>
      </c>
      <c r="P35" s="19">
        <v>0.11299190000000001</v>
      </c>
      <c r="Q35" s="21"/>
      <c r="R35" s="115">
        <v>2.7E-2</v>
      </c>
      <c r="S35" s="22">
        <v>2.87</v>
      </c>
      <c r="T35" s="106">
        <v>173</v>
      </c>
    </row>
    <row r="36" spans="1:20" ht="24.95" customHeight="1" x14ac:dyDescent="0.3">
      <c r="A36" s="89"/>
      <c r="B36" s="38">
        <f t="shared" si="6"/>
        <v>3.2</v>
      </c>
      <c r="C36" s="104">
        <f t="shared" si="0"/>
        <v>2.4E-2</v>
      </c>
      <c r="D36" s="40">
        <f t="shared" si="1"/>
        <v>5.395416</v>
      </c>
      <c r="E36" s="39">
        <f t="shared" si="7"/>
        <v>3.17</v>
      </c>
      <c r="F36" s="41">
        <f t="shared" si="8"/>
        <v>0.12480314960629922</v>
      </c>
      <c r="G36" s="41">
        <f t="shared" si="2"/>
        <v>21.287060004745356</v>
      </c>
      <c r="H36" s="42">
        <f t="shared" si="3"/>
        <v>3.0874339823269668</v>
      </c>
      <c r="I36" s="41">
        <f t="shared" si="4"/>
        <v>4.116883116883117</v>
      </c>
      <c r="J36" s="43">
        <f t="shared" si="9"/>
        <v>11.274454995029783</v>
      </c>
      <c r="K36" s="109">
        <f t="shared" si="5"/>
        <v>1.7475405242296165</v>
      </c>
      <c r="L36" s="90"/>
      <c r="M36" s="90"/>
      <c r="N36" s="83"/>
      <c r="O36" s="6">
        <v>4.0990000000000002</v>
      </c>
      <c r="P36" s="19">
        <v>0.12480290000000001</v>
      </c>
      <c r="Q36" s="21"/>
      <c r="R36" s="115">
        <v>2.4E-2</v>
      </c>
      <c r="S36" s="22">
        <v>3.17</v>
      </c>
      <c r="T36" s="106">
        <v>192</v>
      </c>
    </row>
    <row r="37" spans="1:20" ht="24.95" customHeight="1" x14ac:dyDescent="0.3">
      <c r="A37" s="89"/>
      <c r="B37" s="38">
        <f t="shared" si="6"/>
        <v>3.5166666666666666</v>
      </c>
      <c r="C37" s="104">
        <f t="shared" si="0"/>
        <v>2.3E-2</v>
      </c>
      <c r="D37" s="40">
        <f t="shared" si="1"/>
        <v>5.1706069999999995</v>
      </c>
      <c r="E37" s="39">
        <f t="shared" si="7"/>
        <v>3.47</v>
      </c>
      <c r="F37" s="41">
        <f t="shared" si="8"/>
        <v>0.13661417322834646</v>
      </c>
      <c r="G37" s="41">
        <f t="shared" si="2"/>
        <v>20.317205635370279</v>
      </c>
      <c r="H37" s="42">
        <f t="shared" si="3"/>
        <v>2.9467681817302944</v>
      </c>
      <c r="I37" s="41">
        <f t="shared" si="4"/>
        <v>4.5064935064935066</v>
      </c>
      <c r="J37" s="43">
        <f t="shared" si="9"/>
        <v>11.320454403414237</v>
      </c>
      <c r="K37" s="109">
        <f t="shared" si="5"/>
        <v>1.7546704325292066</v>
      </c>
      <c r="L37" s="90"/>
      <c r="M37" s="90"/>
      <c r="N37" s="83"/>
      <c r="O37" s="6">
        <v>4.4050000000000002</v>
      </c>
      <c r="P37" s="19">
        <v>0.13661390000000001</v>
      </c>
      <c r="Q37" s="21"/>
      <c r="R37" s="115">
        <v>2.3E-2</v>
      </c>
      <c r="S37" s="22">
        <v>3.47</v>
      </c>
      <c r="T37" s="106">
        <v>211</v>
      </c>
    </row>
    <row r="38" spans="1:20" ht="24.95" customHeight="1" x14ac:dyDescent="0.3">
      <c r="A38" s="89"/>
      <c r="B38" s="38">
        <f t="shared" si="6"/>
        <v>3.85</v>
      </c>
      <c r="C38" s="104">
        <f t="shared" si="0"/>
        <v>2.3E-2</v>
      </c>
      <c r="D38" s="40">
        <f t="shared" si="1"/>
        <v>5.1706069999999995</v>
      </c>
      <c r="E38" s="39">
        <f t="shared" si="7"/>
        <v>3.77</v>
      </c>
      <c r="F38" s="41">
        <f t="shared" si="8"/>
        <v>0.14842519685039371</v>
      </c>
      <c r="G38" s="41">
        <f t="shared" si="2"/>
        <v>20.234312099526253</v>
      </c>
      <c r="H38" s="42">
        <f t="shared" si="3"/>
        <v>2.9347454637305783</v>
      </c>
      <c r="I38" s="41">
        <f t="shared" si="4"/>
        <v>4.8961038961038961</v>
      </c>
      <c r="J38" s="43">
        <f t="shared" si="9"/>
        <v>11.366830701666652</v>
      </c>
      <c r="K38" s="109">
        <f t="shared" si="5"/>
        <v>1.761858758758331</v>
      </c>
      <c r="L38" s="90"/>
      <c r="M38" s="90"/>
      <c r="N38" s="83"/>
      <c r="O38" s="6">
        <v>4.83</v>
      </c>
      <c r="P38" s="19">
        <v>0.1484249</v>
      </c>
      <c r="Q38" s="21"/>
      <c r="R38" s="115">
        <v>2.3E-2</v>
      </c>
      <c r="S38" s="22">
        <v>3.77</v>
      </c>
      <c r="T38" s="106">
        <v>231</v>
      </c>
    </row>
    <row r="39" spans="1:20" ht="24.95" customHeight="1" x14ac:dyDescent="0.3">
      <c r="A39" s="89"/>
      <c r="B39" s="38" t="s">
        <v>1</v>
      </c>
      <c r="C39" s="104" t="s">
        <v>1</v>
      </c>
      <c r="D39" s="40" t="s">
        <v>1</v>
      </c>
      <c r="E39" s="39" t="s">
        <v>1</v>
      </c>
      <c r="F39" s="41" t="s">
        <v>1</v>
      </c>
      <c r="G39" s="41" t="s">
        <v>1</v>
      </c>
      <c r="H39" s="42" t="s">
        <v>1</v>
      </c>
      <c r="I39" s="41" t="s">
        <v>1</v>
      </c>
      <c r="J39" s="43" t="s">
        <v>1</v>
      </c>
      <c r="K39" s="109" t="s">
        <v>1</v>
      </c>
      <c r="L39" s="90"/>
      <c r="M39" s="90"/>
      <c r="N39" s="83"/>
      <c r="O39" s="6">
        <v>5.2560000000000002</v>
      </c>
      <c r="P39" s="19">
        <v>0.15944849999999999</v>
      </c>
      <c r="Q39" s="21"/>
      <c r="R39" s="115">
        <v>2.1999999999999999E-2</v>
      </c>
      <c r="S39" s="22">
        <v>4.05</v>
      </c>
      <c r="T39" s="106">
        <v>250</v>
      </c>
    </row>
    <row r="40" spans="1:20" ht="24.95" customHeight="1" x14ac:dyDescent="0.3">
      <c r="A40" s="89"/>
      <c r="B40" s="38" t="s">
        <v>1</v>
      </c>
      <c r="C40" s="104" t="s">
        <v>1</v>
      </c>
      <c r="D40" s="40" t="s">
        <v>1</v>
      </c>
      <c r="E40" s="39" t="s">
        <v>1</v>
      </c>
      <c r="F40" s="41" t="s">
        <v>1</v>
      </c>
      <c r="G40" s="41" t="s">
        <v>1</v>
      </c>
      <c r="H40" s="42" t="s">
        <v>1</v>
      </c>
      <c r="I40" s="41" t="s">
        <v>1</v>
      </c>
      <c r="J40" s="43" t="s">
        <v>1</v>
      </c>
      <c r="K40" s="109" t="s">
        <v>1</v>
      </c>
      <c r="L40" s="90"/>
      <c r="M40" s="90"/>
      <c r="N40" s="83"/>
      <c r="O40" s="6">
        <v>5.593</v>
      </c>
      <c r="P40" s="19">
        <v>0.1720469</v>
      </c>
      <c r="Q40" s="21"/>
      <c r="R40" s="115">
        <v>2.1000000000000001E-2</v>
      </c>
      <c r="S40" s="22">
        <v>4.37</v>
      </c>
      <c r="T40" s="106">
        <v>269</v>
      </c>
    </row>
    <row r="41" spans="1:20" ht="24.95" customHeight="1" x14ac:dyDescent="0.3">
      <c r="A41" s="89"/>
      <c r="B41" s="38" t="s">
        <v>1</v>
      </c>
      <c r="C41" s="104" t="s">
        <v>1</v>
      </c>
      <c r="D41" s="40" t="s">
        <v>1</v>
      </c>
      <c r="E41" s="39" t="s">
        <v>1</v>
      </c>
      <c r="F41" s="41" t="s">
        <v>1</v>
      </c>
      <c r="G41" s="41" t="s">
        <v>1</v>
      </c>
      <c r="H41" s="42" t="s">
        <v>1</v>
      </c>
      <c r="I41" s="41" t="s">
        <v>1</v>
      </c>
      <c r="J41" s="43" t="s">
        <v>1</v>
      </c>
      <c r="K41" s="109" t="s">
        <v>1</v>
      </c>
      <c r="L41" s="90"/>
      <c r="M41" s="90"/>
      <c r="N41" s="83"/>
      <c r="O41" s="6">
        <v>6.0650000000000004</v>
      </c>
      <c r="P41" s="19">
        <v>0.18464530000000001</v>
      </c>
      <c r="Q41" s="21"/>
      <c r="R41" s="115">
        <v>2.1999999999999999E-2</v>
      </c>
      <c r="S41" s="22">
        <v>4.6900000000000004</v>
      </c>
      <c r="T41" s="106">
        <v>288</v>
      </c>
    </row>
    <row r="42" spans="1:20" ht="24.95" customHeight="1" x14ac:dyDescent="0.3">
      <c r="A42" s="89"/>
      <c r="B42" s="38" t="s">
        <v>1</v>
      </c>
      <c r="C42" s="104" t="s">
        <v>1</v>
      </c>
      <c r="D42" s="40" t="s">
        <v>1</v>
      </c>
      <c r="E42" s="39" t="s">
        <v>1</v>
      </c>
      <c r="F42" s="41" t="s">
        <v>1</v>
      </c>
      <c r="G42" s="41" t="s">
        <v>1</v>
      </c>
      <c r="H42" s="42" t="s">
        <v>1</v>
      </c>
      <c r="I42" s="41" t="s">
        <v>1</v>
      </c>
      <c r="J42" s="43" t="s">
        <v>1</v>
      </c>
      <c r="K42" s="109" t="s">
        <v>1</v>
      </c>
      <c r="L42" s="90"/>
      <c r="M42" s="90"/>
      <c r="N42" s="83"/>
      <c r="O42" s="6">
        <v>6.5289999999999999</v>
      </c>
      <c r="P42" s="19">
        <v>0.19999960000000003</v>
      </c>
      <c r="Q42" s="21"/>
      <c r="R42" s="115">
        <v>1.9E-2</v>
      </c>
      <c r="S42" s="22">
        <v>5.08</v>
      </c>
      <c r="T42" s="106">
        <v>307</v>
      </c>
    </row>
    <row r="43" spans="1:20" ht="24.95" customHeight="1" x14ac:dyDescent="0.3">
      <c r="A43" s="89"/>
      <c r="B43" s="38" t="s">
        <v>1</v>
      </c>
      <c r="C43" s="104" t="s">
        <v>1</v>
      </c>
      <c r="D43" s="40" t="s">
        <v>1</v>
      </c>
      <c r="E43" s="39" t="s">
        <v>1</v>
      </c>
      <c r="F43" s="41" t="s">
        <v>1</v>
      </c>
      <c r="G43" s="41" t="s">
        <v>1</v>
      </c>
      <c r="H43" s="42" t="s">
        <v>1</v>
      </c>
      <c r="I43" s="41" t="s">
        <v>1</v>
      </c>
      <c r="J43" s="43" t="s">
        <v>1</v>
      </c>
      <c r="K43" s="109" t="s">
        <v>1</v>
      </c>
      <c r="L43" s="90"/>
      <c r="M43" s="90"/>
      <c r="N43" s="83"/>
      <c r="O43" s="6">
        <v>6.9450000000000003</v>
      </c>
      <c r="P43" s="19">
        <v>0.21535390000000001</v>
      </c>
      <c r="Q43" s="21"/>
      <c r="R43" s="115">
        <v>0.02</v>
      </c>
      <c r="S43" s="22">
        <v>5.47</v>
      </c>
      <c r="T43" s="106">
        <v>327</v>
      </c>
    </row>
    <row r="44" spans="1:20" ht="24.95" customHeight="1" x14ac:dyDescent="0.3">
      <c r="A44" s="89"/>
      <c r="B44" s="38" t="s">
        <v>1</v>
      </c>
      <c r="C44" s="104" t="s">
        <v>1</v>
      </c>
      <c r="D44" s="40" t="s">
        <v>1</v>
      </c>
      <c r="E44" s="39" t="s">
        <v>1</v>
      </c>
      <c r="F44" s="41" t="s">
        <v>1</v>
      </c>
      <c r="G44" s="41" t="s">
        <v>1</v>
      </c>
      <c r="H44" s="42" t="s">
        <v>1</v>
      </c>
      <c r="I44" s="41" t="s">
        <v>1</v>
      </c>
      <c r="J44" s="43" t="s">
        <v>1</v>
      </c>
      <c r="K44" s="109" t="s">
        <v>1</v>
      </c>
      <c r="L44" s="90"/>
      <c r="M44" s="90"/>
      <c r="N44" s="83"/>
      <c r="O44" s="6">
        <v>7.2439999999999998</v>
      </c>
      <c r="P44" s="19">
        <v>0.22755860000000003</v>
      </c>
      <c r="Q44" s="21"/>
      <c r="R44" s="115">
        <v>1.9E-2</v>
      </c>
      <c r="S44" s="22">
        <v>5.78</v>
      </c>
      <c r="T44" s="106">
        <v>346</v>
      </c>
    </row>
    <row r="45" spans="1:20" ht="24.95" customHeight="1" x14ac:dyDescent="0.3">
      <c r="A45" s="89"/>
      <c r="B45" s="38" t="s">
        <v>1</v>
      </c>
      <c r="C45" s="104" t="s">
        <v>1</v>
      </c>
      <c r="D45" s="40" t="s">
        <v>1</v>
      </c>
      <c r="E45" s="39" t="s">
        <v>1</v>
      </c>
      <c r="F45" s="41" t="s">
        <v>1</v>
      </c>
      <c r="G45" s="41" t="s">
        <v>1</v>
      </c>
      <c r="H45" s="42" t="s">
        <v>1</v>
      </c>
      <c r="I45" s="41" t="s">
        <v>1</v>
      </c>
      <c r="J45" s="43" t="s">
        <v>1</v>
      </c>
      <c r="K45" s="109" t="s">
        <v>1</v>
      </c>
      <c r="L45" s="90"/>
      <c r="M45" s="90"/>
      <c r="N45" s="83"/>
      <c r="O45" s="6">
        <v>7.7009999999999996</v>
      </c>
      <c r="P45" s="19">
        <v>0.23976330000000001</v>
      </c>
      <c r="Q45" s="21"/>
      <c r="R45" s="115">
        <v>0.02</v>
      </c>
      <c r="S45" s="22">
        <v>6.09</v>
      </c>
      <c r="T45" s="106">
        <v>365</v>
      </c>
    </row>
    <row r="46" spans="1:20" ht="24.95" customHeight="1" x14ac:dyDescent="0.3">
      <c r="A46" s="89"/>
      <c r="B46" s="38" t="s">
        <v>1</v>
      </c>
      <c r="C46" s="104" t="s">
        <v>1</v>
      </c>
      <c r="D46" s="40" t="s">
        <v>1</v>
      </c>
      <c r="E46" s="39" t="s">
        <v>1</v>
      </c>
      <c r="F46" s="41" t="s">
        <v>1</v>
      </c>
      <c r="G46" s="41" t="s">
        <v>1</v>
      </c>
      <c r="H46" s="42" t="s">
        <v>1</v>
      </c>
      <c r="I46" s="41" t="s">
        <v>1</v>
      </c>
      <c r="J46" s="43" t="s">
        <v>1</v>
      </c>
      <c r="K46" s="109" t="s">
        <v>1</v>
      </c>
      <c r="L46" s="90"/>
      <c r="M46" s="90"/>
      <c r="N46" s="83"/>
      <c r="O46" s="6">
        <v>8.1920000000000002</v>
      </c>
      <c r="P46" s="19">
        <v>0.25078690000000003</v>
      </c>
      <c r="Q46" s="21"/>
      <c r="R46" s="115">
        <v>2.1999999999999999E-2</v>
      </c>
      <c r="S46" s="22">
        <v>6.37</v>
      </c>
      <c r="T46" s="106">
        <v>384</v>
      </c>
    </row>
    <row r="47" spans="1:20" ht="24.95" customHeight="1" x14ac:dyDescent="0.3">
      <c r="A47" s="89"/>
      <c r="B47" s="38" t="s">
        <v>1</v>
      </c>
      <c r="C47" s="104" t="s">
        <v>1</v>
      </c>
      <c r="D47" s="40" t="s">
        <v>1</v>
      </c>
      <c r="E47" s="39" t="s">
        <v>1</v>
      </c>
      <c r="F47" s="41" t="s">
        <v>1</v>
      </c>
      <c r="G47" s="41" t="s">
        <v>1</v>
      </c>
      <c r="H47" s="42" t="s">
        <v>1</v>
      </c>
      <c r="I47" s="41" t="s">
        <v>1</v>
      </c>
      <c r="J47" s="43" t="s">
        <v>1</v>
      </c>
      <c r="K47" s="109" t="s">
        <v>1</v>
      </c>
      <c r="L47" s="90"/>
      <c r="M47" s="90"/>
      <c r="N47" s="83"/>
      <c r="O47" s="6">
        <v>8.5820000000000007</v>
      </c>
      <c r="P47" s="19">
        <v>0.2622042</v>
      </c>
      <c r="Q47" s="21"/>
      <c r="R47" s="115">
        <v>2.4E-2</v>
      </c>
      <c r="S47" s="22">
        <v>6.66</v>
      </c>
      <c r="T47" s="106">
        <v>404</v>
      </c>
    </row>
    <row r="48" spans="1:20" ht="24.95" customHeight="1" x14ac:dyDescent="0.3">
      <c r="A48" s="89"/>
      <c r="B48" s="38" t="s">
        <v>1</v>
      </c>
      <c r="C48" s="104" t="s">
        <v>1</v>
      </c>
      <c r="D48" s="40" t="s">
        <v>1</v>
      </c>
      <c r="E48" s="39" t="s">
        <v>1</v>
      </c>
      <c r="F48" s="41" t="s">
        <v>1</v>
      </c>
      <c r="G48" s="41" t="s">
        <v>1</v>
      </c>
      <c r="H48" s="42" t="s">
        <v>1</v>
      </c>
      <c r="I48" s="41" t="s">
        <v>1</v>
      </c>
      <c r="J48" s="43" t="s">
        <v>1</v>
      </c>
      <c r="K48" s="109" t="s">
        <v>1</v>
      </c>
      <c r="L48" s="90"/>
      <c r="M48" s="90"/>
      <c r="N48" s="83"/>
      <c r="O48" s="6">
        <v>9.0809999999999995</v>
      </c>
      <c r="P48" s="19">
        <v>0.27362150000000002</v>
      </c>
      <c r="Q48" s="21"/>
      <c r="R48" s="115">
        <v>2.4E-2</v>
      </c>
      <c r="S48" s="22">
        <v>6.95</v>
      </c>
      <c r="T48" s="106">
        <v>423</v>
      </c>
    </row>
    <row r="49" spans="1:20" ht="24.95" customHeight="1" x14ac:dyDescent="0.3">
      <c r="A49" s="89"/>
      <c r="B49" s="38" t="s">
        <v>1</v>
      </c>
      <c r="C49" s="104" t="s">
        <v>1</v>
      </c>
      <c r="D49" s="40" t="s">
        <v>1</v>
      </c>
      <c r="E49" s="39" t="s">
        <v>1</v>
      </c>
      <c r="F49" s="41" t="s">
        <v>1</v>
      </c>
      <c r="G49" s="41" t="s">
        <v>1</v>
      </c>
      <c r="H49" s="42" t="s">
        <v>1</v>
      </c>
      <c r="I49" s="41" t="s">
        <v>1</v>
      </c>
      <c r="J49" s="43" t="s">
        <v>1</v>
      </c>
      <c r="K49" s="109" t="s">
        <v>1</v>
      </c>
      <c r="L49" s="90"/>
      <c r="M49" s="90"/>
      <c r="N49" s="83"/>
      <c r="O49" s="6">
        <v>9.5820000000000007</v>
      </c>
      <c r="P49" s="19">
        <v>0.28543250000000003</v>
      </c>
      <c r="Q49" s="21"/>
      <c r="R49" s="115">
        <v>2.5000000000000001E-2</v>
      </c>
      <c r="S49" s="22">
        <v>7.25</v>
      </c>
      <c r="T49" s="106">
        <v>442</v>
      </c>
    </row>
    <row r="50" spans="1:20" ht="24.95" customHeight="1" x14ac:dyDescent="0.3">
      <c r="A50" s="89"/>
      <c r="B50" s="38" t="s">
        <v>1</v>
      </c>
      <c r="C50" s="104" t="s">
        <v>1</v>
      </c>
      <c r="D50" s="40" t="s">
        <v>1</v>
      </c>
      <c r="E50" s="39" t="s">
        <v>1</v>
      </c>
      <c r="F50" s="41" t="s">
        <v>1</v>
      </c>
      <c r="G50" s="41" t="s">
        <v>1</v>
      </c>
      <c r="H50" s="42" t="s">
        <v>1</v>
      </c>
      <c r="I50" s="41" t="s">
        <v>1</v>
      </c>
      <c r="J50" s="43" t="s">
        <v>1</v>
      </c>
      <c r="K50" s="109" t="s">
        <v>1</v>
      </c>
      <c r="L50" s="90"/>
      <c r="M50" s="90"/>
      <c r="N50" s="83"/>
      <c r="O50" s="6">
        <v>10.092000000000001</v>
      </c>
      <c r="P50" s="19">
        <v>0.29803090000000004</v>
      </c>
      <c r="Q50" s="21"/>
      <c r="R50" s="115">
        <v>2.4E-2</v>
      </c>
      <c r="S50" s="22">
        <v>7.57</v>
      </c>
      <c r="T50" s="106">
        <v>461</v>
      </c>
    </row>
    <row r="51" spans="1:20" ht="24.95" customHeight="1" x14ac:dyDescent="0.3">
      <c r="A51" s="89"/>
      <c r="B51" s="38" t="s">
        <v>1</v>
      </c>
      <c r="C51" s="104" t="s">
        <v>1</v>
      </c>
      <c r="D51" s="40" t="s">
        <v>1</v>
      </c>
      <c r="E51" s="39" t="s">
        <v>1</v>
      </c>
      <c r="F51" s="41" t="s">
        <v>1</v>
      </c>
      <c r="G51" s="41" t="s">
        <v>1</v>
      </c>
      <c r="H51" s="42" t="s">
        <v>1</v>
      </c>
      <c r="I51" s="41" t="s">
        <v>1</v>
      </c>
      <c r="J51" s="43" t="s">
        <v>1</v>
      </c>
      <c r="K51" s="109" t="s">
        <v>1</v>
      </c>
      <c r="L51" s="90"/>
      <c r="M51" s="90"/>
      <c r="N51" s="83"/>
      <c r="O51" s="6">
        <v>10.505000000000001</v>
      </c>
      <c r="P51" s="19">
        <v>0.31299150000000003</v>
      </c>
      <c r="Q51" s="21"/>
      <c r="R51" s="115">
        <v>2.1000000000000001E-2</v>
      </c>
      <c r="S51" s="22">
        <v>7.95</v>
      </c>
      <c r="T51" s="106">
        <v>480</v>
      </c>
    </row>
    <row r="52" spans="1:20" ht="24.95" customHeight="1" x14ac:dyDescent="0.3">
      <c r="A52" s="89"/>
      <c r="B52" s="38" t="s">
        <v>1</v>
      </c>
      <c r="C52" s="104" t="s">
        <v>1</v>
      </c>
      <c r="D52" s="40" t="s">
        <v>1</v>
      </c>
      <c r="E52" s="39" t="s">
        <v>1</v>
      </c>
      <c r="F52" s="41" t="s">
        <v>1</v>
      </c>
      <c r="G52" s="41" t="s">
        <v>1</v>
      </c>
      <c r="H52" s="42" t="s">
        <v>1</v>
      </c>
      <c r="I52" s="41" t="s">
        <v>1</v>
      </c>
      <c r="J52" s="43" t="s">
        <v>1</v>
      </c>
      <c r="K52" s="109" t="s">
        <v>1</v>
      </c>
      <c r="L52" s="90"/>
      <c r="M52" s="90"/>
      <c r="N52" s="83"/>
      <c r="O52" s="6">
        <v>11.025</v>
      </c>
      <c r="P52" s="19">
        <v>0.32873950000000002</v>
      </c>
      <c r="Q52" s="21"/>
      <c r="R52" s="115">
        <v>1.9E-2</v>
      </c>
      <c r="S52" s="22">
        <v>8.35</v>
      </c>
      <c r="T52" s="106">
        <v>500</v>
      </c>
    </row>
    <row r="53" spans="1:20" ht="24.95" customHeight="1" x14ac:dyDescent="0.3">
      <c r="A53" s="89"/>
      <c r="B53" s="38" t="s">
        <v>1</v>
      </c>
      <c r="C53" s="104" t="s">
        <v>1</v>
      </c>
      <c r="D53" s="40" t="s">
        <v>1</v>
      </c>
      <c r="E53" s="39" t="s">
        <v>1</v>
      </c>
      <c r="F53" s="41" t="s">
        <v>1</v>
      </c>
      <c r="G53" s="41" t="s">
        <v>1</v>
      </c>
      <c r="H53" s="42" t="s">
        <v>1</v>
      </c>
      <c r="I53" s="41" t="s">
        <v>1</v>
      </c>
      <c r="J53" s="43" t="s">
        <v>1</v>
      </c>
      <c r="K53" s="109" t="s">
        <v>1</v>
      </c>
      <c r="L53" s="90"/>
      <c r="M53" s="90"/>
      <c r="N53" s="83"/>
      <c r="O53" s="6">
        <v>11.539</v>
      </c>
      <c r="P53" s="19">
        <v>0.34330640000000007</v>
      </c>
      <c r="Q53" s="21"/>
      <c r="R53" s="115">
        <v>1.9E-2</v>
      </c>
      <c r="S53" s="22">
        <v>8.7200000000000006</v>
      </c>
      <c r="T53" s="106">
        <v>519</v>
      </c>
    </row>
    <row r="54" spans="1:20" ht="24.95" customHeight="1" x14ac:dyDescent="0.3">
      <c r="A54" s="89"/>
      <c r="B54" s="38" t="s">
        <v>1</v>
      </c>
      <c r="C54" s="104" t="s">
        <v>1</v>
      </c>
      <c r="D54" s="40" t="s">
        <v>1</v>
      </c>
      <c r="E54" s="39" t="s">
        <v>1</v>
      </c>
      <c r="F54" s="41" t="s">
        <v>1</v>
      </c>
      <c r="G54" s="41" t="s">
        <v>1</v>
      </c>
      <c r="H54" s="42" t="s">
        <v>1</v>
      </c>
      <c r="I54" s="41" t="s">
        <v>1</v>
      </c>
      <c r="J54" s="43" t="s">
        <v>1</v>
      </c>
      <c r="K54" s="109" t="s">
        <v>1</v>
      </c>
      <c r="L54" s="90"/>
      <c r="M54" s="90"/>
      <c r="N54" s="83"/>
      <c r="O54" s="6">
        <v>12.015000000000001</v>
      </c>
      <c r="P54" s="19">
        <v>0.35472370000000003</v>
      </c>
      <c r="Q54" s="21"/>
      <c r="R54" s="115">
        <v>0.02</v>
      </c>
      <c r="S54" s="22">
        <v>9.01</v>
      </c>
      <c r="T54" s="106">
        <v>538</v>
      </c>
    </row>
    <row r="55" spans="1:20" ht="24.95" customHeight="1" x14ac:dyDescent="0.3">
      <c r="A55" s="89"/>
      <c r="B55" s="38" t="s">
        <v>1</v>
      </c>
      <c r="C55" s="104" t="s">
        <v>1</v>
      </c>
      <c r="D55" s="40" t="s">
        <v>1</v>
      </c>
      <c r="E55" s="39" t="s">
        <v>1</v>
      </c>
      <c r="F55" s="41" t="s">
        <v>1</v>
      </c>
      <c r="G55" s="41" t="s">
        <v>1</v>
      </c>
      <c r="H55" s="42" t="s">
        <v>1</v>
      </c>
      <c r="I55" s="41" t="s">
        <v>1</v>
      </c>
      <c r="J55" s="43" t="s">
        <v>1</v>
      </c>
      <c r="K55" s="109" t="s">
        <v>1</v>
      </c>
      <c r="L55" s="90"/>
      <c r="M55" s="90"/>
      <c r="N55" s="83"/>
      <c r="O55" s="6">
        <v>12.36</v>
      </c>
      <c r="P55" s="19">
        <v>0.36531423000000002</v>
      </c>
      <c r="Q55" s="21"/>
      <c r="R55" s="115">
        <v>2.1000000000000001E-2</v>
      </c>
      <c r="S55" s="22">
        <v>9.2789999999999999</v>
      </c>
      <c r="T55" s="106">
        <v>557</v>
      </c>
    </row>
    <row r="56" spans="1:20" ht="24.95" customHeight="1" x14ac:dyDescent="0.3">
      <c r="A56" s="89"/>
      <c r="B56" s="38" t="s">
        <v>1</v>
      </c>
      <c r="C56" s="104" t="s">
        <v>1</v>
      </c>
      <c r="D56" s="40" t="s">
        <v>1</v>
      </c>
      <c r="E56" s="39" t="s">
        <v>1</v>
      </c>
      <c r="F56" s="41" t="s">
        <v>1</v>
      </c>
      <c r="G56" s="41" t="s">
        <v>1</v>
      </c>
      <c r="H56" s="42" t="s">
        <v>1</v>
      </c>
      <c r="I56" s="41" t="s">
        <v>1</v>
      </c>
      <c r="J56" s="43" t="s">
        <v>1</v>
      </c>
      <c r="K56" s="109" t="s">
        <v>1</v>
      </c>
      <c r="L56" s="90"/>
      <c r="M56" s="90"/>
      <c r="N56" s="83"/>
      <c r="O56" s="6">
        <v>12.875999999999999</v>
      </c>
      <c r="P56" s="19">
        <v>0.37795200000000001</v>
      </c>
      <c r="Q56" s="21"/>
      <c r="R56" s="115">
        <v>2.1999999999999999E-2</v>
      </c>
      <c r="S56" s="22">
        <v>9.6</v>
      </c>
      <c r="T56" s="106">
        <v>577</v>
      </c>
    </row>
    <row r="57" spans="1:20" ht="24.95" customHeight="1" x14ac:dyDescent="0.3">
      <c r="A57" s="89"/>
      <c r="B57" s="38" t="s">
        <v>1</v>
      </c>
      <c r="C57" s="104" t="s">
        <v>1</v>
      </c>
      <c r="D57" s="40" t="s">
        <v>1</v>
      </c>
      <c r="E57" s="39" t="s">
        <v>1</v>
      </c>
      <c r="F57" s="41" t="s">
        <v>1</v>
      </c>
      <c r="G57" s="41" t="s">
        <v>1</v>
      </c>
      <c r="H57" s="42" t="s">
        <v>1</v>
      </c>
      <c r="I57" s="41" t="s">
        <v>1</v>
      </c>
      <c r="J57" s="43" t="s">
        <v>1</v>
      </c>
      <c r="K57" s="109" t="s">
        <v>1</v>
      </c>
      <c r="L57" s="90"/>
      <c r="M57" s="90"/>
      <c r="N57" s="83"/>
      <c r="O57" s="6"/>
      <c r="P57" s="19">
        <v>0.38897560000000003</v>
      </c>
      <c r="Q57" s="21"/>
      <c r="R57" s="115">
        <v>2.3E-2</v>
      </c>
      <c r="S57" s="22">
        <v>9.8800000000000008</v>
      </c>
      <c r="T57" s="106">
        <v>596</v>
      </c>
    </row>
    <row r="58" spans="1:20" ht="24.95" customHeight="1" x14ac:dyDescent="0.3">
      <c r="A58" s="89"/>
      <c r="B58" s="38" t="s">
        <v>1</v>
      </c>
      <c r="C58" s="104" t="s">
        <v>1</v>
      </c>
      <c r="D58" s="40" t="s">
        <v>1</v>
      </c>
      <c r="E58" s="39" t="s">
        <v>1</v>
      </c>
      <c r="F58" s="41" t="s">
        <v>1</v>
      </c>
      <c r="G58" s="41" t="s">
        <v>1</v>
      </c>
      <c r="H58" s="42" t="s">
        <v>1</v>
      </c>
      <c r="I58" s="41" t="s">
        <v>1</v>
      </c>
      <c r="J58" s="43" t="s">
        <v>1</v>
      </c>
      <c r="K58" s="109" t="s">
        <v>1</v>
      </c>
      <c r="L58" s="90"/>
      <c r="M58" s="90"/>
      <c r="N58" s="83"/>
      <c r="O58" s="6"/>
      <c r="P58" s="19">
        <v>0.40118029999999999</v>
      </c>
      <c r="Q58" s="21"/>
      <c r="R58" s="115">
        <v>2.4E-2</v>
      </c>
      <c r="S58" s="22">
        <v>10.19</v>
      </c>
      <c r="T58" s="106">
        <v>615</v>
      </c>
    </row>
    <row r="59" spans="1:20" ht="24.95" customHeight="1" thickBot="1" x14ac:dyDescent="0.35">
      <c r="A59" s="89"/>
      <c r="B59" s="44" t="s">
        <v>1</v>
      </c>
      <c r="C59" s="105" t="s">
        <v>1</v>
      </c>
      <c r="D59" s="45" t="s">
        <v>1</v>
      </c>
      <c r="E59" s="46" t="s">
        <v>1</v>
      </c>
      <c r="F59" s="47" t="s">
        <v>1</v>
      </c>
      <c r="G59" s="47" t="s">
        <v>1</v>
      </c>
      <c r="H59" s="48" t="s">
        <v>1</v>
      </c>
      <c r="I59" s="47" t="s">
        <v>1</v>
      </c>
      <c r="J59" s="49" t="s">
        <v>1</v>
      </c>
      <c r="K59" s="110" t="s">
        <v>1</v>
      </c>
      <c r="L59" s="90"/>
      <c r="M59" s="90"/>
      <c r="N59" s="83"/>
      <c r="O59" s="6"/>
      <c r="P59" s="21"/>
      <c r="Q59" s="21"/>
      <c r="R59" s="116"/>
      <c r="S59" s="22"/>
      <c r="T59" s="107"/>
    </row>
    <row r="60" spans="1:20" ht="9.75" customHeight="1" x14ac:dyDescent="0.2">
      <c r="A60" s="58"/>
      <c r="B60" s="91"/>
      <c r="C60" s="91"/>
      <c r="D60" s="91"/>
      <c r="E60" s="91"/>
      <c r="F60" s="91"/>
      <c r="G60" s="25"/>
      <c r="H60" s="25"/>
      <c r="I60" s="25"/>
      <c r="J60" s="25"/>
      <c r="K60" s="25"/>
      <c r="L60" s="25"/>
      <c r="M60" s="25"/>
      <c r="N60" s="62"/>
      <c r="S60" s="24">
        <f t="shared" ref="S60:S68" si="10">B60/25.4</f>
        <v>0</v>
      </c>
    </row>
    <row r="61" spans="1:20" ht="24.95" customHeight="1" x14ac:dyDescent="0.2">
      <c r="A61" s="58"/>
      <c r="B61" s="91"/>
      <c r="C61" s="91"/>
      <c r="D61" s="91"/>
      <c r="E61" s="91"/>
      <c r="F61" s="91"/>
      <c r="G61" s="25"/>
      <c r="H61" s="25"/>
      <c r="I61" s="59"/>
      <c r="J61" s="59"/>
      <c r="K61" s="59"/>
      <c r="L61" s="59"/>
      <c r="M61" s="59"/>
      <c r="N61" s="62"/>
      <c r="S61" s="24">
        <f t="shared" si="10"/>
        <v>0</v>
      </c>
    </row>
    <row r="62" spans="1:20" ht="24.95" customHeight="1" x14ac:dyDescent="0.3">
      <c r="A62" s="58"/>
      <c r="B62" s="91"/>
      <c r="C62" s="91"/>
      <c r="D62" s="91"/>
      <c r="E62" s="91"/>
      <c r="F62" s="91"/>
      <c r="G62" s="25"/>
      <c r="H62" s="200" t="s">
        <v>75</v>
      </c>
      <c r="I62" s="200"/>
      <c r="J62" s="200"/>
      <c r="K62" s="200"/>
      <c r="L62" s="217">
        <f>MAX(G26:G59)</f>
        <v>32.670144509517762</v>
      </c>
      <c r="M62" s="217"/>
      <c r="N62" s="218"/>
      <c r="S62" s="24">
        <f t="shared" si="10"/>
        <v>0</v>
      </c>
    </row>
    <row r="63" spans="1:20" ht="24.95" customHeight="1" x14ac:dyDescent="0.3">
      <c r="A63" s="58"/>
      <c r="B63" s="25"/>
      <c r="C63" s="25"/>
      <c r="D63" s="25"/>
      <c r="E63" s="25"/>
      <c r="F63" s="25"/>
      <c r="G63" s="25"/>
      <c r="H63" s="25"/>
      <c r="I63" s="216" t="s">
        <v>76</v>
      </c>
      <c r="J63" s="216"/>
      <c r="K63" s="216"/>
      <c r="L63" s="217">
        <f>L62*0.5</f>
        <v>16.335072254758881</v>
      </c>
      <c r="M63" s="217"/>
      <c r="N63" s="218"/>
      <c r="S63" s="24">
        <f t="shared" si="10"/>
        <v>0</v>
      </c>
    </row>
    <row r="64" spans="1:20" ht="24.95" customHeight="1" x14ac:dyDescent="0.3">
      <c r="A64" s="58"/>
      <c r="B64" s="25"/>
      <c r="C64" s="25"/>
      <c r="D64" s="25"/>
      <c r="E64" s="25"/>
      <c r="F64" s="25"/>
      <c r="G64" s="25"/>
      <c r="H64" s="25"/>
      <c r="I64" s="216" t="s">
        <v>85</v>
      </c>
      <c r="J64" s="216"/>
      <c r="K64" s="216"/>
      <c r="L64" s="217">
        <f>IF((C18)*10="","",(G28-G27)/(I28-I27))*100</f>
        <v>2175.6073370445142</v>
      </c>
      <c r="M64" s="217"/>
      <c r="N64" s="218"/>
      <c r="P64" s="23">
        <f>SLOPE(G26:G28,E26:E28)</f>
        <v>50.427983891586855</v>
      </c>
      <c r="S64" s="24">
        <f t="shared" si="10"/>
        <v>0</v>
      </c>
    </row>
    <row r="65" spans="1:19" ht="24.95" customHeight="1" x14ac:dyDescent="0.3">
      <c r="A65" s="58"/>
      <c r="B65" s="25"/>
      <c r="C65" s="25"/>
      <c r="D65" s="25"/>
      <c r="E65" s="25"/>
      <c r="F65" s="25"/>
      <c r="G65" s="25"/>
      <c r="H65" s="25"/>
      <c r="I65" s="213"/>
      <c r="J65" s="213"/>
      <c r="K65" s="213"/>
      <c r="L65" s="122"/>
      <c r="M65" s="122"/>
      <c r="N65" s="83"/>
      <c r="S65" s="24">
        <f t="shared" si="10"/>
        <v>0</v>
      </c>
    </row>
    <row r="66" spans="1:19" ht="24.95" customHeight="1" x14ac:dyDescent="0.2">
      <c r="A66" s="58"/>
      <c r="B66" s="25"/>
      <c r="C66" s="25"/>
      <c r="D66" s="25"/>
      <c r="E66" s="25"/>
      <c r="F66" s="25"/>
      <c r="G66" s="25"/>
      <c r="H66" s="25"/>
      <c r="I66" s="214" t="s">
        <v>72</v>
      </c>
      <c r="J66" s="214"/>
      <c r="K66" s="214" t="s">
        <v>73</v>
      </c>
      <c r="L66" s="214"/>
      <c r="M66" s="214"/>
      <c r="N66" s="215"/>
      <c r="S66" s="24">
        <f t="shared" si="10"/>
        <v>0</v>
      </c>
    </row>
    <row r="67" spans="1:19" ht="24.95" customHeight="1" x14ac:dyDescent="0.2">
      <c r="A67" s="58"/>
      <c r="B67" s="25"/>
      <c r="C67" s="25"/>
      <c r="D67" s="25"/>
      <c r="E67" s="25"/>
      <c r="F67" s="25"/>
      <c r="G67" s="25"/>
      <c r="H67" s="25"/>
      <c r="I67" s="27"/>
      <c r="J67" s="27"/>
      <c r="K67" s="27"/>
      <c r="L67" s="27"/>
      <c r="M67" s="27"/>
      <c r="N67" s="28"/>
      <c r="S67" s="24">
        <f t="shared" si="10"/>
        <v>0</v>
      </c>
    </row>
    <row r="68" spans="1:19" ht="24.95" customHeight="1" x14ac:dyDescent="0.2">
      <c r="A68" s="58"/>
      <c r="B68" s="25"/>
      <c r="C68" s="25"/>
      <c r="D68" s="25"/>
      <c r="E68" s="25"/>
      <c r="F68" s="25"/>
      <c r="G68" s="25"/>
      <c r="H68" s="25"/>
      <c r="I68" s="27"/>
      <c r="J68" s="27"/>
      <c r="K68" s="27"/>
      <c r="L68" s="27"/>
      <c r="M68" s="27"/>
      <c r="N68" s="28"/>
      <c r="S68" s="24">
        <f t="shared" si="10"/>
        <v>0</v>
      </c>
    </row>
    <row r="69" spans="1:19" ht="24.95" customHeight="1" x14ac:dyDescent="0.2">
      <c r="A69" s="58"/>
      <c r="B69" s="25"/>
      <c r="C69" s="25"/>
      <c r="D69" s="25"/>
      <c r="E69" s="25"/>
      <c r="F69" s="25"/>
      <c r="G69" s="25"/>
      <c r="H69" s="25"/>
      <c r="I69" s="27"/>
      <c r="J69" s="27"/>
      <c r="K69" s="27"/>
      <c r="L69" s="27"/>
      <c r="M69" s="27"/>
      <c r="N69" s="28"/>
      <c r="S69" s="24"/>
    </row>
    <row r="70" spans="1:19" ht="24.95" customHeight="1" x14ac:dyDescent="0.2">
      <c r="A70" s="58"/>
      <c r="B70" s="25"/>
      <c r="C70" s="25"/>
      <c r="D70" s="25"/>
      <c r="E70" s="25"/>
      <c r="F70" s="25"/>
      <c r="G70" s="25"/>
      <c r="H70" s="25"/>
      <c r="I70" s="92"/>
      <c r="J70" s="92"/>
      <c r="K70" s="92"/>
      <c r="L70" s="29"/>
      <c r="M70" s="29"/>
      <c r="N70" s="30"/>
      <c r="S70" s="24"/>
    </row>
    <row r="71" spans="1:19" ht="24.95" customHeight="1" x14ac:dyDescent="0.2">
      <c r="A71" s="58"/>
      <c r="B71" s="25"/>
      <c r="C71" s="25"/>
      <c r="D71" s="25"/>
      <c r="E71" s="25"/>
      <c r="F71" s="25"/>
      <c r="G71" s="25"/>
      <c r="H71" s="25"/>
      <c r="I71" s="214" t="s">
        <v>62</v>
      </c>
      <c r="J71" s="214"/>
      <c r="K71" s="214" t="s">
        <v>88</v>
      </c>
      <c r="L71" s="214"/>
      <c r="M71" s="214"/>
      <c r="N71" s="215"/>
      <c r="S71" s="24">
        <f>B71/25.4</f>
        <v>0</v>
      </c>
    </row>
    <row r="72" spans="1:19" ht="24.95" customHeight="1" x14ac:dyDescent="0.2">
      <c r="A72" s="58"/>
      <c r="B72" s="25"/>
      <c r="C72" s="25"/>
      <c r="D72" s="25"/>
      <c r="E72" s="25"/>
      <c r="F72" s="25"/>
      <c r="G72" s="25"/>
      <c r="H72" s="25"/>
      <c r="I72" s="231" t="s">
        <v>39</v>
      </c>
      <c r="J72" s="231"/>
      <c r="K72" s="231" t="s">
        <v>74</v>
      </c>
      <c r="L72" s="231"/>
      <c r="M72" s="231"/>
      <c r="N72" s="232"/>
      <c r="S72" s="24"/>
    </row>
    <row r="73" spans="1:19" ht="24.95" customHeight="1" x14ac:dyDescent="0.3">
      <c r="A73" s="58"/>
      <c r="B73" s="25"/>
      <c r="C73" s="25"/>
      <c r="D73" s="25"/>
      <c r="E73" s="25"/>
      <c r="F73" s="25"/>
      <c r="G73" s="25"/>
      <c r="H73" s="25"/>
      <c r="I73" s="214"/>
      <c r="J73" s="214"/>
      <c r="K73" s="214"/>
      <c r="L73" s="123"/>
      <c r="M73" s="123"/>
      <c r="N73" s="83"/>
      <c r="S73" s="24">
        <f t="shared" ref="S73:S79" si="11">B73/25.4</f>
        <v>0</v>
      </c>
    </row>
    <row r="74" spans="1:19" ht="24.95" customHeight="1" x14ac:dyDescent="0.2">
      <c r="A74" s="58"/>
      <c r="B74" s="25"/>
      <c r="C74" s="25"/>
      <c r="D74" s="25"/>
      <c r="E74" s="25"/>
      <c r="F74" s="25"/>
      <c r="G74" s="25"/>
      <c r="H74" s="25"/>
      <c r="I74" s="233"/>
      <c r="J74" s="233"/>
      <c r="K74" s="233"/>
      <c r="L74" s="124"/>
      <c r="M74" s="124"/>
      <c r="N74" s="62"/>
      <c r="S74" s="24">
        <f t="shared" si="11"/>
        <v>0</v>
      </c>
    </row>
    <row r="75" spans="1:19" ht="24.95" customHeight="1" x14ac:dyDescent="0.2">
      <c r="A75" s="58"/>
      <c r="B75" s="25"/>
      <c r="C75" s="25"/>
      <c r="D75" s="25"/>
      <c r="E75" s="25"/>
      <c r="F75" s="25"/>
      <c r="G75" s="25"/>
      <c r="H75" s="25"/>
      <c r="I75" s="234"/>
      <c r="J75" s="234"/>
      <c r="K75" s="234"/>
      <c r="L75" s="125"/>
      <c r="M75" s="125"/>
      <c r="N75" s="62"/>
      <c r="S75" s="24">
        <f t="shared" si="11"/>
        <v>0</v>
      </c>
    </row>
    <row r="76" spans="1:19" ht="24.95" customHeight="1" x14ac:dyDescent="0.2">
      <c r="A76" s="58"/>
      <c r="B76" s="25"/>
      <c r="C76" s="25"/>
      <c r="D76" s="25"/>
      <c r="E76" s="25"/>
      <c r="F76" s="25"/>
      <c r="G76" s="25"/>
      <c r="H76" s="25"/>
      <c r="I76" s="25"/>
      <c r="J76" s="93"/>
      <c r="K76" s="93"/>
      <c r="L76" s="93"/>
      <c r="M76" s="93"/>
      <c r="N76" s="62"/>
      <c r="S76" s="24">
        <f t="shared" si="11"/>
        <v>0</v>
      </c>
    </row>
    <row r="77" spans="1:19" ht="17.25" customHeight="1" x14ac:dyDescent="0.25">
      <c r="A77" s="235" t="s">
        <v>68</v>
      </c>
      <c r="B77" s="236"/>
      <c r="C77" s="236"/>
      <c r="D77" s="236"/>
      <c r="E77" s="236"/>
      <c r="F77" s="236"/>
      <c r="G77" s="236"/>
      <c r="H77" s="236"/>
      <c r="I77" s="236"/>
      <c r="J77" s="236"/>
      <c r="K77" s="236"/>
      <c r="L77" s="236"/>
      <c r="M77" s="236"/>
      <c r="N77" s="237"/>
      <c r="S77" s="24">
        <f t="shared" si="11"/>
        <v>0</v>
      </c>
    </row>
    <row r="78" spans="1:19" ht="7.5" customHeight="1" x14ac:dyDescent="0.2">
      <c r="A78" s="219" t="s">
        <v>67</v>
      </c>
      <c r="B78" s="220"/>
      <c r="C78" s="220"/>
      <c r="D78" s="220"/>
      <c r="E78" s="220"/>
      <c r="F78" s="220"/>
      <c r="G78" s="220"/>
      <c r="H78" s="220"/>
      <c r="I78" s="220"/>
      <c r="J78" s="220"/>
      <c r="K78" s="220"/>
      <c r="L78" s="220"/>
      <c r="M78" s="220"/>
      <c r="N78" s="221"/>
      <c r="S78" s="24">
        <f t="shared" si="11"/>
        <v>0</v>
      </c>
    </row>
    <row r="79" spans="1:19" ht="13.5" customHeight="1" x14ac:dyDescent="0.2">
      <c r="A79" s="222"/>
      <c r="B79" s="220"/>
      <c r="C79" s="220"/>
      <c r="D79" s="220"/>
      <c r="E79" s="220"/>
      <c r="F79" s="220"/>
      <c r="G79" s="220"/>
      <c r="H79" s="220"/>
      <c r="I79" s="220"/>
      <c r="J79" s="220"/>
      <c r="K79" s="220"/>
      <c r="L79" s="220"/>
      <c r="M79" s="220"/>
      <c r="N79" s="221"/>
      <c r="S79" s="24">
        <f t="shared" si="11"/>
        <v>0</v>
      </c>
    </row>
    <row r="80" spans="1:19" ht="7.5" customHeight="1" x14ac:dyDescent="0.2">
      <c r="A80" s="222"/>
      <c r="B80" s="220"/>
      <c r="C80" s="220"/>
      <c r="D80" s="220"/>
      <c r="E80" s="220"/>
      <c r="F80" s="220"/>
      <c r="G80" s="220"/>
      <c r="H80" s="220"/>
      <c r="I80" s="220"/>
      <c r="J80" s="220"/>
      <c r="K80" s="220"/>
      <c r="L80" s="220"/>
      <c r="M80" s="220"/>
      <c r="N80" s="221"/>
    </row>
    <row r="81" spans="1:14" ht="7.5" customHeight="1" x14ac:dyDescent="0.2">
      <c r="A81" s="222"/>
      <c r="B81" s="220"/>
      <c r="C81" s="220"/>
      <c r="D81" s="220"/>
      <c r="E81" s="220"/>
      <c r="F81" s="220"/>
      <c r="G81" s="220"/>
      <c r="H81" s="220"/>
      <c r="I81" s="220"/>
      <c r="J81" s="220"/>
      <c r="K81" s="220"/>
      <c r="L81" s="220"/>
      <c r="M81" s="220"/>
      <c r="N81" s="221"/>
    </row>
    <row r="82" spans="1:14" ht="7.5" customHeight="1" x14ac:dyDescent="0.2">
      <c r="A82" s="222"/>
      <c r="B82" s="220"/>
      <c r="C82" s="220"/>
      <c r="D82" s="220"/>
      <c r="E82" s="220"/>
      <c r="F82" s="220"/>
      <c r="G82" s="220"/>
      <c r="H82" s="220"/>
      <c r="I82" s="220"/>
      <c r="J82" s="220"/>
      <c r="K82" s="220"/>
      <c r="L82" s="220"/>
      <c r="M82" s="220"/>
      <c r="N82" s="221"/>
    </row>
    <row r="83" spans="1:14" ht="7.5" customHeight="1" x14ac:dyDescent="0.2">
      <c r="A83" s="222"/>
      <c r="B83" s="220"/>
      <c r="C83" s="220"/>
      <c r="D83" s="220"/>
      <c r="E83" s="220"/>
      <c r="F83" s="220"/>
      <c r="G83" s="220"/>
      <c r="H83" s="220"/>
      <c r="I83" s="220"/>
      <c r="J83" s="220"/>
      <c r="K83" s="220"/>
      <c r="L83" s="220"/>
      <c r="M83" s="220"/>
      <c r="N83" s="221"/>
    </row>
    <row r="84" spans="1:14" ht="11.25" customHeight="1" x14ac:dyDescent="0.2">
      <c r="A84" s="223" t="s">
        <v>20</v>
      </c>
      <c r="B84" s="224"/>
      <c r="C84" s="224"/>
      <c r="D84" s="224"/>
      <c r="E84" s="224"/>
      <c r="F84" s="224"/>
      <c r="G84" s="224"/>
      <c r="H84" s="224"/>
      <c r="I84" s="224"/>
      <c r="J84" s="224"/>
      <c r="K84" s="224"/>
      <c r="L84" s="224"/>
      <c r="M84" s="224"/>
      <c r="N84" s="225"/>
    </row>
    <row r="85" spans="1:14" ht="11.25" customHeight="1" thickBot="1" x14ac:dyDescent="0.25">
      <c r="A85" s="226"/>
      <c r="B85" s="227"/>
      <c r="C85" s="227"/>
      <c r="D85" s="227"/>
      <c r="E85" s="227"/>
      <c r="F85" s="227"/>
      <c r="G85" s="227"/>
      <c r="H85" s="227"/>
      <c r="I85" s="227"/>
      <c r="J85" s="227"/>
      <c r="K85" s="227"/>
      <c r="L85" s="227"/>
      <c r="M85" s="227"/>
      <c r="N85" s="228"/>
    </row>
    <row r="86" spans="1:14" ht="12.75" thickBot="1" x14ac:dyDescent="0.25"/>
    <row r="87" spans="1:14" ht="48" customHeight="1" thickBot="1" x14ac:dyDescent="0.45">
      <c r="B87" s="10"/>
      <c r="C87" s="229" t="s">
        <v>71</v>
      </c>
      <c r="D87" s="230"/>
    </row>
  </sheetData>
  <sheetProtection insertColumns="0" insertRows="0" deleteColumns="0" deleteRows="0"/>
  <mergeCells count="75">
    <mergeCell ref="E1:K1"/>
    <mergeCell ref="L1:N1"/>
    <mergeCell ref="E2:K3"/>
    <mergeCell ref="L2:N2"/>
    <mergeCell ref="P2:Y2"/>
    <mergeCell ref="L3:N3"/>
    <mergeCell ref="P3:R3"/>
    <mergeCell ref="E4:K4"/>
    <mergeCell ref="L4:N4"/>
    <mergeCell ref="Q4:Q5"/>
    <mergeCell ref="R4:R5"/>
    <mergeCell ref="A6:B6"/>
    <mergeCell ref="C6:I6"/>
    <mergeCell ref="K6:N6"/>
    <mergeCell ref="A11:B11"/>
    <mergeCell ref="A7:B7"/>
    <mergeCell ref="C7:I7"/>
    <mergeCell ref="K7:N7"/>
    <mergeCell ref="A8:B8"/>
    <mergeCell ref="C8:I8"/>
    <mergeCell ref="K8:N8"/>
    <mergeCell ref="A9:B9"/>
    <mergeCell ref="C9:I9"/>
    <mergeCell ref="A10:B10"/>
    <mergeCell ref="C10:I10"/>
    <mergeCell ref="K10:N10"/>
    <mergeCell ref="A12:B12"/>
    <mergeCell ref="A13:B13"/>
    <mergeCell ref="C13:N13"/>
    <mergeCell ref="G14:I14"/>
    <mergeCell ref="B17:G17"/>
    <mergeCell ref="H17:I17"/>
    <mergeCell ref="C18:D18"/>
    <mergeCell ref="F18:G18"/>
    <mergeCell ref="C19:D19"/>
    <mergeCell ref="F19:G19"/>
    <mergeCell ref="C20:D20"/>
    <mergeCell ref="F20:G20"/>
    <mergeCell ref="B24:B25"/>
    <mergeCell ref="C24:C25"/>
    <mergeCell ref="D24:D25"/>
    <mergeCell ref="E24:F24"/>
    <mergeCell ref="G24:H24"/>
    <mergeCell ref="I64:K64"/>
    <mergeCell ref="L64:N64"/>
    <mergeCell ref="C21:D21"/>
    <mergeCell ref="F21:G21"/>
    <mergeCell ref="C22:D22"/>
    <mergeCell ref="F22:G22"/>
    <mergeCell ref="S24:S25"/>
    <mergeCell ref="T24:T25"/>
    <mergeCell ref="H62:K62"/>
    <mergeCell ref="L62:N62"/>
    <mergeCell ref="I63:K63"/>
    <mergeCell ref="L63:N63"/>
    <mergeCell ref="I24:I25"/>
    <mergeCell ref="J24:J25"/>
    <mergeCell ref="K24:K25"/>
    <mergeCell ref="P24:P25"/>
    <mergeCell ref="Q24:Q25"/>
    <mergeCell ref="R24:R25"/>
    <mergeCell ref="I65:K65"/>
    <mergeCell ref="I66:J66"/>
    <mergeCell ref="K66:N66"/>
    <mergeCell ref="A78:N83"/>
    <mergeCell ref="A84:N85"/>
    <mergeCell ref="I71:J71"/>
    <mergeCell ref="K71:N71"/>
    <mergeCell ref="C87:D87"/>
    <mergeCell ref="I72:J72"/>
    <mergeCell ref="K72:N72"/>
    <mergeCell ref="I73:K73"/>
    <mergeCell ref="I74:K74"/>
    <mergeCell ref="I75:K75"/>
    <mergeCell ref="A77:N77"/>
  </mergeCells>
  <conditionalFormatting sqref="C6:C10 K9:N10 C13">
    <cfRule type="containsBlanks" dxfId="38" priority="13">
      <formula>LEN(TRIM(C6))=0</formula>
    </cfRule>
  </conditionalFormatting>
  <conditionalFormatting sqref="C12:D12 F12 I12">
    <cfRule type="containsBlanks" dxfId="37" priority="12">
      <formula>LEN(TRIM(C12))=0</formula>
    </cfRule>
  </conditionalFormatting>
  <conditionalFormatting sqref="C18:D19 I18:I20 C21:D21">
    <cfRule type="containsBlanks" dxfId="36" priority="9">
      <formula>LEN(TRIM(C18))=0</formula>
    </cfRule>
  </conditionalFormatting>
  <conditionalFormatting sqref="F22">
    <cfRule type="containsBlanks" dxfId="35" priority="11">
      <formula>LEN(TRIM(F22))=0</formula>
    </cfRule>
  </conditionalFormatting>
  <conditionalFormatting sqref="F20:G21">
    <cfRule type="containsBlanks" dxfId="34" priority="10">
      <formula>LEN(TRIM(F20))=0</formula>
    </cfRule>
  </conditionalFormatting>
  <conditionalFormatting sqref="K6:N8">
    <cfRule type="containsBlanks" dxfId="33" priority="8">
      <formula>LEN(TRIM(K6))=0</formula>
    </cfRule>
  </conditionalFormatting>
  <conditionalFormatting sqref="P2">
    <cfRule type="containsBlanks" dxfId="32" priority="7">
      <formula>LEN(TRIM(P2))=0</formula>
    </cfRule>
  </conditionalFormatting>
  <conditionalFormatting sqref="P2">
    <cfRule type="containsBlanks" dxfId="31" priority="6">
      <formula>LEN(TRIM(P2))=0</formula>
    </cfRule>
  </conditionalFormatting>
  <conditionalFormatting sqref="P3">
    <cfRule type="containsBlanks" dxfId="30" priority="5">
      <formula>LEN(TRIM(P3))=0</formula>
    </cfRule>
  </conditionalFormatting>
  <conditionalFormatting sqref="H12">
    <cfRule type="containsBlanks" dxfId="29" priority="4">
      <formula>LEN(TRIM(H12))=0</formula>
    </cfRule>
  </conditionalFormatting>
  <conditionalFormatting sqref="H12">
    <cfRule type="containsBlanks" dxfId="28" priority="3">
      <formula>LEN(TRIM(H12))=0</formula>
    </cfRule>
  </conditionalFormatting>
  <conditionalFormatting sqref="J12">
    <cfRule type="containsBlanks" dxfId="27" priority="2">
      <formula>LEN(TRIM(J12))=0</formula>
    </cfRule>
  </conditionalFormatting>
  <conditionalFormatting sqref="J12">
    <cfRule type="containsBlanks" dxfId="26" priority="1">
      <formula>LEN(TRIM(J12))=0</formula>
    </cfRule>
  </conditionalFormatting>
  <dataValidations count="3">
    <dataValidation type="list" allowBlank="1" showInputMessage="1" showErrorMessage="1" sqref="C12" xr:uid="{00000000-0002-0000-0300-000000000000}">
      <formula1>$S$6:$S$12</formula1>
    </dataValidation>
    <dataValidation type="list" allowBlank="1" showInputMessage="1" showErrorMessage="1" sqref="F21" xr:uid="{00000000-0002-0000-0300-000001000000}">
      <formula1>$R$6:$R$12</formula1>
    </dataValidation>
    <dataValidation type="list" allowBlank="1" showInputMessage="1" showErrorMessage="1" sqref="F20" xr:uid="{00000000-0002-0000-0300-000002000000}">
      <formula1>$Q$6:$Q$10</formula1>
    </dataValidation>
  </dataValidations>
  <printOptions horizontalCentered="1" verticalCentered="1"/>
  <pageMargins left="0.31496062992125984" right="0.31496062992125984" top="0.78740157480314965" bottom="0.78740157480314965" header="0.31496062992125984" footer="0.19685039370078741"/>
  <pageSetup scale="38" orientation="portrait" r:id="rId1"/>
  <headerFooter>
    <oddFooter xml:space="preserve">&amp;C
GEODELTA S.A.S. Calle 68 B bis No 70 C 95, Móvil: 318 7902368 Bogotá DC - Colombia
e-mail: laboratoriogeodelta@gmail.com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anchor moveWithCells="1">
                  <from>
                    <xdr:col>7</xdr:col>
                    <xdr:colOff>104775</xdr:colOff>
                    <xdr:row>21</xdr:row>
                    <xdr:rowOff>28575</xdr:rowOff>
                  </from>
                  <to>
                    <xdr:col>7</xdr:col>
                    <xdr:colOff>1133475</xdr:colOff>
                    <xdr:row>21</xdr:row>
                    <xdr:rowOff>219075</xdr:rowOff>
                  </to>
                </anchor>
              </controlPr>
            </control>
          </mc:Choice>
        </mc:AlternateContent>
        <mc:AlternateContent xmlns:mc="http://schemas.openxmlformats.org/markup-compatibility/2006">
          <mc:Choice Requires="x14">
            <control shapeId="102402" r:id="rId5" name="Check Box 2">
              <controlPr defaultSize="0" autoFill="0" autoLine="0" autoPict="0">
                <anchor moveWithCells="1">
                  <from>
                    <xdr:col>8</xdr:col>
                    <xdr:colOff>19050</xdr:colOff>
                    <xdr:row>21</xdr:row>
                    <xdr:rowOff>19050</xdr:rowOff>
                  </from>
                  <to>
                    <xdr:col>9</xdr:col>
                    <xdr:colOff>352425</xdr:colOff>
                    <xdr:row>21</xdr:row>
                    <xdr:rowOff>295275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1">
    <tabColor theme="4" tint="0.39997558519241921"/>
    <pageSetUpPr fitToPage="1"/>
  </sheetPr>
  <dimension ref="A1:AG87"/>
  <sheetViews>
    <sheetView showGridLines="0" view="pageBreakPreview" zoomScale="74" zoomScaleNormal="100" zoomScaleSheetLayoutView="77" zoomScalePageLayoutView="55" workbookViewId="0">
      <selection activeCell="F20" sqref="F20:G20"/>
    </sheetView>
  </sheetViews>
  <sheetFormatPr baseColWidth="10" defaultRowHeight="12" x14ac:dyDescent="0.2"/>
  <cols>
    <col min="1" max="1" width="8.7109375" style="1" customWidth="1"/>
    <col min="2" max="2" width="20.7109375" style="1" customWidth="1"/>
    <col min="3" max="3" width="17.140625" style="1" customWidth="1"/>
    <col min="4" max="4" width="15.7109375" style="1" customWidth="1"/>
    <col min="5" max="5" width="24.42578125" style="1" customWidth="1"/>
    <col min="6" max="6" width="15.7109375" style="1" customWidth="1"/>
    <col min="7" max="9" width="20.7109375" style="1" customWidth="1"/>
    <col min="10" max="10" width="28.42578125" style="1" customWidth="1"/>
    <col min="11" max="11" width="19.42578125" style="1" customWidth="1"/>
    <col min="12" max="12" width="11.5703125" style="1" customWidth="1"/>
    <col min="13" max="13" width="2" style="1" customWidth="1"/>
    <col min="14" max="14" width="23.5703125" style="1" customWidth="1"/>
    <col min="15" max="15" width="11.42578125" style="1"/>
    <col min="16" max="16" width="22.140625" style="23" customWidth="1"/>
    <col min="17" max="17" width="26.5703125" style="12" customWidth="1"/>
    <col min="18" max="18" width="21.5703125" style="12" customWidth="1"/>
    <col min="19" max="19" width="21.42578125" style="12" customWidth="1"/>
    <col min="20" max="29" width="11.42578125" style="11"/>
    <col min="30" max="239" width="11.42578125" style="1"/>
    <col min="240" max="240" width="3" style="1" customWidth="1"/>
    <col min="241" max="247" width="17.42578125" style="1" customWidth="1"/>
    <col min="248" max="248" width="3.85546875" style="1" customWidth="1"/>
    <col min="249" max="249" width="3.5703125" style="1" customWidth="1"/>
    <col min="250" max="253" width="8.140625" style="1" customWidth="1"/>
    <col min="254" max="495" width="11.42578125" style="1"/>
    <col min="496" max="496" width="3" style="1" customWidth="1"/>
    <col min="497" max="503" width="17.42578125" style="1" customWidth="1"/>
    <col min="504" max="504" width="3.85546875" style="1" customWidth="1"/>
    <col min="505" max="505" width="3.5703125" style="1" customWidth="1"/>
    <col min="506" max="509" width="8.140625" style="1" customWidth="1"/>
    <col min="510" max="751" width="11.42578125" style="1"/>
    <col min="752" max="752" width="3" style="1" customWidth="1"/>
    <col min="753" max="759" width="17.42578125" style="1" customWidth="1"/>
    <col min="760" max="760" width="3.85546875" style="1" customWidth="1"/>
    <col min="761" max="761" width="3.5703125" style="1" customWidth="1"/>
    <col min="762" max="765" width="8.140625" style="1" customWidth="1"/>
    <col min="766" max="1007" width="11.42578125" style="1"/>
    <col min="1008" max="1008" width="3" style="1" customWidth="1"/>
    <col min="1009" max="1015" width="17.42578125" style="1" customWidth="1"/>
    <col min="1016" max="1016" width="3.85546875" style="1" customWidth="1"/>
    <col min="1017" max="1017" width="3.5703125" style="1" customWidth="1"/>
    <col min="1018" max="1021" width="8.140625" style="1" customWidth="1"/>
    <col min="1022" max="1263" width="11.42578125" style="1"/>
    <col min="1264" max="1264" width="3" style="1" customWidth="1"/>
    <col min="1265" max="1271" width="17.42578125" style="1" customWidth="1"/>
    <col min="1272" max="1272" width="3.85546875" style="1" customWidth="1"/>
    <col min="1273" max="1273" width="3.5703125" style="1" customWidth="1"/>
    <col min="1274" max="1277" width="8.140625" style="1" customWidth="1"/>
    <col min="1278" max="1519" width="11.42578125" style="1"/>
    <col min="1520" max="1520" width="3" style="1" customWidth="1"/>
    <col min="1521" max="1527" width="17.42578125" style="1" customWidth="1"/>
    <col min="1528" max="1528" width="3.85546875" style="1" customWidth="1"/>
    <col min="1529" max="1529" width="3.5703125" style="1" customWidth="1"/>
    <col min="1530" max="1533" width="8.140625" style="1" customWidth="1"/>
    <col min="1534" max="1775" width="11.42578125" style="1"/>
    <col min="1776" max="1776" width="3" style="1" customWidth="1"/>
    <col min="1777" max="1783" width="17.42578125" style="1" customWidth="1"/>
    <col min="1784" max="1784" width="3.85546875" style="1" customWidth="1"/>
    <col min="1785" max="1785" width="3.5703125" style="1" customWidth="1"/>
    <col min="1786" max="1789" width="8.140625" style="1" customWidth="1"/>
    <col min="1790" max="2031" width="11.42578125" style="1"/>
    <col min="2032" max="2032" width="3" style="1" customWidth="1"/>
    <col min="2033" max="2039" width="17.42578125" style="1" customWidth="1"/>
    <col min="2040" max="2040" width="3.85546875" style="1" customWidth="1"/>
    <col min="2041" max="2041" width="3.5703125" style="1" customWidth="1"/>
    <col min="2042" max="2045" width="8.140625" style="1" customWidth="1"/>
    <col min="2046" max="2287" width="11.42578125" style="1"/>
    <col min="2288" max="2288" width="3" style="1" customWidth="1"/>
    <col min="2289" max="2295" width="17.42578125" style="1" customWidth="1"/>
    <col min="2296" max="2296" width="3.85546875" style="1" customWidth="1"/>
    <col min="2297" max="2297" width="3.5703125" style="1" customWidth="1"/>
    <col min="2298" max="2301" width="8.140625" style="1" customWidth="1"/>
    <col min="2302" max="2543" width="11.42578125" style="1"/>
    <col min="2544" max="2544" width="3" style="1" customWidth="1"/>
    <col min="2545" max="2551" width="17.42578125" style="1" customWidth="1"/>
    <col min="2552" max="2552" width="3.85546875" style="1" customWidth="1"/>
    <col min="2553" max="2553" width="3.5703125" style="1" customWidth="1"/>
    <col min="2554" max="2557" width="8.140625" style="1" customWidth="1"/>
    <col min="2558" max="2799" width="11.42578125" style="1"/>
    <col min="2800" max="2800" width="3" style="1" customWidth="1"/>
    <col min="2801" max="2807" width="17.42578125" style="1" customWidth="1"/>
    <col min="2808" max="2808" width="3.85546875" style="1" customWidth="1"/>
    <col min="2809" max="2809" width="3.5703125" style="1" customWidth="1"/>
    <col min="2810" max="2813" width="8.140625" style="1" customWidth="1"/>
    <col min="2814" max="3055" width="11.42578125" style="1"/>
    <col min="3056" max="3056" width="3" style="1" customWidth="1"/>
    <col min="3057" max="3063" width="17.42578125" style="1" customWidth="1"/>
    <col min="3064" max="3064" width="3.85546875" style="1" customWidth="1"/>
    <col min="3065" max="3065" width="3.5703125" style="1" customWidth="1"/>
    <col min="3066" max="3069" width="8.140625" style="1" customWidth="1"/>
    <col min="3070" max="3311" width="11.42578125" style="1"/>
    <col min="3312" max="3312" width="3" style="1" customWidth="1"/>
    <col min="3313" max="3319" width="17.42578125" style="1" customWidth="1"/>
    <col min="3320" max="3320" width="3.85546875" style="1" customWidth="1"/>
    <col min="3321" max="3321" width="3.5703125" style="1" customWidth="1"/>
    <col min="3322" max="3325" width="8.140625" style="1" customWidth="1"/>
    <col min="3326" max="3567" width="11.42578125" style="1"/>
    <col min="3568" max="3568" width="3" style="1" customWidth="1"/>
    <col min="3569" max="3575" width="17.42578125" style="1" customWidth="1"/>
    <col min="3576" max="3576" width="3.85546875" style="1" customWidth="1"/>
    <col min="3577" max="3577" width="3.5703125" style="1" customWidth="1"/>
    <col min="3578" max="3581" width="8.140625" style="1" customWidth="1"/>
    <col min="3582" max="3823" width="11.42578125" style="1"/>
    <col min="3824" max="3824" width="3" style="1" customWidth="1"/>
    <col min="3825" max="3831" width="17.42578125" style="1" customWidth="1"/>
    <col min="3832" max="3832" width="3.85546875" style="1" customWidth="1"/>
    <col min="3833" max="3833" width="3.5703125" style="1" customWidth="1"/>
    <col min="3834" max="3837" width="8.140625" style="1" customWidth="1"/>
    <col min="3838" max="4079" width="11.42578125" style="1"/>
    <col min="4080" max="4080" width="3" style="1" customWidth="1"/>
    <col min="4081" max="4087" width="17.42578125" style="1" customWidth="1"/>
    <col min="4088" max="4088" width="3.85546875" style="1" customWidth="1"/>
    <col min="4089" max="4089" width="3.5703125" style="1" customWidth="1"/>
    <col min="4090" max="4093" width="8.140625" style="1" customWidth="1"/>
    <col min="4094" max="4335" width="11.42578125" style="1"/>
    <col min="4336" max="4336" width="3" style="1" customWidth="1"/>
    <col min="4337" max="4343" width="17.42578125" style="1" customWidth="1"/>
    <col min="4344" max="4344" width="3.85546875" style="1" customWidth="1"/>
    <col min="4345" max="4345" width="3.5703125" style="1" customWidth="1"/>
    <col min="4346" max="4349" width="8.140625" style="1" customWidth="1"/>
    <col min="4350" max="4591" width="11.42578125" style="1"/>
    <col min="4592" max="4592" width="3" style="1" customWidth="1"/>
    <col min="4593" max="4599" width="17.42578125" style="1" customWidth="1"/>
    <col min="4600" max="4600" width="3.85546875" style="1" customWidth="1"/>
    <col min="4601" max="4601" width="3.5703125" style="1" customWidth="1"/>
    <col min="4602" max="4605" width="8.140625" style="1" customWidth="1"/>
    <col min="4606" max="4847" width="11.42578125" style="1"/>
    <col min="4848" max="4848" width="3" style="1" customWidth="1"/>
    <col min="4849" max="4855" width="17.42578125" style="1" customWidth="1"/>
    <col min="4856" max="4856" width="3.85546875" style="1" customWidth="1"/>
    <col min="4857" max="4857" width="3.5703125" style="1" customWidth="1"/>
    <col min="4858" max="4861" width="8.140625" style="1" customWidth="1"/>
    <col min="4862" max="5103" width="11.42578125" style="1"/>
    <col min="5104" max="5104" width="3" style="1" customWidth="1"/>
    <col min="5105" max="5111" width="17.42578125" style="1" customWidth="1"/>
    <col min="5112" max="5112" width="3.85546875" style="1" customWidth="1"/>
    <col min="5113" max="5113" width="3.5703125" style="1" customWidth="1"/>
    <col min="5114" max="5117" width="8.140625" style="1" customWidth="1"/>
    <col min="5118" max="5359" width="11.42578125" style="1"/>
    <col min="5360" max="5360" width="3" style="1" customWidth="1"/>
    <col min="5361" max="5367" width="17.42578125" style="1" customWidth="1"/>
    <col min="5368" max="5368" width="3.85546875" style="1" customWidth="1"/>
    <col min="5369" max="5369" width="3.5703125" style="1" customWidth="1"/>
    <col min="5370" max="5373" width="8.140625" style="1" customWidth="1"/>
    <col min="5374" max="5615" width="11.42578125" style="1"/>
    <col min="5616" max="5616" width="3" style="1" customWidth="1"/>
    <col min="5617" max="5623" width="17.42578125" style="1" customWidth="1"/>
    <col min="5624" max="5624" width="3.85546875" style="1" customWidth="1"/>
    <col min="5625" max="5625" width="3.5703125" style="1" customWidth="1"/>
    <col min="5626" max="5629" width="8.140625" style="1" customWidth="1"/>
    <col min="5630" max="5871" width="11.42578125" style="1"/>
    <col min="5872" max="5872" width="3" style="1" customWidth="1"/>
    <col min="5873" max="5879" width="17.42578125" style="1" customWidth="1"/>
    <col min="5880" max="5880" width="3.85546875" style="1" customWidth="1"/>
    <col min="5881" max="5881" width="3.5703125" style="1" customWidth="1"/>
    <col min="5882" max="5885" width="8.140625" style="1" customWidth="1"/>
    <col min="5886" max="6127" width="11.42578125" style="1"/>
    <col min="6128" max="6128" width="3" style="1" customWidth="1"/>
    <col min="6129" max="6135" width="17.42578125" style="1" customWidth="1"/>
    <col min="6136" max="6136" width="3.85546875" style="1" customWidth="1"/>
    <col min="6137" max="6137" width="3.5703125" style="1" customWidth="1"/>
    <col min="6138" max="6141" width="8.140625" style="1" customWidth="1"/>
    <col min="6142" max="6383" width="11.42578125" style="1"/>
    <col min="6384" max="6384" width="3" style="1" customWidth="1"/>
    <col min="6385" max="6391" width="17.42578125" style="1" customWidth="1"/>
    <col min="6392" max="6392" width="3.85546875" style="1" customWidth="1"/>
    <col min="6393" max="6393" width="3.5703125" style="1" customWidth="1"/>
    <col min="6394" max="6397" width="8.140625" style="1" customWidth="1"/>
    <col min="6398" max="6639" width="11.42578125" style="1"/>
    <col min="6640" max="6640" width="3" style="1" customWidth="1"/>
    <col min="6641" max="6647" width="17.42578125" style="1" customWidth="1"/>
    <col min="6648" max="6648" width="3.85546875" style="1" customWidth="1"/>
    <col min="6649" max="6649" width="3.5703125" style="1" customWidth="1"/>
    <col min="6650" max="6653" width="8.140625" style="1" customWidth="1"/>
    <col min="6654" max="6895" width="11.42578125" style="1"/>
    <col min="6896" max="6896" width="3" style="1" customWidth="1"/>
    <col min="6897" max="6903" width="17.42578125" style="1" customWidth="1"/>
    <col min="6904" max="6904" width="3.85546875" style="1" customWidth="1"/>
    <col min="6905" max="6905" width="3.5703125" style="1" customWidth="1"/>
    <col min="6906" max="6909" width="8.140625" style="1" customWidth="1"/>
    <col min="6910" max="7151" width="11.42578125" style="1"/>
    <col min="7152" max="7152" width="3" style="1" customWidth="1"/>
    <col min="7153" max="7159" width="17.42578125" style="1" customWidth="1"/>
    <col min="7160" max="7160" width="3.85546875" style="1" customWidth="1"/>
    <col min="7161" max="7161" width="3.5703125" style="1" customWidth="1"/>
    <col min="7162" max="7165" width="8.140625" style="1" customWidth="1"/>
    <col min="7166" max="7407" width="11.42578125" style="1"/>
    <col min="7408" max="7408" width="3" style="1" customWidth="1"/>
    <col min="7409" max="7415" width="17.42578125" style="1" customWidth="1"/>
    <col min="7416" max="7416" width="3.85546875" style="1" customWidth="1"/>
    <col min="7417" max="7417" width="3.5703125" style="1" customWidth="1"/>
    <col min="7418" max="7421" width="8.140625" style="1" customWidth="1"/>
    <col min="7422" max="7663" width="11.42578125" style="1"/>
    <col min="7664" max="7664" width="3" style="1" customWidth="1"/>
    <col min="7665" max="7671" width="17.42578125" style="1" customWidth="1"/>
    <col min="7672" max="7672" width="3.85546875" style="1" customWidth="1"/>
    <col min="7673" max="7673" width="3.5703125" style="1" customWidth="1"/>
    <col min="7674" max="7677" width="8.140625" style="1" customWidth="1"/>
    <col min="7678" max="7919" width="11.42578125" style="1"/>
    <col min="7920" max="7920" width="3" style="1" customWidth="1"/>
    <col min="7921" max="7927" width="17.42578125" style="1" customWidth="1"/>
    <col min="7928" max="7928" width="3.85546875" style="1" customWidth="1"/>
    <col min="7929" max="7929" width="3.5703125" style="1" customWidth="1"/>
    <col min="7930" max="7933" width="8.140625" style="1" customWidth="1"/>
    <col min="7934" max="8175" width="11.42578125" style="1"/>
    <col min="8176" max="8176" width="3" style="1" customWidth="1"/>
    <col min="8177" max="8183" width="17.42578125" style="1" customWidth="1"/>
    <col min="8184" max="8184" width="3.85546875" style="1" customWidth="1"/>
    <col min="8185" max="8185" width="3.5703125" style="1" customWidth="1"/>
    <col min="8186" max="8189" width="8.140625" style="1" customWidth="1"/>
    <col min="8190" max="8431" width="11.42578125" style="1"/>
    <col min="8432" max="8432" width="3" style="1" customWidth="1"/>
    <col min="8433" max="8439" width="17.42578125" style="1" customWidth="1"/>
    <col min="8440" max="8440" width="3.85546875" style="1" customWidth="1"/>
    <col min="8441" max="8441" width="3.5703125" style="1" customWidth="1"/>
    <col min="8442" max="8445" width="8.140625" style="1" customWidth="1"/>
    <col min="8446" max="8687" width="11.42578125" style="1"/>
    <col min="8688" max="8688" width="3" style="1" customWidth="1"/>
    <col min="8689" max="8695" width="17.42578125" style="1" customWidth="1"/>
    <col min="8696" max="8696" width="3.85546875" style="1" customWidth="1"/>
    <col min="8697" max="8697" width="3.5703125" style="1" customWidth="1"/>
    <col min="8698" max="8701" width="8.140625" style="1" customWidth="1"/>
    <col min="8702" max="8943" width="11.42578125" style="1"/>
    <col min="8944" max="8944" width="3" style="1" customWidth="1"/>
    <col min="8945" max="8951" width="17.42578125" style="1" customWidth="1"/>
    <col min="8952" max="8952" width="3.85546875" style="1" customWidth="1"/>
    <col min="8953" max="8953" width="3.5703125" style="1" customWidth="1"/>
    <col min="8954" max="8957" width="8.140625" style="1" customWidth="1"/>
    <col min="8958" max="9199" width="11.42578125" style="1"/>
    <col min="9200" max="9200" width="3" style="1" customWidth="1"/>
    <col min="9201" max="9207" width="17.42578125" style="1" customWidth="1"/>
    <col min="9208" max="9208" width="3.85546875" style="1" customWidth="1"/>
    <col min="9209" max="9209" width="3.5703125" style="1" customWidth="1"/>
    <col min="9210" max="9213" width="8.140625" style="1" customWidth="1"/>
    <col min="9214" max="9455" width="11.42578125" style="1"/>
    <col min="9456" max="9456" width="3" style="1" customWidth="1"/>
    <col min="9457" max="9463" width="17.42578125" style="1" customWidth="1"/>
    <col min="9464" max="9464" width="3.85546875" style="1" customWidth="1"/>
    <col min="9465" max="9465" width="3.5703125" style="1" customWidth="1"/>
    <col min="9466" max="9469" width="8.140625" style="1" customWidth="1"/>
    <col min="9470" max="9711" width="11.42578125" style="1"/>
    <col min="9712" max="9712" width="3" style="1" customWidth="1"/>
    <col min="9713" max="9719" width="17.42578125" style="1" customWidth="1"/>
    <col min="9720" max="9720" width="3.85546875" style="1" customWidth="1"/>
    <col min="9721" max="9721" width="3.5703125" style="1" customWidth="1"/>
    <col min="9722" max="9725" width="8.140625" style="1" customWidth="1"/>
    <col min="9726" max="9967" width="11.42578125" style="1"/>
    <col min="9968" max="9968" width="3" style="1" customWidth="1"/>
    <col min="9969" max="9975" width="17.42578125" style="1" customWidth="1"/>
    <col min="9976" max="9976" width="3.85546875" style="1" customWidth="1"/>
    <col min="9977" max="9977" width="3.5703125" style="1" customWidth="1"/>
    <col min="9978" max="9981" width="8.140625" style="1" customWidth="1"/>
    <col min="9982" max="10223" width="11.42578125" style="1"/>
    <col min="10224" max="10224" width="3" style="1" customWidth="1"/>
    <col min="10225" max="10231" width="17.42578125" style="1" customWidth="1"/>
    <col min="10232" max="10232" width="3.85546875" style="1" customWidth="1"/>
    <col min="10233" max="10233" width="3.5703125" style="1" customWidth="1"/>
    <col min="10234" max="10237" width="8.140625" style="1" customWidth="1"/>
    <col min="10238" max="10479" width="11.42578125" style="1"/>
    <col min="10480" max="10480" width="3" style="1" customWidth="1"/>
    <col min="10481" max="10487" width="17.42578125" style="1" customWidth="1"/>
    <col min="10488" max="10488" width="3.85546875" style="1" customWidth="1"/>
    <col min="10489" max="10489" width="3.5703125" style="1" customWidth="1"/>
    <col min="10490" max="10493" width="8.140625" style="1" customWidth="1"/>
    <col min="10494" max="10735" width="11.42578125" style="1"/>
    <col min="10736" max="10736" width="3" style="1" customWidth="1"/>
    <col min="10737" max="10743" width="17.42578125" style="1" customWidth="1"/>
    <col min="10744" max="10744" width="3.85546875" style="1" customWidth="1"/>
    <col min="10745" max="10745" width="3.5703125" style="1" customWidth="1"/>
    <col min="10746" max="10749" width="8.140625" style="1" customWidth="1"/>
    <col min="10750" max="10991" width="11.42578125" style="1"/>
    <col min="10992" max="10992" width="3" style="1" customWidth="1"/>
    <col min="10993" max="10999" width="17.42578125" style="1" customWidth="1"/>
    <col min="11000" max="11000" width="3.85546875" style="1" customWidth="1"/>
    <col min="11001" max="11001" width="3.5703125" style="1" customWidth="1"/>
    <col min="11002" max="11005" width="8.140625" style="1" customWidth="1"/>
    <col min="11006" max="11247" width="11.42578125" style="1"/>
    <col min="11248" max="11248" width="3" style="1" customWidth="1"/>
    <col min="11249" max="11255" width="17.42578125" style="1" customWidth="1"/>
    <col min="11256" max="11256" width="3.85546875" style="1" customWidth="1"/>
    <col min="11257" max="11257" width="3.5703125" style="1" customWidth="1"/>
    <col min="11258" max="11261" width="8.140625" style="1" customWidth="1"/>
    <col min="11262" max="11503" width="11.42578125" style="1"/>
    <col min="11504" max="11504" width="3" style="1" customWidth="1"/>
    <col min="11505" max="11511" width="17.42578125" style="1" customWidth="1"/>
    <col min="11512" max="11512" width="3.85546875" style="1" customWidth="1"/>
    <col min="11513" max="11513" width="3.5703125" style="1" customWidth="1"/>
    <col min="11514" max="11517" width="8.140625" style="1" customWidth="1"/>
    <col min="11518" max="11759" width="11.42578125" style="1"/>
    <col min="11760" max="11760" width="3" style="1" customWidth="1"/>
    <col min="11761" max="11767" width="17.42578125" style="1" customWidth="1"/>
    <col min="11768" max="11768" width="3.85546875" style="1" customWidth="1"/>
    <col min="11769" max="11769" width="3.5703125" style="1" customWidth="1"/>
    <col min="11770" max="11773" width="8.140625" style="1" customWidth="1"/>
    <col min="11774" max="12015" width="11.42578125" style="1"/>
    <col min="12016" max="12016" width="3" style="1" customWidth="1"/>
    <col min="12017" max="12023" width="17.42578125" style="1" customWidth="1"/>
    <col min="12024" max="12024" width="3.85546875" style="1" customWidth="1"/>
    <col min="12025" max="12025" width="3.5703125" style="1" customWidth="1"/>
    <col min="12026" max="12029" width="8.140625" style="1" customWidth="1"/>
    <col min="12030" max="12271" width="11.42578125" style="1"/>
    <col min="12272" max="12272" width="3" style="1" customWidth="1"/>
    <col min="12273" max="12279" width="17.42578125" style="1" customWidth="1"/>
    <col min="12280" max="12280" width="3.85546875" style="1" customWidth="1"/>
    <col min="12281" max="12281" width="3.5703125" style="1" customWidth="1"/>
    <col min="12282" max="12285" width="8.140625" style="1" customWidth="1"/>
    <col min="12286" max="12527" width="11.42578125" style="1"/>
    <col min="12528" max="12528" width="3" style="1" customWidth="1"/>
    <col min="12529" max="12535" width="17.42578125" style="1" customWidth="1"/>
    <col min="12536" max="12536" width="3.85546875" style="1" customWidth="1"/>
    <col min="12537" max="12537" width="3.5703125" style="1" customWidth="1"/>
    <col min="12538" max="12541" width="8.140625" style="1" customWidth="1"/>
    <col min="12542" max="12783" width="11.42578125" style="1"/>
    <col min="12784" max="12784" width="3" style="1" customWidth="1"/>
    <col min="12785" max="12791" width="17.42578125" style="1" customWidth="1"/>
    <col min="12792" max="12792" width="3.85546875" style="1" customWidth="1"/>
    <col min="12793" max="12793" width="3.5703125" style="1" customWidth="1"/>
    <col min="12794" max="12797" width="8.140625" style="1" customWidth="1"/>
    <col min="12798" max="13039" width="11.42578125" style="1"/>
    <col min="13040" max="13040" width="3" style="1" customWidth="1"/>
    <col min="13041" max="13047" width="17.42578125" style="1" customWidth="1"/>
    <col min="13048" max="13048" width="3.85546875" style="1" customWidth="1"/>
    <col min="13049" max="13049" width="3.5703125" style="1" customWidth="1"/>
    <col min="13050" max="13053" width="8.140625" style="1" customWidth="1"/>
    <col min="13054" max="13295" width="11.42578125" style="1"/>
    <col min="13296" max="13296" width="3" style="1" customWidth="1"/>
    <col min="13297" max="13303" width="17.42578125" style="1" customWidth="1"/>
    <col min="13304" max="13304" width="3.85546875" style="1" customWidth="1"/>
    <col min="13305" max="13305" width="3.5703125" style="1" customWidth="1"/>
    <col min="13306" max="13309" width="8.140625" style="1" customWidth="1"/>
    <col min="13310" max="13551" width="11.42578125" style="1"/>
    <col min="13552" max="13552" width="3" style="1" customWidth="1"/>
    <col min="13553" max="13559" width="17.42578125" style="1" customWidth="1"/>
    <col min="13560" max="13560" width="3.85546875" style="1" customWidth="1"/>
    <col min="13561" max="13561" width="3.5703125" style="1" customWidth="1"/>
    <col min="13562" max="13565" width="8.140625" style="1" customWidth="1"/>
    <col min="13566" max="13807" width="11.42578125" style="1"/>
    <col min="13808" max="13808" width="3" style="1" customWidth="1"/>
    <col min="13809" max="13815" width="17.42578125" style="1" customWidth="1"/>
    <col min="13816" max="13816" width="3.85546875" style="1" customWidth="1"/>
    <col min="13817" max="13817" width="3.5703125" style="1" customWidth="1"/>
    <col min="13818" max="13821" width="8.140625" style="1" customWidth="1"/>
    <col min="13822" max="14063" width="11.42578125" style="1"/>
    <col min="14064" max="14064" width="3" style="1" customWidth="1"/>
    <col min="14065" max="14071" width="17.42578125" style="1" customWidth="1"/>
    <col min="14072" max="14072" width="3.85546875" style="1" customWidth="1"/>
    <col min="14073" max="14073" width="3.5703125" style="1" customWidth="1"/>
    <col min="14074" max="14077" width="8.140625" style="1" customWidth="1"/>
    <col min="14078" max="14319" width="11.42578125" style="1"/>
    <col min="14320" max="14320" width="3" style="1" customWidth="1"/>
    <col min="14321" max="14327" width="17.42578125" style="1" customWidth="1"/>
    <col min="14328" max="14328" width="3.85546875" style="1" customWidth="1"/>
    <col min="14329" max="14329" width="3.5703125" style="1" customWidth="1"/>
    <col min="14330" max="14333" width="8.140625" style="1" customWidth="1"/>
    <col min="14334" max="14575" width="11.42578125" style="1"/>
    <col min="14576" max="14576" width="3" style="1" customWidth="1"/>
    <col min="14577" max="14583" width="17.42578125" style="1" customWidth="1"/>
    <col min="14584" max="14584" width="3.85546875" style="1" customWidth="1"/>
    <col min="14585" max="14585" width="3.5703125" style="1" customWidth="1"/>
    <col min="14586" max="14589" width="8.140625" style="1" customWidth="1"/>
    <col min="14590" max="14831" width="11.42578125" style="1"/>
    <col min="14832" max="14832" width="3" style="1" customWidth="1"/>
    <col min="14833" max="14839" width="17.42578125" style="1" customWidth="1"/>
    <col min="14840" max="14840" width="3.85546875" style="1" customWidth="1"/>
    <col min="14841" max="14841" width="3.5703125" style="1" customWidth="1"/>
    <col min="14842" max="14845" width="8.140625" style="1" customWidth="1"/>
    <col min="14846" max="15087" width="11.42578125" style="1"/>
    <col min="15088" max="15088" width="3" style="1" customWidth="1"/>
    <col min="15089" max="15095" width="17.42578125" style="1" customWidth="1"/>
    <col min="15096" max="15096" width="3.85546875" style="1" customWidth="1"/>
    <col min="15097" max="15097" width="3.5703125" style="1" customWidth="1"/>
    <col min="15098" max="15101" width="8.140625" style="1" customWidth="1"/>
    <col min="15102" max="15343" width="11.42578125" style="1"/>
    <col min="15344" max="15344" width="3" style="1" customWidth="1"/>
    <col min="15345" max="15351" width="17.42578125" style="1" customWidth="1"/>
    <col min="15352" max="15352" width="3.85546875" style="1" customWidth="1"/>
    <col min="15353" max="15353" width="3.5703125" style="1" customWidth="1"/>
    <col min="15354" max="15357" width="8.140625" style="1" customWidth="1"/>
    <col min="15358" max="15599" width="11.42578125" style="1"/>
    <col min="15600" max="15600" width="3" style="1" customWidth="1"/>
    <col min="15601" max="15607" width="17.42578125" style="1" customWidth="1"/>
    <col min="15608" max="15608" width="3.85546875" style="1" customWidth="1"/>
    <col min="15609" max="15609" width="3.5703125" style="1" customWidth="1"/>
    <col min="15610" max="15613" width="8.140625" style="1" customWidth="1"/>
    <col min="15614" max="15855" width="11.42578125" style="1"/>
    <col min="15856" max="15856" width="3" style="1" customWidth="1"/>
    <col min="15857" max="15863" width="17.42578125" style="1" customWidth="1"/>
    <col min="15864" max="15864" width="3.85546875" style="1" customWidth="1"/>
    <col min="15865" max="15865" width="3.5703125" style="1" customWidth="1"/>
    <col min="15866" max="15869" width="8.140625" style="1" customWidth="1"/>
    <col min="15870" max="16111" width="11.42578125" style="1"/>
    <col min="16112" max="16112" width="3" style="1" customWidth="1"/>
    <col min="16113" max="16119" width="17.42578125" style="1" customWidth="1"/>
    <col min="16120" max="16120" width="3.85546875" style="1" customWidth="1"/>
    <col min="16121" max="16121" width="3.5703125" style="1" customWidth="1"/>
    <col min="16122" max="16125" width="8.140625" style="1" customWidth="1"/>
    <col min="16126" max="16384" width="11.42578125" style="1"/>
  </cols>
  <sheetData>
    <row r="1" spans="1:25" ht="22.5" customHeight="1" x14ac:dyDescent="0.2">
      <c r="A1" s="56"/>
      <c r="B1" s="8"/>
      <c r="C1" s="8"/>
      <c r="D1" s="57"/>
      <c r="E1" s="137" t="s">
        <v>8</v>
      </c>
      <c r="F1" s="137"/>
      <c r="G1" s="137"/>
      <c r="H1" s="137"/>
      <c r="I1" s="137"/>
      <c r="J1" s="137"/>
      <c r="K1" s="138"/>
      <c r="L1" s="139" t="s">
        <v>21</v>
      </c>
      <c r="M1" s="140"/>
      <c r="N1" s="141"/>
      <c r="P1" s="11"/>
    </row>
    <row r="2" spans="1:25" ht="22.5" customHeight="1" x14ac:dyDescent="0.2">
      <c r="A2" s="58"/>
      <c r="B2" s="25"/>
      <c r="C2" s="25"/>
      <c r="D2" s="59"/>
      <c r="E2" s="142" t="s">
        <v>81</v>
      </c>
      <c r="F2" s="142"/>
      <c r="G2" s="142"/>
      <c r="H2" s="142"/>
      <c r="I2" s="142"/>
      <c r="J2" s="142"/>
      <c r="K2" s="143"/>
      <c r="L2" s="144" t="s">
        <v>86</v>
      </c>
      <c r="M2" s="145"/>
      <c r="N2" s="146"/>
      <c r="P2" s="147"/>
      <c r="Q2" s="147"/>
      <c r="R2" s="147"/>
      <c r="S2" s="147"/>
      <c r="T2" s="147"/>
      <c r="U2" s="147"/>
      <c r="V2" s="147"/>
      <c r="W2" s="147"/>
      <c r="X2" s="147"/>
      <c r="Y2" s="147"/>
    </row>
    <row r="3" spans="1:25" ht="22.5" customHeight="1" x14ac:dyDescent="0.2">
      <c r="A3" s="58"/>
      <c r="B3" s="25"/>
      <c r="C3" s="25"/>
      <c r="D3" s="55"/>
      <c r="E3" s="142"/>
      <c r="F3" s="142"/>
      <c r="G3" s="142"/>
      <c r="H3" s="142"/>
      <c r="I3" s="142"/>
      <c r="J3" s="142"/>
      <c r="K3" s="143"/>
      <c r="L3" s="144" t="s">
        <v>70</v>
      </c>
      <c r="M3" s="145"/>
      <c r="N3" s="146"/>
      <c r="P3" s="148"/>
      <c r="Q3" s="148"/>
      <c r="R3" s="148"/>
    </row>
    <row r="4" spans="1:25" ht="22.5" customHeight="1" thickBot="1" x14ac:dyDescent="0.25">
      <c r="A4" s="60"/>
      <c r="B4" s="9"/>
      <c r="C4" s="9"/>
      <c r="D4" s="54"/>
      <c r="E4" s="149" t="s">
        <v>82</v>
      </c>
      <c r="F4" s="149"/>
      <c r="G4" s="149"/>
      <c r="H4" s="149"/>
      <c r="I4" s="149"/>
      <c r="J4" s="149"/>
      <c r="K4" s="150"/>
      <c r="L4" s="151" t="s">
        <v>87</v>
      </c>
      <c r="M4" s="152"/>
      <c r="N4" s="153"/>
      <c r="P4" s="11"/>
      <c r="Q4" s="154" t="s">
        <v>23</v>
      </c>
      <c r="R4" s="155" t="s">
        <v>63</v>
      </c>
      <c r="S4" s="120" t="s">
        <v>47</v>
      </c>
    </row>
    <row r="5" spans="1:25" ht="3.95" customHeight="1" thickBot="1" x14ac:dyDescent="0.25">
      <c r="A5" s="58"/>
      <c r="B5" s="25"/>
      <c r="C5" s="25"/>
      <c r="D5" s="25"/>
      <c r="E5" s="25"/>
      <c r="F5" s="25"/>
      <c r="G5" s="61"/>
      <c r="H5" s="25"/>
      <c r="I5" s="25"/>
      <c r="J5" s="25"/>
      <c r="K5" s="25"/>
      <c r="L5" s="25"/>
      <c r="M5" s="25"/>
      <c r="N5" s="62"/>
      <c r="P5" s="11"/>
      <c r="Q5" s="154"/>
      <c r="R5" s="156"/>
    </row>
    <row r="6" spans="1:25" ht="24.95" customHeight="1" x14ac:dyDescent="0.2">
      <c r="A6" s="157" t="s">
        <v>14</v>
      </c>
      <c r="B6" s="158"/>
      <c r="C6" s="159" t="s">
        <v>92</v>
      </c>
      <c r="D6" s="159"/>
      <c r="E6" s="159"/>
      <c r="F6" s="159"/>
      <c r="G6" s="159"/>
      <c r="H6" s="159"/>
      <c r="I6" s="159"/>
      <c r="J6" s="108" t="s">
        <v>10</v>
      </c>
      <c r="K6" s="160">
        <v>45924</v>
      </c>
      <c r="L6" s="160"/>
      <c r="M6" s="160"/>
      <c r="N6" s="161"/>
      <c r="P6" s="11"/>
      <c r="Q6" s="13"/>
      <c r="R6" s="14" t="s">
        <v>28</v>
      </c>
      <c r="S6" s="15" t="s">
        <v>48</v>
      </c>
    </row>
    <row r="7" spans="1:25" ht="24.95" customHeight="1" x14ac:dyDescent="0.2">
      <c r="A7" s="162" t="s">
        <v>15</v>
      </c>
      <c r="B7" s="163"/>
      <c r="C7" s="164" t="s">
        <v>93</v>
      </c>
      <c r="D7" s="164"/>
      <c r="E7" s="164"/>
      <c r="F7" s="164"/>
      <c r="G7" s="164"/>
      <c r="H7" s="164"/>
      <c r="I7" s="164"/>
      <c r="J7" s="26" t="s">
        <v>11</v>
      </c>
      <c r="K7" s="165">
        <v>45945</v>
      </c>
      <c r="L7" s="165"/>
      <c r="M7" s="165"/>
      <c r="N7" s="166"/>
      <c r="P7" s="11"/>
      <c r="Q7" s="16" t="s">
        <v>24</v>
      </c>
      <c r="R7" s="14" t="s">
        <v>29</v>
      </c>
      <c r="S7" s="15" t="s">
        <v>49</v>
      </c>
    </row>
    <row r="8" spans="1:25" ht="24.95" customHeight="1" x14ac:dyDescent="0.2">
      <c r="A8" s="162" t="s">
        <v>64</v>
      </c>
      <c r="B8" s="163"/>
      <c r="C8" s="238" t="s">
        <v>94</v>
      </c>
      <c r="D8" s="164"/>
      <c r="E8" s="164"/>
      <c r="F8" s="164"/>
      <c r="G8" s="164"/>
      <c r="H8" s="164"/>
      <c r="I8" s="164"/>
      <c r="J8" s="26" t="s">
        <v>12</v>
      </c>
      <c r="K8" s="165">
        <v>45965</v>
      </c>
      <c r="L8" s="165"/>
      <c r="M8" s="165"/>
      <c r="N8" s="166"/>
      <c r="P8" s="11"/>
      <c r="Q8" s="16" t="s">
        <v>25</v>
      </c>
      <c r="R8" s="14" t="s">
        <v>30</v>
      </c>
      <c r="S8" s="15" t="s">
        <v>50</v>
      </c>
    </row>
    <row r="9" spans="1:25" ht="24.95" customHeight="1" x14ac:dyDescent="0.2">
      <c r="A9" s="162" t="s">
        <v>16</v>
      </c>
      <c r="B9" s="163"/>
      <c r="C9" s="164" t="s">
        <v>95</v>
      </c>
      <c r="D9" s="164"/>
      <c r="E9" s="164"/>
      <c r="F9" s="164"/>
      <c r="G9" s="164"/>
      <c r="H9" s="164"/>
      <c r="I9" s="164"/>
      <c r="J9" s="26" t="s">
        <v>13</v>
      </c>
      <c r="K9" s="111" t="s">
        <v>69</v>
      </c>
      <c r="L9" s="112" t="s">
        <v>91</v>
      </c>
      <c r="M9" s="113" t="s">
        <v>1</v>
      </c>
      <c r="N9" s="114">
        <v>25</v>
      </c>
      <c r="P9" s="11"/>
      <c r="Q9" s="16" t="s">
        <v>26</v>
      </c>
      <c r="R9" s="17" t="s">
        <v>31</v>
      </c>
      <c r="S9" s="15" t="s">
        <v>51</v>
      </c>
    </row>
    <row r="10" spans="1:25" ht="24.75" customHeight="1" x14ac:dyDescent="0.2">
      <c r="A10" s="162" t="s">
        <v>17</v>
      </c>
      <c r="B10" s="163"/>
      <c r="C10" s="164" t="s">
        <v>96</v>
      </c>
      <c r="D10" s="164"/>
      <c r="E10" s="164"/>
      <c r="F10" s="164"/>
      <c r="G10" s="164"/>
      <c r="H10" s="164"/>
      <c r="I10" s="164"/>
      <c r="J10" s="26" t="s">
        <v>9</v>
      </c>
      <c r="K10" s="168" t="str">
        <f>+CONCATENATE(L9,," ",N9,"-",D12,"-",F12)</f>
        <v>058 25-PP4-3-6</v>
      </c>
      <c r="L10" s="168"/>
      <c r="M10" s="168"/>
      <c r="N10" s="169"/>
      <c r="P10" s="11"/>
      <c r="Q10" s="18" t="s">
        <v>27</v>
      </c>
      <c r="R10" s="17" t="s">
        <v>32</v>
      </c>
      <c r="S10" s="15"/>
    </row>
    <row r="11" spans="1:25" ht="3.95" customHeight="1" thickBot="1" x14ac:dyDescent="0.25">
      <c r="A11" s="162"/>
      <c r="B11" s="163"/>
      <c r="C11" s="119"/>
      <c r="D11" s="119"/>
      <c r="E11" s="119"/>
      <c r="F11" s="119"/>
      <c r="G11" s="63"/>
      <c r="H11" s="63"/>
      <c r="I11" s="63"/>
      <c r="J11" s="63"/>
      <c r="K11" s="63"/>
      <c r="L11" s="63"/>
      <c r="M11" s="63"/>
      <c r="N11" s="64"/>
      <c r="P11" s="11"/>
      <c r="R11" s="13"/>
      <c r="S11" s="15" t="s">
        <v>52</v>
      </c>
    </row>
    <row r="12" spans="1:25" ht="24.95" customHeight="1" x14ac:dyDescent="0.2">
      <c r="A12" s="157" t="s">
        <v>18</v>
      </c>
      <c r="B12" s="158"/>
      <c r="C12" s="121" t="s">
        <v>48</v>
      </c>
      <c r="D12" s="3" t="s">
        <v>103</v>
      </c>
      <c r="E12" s="4" t="s">
        <v>19</v>
      </c>
      <c r="F12" s="121">
        <v>6</v>
      </c>
      <c r="G12" s="4" t="s">
        <v>0</v>
      </c>
      <c r="H12" s="117">
        <v>2.4500000000000002</v>
      </c>
      <c r="I12" s="7" t="s">
        <v>1</v>
      </c>
      <c r="J12" s="118">
        <v>2.9</v>
      </c>
      <c r="K12" s="65"/>
      <c r="L12" s="65"/>
      <c r="M12" s="65"/>
      <c r="N12" s="66"/>
      <c r="P12" s="11"/>
      <c r="R12" s="17" t="s">
        <v>33</v>
      </c>
      <c r="S12" s="15"/>
    </row>
    <row r="13" spans="1:25" ht="24.95" customHeight="1" x14ac:dyDescent="0.2">
      <c r="A13" s="162" t="s">
        <v>66</v>
      </c>
      <c r="B13" s="163"/>
      <c r="C13" s="170" t="s">
        <v>102</v>
      </c>
      <c r="D13" s="170"/>
      <c r="E13" s="170"/>
      <c r="F13" s="170"/>
      <c r="G13" s="170"/>
      <c r="H13" s="170"/>
      <c r="I13" s="170"/>
      <c r="J13" s="170"/>
      <c r="K13" s="170"/>
      <c r="L13" s="170"/>
      <c r="M13" s="170"/>
      <c r="N13" s="171"/>
      <c r="P13" s="11"/>
    </row>
    <row r="14" spans="1:25" ht="3.95" customHeight="1" thickBot="1" x14ac:dyDescent="0.3">
      <c r="A14" s="67"/>
      <c r="B14" s="68"/>
      <c r="C14" s="68"/>
      <c r="D14" s="68"/>
      <c r="E14" s="68"/>
      <c r="F14" s="68"/>
      <c r="G14" s="172"/>
      <c r="H14" s="172"/>
      <c r="I14" s="172"/>
      <c r="J14" s="69"/>
      <c r="K14" s="70"/>
      <c r="L14" s="70"/>
      <c r="M14" s="70"/>
      <c r="N14" s="71"/>
      <c r="P14" s="11"/>
    </row>
    <row r="15" spans="1:25" ht="3" customHeight="1" x14ac:dyDescent="0.25">
      <c r="A15" s="72"/>
      <c r="B15" s="73"/>
      <c r="C15" s="73"/>
      <c r="D15" s="73"/>
      <c r="E15" s="73"/>
      <c r="F15" s="73"/>
      <c r="G15" s="74"/>
      <c r="H15" s="75"/>
      <c r="I15" s="76"/>
      <c r="J15" s="74"/>
      <c r="K15" s="77"/>
      <c r="L15" s="77"/>
      <c r="M15" s="77"/>
      <c r="N15" s="78"/>
      <c r="P15" s="11"/>
    </row>
    <row r="16" spans="1:25" ht="9" customHeight="1" thickBot="1" x14ac:dyDescent="0.25">
      <c r="A16" s="79"/>
      <c r="B16" s="80"/>
      <c r="C16" s="80"/>
      <c r="D16" s="80"/>
      <c r="E16" s="80"/>
      <c r="F16" s="80"/>
      <c r="G16" s="81"/>
      <c r="H16" s="81"/>
      <c r="I16" s="81"/>
      <c r="J16" s="81"/>
      <c r="K16" s="81"/>
      <c r="L16" s="81"/>
      <c r="M16" s="81"/>
      <c r="N16" s="62"/>
      <c r="P16" s="11"/>
    </row>
    <row r="17" spans="1:33" ht="24.95" customHeight="1" thickBot="1" x14ac:dyDescent="0.35">
      <c r="A17" s="58"/>
      <c r="B17" s="173" t="s">
        <v>7</v>
      </c>
      <c r="C17" s="174"/>
      <c r="D17" s="174"/>
      <c r="E17" s="174"/>
      <c r="F17" s="174"/>
      <c r="G17" s="174"/>
      <c r="H17" s="173" t="s">
        <v>4</v>
      </c>
      <c r="I17" s="175"/>
      <c r="J17" s="82"/>
      <c r="K17" s="82"/>
      <c r="L17" s="82"/>
      <c r="M17" s="82"/>
      <c r="N17" s="83"/>
      <c r="O17" s="101">
        <f>E32</f>
        <v>0.41</v>
      </c>
      <c r="P17" s="97">
        <f>I32</f>
        <v>0.45253863134657829</v>
      </c>
      <c r="Q17" s="98">
        <f>B32</f>
        <v>0.51666666666666672</v>
      </c>
      <c r="R17" s="12">
        <f>Q17/P17</f>
        <v>1.1417073170731711</v>
      </c>
      <c r="S17" s="12">
        <f>O17/Q17</f>
        <v>0.79354838709677411</v>
      </c>
    </row>
    <row r="18" spans="1:33" ht="24.95" customHeight="1" x14ac:dyDescent="0.3">
      <c r="A18" s="58"/>
      <c r="B18" s="31" t="s">
        <v>57</v>
      </c>
      <c r="C18" s="176">
        <v>4.4800000000000004</v>
      </c>
      <c r="D18" s="177"/>
      <c r="E18" s="50" t="s">
        <v>79</v>
      </c>
      <c r="F18" s="178">
        <f>F19/(1+I21/100)</f>
        <v>1.6469204706843596</v>
      </c>
      <c r="G18" s="179"/>
      <c r="H18" s="31" t="s">
        <v>58</v>
      </c>
      <c r="I18" s="34">
        <v>264.31</v>
      </c>
      <c r="J18" s="82"/>
      <c r="K18" s="84"/>
      <c r="L18" s="84"/>
      <c r="M18" s="84"/>
      <c r="N18" s="85"/>
      <c r="O18" s="100">
        <f>E37</f>
        <v>0.83</v>
      </c>
      <c r="P18" s="99">
        <f>I37</f>
        <v>0.91611479028697562</v>
      </c>
      <c r="Q18" s="98">
        <f>B37</f>
        <v>0.96666666666666667</v>
      </c>
      <c r="R18" s="12">
        <f>Q18/P18</f>
        <v>1.0551807228915664</v>
      </c>
      <c r="S18" s="12">
        <f>O18/Q18</f>
        <v>0.85862068965517235</v>
      </c>
      <c r="AC18" s="11" t="s">
        <v>89</v>
      </c>
      <c r="AG18" s="1" t="s">
        <v>90</v>
      </c>
    </row>
    <row r="19" spans="1:33" ht="24.95" customHeight="1" x14ac:dyDescent="0.3">
      <c r="A19" s="58"/>
      <c r="B19" s="32" t="s">
        <v>36</v>
      </c>
      <c r="C19" s="180">
        <v>9.06</v>
      </c>
      <c r="D19" s="181"/>
      <c r="E19" s="51" t="s">
        <v>80</v>
      </c>
      <c r="F19" s="182">
        <f>+C21/(C20)</f>
        <v>1.883064278010868</v>
      </c>
      <c r="G19" s="183"/>
      <c r="H19" s="32" t="s">
        <v>5</v>
      </c>
      <c r="I19" s="36">
        <v>239.09</v>
      </c>
      <c r="J19" s="82"/>
      <c r="K19" s="84"/>
      <c r="L19" s="84"/>
      <c r="M19" s="84"/>
      <c r="N19" s="85"/>
      <c r="O19" s="100">
        <f>E48</f>
        <v>1.89</v>
      </c>
      <c r="P19" s="97">
        <f>I48</f>
        <v>2.0860927152317879</v>
      </c>
      <c r="Q19" s="98">
        <f>B48</f>
        <v>1.9166666666666667</v>
      </c>
      <c r="R19" s="12">
        <f>Q19/P19</f>
        <v>0.91878306878306892</v>
      </c>
      <c r="S19" s="12">
        <f>O19/Q19</f>
        <v>0.98608695652173906</v>
      </c>
    </row>
    <row r="20" spans="1:33" ht="24.95" customHeight="1" x14ac:dyDescent="0.3">
      <c r="A20" s="58"/>
      <c r="B20" s="32" t="s">
        <v>37</v>
      </c>
      <c r="C20" s="184">
        <f>(PI()*((C18^2)/4)*C19)</f>
        <v>142.81509300578847</v>
      </c>
      <c r="D20" s="185"/>
      <c r="E20" s="52" t="s">
        <v>22</v>
      </c>
      <c r="F20" s="186" t="s">
        <v>26</v>
      </c>
      <c r="G20" s="187"/>
      <c r="H20" s="32" t="s">
        <v>6</v>
      </c>
      <c r="I20" s="36">
        <v>63.2</v>
      </c>
      <c r="J20" s="82"/>
      <c r="K20" s="84"/>
      <c r="L20" s="84"/>
      <c r="M20" s="84"/>
      <c r="N20" s="85"/>
      <c r="O20" s="2"/>
      <c r="P20" s="96"/>
      <c r="Q20" s="11" t="s">
        <v>84</v>
      </c>
      <c r="R20" s="102">
        <f>(R17+R18+R19)/3</f>
        <v>1.0385570362492689</v>
      </c>
      <c r="S20" s="11"/>
    </row>
    <row r="21" spans="1:33" ht="24.95" customHeight="1" x14ac:dyDescent="0.3">
      <c r="A21" s="58"/>
      <c r="B21" s="32" t="s">
        <v>3</v>
      </c>
      <c r="C21" s="180">
        <v>268.93</v>
      </c>
      <c r="D21" s="181"/>
      <c r="E21" s="52" t="s">
        <v>59</v>
      </c>
      <c r="F21" s="194" t="s">
        <v>29</v>
      </c>
      <c r="G21" s="195"/>
      <c r="H21" s="35" t="s">
        <v>38</v>
      </c>
      <c r="I21" s="37">
        <f>(I18-I19)/(I19-I20)*100</f>
        <v>14.338507021433852</v>
      </c>
      <c r="J21" s="82"/>
      <c r="K21" s="84"/>
      <c r="L21" s="84"/>
      <c r="M21" s="84"/>
      <c r="N21" s="85"/>
      <c r="O21" s="2"/>
      <c r="P21" s="11"/>
      <c r="Q21" s="11" t="s">
        <v>83</v>
      </c>
      <c r="R21" s="102">
        <f>(S17+S18+S19)/3</f>
        <v>0.87941867775789506</v>
      </c>
      <c r="S21" s="11"/>
    </row>
    <row r="22" spans="1:33" ht="24.95" customHeight="1" thickBot="1" x14ac:dyDescent="0.35">
      <c r="A22" s="58"/>
      <c r="B22" s="33" t="s">
        <v>60</v>
      </c>
      <c r="C22" s="196">
        <f>(PI()*(C18*C18))/4</f>
        <v>15.763255298652147</v>
      </c>
      <c r="D22" s="197"/>
      <c r="E22" s="53" t="s">
        <v>34</v>
      </c>
      <c r="F22" s="198">
        <v>1</v>
      </c>
      <c r="G22" s="199"/>
      <c r="H22" s="94"/>
      <c r="I22" s="95"/>
      <c r="J22" s="82"/>
      <c r="K22" s="84"/>
      <c r="L22" s="84"/>
      <c r="M22" s="84"/>
      <c r="N22" s="85"/>
      <c r="O22" s="2"/>
      <c r="P22" s="11"/>
      <c r="Q22" s="11"/>
      <c r="R22" s="11"/>
      <c r="S22" s="11"/>
    </row>
    <row r="23" spans="1:33" ht="5.25" customHeight="1" thickBot="1" x14ac:dyDescent="0.35">
      <c r="A23" s="58"/>
      <c r="B23" s="86"/>
      <c r="C23" s="86"/>
      <c r="D23" s="86"/>
      <c r="E23" s="86"/>
      <c r="F23" s="86"/>
      <c r="G23" s="87"/>
      <c r="H23" s="87"/>
      <c r="I23" s="87"/>
      <c r="J23" s="87"/>
      <c r="K23" s="87"/>
      <c r="L23" s="87"/>
      <c r="M23" s="87"/>
      <c r="N23" s="83"/>
      <c r="P23" s="11"/>
    </row>
    <row r="24" spans="1:33" ht="24.95" customHeight="1" thickBot="1" x14ac:dyDescent="0.35">
      <c r="A24" s="58"/>
      <c r="B24" s="188" t="s">
        <v>45</v>
      </c>
      <c r="C24" s="190" t="s">
        <v>53</v>
      </c>
      <c r="D24" s="190" t="s">
        <v>65</v>
      </c>
      <c r="E24" s="192" t="s">
        <v>54</v>
      </c>
      <c r="F24" s="193"/>
      <c r="G24" s="192" t="s">
        <v>55</v>
      </c>
      <c r="H24" s="193"/>
      <c r="I24" s="190" t="s">
        <v>77</v>
      </c>
      <c r="J24" s="190" t="s">
        <v>78</v>
      </c>
      <c r="K24" s="190" t="s">
        <v>43</v>
      </c>
      <c r="L24" s="88"/>
      <c r="M24" s="88"/>
      <c r="N24" s="83"/>
      <c r="P24" s="239" t="s">
        <v>56</v>
      </c>
      <c r="Q24" s="243" t="s">
        <v>40</v>
      </c>
      <c r="R24" s="243" t="s">
        <v>35</v>
      </c>
      <c r="S24" s="239" t="s">
        <v>61</v>
      </c>
      <c r="T24" s="241" t="s">
        <v>46</v>
      </c>
    </row>
    <row r="25" spans="1:33" ht="24.95" customHeight="1" thickBot="1" x14ac:dyDescent="0.35">
      <c r="A25" s="58"/>
      <c r="B25" s="189"/>
      <c r="C25" s="191"/>
      <c r="D25" s="191"/>
      <c r="E25" s="103" t="s">
        <v>2</v>
      </c>
      <c r="F25" s="103" t="s">
        <v>42</v>
      </c>
      <c r="G25" s="103" t="s">
        <v>41</v>
      </c>
      <c r="H25" s="103" t="s">
        <v>44</v>
      </c>
      <c r="I25" s="191"/>
      <c r="J25" s="191"/>
      <c r="K25" s="191"/>
      <c r="L25" s="88"/>
      <c r="M25" s="88"/>
      <c r="N25" s="83"/>
      <c r="P25" s="240"/>
      <c r="Q25" s="244"/>
      <c r="R25" s="244"/>
      <c r="S25" s="240"/>
      <c r="T25" s="242"/>
    </row>
    <row r="26" spans="1:33" ht="24.95" customHeight="1" x14ac:dyDescent="0.3">
      <c r="A26" s="89"/>
      <c r="B26" s="38">
        <f>T26/60</f>
        <v>0</v>
      </c>
      <c r="C26" s="104">
        <f>R26</f>
        <v>0</v>
      </c>
      <c r="D26" s="41">
        <v>0</v>
      </c>
      <c r="E26" s="39">
        <f>S26</f>
        <v>0</v>
      </c>
      <c r="F26" s="41">
        <f>E26/25.4</f>
        <v>0</v>
      </c>
      <c r="G26" s="41">
        <v>0</v>
      </c>
      <c r="H26" s="42">
        <f>IF(D26="","",(D26/K26))</f>
        <v>0</v>
      </c>
      <c r="I26" s="41">
        <f>(E26/($C$19*10))*100</f>
        <v>0</v>
      </c>
      <c r="J26" s="43">
        <f>$C$22/(1-I26/100)</f>
        <v>15.763255298652147</v>
      </c>
      <c r="K26" s="109">
        <f>J26*0.155</f>
        <v>2.4433045712910828</v>
      </c>
      <c r="L26" s="90"/>
      <c r="M26" s="90"/>
      <c r="N26" s="83"/>
      <c r="O26" s="5">
        <v>0</v>
      </c>
      <c r="P26" s="19">
        <v>0</v>
      </c>
      <c r="Q26" s="19"/>
      <c r="R26" s="115">
        <v>0</v>
      </c>
      <c r="S26" s="20">
        <v>0</v>
      </c>
      <c r="T26" s="106">
        <v>0</v>
      </c>
    </row>
    <row r="27" spans="1:33" ht="24.95" customHeight="1" x14ac:dyDescent="0.3">
      <c r="A27" s="89"/>
      <c r="B27" s="38">
        <f>T27/60</f>
        <v>8.3333333333333329E-2</v>
      </c>
      <c r="C27" s="104">
        <f t="shared" ref="C27:C58" si="0">R27</f>
        <v>8.0000000000000002E-3</v>
      </c>
      <c r="D27" s="40">
        <f t="shared" ref="D27:D58" si="1">C27*0.224809*1000</f>
        <v>1.7984720000000001</v>
      </c>
      <c r="E27" s="39">
        <f>S27</f>
        <v>0.01</v>
      </c>
      <c r="F27" s="41">
        <f>E27/25.4</f>
        <v>3.9370078740157485E-4</v>
      </c>
      <c r="G27" s="41">
        <f t="shared" ref="G27:G58" si="2">IF(C27="","",(C27/(J27/10000)))</f>
        <v>5.0745336837096504</v>
      </c>
      <c r="H27" s="42">
        <f t="shared" ref="H27:H58" si="3">IF(D27="","",(D27/K27))</f>
        <v>0.7360005438071503</v>
      </c>
      <c r="I27" s="41">
        <f t="shared" ref="I27:I58" si="4">(E27/($C$19*10))*100</f>
        <v>1.1037527593818984E-2</v>
      </c>
      <c r="J27" s="43">
        <f>$C$22/(1-I27/100)</f>
        <v>15.764995364365653</v>
      </c>
      <c r="K27" s="109">
        <f t="shared" ref="K27:K58" si="5">J27*0.155</f>
        <v>2.4435742814766761</v>
      </c>
      <c r="L27" s="90"/>
      <c r="M27" s="90"/>
      <c r="N27" s="83"/>
      <c r="O27" s="6">
        <v>0</v>
      </c>
      <c r="P27" s="19">
        <v>3.9370000000000003E-4</v>
      </c>
      <c r="Q27" s="21"/>
      <c r="R27" s="115">
        <v>8.0000000000000002E-3</v>
      </c>
      <c r="S27" s="22">
        <v>0.01</v>
      </c>
      <c r="T27" s="106">
        <v>5</v>
      </c>
    </row>
    <row r="28" spans="1:33" ht="24.95" customHeight="1" x14ac:dyDescent="0.3">
      <c r="A28" s="89"/>
      <c r="B28" s="38">
        <f t="shared" ref="B28:B58" si="6">T28/60</f>
        <v>0.16666666666666666</v>
      </c>
      <c r="C28" s="104">
        <f t="shared" si="0"/>
        <v>3.5000000000000003E-2</v>
      </c>
      <c r="D28" s="40">
        <f t="shared" si="1"/>
        <v>7.8683150000000008</v>
      </c>
      <c r="E28" s="39">
        <f t="shared" ref="E28:E58" si="7">S28</f>
        <v>0.08</v>
      </c>
      <c r="F28" s="41">
        <f t="shared" ref="F28:F58" si="8">E28/25.4</f>
        <v>3.1496062992125988E-3</v>
      </c>
      <c r="G28" s="41">
        <f t="shared" si="2"/>
        <v>22.183929816658733</v>
      </c>
      <c r="H28" s="42">
        <f t="shared" si="3"/>
        <v>3.2175142439698279</v>
      </c>
      <c r="I28" s="41">
        <f t="shared" si="4"/>
        <v>8.8300220750551869E-2</v>
      </c>
      <c r="J28" s="43">
        <f t="shared" ref="J28:J58" si="9">$C$22/(1-I28/100)</f>
        <v>15.777186589238671</v>
      </c>
      <c r="K28" s="109">
        <f t="shared" si="5"/>
        <v>2.445463921331994</v>
      </c>
      <c r="L28" s="90"/>
      <c r="M28" s="90"/>
      <c r="N28" s="83"/>
      <c r="O28" s="6">
        <v>0.59499999999999997</v>
      </c>
      <c r="P28" s="19">
        <v>3.1496000000000002E-3</v>
      </c>
      <c r="Q28" s="21"/>
      <c r="R28" s="115">
        <v>3.5000000000000003E-2</v>
      </c>
      <c r="S28" s="22">
        <v>0.08</v>
      </c>
      <c r="T28" s="106">
        <v>10</v>
      </c>
    </row>
    <row r="29" spans="1:33" ht="24.95" customHeight="1" x14ac:dyDescent="0.3">
      <c r="A29" s="89"/>
      <c r="B29" s="38">
        <f>T29/60</f>
        <v>0.26666666666666666</v>
      </c>
      <c r="C29" s="104">
        <f t="shared" si="0"/>
        <v>6.0999999999999999E-2</v>
      </c>
      <c r="D29" s="40">
        <f t="shared" si="1"/>
        <v>13.713348999999999</v>
      </c>
      <c r="E29" s="39">
        <f t="shared" si="7"/>
        <v>0.18</v>
      </c>
      <c r="F29" s="41">
        <f t="shared" si="8"/>
        <v>7.0866141732283464E-3</v>
      </c>
      <c r="G29" s="41">
        <f t="shared" si="2"/>
        <v>38.62070796520397</v>
      </c>
      <c r="H29" s="42">
        <f t="shared" si="3"/>
        <v>5.6014727335158314</v>
      </c>
      <c r="I29" s="41">
        <f t="shared" si="4"/>
        <v>0.19867549668874168</v>
      </c>
      <c r="J29" s="43">
        <f t="shared" si="9"/>
        <v>15.794635368921528</v>
      </c>
      <c r="K29" s="109">
        <f t="shared" si="5"/>
        <v>2.4481684821828367</v>
      </c>
      <c r="L29" s="90"/>
      <c r="M29" s="90"/>
      <c r="N29" s="83"/>
      <c r="O29" s="6">
        <v>1.1120000000000001</v>
      </c>
      <c r="P29" s="19">
        <v>7.0866000000000002E-3</v>
      </c>
      <c r="Q29" s="21"/>
      <c r="R29" s="115">
        <v>6.0999999999999999E-2</v>
      </c>
      <c r="S29" s="22">
        <v>0.18</v>
      </c>
      <c r="T29" s="106">
        <v>16</v>
      </c>
    </row>
    <row r="30" spans="1:33" ht="24.95" customHeight="1" x14ac:dyDescent="0.3">
      <c r="A30" s="89"/>
      <c r="B30" s="38">
        <f t="shared" si="6"/>
        <v>0.35</v>
      </c>
      <c r="C30" s="104">
        <f t="shared" si="0"/>
        <v>7.8E-2</v>
      </c>
      <c r="D30" s="40">
        <f t="shared" si="1"/>
        <v>17.535102000000002</v>
      </c>
      <c r="E30" s="39">
        <f t="shared" si="7"/>
        <v>0.24</v>
      </c>
      <c r="F30" s="41">
        <f t="shared" si="8"/>
        <v>9.4488188976377951E-3</v>
      </c>
      <c r="G30" s="41">
        <f t="shared" si="2"/>
        <v>49.351086440943135</v>
      </c>
      <c r="H30" s="42">
        <f t="shared" si="3"/>
        <v>7.1577860591625724</v>
      </c>
      <c r="I30" s="41">
        <f t="shared" si="4"/>
        <v>0.26490066225165559</v>
      </c>
      <c r="J30" s="43">
        <f t="shared" si="9"/>
        <v>15.805123174611383</v>
      </c>
      <c r="K30" s="109">
        <f t="shared" si="5"/>
        <v>2.4497940920647645</v>
      </c>
      <c r="L30" s="90"/>
      <c r="M30" s="90"/>
      <c r="N30" s="83"/>
      <c r="O30" s="6">
        <v>1.605</v>
      </c>
      <c r="P30" s="19">
        <v>9.4488000000000003E-3</v>
      </c>
      <c r="Q30" s="21"/>
      <c r="R30" s="115">
        <v>7.8E-2</v>
      </c>
      <c r="S30" s="22">
        <v>0.24</v>
      </c>
      <c r="T30" s="106">
        <v>21</v>
      </c>
    </row>
    <row r="31" spans="1:33" ht="24.95" customHeight="1" x14ac:dyDescent="0.3">
      <c r="A31" s="89"/>
      <c r="B31" s="38">
        <f t="shared" si="6"/>
        <v>0.43333333333333335</v>
      </c>
      <c r="C31" s="104">
        <f t="shared" si="0"/>
        <v>9.2999999999999999E-2</v>
      </c>
      <c r="D31" s="40">
        <f t="shared" si="1"/>
        <v>20.907237000000002</v>
      </c>
      <c r="E31" s="39">
        <f t="shared" si="7"/>
        <v>0.32</v>
      </c>
      <c r="F31" s="41">
        <f t="shared" si="8"/>
        <v>1.2598425196850395E-2</v>
      </c>
      <c r="G31" s="41">
        <f t="shared" si="2"/>
        <v>58.789584653070946</v>
      </c>
      <c r="H31" s="42">
        <f t="shared" si="3"/>
        <v>8.526727571788534</v>
      </c>
      <c r="I31" s="41">
        <f t="shared" si="4"/>
        <v>0.35320088300220748</v>
      </c>
      <c r="J31" s="43">
        <f t="shared" si="9"/>
        <v>15.819128600552553</v>
      </c>
      <c r="K31" s="109">
        <f t="shared" si="5"/>
        <v>2.4519649330856454</v>
      </c>
      <c r="L31" s="90"/>
      <c r="M31" s="90"/>
      <c r="N31" s="83"/>
      <c r="O31" s="6">
        <v>2.0270000000000001</v>
      </c>
      <c r="P31" s="19">
        <v>1.2598400000000001E-2</v>
      </c>
      <c r="Q31" s="21"/>
      <c r="R31" s="115">
        <v>9.2999999999999999E-2</v>
      </c>
      <c r="S31" s="22">
        <v>0.32</v>
      </c>
      <c r="T31" s="106">
        <v>26</v>
      </c>
    </row>
    <row r="32" spans="1:33" ht="24.95" customHeight="1" x14ac:dyDescent="0.3">
      <c r="A32" s="89"/>
      <c r="B32" s="38">
        <f t="shared" si="6"/>
        <v>0.51666666666666672</v>
      </c>
      <c r="C32" s="104">
        <f t="shared" si="0"/>
        <v>0.10100000000000001</v>
      </c>
      <c r="D32" s="40">
        <f t="shared" si="1"/>
        <v>22.705709000000002</v>
      </c>
      <c r="E32" s="39">
        <f t="shared" si="7"/>
        <v>0.41</v>
      </c>
      <c r="F32" s="41">
        <f t="shared" si="8"/>
        <v>1.6141732283464567E-2</v>
      </c>
      <c r="G32" s="41">
        <f t="shared" si="2"/>
        <v>63.783104490439214</v>
      </c>
      <c r="H32" s="42">
        <f t="shared" si="3"/>
        <v>9.2509780241233219</v>
      </c>
      <c r="I32" s="41">
        <f t="shared" si="4"/>
        <v>0.45253863134657829</v>
      </c>
      <c r="J32" s="43">
        <f t="shared" si="9"/>
        <v>15.834914403568961</v>
      </c>
      <c r="K32" s="109">
        <f t="shared" si="5"/>
        <v>2.4544117325531891</v>
      </c>
      <c r="L32" s="90"/>
      <c r="M32" s="90"/>
      <c r="N32" s="83"/>
      <c r="O32" s="6">
        <v>2.4540000000000002</v>
      </c>
      <c r="P32" s="19">
        <v>1.6141699999999998E-2</v>
      </c>
      <c r="Q32" s="21"/>
      <c r="R32" s="115">
        <v>0.10100000000000001</v>
      </c>
      <c r="S32" s="22">
        <v>0.41</v>
      </c>
      <c r="T32" s="106">
        <v>31</v>
      </c>
    </row>
    <row r="33" spans="1:20" ht="24.95" customHeight="1" x14ac:dyDescent="0.3">
      <c r="A33" s="89"/>
      <c r="B33" s="38">
        <f t="shared" si="6"/>
        <v>0.6166666666666667</v>
      </c>
      <c r="C33" s="104">
        <f t="shared" si="0"/>
        <v>0.108</v>
      </c>
      <c r="D33" s="40">
        <f t="shared" si="1"/>
        <v>24.279372000000002</v>
      </c>
      <c r="E33" s="39">
        <f t="shared" si="7"/>
        <v>0.5</v>
      </c>
      <c r="F33" s="41">
        <f t="shared" si="8"/>
        <v>1.968503937007874E-2</v>
      </c>
      <c r="G33" s="41">
        <f t="shared" si="2"/>
        <v>68.135655659346867</v>
      </c>
      <c r="H33" s="42">
        <f t="shared" si="3"/>
        <v>9.8822636213691037</v>
      </c>
      <c r="I33" s="41">
        <f t="shared" si="4"/>
        <v>0.55187637969094916</v>
      </c>
      <c r="J33" s="43">
        <f t="shared" si="9"/>
        <v>15.850731743150773</v>
      </c>
      <c r="K33" s="109">
        <f t="shared" si="5"/>
        <v>2.4568634201883697</v>
      </c>
      <c r="L33" s="90"/>
      <c r="M33" s="90"/>
      <c r="N33" s="83"/>
      <c r="O33" s="6">
        <v>2.81</v>
      </c>
      <c r="P33" s="19">
        <v>1.9685000000000001E-2</v>
      </c>
      <c r="Q33" s="21"/>
      <c r="R33" s="115">
        <v>0.108</v>
      </c>
      <c r="S33" s="22">
        <v>0.5</v>
      </c>
      <c r="T33" s="106">
        <v>37</v>
      </c>
    </row>
    <row r="34" spans="1:20" ht="24.95" customHeight="1" x14ac:dyDescent="0.3">
      <c r="A34" s="89"/>
      <c r="B34" s="38">
        <f t="shared" si="6"/>
        <v>0.7</v>
      </c>
      <c r="C34" s="104">
        <f>R34</f>
        <v>0.111</v>
      </c>
      <c r="D34" s="40">
        <f t="shared" si="1"/>
        <v>24.953799000000004</v>
      </c>
      <c r="E34" s="39">
        <f t="shared" si="7"/>
        <v>0.57899999999999996</v>
      </c>
      <c r="F34" s="41">
        <f t="shared" si="8"/>
        <v>2.2795275590551181E-2</v>
      </c>
      <c r="G34" s="41">
        <f t="shared" si="2"/>
        <v>69.966911687653337</v>
      </c>
      <c r="H34" s="42">
        <f t="shared" si="3"/>
        <v>10.147865451348169</v>
      </c>
      <c r="I34" s="41">
        <f t="shared" si="4"/>
        <v>0.63907284768211914</v>
      </c>
      <c r="J34" s="43">
        <f t="shared" si="9"/>
        <v>15.864641917529072</v>
      </c>
      <c r="K34" s="109">
        <f t="shared" si="5"/>
        <v>2.4590194972170063</v>
      </c>
      <c r="L34" s="90"/>
      <c r="M34" s="90"/>
      <c r="N34" s="83"/>
      <c r="O34" s="6">
        <v>3.2429999999999999</v>
      </c>
      <c r="P34" s="19">
        <v>2.279523E-2</v>
      </c>
      <c r="Q34" s="21"/>
      <c r="R34" s="115">
        <v>0.111</v>
      </c>
      <c r="S34" s="22">
        <v>0.57899999999999996</v>
      </c>
      <c r="T34" s="106">
        <v>42</v>
      </c>
    </row>
    <row r="35" spans="1:20" ht="24.95" customHeight="1" x14ac:dyDescent="0.3">
      <c r="A35" s="89"/>
      <c r="B35" s="38">
        <f t="shared" si="6"/>
        <v>0.78333333333333333</v>
      </c>
      <c r="C35" s="104">
        <f t="shared" si="0"/>
        <v>0.114</v>
      </c>
      <c r="D35" s="40">
        <f t="shared" si="1"/>
        <v>25.628226000000002</v>
      </c>
      <c r="E35" s="39">
        <f t="shared" si="7"/>
        <v>0.65</v>
      </c>
      <c r="F35" s="41">
        <f t="shared" si="8"/>
        <v>2.5590551181102365E-2</v>
      </c>
      <c r="G35" s="41">
        <f t="shared" si="2"/>
        <v>71.801234618699453</v>
      </c>
      <c r="H35" s="42">
        <f t="shared" si="3"/>
        <v>10.41391209896465</v>
      </c>
      <c r="I35" s="41">
        <f t="shared" si="4"/>
        <v>0.71743929359823388</v>
      </c>
      <c r="J35" s="43">
        <f t="shared" si="9"/>
        <v>15.877164314151024</v>
      </c>
      <c r="K35" s="109">
        <f t="shared" si="5"/>
        <v>2.4609604686934086</v>
      </c>
      <c r="L35" s="90"/>
      <c r="M35" s="90"/>
      <c r="N35" s="83"/>
      <c r="O35" s="6">
        <v>3.6720000000000002</v>
      </c>
      <c r="P35" s="19">
        <v>2.5590500000000002E-2</v>
      </c>
      <c r="Q35" s="21"/>
      <c r="R35" s="115">
        <v>0.114</v>
      </c>
      <c r="S35" s="22">
        <v>0.65</v>
      </c>
      <c r="T35" s="106">
        <v>47</v>
      </c>
    </row>
    <row r="36" spans="1:20" ht="24.95" customHeight="1" x14ac:dyDescent="0.3">
      <c r="A36" s="89"/>
      <c r="B36" s="38">
        <f t="shared" si="6"/>
        <v>0.8666666666666667</v>
      </c>
      <c r="C36" s="104">
        <f t="shared" si="0"/>
        <v>0.115</v>
      </c>
      <c r="D36" s="40">
        <f t="shared" si="1"/>
        <v>25.853035000000002</v>
      </c>
      <c r="E36" s="39">
        <f t="shared" si="7"/>
        <v>0.73</v>
      </c>
      <c r="F36" s="41">
        <f t="shared" si="8"/>
        <v>2.874015748031496E-2</v>
      </c>
      <c r="G36" s="41">
        <f t="shared" si="2"/>
        <v>72.36665104843722</v>
      </c>
      <c r="H36" s="42">
        <f t="shared" si="3"/>
        <v>10.495919003579433</v>
      </c>
      <c r="I36" s="41">
        <f t="shared" si="4"/>
        <v>0.80573951434878577</v>
      </c>
      <c r="J36" s="43">
        <f t="shared" si="9"/>
        <v>15.891297764080168</v>
      </c>
      <c r="K36" s="109">
        <f t="shared" si="5"/>
        <v>2.4631511534324262</v>
      </c>
      <c r="L36" s="90"/>
      <c r="M36" s="90"/>
      <c r="N36" s="83"/>
      <c r="O36" s="6">
        <v>4.0990000000000002</v>
      </c>
      <c r="P36" s="19">
        <v>2.8740100000000001E-2</v>
      </c>
      <c r="Q36" s="21"/>
      <c r="R36" s="115">
        <v>0.115</v>
      </c>
      <c r="S36" s="22">
        <v>0.73</v>
      </c>
      <c r="T36" s="106">
        <v>52</v>
      </c>
    </row>
    <row r="37" spans="1:20" ht="24.95" customHeight="1" x14ac:dyDescent="0.3">
      <c r="A37" s="89"/>
      <c r="B37" s="38">
        <f t="shared" si="6"/>
        <v>0.96666666666666667</v>
      </c>
      <c r="C37" s="104">
        <f t="shared" si="0"/>
        <v>0.11600000000000001</v>
      </c>
      <c r="D37" s="40">
        <f t="shared" si="1"/>
        <v>26.077844000000002</v>
      </c>
      <c r="E37" s="39">
        <f t="shared" si="7"/>
        <v>0.83</v>
      </c>
      <c r="F37" s="41">
        <f t="shared" si="8"/>
        <v>3.2677165354330712E-2</v>
      </c>
      <c r="G37" s="41">
        <f t="shared" si="2"/>
        <v>72.914702366772516</v>
      </c>
      <c r="H37" s="42">
        <f t="shared" si="3"/>
        <v>10.575407306046298</v>
      </c>
      <c r="I37" s="41">
        <f t="shared" si="4"/>
        <v>0.91611479028697562</v>
      </c>
      <c r="J37" s="43">
        <f t="shared" si="9"/>
        <v>15.909000000644809</v>
      </c>
      <c r="K37" s="109">
        <f t="shared" si="5"/>
        <v>2.4658950000999456</v>
      </c>
      <c r="L37" s="90"/>
      <c r="M37" s="90"/>
      <c r="N37" s="83"/>
      <c r="O37" s="6">
        <v>4.4050000000000002</v>
      </c>
      <c r="P37" s="19">
        <v>3.2677100000000001E-2</v>
      </c>
      <c r="Q37" s="21"/>
      <c r="R37" s="115">
        <v>0.11600000000000001</v>
      </c>
      <c r="S37" s="22">
        <v>0.83</v>
      </c>
      <c r="T37" s="106">
        <v>58</v>
      </c>
    </row>
    <row r="38" spans="1:20" ht="24.95" customHeight="1" x14ac:dyDescent="0.3">
      <c r="A38" s="89"/>
      <c r="B38" s="38">
        <f t="shared" si="6"/>
        <v>1.05</v>
      </c>
      <c r="C38" s="104">
        <f t="shared" si="0"/>
        <v>0.11700000000000001</v>
      </c>
      <c r="D38" s="40">
        <f t="shared" si="1"/>
        <v>26.302653000000003</v>
      </c>
      <c r="E38" s="39">
        <f t="shared" si="7"/>
        <v>0.92</v>
      </c>
      <c r="F38" s="41">
        <f t="shared" si="8"/>
        <v>3.6220472440944888E-2</v>
      </c>
      <c r="G38" s="41">
        <f t="shared" si="2"/>
        <v>73.469545684325709</v>
      </c>
      <c r="H38" s="42">
        <f t="shared" si="3"/>
        <v>10.655880706933923</v>
      </c>
      <c r="I38" s="41">
        <f t="shared" si="4"/>
        <v>1.0154525386313464</v>
      </c>
      <c r="J38" s="43">
        <f t="shared" si="9"/>
        <v>15.924965767817625</v>
      </c>
      <c r="K38" s="109">
        <f t="shared" si="5"/>
        <v>2.4683696940117317</v>
      </c>
      <c r="L38" s="90"/>
      <c r="M38" s="90"/>
      <c r="N38" s="83"/>
      <c r="O38" s="6">
        <v>4.83</v>
      </c>
      <c r="P38" s="19">
        <v>3.6220400000000007E-2</v>
      </c>
      <c r="Q38" s="21"/>
      <c r="R38" s="115">
        <v>0.11700000000000001</v>
      </c>
      <c r="S38" s="22">
        <v>0.92</v>
      </c>
      <c r="T38" s="106">
        <v>63</v>
      </c>
    </row>
    <row r="39" spans="1:20" ht="24.95" customHeight="1" x14ac:dyDescent="0.3">
      <c r="A39" s="89"/>
      <c r="B39" s="38">
        <f t="shared" si="6"/>
        <v>1.1333333333333333</v>
      </c>
      <c r="C39" s="104">
        <f t="shared" si="0"/>
        <v>0.11600000000000001</v>
      </c>
      <c r="D39" s="40">
        <f t="shared" si="1"/>
        <v>26.077844000000002</v>
      </c>
      <c r="E39" s="39">
        <f t="shared" si="7"/>
        <v>1</v>
      </c>
      <c r="F39" s="41">
        <f t="shared" si="8"/>
        <v>3.937007874015748E-2</v>
      </c>
      <c r="G39" s="41">
        <f t="shared" si="2"/>
        <v>72.776621722878673</v>
      </c>
      <c r="H39" s="42">
        <f t="shared" si="3"/>
        <v>10.555380356708794</v>
      </c>
      <c r="I39" s="41">
        <f t="shared" si="4"/>
        <v>1.1037527593818983</v>
      </c>
      <c r="J39" s="43">
        <f t="shared" si="9"/>
        <v>15.939184487253176</v>
      </c>
      <c r="K39" s="109">
        <f t="shared" si="5"/>
        <v>2.4705735955242423</v>
      </c>
      <c r="L39" s="90"/>
      <c r="M39" s="90"/>
      <c r="N39" s="83"/>
      <c r="O39" s="6">
        <v>5.2560000000000002</v>
      </c>
      <c r="P39" s="19">
        <v>3.9370000000000002E-2</v>
      </c>
      <c r="Q39" s="21"/>
      <c r="R39" s="115">
        <v>0.11600000000000001</v>
      </c>
      <c r="S39" s="22">
        <v>1</v>
      </c>
      <c r="T39" s="106">
        <v>68</v>
      </c>
    </row>
    <row r="40" spans="1:20" ht="24.95" customHeight="1" x14ac:dyDescent="0.3">
      <c r="A40" s="89"/>
      <c r="B40" s="38">
        <f t="shared" si="6"/>
        <v>1.2166666666666666</v>
      </c>
      <c r="C40" s="104">
        <f t="shared" si="0"/>
        <v>0.11600000000000001</v>
      </c>
      <c r="D40" s="40">
        <f t="shared" si="1"/>
        <v>26.077844000000002</v>
      </c>
      <c r="E40" s="39">
        <f t="shared" si="7"/>
        <v>1.0900000000000001</v>
      </c>
      <c r="F40" s="41">
        <f t="shared" si="8"/>
        <v>4.2913385826771656E-2</v>
      </c>
      <c r="G40" s="41">
        <f t="shared" si="2"/>
        <v>72.703520205523091</v>
      </c>
      <c r="H40" s="42">
        <f t="shared" si="3"/>
        <v>10.544777854118349</v>
      </c>
      <c r="I40" s="41">
        <f t="shared" si="4"/>
        <v>1.2030905077262692</v>
      </c>
      <c r="J40" s="43">
        <f t="shared" si="9"/>
        <v>15.955210926800184</v>
      </c>
      <c r="K40" s="109">
        <f t="shared" si="5"/>
        <v>2.4730576936540287</v>
      </c>
      <c r="L40" s="90"/>
      <c r="M40" s="90"/>
      <c r="N40" s="83"/>
      <c r="O40" s="6">
        <v>5.593</v>
      </c>
      <c r="P40" s="19">
        <v>4.2913300000000008E-2</v>
      </c>
      <c r="Q40" s="21"/>
      <c r="R40" s="115">
        <v>0.11600000000000001</v>
      </c>
      <c r="S40" s="22">
        <v>1.0900000000000001</v>
      </c>
      <c r="T40" s="106">
        <v>73</v>
      </c>
    </row>
    <row r="41" spans="1:20" ht="24.95" customHeight="1" x14ac:dyDescent="0.3">
      <c r="A41" s="89"/>
      <c r="B41" s="38">
        <f t="shared" si="6"/>
        <v>1.3166666666666667</v>
      </c>
      <c r="C41" s="104">
        <f t="shared" si="0"/>
        <v>0.115</v>
      </c>
      <c r="D41" s="40">
        <f t="shared" si="1"/>
        <v>25.853035000000002</v>
      </c>
      <c r="E41" s="39">
        <f t="shared" si="7"/>
        <v>1.19</v>
      </c>
      <c r="F41" s="41">
        <f t="shared" si="8"/>
        <v>4.6850393700787404E-2</v>
      </c>
      <c r="G41" s="41">
        <f t="shared" si="2"/>
        <v>71.996242018924804</v>
      </c>
      <c r="H41" s="42">
        <f t="shared" si="3"/>
        <v>10.442195594859657</v>
      </c>
      <c r="I41" s="41">
        <f t="shared" si="4"/>
        <v>1.313465783664459</v>
      </c>
      <c r="J41" s="43">
        <f t="shared" si="9"/>
        <v>15.973055922803765</v>
      </c>
      <c r="K41" s="109">
        <f t="shared" si="5"/>
        <v>2.4758236680345833</v>
      </c>
      <c r="L41" s="90"/>
      <c r="M41" s="90"/>
      <c r="N41" s="83"/>
      <c r="O41" s="6">
        <v>6.0650000000000004</v>
      </c>
      <c r="P41" s="19">
        <v>4.6850299999999998E-2</v>
      </c>
      <c r="Q41" s="21"/>
      <c r="R41" s="115">
        <v>0.115</v>
      </c>
      <c r="S41" s="22">
        <v>1.19</v>
      </c>
      <c r="T41" s="106">
        <v>79</v>
      </c>
    </row>
    <row r="42" spans="1:20" ht="24.95" customHeight="1" x14ac:dyDescent="0.3">
      <c r="A42" s="89"/>
      <c r="B42" s="38">
        <f t="shared" si="6"/>
        <v>1.4</v>
      </c>
      <c r="C42" s="104">
        <f t="shared" si="0"/>
        <v>0.113</v>
      </c>
      <c r="D42" s="40">
        <f t="shared" si="1"/>
        <v>25.403417000000001</v>
      </c>
      <c r="E42" s="39">
        <f t="shared" si="7"/>
        <v>1.29</v>
      </c>
      <c r="F42" s="41">
        <f t="shared" si="8"/>
        <v>5.0787401574803152E-2</v>
      </c>
      <c r="G42" s="41">
        <f t="shared" si="2"/>
        <v>70.665010172215901</v>
      </c>
      <c r="H42" s="42">
        <f t="shared" si="3"/>
        <v>10.249116304390764</v>
      </c>
      <c r="I42" s="41">
        <f t="shared" si="4"/>
        <v>1.423841059602649</v>
      </c>
      <c r="J42" s="43">
        <f t="shared" si="9"/>
        <v>15.990940880728749</v>
      </c>
      <c r="K42" s="109">
        <f t="shared" si="5"/>
        <v>2.4785958365129561</v>
      </c>
      <c r="L42" s="90"/>
      <c r="M42" s="90"/>
      <c r="N42" s="83"/>
      <c r="O42" s="6">
        <v>6.5289999999999999</v>
      </c>
      <c r="P42" s="19">
        <v>5.0787300000000007E-2</v>
      </c>
      <c r="Q42" s="21"/>
      <c r="R42" s="115">
        <v>0.113</v>
      </c>
      <c r="S42" s="22">
        <v>1.29</v>
      </c>
      <c r="T42" s="106">
        <v>84</v>
      </c>
    </row>
    <row r="43" spans="1:20" ht="24.95" customHeight="1" x14ac:dyDescent="0.3">
      <c r="A43" s="89"/>
      <c r="B43" s="38">
        <f t="shared" si="6"/>
        <v>1.4833333333333334</v>
      </c>
      <c r="C43" s="104">
        <f t="shared" si="0"/>
        <v>0.112</v>
      </c>
      <c r="D43" s="40">
        <f t="shared" si="1"/>
        <v>25.178608000000001</v>
      </c>
      <c r="E43" s="39">
        <f t="shared" si="7"/>
        <v>1.39</v>
      </c>
      <c r="F43" s="41">
        <f t="shared" si="8"/>
        <v>5.4724409448818893E-2</v>
      </c>
      <c r="G43" s="41">
        <f t="shared" si="2"/>
        <v>69.961233016142302</v>
      </c>
      <c r="H43" s="42">
        <f t="shared" si="3"/>
        <v>10.147041827823184</v>
      </c>
      <c r="I43" s="41">
        <f t="shared" si="4"/>
        <v>1.5342163355408385</v>
      </c>
      <c r="J43" s="43">
        <f t="shared" si="9"/>
        <v>16.008865934961154</v>
      </c>
      <c r="K43" s="109">
        <f t="shared" si="5"/>
        <v>2.4813742199189788</v>
      </c>
      <c r="L43" s="90"/>
      <c r="M43" s="90"/>
      <c r="N43" s="83"/>
      <c r="O43" s="6">
        <v>6.9450000000000003</v>
      </c>
      <c r="P43" s="19">
        <v>5.4724299999999997E-2</v>
      </c>
      <c r="Q43" s="21"/>
      <c r="R43" s="115">
        <v>0.112</v>
      </c>
      <c r="S43" s="22">
        <v>1.39</v>
      </c>
      <c r="T43" s="106">
        <v>89</v>
      </c>
    </row>
    <row r="44" spans="1:20" ht="24.95" customHeight="1" x14ac:dyDescent="0.3">
      <c r="A44" s="89"/>
      <c r="B44" s="38">
        <f t="shared" si="6"/>
        <v>1.5666666666666667</v>
      </c>
      <c r="C44" s="104">
        <f t="shared" si="0"/>
        <v>0.111</v>
      </c>
      <c r="D44" s="40">
        <f t="shared" si="1"/>
        <v>24.953799000000004</v>
      </c>
      <c r="E44" s="39">
        <f t="shared" si="7"/>
        <v>1.47</v>
      </c>
      <c r="F44" s="41">
        <f t="shared" si="8"/>
        <v>5.7874015748031499E-2</v>
      </c>
      <c r="G44" s="41">
        <f t="shared" si="2"/>
        <v>69.274400847808209</v>
      </c>
      <c r="H44" s="42">
        <f t="shared" si="3"/>
        <v>10.047425019480594</v>
      </c>
      <c r="I44" s="41">
        <f t="shared" si="4"/>
        <v>1.6225165562913906</v>
      </c>
      <c r="J44" s="43">
        <f t="shared" si="9"/>
        <v>16.023234938380842</v>
      </c>
      <c r="K44" s="109">
        <f t="shared" si="5"/>
        <v>2.4836014154490305</v>
      </c>
      <c r="L44" s="90"/>
      <c r="M44" s="90"/>
      <c r="N44" s="83"/>
      <c r="O44" s="6">
        <v>7.2439999999999998</v>
      </c>
      <c r="P44" s="19">
        <v>5.7873899999999999E-2</v>
      </c>
      <c r="Q44" s="21"/>
      <c r="R44" s="115">
        <v>0.111</v>
      </c>
      <c r="S44" s="22">
        <v>1.47</v>
      </c>
      <c r="T44" s="106">
        <v>94</v>
      </c>
    </row>
    <row r="45" spans="1:20" ht="24.95" customHeight="1" x14ac:dyDescent="0.3">
      <c r="A45" s="89"/>
      <c r="B45" s="38">
        <f t="shared" si="6"/>
        <v>1.65</v>
      </c>
      <c r="C45" s="104">
        <f t="shared" si="0"/>
        <v>0.108</v>
      </c>
      <c r="D45" s="40">
        <f t="shared" si="1"/>
        <v>24.279372000000002</v>
      </c>
      <c r="E45" s="39">
        <f t="shared" si="7"/>
        <v>1.58</v>
      </c>
      <c r="F45" s="41">
        <f>E45/25.4</f>
        <v>6.2204724409448825E-2</v>
      </c>
      <c r="G45" s="41">
        <f t="shared" si="2"/>
        <v>67.318935258546702</v>
      </c>
      <c r="H45" s="42">
        <f t="shared" si="3"/>
        <v>9.7638080751862102</v>
      </c>
      <c r="I45" s="41">
        <f t="shared" si="4"/>
        <v>1.7439293598233996</v>
      </c>
      <c r="J45" s="43">
        <f>$C$22/(1-I45/100)</f>
        <v>16.043034487282462</v>
      </c>
      <c r="K45" s="109">
        <f t="shared" si="5"/>
        <v>2.4866703455287817</v>
      </c>
      <c r="L45" s="90"/>
      <c r="M45" s="90"/>
      <c r="N45" s="83"/>
      <c r="O45" s="6">
        <v>7.7009999999999996</v>
      </c>
      <c r="P45" s="19">
        <v>6.2204600000000006E-2</v>
      </c>
      <c r="Q45" s="21"/>
      <c r="R45" s="115">
        <v>0.108</v>
      </c>
      <c r="S45" s="22">
        <v>1.58</v>
      </c>
      <c r="T45" s="106">
        <v>99</v>
      </c>
    </row>
    <row r="46" spans="1:20" ht="24.95" customHeight="1" x14ac:dyDescent="0.3">
      <c r="A46" s="89"/>
      <c r="B46" s="38">
        <f t="shared" si="6"/>
        <v>1.75</v>
      </c>
      <c r="C46" s="104">
        <f t="shared" si="0"/>
        <v>0.107</v>
      </c>
      <c r="D46" s="40">
        <f t="shared" si="1"/>
        <v>24.054563000000002</v>
      </c>
      <c r="E46" s="39">
        <f t="shared" si="7"/>
        <v>1.7</v>
      </c>
      <c r="F46" s="41">
        <f t="shared" si="8"/>
        <v>6.6929133858267723E-2</v>
      </c>
      <c r="G46" s="41">
        <f t="shared" si="2"/>
        <v>66.605705320056444</v>
      </c>
      <c r="H46" s="42">
        <f t="shared" si="3"/>
        <v>9.660362585352626</v>
      </c>
      <c r="I46" s="41">
        <f t="shared" si="4"/>
        <v>1.8763796909492272</v>
      </c>
      <c r="J46" s="43">
        <f t="shared" si="9"/>
        <v>16.064689876916585</v>
      </c>
      <c r="K46" s="109">
        <f t="shared" si="5"/>
        <v>2.4900269309220708</v>
      </c>
      <c r="L46" s="90"/>
      <c r="M46" s="90"/>
      <c r="N46" s="83"/>
      <c r="O46" s="6">
        <v>8.1920000000000002</v>
      </c>
      <c r="P46" s="19">
        <v>6.6929000000000002E-2</v>
      </c>
      <c r="Q46" s="21"/>
      <c r="R46" s="115">
        <v>0.107</v>
      </c>
      <c r="S46" s="22">
        <v>1.7</v>
      </c>
      <c r="T46" s="106">
        <v>105</v>
      </c>
    </row>
    <row r="47" spans="1:20" ht="24.95" customHeight="1" x14ac:dyDescent="0.3">
      <c r="A47" s="89"/>
      <c r="B47" s="38">
        <f t="shared" si="6"/>
        <v>1.8333333333333333</v>
      </c>
      <c r="C47" s="104">
        <f t="shared" si="0"/>
        <v>0.104</v>
      </c>
      <c r="D47" s="40">
        <f t="shared" si="1"/>
        <v>23.380136</v>
      </c>
      <c r="E47" s="39">
        <f t="shared" si="7"/>
        <v>1.79</v>
      </c>
      <c r="F47" s="41">
        <f t="shared" si="8"/>
        <v>7.0472440944881892E-2</v>
      </c>
      <c r="G47" s="41">
        <f t="shared" si="2"/>
        <v>64.672716346763465</v>
      </c>
      <c r="H47" s="42">
        <f t="shared" si="3"/>
        <v>9.3800056059351924</v>
      </c>
      <c r="I47" s="41">
        <f t="shared" si="4"/>
        <v>1.9757174392935981</v>
      </c>
      <c r="J47" s="43">
        <f t="shared" si="9"/>
        <v>16.080969823869886</v>
      </c>
      <c r="K47" s="109">
        <f t="shared" si="5"/>
        <v>2.4925503226998322</v>
      </c>
      <c r="L47" s="90"/>
      <c r="M47" s="90"/>
      <c r="N47" s="83"/>
      <c r="O47" s="6">
        <v>8.5820000000000007</v>
      </c>
      <c r="P47" s="19">
        <v>7.0472300000000002E-2</v>
      </c>
      <c r="Q47" s="21"/>
      <c r="R47" s="115">
        <v>0.104</v>
      </c>
      <c r="S47" s="22">
        <v>1.79</v>
      </c>
      <c r="T47" s="106">
        <v>110</v>
      </c>
    </row>
    <row r="48" spans="1:20" ht="24.95" customHeight="1" x14ac:dyDescent="0.3">
      <c r="A48" s="89"/>
      <c r="B48" s="38">
        <f t="shared" si="6"/>
        <v>1.9166666666666667</v>
      </c>
      <c r="C48" s="104">
        <f t="shared" si="0"/>
        <v>0.10299999999999999</v>
      </c>
      <c r="D48" s="40">
        <f t="shared" si="1"/>
        <v>23.155327</v>
      </c>
      <c r="E48" s="39">
        <f t="shared" si="7"/>
        <v>1.89</v>
      </c>
      <c r="F48" s="41">
        <f t="shared" si="8"/>
        <v>7.4409448818897633E-2</v>
      </c>
      <c r="G48" s="41">
        <f t="shared" si="2"/>
        <v>63.978742076158994</v>
      </c>
      <c r="H48" s="42">
        <f t="shared" si="3"/>
        <v>9.2793529209027277</v>
      </c>
      <c r="I48" s="41">
        <f t="shared" si="4"/>
        <v>2.0860927152317879</v>
      </c>
      <c r="J48" s="43">
        <f t="shared" si="9"/>
        <v>16.099097396661985</v>
      </c>
      <c r="K48" s="109">
        <f t="shared" si="5"/>
        <v>2.4953600964826079</v>
      </c>
      <c r="L48" s="90"/>
      <c r="M48" s="90"/>
      <c r="N48" s="83"/>
      <c r="O48" s="6">
        <v>9.0809999999999995</v>
      </c>
      <c r="P48" s="19">
        <v>7.4409299999999998E-2</v>
      </c>
      <c r="Q48" s="21"/>
      <c r="R48" s="115">
        <v>0.10299999999999999</v>
      </c>
      <c r="S48" s="22">
        <v>1.89</v>
      </c>
      <c r="T48" s="106">
        <v>115</v>
      </c>
    </row>
    <row r="49" spans="1:20" ht="24.95" customHeight="1" x14ac:dyDescent="0.3">
      <c r="A49" s="89"/>
      <c r="B49" s="38">
        <f t="shared" si="6"/>
        <v>2</v>
      </c>
      <c r="C49" s="104">
        <f t="shared" si="0"/>
        <v>0.1</v>
      </c>
      <c r="D49" s="40">
        <f t="shared" si="1"/>
        <v>22.480900000000002</v>
      </c>
      <c r="E49" s="39">
        <f t="shared" si="7"/>
        <v>1.99</v>
      </c>
      <c r="F49" s="41">
        <f t="shared" si="8"/>
        <v>7.8346456692913388E-2</v>
      </c>
      <c r="G49" s="41">
        <f t="shared" si="2"/>
        <v>62.045262958592573</v>
      </c>
      <c r="H49" s="42">
        <f t="shared" si="3"/>
        <v>8.9989248519085407</v>
      </c>
      <c r="I49" s="41">
        <f t="shared" si="4"/>
        <v>2.1964679911699774</v>
      </c>
      <c r="J49" s="43">
        <f t="shared" si="9"/>
        <v>16.117265884864967</v>
      </c>
      <c r="K49" s="109">
        <f t="shared" si="5"/>
        <v>2.4981762121540698</v>
      </c>
      <c r="L49" s="90"/>
      <c r="M49" s="90"/>
      <c r="N49" s="83"/>
      <c r="O49" s="6">
        <v>9.5820000000000007</v>
      </c>
      <c r="P49" s="19">
        <v>7.8346300000000008E-2</v>
      </c>
      <c r="Q49" s="21"/>
      <c r="R49" s="115">
        <v>0.1</v>
      </c>
      <c r="S49" s="22">
        <v>1.99</v>
      </c>
      <c r="T49" s="106">
        <v>120</v>
      </c>
    </row>
    <row r="50" spans="1:20" ht="24.95" customHeight="1" x14ac:dyDescent="0.3">
      <c r="A50" s="89"/>
      <c r="B50" s="38">
        <f t="shared" si="6"/>
        <v>2.1</v>
      </c>
      <c r="C50" s="104">
        <f t="shared" si="0"/>
        <v>9.8000000000000004E-2</v>
      </c>
      <c r="D50" s="40">
        <f t="shared" si="1"/>
        <v>22.031282000000004</v>
      </c>
      <c r="E50" s="39">
        <f t="shared" si="7"/>
        <v>2.1</v>
      </c>
      <c r="F50" s="41">
        <f>E50/25.4</f>
        <v>8.2677165354330714E-2</v>
      </c>
      <c r="G50" s="41">
        <f t="shared" si="2"/>
        <v>60.728875481308371</v>
      </c>
      <c r="H50" s="42">
        <f t="shared" si="3"/>
        <v>8.8079985600499704</v>
      </c>
      <c r="I50" s="41">
        <f t="shared" si="4"/>
        <v>2.3178807947019866</v>
      </c>
      <c r="J50" s="43">
        <f t="shared" si="9"/>
        <v>16.137298644721859</v>
      </c>
      <c r="K50" s="109">
        <f t="shared" si="5"/>
        <v>2.5012812899318884</v>
      </c>
      <c r="L50" s="90"/>
      <c r="M50" s="90"/>
      <c r="N50" s="83"/>
      <c r="O50" s="6">
        <v>10.092000000000001</v>
      </c>
      <c r="P50" s="19">
        <v>8.2677000000000014E-2</v>
      </c>
      <c r="Q50" s="21"/>
      <c r="R50" s="115">
        <v>9.8000000000000004E-2</v>
      </c>
      <c r="S50" s="22">
        <v>2.1</v>
      </c>
      <c r="T50" s="106">
        <v>126</v>
      </c>
    </row>
    <row r="51" spans="1:20" ht="24.95" customHeight="1" x14ac:dyDescent="0.3">
      <c r="A51" s="89"/>
      <c r="B51" s="38">
        <f t="shared" si="6"/>
        <v>2.1833333333333331</v>
      </c>
      <c r="C51" s="104">
        <f t="shared" si="0"/>
        <v>9.5000000000000001E-2</v>
      </c>
      <c r="D51" s="40">
        <f t="shared" si="1"/>
        <v>21.356854999999999</v>
      </c>
      <c r="E51" s="39">
        <f t="shared" si="7"/>
        <v>2.1800000000000002</v>
      </c>
      <c r="F51" s="41">
        <f t="shared" si="8"/>
        <v>8.5826771653543313E-2</v>
      </c>
      <c r="G51" s="41">
        <f t="shared" si="2"/>
        <v>58.816612608721556</v>
      </c>
      <c r="H51" s="42">
        <f t="shared" si="3"/>
        <v>8.5306476541639267</v>
      </c>
      <c r="I51" s="41">
        <f t="shared" si="4"/>
        <v>2.4061810154525385</v>
      </c>
      <c r="J51" s="43">
        <f t="shared" si="9"/>
        <v>16.151899231597881</v>
      </c>
      <c r="K51" s="109">
        <f t="shared" si="5"/>
        <v>2.5035443808976714</v>
      </c>
      <c r="L51" s="90"/>
      <c r="M51" s="90"/>
      <c r="N51" s="83"/>
      <c r="O51" s="6">
        <v>10.505000000000001</v>
      </c>
      <c r="P51" s="19">
        <v>8.5826600000000017E-2</v>
      </c>
      <c r="Q51" s="21"/>
      <c r="R51" s="115">
        <v>9.5000000000000001E-2</v>
      </c>
      <c r="S51" s="22">
        <v>2.1800000000000002</v>
      </c>
      <c r="T51" s="106">
        <v>131</v>
      </c>
    </row>
    <row r="52" spans="1:20" ht="24.95" customHeight="1" x14ac:dyDescent="0.3">
      <c r="A52" s="89"/>
      <c r="B52" s="38">
        <f t="shared" si="6"/>
        <v>2.2666666666666666</v>
      </c>
      <c r="C52" s="104">
        <f t="shared" si="0"/>
        <v>9.2999999999999999E-2</v>
      </c>
      <c r="D52" s="40">
        <f t="shared" si="1"/>
        <v>20.907237000000002</v>
      </c>
      <c r="E52" s="39">
        <f t="shared" si="7"/>
        <v>2.27</v>
      </c>
      <c r="F52" s="41">
        <f t="shared" si="8"/>
        <v>8.9370078740157483E-2</v>
      </c>
      <c r="G52" s="41">
        <f t="shared" si="2"/>
        <v>57.519760881765123</v>
      </c>
      <c r="H52" s="42">
        <f t="shared" si="3"/>
        <v>8.3425547897217651</v>
      </c>
      <c r="I52" s="41">
        <f t="shared" si="4"/>
        <v>2.5055187637969092</v>
      </c>
      <c r="J52" s="43">
        <f t="shared" si="9"/>
        <v>16.168356504674342</v>
      </c>
      <c r="K52" s="109">
        <f t="shared" si="5"/>
        <v>2.5060952582245233</v>
      </c>
      <c r="L52" s="90"/>
      <c r="M52" s="90"/>
      <c r="N52" s="83"/>
      <c r="O52" s="6">
        <v>11.025</v>
      </c>
      <c r="P52" s="19">
        <v>8.9369900000000002E-2</v>
      </c>
      <c r="Q52" s="21"/>
      <c r="R52" s="115">
        <v>9.2999999999999999E-2</v>
      </c>
      <c r="S52" s="22">
        <v>2.27</v>
      </c>
      <c r="T52" s="106">
        <v>136</v>
      </c>
    </row>
    <row r="53" spans="1:20" ht="24.95" customHeight="1" x14ac:dyDescent="0.3">
      <c r="A53" s="89"/>
      <c r="B53" s="38">
        <f t="shared" si="6"/>
        <v>2.35</v>
      </c>
      <c r="C53" s="104">
        <f t="shared" si="0"/>
        <v>0.09</v>
      </c>
      <c r="D53" s="40">
        <f t="shared" si="1"/>
        <v>20.232810000000001</v>
      </c>
      <c r="E53" s="39">
        <f t="shared" si="7"/>
        <v>2.35</v>
      </c>
      <c r="F53" s="41">
        <f t="shared" si="8"/>
        <v>9.2519685039370081E-2</v>
      </c>
      <c r="G53" s="41">
        <f t="shared" si="2"/>
        <v>55.613869884733276</v>
      </c>
      <c r="H53" s="42">
        <f t="shared" si="3"/>
        <v>8.0661280483335513</v>
      </c>
      <c r="I53" s="41">
        <f t="shared" si="4"/>
        <v>2.5938189845474611</v>
      </c>
      <c r="J53" s="43">
        <f t="shared" si="9"/>
        <v>16.18301337176073</v>
      </c>
      <c r="K53" s="109">
        <f t="shared" si="5"/>
        <v>2.5083670726229133</v>
      </c>
      <c r="L53" s="90"/>
      <c r="M53" s="90"/>
      <c r="N53" s="83"/>
      <c r="O53" s="6">
        <v>11.539</v>
      </c>
      <c r="P53" s="19">
        <v>9.2519500000000005E-2</v>
      </c>
      <c r="Q53" s="21"/>
      <c r="R53" s="115">
        <v>0.09</v>
      </c>
      <c r="S53" s="22">
        <v>2.35</v>
      </c>
      <c r="T53" s="106">
        <v>141</v>
      </c>
    </row>
    <row r="54" spans="1:20" ht="24.95" customHeight="1" x14ac:dyDescent="0.3">
      <c r="A54" s="89"/>
      <c r="B54" s="38">
        <f t="shared" si="6"/>
        <v>2.4500000000000002</v>
      </c>
      <c r="C54" s="104">
        <f t="shared" si="0"/>
        <v>8.5999999999999993E-2</v>
      </c>
      <c r="D54" s="40">
        <f t="shared" si="1"/>
        <v>19.333573999999999</v>
      </c>
      <c r="E54" s="39">
        <f t="shared" si="7"/>
        <v>2.46</v>
      </c>
      <c r="F54" s="41">
        <f t="shared" si="8"/>
        <v>9.6850393700787407E-2</v>
      </c>
      <c r="G54" s="41">
        <f t="shared" si="2"/>
        <v>53.075902836773501</v>
      </c>
      <c r="H54" s="42">
        <f t="shared" si="3"/>
        <v>7.6980262198917515</v>
      </c>
      <c r="I54" s="41">
        <f t="shared" si="4"/>
        <v>2.7152317880794699</v>
      </c>
      <c r="J54" s="43">
        <f t="shared" si="9"/>
        <v>16.203210007464087</v>
      </c>
      <c r="K54" s="109">
        <f t="shared" si="5"/>
        <v>2.5114975511569333</v>
      </c>
      <c r="L54" s="90"/>
      <c r="M54" s="90"/>
      <c r="N54" s="83"/>
      <c r="O54" s="6">
        <v>12.015000000000001</v>
      </c>
      <c r="P54" s="19">
        <v>9.6850199999999997E-2</v>
      </c>
      <c r="Q54" s="21"/>
      <c r="R54" s="115">
        <v>8.5999999999999993E-2</v>
      </c>
      <c r="S54" s="22">
        <v>2.46</v>
      </c>
      <c r="T54" s="106">
        <v>147</v>
      </c>
    </row>
    <row r="55" spans="1:20" ht="24.95" customHeight="1" x14ac:dyDescent="0.3">
      <c r="A55" s="89"/>
      <c r="B55" s="38">
        <f t="shared" si="6"/>
        <v>2.5333333333333332</v>
      </c>
      <c r="C55" s="104">
        <f t="shared" si="0"/>
        <v>8.2000000000000003E-2</v>
      </c>
      <c r="D55" s="40">
        <f t="shared" si="1"/>
        <v>18.434338</v>
      </c>
      <c r="E55" s="39">
        <f t="shared" si="7"/>
        <v>2.5299999999999998</v>
      </c>
      <c r="F55" s="41">
        <f t="shared" si="8"/>
        <v>9.960629921259842E-2</v>
      </c>
      <c r="G55" s="41">
        <f t="shared" si="2"/>
        <v>50.567064362779192</v>
      </c>
      <c r="H55" s="42">
        <f t="shared" si="3"/>
        <v>7.3341491434400172</v>
      </c>
      <c r="I55" s="41">
        <f t="shared" si="4"/>
        <v>2.7924944812362025</v>
      </c>
      <c r="J55" s="43">
        <f t="shared" si="9"/>
        <v>16.216088680116776</v>
      </c>
      <c r="K55" s="109">
        <f t="shared" si="5"/>
        <v>2.5134937454181001</v>
      </c>
      <c r="L55" s="90"/>
      <c r="M55" s="90"/>
      <c r="N55" s="83"/>
      <c r="O55" s="6">
        <v>12.36</v>
      </c>
      <c r="P55" s="19">
        <v>9.9606100000000003E-2</v>
      </c>
      <c r="Q55" s="21"/>
      <c r="R55" s="115">
        <v>8.2000000000000003E-2</v>
      </c>
      <c r="S55" s="22">
        <v>2.5299999999999998</v>
      </c>
      <c r="T55" s="106">
        <v>152</v>
      </c>
    </row>
    <row r="56" spans="1:20" ht="24.95" customHeight="1" x14ac:dyDescent="0.3">
      <c r="A56" s="89"/>
      <c r="B56" s="38">
        <f t="shared" si="6"/>
        <v>2.6166666666666667</v>
      </c>
      <c r="C56" s="104">
        <f t="shared" si="0"/>
        <v>7.9000000000000001E-2</v>
      </c>
      <c r="D56" s="40">
        <f t="shared" si="1"/>
        <v>17.759910999999999</v>
      </c>
      <c r="E56" s="39">
        <f t="shared" si="7"/>
        <v>2.61</v>
      </c>
      <c r="F56" s="41">
        <f t="shared" si="8"/>
        <v>0.10275590551181102</v>
      </c>
      <c r="G56" s="41">
        <f t="shared" si="2"/>
        <v>48.672796787089304</v>
      </c>
      <c r="H56" s="42">
        <f t="shared" si="3"/>
        <v>7.0594082405862952</v>
      </c>
      <c r="I56" s="41">
        <f t="shared" si="4"/>
        <v>2.8807947019867544</v>
      </c>
      <c r="J56" s="43">
        <f t="shared" si="9"/>
        <v>16.230832254323044</v>
      </c>
      <c r="K56" s="109">
        <f t="shared" si="5"/>
        <v>2.5157789994200717</v>
      </c>
      <c r="L56" s="90"/>
      <c r="M56" s="90"/>
      <c r="N56" s="83"/>
      <c r="O56" s="6">
        <v>12.875999999999999</v>
      </c>
      <c r="P56" s="19">
        <v>0.10275570000000001</v>
      </c>
      <c r="Q56" s="21"/>
      <c r="R56" s="115">
        <v>7.9000000000000001E-2</v>
      </c>
      <c r="S56" s="22">
        <v>2.61</v>
      </c>
      <c r="T56" s="106">
        <v>157</v>
      </c>
    </row>
    <row r="57" spans="1:20" ht="24.95" customHeight="1" x14ac:dyDescent="0.3">
      <c r="A57" s="89"/>
      <c r="B57" s="38">
        <f t="shared" si="6"/>
        <v>2.7</v>
      </c>
      <c r="C57" s="104">
        <f t="shared" si="0"/>
        <v>7.5999999999999998E-2</v>
      </c>
      <c r="D57" s="40">
        <f t="shared" si="1"/>
        <v>17.085484000000001</v>
      </c>
      <c r="E57" s="39">
        <f t="shared" si="7"/>
        <v>2.67</v>
      </c>
      <c r="F57" s="41">
        <f t="shared" si="8"/>
        <v>0.10511811023622047</v>
      </c>
      <c r="G57" s="41">
        <f t="shared" si="2"/>
        <v>46.792533333498184</v>
      </c>
      <c r="H57" s="42">
        <f t="shared" si="3"/>
        <v>6.7866984684970282</v>
      </c>
      <c r="I57" s="41">
        <f t="shared" si="4"/>
        <v>2.9470198675496686</v>
      </c>
      <c r="J57" s="43">
        <f t="shared" si="9"/>
        <v>16.241907540747011</v>
      </c>
      <c r="K57" s="109">
        <f t="shared" si="5"/>
        <v>2.5174956688157866</v>
      </c>
      <c r="L57" s="90"/>
      <c r="M57" s="90"/>
      <c r="N57" s="83"/>
      <c r="O57" s="6"/>
      <c r="P57" s="19">
        <v>0.1051179</v>
      </c>
      <c r="Q57" s="21"/>
      <c r="R57" s="115">
        <v>7.5999999999999998E-2</v>
      </c>
      <c r="S57" s="22">
        <v>2.67</v>
      </c>
      <c r="T57" s="106">
        <v>162</v>
      </c>
    </row>
    <row r="58" spans="1:20" ht="24.95" customHeight="1" x14ac:dyDescent="0.3">
      <c r="A58" s="89"/>
      <c r="B58" s="38">
        <f t="shared" si="6"/>
        <v>2.8</v>
      </c>
      <c r="C58" s="104">
        <f t="shared" si="0"/>
        <v>7.1999999999999995E-2</v>
      </c>
      <c r="D58" s="40">
        <f t="shared" si="1"/>
        <v>16.186247999999999</v>
      </c>
      <c r="E58" s="39">
        <f t="shared" si="7"/>
        <v>2.75</v>
      </c>
      <c r="F58" s="41">
        <f t="shared" si="8"/>
        <v>0.10826771653543307</v>
      </c>
      <c r="G58" s="41">
        <f t="shared" si="2"/>
        <v>44.289436549564357</v>
      </c>
      <c r="H58" s="42">
        <f t="shared" si="3"/>
        <v>6.4236541556587179</v>
      </c>
      <c r="I58" s="41">
        <f t="shared" si="4"/>
        <v>3.0353200883002205</v>
      </c>
      <c r="J58" s="43">
        <f t="shared" si="9"/>
        <v>16.256698122457422</v>
      </c>
      <c r="K58" s="109">
        <f t="shared" si="5"/>
        <v>2.5197882089809003</v>
      </c>
      <c r="L58" s="90"/>
      <c r="M58" s="90"/>
      <c r="N58" s="83"/>
      <c r="O58" s="6"/>
      <c r="P58" s="19">
        <v>0.1082675</v>
      </c>
      <c r="Q58" s="21"/>
      <c r="R58" s="115">
        <v>7.1999999999999995E-2</v>
      </c>
      <c r="S58" s="22">
        <v>2.75</v>
      </c>
      <c r="T58" s="106">
        <v>168</v>
      </c>
    </row>
    <row r="59" spans="1:20" ht="24.95" customHeight="1" thickBot="1" x14ac:dyDescent="0.35">
      <c r="A59" s="89"/>
      <c r="B59" s="44" t="s">
        <v>1</v>
      </c>
      <c r="C59" s="105" t="s">
        <v>1</v>
      </c>
      <c r="D59" s="45" t="s">
        <v>1</v>
      </c>
      <c r="E59" s="46" t="s">
        <v>1</v>
      </c>
      <c r="F59" s="47" t="s">
        <v>1</v>
      </c>
      <c r="G59" s="47" t="s">
        <v>1</v>
      </c>
      <c r="H59" s="48" t="s">
        <v>1</v>
      </c>
      <c r="I59" s="47" t="s">
        <v>1</v>
      </c>
      <c r="J59" s="49" t="s">
        <v>1</v>
      </c>
      <c r="K59" s="110" t="s">
        <v>1</v>
      </c>
      <c r="L59" s="90"/>
      <c r="M59" s="90"/>
      <c r="N59" s="83"/>
      <c r="O59" s="6"/>
      <c r="P59" s="21"/>
      <c r="Q59" s="21"/>
      <c r="R59" s="116"/>
      <c r="S59" s="22"/>
      <c r="T59" s="107"/>
    </row>
    <row r="60" spans="1:20" ht="9.75" customHeight="1" x14ac:dyDescent="0.2">
      <c r="A60" s="58"/>
      <c r="B60" s="91"/>
      <c r="C60" s="91"/>
      <c r="D60" s="91"/>
      <c r="E60" s="91"/>
      <c r="F60" s="91"/>
      <c r="G60" s="25"/>
      <c r="H60" s="25"/>
      <c r="I60" s="25"/>
      <c r="J60" s="25"/>
      <c r="K60" s="25"/>
      <c r="L60" s="25"/>
      <c r="M60" s="25"/>
      <c r="N60" s="62"/>
      <c r="S60" s="24">
        <f t="shared" ref="S60:S68" si="10">B60/25.4</f>
        <v>0</v>
      </c>
    </row>
    <row r="61" spans="1:20" ht="24.95" customHeight="1" x14ac:dyDescent="0.2">
      <c r="A61" s="58"/>
      <c r="B61" s="91"/>
      <c r="C61" s="91"/>
      <c r="D61" s="91"/>
      <c r="E61" s="91"/>
      <c r="F61" s="91"/>
      <c r="G61" s="25"/>
      <c r="H61" s="25"/>
      <c r="I61" s="59"/>
      <c r="J61" s="59"/>
      <c r="K61" s="59"/>
      <c r="L61" s="59"/>
      <c r="M61" s="59"/>
      <c r="N61" s="62"/>
      <c r="S61" s="24">
        <f t="shared" si="10"/>
        <v>0</v>
      </c>
    </row>
    <row r="62" spans="1:20" ht="24.95" customHeight="1" x14ac:dyDescent="0.3">
      <c r="A62" s="58"/>
      <c r="B62" s="91"/>
      <c r="C62" s="91"/>
      <c r="D62" s="91"/>
      <c r="E62" s="91"/>
      <c r="F62" s="91"/>
      <c r="G62" s="25"/>
      <c r="H62" s="200" t="s">
        <v>75</v>
      </c>
      <c r="I62" s="200"/>
      <c r="J62" s="200"/>
      <c r="K62" s="200"/>
      <c r="L62" s="217">
        <f>MAX(G26:G59)</f>
        <v>73.469545684325709</v>
      </c>
      <c r="M62" s="217"/>
      <c r="N62" s="218"/>
      <c r="S62" s="24">
        <f t="shared" si="10"/>
        <v>0</v>
      </c>
    </row>
    <row r="63" spans="1:20" ht="24.95" customHeight="1" x14ac:dyDescent="0.3">
      <c r="A63" s="58"/>
      <c r="B63" s="25"/>
      <c r="C63" s="25"/>
      <c r="D63" s="25"/>
      <c r="E63" s="25"/>
      <c r="F63" s="25"/>
      <c r="G63" s="25"/>
      <c r="H63" s="25"/>
      <c r="I63" s="216" t="s">
        <v>76</v>
      </c>
      <c r="J63" s="216"/>
      <c r="K63" s="216"/>
      <c r="L63" s="217">
        <f>L62*0.5</f>
        <v>36.734772842162855</v>
      </c>
      <c r="M63" s="217"/>
      <c r="N63" s="218"/>
      <c r="S63" s="24">
        <f t="shared" si="10"/>
        <v>0</v>
      </c>
    </row>
    <row r="64" spans="1:20" ht="24.95" customHeight="1" x14ac:dyDescent="0.3">
      <c r="A64" s="58"/>
      <c r="B64" s="25"/>
      <c r="C64" s="25"/>
      <c r="D64" s="25"/>
      <c r="E64" s="25"/>
      <c r="F64" s="25"/>
      <c r="G64" s="25"/>
      <c r="H64" s="25"/>
      <c r="I64" s="216" t="s">
        <v>85</v>
      </c>
      <c r="J64" s="216"/>
      <c r="K64" s="216"/>
      <c r="L64" s="217">
        <f>IF((C18)*10="","",(G28-G27)/(I28-I27))*100</f>
        <v>22144.446994931244</v>
      </c>
      <c r="M64" s="217"/>
      <c r="N64" s="218"/>
      <c r="P64" s="23">
        <f>SLOPE(G26:G28,E26:E28)</f>
        <v>265.1857413575641</v>
      </c>
      <c r="S64" s="24">
        <f t="shared" si="10"/>
        <v>0</v>
      </c>
    </row>
    <row r="65" spans="1:19" ht="24.95" customHeight="1" x14ac:dyDescent="0.3">
      <c r="A65" s="58"/>
      <c r="B65" s="25"/>
      <c r="C65" s="25"/>
      <c r="D65" s="25"/>
      <c r="E65" s="25"/>
      <c r="F65" s="25"/>
      <c r="G65" s="25"/>
      <c r="H65" s="25"/>
      <c r="I65" s="213"/>
      <c r="J65" s="213"/>
      <c r="K65" s="213"/>
      <c r="L65" s="122"/>
      <c r="M65" s="122"/>
      <c r="N65" s="83"/>
      <c r="S65" s="24">
        <f t="shared" si="10"/>
        <v>0</v>
      </c>
    </row>
    <row r="66" spans="1:19" ht="24.95" customHeight="1" x14ac:dyDescent="0.2">
      <c r="A66" s="58"/>
      <c r="B66" s="25"/>
      <c r="C66" s="25"/>
      <c r="D66" s="25"/>
      <c r="E66" s="25"/>
      <c r="F66" s="25"/>
      <c r="G66" s="25"/>
      <c r="H66" s="25"/>
      <c r="I66" s="214" t="s">
        <v>72</v>
      </c>
      <c r="J66" s="214"/>
      <c r="K66" s="214" t="s">
        <v>73</v>
      </c>
      <c r="L66" s="214"/>
      <c r="M66" s="214"/>
      <c r="N66" s="215"/>
      <c r="S66" s="24">
        <f t="shared" si="10"/>
        <v>0</v>
      </c>
    </row>
    <row r="67" spans="1:19" ht="24.95" customHeight="1" x14ac:dyDescent="0.2">
      <c r="A67" s="58"/>
      <c r="B67" s="25"/>
      <c r="C67" s="25"/>
      <c r="D67" s="25"/>
      <c r="E67" s="25"/>
      <c r="F67" s="25"/>
      <c r="G67" s="25"/>
      <c r="H67" s="25"/>
      <c r="I67" s="27"/>
      <c r="J67" s="27"/>
      <c r="K67" s="27"/>
      <c r="L67" s="27"/>
      <c r="M67" s="27"/>
      <c r="N67" s="28"/>
      <c r="S67" s="24">
        <f t="shared" si="10"/>
        <v>0</v>
      </c>
    </row>
    <row r="68" spans="1:19" ht="24.95" customHeight="1" x14ac:dyDescent="0.2">
      <c r="A68" s="58"/>
      <c r="B68" s="25"/>
      <c r="C68" s="25"/>
      <c r="D68" s="25"/>
      <c r="E68" s="25"/>
      <c r="F68" s="25"/>
      <c r="G68" s="25"/>
      <c r="H68" s="25"/>
      <c r="I68" s="27"/>
      <c r="J68" s="27"/>
      <c r="K68" s="27"/>
      <c r="L68" s="27"/>
      <c r="M68" s="27"/>
      <c r="N68" s="28"/>
      <c r="S68" s="24">
        <f t="shared" si="10"/>
        <v>0</v>
      </c>
    </row>
    <row r="69" spans="1:19" ht="24.95" customHeight="1" x14ac:dyDescent="0.2">
      <c r="A69" s="58"/>
      <c r="B69" s="25"/>
      <c r="C69" s="25"/>
      <c r="D69" s="25"/>
      <c r="E69" s="25"/>
      <c r="F69" s="25"/>
      <c r="G69" s="25"/>
      <c r="H69" s="25"/>
      <c r="I69" s="27"/>
      <c r="J69" s="27"/>
      <c r="K69" s="27"/>
      <c r="L69" s="27"/>
      <c r="M69" s="27"/>
      <c r="N69" s="28"/>
      <c r="S69" s="24"/>
    </row>
    <row r="70" spans="1:19" ht="24.95" customHeight="1" x14ac:dyDescent="0.2">
      <c r="A70" s="58"/>
      <c r="B70" s="25"/>
      <c r="C70" s="25"/>
      <c r="D70" s="25"/>
      <c r="E70" s="25"/>
      <c r="F70" s="25"/>
      <c r="G70" s="25"/>
      <c r="H70" s="25"/>
      <c r="I70" s="92"/>
      <c r="J70" s="92"/>
      <c r="K70" s="92"/>
      <c r="L70" s="29"/>
      <c r="M70" s="29"/>
      <c r="N70" s="30"/>
      <c r="S70" s="24"/>
    </row>
    <row r="71" spans="1:19" ht="24.95" customHeight="1" x14ac:dyDescent="0.2">
      <c r="A71" s="58"/>
      <c r="B71" s="25"/>
      <c r="C71" s="25"/>
      <c r="D71" s="25"/>
      <c r="E71" s="25"/>
      <c r="F71" s="25"/>
      <c r="G71" s="25"/>
      <c r="H71" s="25"/>
      <c r="I71" s="214" t="s">
        <v>62</v>
      </c>
      <c r="J71" s="214"/>
      <c r="K71" s="214" t="s">
        <v>88</v>
      </c>
      <c r="L71" s="214"/>
      <c r="M71" s="214"/>
      <c r="N71" s="215"/>
      <c r="S71" s="24">
        <f>B71/25.4</f>
        <v>0</v>
      </c>
    </row>
    <row r="72" spans="1:19" ht="24.95" customHeight="1" x14ac:dyDescent="0.2">
      <c r="A72" s="58"/>
      <c r="B72" s="25"/>
      <c r="C72" s="25"/>
      <c r="D72" s="25"/>
      <c r="E72" s="25"/>
      <c r="F72" s="25"/>
      <c r="G72" s="25"/>
      <c r="H72" s="25"/>
      <c r="I72" s="231" t="s">
        <v>39</v>
      </c>
      <c r="J72" s="231"/>
      <c r="K72" s="231" t="s">
        <v>74</v>
      </c>
      <c r="L72" s="231"/>
      <c r="M72" s="231"/>
      <c r="N72" s="232"/>
      <c r="S72" s="24"/>
    </row>
    <row r="73" spans="1:19" ht="24.95" customHeight="1" x14ac:dyDescent="0.3">
      <c r="A73" s="58"/>
      <c r="B73" s="25"/>
      <c r="C73" s="25"/>
      <c r="D73" s="25"/>
      <c r="E73" s="25"/>
      <c r="F73" s="25"/>
      <c r="G73" s="25"/>
      <c r="H73" s="25"/>
      <c r="I73" s="214"/>
      <c r="J73" s="214"/>
      <c r="K73" s="214"/>
      <c r="L73" s="123"/>
      <c r="M73" s="123"/>
      <c r="N73" s="83"/>
      <c r="S73" s="24">
        <f t="shared" ref="S73:S79" si="11">B73/25.4</f>
        <v>0</v>
      </c>
    </row>
    <row r="74" spans="1:19" ht="24.95" customHeight="1" x14ac:dyDescent="0.2">
      <c r="A74" s="58"/>
      <c r="B74" s="25"/>
      <c r="C74" s="25"/>
      <c r="D74" s="25"/>
      <c r="E74" s="25"/>
      <c r="F74" s="25"/>
      <c r="G74" s="25"/>
      <c r="H74" s="25"/>
      <c r="I74" s="233"/>
      <c r="J74" s="233"/>
      <c r="K74" s="233"/>
      <c r="L74" s="124"/>
      <c r="M74" s="124"/>
      <c r="N74" s="62"/>
      <c r="S74" s="24">
        <f t="shared" si="11"/>
        <v>0</v>
      </c>
    </row>
    <row r="75" spans="1:19" ht="24.95" customHeight="1" x14ac:dyDescent="0.2">
      <c r="A75" s="58"/>
      <c r="B75" s="25"/>
      <c r="C75" s="25"/>
      <c r="D75" s="25"/>
      <c r="E75" s="25"/>
      <c r="F75" s="25"/>
      <c r="G75" s="25"/>
      <c r="H75" s="25"/>
      <c r="I75" s="234"/>
      <c r="J75" s="234"/>
      <c r="K75" s="234"/>
      <c r="L75" s="125"/>
      <c r="M75" s="125"/>
      <c r="N75" s="62"/>
      <c r="S75" s="24">
        <f t="shared" si="11"/>
        <v>0</v>
      </c>
    </row>
    <row r="76" spans="1:19" ht="24.95" customHeight="1" x14ac:dyDescent="0.2">
      <c r="A76" s="58"/>
      <c r="B76" s="25"/>
      <c r="C76" s="25"/>
      <c r="D76" s="25"/>
      <c r="E76" s="25"/>
      <c r="F76" s="25"/>
      <c r="G76" s="25"/>
      <c r="H76" s="25"/>
      <c r="I76" s="25"/>
      <c r="J76" s="93"/>
      <c r="K76" s="93"/>
      <c r="L76" s="93"/>
      <c r="M76" s="93"/>
      <c r="N76" s="62"/>
      <c r="S76" s="24">
        <f t="shared" si="11"/>
        <v>0</v>
      </c>
    </row>
    <row r="77" spans="1:19" ht="17.25" customHeight="1" x14ac:dyDescent="0.25">
      <c r="A77" s="235" t="s">
        <v>68</v>
      </c>
      <c r="B77" s="236"/>
      <c r="C77" s="236"/>
      <c r="D77" s="236"/>
      <c r="E77" s="236"/>
      <c r="F77" s="236"/>
      <c r="G77" s="236"/>
      <c r="H77" s="236"/>
      <c r="I77" s="236"/>
      <c r="J77" s="236"/>
      <c r="K77" s="236"/>
      <c r="L77" s="236"/>
      <c r="M77" s="236"/>
      <c r="N77" s="237"/>
      <c r="S77" s="24">
        <f t="shared" si="11"/>
        <v>0</v>
      </c>
    </row>
    <row r="78" spans="1:19" ht="7.5" customHeight="1" x14ac:dyDescent="0.2">
      <c r="A78" s="219" t="s">
        <v>67</v>
      </c>
      <c r="B78" s="220"/>
      <c r="C78" s="220"/>
      <c r="D78" s="220"/>
      <c r="E78" s="220"/>
      <c r="F78" s="220"/>
      <c r="G78" s="220"/>
      <c r="H78" s="220"/>
      <c r="I78" s="220"/>
      <c r="J78" s="220"/>
      <c r="K78" s="220"/>
      <c r="L78" s="220"/>
      <c r="M78" s="220"/>
      <c r="N78" s="221"/>
      <c r="S78" s="24">
        <f t="shared" si="11"/>
        <v>0</v>
      </c>
    </row>
    <row r="79" spans="1:19" ht="13.5" customHeight="1" x14ac:dyDescent="0.2">
      <c r="A79" s="222"/>
      <c r="B79" s="220"/>
      <c r="C79" s="220"/>
      <c r="D79" s="220"/>
      <c r="E79" s="220"/>
      <c r="F79" s="220"/>
      <c r="G79" s="220"/>
      <c r="H79" s="220"/>
      <c r="I79" s="220"/>
      <c r="J79" s="220"/>
      <c r="K79" s="220"/>
      <c r="L79" s="220"/>
      <c r="M79" s="220"/>
      <c r="N79" s="221"/>
      <c r="S79" s="24">
        <f t="shared" si="11"/>
        <v>0</v>
      </c>
    </row>
    <row r="80" spans="1:19" ht="7.5" customHeight="1" x14ac:dyDescent="0.2">
      <c r="A80" s="222"/>
      <c r="B80" s="220"/>
      <c r="C80" s="220"/>
      <c r="D80" s="220"/>
      <c r="E80" s="220"/>
      <c r="F80" s="220"/>
      <c r="G80" s="220"/>
      <c r="H80" s="220"/>
      <c r="I80" s="220"/>
      <c r="J80" s="220"/>
      <c r="K80" s="220"/>
      <c r="L80" s="220"/>
      <c r="M80" s="220"/>
      <c r="N80" s="221"/>
    </row>
    <row r="81" spans="1:14" ht="7.5" customHeight="1" x14ac:dyDescent="0.2">
      <c r="A81" s="222"/>
      <c r="B81" s="220"/>
      <c r="C81" s="220"/>
      <c r="D81" s="220"/>
      <c r="E81" s="220"/>
      <c r="F81" s="220"/>
      <c r="G81" s="220"/>
      <c r="H81" s="220"/>
      <c r="I81" s="220"/>
      <c r="J81" s="220"/>
      <c r="K81" s="220"/>
      <c r="L81" s="220"/>
      <c r="M81" s="220"/>
      <c r="N81" s="221"/>
    </row>
    <row r="82" spans="1:14" ht="7.5" customHeight="1" x14ac:dyDescent="0.2">
      <c r="A82" s="222"/>
      <c r="B82" s="220"/>
      <c r="C82" s="220"/>
      <c r="D82" s="220"/>
      <c r="E82" s="220"/>
      <c r="F82" s="220"/>
      <c r="G82" s="220"/>
      <c r="H82" s="220"/>
      <c r="I82" s="220"/>
      <c r="J82" s="220"/>
      <c r="K82" s="220"/>
      <c r="L82" s="220"/>
      <c r="M82" s="220"/>
      <c r="N82" s="221"/>
    </row>
    <row r="83" spans="1:14" ht="7.5" customHeight="1" x14ac:dyDescent="0.2">
      <c r="A83" s="222"/>
      <c r="B83" s="220"/>
      <c r="C83" s="220"/>
      <c r="D83" s="220"/>
      <c r="E83" s="220"/>
      <c r="F83" s="220"/>
      <c r="G83" s="220"/>
      <c r="H83" s="220"/>
      <c r="I83" s="220"/>
      <c r="J83" s="220"/>
      <c r="K83" s="220"/>
      <c r="L83" s="220"/>
      <c r="M83" s="220"/>
      <c r="N83" s="221"/>
    </row>
    <row r="84" spans="1:14" ht="11.25" customHeight="1" x14ac:dyDescent="0.2">
      <c r="A84" s="223" t="s">
        <v>20</v>
      </c>
      <c r="B84" s="224"/>
      <c r="C84" s="224"/>
      <c r="D84" s="224"/>
      <c r="E84" s="224"/>
      <c r="F84" s="224"/>
      <c r="G84" s="224"/>
      <c r="H84" s="224"/>
      <c r="I84" s="224"/>
      <c r="J84" s="224"/>
      <c r="K84" s="224"/>
      <c r="L84" s="224"/>
      <c r="M84" s="224"/>
      <c r="N84" s="225"/>
    </row>
    <row r="85" spans="1:14" ht="11.25" customHeight="1" thickBot="1" x14ac:dyDescent="0.25">
      <c r="A85" s="226"/>
      <c r="B85" s="227"/>
      <c r="C85" s="227"/>
      <c r="D85" s="227"/>
      <c r="E85" s="227"/>
      <c r="F85" s="227"/>
      <c r="G85" s="227"/>
      <c r="H85" s="227"/>
      <c r="I85" s="227"/>
      <c r="J85" s="227"/>
      <c r="K85" s="227"/>
      <c r="L85" s="227"/>
      <c r="M85" s="227"/>
      <c r="N85" s="228"/>
    </row>
    <row r="86" spans="1:14" ht="12.75" thickBot="1" x14ac:dyDescent="0.25"/>
    <row r="87" spans="1:14" ht="48" customHeight="1" thickBot="1" x14ac:dyDescent="0.45">
      <c r="B87" s="10"/>
      <c r="C87" s="229" t="s">
        <v>71</v>
      </c>
      <c r="D87" s="230"/>
    </row>
  </sheetData>
  <sheetProtection insertColumns="0" insertRows="0" deleteColumns="0" deleteRows="0"/>
  <mergeCells count="75">
    <mergeCell ref="E1:K1"/>
    <mergeCell ref="L1:N1"/>
    <mergeCell ref="E2:K3"/>
    <mergeCell ref="L2:N2"/>
    <mergeCell ref="P2:Y2"/>
    <mergeCell ref="L3:N3"/>
    <mergeCell ref="P3:R3"/>
    <mergeCell ref="E4:K4"/>
    <mergeCell ref="L4:N4"/>
    <mergeCell ref="Q4:Q5"/>
    <mergeCell ref="R4:R5"/>
    <mergeCell ref="A6:B6"/>
    <mergeCell ref="C6:I6"/>
    <mergeCell ref="K6:N6"/>
    <mergeCell ref="A11:B11"/>
    <mergeCell ref="A7:B7"/>
    <mergeCell ref="C7:I7"/>
    <mergeCell ref="K7:N7"/>
    <mergeCell ref="A8:B8"/>
    <mergeCell ref="C8:I8"/>
    <mergeCell ref="K8:N8"/>
    <mergeCell ref="A9:B9"/>
    <mergeCell ref="C9:I9"/>
    <mergeCell ref="A10:B10"/>
    <mergeCell ref="C10:I10"/>
    <mergeCell ref="K10:N10"/>
    <mergeCell ref="A12:B12"/>
    <mergeCell ref="A13:B13"/>
    <mergeCell ref="C13:N13"/>
    <mergeCell ref="G14:I14"/>
    <mergeCell ref="B17:G17"/>
    <mergeCell ref="H17:I17"/>
    <mergeCell ref="C18:D18"/>
    <mergeCell ref="F18:G18"/>
    <mergeCell ref="C19:D19"/>
    <mergeCell ref="F19:G19"/>
    <mergeCell ref="C20:D20"/>
    <mergeCell ref="F20:G20"/>
    <mergeCell ref="B24:B25"/>
    <mergeCell ref="C24:C25"/>
    <mergeCell ref="D24:D25"/>
    <mergeCell ref="E24:F24"/>
    <mergeCell ref="G24:H24"/>
    <mergeCell ref="I64:K64"/>
    <mergeCell ref="L64:N64"/>
    <mergeCell ref="C21:D21"/>
    <mergeCell ref="F21:G21"/>
    <mergeCell ref="C22:D22"/>
    <mergeCell ref="F22:G22"/>
    <mergeCell ref="S24:S25"/>
    <mergeCell ref="T24:T25"/>
    <mergeCell ref="H62:K62"/>
    <mergeCell ref="L62:N62"/>
    <mergeCell ref="I63:K63"/>
    <mergeCell ref="L63:N63"/>
    <mergeCell ref="I24:I25"/>
    <mergeCell ref="J24:J25"/>
    <mergeCell ref="K24:K25"/>
    <mergeCell ref="P24:P25"/>
    <mergeCell ref="Q24:Q25"/>
    <mergeCell ref="R24:R25"/>
    <mergeCell ref="I65:K65"/>
    <mergeCell ref="I66:J66"/>
    <mergeCell ref="K66:N66"/>
    <mergeCell ref="A78:N83"/>
    <mergeCell ref="A84:N85"/>
    <mergeCell ref="I71:J71"/>
    <mergeCell ref="K71:N71"/>
    <mergeCell ref="C87:D87"/>
    <mergeCell ref="I72:J72"/>
    <mergeCell ref="K72:N72"/>
    <mergeCell ref="I73:K73"/>
    <mergeCell ref="I74:K74"/>
    <mergeCell ref="I75:K75"/>
    <mergeCell ref="A77:N77"/>
  </mergeCells>
  <conditionalFormatting sqref="C6:C10 K9:N10 C13">
    <cfRule type="containsBlanks" dxfId="25" priority="13">
      <formula>LEN(TRIM(C6))=0</formula>
    </cfRule>
  </conditionalFormatting>
  <conditionalFormatting sqref="C12:D12 F12 I12">
    <cfRule type="containsBlanks" dxfId="24" priority="12">
      <formula>LEN(TRIM(C12))=0</formula>
    </cfRule>
  </conditionalFormatting>
  <conditionalFormatting sqref="C18:D19 I18:I20 C21:D21">
    <cfRule type="containsBlanks" dxfId="23" priority="9">
      <formula>LEN(TRIM(C18))=0</formula>
    </cfRule>
  </conditionalFormatting>
  <conditionalFormatting sqref="F22">
    <cfRule type="containsBlanks" dxfId="22" priority="11">
      <formula>LEN(TRIM(F22))=0</formula>
    </cfRule>
  </conditionalFormatting>
  <conditionalFormatting sqref="F20:G21">
    <cfRule type="containsBlanks" dxfId="21" priority="10">
      <formula>LEN(TRIM(F20))=0</formula>
    </cfRule>
  </conditionalFormatting>
  <conditionalFormatting sqref="K6:N8">
    <cfRule type="containsBlanks" dxfId="20" priority="8">
      <formula>LEN(TRIM(K6))=0</formula>
    </cfRule>
  </conditionalFormatting>
  <conditionalFormatting sqref="P2">
    <cfRule type="containsBlanks" dxfId="19" priority="7">
      <formula>LEN(TRIM(P2))=0</formula>
    </cfRule>
  </conditionalFormatting>
  <conditionalFormatting sqref="P2">
    <cfRule type="containsBlanks" dxfId="18" priority="6">
      <formula>LEN(TRIM(P2))=0</formula>
    </cfRule>
  </conditionalFormatting>
  <conditionalFormatting sqref="P3">
    <cfRule type="containsBlanks" dxfId="17" priority="5">
      <formula>LEN(TRIM(P3))=0</formula>
    </cfRule>
  </conditionalFormatting>
  <conditionalFormatting sqref="H12">
    <cfRule type="containsBlanks" dxfId="16" priority="4">
      <formula>LEN(TRIM(H12))=0</formula>
    </cfRule>
  </conditionalFormatting>
  <conditionalFormatting sqref="H12">
    <cfRule type="containsBlanks" dxfId="15" priority="3">
      <formula>LEN(TRIM(H12))=0</formula>
    </cfRule>
  </conditionalFormatting>
  <conditionalFormatting sqref="J12">
    <cfRule type="containsBlanks" dxfId="14" priority="2">
      <formula>LEN(TRIM(J12))=0</formula>
    </cfRule>
  </conditionalFormatting>
  <conditionalFormatting sqref="J12">
    <cfRule type="containsBlanks" dxfId="13" priority="1">
      <formula>LEN(TRIM(J12))=0</formula>
    </cfRule>
  </conditionalFormatting>
  <dataValidations count="3">
    <dataValidation type="list" allowBlank="1" showInputMessage="1" showErrorMessage="1" sqref="C12" xr:uid="{00000000-0002-0000-0400-000000000000}">
      <formula1>$S$6:$S$12</formula1>
    </dataValidation>
    <dataValidation type="list" allowBlank="1" showInputMessage="1" showErrorMessage="1" sqref="F21" xr:uid="{00000000-0002-0000-0400-000001000000}">
      <formula1>$R$6:$R$12</formula1>
    </dataValidation>
    <dataValidation type="list" allowBlank="1" showInputMessage="1" showErrorMessage="1" sqref="F20" xr:uid="{00000000-0002-0000-0400-000002000000}">
      <formula1>$Q$6:$Q$10</formula1>
    </dataValidation>
  </dataValidations>
  <printOptions horizontalCentered="1" verticalCentered="1"/>
  <pageMargins left="0.31496062992125984" right="0.31496062992125984" top="0.78740157480314965" bottom="0.78740157480314965" header="0.31496062992125984" footer="0.19685039370078741"/>
  <pageSetup scale="38" orientation="portrait" r:id="rId1"/>
  <headerFooter>
    <oddFooter xml:space="preserve">&amp;C
GEODELTA S.A.S. Calle 68 B bis No 70 C 95, Móvil: 318 7902368 Bogotá DC - Colombia
e-mail: laboratoriogeodelta@gmail.com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Check Box 1">
              <controlPr defaultSize="0" autoFill="0" autoLine="0" autoPict="0">
                <anchor moveWithCells="1">
                  <from>
                    <xdr:col>7</xdr:col>
                    <xdr:colOff>104775</xdr:colOff>
                    <xdr:row>21</xdr:row>
                    <xdr:rowOff>28575</xdr:rowOff>
                  </from>
                  <to>
                    <xdr:col>7</xdr:col>
                    <xdr:colOff>1133475</xdr:colOff>
                    <xdr:row>21</xdr:row>
                    <xdr:rowOff>219075</xdr:rowOff>
                  </to>
                </anchor>
              </controlPr>
            </control>
          </mc:Choice>
        </mc:AlternateContent>
        <mc:AlternateContent xmlns:mc="http://schemas.openxmlformats.org/markup-compatibility/2006">
          <mc:Choice Requires="x14">
            <control shapeId="103426" r:id="rId5" name="Check Box 2">
              <controlPr defaultSize="0" autoFill="0" autoLine="0" autoPict="0">
                <anchor moveWithCells="1">
                  <from>
                    <xdr:col>8</xdr:col>
                    <xdr:colOff>19050</xdr:colOff>
                    <xdr:row>21</xdr:row>
                    <xdr:rowOff>19050</xdr:rowOff>
                  </from>
                  <to>
                    <xdr:col>9</xdr:col>
                    <xdr:colOff>352425</xdr:colOff>
                    <xdr:row>21</xdr:row>
                    <xdr:rowOff>295275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2">
    <pageSetUpPr fitToPage="1"/>
  </sheetPr>
  <dimension ref="A1:AG87"/>
  <sheetViews>
    <sheetView showGridLines="0" view="pageBreakPreview" topLeftCell="H18" zoomScaleNormal="100" zoomScaleSheetLayoutView="77" zoomScalePageLayoutView="55" workbookViewId="0">
      <selection activeCell="F20" sqref="F20:G20"/>
    </sheetView>
  </sheetViews>
  <sheetFormatPr baseColWidth="10" defaultRowHeight="12" x14ac:dyDescent="0.2"/>
  <cols>
    <col min="1" max="1" width="8.7109375" style="1" customWidth="1"/>
    <col min="2" max="2" width="20.7109375" style="1" customWidth="1"/>
    <col min="3" max="3" width="17.140625" style="1" customWidth="1"/>
    <col min="4" max="4" width="15.7109375" style="1" customWidth="1"/>
    <col min="5" max="5" width="24.42578125" style="1" customWidth="1"/>
    <col min="6" max="6" width="15.7109375" style="1" customWidth="1"/>
    <col min="7" max="9" width="20.7109375" style="1" customWidth="1"/>
    <col min="10" max="10" width="28.42578125" style="1" customWidth="1"/>
    <col min="11" max="11" width="19.42578125" style="1" customWidth="1"/>
    <col min="12" max="12" width="11.5703125" style="1" customWidth="1"/>
    <col min="13" max="13" width="2" style="1" customWidth="1"/>
    <col min="14" max="14" width="23.5703125" style="1" customWidth="1"/>
    <col min="15" max="15" width="11.42578125" style="1"/>
    <col min="16" max="16" width="22.140625" style="23" customWidth="1"/>
    <col min="17" max="17" width="26.5703125" style="12" customWidth="1"/>
    <col min="18" max="18" width="21.5703125" style="12" customWidth="1"/>
    <col min="19" max="19" width="21.42578125" style="12" customWidth="1"/>
    <col min="20" max="29" width="11.42578125" style="11"/>
    <col min="30" max="239" width="11.42578125" style="1"/>
    <col min="240" max="240" width="3" style="1" customWidth="1"/>
    <col min="241" max="247" width="17.42578125" style="1" customWidth="1"/>
    <col min="248" max="248" width="3.85546875" style="1" customWidth="1"/>
    <col min="249" max="249" width="3.5703125" style="1" customWidth="1"/>
    <col min="250" max="253" width="8.140625" style="1" customWidth="1"/>
    <col min="254" max="495" width="11.42578125" style="1"/>
    <col min="496" max="496" width="3" style="1" customWidth="1"/>
    <col min="497" max="503" width="17.42578125" style="1" customWidth="1"/>
    <col min="504" max="504" width="3.85546875" style="1" customWidth="1"/>
    <col min="505" max="505" width="3.5703125" style="1" customWidth="1"/>
    <col min="506" max="509" width="8.140625" style="1" customWidth="1"/>
    <col min="510" max="751" width="11.42578125" style="1"/>
    <col min="752" max="752" width="3" style="1" customWidth="1"/>
    <col min="753" max="759" width="17.42578125" style="1" customWidth="1"/>
    <col min="760" max="760" width="3.85546875" style="1" customWidth="1"/>
    <col min="761" max="761" width="3.5703125" style="1" customWidth="1"/>
    <col min="762" max="765" width="8.140625" style="1" customWidth="1"/>
    <col min="766" max="1007" width="11.42578125" style="1"/>
    <col min="1008" max="1008" width="3" style="1" customWidth="1"/>
    <col min="1009" max="1015" width="17.42578125" style="1" customWidth="1"/>
    <col min="1016" max="1016" width="3.85546875" style="1" customWidth="1"/>
    <col min="1017" max="1017" width="3.5703125" style="1" customWidth="1"/>
    <col min="1018" max="1021" width="8.140625" style="1" customWidth="1"/>
    <col min="1022" max="1263" width="11.42578125" style="1"/>
    <col min="1264" max="1264" width="3" style="1" customWidth="1"/>
    <col min="1265" max="1271" width="17.42578125" style="1" customWidth="1"/>
    <col min="1272" max="1272" width="3.85546875" style="1" customWidth="1"/>
    <col min="1273" max="1273" width="3.5703125" style="1" customWidth="1"/>
    <col min="1274" max="1277" width="8.140625" style="1" customWidth="1"/>
    <col min="1278" max="1519" width="11.42578125" style="1"/>
    <col min="1520" max="1520" width="3" style="1" customWidth="1"/>
    <col min="1521" max="1527" width="17.42578125" style="1" customWidth="1"/>
    <col min="1528" max="1528" width="3.85546875" style="1" customWidth="1"/>
    <col min="1529" max="1529" width="3.5703125" style="1" customWidth="1"/>
    <col min="1530" max="1533" width="8.140625" style="1" customWidth="1"/>
    <col min="1534" max="1775" width="11.42578125" style="1"/>
    <col min="1776" max="1776" width="3" style="1" customWidth="1"/>
    <col min="1777" max="1783" width="17.42578125" style="1" customWidth="1"/>
    <col min="1784" max="1784" width="3.85546875" style="1" customWidth="1"/>
    <col min="1785" max="1785" width="3.5703125" style="1" customWidth="1"/>
    <col min="1786" max="1789" width="8.140625" style="1" customWidth="1"/>
    <col min="1790" max="2031" width="11.42578125" style="1"/>
    <col min="2032" max="2032" width="3" style="1" customWidth="1"/>
    <col min="2033" max="2039" width="17.42578125" style="1" customWidth="1"/>
    <col min="2040" max="2040" width="3.85546875" style="1" customWidth="1"/>
    <col min="2041" max="2041" width="3.5703125" style="1" customWidth="1"/>
    <col min="2042" max="2045" width="8.140625" style="1" customWidth="1"/>
    <col min="2046" max="2287" width="11.42578125" style="1"/>
    <col min="2288" max="2288" width="3" style="1" customWidth="1"/>
    <col min="2289" max="2295" width="17.42578125" style="1" customWidth="1"/>
    <col min="2296" max="2296" width="3.85546875" style="1" customWidth="1"/>
    <col min="2297" max="2297" width="3.5703125" style="1" customWidth="1"/>
    <col min="2298" max="2301" width="8.140625" style="1" customWidth="1"/>
    <col min="2302" max="2543" width="11.42578125" style="1"/>
    <col min="2544" max="2544" width="3" style="1" customWidth="1"/>
    <col min="2545" max="2551" width="17.42578125" style="1" customWidth="1"/>
    <col min="2552" max="2552" width="3.85546875" style="1" customWidth="1"/>
    <col min="2553" max="2553" width="3.5703125" style="1" customWidth="1"/>
    <col min="2554" max="2557" width="8.140625" style="1" customWidth="1"/>
    <col min="2558" max="2799" width="11.42578125" style="1"/>
    <col min="2800" max="2800" width="3" style="1" customWidth="1"/>
    <col min="2801" max="2807" width="17.42578125" style="1" customWidth="1"/>
    <col min="2808" max="2808" width="3.85546875" style="1" customWidth="1"/>
    <col min="2809" max="2809" width="3.5703125" style="1" customWidth="1"/>
    <col min="2810" max="2813" width="8.140625" style="1" customWidth="1"/>
    <col min="2814" max="3055" width="11.42578125" style="1"/>
    <col min="3056" max="3056" width="3" style="1" customWidth="1"/>
    <col min="3057" max="3063" width="17.42578125" style="1" customWidth="1"/>
    <col min="3064" max="3064" width="3.85546875" style="1" customWidth="1"/>
    <col min="3065" max="3065" width="3.5703125" style="1" customWidth="1"/>
    <col min="3066" max="3069" width="8.140625" style="1" customWidth="1"/>
    <col min="3070" max="3311" width="11.42578125" style="1"/>
    <col min="3312" max="3312" width="3" style="1" customWidth="1"/>
    <col min="3313" max="3319" width="17.42578125" style="1" customWidth="1"/>
    <col min="3320" max="3320" width="3.85546875" style="1" customWidth="1"/>
    <col min="3321" max="3321" width="3.5703125" style="1" customWidth="1"/>
    <col min="3322" max="3325" width="8.140625" style="1" customWidth="1"/>
    <col min="3326" max="3567" width="11.42578125" style="1"/>
    <col min="3568" max="3568" width="3" style="1" customWidth="1"/>
    <col min="3569" max="3575" width="17.42578125" style="1" customWidth="1"/>
    <col min="3576" max="3576" width="3.85546875" style="1" customWidth="1"/>
    <col min="3577" max="3577" width="3.5703125" style="1" customWidth="1"/>
    <col min="3578" max="3581" width="8.140625" style="1" customWidth="1"/>
    <col min="3582" max="3823" width="11.42578125" style="1"/>
    <col min="3824" max="3824" width="3" style="1" customWidth="1"/>
    <col min="3825" max="3831" width="17.42578125" style="1" customWidth="1"/>
    <col min="3832" max="3832" width="3.85546875" style="1" customWidth="1"/>
    <col min="3833" max="3833" width="3.5703125" style="1" customWidth="1"/>
    <col min="3834" max="3837" width="8.140625" style="1" customWidth="1"/>
    <col min="3838" max="4079" width="11.42578125" style="1"/>
    <col min="4080" max="4080" width="3" style="1" customWidth="1"/>
    <col min="4081" max="4087" width="17.42578125" style="1" customWidth="1"/>
    <col min="4088" max="4088" width="3.85546875" style="1" customWidth="1"/>
    <col min="4089" max="4089" width="3.5703125" style="1" customWidth="1"/>
    <col min="4090" max="4093" width="8.140625" style="1" customWidth="1"/>
    <col min="4094" max="4335" width="11.42578125" style="1"/>
    <col min="4336" max="4336" width="3" style="1" customWidth="1"/>
    <col min="4337" max="4343" width="17.42578125" style="1" customWidth="1"/>
    <col min="4344" max="4344" width="3.85546875" style="1" customWidth="1"/>
    <col min="4345" max="4345" width="3.5703125" style="1" customWidth="1"/>
    <col min="4346" max="4349" width="8.140625" style="1" customWidth="1"/>
    <col min="4350" max="4591" width="11.42578125" style="1"/>
    <col min="4592" max="4592" width="3" style="1" customWidth="1"/>
    <col min="4593" max="4599" width="17.42578125" style="1" customWidth="1"/>
    <col min="4600" max="4600" width="3.85546875" style="1" customWidth="1"/>
    <col min="4601" max="4601" width="3.5703125" style="1" customWidth="1"/>
    <col min="4602" max="4605" width="8.140625" style="1" customWidth="1"/>
    <col min="4606" max="4847" width="11.42578125" style="1"/>
    <col min="4848" max="4848" width="3" style="1" customWidth="1"/>
    <col min="4849" max="4855" width="17.42578125" style="1" customWidth="1"/>
    <col min="4856" max="4856" width="3.85546875" style="1" customWidth="1"/>
    <col min="4857" max="4857" width="3.5703125" style="1" customWidth="1"/>
    <col min="4858" max="4861" width="8.140625" style="1" customWidth="1"/>
    <col min="4862" max="5103" width="11.42578125" style="1"/>
    <col min="5104" max="5104" width="3" style="1" customWidth="1"/>
    <col min="5105" max="5111" width="17.42578125" style="1" customWidth="1"/>
    <col min="5112" max="5112" width="3.85546875" style="1" customWidth="1"/>
    <col min="5113" max="5113" width="3.5703125" style="1" customWidth="1"/>
    <col min="5114" max="5117" width="8.140625" style="1" customWidth="1"/>
    <col min="5118" max="5359" width="11.42578125" style="1"/>
    <col min="5360" max="5360" width="3" style="1" customWidth="1"/>
    <col min="5361" max="5367" width="17.42578125" style="1" customWidth="1"/>
    <col min="5368" max="5368" width="3.85546875" style="1" customWidth="1"/>
    <col min="5369" max="5369" width="3.5703125" style="1" customWidth="1"/>
    <col min="5370" max="5373" width="8.140625" style="1" customWidth="1"/>
    <col min="5374" max="5615" width="11.42578125" style="1"/>
    <col min="5616" max="5616" width="3" style="1" customWidth="1"/>
    <col min="5617" max="5623" width="17.42578125" style="1" customWidth="1"/>
    <col min="5624" max="5624" width="3.85546875" style="1" customWidth="1"/>
    <col min="5625" max="5625" width="3.5703125" style="1" customWidth="1"/>
    <col min="5626" max="5629" width="8.140625" style="1" customWidth="1"/>
    <col min="5630" max="5871" width="11.42578125" style="1"/>
    <col min="5872" max="5872" width="3" style="1" customWidth="1"/>
    <col min="5873" max="5879" width="17.42578125" style="1" customWidth="1"/>
    <col min="5880" max="5880" width="3.85546875" style="1" customWidth="1"/>
    <col min="5881" max="5881" width="3.5703125" style="1" customWidth="1"/>
    <col min="5882" max="5885" width="8.140625" style="1" customWidth="1"/>
    <col min="5886" max="6127" width="11.42578125" style="1"/>
    <col min="6128" max="6128" width="3" style="1" customWidth="1"/>
    <col min="6129" max="6135" width="17.42578125" style="1" customWidth="1"/>
    <col min="6136" max="6136" width="3.85546875" style="1" customWidth="1"/>
    <col min="6137" max="6137" width="3.5703125" style="1" customWidth="1"/>
    <col min="6138" max="6141" width="8.140625" style="1" customWidth="1"/>
    <col min="6142" max="6383" width="11.42578125" style="1"/>
    <col min="6384" max="6384" width="3" style="1" customWidth="1"/>
    <col min="6385" max="6391" width="17.42578125" style="1" customWidth="1"/>
    <col min="6392" max="6392" width="3.85546875" style="1" customWidth="1"/>
    <col min="6393" max="6393" width="3.5703125" style="1" customWidth="1"/>
    <col min="6394" max="6397" width="8.140625" style="1" customWidth="1"/>
    <col min="6398" max="6639" width="11.42578125" style="1"/>
    <col min="6640" max="6640" width="3" style="1" customWidth="1"/>
    <col min="6641" max="6647" width="17.42578125" style="1" customWidth="1"/>
    <col min="6648" max="6648" width="3.85546875" style="1" customWidth="1"/>
    <col min="6649" max="6649" width="3.5703125" style="1" customWidth="1"/>
    <col min="6650" max="6653" width="8.140625" style="1" customWidth="1"/>
    <col min="6654" max="6895" width="11.42578125" style="1"/>
    <col min="6896" max="6896" width="3" style="1" customWidth="1"/>
    <col min="6897" max="6903" width="17.42578125" style="1" customWidth="1"/>
    <col min="6904" max="6904" width="3.85546875" style="1" customWidth="1"/>
    <col min="6905" max="6905" width="3.5703125" style="1" customWidth="1"/>
    <col min="6906" max="6909" width="8.140625" style="1" customWidth="1"/>
    <col min="6910" max="7151" width="11.42578125" style="1"/>
    <col min="7152" max="7152" width="3" style="1" customWidth="1"/>
    <col min="7153" max="7159" width="17.42578125" style="1" customWidth="1"/>
    <col min="7160" max="7160" width="3.85546875" style="1" customWidth="1"/>
    <col min="7161" max="7161" width="3.5703125" style="1" customWidth="1"/>
    <col min="7162" max="7165" width="8.140625" style="1" customWidth="1"/>
    <col min="7166" max="7407" width="11.42578125" style="1"/>
    <col min="7408" max="7408" width="3" style="1" customWidth="1"/>
    <col min="7409" max="7415" width="17.42578125" style="1" customWidth="1"/>
    <col min="7416" max="7416" width="3.85546875" style="1" customWidth="1"/>
    <col min="7417" max="7417" width="3.5703125" style="1" customWidth="1"/>
    <col min="7418" max="7421" width="8.140625" style="1" customWidth="1"/>
    <col min="7422" max="7663" width="11.42578125" style="1"/>
    <col min="7664" max="7664" width="3" style="1" customWidth="1"/>
    <col min="7665" max="7671" width="17.42578125" style="1" customWidth="1"/>
    <col min="7672" max="7672" width="3.85546875" style="1" customWidth="1"/>
    <col min="7673" max="7673" width="3.5703125" style="1" customWidth="1"/>
    <col min="7674" max="7677" width="8.140625" style="1" customWidth="1"/>
    <col min="7678" max="7919" width="11.42578125" style="1"/>
    <col min="7920" max="7920" width="3" style="1" customWidth="1"/>
    <col min="7921" max="7927" width="17.42578125" style="1" customWidth="1"/>
    <col min="7928" max="7928" width="3.85546875" style="1" customWidth="1"/>
    <col min="7929" max="7929" width="3.5703125" style="1" customWidth="1"/>
    <col min="7930" max="7933" width="8.140625" style="1" customWidth="1"/>
    <col min="7934" max="8175" width="11.42578125" style="1"/>
    <col min="8176" max="8176" width="3" style="1" customWidth="1"/>
    <col min="8177" max="8183" width="17.42578125" style="1" customWidth="1"/>
    <col min="8184" max="8184" width="3.85546875" style="1" customWidth="1"/>
    <col min="8185" max="8185" width="3.5703125" style="1" customWidth="1"/>
    <col min="8186" max="8189" width="8.140625" style="1" customWidth="1"/>
    <col min="8190" max="8431" width="11.42578125" style="1"/>
    <col min="8432" max="8432" width="3" style="1" customWidth="1"/>
    <col min="8433" max="8439" width="17.42578125" style="1" customWidth="1"/>
    <col min="8440" max="8440" width="3.85546875" style="1" customWidth="1"/>
    <col min="8441" max="8441" width="3.5703125" style="1" customWidth="1"/>
    <col min="8442" max="8445" width="8.140625" style="1" customWidth="1"/>
    <col min="8446" max="8687" width="11.42578125" style="1"/>
    <col min="8688" max="8688" width="3" style="1" customWidth="1"/>
    <col min="8689" max="8695" width="17.42578125" style="1" customWidth="1"/>
    <col min="8696" max="8696" width="3.85546875" style="1" customWidth="1"/>
    <col min="8697" max="8697" width="3.5703125" style="1" customWidth="1"/>
    <col min="8698" max="8701" width="8.140625" style="1" customWidth="1"/>
    <col min="8702" max="8943" width="11.42578125" style="1"/>
    <col min="8944" max="8944" width="3" style="1" customWidth="1"/>
    <col min="8945" max="8951" width="17.42578125" style="1" customWidth="1"/>
    <col min="8952" max="8952" width="3.85546875" style="1" customWidth="1"/>
    <col min="8953" max="8953" width="3.5703125" style="1" customWidth="1"/>
    <col min="8954" max="8957" width="8.140625" style="1" customWidth="1"/>
    <col min="8958" max="9199" width="11.42578125" style="1"/>
    <col min="9200" max="9200" width="3" style="1" customWidth="1"/>
    <col min="9201" max="9207" width="17.42578125" style="1" customWidth="1"/>
    <col min="9208" max="9208" width="3.85546875" style="1" customWidth="1"/>
    <col min="9209" max="9209" width="3.5703125" style="1" customWidth="1"/>
    <col min="9210" max="9213" width="8.140625" style="1" customWidth="1"/>
    <col min="9214" max="9455" width="11.42578125" style="1"/>
    <col min="9456" max="9456" width="3" style="1" customWidth="1"/>
    <col min="9457" max="9463" width="17.42578125" style="1" customWidth="1"/>
    <col min="9464" max="9464" width="3.85546875" style="1" customWidth="1"/>
    <col min="9465" max="9465" width="3.5703125" style="1" customWidth="1"/>
    <col min="9466" max="9469" width="8.140625" style="1" customWidth="1"/>
    <col min="9470" max="9711" width="11.42578125" style="1"/>
    <col min="9712" max="9712" width="3" style="1" customWidth="1"/>
    <col min="9713" max="9719" width="17.42578125" style="1" customWidth="1"/>
    <col min="9720" max="9720" width="3.85546875" style="1" customWidth="1"/>
    <col min="9721" max="9721" width="3.5703125" style="1" customWidth="1"/>
    <col min="9722" max="9725" width="8.140625" style="1" customWidth="1"/>
    <col min="9726" max="9967" width="11.42578125" style="1"/>
    <col min="9968" max="9968" width="3" style="1" customWidth="1"/>
    <col min="9969" max="9975" width="17.42578125" style="1" customWidth="1"/>
    <col min="9976" max="9976" width="3.85546875" style="1" customWidth="1"/>
    <col min="9977" max="9977" width="3.5703125" style="1" customWidth="1"/>
    <col min="9978" max="9981" width="8.140625" style="1" customWidth="1"/>
    <col min="9982" max="10223" width="11.42578125" style="1"/>
    <col min="10224" max="10224" width="3" style="1" customWidth="1"/>
    <col min="10225" max="10231" width="17.42578125" style="1" customWidth="1"/>
    <col min="10232" max="10232" width="3.85546875" style="1" customWidth="1"/>
    <col min="10233" max="10233" width="3.5703125" style="1" customWidth="1"/>
    <col min="10234" max="10237" width="8.140625" style="1" customWidth="1"/>
    <col min="10238" max="10479" width="11.42578125" style="1"/>
    <col min="10480" max="10480" width="3" style="1" customWidth="1"/>
    <col min="10481" max="10487" width="17.42578125" style="1" customWidth="1"/>
    <col min="10488" max="10488" width="3.85546875" style="1" customWidth="1"/>
    <col min="10489" max="10489" width="3.5703125" style="1" customWidth="1"/>
    <col min="10490" max="10493" width="8.140625" style="1" customWidth="1"/>
    <col min="10494" max="10735" width="11.42578125" style="1"/>
    <col min="10736" max="10736" width="3" style="1" customWidth="1"/>
    <col min="10737" max="10743" width="17.42578125" style="1" customWidth="1"/>
    <col min="10744" max="10744" width="3.85546875" style="1" customWidth="1"/>
    <col min="10745" max="10745" width="3.5703125" style="1" customWidth="1"/>
    <col min="10746" max="10749" width="8.140625" style="1" customWidth="1"/>
    <col min="10750" max="10991" width="11.42578125" style="1"/>
    <col min="10992" max="10992" width="3" style="1" customWidth="1"/>
    <col min="10993" max="10999" width="17.42578125" style="1" customWidth="1"/>
    <col min="11000" max="11000" width="3.85546875" style="1" customWidth="1"/>
    <col min="11001" max="11001" width="3.5703125" style="1" customWidth="1"/>
    <col min="11002" max="11005" width="8.140625" style="1" customWidth="1"/>
    <col min="11006" max="11247" width="11.42578125" style="1"/>
    <col min="11248" max="11248" width="3" style="1" customWidth="1"/>
    <col min="11249" max="11255" width="17.42578125" style="1" customWidth="1"/>
    <col min="11256" max="11256" width="3.85546875" style="1" customWidth="1"/>
    <col min="11257" max="11257" width="3.5703125" style="1" customWidth="1"/>
    <col min="11258" max="11261" width="8.140625" style="1" customWidth="1"/>
    <col min="11262" max="11503" width="11.42578125" style="1"/>
    <col min="11504" max="11504" width="3" style="1" customWidth="1"/>
    <col min="11505" max="11511" width="17.42578125" style="1" customWidth="1"/>
    <col min="11512" max="11512" width="3.85546875" style="1" customWidth="1"/>
    <col min="11513" max="11513" width="3.5703125" style="1" customWidth="1"/>
    <col min="11514" max="11517" width="8.140625" style="1" customWidth="1"/>
    <col min="11518" max="11759" width="11.42578125" style="1"/>
    <col min="11760" max="11760" width="3" style="1" customWidth="1"/>
    <col min="11761" max="11767" width="17.42578125" style="1" customWidth="1"/>
    <col min="11768" max="11768" width="3.85546875" style="1" customWidth="1"/>
    <col min="11769" max="11769" width="3.5703125" style="1" customWidth="1"/>
    <col min="11770" max="11773" width="8.140625" style="1" customWidth="1"/>
    <col min="11774" max="12015" width="11.42578125" style="1"/>
    <col min="12016" max="12016" width="3" style="1" customWidth="1"/>
    <col min="12017" max="12023" width="17.42578125" style="1" customWidth="1"/>
    <col min="12024" max="12024" width="3.85546875" style="1" customWidth="1"/>
    <col min="12025" max="12025" width="3.5703125" style="1" customWidth="1"/>
    <col min="12026" max="12029" width="8.140625" style="1" customWidth="1"/>
    <col min="12030" max="12271" width="11.42578125" style="1"/>
    <col min="12272" max="12272" width="3" style="1" customWidth="1"/>
    <col min="12273" max="12279" width="17.42578125" style="1" customWidth="1"/>
    <col min="12280" max="12280" width="3.85546875" style="1" customWidth="1"/>
    <col min="12281" max="12281" width="3.5703125" style="1" customWidth="1"/>
    <col min="12282" max="12285" width="8.140625" style="1" customWidth="1"/>
    <col min="12286" max="12527" width="11.42578125" style="1"/>
    <col min="12528" max="12528" width="3" style="1" customWidth="1"/>
    <col min="12529" max="12535" width="17.42578125" style="1" customWidth="1"/>
    <col min="12536" max="12536" width="3.85546875" style="1" customWidth="1"/>
    <col min="12537" max="12537" width="3.5703125" style="1" customWidth="1"/>
    <col min="12538" max="12541" width="8.140625" style="1" customWidth="1"/>
    <col min="12542" max="12783" width="11.42578125" style="1"/>
    <col min="12784" max="12784" width="3" style="1" customWidth="1"/>
    <col min="12785" max="12791" width="17.42578125" style="1" customWidth="1"/>
    <col min="12792" max="12792" width="3.85546875" style="1" customWidth="1"/>
    <col min="12793" max="12793" width="3.5703125" style="1" customWidth="1"/>
    <col min="12794" max="12797" width="8.140625" style="1" customWidth="1"/>
    <col min="12798" max="13039" width="11.42578125" style="1"/>
    <col min="13040" max="13040" width="3" style="1" customWidth="1"/>
    <col min="13041" max="13047" width="17.42578125" style="1" customWidth="1"/>
    <col min="13048" max="13048" width="3.85546875" style="1" customWidth="1"/>
    <col min="13049" max="13049" width="3.5703125" style="1" customWidth="1"/>
    <col min="13050" max="13053" width="8.140625" style="1" customWidth="1"/>
    <col min="13054" max="13295" width="11.42578125" style="1"/>
    <col min="13296" max="13296" width="3" style="1" customWidth="1"/>
    <col min="13297" max="13303" width="17.42578125" style="1" customWidth="1"/>
    <col min="13304" max="13304" width="3.85546875" style="1" customWidth="1"/>
    <col min="13305" max="13305" width="3.5703125" style="1" customWidth="1"/>
    <col min="13306" max="13309" width="8.140625" style="1" customWidth="1"/>
    <col min="13310" max="13551" width="11.42578125" style="1"/>
    <col min="13552" max="13552" width="3" style="1" customWidth="1"/>
    <col min="13553" max="13559" width="17.42578125" style="1" customWidth="1"/>
    <col min="13560" max="13560" width="3.85546875" style="1" customWidth="1"/>
    <col min="13561" max="13561" width="3.5703125" style="1" customWidth="1"/>
    <col min="13562" max="13565" width="8.140625" style="1" customWidth="1"/>
    <col min="13566" max="13807" width="11.42578125" style="1"/>
    <col min="13808" max="13808" width="3" style="1" customWidth="1"/>
    <col min="13809" max="13815" width="17.42578125" style="1" customWidth="1"/>
    <col min="13816" max="13816" width="3.85546875" style="1" customWidth="1"/>
    <col min="13817" max="13817" width="3.5703125" style="1" customWidth="1"/>
    <col min="13818" max="13821" width="8.140625" style="1" customWidth="1"/>
    <col min="13822" max="14063" width="11.42578125" style="1"/>
    <col min="14064" max="14064" width="3" style="1" customWidth="1"/>
    <col min="14065" max="14071" width="17.42578125" style="1" customWidth="1"/>
    <col min="14072" max="14072" width="3.85546875" style="1" customWidth="1"/>
    <col min="14073" max="14073" width="3.5703125" style="1" customWidth="1"/>
    <col min="14074" max="14077" width="8.140625" style="1" customWidth="1"/>
    <col min="14078" max="14319" width="11.42578125" style="1"/>
    <col min="14320" max="14320" width="3" style="1" customWidth="1"/>
    <col min="14321" max="14327" width="17.42578125" style="1" customWidth="1"/>
    <col min="14328" max="14328" width="3.85546875" style="1" customWidth="1"/>
    <col min="14329" max="14329" width="3.5703125" style="1" customWidth="1"/>
    <col min="14330" max="14333" width="8.140625" style="1" customWidth="1"/>
    <col min="14334" max="14575" width="11.42578125" style="1"/>
    <col min="14576" max="14576" width="3" style="1" customWidth="1"/>
    <col min="14577" max="14583" width="17.42578125" style="1" customWidth="1"/>
    <col min="14584" max="14584" width="3.85546875" style="1" customWidth="1"/>
    <col min="14585" max="14585" width="3.5703125" style="1" customWidth="1"/>
    <col min="14586" max="14589" width="8.140625" style="1" customWidth="1"/>
    <col min="14590" max="14831" width="11.42578125" style="1"/>
    <col min="14832" max="14832" width="3" style="1" customWidth="1"/>
    <col min="14833" max="14839" width="17.42578125" style="1" customWidth="1"/>
    <col min="14840" max="14840" width="3.85546875" style="1" customWidth="1"/>
    <col min="14841" max="14841" width="3.5703125" style="1" customWidth="1"/>
    <col min="14842" max="14845" width="8.140625" style="1" customWidth="1"/>
    <col min="14846" max="15087" width="11.42578125" style="1"/>
    <col min="15088" max="15088" width="3" style="1" customWidth="1"/>
    <col min="15089" max="15095" width="17.42578125" style="1" customWidth="1"/>
    <col min="15096" max="15096" width="3.85546875" style="1" customWidth="1"/>
    <col min="15097" max="15097" width="3.5703125" style="1" customWidth="1"/>
    <col min="15098" max="15101" width="8.140625" style="1" customWidth="1"/>
    <col min="15102" max="15343" width="11.42578125" style="1"/>
    <col min="15344" max="15344" width="3" style="1" customWidth="1"/>
    <col min="15345" max="15351" width="17.42578125" style="1" customWidth="1"/>
    <col min="15352" max="15352" width="3.85546875" style="1" customWidth="1"/>
    <col min="15353" max="15353" width="3.5703125" style="1" customWidth="1"/>
    <col min="15354" max="15357" width="8.140625" style="1" customWidth="1"/>
    <col min="15358" max="15599" width="11.42578125" style="1"/>
    <col min="15600" max="15600" width="3" style="1" customWidth="1"/>
    <col min="15601" max="15607" width="17.42578125" style="1" customWidth="1"/>
    <col min="15608" max="15608" width="3.85546875" style="1" customWidth="1"/>
    <col min="15609" max="15609" width="3.5703125" style="1" customWidth="1"/>
    <col min="15610" max="15613" width="8.140625" style="1" customWidth="1"/>
    <col min="15614" max="15855" width="11.42578125" style="1"/>
    <col min="15856" max="15856" width="3" style="1" customWidth="1"/>
    <col min="15857" max="15863" width="17.42578125" style="1" customWidth="1"/>
    <col min="15864" max="15864" width="3.85546875" style="1" customWidth="1"/>
    <col min="15865" max="15865" width="3.5703125" style="1" customWidth="1"/>
    <col min="15866" max="15869" width="8.140625" style="1" customWidth="1"/>
    <col min="15870" max="16111" width="11.42578125" style="1"/>
    <col min="16112" max="16112" width="3" style="1" customWidth="1"/>
    <col min="16113" max="16119" width="17.42578125" style="1" customWidth="1"/>
    <col min="16120" max="16120" width="3.85546875" style="1" customWidth="1"/>
    <col min="16121" max="16121" width="3.5703125" style="1" customWidth="1"/>
    <col min="16122" max="16125" width="8.140625" style="1" customWidth="1"/>
    <col min="16126" max="16384" width="11.42578125" style="1"/>
  </cols>
  <sheetData>
    <row r="1" spans="1:25" ht="22.5" customHeight="1" x14ac:dyDescent="0.2">
      <c r="A1" s="56"/>
      <c r="B1" s="8"/>
      <c r="C1" s="8"/>
      <c r="D1" s="57"/>
      <c r="E1" s="137" t="s">
        <v>8</v>
      </c>
      <c r="F1" s="137"/>
      <c r="G1" s="137"/>
      <c r="H1" s="137"/>
      <c r="I1" s="137"/>
      <c r="J1" s="137"/>
      <c r="K1" s="138"/>
      <c r="L1" s="139" t="s">
        <v>21</v>
      </c>
      <c r="M1" s="140"/>
      <c r="N1" s="141"/>
      <c r="P1" s="11"/>
    </row>
    <row r="2" spans="1:25" ht="22.5" customHeight="1" x14ac:dyDescent="0.2">
      <c r="A2" s="58"/>
      <c r="B2" s="25"/>
      <c r="C2" s="25"/>
      <c r="D2" s="59"/>
      <c r="E2" s="142" t="s">
        <v>81</v>
      </c>
      <c r="F2" s="142"/>
      <c r="G2" s="142"/>
      <c r="H2" s="142"/>
      <c r="I2" s="142"/>
      <c r="J2" s="142"/>
      <c r="K2" s="143"/>
      <c r="L2" s="144" t="s">
        <v>86</v>
      </c>
      <c r="M2" s="145"/>
      <c r="N2" s="146"/>
      <c r="P2" s="147"/>
      <c r="Q2" s="147"/>
      <c r="R2" s="147"/>
      <c r="S2" s="147"/>
      <c r="T2" s="147"/>
      <c r="U2" s="147"/>
      <c r="V2" s="147"/>
      <c r="W2" s="147"/>
      <c r="X2" s="147"/>
      <c r="Y2" s="147"/>
    </row>
    <row r="3" spans="1:25" ht="22.5" customHeight="1" x14ac:dyDescent="0.2">
      <c r="A3" s="58"/>
      <c r="B3" s="25"/>
      <c r="C3" s="25"/>
      <c r="D3" s="55"/>
      <c r="E3" s="142"/>
      <c r="F3" s="142"/>
      <c r="G3" s="142"/>
      <c r="H3" s="142"/>
      <c r="I3" s="142"/>
      <c r="J3" s="142"/>
      <c r="K3" s="143"/>
      <c r="L3" s="144" t="s">
        <v>70</v>
      </c>
      <c r="M3" s="145"/>
      <c r="N3" s="146"/>
      <c r="P3" s="148"/>
      <c r="Q3" s="148"/>
      <c r="R3" s="148"/>
    </row>
    <row r="4" spans="1:25" ht="22.5" customHeight="1" thickBot="1" x14ac:dyDescent="0.25">
      <c r="A4" s="60"/>
      <c r="B4" s="9"/>
      <c r="C4" s="9"/>
      <c r="D4" s="54"/>
      <c r="E4" s="149" t="s">
        <v>82</v>
      </c>
      <c r="F4" s="149"/>
      <c r="G4" s="149"/>
      <c r="H4" s="149"/>
      <c r="I4" s="149"/>
      <c r="J4" s="149"/>
      <c r="K4" s="150"/>
      <c r="L4" s="151" t="s">
        <v>87</v>
      </c>
      <c r="M4" s="152"/>
      <c r="N4" s="153"/>
      <c r="P4" s="11"/>
      <c r="Q4" s="154" t="s">
        <v>23</v>
      </c>
      <c r="R4" s="155" t="s">
        <v>63</v>
      </c>
      <c r="S4" s="120" t="s">
        <v>47</v>
      </c>
    </row>
    <row r="5" spans="1:25" ht="3.95" customHeight="1" thickBot="1" x14ac:dyDescent="0.25">
      <c r="A5" s="58"/>
      <c r="B5" s="25"/>
      <c r="C5" s="25"/>
      <c r="D5" s="25"/>
      <c r="E5" s="25"/>
      <c r="F5" s="25"/>
      <c r="G5" s="61"/>
      <c r="H5" s="25"/>
      <c r="I5" s="25"/>
      <c r="J5" s="25"/>
      <c r="K5" s="25"/>
      <c r="L5" s="25"/>
      <c r="M5" s="25"/>
      <c r="N5" s="62"/>
      <c r="P5" s="11"/>
      <c r="Q5" s="154"/>
      <c r="R5" s="156"/>
    </row>
    <row r="6" spans="1:25" ht="24.95" customHeight="1" x14ac:dyDescent="0.2">
      <c r="A6" s="157" t="s">
        <v>14</v>
      </c>
      <c r="B6" s="158"/>
      <c r="C6" s="159" t="s">
        <v>92</v>
      </c>
      <c r="D6" s="159"/>
      <c r="E6" s="159"/>
      <c r="F6" s="159"/>
      <c r="G6" s="159"/>
      <c r="H6" s="159"/>
      <c r="I6" s="159"/>
      <c r="J6" s="108" t="s">
        <v>10</v>
      </c>
      <c r="K6" s="160">
        <v>45924</v>
      </c>
      <c r="L6" s="160"/>
      <c r="M6" s="160"/>
      <c r="N6" s="161"/>
      <c r="P6" s="11"/>
      <c r="Q6" s="13"/>
      <c r="R6" s="14" t="s">
        <v>28</v>
      </c>
      <c r="S6" s="15" t="s">
        <v>48</v>
      </c>
    </row>
    <row r="7" spans="1:25" ht="24.95" customHeight="1" x14ac:dyDescent="0.2">
      <c r="A7" s="162" t="s">
        <v>15</v>
      </c>
      <c r="B7" s="163"/>
      <c r="C7" s="164" t="s">
        <v>93</v>
      </c>
      <c r="D7" s="164"/>
      <c r="E7" s="164"/>
      <c r="F7" s="164"/>
      <c r="G7" s="164"/>
      <c r="H7" s="164"/>
      <c r="I7" s="164"/>
      <c r="J7" s="26" t="s">
        <v>11</v>
      </c>
      <c r="K7" s="165">
        <v>45945</v>
      </c>
      <c r="L7" s="165"/>
      <c r="M7" s="165"/>
      <c r="N7" s="166"/>
      <c r="P7" s="11"/>
      <c r="Q7" s="16" t="s">
        <v>24</v>
      </c>
      <c r="R7" s="14" t="s">
        <v>29</v>
      </c>
      <c r="S7" s="15" t="s">
        <v>49</v>
      </c>
    </row>
    <row r="8" spans="1:25" ht="24.95" customHeight="1" x14ac:dyDescent="0.2">
      <c r="A8" s="162" t="s">
        <v>64</v>
      </c>
      <c r="B8" s="163"/>
      <c r="C8" s="238" t="s">
        <v>94</v>
      </c>
      <c r="D8" s="164"/>
      <c r="E8" s="164"/>
      <c r="F8" s="164"/>
      <c r="G8" s="164"/>
      <c r="H8" s="164"/>
      <c r="I8" s="164"/>
      <c r="J8" s="26" t="s">
        <v>12</v>
      </c>
      <c r="K8" s="165">
        <v>45965</v>
      </c>
      <c r="L8" s="165"/>
      <c r="M8" s="165"/>
      <c r="N8" s="166"/>
      <c r="P8" s="11"/>
      <c r="Q8" s="16" t="s">
        <v>25</v>
      </c>
      <c r="R8" s="14" t="s">
        <v>30</v>
      </c>
      <c r="S8" s="15" t="s">
        <v>50</v>
      </c>
    </row>
    <row r="9" spans="1:25" ht="24.95" customHeight="1" x14ac:dyDescent="0.2">
      <c r="A9" s="162" t="s">
        <v>16</v>
      </c>
      <c r="B9" s="163"/>
      <c r="C9" s="164" t="s">
        <v>95</v>
      </c>
      <c r="D9" s="164"/>
      <c r="E9" s="164"/>
      <c r="F9" s="164"/>
      <c r="G9" s="164"/>
      <c r="H9" s="164"/>
      <c r="I9" s="164"/>
      <c r="J9" s="26" t="s">
        <v>13</v>
      </c>
      <c r="K9" s="111" t="s">
        <v>69</v>
      </c>
      <c r="L9" s="112" t="s">
        <v>91</v>
      </c>
      <c r="M9" s="113" t="s">
        <v>1</v>
      </c>
      <c r="N9" s="114">
        <v>25</v>
      </c>
      <c r="P9" s="11"/>
      <c r="Q9" s="16" t="s">
        <v>26</v>
      </c>
      <c r="R9" s="17" t="s">
        <v>31</v>
      </c>
      <c r="S9" s="15" t="s">
        <v>51</v>
      </c>
    </row>
    <row r="10" spans="1:25" ht="24.75" customHeight="1" x14ac:dyDescent="0.2">
      <c r="A10" s="162" t="s">
        <v>17</v>
      </c>
      <c r="B10" s="163"/>
      <c r="C10" s="164" t="s">
        <v>96</v>
      </c>
      <c r="D10" s="164"/>
      <c r="E10" s="164"/>
      <c r="F10" s="164"/>
      <c r="G10" s="164"/>
      <c r="H10" s="164"/>
      <c r="I10" s="164"/>
      <c r="J10" s="26" t="s">
        <v>9</v>
      </c>
      <c r="K10" s="168" t="str">
        <f>+CONCATENATE(L9,," ",N9,"-",D12,"-",F12)</f>
        <v>058 25-PP4-4-5</v>
      </c>
      <c r="L10" s="168"/>
      <c r="M10" s="168"/>
      <c r="N10" s="169"/>
      <c r="P10" s="11"/>
      <c r="Q10" s="18" t="s">
        <v>27</v>
      </c>
      <c r="R10" s="17" t="s">
        <v>32</v>
      </c>
      <c r="S10" s="15"/>
    </row>
    <row r="11" spans="1:25" ht="3.95" customHeight="1" thickBot="1" x14ac:dyDescent="0.25">
      <c r="A11" s="162"/>
      <c r="B11" s="163"/>
      <c r="C11" s="119"/>
      <c r="D11" s="119"/>
      <c r="E11" s="119"/>
      <c r="F11" s="119"/>
      <c r="G11" s="63"/>
      <c r="H11" s="63"/>
      <c r="I11" s="63"/>
      <c r="J11" s="63"/>
      <c r="K11" s="63"/>
      <c r="L11" s="63"/>
      <c r="M11" s="63"/>
      <c r="N11" s="64"/>
      <c r="P11" s="11"/>
      <c r="R11" s="13"/>
      <c r="S11" s="15" t="s">
        <v>52</v>
      </c>
    </row>
    <row r="12" spans="1:25" ht="24.95" customHeight="1" x14ac:dyDescent="0.2">
      <c r="A12" s="157" t="s">
        <v>18</v>
      </c>
      <c r="B12" s="158"/>
      <c r="C12" s="121" t="s">
        <v>48</v>
      </c>
      <c r="D12" s="3" t="s">
        <v>104</v>
      </c>
      <c r="E12" s="4" t="s">
        <v>19</v>
      </c>
      <c r="F12" s="121">
        <v>5</v>
      </c>
      <c r="G12" s="4" t="s">
        <v>0</v>
      </c>
      <c r="H12" s="117">
        <v>1.8</v>
      </c>
      <c r="I12" s="7" t="s">
        <v>1</v>
      </c>
      <c r="J12" s="118">
        <v>2.25</v>
      </c>
      <c r="K12" s="65"/>
      <c r="L12" s="65"/>
      <c r="M12" s="65"/>
      <c r="N12" s="66"/>
      <c r="P12" s="11"/>
      <c r="R12" s="17" t="s">
        <v>33</v>
      </c>
      <c r="S12" s="15"/>
    </row>
    <row r="13" spans="1:25" ht="24.95" customHeight="1" x14ac:dyDescent="0.2">
      <c r="A13" s="162" t="s">
        <v>66</v>
      </c>
      <c r="B13" s="163"/>
      <c r="C13" s="170" t="s">
        <v>105</v>
      </c>
      <c r="D13" s="170"/>
      <c r="E13" s="170"/>
      <c r="F13" s="170"/>
      <c r="G13" s="170"/>
      <c r="H13" s="170"/>
      <c r="I13" s="170"/>
      <c r="J13" s="170"/>
      <c r="K13" s="170"/>
      <c r="L13" s="170"/>
      <c r="M13" s="170"/>
      <c r="N13" s="171"/>
      <c r="P13" s="11"/>
    </row>
    <row r="14" spans="1:25" ht="3.95" customHeight="1" thickBot="1" x14ac:dyDescent="0.3">
      <c r="A14" s="67"/>
      <c r="B14" s="68"/>
      <c r="C14" s="68"/>
      <c r="D14" s="68"/>
      <c r="E14" s="68"/>
      <c r="F14" s="68"/>
      <c r="G14" s="172"/>
      <c r="H14" s="172"/>
      <c r="I14" s="172"/>
      <c r="J14" s="69"/>
      <c r="K14" s="70"/>
      <c r="L14" s="70"/>
      <c r="M14" s="70"/>
      <c r="N14" s="71"/>
      <c r="P14" s="11"/>
    </row>
    <row r="15" spans="1:25" ht="3" customHeight="1" x14ac:dyDescent="0.25">
      <c r="A15" s="72"/>
      <c r="B15" s="73"/>
      <c r="C15" s="73"/>
      <c r="D15" s="73"/>
      <c r="E15" s="73"/>
      <c r="F15" s="73"/>
      <c r="G15" s="74"/>
      <c r="H15" s="75"/>
      <c r="I15" s="76"/>
      <c r="J15" s="74"/>
      <c r="K15" s="77"/>
      <c r="L15" s="77"/>
      <c r="M15" s="77"/>
      <c r="N15" s="78"/>
      <c r="P15" s="11"/>
    </row>
    <row r="16" spans="1:25" ht="9" customHeight="1" thickBot="1" x14ac:dyDescent="0.25">
      <c r="A16" s="79"/>
      <c r="B16" s="80"/>
      <c r="C16" s="80"/>
      <c r="D16" s="80"/>
      <c r="E16" s="80"/>
      <c r="F16" s="80"/>
      <c r="G16" s="81"/>
      <c r="H16" s="81"/>
      <c r="I16" s="81"/>
      <c r="J16" s="81"/>
      <c r="K16" s="81"/>
      <c r="L16" s="81"/>
      <c r="M16" s="81"/>
      <c r="N16" s="62"/>
      <c r="P16" s="11"/>
    </row>
    <row r="17" spans="1:33" ht="24.95" customHeight="1" thickBot="1" x14ac:dyDescent="0.35">
      <c r="A17" s="58"/>
      <c r="B17" s="173" t="s">
        <v>7</v>
      </c>
      <c r="C17" s="174"/>
      <c r="D17" s="174"/>
      <c r="E17" s="174"/>
      <c r="F17" s="174"/>
      <c r="G17" s="174"/>
      <c r="H17" s="173" t="s">
        <v>4</v>
      </c>
      <c r="I17" s="175"/>
      <c r="J17" s="82"/>
      <c r="K17" s="82"/>
      <c r="L17" s="82"/>
      <c r="M17" s="82"/>
      <c r="N17" s="83"/>
      <c r="O17" s="101">
        <f>E32</f>
        <v>2.38</v>
      </c>
      <c r="P17" s="97">
        <f>I32</f>
        <v>2.8299643281807372</v>
      </c>
      <c r="Q17" s="98">
        <f>B32</f>
        <v>2.3666666666666667</v>
      </c>
      <c r="R17" s="12">
        <f>Q17/P17</f>
        <v>0.83628851540616245</v>
      </c>
      <c r="S17" s="12">
        <f>O17/Q17</f>
        <v>1.0056338028169014</v>
      </c>
    </row>
    <row r="18" spans="1:33" ht="24.95" customHeight="1" x14ac:dyDescent="0.3">
      <c r="A18" s="58"/>
      <c r="B18" s="31" t="s">
        <v>57</v>
      </c>
      <c r="C18" s="176">
        <v>3.78</v>
      </c>
      <c r="D18" s="177"/>
      <c r="E18" s="50" t="s">
        <v>79</v>
      </c>
      <c r="F18" s="178">
        <f>F19/(1+I21/100)</f>
        <v>1.2110166651418846</v>
      </c>
      <c r="G18" s="179"/>
      <c r="H18" s="31" t="s">
        <v>58</v>
      </c>
      <c r="I18" s="34">
        <v>147.49</v>
      </c>
      <c r="J18" s="82"/>
      <c r="K18" s="84"/>
      <c r="L18" s="84"/>
      <c r="M18" s="84"/>
      <c r="N18" s="85"/>
      <c r="O18" s="100">
        <f>E37</f>
        <v>4.3600000000000003</v>
      </c>
      <c r="P18" s="99">
        <f>I37</f>
        <v>5.1843043995243772</v>
      </c>
      <c r="Q18" s="98">
        <f>B37</f>
        <v>4.3499999999999996</v>
      </c>
      <c r="R18" s="12">
        <f>Q18/P18</f>
        <v>0.83907110091743087</v>
      </c>
      <c r="S18" s="12">
        <f>O18/Q18</f>
        <v>1.0022988505747128</v>
      </c>
      <c r="AC18" s="11" t="s">
        <v>89</v>
      </c>
      <c r="AG18" s="1" t="s">
        <v>90</v>
      </c>
    </row>
    <row r="19" spans="1:33" ht="24.95" customHeight="1" x14ac:dyDescent="0.3">
      <c r="A19" s="58"/>
      <c r="B19" s="32" t="s">
        <v>36</v>
      </c>
      <c r="C19" s="180">
        <v>8.41</v>
      </c>
      <c r="D19" s="181"/>
      <c r="E19" s="51" t="s">
        <v>80</v>
      </c>
      <c r="F19" s="182">
        <f>+C21/(C20)</f>
        <v>1.5926428563701087</v>
      </c>
      <c r="G19" s="183"/>
      <c r="H19" s="32" t="s">
        <v>5</v>
      </c>
      <c r="I19" s="36">
        <v>123.14</v>
      </c>
      <c r="J19" s="82"/>
      <c r="K19" s="84"/>
      <c r="L19" s="84"/>
      <c r="M19" s="84"/>
      <c r="N19" s="85"/>
      <c r="O19" s="100">
        <f>E48</f>
        <v>8.65</v>
      </c>
      <c r="P19" s="97">
        <f>I48</f>
        <v>10.28537455410226</v>
      </c>
      <c r="Q19" s="98">
        <f>B48</f>
        <v>8.6833333333333336</v>
      </c>
      <c r="R19" s="12">
        <f>Q19/P19</f>
        <v>0.84424084778420039</v>
      </c>
      <c r="S19" s="12">
        <f>O19/Q19</f>
        <v>0.99616122840690979</v>
      </c>
    </row>
    <row r="20" spans="1:33" ht="24.95" customHeight="1" x14ac:dyDescent="0.3">
      <c r="A20" s="58"/>
      <c r="B20" s="32" t="s">
        <v>37</v>
      </c>
      <c r="C20" s="184">
        <f>(PI()*((C18^2)/4)*C19)</f>
        <v>94.377719021438907</v>
      </c>
      <c r="D20" s="185"/>
      <c r="E20" s="52" t="s">
        <v>22</v>
      </c>
      <c r="F20" s="186" t="s">
        <v>25</v>
      </c>
      <c r="G20" s="187"/>
      <c r="H20" s="32" t="s">
        <v>6</v>
      </c>
      <c r="I20" s="36">
        <v>45.87</v>
      </c>
      <c r="J20" s="82"/>
      <c r="K20" s="84"/>
      <c r="L20" s="84"/>
      <c r="M20" s="84"/>
      <c r="N20" s="85"/>
      <c r="O20" s="2"/>
      <c r="P20" s="96"/>
      <c r="Q20" s="11" t="s">
        <v>84</v>
      </c>
      <c r="R20" s="102">
        <f>(R17+R18+R19)/3</f>
        <v>0.83986682136926449</v>
      </c>
      <c r="S20" s="11"/>
    </row>
    <row r="21" spans="1:33" ht="24.95" customHeight="1" x14ac:dyDescent="0.3">
      <c r="A21" s="58"/>
      <c r="B21" s="32" t="s">
        <v>3</v>
      </c>
      <c r="C21" s="180">
        <v>150.31</v>
      </c>
      <c r="D21" s="181"/>
      <c r="E21" s="52" t="s">
        <v>59</v>
      </c>
      <c r="F21" s="194" t="s">
        <v>29</v>
      </c>
      <c r="G21" s="195"/>
      <c r="H21" s="35" t="s">
        <v>38</v>
      </c>
      <c r="I21" s="37">
        <f>(I18-I19)/(I19-I20)*100</f>
        <v>31.51287692506795</v>
      </c>
      <c r="J21" s="82"/>
      <c r="K21" s="84"/>
      <c r="L21" s="84"/>
      <c r="M21" s="84"/>
      <c r="N21" s="85"/>
      <c r="O21" s="2"/>
      <c r="P21" s="11"/>
      <c r="Q21" s="11" t="s">
        <v>83</v>
      </c>
      <c r="R21" s="102">
        <f>(S17+S18+S19)/3</f>
        <v>1.0013646272661745</v>
      </c>
      <c r="S21" s="11"/>
    </row>
    <row r="22" spans="1:33" ht="24.95" customHeight="1" thickBot="1" x14ac:dyDescent="0.35">
      <c r="A22" s="58"/>
      <c r="B22" s="33" t="s">
        <v>60</v>
      </c>
      <c r="C22" s="196">
        <f>(PI()*(C18*C18))/4</f>
        <v>11.222083117888099</v>
      </c>
      <c r="D22" s="197"/>
      <c r="E22" s="53" t="s">
        <v>34</v>
      </c>
      <c r="F22" s="198">
        <v>1</v>
      </c>
      <c r="G22" s="199"/>
      <c r="H22" s="94"/>
      <c r="I22" s="95"/>
      <c r="J22" s="82"/>
      <c r="K22" s="84"/>
      <c r="L22" s="84"/>
      <c r="M22" s="84"/>
      <c r="N22" s="85"/>
      <c r="O22" s="2"/>
      <c r="P22" s="11"/>
      <c r="Q22" s="11"/>
      <c r="R22" s="11"/>
      <c r="S22" s="11"/>
    </row>
    <row r="23" spans="1:33" ht="5.25" customHeight="1" thickBot="1" x14ac:dyDescent="0.35">
      <c r="A23" s="58"/>
      <c r="B23" s="86"/>
      <c r="C23" s="86"/>
      <c r="D23" s="86"/>
      <c r="E23" s="86"/>
      <c r="F23" s="86"/>
      <c r="G23" s="87"/>
      <c r="H23" s="87"/>
      <c r="I23" s="87"/>
      <c r="J23" s="87"/>
      <c r="K23" s="87"/>
      <c r="L23" s="87"/>
      <c r="M23" s="87"/>
      <c r="N23" s="83"/>
      <c r="P23" s="11"/>
    </row>
    <row r="24" spans="1:33" ht="24.95" customHeight="1" thickBot="1" x14ac:dyDescent="0.35">
      <c r="A24" s="58"/>
      <c r="B24" s="188" t="s">
        <v>45</v>
      </c>
      <c r="C24" s="190" t="s">
        <v>53</v>
      </c>
      <c r="D24" s="190" t="s">
        <v>65</v>
      </c>
      <c r="E24" s="192" t="s">
        <v>54</v>
      </c>
      <c r="F24" s="193"/>
      <c r="G24" s="192" t="s">
        <v>55</v>
      </c>
      <c r="H24" s="193"/>
      <c r="I24" s="190" t="s">
        <v>77</v>
      </c>
      <c r="J24" s="190" t="s">
        <v>78</v>
      </c>
      <c r="K24" s="190" t="s">
        <v>43</v>
      </c>
      <c r="L24" s="88"/>
      <c r="M24" s="88"/>
      <c r="N24" s="83"/>
      <c r="P24" s="239" t="s">
        <v>56</v>
      </c>
      <c r="Q24" s="243" t="s">
        <v>40</v>
      </c>
      <c r="R24" s="243" t="s">
        <v>35</v>
      </c>
      <c r="S24" s="239" t="s">
        <v>61</v>
      </c>
      <c r="T24" s="241" t="s">
        <v>46</v>
      </c>
    </row>
    <row r="25" spans="1:33" ht="24.95" customHeight="1" thickBot="1" x14ac:dyDescent="0.35">
      <c r="A25" s="58"/>
      <c r="B25" s="189"/>
      <c r="C25" s="191"/>
      <c r="D25" s="191"/>
      <c r="E25" s="103" t="s">
        <v>2</v>
      </c>
      <c r="F25" s="103" t="s">
        <v>42</v>
      </c>
      <c r="G25" s="103" t="s">
        <v>41</v>
      </c>
      <c r="H25" s="103" t="s">
        <v>44</v>
      </c>
      <c r="I25" s="191"/>
      <c r="J25" s="191"/>
      <c r="K25" s="191"/>
      <c r="L25" s="88"/>
      <c r="M25" s="88"/>
      <c r="N25" s="83"/>
      <c r="P25" s="240"/>
      <c r="Q25" s="244"/>
      <c r="R25" s="244"/>
      <c r="S25" s="240"/>
      <c r="T25" s="242"/>
    </row>
    <row r="26" spans="1:33" ht="24.95" customHeight="1" x14ac:dyDescent="0.3">
      <c r="A26" s="89"/>
      <c r="B26" s="38">
        <f>T26/60</f>
        <v>0</v>
      </c>
      <c r="C26" s="104">
        <f>R26</f>
        <v>0</v>
      </c>
      <c r="D26" s="41">
        <v>0</v>
      </c>
      <c r="E26" s="39">
        <f>S26</f>
        <v>0</v>
      </c>
      <c r="F26" s="41">
        <f>E26/25.4</f>
        <v>0</v>
      </c>
      <c r="G26" s="41">
        <v>0</v>
      </c>
      <c r="H26" s="42">
        <f>IF(D26="","",(D26/K26))</f>
        <v>0</v>
      </c>
      <c r="I26" s="41">
        <f>(E26/($C$19*10))*100</f>
        <v>0</v>
      </c>
      <c r="J26" s="43">
        <f>$C$22/(1-I26/100)</f>
        <v>11.222083117888099</v>
      </c>
      <c r="K26" s="109">
        <f>J26*0.155</f>
        <v>1.7394228832726553</v>
      </c>
      <c r="L26" s="90"/>
      <c r="M26" s="90"/>
      <c r="N26" s="83"/>
      <c r="O26" s="5">
        <v>0</v>
      </c>
      <c r="P26" s="19">
        <v>0</v>
      </c>
      <c r="Q26" s="19"/>
      <c r="R26" s="115">
        <v>0</v>
      </c>
      <c r="S26" s="20">
        <v>0</v>
      </c>
      <c r="T26" s="106">
        <v>0</v>
      </c>
    </row>
    <row r="27" spans="1:33" ht="24.95" customHeight="1" x14ac:dyDescent="0.3">
      <c r="A27" s="89"/>
      <c r="B27" s="38">
        <f>T27/60</f>
        <v>0.4</v>
      </c>
      <c r="C27" s="104">
        <f t="shared" ref="C27:C58" si="0">R27</f>
        <v>7.0000000000000001E-3</v>
      </c>
      <c r="D27" s="40">
        <f t="shared" ref="D27:D58" si="1">C27*0.224809*1000</f>
        <v>1.573663</v>
      </c>
      <c r="E27" s="39">
        <f>S27</f>
        <v>0.33</v>
      </c>
      <c r="F27" s="41">
        <f>E27/25.4</f>
        <v>1.299212598425197E-2</v>
      </c>
      <c r="G27" s="41">
        <f t="shared" ref="G27:G58" si="2">IF(C27="","",(C27/(J27/10000)))</f>
        <v>6.2132249653839926</v>
      </c>
      <c r="H27" s="42">
        <f t="shared" ref="H27:H58" si="3">IF(D27="","",(D27/K27))</f>
        <v>0.90115412338258705</v>
      </c>
      <c r="I27" s="41">
        <f t="shared" ref="I27:I58" si="4">(E27/($C$19*10))*100</f>
        <v>0.39239001189060646</v>
      </c>
      <c r="J27" s="43">
        <f>$C$22/(1-I27/100)</f>
        <v>11.266290918161504</v>
      </c>
      <c r="K27" s="109">
        <f t="shared" ref="K27:K58" si="5">J27*0.155</f>
        <v>1.7462750923150332</v>
      </c>
      <c r="L27" s="90"/>
      <c r="M27" s="90"/>
      <c r="N27" s="83"/>
      <c r="O27" s="6">
        <v>0</v>
      </c>
      <c r="P27" s="19">
        <v>1.2992100000000001E-2</v>
      </c>
      <c r="Q27" s="21"/>
      <c r="R27" s="115">
        <v>7.0000000000000001E-3</v>
      </c>
      <c r="S27" s="22">
        <v>0.33</v>
      </c>
      <c r="T27" s="106">
        <v>24</v>
      </c>
    </row>
    <row r="28" spans="1:33" ht="24.95" customHeight="1" x14ac:dyDescent="0.3">
      <c r="A28" s="89"/>
      <c r="B28" s="38">
        <f t="shared" ref="B28:B58" si="6">T28/60</f>
        <v>0.78333333333333333</v>
      </c>
      <c r="C28" s="104">
        <f t="shared" si="0"/>
        <v>0.01</v>
      </c>
      <c r="D28" s="40">
        <f t="shared" si="1"/>
        <v>2.2480900000000004</v>
      </c>
      <c r="E28" s="39">
        <f t="shared" ref="E28:E58" si="7">S28</f>
        <v>0.71</v>
      </c>
      <c r="F28" s="41">
        <f t="shared" ref="F28:F58" si="8">E28/25.4</f>
        <v>2.7952755905511811E-2</v>
      </c>
      <c r="G28" s="41">
        <f t="shared" si="2"/>
        <v>8.8357719242035362</v>
      </c>
      <c r="H28" s="42">
        <f t="shared" si="3"/>
        <v>1.2815232583924343</v>
      </c>
      <c r="I28" s="41">
        <f t="shared" si="4"/>
        <v>0.84423305588585029</v>
      </c>
      <c r="J28" s="43">
        <f t="shared" ref="J28:J58" si="9">$C$22/(1-I28/100)</f>
        <v>11.317630293972767</v>
      </c>
      <c r="K28" s="109">
        <f t="shared" si="5"/>
        <v>1.754232695565779</v>
      </c>
      <c r="L28" s="90"/>
      <c r="M28" s="90"/>
      <c r="N28" s="83"/>
      <c r="O28" s="6">
        <v>0.59499999999999997</v>
      </c>
      <c r="P28" s="19">
        <v>2.79527E-2</v>
      </c>
      <c r="Q28" s="21"/>
      <c r="R28" s="115">
        <v>0.01</v>
      </c>
      <c r="S28" s="22">
        <v>0.71</v>
      </c>
      <c r="T28" s="106">
        <v>47</v>
      </c>
    </row>
    <row r="29" spans="1:33" ht="24.95" customHeight="1" x14ac:dyDescent="0.3">
      <c r="A29" s="89"/>
      <c r="B29" s="38">
        <f>T29/60</f>
        <v>1.1833333333333333</v>
      </c>
      <c r="C29" s="104">
        <f t="shared" si="0"/>
        <v>1.2999999999999999E-2</v>
      </c>
      <c r="D29" s="40">
        <f t="shared" si="1"/>
        <v>2.922517</v>
      </c>
      <c r="E29" s="39">
        <f t="shared" si="7"/>
        <v>1.1399999999999999</v>
      </c>
      <c r="F29" s="41">
        <f t="shared" si="8"/>
        <v>4.4881889763779527E-2</v>
      </c>
      <c r="G29" s="41">
        <f t="shared" si="2"/>
        <v>11.427273419852535</v>
      </c>
      <c r="H29" s="42">
        <f t="shared" si="3"/>
        <v>1.6573896195120188</v>
      </c>
      <c r="I29" s="41">
        <f t="shared" si="4"/>
        <v>1.3555291319857312</v>
      </c>
      <c r="J29" s="43">
        <f t="shared" si="9"/>
        <v>11.376292071050978</v>
      </c>
      <c r="K29" s="109">
        <f t="shared" si="5"/>
        <v>1.7633252710129015</v>
      </c>
      <c r="L29" s="90"/>
      <c r="M29" s="90"/>
      <c r="N29" s="83"/>
      <c r="O29" s="6">
        <v>1.1120000000000001</v>
      </c>
      <c r="P29" s="19">
        <v>4.4881799999999999E-2</v>
      </c>
      <c r="Q29" s="21"/>
      <c r="R29" s="115">
        <v>1.2999999999999999E-2</v>
      </c>
      <c r="S29" s="22">
        <v>1.1399999999999999</v>
      </c>
      <c r="T29" s="106">
        <v>71</v>
      </c>
    </row>
    <row r="30" spans="1:33" ht="24.95" customHeight="1" x14ac:dyDescent="0.3">
      <c r="A30" s="89"/>
      <c r="B30" s="38">
        <f t="shared" si="6"/>
        <v>1.5833333333333333</v>
      </c>
      <c r="C30" s="104">
        <f t="shared" si="0"/>
        <v>1.4999999999999999E-2</v>
      </c>
      <c r="D30" s="40">
        <f t="shared" si="1"/>
        <v>3.3721350000000001</v>
      </c>
      <c r="E30" s="39">
        <f t="shared" si="7"/>
        <v>1.6</v>
      </c>
      <c r="F30" s="41">
        <f t="shared" si="8"/>
        <v>6.2992125984251982E-2</v>
      </c>
      <c r="G30" s="41">
        <f t="shared" si="2"/>
        <v>13.112205008036787</v>
      </c>
      <c r="H30" s="42">
        <f t="shared" si="3"/>
        <v>1.9017688359043499</v>
      </c>
      <c r="I30" s="41">
        <f t="shared" si="4"/>
        <v>1.902497027348395</v>
      </c>
      <c r="J30" s="43">
        <f t="shared" si="9"/>
        <v>11.439723517750171</v>
      </c>
      <c r="K30" s="109">
        <f t="shared" si="5"/>
        <v>1.7731571452512764</v>
      </c>
      <c r="L30" s="90"/>
      <c r="M30" s="90"/>
      <c r="N30" s="83"/>
      <c r="O30" s="6">
        <v>1.605</v>
      </c>
      <c r="P30" s="19">
        <v>6.2992000000000006E-2</v>
      </c>
      <c r="Q30" s="21"/>
      <c r="R30" s="115">
        <v>1.4999999999999999E-2</v>
      </c>
      <c r="S30" s="22">
        <v>1.6</v>
      </c>
      <c r="T30" s="106">
        <v>95</v>
      </c>
    </row>
    <row r="31" spans="1:33" ht="24.95" customHeight="1" x14ac:dyDescent="0.3">
      <c r="A31" s="89"/>
      <c r="B31" s="38">
        <f t="shared" si="6"/>
        <v>1.9833333333333334</v>
      </c>
      <c r="C31" s="104">
        <f t="shared" si="0"/>
        <v>1.7000000000000001E-2</v>
      </c>
      <c r="D31" s="40">
        <f t="shared" si="1"/>
        <v>3.8217530000000002</v>
      </c>
      <c r="E31" s="39">
        <f t="shared" si="7"/>
        <v>2.04</v>
      </c>
      <c r="F31" s="41">
        <f t="shared" si="8"/>
        <v>8.0314960629921273E-2</v>
      </c>
      <c r="G31" s="41">
        <f t="shared" si="2"/>
        <v>14.781243014393116</v>
      </c>
      <c r="H31" s="42">
        <f t="shared" si="3"/>
        <v>2.1438428779501302</v>
      </c>
      <c r="I31" s="41">
        <f t="shared" si="4"/>
        <v>2.4256837098692037</v>
      </c>
      <c r="J31" s="43">
        <f t="shared" si="9"/>
        <v>11.501062517845346</v>
      </c>
      <c r="K31" s="109">
        <f t="shared" si="5"/>
        <v>1.7826646902660286</v>
      </c>
      <c r="L31" s="90"/>
      <c r="M31" s="90"/>
      <c r="N31" s="83"/>
      <c r="O31" s="6">
        <v>2.0270000000000001</v>
      </c>
      <c r="P31" s="19">
        <v>8.0314800000000006E-2</v>
      </c>
      <c r="Q31" s="21"/>
      <c r="R31" s="115">
        <v>1.7000000000000001E-2</v>
      </c>
      <c r="S31" s="22">
        <v>2.04</v>
      </c>
      <c r="T31" s="106">
        <v>119</v>
      </c>
    </row>
    <row r="32" spans="1:33" ht="24.95" customHeight="1" x14ac:dyDescent="0.3">
      <c r="A32" s="89"/>
      <c r="B32" s="38">
        <f t="shared" si="6"/>
        <v>2.3666666666666667</v>
      </c>
      <c r="C32" s="104">
        <f t="shared" si="0"/>
        <v>1.9E-2</v>
      </c>
      <c r="D32" s="40">
        <f t="shared" si="1"/>
        <v>4.2713710000000003</v>
      </c>
      <c r="E32" s="39">
        <f t="shared" si="7"/>
        <v>2.38</v>
      </c>
      <c r="F32" s="41">
        <f t="shared" si="8"/>
        <v>9.3700787401574809E-2</v>
      </c>
      <c r="G32" s="41">
        <f t="shared" si="2"/>
        <v>16.45176442172005</v>
      </c>
      <c r="H32" s="42">
        <f t="shared" si="3"/>
        <v>2.3861320696015884</v>
      </c>
      <c r="I32" s="41">
        <f t="shared" si="4"/>
        <v>2.8299643281807372</v>
      </c>
      <c r="J32" s="43">
        <f t="shared" si="9"/>
        <v>11.548913242956303</v>
      </c>
      <c r="K32" s="109">
        <f t="shared" si="5"/>
        <v>1.790081552658227</v>
      </c>
      <c r="L32" s="90"/>
      <c r="M32" s="90"/>
      <c r="N32" s="83"/>
      <c r="O32" s="6">
        <v>2.4540000000000002</v>
      </c>
      <c r="P32" s="19">
        <v>9.3700599999999995E-2</v>
      </c>
      <c r="Q32" s="21"/>
      <c r="R32" s="115">
        <v>1.9E-2</v>
      </c>
      <c r="S32" s="22">
        <v>2.38</v>
      </c>
      <c r="T32" s="106">
        <v>142</v>
      </c>
    </row>
    <row r="33" spans="1:20" ht="24.95" customHeight="1" x14ac:dyDescent="0.3">
      <c r="A33" s="89"/>
      <c r="B33" s="38">
        <f t="shared" si="6"/>
        <v>2.7666666666666666</v>
      </c>
      <c r="C33" s="104">
        <f t="shared" si="0"/>
        <v>2.1000000000000001E-2</v>
      </c>
      <c r="D33" s="40">
        <f t="shared" si="1"/>
        <v>4.7209890000000003</v>
      </c>
      <c r="E33" s="39">
        <f t="shared" si="7"/>
        <v>2.74</v>
      </c>
      <c r="F33" s="41">
        <f t="shared" si="8"/>
        <v>0.10787401574803152</v>
      </c>
      <c r="G33" s="41">
        <f t="shared" si="2"/>
        <v>18.103425445277846</v>
      </c>
      <c r="H33" s="42">
        <f t="shared" si="3"/>
        <v>2.62568578769514</v>
      </c>
      <c r="I33" s="41">
        <f t="shared" si="4"/>
        <v>3.2580261593341264</v>
      </c>
      <c r="J33" s="43">
        <f t="shared" si="9"/>
        <v>11.600014628987083</v>
      </c>
      <c r="K33" s="109">
        <f t="shared" si="5"/>
        <v>1.7980022674929979</v>
      </c>
      <c r="L33" s="90"/>
      <c r="M33" s="90"/>
      <c r="N33" s="83"/>
      <c r="O33" s="6">
        <v>2.81</v>
      </c>
      <c r="P33" s="19">
        <v>0.10787380000000002</v>
      </c>
      <c r="Q33" s="21"/>
      <c r="R33" s="115">
        <v>2.1000000000000001E-2</v>
      </c>
      <c r="S33" s="22">
        <v>2.74</v>
      </c>
      <c r="T33" s="106">
        <v>166</v>
      </c>
    </row>
    <row r="34" spans="1:20" ht="24.95" customHeight="1" x14ac:dyDescent="0.3">
      <c r="A34" s="89"/>
      <c r="B34" s="38">
        <f t="shared" si="6"/>
        <v>3.1666666666666665</v>
      </c>
      <c r="C34" s="104">
        <f>R34</f>
        <v>2.3E-2</v>
      </c>
      <c r="D34" s="40">
        <f t="shared" si="1"/>
        <v>5.1706069999999995</v>
      </c>
      <c r="E34" s="39">
        <f t="shared" si="7"/>
        <v>3.11</v>
      </c>
      <c r="F34" s="41">
        <f t="shared" si="8"/>
        <v>0.12244094488188977</v>
      </c>
      <c r="G34" s="41">
        <f t="shared" si="2"/>
        <v>19.737391614400554</v>
      </c>
      <c r="H34" s="42">
        <f t="shared" si="3"/>
        <v>2.8626730783495313</v>
      </c>
      <c r="I34" s="41">
        <f t="shared" si="4"/>
        <v>3.6979785969084427</v>
      </c>
      <c r="J34" s="43">
        <f t="shared" si="9"/>
        <v>11.653008892633524</v>
      </c>
      <c r="K34" s="109">
        <f t="shared" si="5"/>
        <v>1.8062163783581962</v>
      </c>
      <c r="L34" s="90"/>
      <c r="M34" s="90"/>
      <c r="N34" s="83"/>
      <c r="O34" s="6">
        <v>3.2429999999999999</v>
      </c>
      <c r="P34" s="19">
        <v>0.1224407</v>
      </c>
      <c r="Q34" s="21"/>
      <c r="R34" s="115">
        <v>2.3E-2</v>
      </c>
      <c r="S34" s="22">
        <v>3.11</v>
      </c>
      <c r="T34" s="106">
        <v>190</v>
      </c>
    </row>
    <row r="35" spans="1:20" ht="24.95" customHeight="1" x14ac:dyDescent="0.3">
      <c r="A35" s="89"/>
      <c r="B35" s="38">
        <f t="shared" si="6"/>
        <v>3.55</v>
      </c>
      <c r="C35" s="104">
        <f t="shared" si="0"/>
        <v>2.4E-2</v>
      </c>
      <c r="D35" s="40">
        <f t="shared" si="1"/>
        <v>5.395416</v>
      </c>
      <c r="E35" s="39">
        <f t="shared" si="7"/>
        <v>3.49</v>
      </c>
      <c r="F35" s="41">
        <f t="shared" si="8"/>
        <v>0.13740157480314963</v>
      </c>
      <c r="G35" s="41">
        <f t="shared" si="2"/>
        <v>20.498906098382456</v>
      </c>
      <c r="H35" s="42">
        <f t="shared" si="3"/>
        <v>2.9731216652072661</v>
      </c>
      <c r="I35" s="41">
        <f t="shared" si="4"/>
        <v>4.1498216409036868</v>
      </c>
      <c r="J35" s="43">
        <f t="shared" si="9"/>
        <v>11.707941821292508</v>
      </c>
      <c r="K35" s="109">
        <f t="shared" si="5"/>
        <v>1.8147309823003386</v>
      </c>
      <c r="L35" s="90"/>
      <c r="M35" s="90"/>
      <c r="N35" s="83"/>
      <c r="O35" s="6">
        <v>3.6720000000000002</v>
      </c>
      <c r="P35" s="19">
        <v>0.1374013</v>
      </c>
      <c r="Q35" s="21"/>
      <c r="R35" s="115">
        <v>2.4E-2</v>
      </c>
      <c r="S35" s="22">
        <v>3.49</v>
      </c>
      <c r="T35" s="106">
        <v>213</v>
      </c>
    </row>
    <row r="36" spans="1:20" ht="24.95" customHeight="1" x14ac:dyDescent="0.3">
      <c r="A36" s="89"/>
      <c r="B36" s="38">
        <f t="shared" si="6"/>
        <v>3.95</v>
      </c>
      <c r="C36" s="104">
        <f t="shared" si="0"/>
        <v>2.5999999999999999E-2</v>
      </c>
      <c r="D36" s="40">
        <f t="shared" si="1"/>
        <v>5.8450340000000001</v>
      </c>
      <c r="E36" s="39">
        <f t="shared" si="7"/>
        <v>3.9</v>
      </c>
      <c r="F36" s="41">
        <f t="shared" si="8"/>
        <v>0.15354330708661418</v>
      </c>
      <c r="G36" s="41">
        <f t="shared" si="2"/>
        <v>22.094197885057216</v>
      </c>
      <c r="H36" s="42">
        <f t="shared" si="3"/>
        <v>3.2044996982850504</v>
      </c>
      <c r="I36" s="41">
        <f t="shared" si="4"/>
        <v>4.6373365041617127</v>
      </c>
      <c r="J36" s="43">
        <f t="shared" si="9"/>
        <v>11.767795389206848</v>
      </c>
      <c r="K36" s="109">
        <f t="shared" si="5"/>
        <v>1.8240082853270614</v>
      </c>
      <c r="L36" s="90"/>
      <c r="M36" s="90"/>
      <c r="N36" s="83"/>
      <c r="O36" s="6">
        <v>4.0990000000000002</v>
      </c>
      <c r="P36" s="19">
        <v>0.15354300000000001</v>
      </c>
      <c r="Q36" s="21"/>
      <c r="R36" s="115">
        <v>2.5999999999999999E-2</v>
      </c>
      <c r="S36" s="22">
        <v>3.9</v>
      </c>
      <c r="T36" s="106">
        <v>237</v>
      </c>
    </row>
    <row r="37" spans="1:20" ht="24.95" customHeight="1" x14ac:dyDescent="0.3">
      <c r="A37" s="89"/>
      <c r="B37" s="38">
        <f t="shared" si="6"/>
        <v>4.3499999999999996</v>
      </c>
      <c r="C37" s="104">
        <f t="shared" si="0"/>
        <v>2.7E-2</v>
      </c>
      <c r="D37" s="40">
        <f t="shared" si="1"/>
        <v>6.0698430000000005</v>
      </c>
      <c r="E37" s="39">
        <f t="shared" si="7"/>
        <v>4.3600000000000003</v>
      </c>
      <c r="F37" s="41">
        <f t="shared" si="8"/>
        <v>0.17165354330708663</v>
      </c>
      <c r="G37" s="41">
        <f t="shared" si="2"/>
        <v>22.812375869254982</v>
      </c>
      <c r="H37" s="42">
        <f t="shared" si="3"/>
        <v>3.3086628430911897</v>
      </c>
      <c r="I37" s="41">
        <f t="shared" si="4"/>
        <v>5.1843043995243772</v>
      </c>
      <c r="J37" s="43">
        <f t="shared" si="9"/>
        <v>11.8356808404112</v>
      </c>
      <c r="K37" s="109">
        <f t="shared" si="5"/>
        <v>1.834530530263736</v>
      </c>
      <c r="L37" s="90"/>
      <c r="M37" s="90"/>
      <c r="N37" s="83"/>
      <c r="O37" s="6">
        <v>4.4050000000000002</v>
      </c>
      <c r="P37" s="19">
        <v>0.17165320000000003</v>
      </c>
      <c r="Q37" s="21"/>
      <c r="R37" s="115">
        <v>2.7E-2</v>
      </c>
      <c r="S37" s="22">
        <v>4.3600000000000003</v>
      </c>
      <c r="T37" s="106">
        <v>261</v>
      </c>
    </row>
    <row r="38" spans="1:20" ht="24.95" customHeight="1" x14ac:dyDescent="0.3">
      <c r="A38" s="89"/>
      <c r="B38" s="38">
        <f t="shared" si="6"/>
        <v>4.7333333333333334</v>
      </c>
      <c r="C38" s="104">
        <f t="shared" si="0"/>
        <v>2.8000000000000001E-2</v>
      </c>
      <c r="D38" s="40">
        <f t="shared" si="1"/>
        <v>6.2946520000000001</v>
      </c>
      <c r="E38" s="39">
        <f t="shared" si="7"/>
        <v>4.82</v>
      </c>
      <c r="F38" s="41">
        <f t="shared" si="8"/>
        <v>0.18976377952755907</v>
      </c>
      <c r="G38" s="41">
        <f t="shared" si="2"/>
        <v>23.520805789931622</v>
      </c>
      <c r="H38" s="42">
        <f t="shared" si="3"/>
        <v>3.4114121476314434</v>
      </c>
      <c r="I38" s="41">
        <f t="shared" si="4"/>
        <v>5.7312722948870398</v>
      </c>
      <c r="J38" s="43">
        <f t="shared" si="9"/>
        <v>11.904354064258188</v>
      </c>
      <c r="K38" s="109">
        <f t="shared" si="5"/>
        <v>1.8451748799600192</v>
      </c>
      <c r="L38" s="90"/>
      <c r="M38" s="90"/>
      <c r="N38" s="83"/>
      <c r="O38" s="6">
        <v>4.83</v>
      </c>
      <c r="P38" s="19">
        <v>0.18976340000000003</v>
      </c>
      <c r="Q38" s="21"/>
      <c r="R38" s="115">
        <v>2.8000000000000001E-2</v>
      </c>
      <c r="S38" s="22">
        <v>4.82</v>
      </c>
      <c r="T38" s="106">
        <v>284</v>
      </c>
    </row>
    <row r="39" spans="1:20" ht="24.95" customHeight="1" x14ac:dyDescent="0.3">
      <c r="A39" s="89"/>
      <c r="B39" s="38">
        <f t="shared" si="6"/>
        <v>5.1333333333333337</v>
      </c>
      <c r="C39" s="104">
        <f t="shared" si="0"/>
        <v>0.03</v>
      </c>
      <c r="D39" s="40">
        <f t="shared" si="1"/>
        <v>6.7442700000000002</v>
      </c>
      <c r="E39" s="39">
        <f t="shared" si="7"/>
        <v>5.21</v>
      </c>
      <c r="F39" s="41">
        <f t="shared" si="8"/>
        <v>0.20511811023622048</v>
      </c>
      <c r="G39" s="41">
        <f t="shared" si="2"/>
        <v>25.076893408097508</v>
      </c>
      <c r="H39" s="42">
        <f t="shared" si="3"/>
        <v>3.6371040839877371</v>
      </c>
      <c r="I39" s="41">
        <f t="shared" si="4"/>
        <v>6.1950059453032109</v>
      </c>
      <c r="J39" s="43">
        <f t="shared" si="9"/>
        <v>11.963204337867779</v>
      </c>
      <c r="K39" s="109">
        <f t="shared" si="5"/>
        <v>1.8542966723695058</v>
      </c>
      <c r="L39" s="90"/>
      <c r="M39" s="90"/>
      <c r="N39" s="83"/>
      <c r="O39" s="6">
        <v>5.2560000000000002</v>
      </c>
      <c r="P39" s="19">
        <v>0.20511770000000001</v>
      </c>
      <c r="Q39" s="21"/>
      <c r="R39" s="115">
        <v>0.03</v>
      </c>
      <c r="S39" s="22">
        <v>5.21</v>
      </c>
      <c r="T39" s="106">
        <v>308</v>
      </c>
    </row>
    <row r="40" spans="1:20" ht="24.95" customHeight="1" x14ac:dyDescent="0.3">
      <c r="A40" s="89"/>
      <c r="B40" s="38">
        <f t="shared" si="6"/>
        <v>5.5333333333333332</v>
      </c>
      <c r="C40" s="104">
        <f t="shared" si="0"/>
        <v>3.1E-2</v>
      </c>
      <c r="D40" s="40">
        <f t="shared" si="1"/>
        <v>6.9690790000000007</v>
      </c>
      <c r="E40" s="39">
        <f t="shared" si="7"/>
        <v>5.57</v>
      </c>
      <c r="F40" s="41">
        <f t="shared" si="8"/>
        <v>0.21929133858267719</v>
      </c>
      <c r="G40" s="41">
        <f t="shared" si="2"/>
        <v>25.794541606234336</v>
      </c>
      <c r="H40" s="42">
        <f t="shared" si="3"/>
        <v>3.7411903896489909</v>
      </c>
      <c r="I40" s="41">
        <f t="shared" si="4"/>
        <v>6.6230677764565993</v>
      </c>
      <c r="J40" s="43">
        <f t="shared" si="9"/>
        <v>12.018046481782621</v>
      </c>
      <c r="K40" s="109">
        <f t="shared" si="5"/>
        <v>1.8627972046763062</v>
      </c>
      <c r="L40" s="90"/>
      <c r="M40" s="90"/>
      <c r="N40" s="83"/>
      <c r="O40" s="6">
        <v>5.593</v>
      </c>
      <c r="P40" s="19">
        <v>0.21929090000000001</v>
      </c>
      <c r="Q40" s="21"/>
      <c r="R40" s="115">
        <v>3.1E-2</v>
      </c>
      <c r="S40" s="22">
        <v>5.57</v>
      </c>
      <c r="T40" s="106">
        <v>332</v>
      </c>
    </row>
    <row r="41" spans="1:20" ht="24.95" customHeight="1" x14ac:dyDescent="0.3">
      <c r="A41" s="89"/>
      <c r="B41" s="38">
        <f t="shared" si="6"/>
        <v>5.9333333333333336</v>
      </c>
      <c r="C41" s="104">
        <f t="shared" si="0"/>
        <v>3.2000000000000001E-2</v>
      </c>
      <c r="D41" s="40">
        <f t="shared" si="1"/>
        <v>7.1938880000000003</v>
      </c>
      <c r="E41" s="39">
        <f t="shared" si="7"/>
        <v>5.94</v>
      </c>
      <c r="F41" s="41">
        <f t="shared" si="8"/>
        <v>0.23385826771653545</v>
      </c>
      <c r="G41" s="41">
        <f t="shared" si="2"/>
        <v>26.501170254303815</v>
      </c>
      <c r="H41" s="42">
        <f t="shared" si="3"/>
        <v>3.8436784410966367</v>
      </c>
      <c r="I41" s="41">
        <f t="shared" si="4"/>
        <v>7.0630202140309173</v>
      </c>
      <c r="J41" s="43">
        <f t="shared" si="9"/>
        <v>12.074938462313064</v>
      </c>
      <c r="K41" s="109">
        <f t="shared" si="5"/>
        <v>1.8716154616585248</v>
      </c>
      <c r="L41" s="90"/>
      <c r="M41" s="90"/>
      <c r="N41" s="83"/>
      <c r="O41" s="6">
        <v>6.0650000000000004</v>
      </c>
      <c r="P41" s="19">
        <v>0.23385780000000003</v>
      </c>
      <c r="Q41" s="21"/>
      <c r="R41" s="115">
        <v>3.2000000000000001E-2</v>
      </c>
      <c r="S41" s="22">
        <v>5.94</v>
      </c>
      <c r="T41" s="106">
        <v>356</v>
      </c>
    </row>
    <row r="42" spans="1:20" ht="24.95" customHeight="1" x14ac:dyDescent="0.3">
      <c r="A42" s="89"/>
      <c r="B42" s="38">
        <f t="shared" si="6"/>
        <v>6.3166666666666664</v>
      </c>
      <c r="C42" s="104">
        <f t="shared" si="0"/>
        <v>3.3000000000000002E-2</v>
      </c>
      <c r="D42" s="40">
        <f t="shared" si="1"/>
        <v>7.4186970000000008</v>
      </c>
      <c r="E42" s="39">
        <f t="shared" si="7"/>
        <v>6.28</v>
      </c>
      <c r="F42" s="41">
        <f t="shared" si="8"/>
        <v>0.24724409448818899</v>
      </c>
      <c r="G42" s="41">
        <f t="shared" si="2"/>
        <v>27.210447832677936</v>
      </c>
      <c r="H42" s="42">
        <f t="shared" si="3"/>
        <v>3.9465506882687067</v>
      </c>
      <c r="I42" s="41">
        <f t="shared" si="4"/>
        <v>7.4673008323424508</v>
      </c>
      <c r="J42" s="43">
        <f t="shared" si="9"/>
        <v>12.127694554284107</v>
      </c>
      <c r="K42" s="109">
        <f t="shared" si="5"/>
        <v>1.8797926559140365</v>
      </c>
      <c r="L42" s="90"/>
      <c r="M42" s="90"/>
      <c r="N42" s="83"/>
      <c r="O42" s="6">
        <v>6.5289999999999999</v>
      </c>
      <c r="P42" s="19">
        <v>0.24724360000000004</v>
      </c>
      <c r="Q42" s="21"/>
      <c r="R42" s="115">
        <v>3.3000000000000002E-2</v>
      </c>
      <c r="S42" s="22">
        <v>6.28</v>
      </c>
      <c r="T42" s="106">
        <v>379</v>
      </c>
    </row>
    <row r="43" spans="1:20" ht="24.95" customHeight="1" x14ac:dyDescent="0.3">
      <c r="A43" s="89"/>
      <c r="B43" s="38">
        <f t="shared" si="6"/>
        <v>6.7166666666666668</v>
      </c>
      <c r="C43" s="104">
        <f t="shared" si="0"/>
        <v>3.5000000000000003E-2</v>
      </c>
      <c r="D43" s="40">
        <f t="shared" si="1"/>
        <v>7.8683150000000008</v>
      </c>
      <c r="E43" s="39">
        <f t="shared" si="7"/>
        <v>6.67</v>
      </c>
      <c r="F43" s="41">
        <f t="shared" si="8"/>
        <v>0.26259842519685039</v>
      </c>
      <c r="G43" s="41">
        <f t="shared" si="2"/>
        <v>28.714934288509166</v>
      </c>
      <c r="H43" s="42">
        <f t="shared" si="3"/>
        <v>4.1647584919131981</v>
      </c>
      <c r="I43" s="41">
        <f t="shared" si="4"/>
        <v>7.931034482758621</v>
      </c>
      <c r="J43" s="43">
        <f t="shared" si="9"/>
        <v>12.188779416432768</v>
      </c>
      <c r="K43" s="109">
        <f t="shared" si="5"/>
        <v>1.8892608095470789</v>
      </c>
      <c r="L43" s="90"/>
      <c r="M43" s="90"/>
      <c r="N43" s="83"/>
      <c r="O43" s="6">
        <v>6.9450000000000003</v>
      </c>
      <c r="P43" s="19">
        <v>0.2625979</v>
      </c>
      <c r="Q43" s="21"/>
      <c r="R43" s="115">
        <v>3.5000000000000003E-2</v>
      </c>
      <c r="S43" s="22">
        <v>6.67</v>
      </c>
      <c r="T43" s="106">
        <v>403</v>
      </c>
    </row>
    <row r="44" spans="1:20" ht="24.95" customHeight="1" x14ac:dyDescent="0.3">
      <c r="A44" s="89"/>
      <c r="B44" s="38">
        <f t="shared" si="6"/>
        <v>7.1166666666666663</v>
      </c>
      <c r="C44" s="104">
        <f t="shared" si="0"/>
        <v>3.5999999999999997E-2</v>
      </c>
      <c r="D44" s="40">
        <f t="shared" si="1"/>
        <v>8.0931239999999995</v>
      </c>
      <c r="E44" s="39">
        <f t="shared" si="7"/>
        <v>7.12</v>
      </c>
      <c r="F44" s="41">
        <f t="shared" si="8"/>
        <v>0.28031496062992128</v>
      </c>
      <c r="G44" s="41">
        <f t="shared" si="2"/>
        <v>29.363710298725</v>
      </c>
      <c r="H44" s="42">
        <f t="shared" si="3"/>
        <v>4.2588557087393983</v>
      </c>
      <c r="I44" s="41">
        <f t="shared" si="4"/>
        <v>8.4661117717003584</v>
      </c>
      <c r="J44" s="43">
        <f t="shared" si="9"/>
        <v>12.260031049810198</v>
      </c>
      <c r="K44" s="109">
        <f t="shared" si="5"/>
        <v>1.9003048127205808</v>
      </c>
      <c r="L44" s="90"/>
      <c r="M44" s="90"/>
      <c r="N44" s="83"/>
      <c r="O44" s="6">
        <v>7.2439999999999998</v>
      </c>
      <c r="P44" s="19">
        <v>0.28031440000000002</v>
      </c>
      <c r="Q44" s="21"/>
      <c r="R44" s="115">
        <v>3.5999999999999997E-2</v>
      </c>
      <c r="S44" s="22">
        <v>7.12</v>
      </c>
      <c r="T44" s="106">
        <v>427</v>
      </c>
    </row>
    <row r="45" spans="1:20" ht="24.95" customHeight="1" x14ac:dyDescent="0.3">
      <c r="A45" s="89"/>
      <c r="B45" s="38">
        <f t="shared" si="6"/>
        <v>7.5</v>
      </c>
      <c r="C45" s="104">
        <f t="shared" si="0"/>
        <v>3.6999999999999998E-2</v>
      </c>
      <c r="D45" s="40">
        <f t="shared" si="1"/>
        <v>8.317933</v>
      </c>
      <c r="E45" s="39">
        <f t="shared" si="7"/>
        <v>7.58</v>
      </c>
      <c r="F45" s="41">
        <f>E45/25.4</f>
        <v>0.2984251968503937</v>
      </c>
      <c r="G45" s="41">
        <f t="shared" si="2"/>
        <v>29.999029742993191</v>
      </c>
      <c r="H45" s="42">
        <f t="shared" si="3"/>
        <v>4.3510012112855208</v>
      </c>
      <c r="I45" s="41">
        <f t="shared" si="4"/>
        <v>9.0130796670630211</v>
      </c>
      <c r="J45" s="43">
        <f>$C$22/(1-I45/100)</f>
        <v>12.333732229670531</v>
      </c>
      <c r="K45" s="109">
        <f t="shared" si="5"/>
        <v>1.9117284955989322</v>
      </c>
      <c r="L45" s="90"/>
      <c r="M45" s="90"/>
      <c r="N45" s="83"/>
      <c r="O45" s="6">
        <v>7.7009999999999996</v>
      </c>
      <c r="P45" s="19">
        <v>0.29842460000000004</v>
      </c>
      <c r="Q45" s="21"/>
      <c r="R45" s="115">
        <v>3.6999999999999998E-2</v>
      </c>
      <c r="S45" s="22">
        <v>7.58</v>
      </c>
      <c r="T45" s="106">
        <v>450</v>
      </c>
    </row>
    <row r="46" spans="1:20" ht="24.95" customHeight="1" x14ac:dyDescent="0.3">
      <c r="A46" s="89"/>
      <c r="B46" s="38">
        <f t="shared" si="6"/>
        <v>7.9</v>
      </c>
      <c r="C46" s="104">
        <f t="shared" si="0"/>
        <v>3.6999999999999998E-2</v>
      </c>
      <c r="D46" s="40">
        <f t="shared" si="1"/>
        <v>8.317933</v>
      </c>
      <c r="E46" s="39">
        <f t="shared" si="7"/>
        <v>7.95</v>
      </c>
      <c r="F46" s="41">
        <f t="shared" si="8"/>
        <v>0.31299212598425197</v>
      </c>
      <c r="G46" s="41">
        <f t="shared" si="2"/>
        <v>29.853974319510339</v>
      </c>
      <c r="H46" s="42">
        <f t="shared" si="3"/>
        <v>4.3299626534160005</v>
      </c>
      <c r="I46" s="41">
        <f t="shared" si="4"/>
        <v>9.4530321046373373</v>
      </c>
      <c r="J46" s="43">
        <f t="shared" si="9"/>
        <v>12.393659753307801</v>
      </c>
      <c r="K46" s="109">
        <f t="shared" si="5"/>
        <v>1.9210172617627093</v>
      </c>
      <c r="L46" s="90"/>
      <c r="M46" s="90"/>
      <c r="N46" s="83"/>
      <c r="O46" s="6">
        <v>8.1920000000000002</v>
      </c>
      <c r="P46" s="19">
        <v>0.31299150000000003</v>
      </c>
      <c r="Q46" s="21"/>
      <c r="R46" s="115">
        <v>3.6999999999999998E-2</v>
      </c>
      <c r="S46" s="22">
        <v>7.95</v>
      </c>
      <c r="T46" s="106">
        <v>474</v>
      </c>
    </row>
    <row r="47" spans="1:20" ht="24.95" customHeight="1" x14ac:dyDescent="0.3">
      <c r="A47" s="89"/>
      <c r="B47" s="38">
        <f t="shared" si="6"/>
        <v>8.3000000000000007</v>
      </c>
      <c r="C47" s="104">
        <f t="shared" si="0"/>
        <v>3.7999999999999999E-2</v>
      </c>
      <c r="D47" s="40">
        <f t="shared" si="1"/>
        <v>8.5427420000000005</v>
      </c>
      <c r="E47" s="39">
        <f t="shared" si="7"/>
        <v>8.32</v>
      </c>
      <c r="F47" s="41">
        <f t="shared" si="8"/>
        <v>0.32755905511811029</v>
      </c>
      <c r="G47" s="41">
        <f t="shared" si="2"/>
        <v>30.51186264997418</v>
      </c>
      <c r="H47" s="42">
        <f t="shared" si="3"/>
        <v>4.4253815035342239</v>
      </c>
      <c r="I47" s="41">
        <f t="shared" si="4"/>
        <v>9.8929845422116536</v>
      </c>
      <c r="J47" s="43">
        <f t="shared" si="9"/>
        <v>12.454172475777106</v>
      </c>
      <c r="K47" s="109">
        <f t="shared" si="5"/>
        <v>1.9303967337454515</v>
      </c>
      <c r="L47" s="90"/>
      <c r="M47" s="90"/>
      <c r="N47" s="83"/>
      <c r="O47" s="6">
        <v>8.5820000000000007</v>
      </c>
      <c r="P47" s="19">
        <v>0.32755840000000003</v>
      </c>
      <c r="Q47" s="21"/>
      <c r="R47" s="115">
        <v>3.7999999999999999E-2</v>
      </c>
      <c r="S47" s="22">
        <v>8.32</v>
      </c>
      <c r="T47" s="106">
        <v>498</v>
      </c>
    </row>
    <row r="48" spans="1:20" ht="24.95" customHeight="1" x14ac:dyDescent="0.3">
      <c r="A48" s="89"/>
      <c r="B48" s="38">
        <f t="shared" si="6"/>
        <v>8.6833333333333336</v>
      </c>
      <c r="C48" s="104">
        <f t="shared" si="0"/>
        <v>3.9E-2</v>
      </c>
      <c r="D48" s="40">
        <f t="shared" si="1"/>
        <v>8.767551000000001</v>
      </c>
      <c r="E48" s="39">
        <f t="shared" si="7"/>
        <v>8.65</v>
      </c>
      <c r="F48" s="41">
        <f t="shared" si="8"/>
        <v>0.34055118110236221</v>
      </c>
      <c r="G48" s="41">
        <f t="shared" si="2"/>
        <v>31.17843947183729</v>
      </c>
      <c r="H48" s="42">
        <f t="shared" si="3"/>
        <v>4.5220605156285618</v>
      </c>
      <c r="I48" s="41">
        <f t="shared" si="4"/>
        <v>10.28537455410226</v>
      </c>
      <c r="J48" s="43">
        <f t="shared" si="9"/>
        <v>12.508644005492235</v>
      </c>
      <c r="K48" s="109">
        <f t="shared" si="5"/>
        <v>1.9388398208512962</v>
      </c>
      <c r="L48" s="90"/>
      <c r="M48" s="90"/>
      <c r="N48" s="83"/>
      <c r="O48" s="6">
        <v>9.0809999999999995</v>
      </c>
      <c r="P48" s="19">
        <v>0.34055050000000003</v>
      </c>
      <c r="Q48" s="21"/>
      <c r="R48" s="115">
        <v>3.9E-2</v>
      </c>
      <c r="S48" s="22">
        <v>8.65</v>
      </c>
      <c r="T48" s="106">
        <v>521</v>
      </c>
    </row>
    <row r="49" spans="1:20" ht="24.95" customHeight="1" x14ac:dyDescent="0.3">
      <c r="A49" s="89"/>
      <c r="B49" s="38">
        <f t="shared" si="6"/>
        <v>9.0833333333333339</v>
      </c>
      <c r="C49" s="104">
        <f t="shared" si="0"/>
        <v>0.04</v>
      </c>
      <c r="D49" s="40">
        <f t="shared" si="1"/>
        <v>8.9923600000000015</v>
      </c>
      <c r="E49" s="39">
        <f t="shared" si="7"/>
        <v>9.0289999999999999</v>
      </c>
      <c r="F49" s="41">
        <f t="shared" si="8"/>
        <v>0.3554724409448819</v>
      </c>
      <c r="G49" s="41">
        <f t="shared" si="2"/>
        <v>31.817255504107621</v>
      </c>
      <c r="H49" s="42">
        <f t="shared" si="3"/>
        <v>4.6147131565309234</v>
      </c>
      <c r="I49" s="41">
        <f t="shared" si="4"/>
        <v>10.736028537455411</v>
      </c>
      <c r="J49" s="43">
        <f t="shared" si="9"/>
        <v>12.571794570664959</v>
      </c>
      <c r="K49" s="109">
        <f t="shared" si="5"/>
        <v>1.9486281584530687</v>
      </c>
      <c r="L49" s="90"/>
      <c r="M49" s="90"/>
      <c r="N49" s="83"/>
      <c r="O49" s="6">
        <v>9.5820000000000007</v>
      </c>
      <c r="P49" s="19">
        <v>0.35547173000000004</v>
      </c>
      <c r="Q49" s="21"/>
      <c r="R49" s="115">
        <v>0.04</v>
      </c>
      <c r="S49" s="22">
        <v>9.0289999999999999</v>
      </c>
      <c r="T49" s="106">
        <v>545</v>
      </c>
    </row>
    <row r="50" spans="1:20" ht="24.95" customHeight="1" x14ac:dyDescent="0.3">
      <c r="A50" s="89"/>
      <c r="B50" s="38">
        <f t="shared" si="6"/>
        <v>9.4833333333333325</v>
      </c>
      <c r="C50" s="104">
        <f t="shared" si="0"/>
        <v>4.2000000000000003E-2</v>
      </c>
      <c r="D50" s="40">
        <f t="shared" si="1"/>
        <v>9.4419780000000006</v>
      </c>
      <c r="E50" s="39">
        <f t="shared" si="7"/>
        <v>9.42</v>
      </c>
      <c r="F50" s="41">
        <f>E50/25.4</f>
        <v>0.37086614173228349</v>
      </c>
      <c r="G50" s="41">
        <f t="shared" si="2"/>
        <v>33.2341153454609</v>
      </c>
      <c r="H50" s="42">
        <f t="shared" si="3"/>
        <v>4.8202117656114316</v>
      </c>
      <c r="I50" s="41">
        <f t="shared" si="4"/>
        <v>11.200951248513674</v>
      </c>
      <c r="J50" s="43">
        <f t="shared" si="9"/>
        <v>12.637616366020209</v>
      </c>
      <c r="K50" s="109">
        <f t="shared" si="5"/>
        <v>1.9588305367331325</v>
      </c>
      <c r="L50" s="90"/>
      <c r="M50" s="90"/>
      <c r="N50" s="83"/>
      <c r="O50" s="6">
        <v>10.092000000000001</v>
      </c>
      <c r="P50" s="19">
        <v>0.37086540000000001</v>
      </c>
      <c r="Q50" s="21"/>
      <c r="R50" s="115">
        <v>4.2000000000000003E-2</v>
      </c>
      <c r="S50" s="22">
        <v>9.42</v>
      </c>
      <c r="T50" s="106">
        <v>569</v>
      </c>
    </row>
    <row r="51" spans="1:20" ht="24.95" customHeight="1" x14ac:dyDescent="0.3">
      <c r="A51" s="89"/>
      <c r="B51" s="38">
        <f t="shared" si="6"/>
        <v>9.8833333333333329</v>
      </c>
      <c r="C51" s="104">
        <f t="shared" si="0"/>
        <v>4.2999999999999997E-2</v>
      </c>
      <c r="D51" s="40">
        <f t="shared" si="1"/>
        <v>9.6667869999999994</v>
      </c>
      <c r="E51" s="39">
        <f t="shared" si="7"/>
        <v>9.82</v>
      </c>
      <c r="F51" s="41">
        <f t="shared" si="8"/>
        <v>0.38661417322834651</v>
      </c>
      <c r="G51" s="41">
        <f t="shared" si="2"/>
        <v>33.843157401106922</v>
      </c>
      <c r="H51" s="42">
        <f t="shared" si="3"/>
        <v>4.9085460465712547</v>
      </c>
      <c r="I51" s="41">
        <f t="shared" si="4"/>
        <v>11.676575505350774</v>
      </c>
      <c r="J51" s="43">
        <f t="shared" si="9"/>
        <v>12.705670304447889</v>
      </c>
      <c r="K51" s="109">
        <f t="shared" si="5"/>
        <v>1.9693788971894228</v>
      </c>
      <c r="L51" s="90"/>
      <c r="M51" s="90"/>
      <c r="N51" s="83"/>
      <c r="O51" s="6">
        <v>10.505000000000001</v>
      </c>
      <c r="P51" s="19">
        <v>0.38661340000000005</v>
      </c>
      <c r="Q51" s="21"/>
      <c r="R51" s="115">
        <v>4.2999999999999997E-2</v>
      </c>
      <c r="S51" s="22">
        <v>9.82</v>
      </c>
      <c r="T51" s="106">
        <v>593</v>
      </c>
    </row>
    <row r="52" spans="1:20" ht="24.95" customHeight="1" x14ac:dyDescent="0.3">
      <c r="A52" s="89"/>
      <c r="B52" s="38">
        <f t="shared" si="6"/>
        <v>10.266666666666667</v>
      </c>
      <c r="C52" s="104">
        <f t="shared" si="0"/>
        <v>4.2999999999999997E-2</v>
      </c>
      <c r="D52" s="40">
        <f t="shared" si="1"/>
        <v>9.6667869999999994</v>
      </c>
      <c r="E52" s="39">
        <f t="shared" si="7"/>
        <v>10.25</v>
      </c>
      <c r="F52" s="41">
        <f t="shared" si="8"/>
        <v>0.40354330708661418</v>
      </c>
      <c r="G52" s="41">
        <f t="shared" si="2"/>
        <v>33.647242515774721</v>
      </c>
      <c r="H52" s="42">
        <f t="shared" si="3"/>
        <v>4.8801309307927738</v>
      </c>
      <c r="I52" s="41">
        <f t="shared" si="4"/>
        <v>12.187871581450654</v>
      </c>
      <c r="J52" s="43">
        <f t="shared" si="9"/>
        <v>12.779650510689088</v>
      </c>
      <c r="K52" s="109">
        <f t="shared" si="5"/>
        <v>1.9808458291568085</v>
      </c>
      <c r="L52" s="90"/>
      <c r="M52" s="90"/>
      <c r="N52" s="83"/>
      <c r="O52" s="6">
        <v>11.025</v>
      </c>
      <c r="P52" s="19">
        <v>0.40354250000000003</v>
      </c>
      <c r="Q52" s="21"/>
      <c r="R52" s="115">
        <v>4.2999999999999997E-2</v>
      </c>
      <c r="S52" s="22">
        <v>10.25</v>
      </c>
      <c r="T52" s="106">
        <v>616</v>
      </c>
    </row>
    <row r="53" spans="1:20" ht="24.95" customHeight="1" x14ac:dyDescent="0.3">
      <c r="A53" s="89"/>
      <c r="B53" s="38">
        <f t="shared" si="6"/>
        <v>10.666666666666666</v>
      </c>
      <c r="C53" s="104">
        <f t="shared" si="0"/>
        <v>4.3999999999999997E-2</v>
      </c>
      <c r="D53" s="40">
        <f t="shared" si="1"/>
        <v>9.8915959999999998</v>
      </c>
      <c r="E53" s="39">
        <f t="shared" si="7"/>
        <v>10.73</v>
      </c>
      <c r="F53" s="41">
        <f t="shared" si="8"/>
        <v>0.42244094488188982</v>
      </c>
      <c r="G53" s="41">
        <f t="shared" si="2"/>
        <v>34.205954895632317</v>
      </c>
      <c r="H53" s="42">
        <f t="shared" si="3"/>
        <v>4.9611654929885205</v>
      </c>
      <c r="I53" s="41">
        <f t="shared" si="4"/>
        <v>12.758620689655173</v>
      </c>
      <c r="J53" s="43">
        <f t="shared" si="9"/>
        <v>12.86325732880454</v>
      </c>
      <c r="K53" s="109">
        <f t="shared" si="5"/>
        <v>1.9938048859647037</v>
      </c>
      <c r="L53" s="90"/>
      <c r="M53" s="90"/>
      <c r="N53" s="83"/>
      <c r="O53" s="6">
        <v>11.539</v>
      </c>
      <c r="P53" s="19">
        <v>0.42244010000000004</v>
      </c>
      <c r="Q53" s="21"/>
      <c r="R53" s="115">
        <v>4.3999999999999997E-2</v>
      </c>
      <c r="S53" s="22">
        <v>10.73</v>
      </c>
      <c r="T53" s="106">
        <v>640</v>
      </c>
    </row>
    <row r="54" spans="1:20" ht="24.95" customHeight="1" x14ac:dyDescent="0.3">
      <c r="A54" s="89"/>
      <c r="B54" s="38">
        <f t="shared" si="6"/>
        <v>11.066666666666666</v>
      </c>
      <c r="C54" s="104">
        <f t="shared" si="0"/>
        <v>4.4999999999999998E-2</v>
      </c>
      <c r="D54" s="40">
        <f t="shared" si="1"/>
        <v>10.116405</v>
      </c>
      <c r="E54" s="39">
        <f t="shared" si="7"/>
        <v>11.13</v>
      </c>
      <c r="F54" s="41">
        <f t="shared" si="8"/>
        <v>0.43818897637795279</v>
      </c>
      <c r="G54" s="41">
        <f t="shared" si="2"/>
        <v>34.792639979507065</v>
      </c>
      <c r="H54" s="42">
        <f t="shared" si="3"/>
        <v>5.0462571620341956</v>
      </c>
      <c r="I54" s="41">
        <f t="shared" si="4"/>
        <v>13.234244946492273</v>
      </c>
      <c r="J54" s="43">
        <f t="shared" si="9"/>
        <v>12.933769908378638</v>
      </c>
      <c r="K54" s="109">
        <f t="shared" si="5"/>
        <v>2.0047343357986889</v>
      </c>
      <c r="L54" s="90"/>
      <c r="M54" s="90"/>
      <c r="N54" s="83"/>
      <c r="O54" s="6">
        <v>12.015000000000001</v>
      </c>
      <c r="P54" s="19">
        <v>0.43818810000000008</v>
      </c>
      <c r="Q54" s="21"/>
      <c r="R54" s="115">
        <v>4.4999999999999998E-2</v>
      </c>
      <c r="S54" s="22">
        <v>11.13</v>
      </c>
      <c r="T54" s="106">
        <v>664</v>
      </c>
    </row>
    <row r="55" spans="1:20" ht="24.95" customHeight="1" x14ac:dyDescent="0.3">
      <c r="A55" s="89"/>
      <c r="B55" s="38">
        <f t="shared" si="6"/>
        <v>11.45</v>
      </c>
      <c r="C55" s="104">
        <f t="shared" si="0"/>
        <v>4.4999999999999998E-2</v>
      </c>
      <c r="D55" s="40">
        <f t="shared" si="1"/>
        <v>10.116405</v>
      </c>
      <c r="E55" s="39">
        <f t="shared" si="7"/>
        <v>11.47</v>
      </c>
      <c r="F55" s="41">
        <f t="shared" si="8"/>
        <v>0.45157480314960635</v>
      </c>
      <c r="G55" s="41">
        <f t="shared" si="2"/>
        <v>34.630525444862243</v>
      </c>
      <c r="H55" s="42">
        <f t="shared" si="3"/>
        <v>5.0227443836993793</v>
      </c>
      <c r="I55" s="41">
        <f t="shared" si="4"/>
        <v>13.638525564803809</v>
      </c>
      <c r="J55" s="43">
        <f t="shared" si="9"/>
        <v>12.994316263450216</v>
      </c>
      <c r="K55" s="109">
        <f t="shared" si="5"/>
        <v>2.0141190208347832</v>
      </c>
      <c r="L55" s="90"/>
      <c r="M55" s="90"/>
      <c r="N55" s="83"/>
      <c r="O55" s="6">
        <v>12.36</v>
      </c>
      <c r="P55" s="19">
        <v>0.45157390000000003</v>
      </c>
      <c r="Q55" s="21"/>
      <c r="R55" s="115">
        <v>4.4999999999999998E-2</v>
      </c>
      <c r="S55" s="22">
        <v>11.47</v>
      </c>
      <c r="T55" s="106">
        <v>687</v>
      </c>
    </row>
    <row r="56" spans="1:20" ht="24.95" customHeight="1" x14ac:dyDescent="0.3">
      <c r="A56" s="89"/>
      <c r="B56" s="38">
        <f t="shared" si="6"/>
        <v>11.85</v>
      </c>
      <c r="C56" s="104">
        <f t="shared" si="0"/>
        <v>4.5999999999999999E-2</v>
      </c>
      <c r="D56" s="40">
        <f t="shared" si="1"/>
        <v>10.341213999999999</v>
      </c>
      <c r="E56" s="39">
        <f t="shared" si="7"/>
        <v>11.84</v>
      </c>
      <c r="F56" s="41">
        <f t="shared" si="8"/>
        <v>0.46614173228346456</v>
      </c>
      <c r="G56" s="41">
        <f t="shared" si="2"/>
        <v>35.219753501829459</v>
      </c>
      <c r="H56" s="42">
        <f t="shared" si="3"/>
        <v>5.1082048806405016</v>
      </c>
      <c r="I56" s="41">
        <f t="shared" si="4"/>
        <v>14.078478002378123</v>
      </c>
      <c r="J56" s="43">
        <f t="shared" si="9"/>
        <v>13.060852341743553</v>
      </c>
      <c r="K56" s="109">
        <f t="shared" si="5"/>
        <v>2.0244321129702509</v>
      </c>
      <c r="L56" s="90"/>
      <c r="M56" s="90"/>
      <c r="N56" s="83"/>
      <c r="O56" s="6">
        <v>12.875999999999999</v>
      </c>
      <c r="P56" s="19">
        <v>0.46614080000000002</v>
      </c>
      <c r="Q56" s="21"/>
      <c r="R56" s="115">
        <v>4.5999999999999999E-2</v>
      </c>
      <c r="S56" s="22">
        <v>11.84</v>
      </c>
      <c r="T56" s="106">
        <v>711</v>
      </c>
    </row>
    <row r="57" spans="1:20" ht="24.95" customHeight="1" x14ac:dyDescent="0.3">
      <c r="A57" s="89"/>
      <c r="B57" s="38">
        <f t="shared" si="6"/>
        <v>12.25</v>
      </c>
      <c r="C57" s="104">
        <f t="shared" si="0"/>
        <v>4.7E-2</v>
      </c>
      <c r="D57" s="40">
        <f t="shared" si="1"/>
        <v>10.566023000000001</v>
      </c>
      <c r="E57" s="39">
        <f t="shared" si="7"/>
        <v>12.21</v>
      </c>
      <c r="F57" s="41">
        <f t="shared" si="8"/>
        <v>0.48070866141732288</v>
      </c>
      <c r="G57" s="41">
        <f t="shared" si="2"/>
        <v>35.801140725094896</v>
      </c>
      <c r="H57" s="42">
        <f t="shared" si="3"/>
        <v>5.1925281582373284</v>
      </c>
      <c r="I57" s="41">
        <f t="shared" si="4"/>
        <v>14.518430439952439</v>
      </c>
      <c r="J57" s="43">
        <f t="shared" si="9"/>
        <v>13.128073309422579</v>
      </c>
      <c r="K57" s="109">
        <f t="shared" si="5"/>
        <v>2.0348513629604996</v>
      </c>
      <c r="L57" s="90"/>
      <c r="M57" s="90"/>
      <c r="N57" s="83"/>
      <c r="O57" s="6"/>
      <c r="P57" s="19">
        <v>0.48070770000000007</v>
      </c>
      <c r="Q57" s="21"/>
      <c r="R57" s="115">
        <v>4.7E-2</v>
      </c>
      <c r="S57" s="22">
        <v>12.21</v>
      </c>
      <c r="T57" s="106">
        <v>735</v>
      </c>
    </row>
    <row r="58" spans="1:20" ht="24.95" customHeight="1" x14ac:dyDescent="0.3">
      <c r="A58" s="89"/>
      <c r="B58" s="38">
        <f t="shared" si="6"/>
        <v>12.633333333333333</v>
      </c>
      <c r="C58" s="104">
        <f t="shared" si="0"/>
        <v>4.8000000000000001E-2</v>
      </c>
      <c r="D58" s="40">
        <f t="shared" si="1"/>
        <v>10.790832</v>
      </c>
      <c r="E58" s="39">
        <f t="shared" si="7"/>
        <v>12.58</v>
      </c>
      <c r="F58" s="41">
        <f t="shared" si="8"/>
        <v>0.49527559055118114</v>
      </c>
      <c r="G58" s="41">
        <f t="shared" si="2"/>
        <v>36.374687114658563</v>
      </c>
      <c r="H58" s="42">
        <f t="shared" si="3"/>
        <v>5.2757142164898561</v>
      </c>
      <c r="I58" s="41">
        <f t="shared" si="4"/>
        <v>14.958382877526756</v>
      </c>
      <c r="J58" s="43">
        <f t="shared" si="9"/>
        <v>13.195989796062488</v>
      </c>
      <c r="K58" s="109">
        <f t="shared" si="5"/>
        <v>2.0453784183896855</v>
      </c>
      <c r="L58" s="90"/>
      <c r="M58" s="90"/>
      <c r="N58" s="83"/>
      <c r="O58" s="6"/>
      <c r="P58" s="19">
        <v>0.49527460000000001</v>
      </c>
      <c r="Q58" s="21"/>
      <c r="R58" s="115">
        <v>4.8000000000000001E-2</v>
      </c>
      <c r="S58" s="22">
        <v>12.58</v>
      </c>
      <c r="T58" s="106">
        <v>758</v>
      </c>
    </row>
    <row r="59" spans="1:20" ht="24.95" customHeight="1" thickBot="1" x14ac:dyDescent="0.35">
      <c r="A59" s="89"/>
      <c r="B59" s="44" t="s">
        <v>1</v>
      </c>
      <c r="C59" s="105" t="s">
        <v>1</v>
      </c>
      <c r="D59" s="45" t="s">
        <v>1</v>
      </c>
      <c r="E59" s="46" t="s">
        <v>1</v>
      </c>
      <c r="F59" s="47" t="s">
        <v>1</v>
      </c>
      <c r="G59" s="47" t="s">
        <v>1</v>
      </c>
      <c r="H59" s="48" t="s">
        <v>1</v>
      </c>
      <c r="I59" s="47" t="s">
        <v>1</v>
      </c>
      <c r="J59" s="49" t="s">
        <v>1</v>
      </c>
      <c r="K59" s="110" t="s">
        <v>1</v>
      </c>
      <c r="L59" s="90"/>
      <c r="M59" s="90"/>
      <c r="N59" s="83"/>
      <c r="O59" s="6"/>
      <c r="P59" s="21"/>
      <c r="Q59" s="21"/>
      <c r="R59" s="116"/>
      <c r="S59" s="22"/>
      <c r="T59" s="107"/>
    </row>
    <row r="60" spans="1:20" ht="9.75" customHeight="1" x14ac:dyDescent="0.2">
      <c r="A60" s="58"/>
      <c r="B60" s="91"/>
      <c r="C60" s="91"/>
      <c r="D60" s="91"/>
      <c r="E60" s="91"/>
      <c r="F60" s="91"/>
      <c r="G60" s="25"/>
      <c r="H60" s="25"/>
      <c r="I60" s="25"/>
      <c r="J60" s="25"/>
      <c r="K60" s="25"/>
      <c r="L60" s="25"/>
      <c r="M60" s="25"/>
      <c r="N60" s="62"/>
      <c r="S60" s="24">
        <f t="shared" ref="S60:S68" si="10">B60/25.4</f>
        <v>0</v>
      </c>
    </row>
    <row r="61" spans="1:20" ht="24.95" customHeight="1" x14ac:dyDescent="0.2">
      <c r="A61" s="58"/>
      <c r="B61" s="91"/>
      <c r="C61" s="91"/>
      <c r="D61" s="91"/>
      <c r="E61" s="91"/>
      <c r="F61" s="91"/>
      <c r="G61" s="25"/>
      <c r="H61" s="25"/>
      <c r="I61" s="59"/>
      <c r="J61" s="59"/>
      <c r="K61" s="59"/>
      <c r="L61" s="59"/>
      <c r="M61" s="59"/>
      <c r="N61" s="62"/>
      <c r="S61" s="24">
        <f t="shared" si="10"/>
        <v>0</v>
      </c>
    </row>
    <row r="62" spans="1:20" ht="24.95" customHeight="1" x14ac:dyDescent="0.3">
      <c r="A62" s="58"/>
      <c r="B62" s="91"/>
      <c r="C62" s="91"/>
      <c r="D62" s="91"/>
      <c r="E62" s="91"/>
      <c r="F62" s="91"/>
      <c r="G62" s="25"/>
      <c r="H62" s="200" t="s">
        <v>75</v>
      </c>
      <c r="I62" s="200"/>
      <c r="J62" s="200"/>
      <c r="K62" s="200"/>
      <c r="L62" s="217">
        <f>MAX(G26:G59)</f>
        <v>36.374687114658563</v>
      </c>
      <c r="M62" s="217"/>
      <c r="N62" s="218"/>
      <c r="S62" s="24">
        <f t="shared" si="10"/>
        <v>0</v>
      </c>
    </row>
    <row r="63" spans="1:20" ht="24.95" customHeight="1" x14ac:dyDescent="0.3">
      <c r="A63" s="58"/>
      <c r="B63" s="25"/>
      <c r="C63" s="25"/>
      <c r="D63" s="25"/>
      <c r="E63" s="25"/>
      <c r="F63" s="25"/>
      <c r="G63" s="25"/>
      <c r="H63" s="25"/>
      <c r="I63" s="216" t="s">
        <v>76</v>
      </c>
      <c r="J63" s="216"/>
      <c r="K63" s="216"/>
      <c r="L63" s="217">
        <f>L62*0.5</f>
        <v>18.187343557329282</v>
      </c>
      <c r="M63" s="217"/>
      <c r="N63" s="218"/>
      <c r="S63" s="24">
        <f t="shared" si="10"/>
        <v>0</v>
      </c>
    </row>
    <row r="64" spans="1:20" ht="24.95" customHeight="1" x14ac:dyDescent="0.3">
      <c r="A64" s="58"/>
      <c r="B64" s="25"/>
      <c r="C64" s="25"/>
      <c r="D64" s="25"/>
      <c r="E64" s="25"/>
      <c r="F64" s="25"/>
      <c r="G64" s="25"/>
      <c r="H64" s="25"/>
      <c r="I64" s="216" t="s">
        <v>85</v>
      </c>
      <c r="J64" s="216"/>
      <c r="K64" s="216"/>
      <c r="L64" s="217">
        <f>IF((C18)*10="","",(G28-G27)/(I28-I27))*100</f>
        <v>580.41105062295685</v>
      </c>
      <c r="M64" s="217"/>
      <c r="N64" s="218"/>
      <c r="P64" s="23">
        <f>SLOPE(G26:G28,E26:E28)</f>
        <v>12.305690717075066</v>
      </c>
      <c r="S64" s="24">
        <f t="shared" si="10"/>
        <v>0</v>
      </c>
    </row>
    <row r="65" spans="1:19" ht="24.95" customHeight="1" x14ac:dyDescent="0.3">
      <c r="A65" s="58"/>
      <c r="B65" s="25"/>
      <c r="C65" s="25"/>
      <c r="D65" s="25"/>
      <c r="E65" s="25"/>
      <c r="F65" s="25"/>
      <c r="G65" s="25"/>
      <c r="H65" s="25"/>
      <c r="I65" s="213"/>
      <c r="J65" s="213"/>
      <c r="K65" s="213"/>
      <c r="L65" s="122"/>
      <c r="M65" s="122"/>
      <c r="N65" s="83"/>
      <c r="S65" s="24">
        <f t="shared" si="10"/>
        <v>0</v>
      </c>
    </row>
    <row r="66" spans="1:19" ht="24.95" customHeight="1" x14ac:dyDescent="0.2">
      <c r="A66" s="58"/>
      <c r="B66" s="25"/>
      <c r="C66" s="25"/>
      <c r="D66" s="25"/>
      <c r="E66" s="25"/>
      <c r="F66" s="25"/>
      <c r="G66" s="25"/>
      <c r="H66" s="25"/>
      <c r="I66" s="214" t="s">
        <v>72</v>
      </c>
      <c r="J66" s="214"/>
      <c r="K66" s="214" t="s">
        <v>73</v>
      </c>
      <c r="L66" s="214"/>
      <c r="M66" s="214"/>
      <c r="N66" s="215"/>
      <c r="S66" s="24">
        <f t="shared" si="10"/>
        <v>0</v>
      </c>
    </row>
    <row r="67" spans="1:19" ht="24.95" customHeight="1" x14ac:dyDescent="0.2">
      <c r="A67" s="58"/>
      <c r="B67" s="25"/>
      <c r="C67" s="25"/>
      <c r="D67" s="25"/>
      <c r="E67" s="25"/>
      <c r="F67" s="25"/>
      <c r="G67" s="25"/>
      <c r="H67" s="25"/>
      <c r="I67" s="27"/>
      <c r="J67" s="27"/>
      <c r="K67" s="27"/>
      <c r="L67" s="27"/>
      <c r="M67" s="27"/>
      <c r="N67" s="28"/>
      <c r="S67" s="24">
        <f t="shared" si="10"/>
        <v>0</v>
      </c>
    </row>
    <row r="68" spans="1:19" ht="24.95" customHeight="1" x14ac:dyDescent="0.2">
      <c r="A68" s="58"/>
      <c r="B68" s="25"/>
      <c r="C68" s="25"/>
      <c r="D68" s="25"/>
      <c r="E68" s="25"/>
      <c r="F68" s="25"/>
      <c r="G68" s="25"/>
      <c r="H68" s="25"/>
      <c r="I68" s="27"/>
      <c r="J68" s="27"/>
      <c r="K68" s="27"/>
      <c r="L68" s="27"/>
      <c r="M68" s="27"/>
      <c r="N68" s="28"/>
      <c r="S68" s="24">
        <f t="shared" si="10"/>
        <v>0</v>
      </c>
    </row>
    <row r="69" spans="1:19" ht="24.95" customHeight="1" x14ac:dyDescent="0.2">
      <c r="A69" s="58"/>
      <c r="B69" s="25"/>
      <c r="C69" s="25"/>
      <c r="D69" s="25"/>
      <c r="E69" s="25"/>
      <c r="F69" s="25"/>
      <c r="G69" s="25"/>
      <c r="H69" s="25"/>
      <c r="I69" s="27"/>
      <c r="J69" s="27"/>
      <c r="K69" s="27"/>
      <c r="L69" s="27"/>
      <c r="M69" s="27"/>
      <c r="N69" s="28"/>
      <c r="S69" s="24"/>
    </row>
    <row r="70" spans="1:19" ht="24.95" customHeight="1" x14ac:dyDescent="0.2">
      <c r="A70" s="58"/>
      <c r="B70" s="25"/>
      <c r="C70" s="25"/>
      <c r="D70" s="25"/>
      <c r="E70" s="25"/>
      <c r="F70" s="25"/>
      <c r="G70" s="25"/>
      <c r="H70" s="25"/>
      <c r="I70" s="92"/>
      <c r="J70" s="92"/>
      <c r="K70" s="92"/>
      <c r="L70" s="29"/>
      <c r="M70" s="29"/>
      <c r="N70" s="30"/>
      <c r="S70" s="24"/>
    </row>
    <row r="71" spans="1:19" ht="24.95" customHeight="1" x14ac:dyDescent="0.2">
      <c r="A71" s="58"/>
      <c r="B71" s="25"/>
      <c r="C71" s="25"/>
      <c r="D71" s="25"/>
      <c r="E71" s="25"/>
      <c r="F71" s="25"/>
      <c r="G71" s="25"/>
      <c r="H71" s="25"/>
      <c r="I71" s="214" t="s">
        <v>62</v>
      </c>
      <c r="J71" s="214"/>
      <c r="K71" s="214" t="s">
        <v>88</v>
      </c>
      <c r="L71" s="214"/>
      <c r="M71" s="214"/>
      <c r="N71" s="215"/>
      <c r="S71" s="24">
        <f>B71/25.4</f>
        <v>0</v>
      </c>
    </row>
    <row r="72" spans="1:19" ht="24.95" customHeight="1" x14ac:dyDescent="0.2">
      <c r="A72" s="58"/>
      <c r="B72" s="25"/>
      <c r="C72" s="25"/>
      <c r="D72" s="25"/>
      <c r="E72" s="25"/>
      <c r="F72" s="25"/>
      <c r="G72" s="25"/>
      <c r="H72" s="25"/>
      <c r="I72" s="231" t="s">
        <v>39</v>
      </c>
      <c r="J72" s="231"/>
      <c r="K72" s="231" t="s">
        <v>74</v>
      </c>
      <c r="L72" s="231"/>
      <c r="M72" s="231"/>
      <c r="N72" s="232"/>
      <c r="S72" s="24"/>
    </row>
    <row r="73" spans="1:19" ht="24.95" customHeight="1" x14ac:dyDescent="0.3">
      <c r="A73" s="58"/>
      <c r="B73" s="25"/>
      <c r="C73" s="25"/>
      <c r="D73" s="25"/>
      <c r="E73" s="25"/>
      <c r="F73" s="25"/>
      <c r="G73" s="25"/>
      <c r="H73" s="25"/>
      <c r="I73" s="214"/>
      <c r="J73" s="214"/>
      <c r="K73" s="214"/>
      <c r="L73" s="123"/>
      <c r="M73" s="123"/>
      <c r="N73" s="83"/>
      <c r="S73" s="24">
        <f t="shared" ref="S73:S79" si="11">B73/25.4</f>
        <v>0</v>
      </c>
    </row>
    <row r="74" spans="1:19" ht="24.95" customHeight="1" x14ac:dyDescent="0.2">
      <c r="A74" s="58"/>
      <c r="B74" s="25"/>
      <c r="C74" s="25"/>
      <c r="D74" s="25"/>
      <c r="E74" s="25"/>
      <c r="F74" s="25"/>
      <c r="G74" s="25"/>
      <c r="H74" s="25"/>
      <c r="I74" s="233"/>
      <c r="J74" s="233"/>
      <c r="K74" s="233"/>
      <c r="L74" s="124"/>
      <c r="M74" s="124"/>
      <c r="N74" s="62"/>
      <c r="S74" s="24">
        <f t="shared" si="11"/>
        <v>0</v>
      </c>
    </row>
    <row r="75" spans="1:19" ht="24.95" customHeight="1" x14ac:dyDescent="0.2">
      <c r="A75" s="58"/>
      <c r="B75" s="25"/>
      <c r="C75" s="25"/>
      <c r="D75" s="25"/>
      <c r="E75" s="25"/>
      <c r="F75" s="25"/>
      <c r="G75" s="25"/>
      <c r="H75" s="25"/>
      <c r="I75" s="234"/>
      <c r="J75" s="234"/>
      <c r="K75" s="234"/>
      <c r="L75" s="125"/>
      <c r="M75" s="125"/>
      <c r="N75" s="62"/>
      <c r="S75" s="24">
        <f t="shared" si="11"/>
        <v>0</v>
      </c>
    </row>
    <row r="76" spans="1:19" ht="24.95" customHeight="1" x14ac:dyDescent="0.2">
      <c r="A76" s="58"/>
      <c r="B76" s="25"/>
      <c r="C76" s="25"/>
      <c r="D76" s="25"/>
      <c r="E76" s="25"/>
      <c r="F76" s="25"/>
      <c r="G76" s="25"/>
      <c r="H76" s="25"/>
      <c r="I76" s="25"/>
      <c r="J76" s="93"/>
      <c r="K76" s="93"/>
      <c r="L76" s="93"/>
      <c r="M76" s="93"/>
      <c r="N76" s="62"/>
      <c r="S76" s="24">
        <f t="shared" si="11"/>
        <v>0</v>
      </c>
    </row>
    <row r="77" spans="1:19" ht="17.25" customHeight="1" x14ac:dyDescent="0.25">
      <c r="A77" s="235" t="s">
        <v>68</v>
      </c>
      <c r="B77" s="236"/>
      <c r="C77" s="236"/>
      <c r="D77" s="236"/>
      <c r="E77" s="236"/>
      <c r="F77" s="236"/>
      <c r="G77" s="236"/>
      <c r="H77" s="236"/>
      <c r="I77" s="236"/>
      <c r="J77" s="236"/>
      <c r="K77" s="236"/>
      <c r="L77" s="236"/>
      <c r="M77" s="236"/>
      <c r="N77" s="237"/>
      <c r="S77" s="24">
        <f t="shared" si="11"/>
        <v>0</v>
      </c>
    </row>
    <row r="78" spans="1:19" ht="7.5" customHeight="1" x14ac:dyDescent="0.2">
      <c r="A78" s="219" t="s">
        <v>67</v>
      </c>
      <c r="B78" s="220"/>
      <c r="C78" s="220"/>
      <c r="D78" s="220"/>
      <c r="E78" s="220"/>
      <c r="F78" s="220"/>
      <c r="G78" s="220"/>
      <c r="H78" s="220"/>
      <c r="I78" s="220"/>
      <c r="J78" s="220"/>
      <c r="K78" s="220"/>
      <c r="L78" s="220"/>
      <c r="M78" s="220"/>
      <c r="N78" s="221"/>
      <c r="S78" s="24">
        <f t="shared" si="11"/>
        <v>0</v>
      </c>
    </row>
    <row r="79" spans="1:19" ht="13.5" customHeight="1" x14ac:dyDescent="0.2">
      <c r="A79" s="222"/>
      <c r="B79" s="220"/>
      <c r="C79" s="220"/>
      <c r="D79" s="220"/>
      <c r="E79" s="220"/>
      <c r="F79" s="220"/>
      <c r="G79" s="220"/>
      <c r="H79" s="220"/>
      <c r="I79" s="220"/>
      <c r="J79" s="220"/>
      <c r="K79" s="220"/>
      <c r="L79" s="220"/>
      <c r="M79" s="220"/>
      <c r="N79" s="221"/>
      <c r="S79" s="24">
        <f t="shared" si="11"/>
        <v>0</v>
      </c>
    </row>
    <row r="80" spans="1:19" ht="7.5" customHeight="1" x14ac:dyDescent="0.2">
      <c r="A80" s="222"/>
      <c r="B80" s="220"/>
      <c r="C80" s="220"/>
      <c r="D80" s="220"/>
      <c r="E80" s="220"/>
      <c r="F80" s="220"/>
      <c r="G80" s="220"/>
      <c r="H80" s="220"/>
      <c r="I80" s="220"/>
      <c r="J80" s="220"/>
      <c r="K80" s="220"/>
      <c r="L80" s="220"/>
      <c r="M80" s="220"/>
      <c r="N80" s="221"/>
    </row>
    <row r="81" spans="1:14" ht="7.5" customHeight="1" x14ac:dyDescent="0.2">
      <c r="A81" s="222"/>
      <c r="B81" s="220"/>
      <c r="C81" s="220"/>
      <c r="D81" s="220"/>
      <c r="E81" s="220"/>
      <c r="F81" s="220"/>
      <c r="G81" s="220"/>
      <c r="H81" s="220"/>
      <c r="I81" s="220"/>
      <c r="J81" s="220"/>
      <c r="K81" s="220"/>
      <c r="L81" s="220"/>
      <c r="M81" s="220"/>
      <c r="N81" s="221"/>
    </row>
    <row r="82" spans="1:14" ht="7.5" customHeight="1" x14ac:dyDescent="0.2">
      <c r="A82" s="222"/>
      <c r="B82" s="220"/>
      <c r="C82" s="220"/>
      <c r="D82" s="220"/>
      <c r="E82" s="220"/>
      <c r="F82" s="220"/>
      <c r="G82" s="220"/>
      <c r="H82" s="220"/>
      <c r="I82" s="220"/>
      <c r="J82" s="220"/>
      <c r="K82" s="220"/>
      <c r="L82" s="220"/>
      <c r="M82" s="220"/>
      <c r="N82" s="221"/>
    </row>
    <row r="83" spans="1:14" ht="7.5" customHeight="1" x14ac:dyDescent="0.2">
      <c r="A83" s="222"/>
      <c r="B83" s="220"/>
      <c r="C83" s="220"/>
      <c r="D83" s="220"/>
      <c r="E83" s="220"/>
      <c r="F83" s="220"/>
      <c r="G83" s="220"/>
      <c r="H83" s="220"/>
      <c r="I83" s="220"/>
      <c r="J83" s="220"/>
      <c r="K83" s="220"/>
      <c r="L83" s="220"/>
      <c r="M83" s="220"/>
      <c r="N83" s="221"/>
    </row>
    <row r="84" spans="1:14" ht="11.25" customHeight="1" x14ac:dyDescent="0.2">
      <c r="A84" s="223" t="s">
        <v>20</v>
      </c>
      <c r="B84" s="224"/>
      <c r="C84" s="224"/>
      <c r="D84" s="224"/>
      <c r="E84" s="224"/>
      <c r="F84" s="224"/>
      <c r="G84" s="224"/>
      <c r="H84" s="224"/>
      <c r="I84" s="224"/>
      <c r="J84" s="224"/>
      <c r="K84" s="224"/>
      <c r="L84" s="224"/>
      <c r="M84" s="224"/>
      <c r="N84" s="225"/>
    </row>
    <row r="85" spans="1:14" ht="11.25" customHeight="1" thickBot="1" x14ac:dyDescent="0.25">
      <c r="A85" s="226"/>
      <c r="B85" s="227"/>
      <c r="C85" s="227"/>
      <c r="D85" s="227"/>
      <c r="E85" s="227"/>
      <c r="F85" s="227"/>
      <c r="G85" s="227"/>
      <c r="H85" s="227"/>
      <c r="I85" s="227"/>
      <c r="J85" s="227"/>
      <c r="K85" s="227"/>
      <c r="L85" s="227"/>
      <c r="M85" s="227"/>
      <c r="N85" s="228"/>
    </row>
    <row r="86" spans="1:14" ht="12.75" thickBot="1" x14ac:dyDescent="0.25"/>
    <row r="87" spans="1:14" ht="48" customHeight="1" thickBot="1" x14ac:dyDescent="0.45">
      <c r="B87" s="10"/>
      <c r="C87" s="229" t="s">
        <v>71</v>
      </c>
      <c r="D87" s="230"/>
    </row>
  </sheetData>
  <sheetProtection insertColumns="0" insertRows="0" deleteColumns="0" deleteRows="0"/>
  <mergeCells count="75">
    <mergeCell ref="E1:K1"/>
    <mergeCell ref="L1:N1"/>
    <mergeCell ref="E2:K3"/>
    <mergeCell ref="L2:N2"/>
    <mergeCell ref="P2:Y2"/>
    <mergeCell ref="L3:N3"/>
    <mergeCell ref="P3:R3"/>
    <mergeCell ref="E4:K4"/>
    <mergeCell ref="L4:N4"/>
    <mergeCell ref="Q4:Q5"/>
    <mergeCell ref="R4:R5"/>
    <mergeCell ref="A6:B6"/>
    <mergeCell ref="C6:I6"/>
    <mergeCell ref="K6:N6"/>
    <mergeCell ref="A11:B11"/>
    <mergeCell ref="A7:B7"/>
    <mergeCell ref="C7:I7"/>
    <mergeCell ref="K7:N7"/>
    <mergeCell ref="A8:B8"/>
    <mergeCell ref="C8:I8"/>
    <mergeCell ref="K8:N8"/>
    <mergeCell ref="A9:B9"/>
    <mergeCell ref="C9:I9"/>
    <mergeCell ref="A10:B10"/>
    <mergeCell ref="C10:I10"/>
    <mergeCell ref="K10:N10"/>
    <mergeCell ref="A12:B12"/>
    <mergeCell ref="A13:B13"/>
    <mergeCell ref="C13:N13"/>
    <mergeCell ref="G14:I14"/>
    <mergeCell ref="B17:G17"/>
    <mergeCell ref="H17:I17"/>
    <mergeCell ref="C18:D18"/>
    <mergeCell ref="F18:G18"/>
    <mergeCell ref="C19:D19"/>
    <mergeCell ref="F19:G19"/>
    <mergeCell ref="C20:D20"/>
    <mergeCell ref="F20:G20"/>
    <mergeCell ref="B24:B25"/>
    <mergeCell ref="C24:C25"/>
    <mergeCell ref="D24:D25"/>
    <mergeCell ref="E24:F24"/>
    <mergeCell ref="G24:H24"/>
    <mergeCell ref="I64:K64"/>
    <mergeCell ref="L64:N64"/>
    <mergeCell ref="C21:D21"/>
    <mergeCell ref="F21:G21"/>
    <mergeCell ref="C22:D22"/>
    <mergeCell ref="F22:G22"/>
    <mergeCell ref="S24:S25"/>
    <mergeCell ref="T24:T25"/>
    <mergeCell ref="H62:K62"/>
    <mergeCell ref="L62:N62"/>
    <mergeCell ref="I63:K63"/>
    <mergeCell ref="L63:N63"/>
    <mergeCell ref="I24:I25"/>
    <mergeCell ref="J24:J25"/>
    <mergeCell ref="K24:K25"/>
    <mergeCell ref="P24:P25"/>
    <mergeCell ref="Q24:Q25"/>
    <mergeCell ref="R24:R25"/>
    <mergeCell ref="I65:K65"/>
    <mergeCell ref="I66:J66"/>
    <mergeCell ref="K66:N66"/>
    <mergeCell ref="A78:N83"/>
    <mergeCell ref="A84:N85"/>
    <mergeCell ref="I71:J71"/>
    <mergeCell ref="K71:N71"/>
    <mergeCell ref="C87:D87"/>
    <mergeCell ref="I72:J72"/>
    <mergeCell ref="K72:N72"/>
    <mergeCell ref="I73:K73"/>
    <mergeCell ref="I74:K74"/>
    <mergeCell ref="I75:K75"/>
    <mergeCell ref="A77:N77"/>
  </mergeCells>
  <conditionalFormatting sqref="C6:C10 K9:N10 C13">
    <cfRule type="containsBlanks" dxfId="12" priority="13">
      <formula>LEN(TRIM(C6))=0</formula>
    </cfRule>
  </conditionalFormatting>
  <conditionalFormatting sqref="C12:D12 F12 I12">
    <cfRule type="containsBlanks" dxfId="11" priority="12">
      <formula>LEN(TRIM(C12))=0</formula>
    </cfRule>
  </conditionalFormatting>
  <conditionalFormatting sqref="C18:D19 I18:I20 C21:D21">
    <cfRule type="containsBlanks" dxfId="10" priority="9">
      <formula>LEN(TRIM(C18))=0</formula>
    </cfRule>
  </conditionalFormatting>
  <conditionalFormatting sqref="F22">
    <cfRule type="containsBlanks" dxfId="9" priority="11">
      <formula>LEN(TRIM(F22))=0</formula>
    </cfRule>
  </conditionalFormatting>
  <conditionalFormatting sqref="F20:G21">
    <cfRule type="containsBlanks" dxfId="8" priority="10">
      <formula>LEN(TRIM(F20))=0</formula>
    </cfRule>
  </conditionalFormatting>
  <conditionalFormatting sqref="K6:N8">
    <cfRule type="containsBlanks" dxfId="7" priority="8">
      <formula>LEN(TRIM(K6))=0</formula>
    </cfRule>
  </conditionalFormatting>
  <conditionalFormatting sqref="P2">
    <cfRule type="containsBlanks" dxfId="6" priority="7">
      <formula>LEN(TRIM(P2))=0</formula>
    </cfRule>
  </conditionalFormatting>
  <conditionalFormatting sqref="P2">
    <cfRule type="containsBlanks" dxfId="5" priority="6">
      <formula>LEN(TRIM(P2))=0</formula>
    </cfRule>
  </conditionalFormatting>
  <conditionalFormatting sqref="P3">
    <cfRule type="containsBlanks" dxfId="4" priority="5">
      <formula>LEN(TRIM(P3))=0</formula>
    </cfRule>
  </conditionalFormatting>
  <conditionalFormatting sqref="H12">
    <cfRule type="containsBlanks" dxfId="3" priority="4">
      <formula>LEN(TRIM(H12))=0</formula>
    </cfRule>
  </conditionalFormatting>
  <conditionalFormatting sqref="H12">
    <cfRule type="containsBlanks" dxfId="2" priority="3">
      <formula>LEN(TRIM(H12))=0</formula>
    </cfRule>
  </conditionalFormatting>
  <conditionalFormatting sqref="J12">
    <cfRule type="containsBlanks" dxfId="1" priority="2">
      <formula>LEN(TRIM(J12))=0</formula>
    </cfRule>
  </conditionalFormatting>
  <conditionalFormatting sqref="J12">
    <cfRule type="containsBlanks" dxfId="0" priority="1">
      <formula>LEN(TRIM(J12))=0</formula>
    </cfRule>
  </conditionalFormatting>
  <dataValidations count="3">
    <dataValidation type="list" allowBlank="1" showInputMessage="1" showErrorMessage="1" sqref="F20" xr:uid="{00000000-0002-0000-0500-000000000000}">
      <formula1>$Q$6:$Q$10</formula1>
    </dataValidation>
    <dataValidation type="list" allowBlank="1" showInputMessage="1" showErrorMessage="1" sqref="F21" xr:uid="{00000000-0002-0000-0500-000001000000}">
      <formula1>$R$6:$R$12</formula1>
    </dataValidation>
    <dataValidation type="list" allowBlank="1" showInputMessage="1" showErrorMessage="1" sqref="C12" xr:uid="{00000000-0002-0000-0500-000002000000}">
      <formula1>$S$6:$S$12</formula1>
    </dataValidation>
  </dataValidations>
  <printOptions horizontalCentered="1" verticalCentered="1"/>
  <pageMargins left="0.31496062992125984" right="0.31496062992125984" top="0.78740157480314965" bottom="0.78740157480314965" header="0.31496062992125984" footer="0.19685039370078741"/>
  <pageSetup scale="38" orientation="portrait" r:id="rId1"/>
  <headerFooter>
    <oddFooter xml:space="preserve">&amp;C
GEODELTA S.A.S. Calle 68 B bis No 70 C 95, Móvil: 318 7902368 Bogotá DC - Colombia
e-mail: laboratoriogeodelta@gmail.com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4449" r:id="rId4" name="Check Box 1">
              <controlPr defaultSize="0" autoFill="0" autoLine="0" autoPict="0">
                <anchor moveWithCells="1">
                  <from>
                    <xdr:col>7</xdr:col>
                    <xdr:colOff>104775</xdr:colOff>
                    <xdr:row>21</xdr:row>
                    <xdr:rowOff>28575</xdr:rowOff>
                  </from>
                  <to>
                    <xdr:col>7</xdr:col>
                    <xdr:colOff>1133475</xdr:colOff>
                    <xdr:row>21</xdr:row>
                    <xdr:rowOff>219075</xdr:rowOff>
                  </to>
                </anchor>
              </controlPr>
            </control>
          </mc:Choice>
        </mc:AlternateContent>
        <mc:AlternateContent xmlns:mc="http://schemas.openxmlformats.org/markup-compatibility/2006">
          <mc:Choice Requires="x14">
            <control shapeId="104450" r:id="rId5" name="Check Box 2">
              <controlPr defaultSize="0" autoFill="0" autoLine="0" autoPict="0">
                <anchor moveWithCells="1">
                  <from>
                    <xdr:col>8</xdr:col>
                    <xdr:colOff>19050</xdr:colOff>
                    <xdr:row>21</xdr:row>
                    <xdr:rowOff>19050</xdr:rowOff>
                  </from>
                  <to>
                    <xdr:col>9</xdr:col>
                    <xdr:colOff>352425</xdr:colOff>
                    <xdr:row>21</xdr:row>
                    <xdr:rowOff>295275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vt:i4>
      </vt:variant>
    </vt:vector>
  </HeadingPairs>
  <TitlesOfParts>
    <vt:vector size="12" baseType="lpstr">
      <vt:lpstr>GUIA</vt:lpstr>
      <vt:lpstr>PE4-3 M10</vt:lpstr>
      <vt:lpstr>PE4-2 M11</vt:lpstr>
      <vt:lpstr>PE4-7 M7</vt:lpstr>
      <vt:lpstr>PP4-3 M6</vt:lpstr>
      <vt:lpstr>PP4-4 M5</vt:lpstr>
      <vt:lpstr>GUIA!Área_de_impresión</vt:lpstr>
      <vt:lpstr>'PE4-2 M11'!Área_de_impresión</vt:lpstr>
      <vt:lpstr>'PE4-3 M10'!Área_de_impresión</vt:lpstr>
      <vt:lpstr>'PE4-7 M7'!Área_de_impresión</vt:lpstr>
      <vt:lpstr>'PP4-3 M6'!Área_de_impresión</vt:lpstr>
      <vt:lpstr>'PP4-4 M5'!Área_de_impresión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DCM-03</dc:creator>
  <cp:lastModifiedBy>DCM-03</cp:lastModifiedBy>
  <cp:lastPrinted>2025-12-11T14:12:52Z</cp:lastPrinted>
  <dcterms:created xsi:type="dcterms:W3CDTF">2019-08-23T14:44:36Z</dcterms:created>
  <dcterms:modified xsi:type="dcterms:W3CDTF">2026-05-29T15:06:33Z</dcterms:modified>
</cp:coreProperties>
</file>