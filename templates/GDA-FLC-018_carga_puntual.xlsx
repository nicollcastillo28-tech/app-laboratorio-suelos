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DCM-04\AppData\Local\Temp\claude\D--Documents-Prototipos-claude-code-interfaz\dc24a8ee-ce81-4bc3-875e-fdda07eddd40\scratchpad\"/>
    </mc:Choice>
  </mc:AlternateContent>
  <xr:revisionPtr revIDLastSave="0" documentId="8_{C09B43FB-441A-432E-BF1B-20D0DE4E8CC2}" xr6:coauthVersionLast="47" xr6:coauthVersionMax="47" xr10:uidLastSave="{00000000-0000-0000-0000-000000000000}"/>
  <bookViews>
    <workbookView xWindow="-120" yWindow="-120" windowWidth="29040" windowHeight="15720" tabRatio="819" firstSheet="1" activeTab="1" xr2:uid="{00000000-000D-0000-FFFF-FFFF00000000}"/>
  </bookViews>
  <sheets>
    <sheet name="MUESTRA" sheetId="4" state="hidden" r:id="rId1"/>
    <sheet name="FORMATO" sheetId="27" r:id="rId2"/>
    <sheet name="CONTROL DE CAMBIOS" sheetId="28" r:id="rId3"/>
  </sheets>
  <externalReferences>
    <externalReference r:id="rId4"/>
  </externalReferences>
  <definedNames>
    <definedName name="__123Graph_AYO" hidden="1">#REF!</definedName>
    <definedName name="__123Graph_XYO" hidden="1">#REF!</definedName>
    <definedName name="_Fill" hidden="1">#REF!</definedName>
    <definedName name="_Regression_Out" hidden="1">[1]L!#REF!</definedName>
    <definedName name="_Regression_X" hidden="1">#REF!</definedName>
    <definedName name="_Regression_Y" hidden="1">#REF!</definedName>
    <definedName name="_xlnm.Print_Area" localSheetId="1">FORMATO!$A$1:$O$50</definedName>
    <definedName name="_xlnm.Print_Area" localSheetId="0">MUESTRA!$A$1:$O$50</definedName>
    <definedName name="GFDGSD" hidden="1">[1]L!#REF!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1" i="27" l="1"/>
  <c r="L23" i="27"/>
  <c r="L24" i="27"/>
  <c r="L25" i="27"/>
  <c r="L26" i="27"/>
  <c r="L22" i="27"/>
  <c r="H23" i="27"/>
  <c r="H24" i="27"/>
  <c r="H25" i="27"/>
  <c r="H26" i="27"/>
  <c r="H22" i="27"/>
  <c r="H21" i="27"/>
  <c r="I21" i="27"/>
  <c r="J25" i="27"/>
  <c r="K25" i="27" s="1"/>
  <c r="J26" i="27"/>
  <c r="K26" i="27" s="1"/>
  <c r="I25" i="27"/>
  <c r="I26" i="27"/>
  <c r="M26" i="27" l="1"/>
  <c r="M25" i="27"/>
  <c r="I22" i="27"/>
  <c r="I23" i="27"/>
  <c r="I24" i="27"/>
  <c r="J24" i="27"/>
  <c r="K24" i="27" s="1"/>
  <c r="J22" i="27"/>
  <c r="K22" i="27" s="1"/>
  <c r="J23" i="27"/>
  <c r="K23" i="27" s="1"/>
  <c r="J21" i="27" l="1"/>
  <c r="K21" i="27" s="1"/>
  <c r="M24" i="27"/>
  <c r="M21" i="27" l="1"/>
  <c r="H21" i="4"/>
  <c r="H22" i="4"/>
  <c r="L10" i="27"/>
  <c r="E40" i="4" l="1"/>
  <c r="E40" i="27"/>
  <c r="Y50" i="27"/>
  <c r="Y49" i="27"/>
  <c r="Y48" i="27"/>
  <c r="Y47" i="27"/>
  <c r="Y46" i="27"/>
  <c r="L10" i="4" l="1"/>
  <c r="M22" i="27" l="1"/>
  <c r="E33" i="27" s="1"/>
  <c r="M23" i="27"/>
  <c r="I21" i="4"/>
  <c r="L21" i="4" s="1"/>
  <c r="I22" i="4"/>
  <c r="L22" i="4" s="1"/>
  <c r="H23" i="4"/>
  <c r="I23" i="4" s="1"/>
  <c r="J23" i="4" s="1"/>
  <c r="K23" i="4" s="1"/>
  <c r="H24" i="4"/>
  <c r="I24" i="4"/>
  <c r="L24" i="4" s="1"/>
  <c r="H25" i="4"/>
  <c r="I25" i="4" s="1"/>
  <c r="J25" i="4" s="1"/>
  <c r="K25" i="4" s="1"/>
  <c r="H26" i="4"/>
  <c r="I26" i="4"/>
  <c r="L26" i="4" s="1"/>
  <c r="H27" i="4"/>
  <c r="I27" i="4" s="1"/>
  <c r="J27" i="4" s="1"/>
  <c r="K27" i="4" s="1"/>
  <c r="H28" i="4"/>
  <c r="I28" i="4" s="1"/>
  <c r="L28" i="4" s="1"/>
  <c r="H29" i="4"/>
  <c r="I29" i="4"/>
  <c r="J29" i="4" s="1"/>
  <c r="K29" i="4" s="1"/>
  <c r="H30" i="4"/>
  <c r="I30" i="4" s="1"/>
  <c r="L30" i="4" s="1"/>
  <c r="J30" i="4" l="1"/>
  <c r="K30" i="4" s="1"/>
  <c r="M30" i="4" s="1"/>
  <c r="L29" i="4"/>
  <c r="M29" i="4" s="1"/>
  <c r="J28" i="4"/>
  <c r="K28" i="4" s="1"/>
  <c r="M28" i="4" s="1"/>
  <c r="L27" i="4"/>
  <c r="M27" i="4" s="1"/>
  <c r="J26" i="4"/>
  <c r="K26" i="4" s="1"/>
  <c r="M26" i="4" s="1"/>
  <c r="L25" i="4"/>
  <c r="M25" i="4" s="1"/>
  <c r="J24" i="4"/>
  <c r="K24" i="4" s="1"/>
  <c r="M24" i="4" s="1"/>
  <c r="L23" i="4"/>
  <c r="M23" i="4" s="1"/>
  <c r="J22" i="4"/>
  <c r="K22" i="4" s="1"/>
  <c r="M22" i="4" s="1"/>
  <c r="J21" i="4"/>
  <c r="K21" i="4" l="1"/>
  <c r="M21" i="4" l="1"/>
  <c r="Y50" i="4" l="1"/>
  <c r="Y49" i="4"/>
  <c r="Y48" i="4"/>
  <c r="Y47" i="4"/>
  <c r="Y46" i="4"/>
  <c r="E33" i="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M9" authorId="0" shapeId="0" xr:uid="{00000000-0006-0000-0000-000001000000}">
      <text>
        <r>
          <rPr>
            <sz val="9"/>
            <color indexed="81"/>
            <rFont val="Tahoma"/>
            <family val="2"/>
          </rPr>
          <t>CONSECUTIVO DE INGRESO</t>
        </r>
      </text>
    </comment>
    <comment ref="N9" authorId="0" shapeId="0" xr:uid="{00000000-0006-0000-0000-000002000000}">
      <text>
        <r>
          <rPr>
            <sz val="9"/>
            <color indexed="81"/>
            <rFont val="Tahoma"/>
            <family val="2"/>
          </rPr>
          <t>DOS ÚLTIMOS DÍGITOS DEL AÑO DE INGRESO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M9" authorId="0" shapeId="0" xr:uid="{00000000-0006-0000-0300-000001000000}">
      <text>
        <r>
          <rPr>
            <sz val="9"/>
            <color indexed="81"/>
            <rFont val="Tahoma"/>
            <family val="2"/>
          </rPr>
          <t>CONSECUTIVO DE INGRESO</t>
        </r>
      </text>
    </comment>
    <comment ref="N9" authorId="0" shapeId="0" xr:uid="{00000000-0006-0000-0300-000002000000}">
      <text>
        <r>
          <rPr>
            <sz val="9"/>
            <color indexed="81"/>
            <rFont val="Tahoma"/>
            <family val="2"/>
          </rPr>
          <t>DOS ÚLTIMOS DÍGITOS DEL AÑO DE INGRESO</t>
        </r>
      </text>
    </comment>
  </commentList>
</comments>
</file>

<file path=xl/sharedStrings.xml><?xml version="1.0" encoding="utf-8"?>
<sst xmlns="http://schemas.openxmlformats.org/spreadsheetml/2006/main" count="219" uniqueCount="94">
  <si>
    <t>CLIENTE:</t>
  </si>
  <si>
    <t>PROYECTO:</t>
  </si>
  <si>
    <t>Código: GDA-FLC-018</t>
  </si>
  <si>
    <t>INFORME DE RESULTADOS</t>
  </si>
  <si>
    <t xml:space="preserve">tipo de perforación </t>
  </si>
  <si>
    <t>FECHA DE RECEPCIÓN:</t>
  </si>
  <si>
    <t>SONDEO</t>
  </si>
  <si>
    <t xml:space="preserve">FECHA DE EJECUCIÓN: </t>
  </si>
  <si>
    <t>APIQUE</t>
  </si>
  <si>
    <t>CORREO ELECTRÓNICO:</t>
  </si>
  <si>
    <t>FECHA DE EMISIÓN:</t>
  </si>
  <si>
    <t>TRINCHERA</t>
  </si>
  <si>
    <t>LOCALIZACIÓN:</t>
  </si>
  <si>
    <t xml:space="preserve">ORDEN INTERNA: </t>
  </si>
  <si>
    <t>GDA</t>
  </si>
  <si>
    <t>NQ</t>
  </si>
  <si>
    <t>MUESTRA TOMADA POR:</t>
  </si>
  <si>
    <t>INFORME ID No:</t>
  </si>
  <si>
    <t>N/A</t>
  </si>
  <si>
    <t>PERFORACIÓN:</t>
  </si>
  <si>
    <t>MUESTRA No. :</t>
  </si>
  <si>
    <t xml:space="preserve">PROFUNDIDAD: </t>
  </si>
  <si>
    <t>-</t>
  </si>
  <si>
    <t xml:space="preserve">DESCRIPCIÓN VISUAL: </t>
  </si>
  <si>
    <t xml:space="preserve">CARGA PUNTUAL </t>
  </si>
  <si>
    <t>ENSAYO No.</t>
  </si>
  <si>
    <t>P</t>
  </si>
  <si>
    <t>Is</t>
  </si>
  <si>
    <t xml:space="preserve">SENTIDO DE FALLA </t>
  </si>
  <si>
    <t>MPa</t>
  </si>
  <si>
    <t xml:space="preserve">RESULTADOS DEL ENSAYO </t>
  </si>
  <si>
    <t>(kN)</t>
  </si>
  <si>
    <t>CARGA MÁXIMA</t>
  </si>
  <si>
    <t>PRUEBA ESTÁNDAR PARA LA DETERMINACIÓN DEL ÍNDICE DE FUERZA DE CARGA PUNTUAL DE LA ROCA ASTM D 5731</t>
  </si>
  <si>
    <t>RECIPIENTE</t>
  </si>
  <si>
    <t>RECIPIENTE (g)</t>
  </si>
  <si>
    <t>MASA MUESTRA SECA + RECIPIENTE (g)</t>
  </si>
  <si>
    <t>DATOS DE HUMEDAD</t>
  </si>
  <si>
    <t>(MPa)</t>
  </si>
  <si>
    <r>
      <t xml:space="preserve">Is </t>
    </r>
    <r>
      <rPr>
        <b/>
        <vertAlign val="subscript"/>
        <sz val="11"/>
        <color rgb="FF002060"/>
        <rFont val="Calibri"/>
        <family val="2"/>
        <scheme val="minor"/>
      </rPr>
      <t>50</t>
    </r>
  </si>
  <si>
    <t>CONTENIDO DE HUMEDAD  w%</t>
  </si>
  <si>
    <t>OBSERVACIONES:</t>
  </si>
  <si>
    <t>Ing. SERGIO DURAN NÚÑEZ</t>
  </si>
  <si>
    <t>Director Técnico</t>
  </si>
  <si>
    <t>-------------------FIN DEL INFORME-----------------</t>
  </si>
  <si>
    <t>DIAMETRAL</t>
  </si>
  <si>
    <t xml:space="preserve">ALTURA SECCIÓN W </t>
  </si>
  <si>
    <t>De</t>
  </si>
  <si>
    <t>(mm)</t>
  </si>
  <si>
    <t xml:space="preserve">FACTOR DE CORRECCIÓN </t>
  </si>
  <si>
    <r>
      <t xml:space="preserve">I </t>
    </r>
    <r>
      <rPr>
        <vertAlign val="subscript"/>
        <sz val="11"/>
        <color theme="1"/>
        <rFont val="Calibri"/>
        <family val="2"/>
        <scheme val="minor"/>
      </rPr>
      <t>50</t>
    </r>
    <r>
      <rPr>
        <sz val="11"/>
        <color theme="1"/>
        <rFont val="Calibri"/>
        <family val="2"/>
        <scheme val="minor"/>
      </rPr>
      <t xml:space="preserve"> PROMEDIO</t>
    </r>
  </si>
  <si>
    <t>MASA MUESTRA HÚMEDA + RECIPIENTE (g)</t>
  </si>
  <si>
    <t>DESCARGO DE RESPONSABILIDADES  GEODELTA INGENIERÍA S.A.S.</t>
  </si>
  <si>
    <t xml:space="preserve"> El presente ensayo no podrá ser reproducido ni parcial ni totalmente sin previa autorización escrita del laboratorio que lo emite. Los resultados de este ensayo solo son aplicables a las muestras ensayadas. Este informe es valido únicamente si presenta firma de quien Reviso y/o Aprobó. El laboratorio es responsable de toda la información suministrada en es presente informe, excepto cuando la información es suministrada por el cliente. El laboratorio no es responsable por la información suministrada por el cliente, misma que puede afectar la validez de los resultados. (DATOS SUMINISTRADOS POR EL CLIENTE: PROCEDENCIA, PROFUNDIDAD, NUMERO DE PERFORACIÓN Y FECHA DE TOMA)</t>
  </si>
  <si>
    <t>ÁREA SECCIÓN TRANSVERSAL MÍNIMA A</t>
  </si>
  <si>
    <t>DIÁMETRO EQUIVALENTE De² (mm)</t>
  </si>
  <si>
    <t>ANCHO PROMEDIO D</t>
  </si>
  <si>
    <t>L (mm)</t>
  </si>
  <si>
    <t>Fecha: 30-11-2023</t>
  </si>
  <si>
    <t>APROBÓ</t>
  </si>
  <si>
    <t>REVISÓ</t>
  </si>
  <si>
    <t>ZULMA CASTILLO</t>
  </si>
  <si>
    <t xml:space="preserve">Jefe laboratorio </t>
  </si>
  <si>
    <t>CLIENTE</t>
  </si>
  <si>
    <t>24</t>
  </si>
  <si>
    <t>Versión :01</t>
  </si>
  <si>
    <t>Página 1 de 1</t>
  </si>
  <si>
    <t>048</t>
  </si>
  <si>
    <t>MHC INGENIERÍA Y CONSTRUCCIÓN DE OBRAS CIVILES</t>
  </si>
  <si>
    <t>ZIBU DISEÑOS GEOTÉCNICOS ZODME 3 - MHC</t>
  </si>
  <si>
    <t>GERENCIA.DCMING@GMAIL.COM</t>
  </si>
  <si>
    <t>ZIPAQUIRÁ- UBATÉ</t>
  </si>
  <si>
    <t>MIGUEL BARÓN</t>
  </si>
  <si>
    <t>L  Ó W (mm)</t>
  </si>
  <si>
    <t>W2</t>
  </si>
  <si>
    <t>TIPO DE FALLA</t>
  </si>
  <si>
    <t>AXIAL</t>
  </si>
  <si>
    <t>BLOQUE</t>
  </si>
  <si>
    <t>IRREGULAR</t>
  </si>
  <si>
    <t>L1 Ó W1</t>
  </si>
  <si>
    <t>LONGITUD L  Ó PROMEDIO SECCIÓN W (mm)</t>
  </si>
  <si>
    <t>ALTURA SECCIÓN D</t>
  </si>
  <si>
    <t>CONTROL DE CAMBIOS</t>
  </si>
  <si>
    <t>Versión No.</t>
  </si>
  <si>
    <t>Fecha del cambio</t>
  </si>
  <si>
    <t>Modificaciones</t>
  </si>
  <si>
    <t>Creación de documento</t>
  </si>
  <si>
    <t>Se actualiza la versión por cambios en la estructura del formato</t>
  </si>
  <si>
    <t>Versión :02</t>
  </si>
  <si>
    <t>Fecha: 09-01-2026</t>
  </si>
  <si>
    <t>00</t>
  </si>
  <si>
    <t>01</t>
  </si>
  <si>
    <t>02</t>
  </si>
  <si>
    <t xml:space="preserve">Se actualiza la version por cambios en la estructira del formato: * Cambió  la imáagen de las clases de falla
* Se modifican los cálculos para que estos se eejecuten a partir del tipo de falla
* Se agragaron dos tipos de falla más
* Se modificaron los nombres de algunas columnas para realizar los cáculos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</si>
</sst>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200A]d&quot; de &quot;mmmm&quot; de &quot;yyyy;@"/>
    <numFmt numFmtId="165" formatCode="@\ &quot;-&quot;"/>
    <numFmt numFmtId="166" formatCode="0.00&quot; m&quot;"/>
  </numFmts>
  <fonts count="23" x14ac:knownFonts="1">
    <font>
      <sz val="11"/>
      <color theme="1"/>
      <name val="Calibri"/>
      <family val="2"/>
      <scheme val="minor"/>
    </font>
    <font>
      <sz val="11"/>
      <color theme="1"/>
      <name val="Calibri"/>
      <family val="2"/>
      <scheme val="minor"/>
    </font>
    <font>
      <sz val="12"/>
      <color theme="1"/>
      <name val="Arial"/>
      <family val="2"/>
    </font>
    <font>
      <b/>
      <sz val="12"/>
      <color theme="1"/>
      <name val="Arial"/>
      <family val="2"/>
    </font>
    <font>
      <sz val="10"/>
      <name val="Arial"/>
      <family val="2"/>
    </font>
    <font>
      <b/>
      <sz val="14"/>
      <color theme="1"/>
      <name val="Arial"/>
      <family val="2"/>
    </font>
    <font>
      <sz val="11"/>
      <color theme="1"/>
      <name val="Arial"/>
      <family val="2"/>
    </font>
    <font>
      <b/>
      <sz val="11"/>
      <color theme="1"/>
      <name val="Arial"/>
      <family val="2"/>
    </font>
    <font>
      <sz val="14"/>
      <color rgb="FFFF0000"/>
      <name val="Arial"/>
      <family val="2"/>
    </font>
    <font>
      <b/>
      <sz val="11"/>
      <name val="Arial"/>
      <family val="2"/>
    </font>
    <font>
      <sz val="9"/>
      <color indexed="81"/>
      <name val="Tahoma"/>
      <family val="2"/>
    </font>
    <font>
      <vertAlign val="subscript"/>
      <sz val="11"/>
      <color theme="1"/>
      <name val="Calibri"/>
      <family val="2"/>
      <scheme val="minor"/>
    </font>
    <font>
      <b/>
      <sz val="12"/>
      <color rgb="FF002060"/>
      <name val="Arial"/>
      <family val="2"/>
    </font>
    <font>
      <sz val="10"/>
      <color theme="1"/>
      <name val="Calibri"/>
      <family val="2"/>
      <scheme val="minor"/>
    </font>
    <font>
      <b/>
      <sz val="9"/>
      <color rgb="FF002060"/>
      <name val="Arial"/>
      <family val="2"/>
    </font>
    <font>
      <b/>
      <sz val="11"/>
      <color rgb="FF002060"/>
      <name val="Calibri"/>
      <family val="2"/>
      <scheme val="minor"/>
    </font>
    <font>
      <b/>
      <vertAlign val="subscript"/>
      <sz val="11"/>
      <color rgb="FF002060"/>
      <name val="Calibri"/>
      <family val="2"/>
      <scheme val="minor"/>
    </font>
    <font>
      <sz val="9"/>
      <color theme="1"/>
      <name val="Arial"/>
      <family val="2"/>
    </font>
    <font>
      <sz val="10"/>
      <color theme="1"/>
      <name val="Arial"/>
      <family val="2"/>
    </font>
    <font>
      <sz val="11"/>
      <color rgb="FFFF0000"/>
      <name val="Arial"/>
      <family val="2"/>
    </font>
    <font>
      <sz val="10"/>
      <color rgb="FFFF0000"/>
      <name val="Arial"/>
      <family val="2"/>
    </font>
    <font>
      <b/>
      <sz val="8"/>
      <color theme="1"/>
      <name val="Arial"/>
      <family val="2"/>
    </font>
    <font>
      <sz val="11"/>
      <color rgb="FFFF000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58">
    <border>
      <left/>
      <right/>
      <top/>
      <bottom/>
      <diagonal/>
    </border>
    <border>
      <left/>
      <right style="medium">
        <color theme="0" tint="-0.499984740745262"/>
      </right>
      <top/>
      <bottom/>
      <diagonal/>
    </border>
    <border>
      <left/>
      <right/>
      <top/>
      <bottom style="thin">
        <color theme="0" tint="-0.499984740745262"/>
      </bottom>
      <diagonal/>
    </border>
    <border>
      <left/>
      <right/>
      <top/>
      <bottom style="thin">
        <color indexed="64"/>
      </bottom>
      <diagonal/>
    </border>
    <border>
      <left style="medium">
        <color theme="0" tint="-0.499984740745262"/>
      </left>
      <right/>
      <top style="medium">
        <color theme="0" tint="-0.499984740745262"/>
      </top>
      <bottom/>
      <diagonal/>
    </border>
    <border>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style="medium">
        <color theme="0" tint="-0.499984740745262"/>
      </right>
      <top/>
      <bottom style="medium">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style="thin">
        <color indexed="64"/>
      </top>
      <bottom style="thin">
        <color indexed="64"/>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bottom style="thin">
        <color theme="0" tint="-0.499984740745262"/>
      </bottom>
      <diagonal/>
    </border>
    <border>
      <left/>
      <right style="thin">
        <color theme="0" tint="-0.499984740745262"/>
      </right>
      <top style="thin">
        <color theme="0" tint="-0.499984740745262"/>
      </top>
      <bottom style="medium">
        <color theme="0" tint="-0.499984740745262"/>
      </bottom>
      <diagonal/>
    </border>
    <border>
      <left style="medium">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medium">
        <color theme="0" tint="-0.499984740745262"/>
      </right>
      <top style="thin">
        <color theme="0" tint="-0.499984740745262"/>
      </top>
      <bottom style="thin">
        <color theme="0" tint="-0.499984740745262"/>
      </bottom>
      <diagonal/>
    </border>
    <border>
      <left/>
      <right/>
      <top style="medium">
        <color theme="0" tint="-0.499984740745262"/>
      </top>
      <bottom style="thin">
        <color theme="0" tint="-0.499984740745262"/>
      </bottom>
      <diagonal/>
    </border>
    <border>
      <left style="medium">
        <color theme="0" tint="-0.499984740745262"/>
      </left>
      <right/>
      <top style="medium">
        <color theme="0" tint="-0.499984740745262"/>
      </top>
      <bottom style="medium">
        <color theme="0" tint="-0.499984740745262"/>
      </bottom>
      <diagonal/>
    </border>
    <border>
      <left/>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diagonal/>
    </border>
    <border>
      <left style="medium">
        <color theme="0" tint="-0.499984740745262"/>
      </left>
      <right style="medium">
        <color theme="0" tint="-0.499984740745262"/>
      </right>
      <top/>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right style="thin">
        <color theme="0" tint="-0.499984740745262"/>
      </right>
      <top style="medium">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medium">
        <color theme="0" tint="-0.499984740745262"/>
      </right>
      <top style="medium">
        <color theme="0" tint="-0.499984740745262"/>
      </top>
      <bottom style="medium">
        <color theme="0" tint="-0.499984740745262"/>
      </bottom>
      <diagonal/>
    </border>
    <border>
      <left/>
      <right style="medium">
        <color theme="0" tint="-0.499984740745262"/>
      </right>
      <top style="medium">
        <color theme="0" tint="-0.499984740745262"/>
      </top>
      <bottom style="thin">
        <color theme="0" tint="-0.499984740745262"/>
      </bottom>
      <diagonal/>
    </border>
    <border>
      <left/>
      <right/>
      <top style="thin">
        <color indexed="64"/>
      </top>
      <bottom/>
      <diagonal/>
    </border>
    <border>
      <left style="medium">
        <color theme="0" tint="-0.499984740745262"/>
      </left>
      <right style="medium">
        <color theme="0" tint="-0.499984740745262"/>
      </right>
      <top style="medium">
        <color theme="0" tint="-0.499984740745262"/>
      </top>
      <bottom style="medium">
        <color theme="0" tint="-0.499984740745262"/>
      </bottom>
      <diagonal/>
    </border>
    <border>
      <left/>
      <right style="medium">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bottom style="medium">
        <color theme="0" tint="-0.499984740745262"/>
      </bottom>
      <diagonal/>
    </border>
    <border>
      <left style="medium">
        <color theme="0" tint="-0.499984740745262"/>
      </left>
      <right/>
      <top/>
      <bottom style="thin">
        <color theme="0" tint="-0.499984740745262"/>
      </bottom>
      <diagonal/>
    </border>
    <border>
      <left style="thin">
        <color theme="0" tint="-0.499984740745262"/>
      </left>
      <right style="medium">
        <color theme="0" tint="-0.499984740745262"/>
      </right>
      <top/>
      <bottom style="medium">
        <color theme="0" tint="-0.499984740745262"/>
      </bottom>
      <diagonal/>
    </border>
    <border>
      <left style="medium">
        <color rgb="FFCCCCCC"/>
      </left>
      <right style="medium">
        <color rgb="FFCCCCCC"/>
      </right>
      <top style="medium">
        <color rgb="FFCCCCCC"/>
      </top>
      <bottom style="medium">
        <color rgb="FFCCCCCC"/>
      </bottom>
      <diagonal/>
    </border>
    <border>
      <left style="medium">
        <color rgb="FFCCCCCC"/>
      </left>
      <right/>
      <top style="medium">
        <color rgb="FFCCCCCC"/>
      </top>
      <bottom style="medium">
        <color rgb="FF000000"/>
      </bottom>
      <diagonal/>
    </border>
    <border>
      <left/>
      <right/>
      <top style="medium">
        <color rgb="FFCCCCCC"/>
      </top>
      <bottom style="medium">
        <color rgb="FF000000"/>
      </bottom>
      <diagonal/>
    </border>
    <border>
      <left/>
      <right style="medium">
        <color rgb="FFCCCCCC"/>
      </right>
      <top style="medium">
        <color rgb="FFCCCCCC"/>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theme="0" tint="-0.499984740745262"/>
      </left>
      <right style="thin">
        <color theme="0" tint="-0.499984740745262"/>
      </right>
      <top/>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medium">
        <color theme="0" tint="-0.499984740745262"/>
      </right>
      <top/>
      <bottom/>
      <diagonal/>
    </border>
    <border>
      <left style="medium">
        <color theme="0" tint="-0.499984740745262"/>
      </left>
      <right style="medium">
        <color theme="0" tint="-0.499984740745262"/>
      </right>
      <top/>
      <bottom style="medium">
        <color theme="0" tint="-0.499984740745262"/>
      </bottom>
      <diagonal/>
    </border>
  </borders>
  <cellStyleXfs count="6">
    <xf numFmtId="0" fontId="0" fillId="0" borderId="0"/>
    <xf numFmtId="0" fontId="2" fillId="0" borderId="0"/>
    <xf numFmtId="0" fontId="4" fillId="0" borderId="0"/>
    <xf numFmtId="0" fontId="4" fillId="0" borderId="0"/>
    <xf numFmtId="0" fontId="4" fillId="0" borderId="0"/>
    <xf numFmtId="0" fontId="1" fillId="0" borderId="0"/>
  </cellStyleXfs>
  <cellXfs count="189">
    <xf numFmtId="0" fontId="0" fillId="0" borderId="0" xfId="0"/>
    <xf numFmtId="0" fontId="6" fillId="0" borderId="4" xfId="5" applyFont="1" applyBorder="1" applyAlignment="1" applyProtection="1">
      <alignment vertical="center"/>
      <protection locked="0"/>
    </xf>
    <xf numFmtId="0" fontId="6" fillId="0" borderId="0" xfId="5" applyFont="1" applyAlignment="1" applyProtection="1">
      <alignment vertical="center"/>
      <protection locked="0"/>
    </xf>
    <xf numFmtId="0" fontId="6" fillId="0" borderId="7" xfId="5" applyFont="1" applyBorder="1" applyAlignment="1" applyProtection="1">
      <alignment vertical="center"/>
      <protection locked="0"/>
    </xf>
    <xf numFmtId="0" fontId="6" fillId="0" borderId="8" xfId="5" applyFont="1" applyBorder="1" applyAlignment="1" applyProtection="1">
      <alignment vertical="center"/>
      <protection locked="0"/>
    </xf>
    <xf numFmtId="0" fontId="6" fillId="0" borderId="0" xfId="5" applyFont="1" applyAlignment="1" applyProtection="1">
      <alignment horizontal="center" vertical="center"/>
      <protection locked="0"/>
    </xf>
    <xf numFmtId="0" fontId="6" fillId="0" borderId="9" xfId="5" applyFont="1" applyBorder="1" applyAlignment="1" applyProtection="1">
      <alignment vertical="center"/>
      <protection locked="0"/>
    </xf>
    <xf numFmtId="0" fontId="6" fillId="0" borderId="1" xfId="5" applyFont="1" applyBorder="1" applyAlignment="1" applyProtection="1">
      <alignment vertical="center"/>
      <protection locked="0"/>
    </xf>
    <xf numFmtId="0" fontId="6" fillId="3" borderId="23" xfId="5" applyFont="1" applyFill="1" applyBorder="1" applyAlignment="1" applyProtection="1">
      <alignment horizontal="center" vertical="center"/>
      <protection locked="0"/>
    </xf>
    <xf numFmtId="14" fontId="6" fillId="0" borderId="6" xfId="5" applyNumberFormat="1" applyFont="1" applyBorder="1" applyAlignment="1" applyProtection="1">
      <alignment horizontal="center" vertical="center"/>
      <protection locked="0"/>
    </xf>
    <xf numFmtId="0" fontId="6" fillId="0" borderId="11" xfId="5" applyFont="1" applyBorder="1" applyAlignment="1" applyProtection="1">
      <alignment vertical="center"/>
      <protection locked="0"/>
    </xf>
    <xf numFmtId="14" fontId="6" fillId="0" borderId="1" xfId="5" applyNumberFormat="1" applyFont="1" applyBorder="1" applyAlignment="1" applyProtection="1">
      <alignment horizontal="center" vertical="center"/>
      <protection locked="0"/>
    </xf>
    <xf numFmtId="164" fontId="6" fillId="3" borderId="2" xfId="5" applyNumberFormat="1" applyFont="1" applyFill="1" applyBorder="1" applyAlignment="1" applyProtection="1">
      <alignment horizontal="right" vertical="center"/>
      <protection hidden="1"/>
    </xf>
    <xf numFmtId="165" fontId="6" fillId="3" borderId="21" xfId="5" applyNumberFormat="1" applyFont="1" applyFill="1" applyBorder="1" applyAlignment="1" applyProtection="1">
      <alignment horizontal="center" vertical="center"/>
      <protection hidden="1"/>
    </xf>
    <xf numFmtId="49" fontId="6" fillId="3" borderId="21" xfId="5" applyNumberFormat="1" applyFont="1" applyFill="1" applyBorder="1" applyAlignment="1" applyProtection="1">
      <alignment vertical="center"/>
      <protection locked="0"/>
    </xf>
    <xf numFmtId="0" fontId="6" fillId="0" borderId="1" xfId="5" applyFont="1" applyBorder="1" applyAlignment="1" applyProtection="1">
      <alignment horizontal="left" vertical="center"/>
      <protection locked="0"/>
    </xf>
    <xf numFmtId="0" fontId="6" fillId="3" borderId="9" xfId="5" applyFont="1" applyFill="1" applyBorder="1" applyAlignment="1" applyProtection="1">
      <alignment vertical="center"/>
      <protection locked="0"/>
    </xf>
    <xf numFmtId="0" fontId="6" fillId="0" borderId="10" xfId="5" applyFont="1" applyBorder="1" applyAlignment="1" applyProtection="1">
      <alignment vertical="center"/>
      <protection locked="0"/>
    </xf>
    <xf numFmtId="0" fontId="7" fillId="3" borderId="5" xfId="5" applyFont="1" applyFill="1" applyBorder="1" applyAlignment="1" applyProtection="1">
      <alignment vertical="center"/>
      <protection hidden="1"/>
    </xf>
    <xf numFmtId="166" fontId="6" fillId="3" borderId="23" xfId="5" applyNumberFormat="1" applyFont="1" applyFill="1" applyBorder="1" applyAlignment="1" applyProtection="1">
      <alignment horizontal="right" vertical="center"/>
      <protection locked="0"/>
    </xf>
    <xf numFmtId="166" fontId="6" fillId="3" borderId="23" xfId="5" applyNumberFormat="1" applyFont="1" applyFill="1" applyBorder="1" applyAlignment="1" applyProtection="1">
      <alignment horizontal="center" vertical="center"/>
      <protection hidden="1"/>
    </xf>
    <xf numFmtId="166" fontId="6" fillId="3" borderId="23" xfId="5" applyNumberFormat="1" applyFont="1" applyFill="1" applyBorder="1" applyAlignment="1" applyProtection="1">
      <alignment horizontal="left" vertical="center"/>
      <protection locked="0"/>
    </xf>
    <xf numFmtId="166" fontId="6" fillId="0" borderId="6" xfId="5" applyNumberFormat="1" applyFont="1" applyBorder="1" applyAlignment="1" applyProtection="1">
      <alignment horizontal="left" vertical="center"/>
      <protection locked="0"/>
    </xf>
    <xf numFmtId="0" fontId="6" fillId="0" borderId="1" xfId="5" applyFont="1" applyBorder="1" applyAlignment="1" applyProtection="1">
      <alignment horizontal="left" vertical="center" wrapText="1"/>
      <protection locked="0"/>
    </xf>
    <xf numFmtId="0" fontId="7" fillId="3" borderId="9" xfId="5" applyFont="1" applyFill="1" applyBorder="1" applyAlignment="1" applyProtection="1">
      <alignment horizontal="left" vertical="center"/>
      <protection hidden="1"/>
    </xf>
    <xf numFmtId="0" fontId="6" fillId="3" borderId="9" xfId="5" applyFont="1" applyFill="1" applyBorder="1" applyAlignment="1" applyProtection="1">
      <alignment horizontal="left" vertical="center"/>
      <protection locked="0"/>
    </xf>
    <xf numFmtId="0" fontId="6" fillId="0" borderId="10" xfId="5" applyFont="1" applyBorder="1" applyAlignment="1" applyProtection="1">
      <alignment horizontal="left" vertical="center"/>
      <protection locked="0"/>
    </xf>
    <xf numFmtId="0" fontId="0" fillId="0" borderId="11" xfId="0" applyBorder="1" applyAlignment="1">
      <alignment horizontal="center"/>
    </xf>
    <xf numFmtId="0" fontId="0" fillId="0" borderId="7" xfId="0" applyBorder="1"/>
    <xf numFmtId="0" fontId="0" fillId="0" borderId="1" xfId="0" applyBorder="1"/>
    <xf numFmtId="0" fontId="0" fillId="0" borderId="14" xfId="0" applyBorder="1" applyAlignment="1">
      <alignment horizontal="center"/>
    </xf>
    <xf numFmtId="0" fontId="0" fillId="0" borderId="16"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0" fillId="0" borderId="13" xfId="0" applyBorder="1" applyAlignment="1">
      <alignment horizontal="center"/>
    </xf>
    <xf numFmtId="0" fontId="0" fillId="0" borderId="15" xfId="0" applyBorder="1" applyAlignment="1">
      <alignment horizontal="center"/>
    </xf>
    <xf numFmtId="2" fontId="0" fillId="0" borderId="30" xfId="0" applyNumberFormat="1" applyBorder="1" applyAlignment="1">
      <alignment horizontal="center"/>
    </xf>
    <xf numFmtId="2" fontId="0" fillId="0" borderId="11" xfId="0" applyNumberFormat="1" applyBorder="1" applyAlignment="1">
      <alignment horizontal="center"/>
    </xf>
    <xf numFmtId="2" fontId="0" fillId="0" borderId="16" xfId="0" applyNumberFormat="1" applyBorder="1" applyAlignment="1">
      <alignment horizontal="center"/>
    </xf>
    <xf numFmtId="0" fontId="15" fillId="2" borderId="27" xfId="0" applyFont="1" applyFill="1" applyBorder="1" applyAlignment="1">
      <alignment horizontal="center" vertical="center"/>
    </xf>
    <xf numFmtId="0" fontId="15" fillId="2" borderId="28" xfId="0" applyFont="1" applyFill="1" applyBorder="1" applyAlignment="1">
      <alignment horizontal="center" vertical="center"/>
    </xf>
    <xf numFmtId="0" fontId="0" fillId="0" borderId="18" xfId="0" applyBorder="1" applyAlignment="1">
      <alignment horizontal="center"/>
    </xf>
    <xf numFmtId="0" fontId="17" fillId="0" borderId="7" xfId="5" applyFont="1" applyBorder="1" applyAlignment="1" applyProtection="1">
      <alignment vertical="center"/>
      <protection locked="0"/>
    </xf>
    <xf numFmtId="0" fontId="6" fillId="0" borderId="3" xfId="5" applyFont="1" applyBorder="1" applyAlignment="1" applyProtection="1">
      <alignment vertical="center"/>
      <protection locked="0"/>
    </xf>
    <xf numFmtId="0" fontId="6" fillId="0" borderId="12" xfId="5" applyFont="1" applyBorder="1" applyAlignment="1" applyProtection="1">
      <alignment vertical="center"/>
      <protection locked="0"/>
    </xf>
    <xf numFmtId="0" fontId="7" fillId="0" borderId="12" xfId="5" applyFont="1" applyBorder="1" applyAlignment="1" applyProtection="1">
      <alignment vertical="center"/>
      <protection locked="0"/>
    </xf>
    <xf numFmtId="0" fontId="18" fillId="0" borderId="7" xfId="5" applyFont="1" applyBorder="1" applyAlignment="1" applyProtection="1">
      <alignment vertical="center" wrapText="1"/>
      <protection locked="0"/>
    </xf>
    <xf numFmtId="0" fontId="18" fillId="0" borderId="1" xfId="5" applyFont="1" applyBorder="1" applyAlignment="1" applyProtection="1">
      <alignment horizontal="center" vertical="center" wrapText="1"/>
      <protection locked="0"/>
    </xf>
    <xf numFmtId="49" fontId="19" fillId="0" borderId="8" xfId="5" applyNumberFormat="1" applyFont="1" applyBorder="1" applyAlignment="1" applyProtection="1">
      <alignment horizontal="center" vertical="center" wrapText="1"/>
      <protection locked="0"/>
    </xf>
    <xf numFmtId="2" fontId="0" fillId="0" borderId="0" xfId="0" applyNumberFormat="1"/>
    <xf numFmtId="0" fontId="0" fillId="0" borderId="38" xfId="0" applyBorder="1" applyAlignment="1">
      <alignment horizontal="center"/>
    </xf>
    <xf numFmtId="2" fontId="0" fillId="0" borderId="39" xfId="0" applyNumberFormat="1" applyBorder="1" applyAlignment="1">
      <alignment horizontal="center"/>
    </xf>
    <xf numFmtId="0" fontId="0" fillId="0" borderId="11" xfId="0" applyBorder="1"/>
    <xf numFmtId="0" fontId="0" fillId="0" borderId="14" xfId="0" applyBorder="1"/>
    <xf numFmtId="0" fontId="0" fillId="0" borderId="16" xfId="0" applyBorder="1"/>
    <xf numFmtId="0" fontId="0" fillId="0" borderId="17" xfId="0" applyBorder="1"/>
    <xf numFmtId="0" fontId="0" fillId="0" borderId="30" xfId="0" applyBorder="1"/>
    <xf numFmtId="0" fontId="0" fillId="0" borderId="31" xfId="0" applyBorder="1"/>
    <xf numFmtId="0" fontId="15" fillId="2" borderId="5" xfId="0" applyFont="1" applyFill="1" applyBorder="1" applyAlignment="1">
      <alignment vertical="center" wrapText="1"/>
    </xf>
    <xf numFmtId="0" fontId="15" fillId="2" borderId="6" xfId="0" applyFont="1" applyFill="1" applyBorder="1" applyAlignment="1">
      <alignment vertical="center" wrapText="1"/>
    </xf>
    <xf numFmtId="0" fontId="15" fillId="2" borderId="0" xfId="0" applyFont="1" applyFill="1" applyAlignment="1">
      <alignment vertical="center" wrapText="1"/>
    </xf>
    <xf numFmtId="0" fontId="15" fillId="2" borderId="1" xfId="0" applyFont="1" applyFill="1" applyBorder="1" applyAlignment="1">
      <alignment vertical="center" wrapText="1"/>
    </xf>
    <xf numFmtId="0" fontId="15" fillId="2" borderId="9" xfId="0" applyFont="1" applyFill="1" applyBorder="1" applyAlignment="1">
      <alignment vertical="center" wrapText="1"/>
    </xf>
    <xf numFmtId="0" fontId="15" fillId="2" borderId="10" xfId="0" applyFont="1" applyFill="1" applyBorder="1" applyAlignment="1">
      <alignment vertical="center" wrapText="1"/>
    </xf>
    <xf numFmtId="0" fontId="6" fillId="0" borderId="0" xfId="5" applyFont="1" applyAlignment="1" applyProtection="1">
      <alignment vertical="center"/>
      <protection locked="0" hidden="1"/>
    </xf>
    <xf numFmtId="0" fontId="7" fillId="0" borderId="0" xfId="5" applyFont="1" applyAlignment="1" applyProtection="1">
      <alignment vertical="center"/>
      <protection locked="0" hidden="1"/>
    </xf>
    <xf numFmtId="0" fontId="0" fillId="0" borderId="42" xfId="0" applyBorder="1"/>
    <xf numFmtId="2" fontId="0" fillId="0" borderId="17" xfId="0" applyNumberFormat="1" applyBorder="1" applyAlignment="1">
      <alignment horizontal="center"/>
    </xf>
    <xf numFmtId="0" fontId="17" fillId="0" borderId="0" xfId="5" applyFont="1" applyAlignment="1" applyProtection="1">
      <alignment vertical="center"/>
      <protection locked="0"/>
    </xf>
    <xf numFmtId="0" fontId="7" fillId="0" borderId="0" xfId="5" applyFont="1" applyAlignment="1" applyProtection="1">
      <alignment vertical="center"/>
      <protection locked="0"/>
    </xf>
    <xf numFmtId="0" fontId="18" fillId="0" borderId="0" xfId="5" applyFont="1" applyAlignment="1" applyProtection="1">
      <alignment vertical="center" wrapText="1"/>
      <protection locked="0"/>
    </xf>
    <xf numFmtId="0" fontId="12" fillId="0" borderId="0" xfId="0" applyFont="1" applyAlignment="1">
      <alignment horizontal="center" vertical="center"/>
    </xf>
    <xf numFmtId="0" fontId="6" fillId="0" borderId="0" xfId="5" applyFont="1" applyAlignment="1" applyProtection="1">
      <alignment vertical="center"/>
      <protection hidden="1"/>
    </xf>
    <xf numFmtId="0" fontId="15" fillId="2" borderId="8" xfId="0" applyFont="1" applyFill="1" applyBorder="1" applyAlignment="1">
      <alignment horizontal="center" vertical="center" wrapText="1"/>
    </xf>
    <xf numFmtId="0" fontId="15" fillId="2" borderId="9" xfId="0" applyFont="1" applyFill="1" applyBorder="1" applyAlignment="1">
      <alignment horizontal="center" vertical="center" wrapText="1"/>
    </xf>
    <xf numFmtId="0" fontId="15" fillId="2" borderId="10" xfId="0" applyFont="1" applyFill="1" applyBorder="1" applyAlignment="1">
      <alignment horizontal="center" vertical="center" wrapText="1"/>
    </xf>
    <xf numFmtId="0" fontId="0" fillId="0" borderId="20" xfId="0" applyBorder="1" applyAlignment="1">
      <alignment horizontal="center"/>
    </xf>
    <xf numFmtId="2" fontId="0" fillId="0" borderId="44" xfId="0" applyNumberFormat="1" applyBorder="1" applyAlignment="1">
      <alignment horizontal="center"/>
    </xf>
    <xf numFmtId="0" fontId="0" fillId="0" borderId="44" xfId="0" applyBorder="1" applyAlignment="1">
      <alignment horizontal="center"/>
    </xf>
    <xf numFmtId="0" fontId="0" fillId="0" borderId="45" xfId="0" applyBorder="1" applyAlignment="1">
      <alignment horizontal="center"/>
    </xf>
    <xf numFmtId="0" fontId="0" fillId="0" borderId="47" xfId="0" applyBorder="1" applyAlignment="1">
      <alignment wrapText="1"/>
    </xf>
    <xf numFmtId="14" fontId="6" fillId="0" borderId="52" xfId="0" applyNumberFormat="1" applyFont="1" applyBorder="1" applyAlignment="1">
      <alignment horizontal="center" wrapText="1"/>
    </xf>
    <xf numFmtId="0" fontId="6" fillId="0" borderId="52" xfId="0" applyFont="1" applyBorder="1" applyAlignment="1">
      <alignment wrapText="1"/>
    </xf>
    <xf numFmtId="49" fontId="6" fillId="0" borderId="51" xfId="0" applyNumberFormat="1" applyFont="1" applyBorder="1" applyAlignment="1">
      <alignment horizontal="center" wrapText="1"/>
    </xf>
    <xf numFmtId="49" fontId="6" fillId="0" borderId="51" xfId="0" applyNumberFormat="1" applyFont="1" applyBorder="1" applyAlignment="1">
      <alignment horizontal="center" vertical="center" wrapText="1"/>
    </xf>
    <xf numFmtId="14" fontId="6" fillId="0" borderId="52" xfId="0" applyNumberFormat="1" applyFont="1" applyBorder="1" applyAlignment="1">
      <alignment horizontal="center" vertical="center" wrapText="1"/>
    </xf>
    <xf numFmtId="0" fontId="6" fillId="0" borderId="52" xfId="0" applyFont="1" applyBorder="1" applyAlignment="1">
      <alignment vertical="center" wrapText="1"/>
    </xf>
    <xf numFmtId="0" fontId="7" fillId="0" borderId="51" xfId="0" applyFont="1" applyBorder="1" applyAlignment="1">
      <alignment horizontal="center" vertical="center" wrapText="1"/>
    </xf>
    <xf numFmtId="0" fontId="7" fillId="0" borderId="52" xfId="0" applyFont="1" applyBorder="1" applyAlignment="1">
      <alignment horizontal="center" vertical="center" wrapText="1"/>
    </xf>
    <xf numFmtId="0" fontId="0" fillId="0" borderId="53" xfId="0" applyBorder="1" applyAlignment="1">
      <alignment horizontal="center"/>
    </xf>
    <xf numFmtId="2" fontId="0" fillId="0" borderId="54" xfId="0" applyNumberFormat="1" applyBorder="1" applyAlignment="1">
      <alignment horizontal="center"/>
    </xf>
    <xf numFmtId="0" fontId="0" fillId="0" borderId="54" xfId="0" applyBorder="1" applyAlignment="1">
      <alignment horizontal="center"/>
    </xf>
    <xf numFmtId="2" fontId="0" fillId="0" borderId="55" xfId="0" applyNumberFormat="1" applyBorder="1" applyAlignment="1">
      <alignment horizontal="center"/>
    </xf>
    <xf numFmtId="0" fontId="15" fillId="2" borderId="57" xfId="0" applyFont="1" applyFill="1" applyBorder="1" applyAlignment="1">
      <alignment horizontal="center" vertical="center"/>
    </xf>
    <xf numFmtId="0" fontId="22" fillId="0" borderId="0" xfId="0" applyFont="1" applyAlignment="1">
      <alignment horizontal="center"/>
    </xf>
    <xf numFmtId="0" fontId="8" fillId="0" borderId="0" xfId="5" applyFont="1" applyAlignment="1" applyProtection="1">
      <alignment horizontal="center" vertical="center"/>
      <protection locked="0"/>
    </xf>
    <xf numFmtId="0" fontId="6" fillId="0" borderId="32" xfId="5" applyFont="1" applyBorder="1" applyAlignment="1" applyProtection="1">
      <alignment horizontal="center" vertical="center"/>
      <protection locked="0" hidden="1"/>
    </xf>
    <xf numFmtId="0" fontId="6" fillId="0" borderId="33" xfId="5" applyFont="1" applyBorder="1" applyAlignment="1" applyProtection="1">
      <alignment horizontal="center" vertical="center"/>
      <protection locked="0" hidden="1"/>
    </xf>
    <xf numFmtId="0" fontId="6" fillId="0" borderId="43" xfId="5" applyFont="1" applyBorder="1" applyAlignment="1" applyProtection="1">
      <alignment horizontal="center" vertical="center"/>
      <protection locked="0" hidden="1"/>
    </xf>
    <xf numFmtId="0" fontId="6" fillId="0" borderId="0" xfId="5" applyFont="1" applyAlignment="1" applyProtection="1">
      <alignment horizontal="center" vertical="center"/>
      <protection locked="0"/>
    </xf>
    <xf numFmtId="0" fontId="7" fillId="3" borderId="5" xfId="5" applyFont="1" applyFill="1" applyBorder="1" applyAlignment="1" applyProtection="1">
      <alignment horizontal="left" vertical="center"/>
      <protection hidden="1"/>
    </xf>
    <xf numFmtId="0" fontId="6" fillId="3" borderId="23" xfId="5" applyFont="1" applyFill="1" applyBorder="1" applyAlignment="1" applyProtection="1">
      <alignment horizontal="center" vertical="center"/>
      <protection locked="0"/>
    </xf>
    <xf numFmtId="164" fontId="6" fillId="3" borderId="23" xfId="5" applyNumberFormat="1" applyFont="1" applyFill="1" applyBorder="1" applyAlignment="1" applyProtection="1">
      <alignment horizontal="center" vertical="center"/>
      <protection locked="0"/>
    </xf>
    <xf numFmtId="0" fontId="6" fillId="0" borderId="4" xfId="5" applyFont="1" applyBorder="1" applyAlignment="1" applyProtection="1">
      <alignment horizontal="center" vertical="center"/>
      <protection locked="0"/>
    </xf>
    <xf numFmtId="0" fontId="6" fillId="0" borderId="5" xfId="5" applyFont="1" applyBorder="1" applyAlignment="1" applyProtection="1">
      <alignment horizontal="center" vertical="center"/>
      <protection locked="0"/>
    </xf>
    <xf numFmtId="0" fontId="6" fillId="0" borderId="7" xfId="5" applyFont="1" applyBorder="1" applyAlignment="1" applyProtection="1">
      <alignment horizontal="center" vertical="center"/>
      <protection locked="0"/>
    </xf>
    <xf numFmtId="0" fontId="6" fillId="0" borderId="8" xfId="5" applyFont="1" applyBorder="1" applyAlignment="1" applyProtection="1">
      <alignment horizontal="center" vertical="center"/>
      <protection locked="0"/>
    </xf>
    <xf numFmtId="0" fontId="6" fillId="0" borderId="9" xfId="5" applyFont="1" applyBorder="1" applyAlignment="1" applyProtection="1">
      <alignment horizontal="center" vertical="center"/>
      <protection locked="0"/>
    </xf>
    <xf numFmtId="0" fontId="3" fillId="0" borderId="4" xfId="5" applyFont="1" applyBorder="1" applyAlignment="1" applyProtection="1">
      <alignment horizontal="center" vertical="center"/>
      <protection locked="0"/>
    </xf>
    <xf numFmtId="0" fontId="3" fillId="0" borderId="5" xfId="5" applyFont="1" applyBorder="1" applyAlignment="1" applyProtection="1">
      <alignment horizontal="center" vertical="center"/>
      <protection locked="0"/>
    </xf>
    <xf numFmtId="0" fontId="3" fillId="0" borderId="6" xfId="5" applyFont="1" applyBorder="1" applyAlignment="1" applyProtection="1">
      <alignment horizontal="center" vertical="center"/>
      <protection locked="0"/>
    </xf>
    <xf numFmtId="0" fontId="6" fillId="0" borderId="34" xfId="5" applyFont="1" applyBorder="1" applyAlignment="1" applyProtection="1">
      <alignment horizontal="center" vertical="center"/>
      <protection locked="0" hidden="1"/>
    </xf>
    <xf numFmtId="0" fontId="6" fillId="0" borderId="23" xfId="5" applyFont="1" applyBorder="1" applyAlignment="1" applyProtection="1">
      <alignment horizontal="center" vertical="center"/>
      <protection locked="0" hidden="1"/>
    </xf>
    <xf numFmtId="0" fontId="6" fillId="0" borderId="40" xfId="5" applyFont="1" applyBorder="1" applyAlignment="1" applyProtection="1">
      <alignment horizontal="center" vertical="center"/>
      <protection locked="0" hidden="1"/>
    </xf>
    <xf numFmtId="0" fontId="5" fillId="0" borderId="7" xfId="5" applyFont="1" applyBorder="1" applyAlignment="1" applyProtection="1">
      <alignment horizontal="center" vertical="center" wrapText="1"/>
      <protection locked="0"/>
    </xf>
    <xf numFmtId="0" fontId="5" fillId="0" borderId="0" xfId="5" applyFont="1" applyAlignment="1" applyProtection="1">
      <alignment horizontal="center" vertical="center" wrapText="1"/>
      <protection locked="0"/>
    </xf>
    <xf numFmtId="0" fontId="5" fillId="0" borderId="1" xfId="5" applyFont="1" applyBorder="1" applyAlignment="1" applyProtection="1">
      <alignment horizontal="center" vertical="center" wrapText="1"/>
      <protection locked="0"/>
    </xf>
    <xf numFmtId="0" fontId="5" fillId="0" borderId="8" xfId="5" applyFont="1" applyBorder="1" applyAlignment="1" applyProtection="1">
      <alignment horizontal="center" vertical="center" wrapText="1"/>
      <protection locked="0"/>
    </xf>
    <xf numFmtId="0" fontId="5" fillId="0" borderId="9" xfId="5" applyFont="1" applyBorder="1" applyAlignment="1" applyProtection="1">
      <alignment horizontal="center" vertical="center" wrapText="1"/>
      <protection locked="0"/>
    </xf>
    <xf numFmtId="0" fontId="5" fillId="0" borderId="10" xfId="5" applyFont="1" applyBorder="1" applyAlignment="1" applyProtection="1">
      <alignment horizontal="center" vertical="center" wrapText="1"/>
      <protection locked="0"/>
    </xf>
    <xf numFmtId="0" fontId="6" fillId="0" borderId="20" xfId="5" applyFont="1" applyBorder="1" applyAlignment="1" applyProtection="1">
      <alignment horizontal="center" vertical="center"/>
      <protection locked="0" hidden="1"/>
    </xf>
    <xf numFmtId="0" fontId="6" fillId="0" borderId="21" xfId="5" applyFont="1" applyBorder="1" applyAlignment="1" applyProtection="1">
      <alignment horizontal="center" vertical="center"/>
      <protection locked="0" hidden="1"/>
    </xf>
    <xf numFmtId="0" fontId="6" fillId="0" borderId="22" xfId="5" applyFont="1" applyBorder="1" applyAlignment="1" applyProtection="1">
      <alignment horizontal="center" vertical="center"/>
      <protection locked="0" hidden="1"/>
    </xf>
    <xf numFmtId="0" fontId="7" fillId="3" borderId="0" xfId="5" applyFont="1" applyFill="1" applyAlignment="1" applyProtection="1">
      <alignment horizontal="left" vertical="center"/>
      <protection hidden="1"/>
    </xf>
    <xf numFmtId="0" fontId="6" fillId="3" borderId="21" xfId="5" applyFont="1" applyFill="1" applyBorder="1" applyAlignment="1" applyProtection="1">
      <alignment horizontal="center" vertical="center" wrapText="1"/>
      <protection locked="0"/>
    </xf>
    <xf numFmtId="164" fontId="6" fillId="3" borderId="21" xfId="5" applyNumberFormat="1" applyFont="1" applyFill="1" applyBorder="1" applyAlignment="1" applyProtection="1">
      <alignment horizontal="center" vertical="center"/>
      <protection locked="0"/>
    </xf>
    <xf numFmtId="0" fontId="6" fillId="3" borderId="21" xfId="5" applyFont="1" applyFill="1" applyBorder="1" applyAlignment="1" applyProtection="1">
      <alignment horizontal="center" vertical="center"/>
      <protection locked="0"/>
    </xf>
    <xf numFmtId="0" fontId="9" fillId="0" borderId="0" xfId="5" applyFont="1" applyAlignment="1" applyProtection="1">
      <alignment horizontal="left" vertical="center"/>
      <protection hidden="1"/>
    </xf>
    <xf numFmtId="0" fontId="7" fillId="3" borderId="2" xfId="5" applyFont="1" applyFill="1" applyBorder="1" applyAlignment="1" applyProtection="1">
      <alignment horizontal="left" vertical="center"/>
      <protection hidden="1"/>
    </xf>
    <xf numFmtId="0" fontId="6" fillId="3" borderId="21" xfId="5" applyFont="1" applyFill="1" applyBorder="1" applyAlignment="1" applyProtection="1">
      <alignment horizontal="center" vertical="center"/>
      <protection hidden="1"/>
    </xf>
    <xf numFmtId="0" fontId="6" fillId="3" borderId="9" xfId="5" applyFont="1" applyFill="1" applyBorder="1" applyAlignment="1" applyProtection="1">
      <alignment horizontal="center" vertical="center"/>
      <protection locked="0"/>
    </xf>
    <xf numFmtId="49" fontId="6" fillId="3" borderId="23" xfId="5" applyNumberFormat="1" applyFont="1" applyFill="1" applyBorder="1" applyAlignment="1" applyProtection="1">
      <alignment horizontal="right" vertical="center"/>
      <protection locked="0" hidden="1"/>
    </xf>
    <xf numFmtId="0" fontId="6" fillId="3" borderId="23" xfId="5" applyFont="1" applyFill="1" applyBorder="1" applyAlignment="1" applyProtection="1">
      <alignment horizontal="left" vertical="center"/>
      <protection locked="0"/>
    </xf>
    <xf numFmtId="0" fontId="7" fillId="3" borderId="5" xfId="5" applyFont="1" applyFill="1" applyBorder="1" applyAlignment="1" applyProtection="1">
      <alignment horizontal="center" vertical="center"/>
      <protection hidden="1"/>
    </xf>
    <xf numFmtId="0" fontId="12" fillId="2" borderId="24" xfId="0" applyFont="1" applyFill="1" applyBorder="1" applyAlignment="1">
      <alignment horizontal="center" vertical="center"/>
    </xf>
    <xf numFmtId="0" fontId="12" fillId="2" borderId="25" xfId="0" applyFont="1" applyFill="1" applyBorder="1" applyAlignment="1">
      <alignment horizontal="center" vertical="center"/>
    </xf>
    <xf numFmtId="0" fontId="12" fillId="2" borderId="26" xfId="0" applyFont="1" applyFill="1" applyBorder="1" applyAlignment="1">
      <alignment horizontal="center" vertical="center"/>
    </xf>
    <xf numFmtId="0" fontId="14" fillId="2" borderId="27" xfId="0" applyFont="1" applyFill="1" applyBorder="1" applyAlignment="1">
      <alignment horizontal="center" vertical="center"/>
    </xf>
    <xf numFmtId="0" fontId="14" fillId="2" borderId="28" xfId="0" applyFont="1" applyFill="1" applyBorder="1" applyAlignment="1">
      <alignment horizontal="center" vertical="center"/>
    </xf>
    <xf numFmtId="0" fontId="14" fillId="2" borderId="57" xfId="0" applyFont="1" applyFill="1" applyBorder="1" applyAlignment="1">
      <alignment horizontal="center" vertical="center"/>
    </xf>
    <xf numFmtId="0" fontId="15" fillId="2" borderId="27" xfId="0" applyFont="1" applyFill="1" applyBorder="1" applyAlignment="1">
      <alignment horizontal="center" vertical="center" wrapText="1"/>
    </xf>
    <xf numFmtId="0" fontId="15" fillId="2" borderId="28" xfId="0" applyFont="1" applyFill="1" applyBorder="1" applyAlignment="1">
      <alignment horizontal="center" vertical="center" wrapText="1"/>
    </xf>
    <xf numFmtId="0" fontId="15" fillId="2" borderId="57" xfId="0" applyFont="1" applyFill="1" applyBorder="1" applyAlignment="1">
      <alignment horizontal="center" vertical="center" wrapText="1"/>
    </xf>
    <xf numFmtId="0" fontId="15" fillId="2" borderId="27" xfId="0" applyFont="1" applyFill="1" applyBorder="1" applyAlignment="1">
      <alignment horizontal="center" vertical="center"/>
    </xf>
    <xf numFmtId="0" fontId="15" fillId="2" borderId="28" xfId="0" applyFont="1" applyFill="1" applyBorder="1" applyAlignment="1">
      <alignment horizontal="center" vertical="center"/>
    </xf>
    <xf numFmtId="0" fontId="15" fillId="2" borderId="4" xfId="0" applyFont="1" applyFill="1" applyBorder="1" applyAlignment="1">
      <alignment horizontal="center" vertical="center" wrapText="1"/>
    </xf>
    <xf numFmtId="0" fontId="15" fillId="2" borderId="7" xfId="0" applyFont="1" applyFill="1" applyBorder="1" applyAlignment="1">
      <alignment horizontal="center" vertical="center" wrapText="1"/>
    </xf>
    <xf numFmtId="0" fontId="15" fillId="2" borderId="8" xfId="0" applyFont="1" applyFill="1" applyBorder="1" applyAlignment="1">
      <alignment horizontal="center" vertical="center" wrapText="1"/>
    </xf>
    <xf numFmtId="0" fontId="15" fillId="2" borderId="6" xfId="0" applyFont="1" applyFill="1" applyBorder="1" applyAlignment="1">
      <alignment horizontal="center" vertical="center" wrapText="1"/>
    </xf>
    <xf numFmtId="0" fontId="15" fillId="2" borderId="1" xfId="0" applyFont="1" applyFill="1" applyBorder="1" applyAlignment="1">
      <alignment horizontal="center" vertical="center" wrapText="1"/>
    </xf>
    <xf numFmtId="0" fontId="15" fillId="2" borderId="10" xfId="0" applyFont="1" applyFill="1" applyBorder="1" applyAlignment="1">
      <alignment horizontal="center" vertical="center" wrapText="1"/>
    </xf>
    <xf numFmtId="0" fontId="15" fillId="2" borderId="5" xfId="0" applyFont="1" applyFill="1" applyBorder="1" applyAlignment="1">
      <alignment horizontal="center" vertical="center" wrapText="1"/>
    </xf>
    <xf numFmtId="0" fontId="15" fillId="2" borderId="0" xfId="0" applyFont="1" applyFill="1" applyAlignment="1">
      <alignment horizontal="center" vertical="center" wrapText="1"/>
    </xf>
    <xf numFmtId="0" fontId="0" fillId="0" borderId="54" xfId="0" applyBorder="1" applyAlignment="1">
      <alignment horizontal="center"/>
    </xf>
    <xf numFmtId="0" fontId="0" fillId="0" borderId="56" xfId="0" applyBorder="1" applyAlignment="1">
      <alignment horizontal="center"/>
    </xf>
    <xf numFmtId="0" fontId="0" fillId="0" borderId="11" xfId="0" applyBorder="1" applyAlignment="1">
      <alignment horizontal="center"/>
    </xf>
    <xf numFmtId="0" fontId="0" fillId="0" borderId="14" xfId="0" applyBorder="1" applyAlignment="1">
      <alignment horizontal="center"/>
    </xf>
    <xf numFmtId="0" fontId="0" fillId="0" borderId="44" xfId="0" applyBorder="1" applyAlignment="1">
      <alignment horizontal="center"/>
    </xf>
    <xf numFmtId="0" fontId="0" fillId="0" borderId="46" xfId="0" applyBorder="1" applyAlignment="1">
      <alignment horizontal="center"/>
    </xf>
    <xf numFmtId="0" fontId="12" fillId="2" borderId="4" xfId="0" applyFont="1" applyFill="1" applyBorder="1" applyAlignment="1">
      <alignment horizontal="center" vertical="center"/>
    </xf>
    <xf numFmtId="0" fontId="12" fillId="2" borderId="5" xfId="0" applyFont="1" applyFill="1" applyBorder="1" applyAlignment="1">
      <alignment horizontal="center" vertical="center"/>
    </xf>
    <xf numFmtId="0" fontId="12" fillId="2" borderId="6" xfId="0" applyFont="1" applyFill="1" applyBorder="1" applyAlignment="1">
      <alignment horizontal="center" vertical="center"/>
    </xf>
    <xf numFmtId="0" fontId="0" fillId="0" borderId="37" xfId="0" applyBorder="1" applyAlignment="1">
      <alignment horizontal="center"/>
    </xf>
    <xf numFmtId="0" fontId="0" fillId="0" borderId="38" xfId="0" applyBorder="1" applyAlignment="1">
      <alignment horizontal="center"/>
    </xf>
    <xf numFmtId="0" fontId="6" fillId="0" borderId="0" xfId="5" applyFont="1" applyAlignment="1" applyProtection="1">
      <alignment horizontal="center" vertical="center"/>
      <protection locked="0" hidden="1"/>
    </xf>
    <xf numFmtId="0" fontId="0" fillId="0" borderId="9" xfId="0" applyBorder="1" applyAlignment="1">
      <alignment horizontal="center"/>
    </xf>
    <xf numFmtId="49" fontId="20" fillId="0" borderId="9" xfId="5" applyNumberFormat="1" applyFont="1" applyBorder="1" applyAlignment="1" applyProtection="1">
      <alignment horizontal="center" vertical="center"/>
      <protection locked="0"/>
    </xf>
    <xf numFmtId="49" fontId="20" fillId="0" borderId="10" xfId="5" applyNumberFormat="1" applyFont="1" applyBorder="1" applyAlignment="1" applyProtection="1">
      <alignment horizontal="center" vertical="center"/>
      <protection locked="0"/>
    </xf>
    <xf numFmtId="0" fontId="13" fillId="0" borderId="34" xfId="0" applyFont="1" applyBorder="1" applyAlignment="1">
      <alignment horizontal="center" vertical="center" wrapText="1"/>
    </xf>
    <xf numFmtId="0" fontId="13" fillId="0" borderId="23" xfId="0" applyFont="1" applyBorder="1" applyAlignment="1">
      <alignment horizontal="center" vertical="center" wrapText="1"/>
    </xf>
    <xf numFmtId="0" fontId="13" fillId="0" borderId="35" xfId="0" applyFont="1" applyBorder="1" applyAlignment="1">
      <alignment horizontal="center" vertical="center" wrapText="1"/>
    </xf>
    <xf numFmtId="0" fontId="13" fillId="0" borderId="20" xfId="0" applyFont="1" applyBorder="1" applyAlignment="1">
      <alignment horizontal="center" vertical="center" wrapText="1"/>
    </xf>
    <xf numFmtId="0" fontId="13" fillId="0" borderId="21" xfId="0" applyFont="1" applyBorder="1" applyAlignment="1">
      <alignment horizontal="center" vertical="center" wrapText="1"/>
    </xf>
    <xf numFmtId="0" fontId="13" fillId="0" borderId="36" xfId="0" applyFont="1" applyBorder="1" applyAlignment="1">
      <alignment horizontal="center" vertical="center" wrapText="1"/>
    </xf>
    <xf numFmtId="0" fontId="7" fillId="0" borderId="41" xfId="5" applyFont="1" applyBorder="1" applyAlignment="1" applyProtection="1">
      <alignment horizontal="center" vertical="center"/>
      <protection locked="0" hidden="1"/>
    </xf>
    <xf numFmtId="0" fontId="0" fillId="0" borderId="32" xfId="0" applyBorder="1" applyAlignment="1">
      <alignment horizontal="center"/>
    </xf>
    <xf numFmtId="0" fontId="0" fillId="0" borderId="33" xfId="0" applyBorder="1" applyAlignment="1">
      <alignment horizontal="center"/>
    </xf>
    <xf numFmtId="0" fontId="0" fillId="0" borderId="19" xfId="0" applyBorder="1" applyAlignment="1">
      <alignment horizontal="center"/>
    </xf>
    <xf numFmtId="0" fontId="21" fillId="0" borderId="0" xfId="5" applyFont="1" applyAlignment="1" applyProtection="1">
      <alignment horizontal="center" vertical="center" wrapText="1"/>
      <protection locked="0"/>
    </xf>
    <xf numFmtId="0" fontId="6" fillId="0" borderId="0" xfId="5" applyFont="1" applyAlignment="1" applyProtection="1">
      <alignment horizontal="left" vertical="center"/>
      <protection locked="0"/>
    </xf>
    <xf numFmtId="0" fontId="6" fillId="0" borderId="12" xfId="5" applyFont="1" applyBorder="1" applyAlignment="1" applyProtection="1">
      <alignment horizontal="left" vertical="center"/>
      <protection locked="0"/>
    </xf>
    <xf numFmtId="0" fontId="0" fillId="0" borderId="16" xfId="0" applyBorder="1" applyAlignment="1">
      <alignment horizontal="center"/>
    </xf>
    <xf numFmtId="0" fontId="0" fillId="0" borderId="30" xfId="0" applyBorder="1" applyAlignment="1">
      <alignment horizontal="center"/>
    </xf>
    <xf numFmtId="0" fontId="0" fillId="0" borderId="17" xfId="0" applyBorder="1" applyAlignment="1">
      <alignment horizontal="center"/>
    </xf>
    <xf numFmtId="0" fontId="0" fillId="0" borderId="31" xfId="0" applyBorder="1" applyAlignment="1">
      <alignment horizontal="center"/>
    </xf>
    <xf numFmtId="0" fontId="18" fillId="3" borderId="21" xfId="5" applyFont="1" applyFill="1" applyBorder="1" applyAlignment="1" applyProtection="1">
      <alignment horizontal="center" vertical="center" wrapText="1"/>
      <protection locked="0"/>
    </xf>
    <xf numFmtId="0" fontId="7" fillId="0" borderId="48" xfId="0" applyFont="1" applyBorder="1" applyAlignment="1">
      <alignment horizontal="center" wrapText="1"/>
    </xf>
    <xf numFmtId="0" fontId="7" fillId="0" borderId="49" xfId="0" applyFont="1" applyBorder="1" applyAlignment="1">
      <alignment horizontal="center" wrapText="1"/>
    </xf>
    <xf numFmtId="0" fontId="7" fillId="0" borderId="50" xfId="0" applyFont="1" applyBorder="1" applyAlignment="1">
      <alignment horizontal="center" wrapText="1"/>
    </xf>
  </cellXfs>
  <cellStyles count="6">
    <cellStyle name="Normal" xfId="0" builtinId="0"/>
    <cellStyle name="Normal 2 2" xfId="2" xr:uid="{00000000-0005-0000-0000-000001000000}"/>
    <cellStyle name="Normal 3 2 4" xfId="4" xr:uid="{00000000-0005-0000-0000-000002000000}"/>
    <cellStyle name="Normal 5" xfId="5" xr:uid="{00000000-0005-0000-0000-000003000000}"/>
    <cellStyle name="Normal 7 3" xfId="3" xr:uid="{00000000-0005-0000-0000-000004000000}"/>
    <cellStyle name="Normal 9 2 2" xfId="1" xr:uid="{00000000-0005-0000-0000-000005000000}"/>
  </cellStyles>
  <dxfs count="10">
    <dxf>
      <fill>
        <patternFill>
          <bgColor theme="9"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microsoft.com/office/2007/relationships/hdphoto" Target="../media/hdphoto1.wdp"/><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7.png"/><Relationship Id="rId5" Type="http://schemas.openxmlformats.org/officeDocument/2006/relationships/image" Target="../media/image3.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1</xdr:col>
      <xdr:colOff>474</xdr:colOff>
      <xdr:row>0</xdr:row>
      <xdr:rowOff>66675</xdr:rowOff>
    </xdr:from>
    <xdr:to>
      <xdr:col>3</xdr:col>
      <xdr:colOff>802010</xdr:colOff>
      <xdr:row>3</xdr:row>
      <xdr:rowOff>171450</xdr:rowOff>
    </xdr:to>
    <xdr:pic>
      <xdr:nvPicPr>
        <xdr:cNvPr id="2" name="Imagen 1">
          <a:extLst>
            <a:ext uri="{FF2B5EF4-FFF2-40B4-BE49-F238E27FC236}">
              <a16:creationId xmlns:a16="http://schemas.microsoft.com/office/drawing/2014/main" id="{9D8DB697-8BDF-4403-A061-853F6295EAC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7149" y="66675"/>
          <a:ext cx="2992286" cy="762000"/>
        </a:xfrm>
        <a:prstGeom prst="rect">
          <a:avLst/>
        </a:prstGeom>
      </xdr:spPr>
    </xdr:pic>
    <xdr:clientData/>
  </xdr:twoCellAnchor>
  <xdr:twoCellAnchor editAs="oneCell">
    <xdr:from>
      <xdr:col>6</xdr:col>
      <xdr:colOff>12456</xdr:colOff>
      <xdr:row>31</xdr:row>
      <xdr:rowOff>24178</xdr:rowOff>
    </xdr:from>
    <xdr:to>
      <xdr:col>8</xdr:col>
      <xdr:colOff>1039564</xdr:colOff>
      <xdr:row>40</xdr:row>
      <xdr:rowOff>2931</xdr:rowOff>
    </xdr:to>
    <xdr:pic>
      <xdr:nvPicPr>
        <xdr:cNvPr id="4" name="Imagen 3">
          <a:extLst>
            <a:ext uri="{FF2B5EF4-FFF2-40B4-BE49-F238E27FC236}">
              <a16:creationId xmlns:a16="http://schemas.microsoft.com/office/drawing/2014/main" id="{DABE0EF6-7714-FD43-FF64-87335251B4AE}"/>
            </a:ext>
          </a:extLst>
        </xdr:cNvPr>
        <xdr:cNvPicPr>
          <a:picLocks noChangeAspect="1"/>
        </xdr:cNvPicPr>
      </xdr:nvPicPr>
      <xdr:blipFill>
        <a:blip xmlns:r="http://schemas.openxmlformats.org/officeDocument/2006/relationships" r:embed="rId2"/>
        <a:stretch>
          <a:fillRect/>
        </a:stretch>
      </xdr:blipFill>
      <xdr:spPr>
        <a:xfrm>
          <a:off x="4308231" y="6253528"/>
          <a:ext cx="3284533" cy="2026628"/>
        </a:xfrm>
        <a:prstGeom prst="rect">
          <a:avLst/>
        </a:prstGeom>
      </xdr:spPr>
    </xdr:pic>
    <xdr:clientData/>
  </xdr:twoCellAnchor>
  <xdr:twoCellAnchor editAs="oneCell">
    <xdr:from>
      <xdr:col>9</xdr:col>
      <xdr:colOff>91108</xdr:colOff>
      <xdr:row>33</xdr:row>
      <xdr:rowOff>223656</xdr:rowOff>
    </xdr:from>
    <xdr:to>
      <xdr:col>11</xdr:col>
      <xdr:colOff>97551</xdr:colOff>
      <xdr:row>37</xdr:row>
      <xdr:rowOff>95250</xdr:rowOff>
    </xdr:to>
    <xdr:pic>
      <xdr:nvPicPr>
        <xdr:cNvPr id="3" name="Imagen 2">
          <a:extLst>
            <a:ext uri="{FF2B5EF4-FFF2-40B4-BE49-F238E27FC236}">
              <a16:creationId xmlns:a16="http://schemas.microsoft.com/office/drawing/2014/main" id="{5963B2CE-1267-4F42-9D72-22427FBDC77C}"/>
            </a:ext>
          </a:extLst>
        </xdr:cNvPr>
        <xdr:cNvPicPr>
          <a:picLocks noChangeAspect="1"/>
        </xdr:cNvPicPr>
      </xdr:nvPicPr>
      <xdr:blipFill rotWithShape="1">
        <a:blip xmlns:r="http://schemas.openxmlformats.org/officeDocument/2006/relationships" r:embed="rId3"/>
        <a:srcRect l="88188"/>
        <a:stretch/>
      </xdr:blipFill>
      <xdr:spPr>
        <a:xfrm>
          <a:off x="7692058" y="6910206"/>
          <a:ext cx="2101943" cy="805044"/>
        </a:xfrm>
        <a:prstGeom prst="rect">
          <a:avLst/>
        </a:prstGeom>
      </xdr:spPr>
    </xdr:pic>
    <xdr:clientData/>
  </xdr:twoCellAnchor>
  <xdr:twoCellAnchor>
    <xdr:from>
      <xdr:col>11</xdr:col>
      <xdr:colOff>200025</xdr:colOff>
      <xdr:row>37</xdr:row>
      <xdr:rowOff>171450</xdr:rowOff>
    </xdr:from>
    <xdr:to>
      <xdr:col>11</xdr:col>
      <xdr:colOff>285750</xdr:colOff>
      <xdr:row>38</xdr:row>
      <xdr:rowOff>76200</xdr:rowOff>
    </xdr:to>
    <xdr:sp macro="" textlink="">
      <xdr:nvSpPr>
        <xdr:cNvPr id="5" name="Rectángulo 4">
          <a:extLst>
            <a:ext uri="{FF2B5EF4-FFF2-40B4-BE49-F238E27FC236}">
              <a16:creationId xmlns:a16="http://schemas.microsoft.com/office/drawing/2014/main" id="{FB7534DA-07F2-BF02-7229-BD01C01BCAD8}"/>
            </a:ext>
          </a:extLst>
        </xdr:cNvPr>
        <xdr:cNvSpPr/>
      </xdr:nvSpPr>
      <xdr:spPr>
        <a:xfrm>
          <a:off x="9896475" y="7791450"/>
          <a:ext cx="85725" cy="123825"/>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editAs="oneCell">
    <xdr:from>
      <xdr:col>11</xdr:col>
      <xdr:colOff>609600</xdr:colOff>
      <xdr:row>34</xdr:row>
      <xdr:rowOff>200025</xdr:rowOff>
    </xdr:from>
    <xdr:to>
      <xdr:col>13</xdr:col>
      <xdr:colOff>295275</xdr:colOff>
      <xdr:row>38</xdr:row>
      <xdr:rowOff>35317</xdr:rowOff>
    </xdr:to>
    <xdr:pic>
      <xdr:nvPicPr>
        <xdr:cNvPr id="6" name="Imagen 5">
          <a:extLst>
            <a:ext uri="{FF2B5EF4-FFF2-40B4-BE49-F238E27FC236}">
              <a16:creationId xmlns:a16="http://schemas.microsoft.com/office/drawing/2014/main" id="{B8EC9CD6-B51A-4B07-AFA9-66175AB5355D}"/>
            </a:ext>
          </a:extLst>
        </xdr:cNvPr>
        <xdr:cNvPicPr>
          <a:picLocks noChangeAspect="1"/>
        </xdr:cNvPicPr>
      </xdr:nvPicPr>
      <xdr:blipFill rotWithShape="1">
        <a:blip xmlns:r="http://schemas.openxmlformats.org/officeDocument/2006/relationships" r:embed="rId4" cstate="print">
          <a:extLst>
            <a:ext uri="{BEBA8EAE-BF5A-486C-A8C5-ECC9F3942E4B}">
              <a14:imgProps xmlns:a14="http://schemas.microsoft.com/office/drawing/2010/main">
                <a14:imgLayer r:embed="rId5">
                  <a14:imgEffect>
                    <a14:backgroundRemoval t="16000" b="92000" l="11467" r="91867">
                      <a14:foregroundMark x1="78667" y1="31875" x2="76133" y2="55750"/>
                      <a14:foregroundMark x1="83400" y1="31250" x2="84933" y2="54375"/>
                      <a14:foregroundMark x1="22200" y1="64500" x2="41133" y2="16750"/>
                      <a14:foregroundMark x1="40200" y1="21125" x2="26667" y2="24750"/>
                      <a14:foregroundMark x1="20000" y1="47125" x2="41800" y2="40625"/>
                      <a14:foregroundMark x1="35800" y1="92000" x2="50933" y2="24750"/>
                      <a14:foregroundMark x1="17200" y1="62250" x2="25067" y2="56500"/>
                      <a14:foregroundMark x1="18133" y1="65875" x2="90200" y2="57000"/>
                      <a14:foregroundMark x1="90200" y1="57000" x2="55867" y2="17500"/>
                      <a14:foregroundMark x1="55867" y1="17500" x2="18067" y2="22500"/>
                      <a14:foregroundMark x1="18067" y1="22500" x2="11533" y2="78875"/>
                      <a14:foregroundMark x1="85267" y1="42000" x2="88733" y2="55750"/>
                      <a14:foregroundMark x1="88733" y1="42750" x2="90333" y2="41375"/>
                      <a14:foregroundMark x1="87800" y1="42000" x2="90000" y2="60875"/>
                      <a14:foregroundMark x1="84933" y1="24000" x2="89667" y2="60125"/>
                      <a14:foregroundMark x1="78933" y1="28375" x2="91867" y2="64500"/>
                      <a14:foregroundMark x1="83667" y1="23250" x2="90333" y2="64500"/>
                      <a14:foregroundMark x1="88733" y1="70250" x2="90600" y2="30500"/>
                      <a14:foregroundMark x1="91267" y1="63000" x2="91267" y2="34125"/>
                    </a14:backgroundRemoval>
                  </a14:imgEffect>
                </a14:imgLayer>
              </a14:imgProps>
            </a:ext>
            <a:ext uri="{28A0092B-C50C-407E-A947-70E740481C1C}">
              <a14:useLocalDpi xmlns:a14="http://schemas.microsoft.com/office/drawing/2010/main" val="0"/>
            </a:ext>
          </a:extLst>
        </a:blip>
        <a:srcRect l="9620" t="7343" r="7167" b="5880"/>
        <a:stretch/>
      </xdr:blipFill>
      <xdr:spPr>
        <a:xfrm>
          <a:off x="10306050" y="7134225"/>
          <a:ext cx="1619250" cy="74016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67149</xdr:colOff>
      <xdr:row>0</xdr:row>
      <xdr:rowOff>66675</xdr:rowOff>
    </xdr:from>
    <xdr:to>
      <xdr:col>3</xdr:col>
      <xdr:colOff>690885</xdr:colOff>
      <xdr:row>3</xdr:row>
      <xdr:rowOff>171450</xdr:rowOff>
    </xdr:to>
    <xdr:pic>
      <xdr:nvPicPr>
        <xdr:cNvPr id="2" name="Imagen 1">
          <a:extLst>
            <a:ext uri="{FF2B5EF4-FFF2-40B4-BE49-F238E27FC236}">
              <a16:creationId xmlns:a16="http://schemas.microsoft.com/office/drawing/2014/main" id="{C0092B8F-33A0-4DDC-A38D-02FF1AE1DEA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824" y="66675"/>
          <a:ext cx="2985936" cy="762000"/>
        </a:xfrm>
        <a:prstGeom prst="rect">
          <a:avLst/>
        </a:prstGeom>
      </xdr:spPr>
    </xdr:pic>
    <xdr:clientData/>
  </xdr:twoCellAnchor>
  <xdr:twoCellAnchor editAs="oneCell">
    <xdr:from>
      <xdr:col>21</xdr:col>
      <xdr:colOff>466481</xdr:colOff>
      <xdr:row>32</xdr:row>
      <xdr:rowOff>100378</xdr:rowOff>
    </xdr:from>
    <xdr:to>
      <xdr:col>26</xdr:col>
      <xdr:colOff>58489</xdr:colOff>
      <xdr:row>41</xdr:row>
      <xdr:rowOff>125169</xdr:rowOff>
    </xdr:to>
    <xdr:pic>
      <xdr:nvPicPr>
        <xdr:cNvPr id="3" name="Imagen 2">
          <a:extLst>
            <a:ext uri="{FF2B5EF4-FFF2-40B4-BE49-F238E27FC236}">
              <a16:creationId xmlns:a16="http://schemas.microsoft.com/office/drawing/2014/main" id="{BF9418A4-EB0D-4468-AC2F-21C505B0CAC1}"/>
            </a:ext>
          </a:extLst>
        </xdr:cNvPr>
        <xdr:cNvPicPr>
          <a:picLocks noChangeAspect="1"/>
        </xdr:cNvPicPr>
      </xdr:nvPicPr>
      <xdr:blipFill>
        <a:blip xmlns:r="http://schemas.openxmlformats.org/officeDocument/2006/relationships" r:embed="rId2"/>
        <a:stretch>
          <a:fillRect/>
        </a:stretch>
      </xdr:blipFill>
      <xdr:spPr>
        <a:xfrm>
          <a:off x="17586081" y="6539278"/>
          <a:ext cx="3402008" cy="2031391"/>
        </a:xfrm>
        <a:prstGeom prst="rect">
          <a:avLst/>
        </a:prstGeom>
      </xdr:spPr>
    </xdr:pic>
    <xdr:clientData/>
  </xdr:twoCellAnchor>
  <xdr:twoCellAnchor>
    <xdr:from>
      <xdr:col>11</xdr:col>
      <xdr:colOff>200025</xdr:colOff>
      <xdr:row>37</xdr:row>
      <xdr:rowOff>171450</xdr:rowOff>
    </xdr:from>
    <xdr:to>
      <xdr:col>11</xdr:col>
      <xdr:colOff>285750</xdr:colOff>
      <xdr:row>38</xdr:row>
      <xdr:rowOff>76200</xdr:rowOff>
    </xdr:to>
    <xdr:sp macro="" textlink="">
      <xdr:nvSpPr>
        <xdr:cNvPr id="5" name="Rectángulo 4">
          <a:extLst>
            <a:ext uri="{FF2B5EF4-FFF2-40B4-BE49-F238E27FC236}">
              <a16:creationId xmlns:a16="http://schemas.microsoft.com/office/drawing/2014/main" id="{7F220320-0E87-4E48-9B5D-704A56CC89B1}"/>
            </a:ext>
          </a:extLst>
        </xdr:cNvPr>
        <xdr:cNvSpPr/>
      </xdr:nvSpPr>
      <xdr:spPr>
        <a:xfrm>
          <a:off x="9896475" y="7791450"/>
          <a:ext cx="85725" cy="123825"/>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editAs="oneCell">
    <xdr:from>
      <xdr:col>6</xdr:col>
      <xdr:colOff>270933</xdr:colOff>
      <xdr:row>31</xdr:row>
      <xdr:rowOff>12700</xdr:rowOff>
    </xdr:from>
    <xdr:to>
      <xdr:col>8</xdr:col>
      <xdr:colOff>866895</xdr:colOff>
      <xdr:row>36</xdr:row>
      <xdr:rowOff>101601</xdr:rowOff>
    </xdr:to>
    <xdr:pic>
      <xdr:nvPicPr>
        <xdr:cNvPr id="6" name="Imagen 5">
          <a:extLst>
            <a:ext uri="{FF2B5EF4-FFF2-40B4-BE49-F238E27FC236}">
              <a16:creationId xmlns:a16="http://schemas.microsoft.com/office/drawing/2014/main" id="{8DE5A388-6290-E100-0128-E9C392F432E0}"/>
            </a:ext>
          </a:extLst>
        </xdr:cNvPr>
        <xdr:cNvPicPr>
          <a:picLocks noChangeAspect="1"/>
        </xdr:cNvPicPr>
      </xdr:nvPicPr>
      <xdr:blipFill rotWithShape="1">
        <a:blip xmlns:r="http://schemas.openxmlformats.org/officeDocument/2006/relationships" r:embed="rId3"/>
        <a:srcRect t="10979"/>
        <a:stretch>
          <a:fillRect/>
        </a:stretch>
      </xdr:blipFill>
      <xdr:spPr>
        <a:xfrm>
          <a:off x="4792133" y="6248400"/>
          <a:ext cx="2970862" cy="1270000"/>
        </a:xfrm>
        <a:prstGeom prst="rect">
          <a:avLst/>
        </a:prstGeom>
      </xdr:spPr>
    </xdr:pic>
    <xdr:clientData/>
  </xdr:twoCellAnchor>
  <xdr:twoCellAnchor editAs="oneCell">
    <xdr:from>
      <xdr:col>6</xdr:col>
      <xdr:colOff>238124</xdr:colOff>
      <xdr:row>36</xdr:row>
      <xdr:rowOff>163512</xdr:rowOff>
    </xdr:from>
    <xdr:to>
      <xdr:col>8</xdr:col>
      <xdr:colOff>847725</xdr:colOff>
      <xdr:row>40</xdr:row>
      <xdr:rowOff>128386</xdr:rowOff>
    </xdr:to>
    <xdr:pic>
      <xdr:nvPicPr>
        <xdr:cNvPr id="8" name="Imagen 7">
          <a:extLst>
            <a:ext uri="{FF2B5EF4-FFF2-40B4-BE49-F238E27FC236}">
              <a16:creationId xmlns:a16="http://schemas.microsoft.com/office/drawing/2014/main" id="{9045F5F7-79BC-616F-0DB1-6C7592E7C4A8}"/>
            </a:ext>
          </a:extLst>
        </xdr:cNvPr>
        <xdr:cNvPicPr>
          <a:picLocks noChangeAspect="1"/>
        </xdr:cNvPicPr>
      </xdr:nvPicPr>
      <xdr:blipFill rotWithShape="1">
        <a:blip xmlns:r="http://schemas.openxmlformats.org/officeDocument/2006/relationships" r:embed="rId4"/>
        <a:srcRect l="4612" t="15987" r="6026" b="9710"/>
        <a:stretch>
          <a:fillRect/>
        </a:stretch>
      </xdr:blipFill>
      <xdr:spPr>
        <a:xfrm>
          <a:off x="4746624" y="7442200"/>
          <a:ext cx="2974976" cy="822124"/>
        </a:xfrm>
        <a:prstGeom prst="rect">
          <a:avLst/>
        </a:prstGeom>
      </xdr:spPr>
    </xdr:pic>
    <xdr:clientData/>
  </xdr:twoCellAnchor>
  <xdr:twoCellAnchor editAs="oneCell">
    <xdr:from>
      <xdr:col>9</xdr:col>
      <xdr:colOff>0</xdr:colOff>
      <xdr:row>33</xdr:row>
      <xdr:rowOff>167162</xdr:rowOff>
    </xdr:from>
    <xdr:to>
      <xdr:col>11</xdr:col>
      <xdr:colOff>0</xdr:colOff>
      <xdr:row>37</xdr:row>
      <xdr:rowOff>51914</xdr:rowOff>
    </xdr:to>
    <xdr:pic>
      <xdr:nvPicPr>
        <xdr:cNvPr id="4" name="Firma Picture 7">
          <a:extLst>
            <a:ext uri="{FF2B5EF4-FFF2-40B4-BE49-F238E27FC236}">
              <a16:creationId xmlns:a16="http://schemas.microsoft.com/office/drawing/2014/main" id="{94616929-C585-4DB1-B8A5-A72A7BCA5587}"/>
            </a:ext>
          </a:extLst>
        </xdr:cNvPr>
        <xdr:cNvPicPr>
          <a:picLocks noChangeAspect="1"/>
        </xdr:cNvPicPr>
      </xdr:nvPicPr>
      <xdr:blipFill rotWithShape="1">
        <a:blip xmlns:r="http://schemas.openxmlformats.org/officeDocument/2006/relationships" r:embed="rId5"/>
        <a:srcRect l="88188"/>
        <a:stretch/>
      </xdr:blipFill>
      <xdr:spPr>
        <a:xfrm>
          <a:off x="7915275" y="6853712"/>
          <a:ext cx="2095500" cy="818202"/>
        </a:xfrm>
        <a:prstGeom prst="rect">
          <a:avLst/>
        </a:prstGeom>
      </xdr:spPr>
    </xdr:pic>
    <xdr:clientData/>
  </xdr:twoCellAnchor>
  <xdr:twoCellAnchor editAs="oneCell">
    <xdr:from>
      <xdr:col>11</xdr:col>
      <xdr:colOff>408942</xdr:colOff>
      <xdr:row>33</xdr:row>
      <xdr:rowOff>0</xdr:rowOff>
    </xdr:from>
    <xdr:to>
      <xdr:col>13</xdr:col>
      <xdr:colOff>448307</xdr:colOff>
      <xdr:row>38</xdr:row>
      <xdr:rowOff>0</xdr:rowOff>
    </xdr:to>
    <xdr:pic>
      <xdr:nvPicPr>
        <xdr:cNvPr id="7" name="Firma Picture 8">
          <a:extLst>
            <a:ext uri="{FF2B5EF4-FFF2-40B4-BE49-F238E27FC236}">
              <a16:creationId xmlns:a16="http://schemas.microsoft.com/office/drawing/2014/main" id="{355E4220-FD8B-4A30-B2A1-D91B1C2A71C2}"/>
            </a:ext>
          </a:extLst>
        </xdr:cNvPr>
        <xdr:cNvPicPr>
          <a:picLocks noChangeAspect="1"/>
        </xdr:cNvPicPr>
      </xdr:nvPicPr>
      <xdr:blipFill>
        <a:blip xmlns:r="http://schemas.openxmlformats.org/officeDocument/2006/relationships" r:embed="rId6"/>
        <a:stretch>
          <a:fillRect/>
        </a:stretch>
      </xdr:blipFill>
      <xdr:spPr>
        <a:xfrm>
          <a:off x="10419717" y="6686550"/>
          <a:ext cx="1972940" cy="115252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ervidor\disco%20duro\irina\CLAS-BOG.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
      <sheetName val="Recipiente"/>
      <sheetName val="Guia rec."/>
      <sheetName val="MEZCLAS"/>
      <sheetName val="Módulo1"/>
      <sheetName val="Módulo11"/>
      <sheetName val="2-6"/>
      <sheetName val="LIMITE"/>
      <sheetName val="Hoja1"/>
      <sheetName val="Clasificado 1 1-2 "/>
      <sheetName val="CLAS-BOG"/>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GERENCIA.DCMING@GMAIL.COM"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57"/>
  <sheetViews>
    <sheetView view="pageBreakPreview" topLeftCell="B9" zoomScaleNormal="100" zoomScaleSheetLayoutView="100" workbookViewId="0">
      <selection activeCell="H22" sqref="H22"/>
    </sheetView>
  </sheetViews>
  <sheetFormatPr baseColWidth="10" defaultRowHeight="15" x14ac:dyDescent="0.25"/>
  <cols>
    <col min="1" max="1" width="1" customWidth="1"/>
    <col min="2" max="2" width="16.140625" customWidth="1"/>
    <col min="3" max="3" width="16.7109375" customWidth="1"/>
    <col min="4" max="5" width="14.7109375" customWidth="1"/>
    <col min="6" max="6" width="1.140625" customWidth="1"/>
    <col min="7" max="7" width="16.140625" customWidth="1"/>
    <col min="8" max="8" width="17.7109375" customWidth="1"/>
    <col min="9" max="12" width="15.7109375" customWidth="1"/>
    <col min="13" max="13" width="13.28515625" customWidth="1"/>
    <col min="14" max="14" width="12.85546875" customWidth="1"/>
    <col min="15" max="15" width="1" customWidth="1"/>
    <col min="16" max="16" width="1.28515625" customWidth="1"/>
  </cols>
  <sheetData>
    <row r="1" spans="1:37" s="2" customFormat="1" ht="17.25" customHeight="1" x14ac:dyDescent="0.25">
      <c r="A1" s="103"/>
      <c r="B1" s="104"/>
      <c r="C1" s="104"/>
      <c r="D1" s="104"/>
      <c r="E1" s="109" t="s">
        <v>3</v>
      </c>
      <c r="F1" s="109"/>
      <c r="G1" s="109"/>
      <c r="H1" s="109"/>
      <c r="I1" s="109"/>
      <c r="J1" s="109"/>
      <c r="K1" s="109"/>
      <c r="L1" s="109"/>
      <c r="M1" s="111" t="s">
        <v>2</v>
      </c>
      <c r="N1" s="112"/>
      <c r="O1" s="113"/>
    </row>
    <row r="2" spans="1:37" s="2" customFormat="1" ht="17.25" customHeight="1" x14ac:dyDescent="0.25">
      <c r="A2" s="105"/>
      <c r="B2" s="99"/>
      <c r="C2" s="99"/>
      <c r="D2" s="99"/>
      <c r="E2" s="115" t="s">
        <v>33</v>
      </c>
      <c r="F2" s="115"/>
      <c r="G2" s="115"/>
      <c r="H2" s="115"/>
      <c r="I2" s="115"/>
      <c r="J2" s="115"/>
      <c r="K2" s="115"/>
      <c r="L2" s="115"/>
      <c r="M2" s="120" t="s">
        <v>65</v>
      </c>
      <c r="N2" s="121"/>
      <c r="O2" s="122"/>
    </row>
    <row r="3" spans="1:37" s="2" customFormat="1" ht="17.25" customHeight="1" x14ac:dyDescent="0.25">
      <c r="A3" s="105"/>
      <c r="B3" s="99"/>
      <c r="C3" s="99"/>
      <c r="D3" s="99"/>
      <c r="E3" s="115"/>
      <c r="F3" s="115"/>
      <c r="G3" s="115"/>
      <c r="H3" s="115"/>
      <c r="I3" s="115"/>
      <c r="J3" s="115"/>
      <c r="K3" s="115"/>
      <c r="L3" s="115"/>
      <c r="M3" s="120" t="s">
        <v>66</v>
      </c>
      <c r="N3" s="121"/>
      <c r="O3" s="122"/>
      <c r="AH3" s="95" t="s">
        <v>4</v>
      </c>
      <c r="AI3" s="95"/>
      <c r="AJ3" s="95"/>
      <c r="AK3" s="95"/>
    </row>
    <row r="4" spans="1:37" s="2" customFormat="1" ht="17.25" customHeight="1" thickBot="1" x14ac:dyDescent="0.3">
      <c r="A4" s="106"/>
      <c r="B4" s="107"/>
      <c r="C4" s="107"/>
      <c r="D4" s="107"/>
      <c r="E4" s="118"/>
      <c r="F4" s="118"/>
      <c r="G4" s="118"/>
      <c r="H4" s="118"/>
      <c r="I4" s="118"/>
      <c r="J4" s="118"/>
      <c r="K4" s="118"/>
      <c r="L4" s="118"/>
      <c r="M4" s="96" t="s">
        <v>58</v>
      </c>
      <c r="N4" s="97"/>
      <c r="O4" s="98"/>
      <c r="AH4" s="95"/>
      <c r="AI4" s="95"/>
      <c r="AJ4" s="95"/>
      <c r="AK4" s="95"/>
    </row>
    <row r="5" spans="1:37" s="2" customFormat="1" ht="3.95" customHeight="1" thickBot="1" x14ac:dyDescent="0.3">
      <c r="A5" s="3"/>
      <c r="B5" s="99"/>
      <c r="C5" s="99"/>
      <c r="D5" s="99"/>
      <c r="E5" s="99"/>
      <c r="F5" s="99"/>
      <c r="G5" s="99"/>
      <c r="H5" s="99"/>
      <c r="I5" s="99"/>
      <c r="J5" s="99"/>
      <c r="K5" s="99"/>
      <c r="L5" s="99"/>
      <c r="M5" s="99"/>
      <c r="N5" s="6"/>
      <c r="O5" s="7"/>
      <c r="AH5" s="95"/>
      <c r="AI5" s="95"/>
      <c r="AJ5" s="95"/>
      <c r="AK5" s="95"/>
    </row>
    <row r="6" spans="1:37" s="2" customFormat="1" ht="22.5" customHeight="1" x14ac:dyDescent="0.25">
      <c r="A6" s="1"/>
      <c r="B6" s="100" t="s">
        <v>0</v>
      </c>
      <c r="C6" s="100"/>
      <c r="D6" s="101" t="s">
        <v>68</v>
      </c>
      <c r="E6" s="101"/>
      <c r="F6" s="101"/>
      <c r="G6" s="101"/>
      <c r="H6" s="101"/>
      <c r="I6" s="101"/>
      <c r="J6" s="100" t="s">
        <v>5</v>
      </c>
      <c r="K6" s="100"/>
      <c r="L6" s="102">
        <v>45663</v>
      </c>
      <c r="M6" s="102"/>
      <c r="N6" s="102"/>
      <c r="O6" s="9"/>
      <c r="AH6" s="10" t="s">
        <v>6</v>
      </c>
      <c r="AI6" s="5"/>
      <c r="AJ6" s="5"/>
      <c r="AK6" s="5"/>
    </row>
    <row r="7" spans="1:37" s="2" customFormat="1" ht="22.5" customHeight="1" x14ac:dyDescent="0.25">
      <c r="A7" s="3"/>
      <c r="B7" s="123" t="s">
        <v>1</v>
      </c>
      <c r="C7" s="123"/>
      <c r="D7" s="185" t="s">
        <v>69</v>
      </c>
      <c r="E7" s="185"/>
      <c r="F7" s="185"/>
      <c r="G7" s="185"/>
      <c r="H7" s="185"/>
      <c r="I7" s="185"/>
      <c r="J7" s="123" t="s">
        <v>7</v>
      </c>
      <c r="K7" s="123"/>
      <c r="L7" s="125"/>
      <c r="M7" s="125"/>
      <c r="N7" s="125"/>
      <c r="O7" s="11"/>
      <c r="AH7" s="10" t="s">
        <v>8</v>
      </c>
      <c r="AI7" s="5"/>
      <c r="AJ7" s="5"/>
      <c r="AK7" s="5"/>
    </row>
    <row r="8" spans="1:37" s="2" customFormat="1" ht="22.5" customHeight="1" x14ac:dyDescent="0.25">
      <c r="A8" s="3"/>
      <c r="B8" s="123" t="s">
        <v>9</v>
      </c>
      <c r="C8" s="123"/>
      <c r="D8" s="185" t="s">
        <v>70</v>
      </c>
      <c r="E8" s="185"/>
      <c r="F8" s="185"/>
      <c r="G8" s="185"/>
      <c r="H8" s="185"/>
      <c r="I8" s="185"/>
      <c r="J8" s="123" t="s">
        <v>10</v>
      </c>
      <c r="K8" s="123"/>
      <c r="L8" s="125"/>
      <c r="M8" s="125"/>
      <c r="N8" s="125"/>
      <c r="O8" s="11"/>
      <c r="AH8" s="10" t="s">
        <v>11</v>
      </c>
      <c r="AI8" s="5"/>
      <c r="AJ8" s="5"/>
      <c r="AK8" s="5"/>
    </row>
    <row r="9" spans="1:37" s="2" customFormat="1" ht="22.5" customHeight="1" x14ac:dyDescent="0.25">
      <c r="A9" s="3"/>
      <c r="B9" s="123" t="s">
        <v>12</v>
      </c>
      <c r="C9" s="123"/>
      <c r="D9" s="126" t="s">
        <v>71</v>
      </c>
      <c r="E9" s="126"/>
      <c r="F9" s="126"/>
      <c r="G9" s="126"/>
      <c r="H9" s="126"/>
      <c r="I9" s="126"/>
      <c r="J9" s="123" t="s">
        <v>13</v>
      </c>
      <c r="K9" s="123"/>
      <c r="L9" s="12" t="s">
        <v>14</v>
      </c>
      <c r="M9" s="13" t="s">
        <v>67</v>
      </c>
      <c r="N9" s="14" t="s">
        <v>64</v>
      </c>
      <c r="O9" s="11"/>
      <c r="AH9" s="10" t="s">
        <v>15</v>
      </c>
      <c r="AI9" s="5"/>
      <c r="AJ9" s="5"/>
      <c r="AK9" s="5"/>
    </row>
    <row r="10" spans="1:37" s="2" customFormat="1" ht="22.5" customHeight="1" x14ac:dyDescent="0.25">
      <c r="A10" s="3"/>
      <c r="B10" s="127" t="s">
        <v>16</v>
      </c>
      <c r="C10" s="127"/>
      <c r="D10" s="126" t="s">
        <v>63</v>
      </c>
      <c r="E10" s="126"/>
      <c r="F10" s="126"/>
      <c r="G10" s="126"/>
      <c r="H10" s="126"/>
      <c r="I10" s="126"/>
      <c r="J10" s="128" t="s">
        <v>17</v>
      </c>
      <c r="K10" s="128"/>
      <c r="L10" s="129" t="str">
        <f>CONCATENATE(M9,," ",N9,F12,"-",B57,"-",I12)</f>
        <v>048 24-19-</v>
      </c>
      <c r="M10" s="129"/>
      <c r="N10" s="129"/>
      <c r="O10" s="15"/>
      <c r="AH10" s="10" t="s">
        <v>18</v>
      </c>
      <c r="AI10" s="5"/>
      <c r="AJ10" s="5"/>
      <c r="AK10" s="5"/>
    </row>
    <row r="11" spans="1:37" s="2" customFormat="1" ht="3.95" customHeight="1" thickBot="1" x14ac:dyDescent="0.3">
      <c r="A11" s="4"/>
      <c r="B11" s="130"/>
      <c r="C11" s="130"/>
      <c r="D11" s="130"/>
      <c r="E11" s="130"/>
      <c r="F11" s="130"/>
      <c r="G11" s="130"/>
      <c r="H11" s="130"/>
      <c r="I11" s="130"/>
      <c r="J11" s="130"/>
      <c r="K11" s="130"/>
      <c r="L11" s="130"/>
      <c r="M11" s="130"/>
      <c r="N11" s="16"/>
      <c r="O11" s="17"/>
      <c r="AH11" s="10"/>
      <c r="AI11" s="5"/>
      <c r="AJ11" s="5"/>
      <c r="AK11" s="5"/>
    </row>
    <row r="12" spans="1:37" s="2" customFormat="1" ht="22.5" customHeight="1" x14ac:dyDescent="0.25">
      <c r="A12" s="1"/>
      <c r="B12" s="100" t="s">
        <v>19</v>
      </c>
      <c r="C12" s="100"/>
      <c r="D12" s="131"/>
      <c r="E12" s="131"/>
      <c r="F12" s="101"/>
      <c r="G12" s="101"/>
      <c r="H12" s="18" t="s">
        <v>20</v>
      </c>
      <c r="I12" s="8"/>
      <c r="J12" s="133" t="s">
        <v>21</v>
      </c>
      <c r="K12" s="133"/>
      <c r="L12" s="19"/>
      <c r="M12" s="20" t="s">
        <v>22</v>
      </c>
      <c r="N12" s="21"/>
      <c r="O12" s="22"/>
      <c r="AH12" s="10"/>
      <c r="AI12" s="5"/>
      <c r="AJ12" s="5"/>
      <c r="AK12" s="5"/>
    </row>
    <row r="13" spans="1:37" s="2" customFormat="1" ht="22.5" customHeight="1" x14ac:dyDescent="0.25">
      <c r="A13" s="3"/>
      <c r="B13" s="123" t="s">
        <v>23</v>
      </c>
      <c r="C13" s="123"/>
      <c r="D13" s="126"/>
      <c r="E13" s="126"/>
      <c r="F13" s="126"/>
      <c r="G13" s="126"/>
      <c r="H13" s="126"/>
      <c r="I13" s="126"/>
      <c r="J13" s="126"/>
      <c r="K13" s="126"/>
      <c r="L13" s="126"/>
      <c r="M13" s="126"/>
      <c r="N13" s="126"/>
      <c r="O13" s="23"/>
      <c r="AH13" s="10"/>
      <c r="AI13" s="5"/>
      <c r="AJ13" s="5"/>
      <c r="AK13" s="5"/>
    </row>
    <row r="14" spans="1:37" s="2" customFormat="1" ht="6.95" customHeight="1" thickBot="1" x14ac:dyDescent="0.3">
      <c r="A14" s="4"/>
      <c r="B14" s="24"/>
      <c r="C14" s="24"/>
      <c r="D14" s="25"/>
      <c r="E14" s="25"/>
      <c r="F14" s="25"/>
      <c r="G14" s="25"/>
      <c r="H14" s="25"/>
      <c r="I14" s="25"/>
      <c r="J14" s="25"/>
      <c r="K14" s="25"/>
      <c r="L14" s="25"/>
      <c r="M14" s="25"/>
      <c r="N14" s="25"/>
      <c r="O14" s="26"/>
    </row>
    <row r="15" spans="1:37" ht="15.75" thickBot="1" x14ac:dyDescent="0.3">
      <c r="A15" s="28"/>
      <c r="O15" s="29"/>
    </row>
    <row r="16" spans="1:37" ht="16.5" thickBot="1" x14ac:dyDescent="0.3">
      <c r="A16" s="134" t="s">
        <v>24</v>
      </c>
      <c r="B16" s="135"/>
      <c r="C16" s="135"/>
      <c r="D16" s="135"/>
      <c r="E16" s="135"/>
      <c r="F16" s="135"/>
      <c r="G16" s="135"/>
      <c r="H16" s="135"/>
      <c r="I16" s="135"/>
      <c r="J16" s="135"/>
      <c r="K16" s="135"/>
      <c r="L16" s="135"/>
      <c r="M16" s="135"/>
      <c r="N16" s="135"/>
      <c r="O16" s="136"/>
    </row>
    <row r="17" spans="1:20" ht="15.75" thickBot="1" x14ac:dyDescent="0.3">
      <c r="A17" s="28"/>
      <c r="O17" s="29"/>
    </row>
    <row r="18" spans="1:20" ht="16.5" customHeight="1" x14ac:dyDescent="0.25">
      <c r="A18" s="28"/>
      <c r="B18" s="137" t="s">
        <v>25</v>
      </c>
      <c r="C18" s="39" t="s">
        <v>32</v>
      </c>
      <c r="D18" s="140" t="s">
        <v>56</v>
      </c>
      <c r="E18" s="145" t="s">
        <v>57</v>
      </c>
      <c r="F18" s="148"/>
      <c r="G18" s="140" t="s">
        <v>46</v>
      </c>
      <c r="H18" s="140" t="s">
        <v>54</v>
      </c>
      <c r="I18" s="140" t="s">
        <v>55</v>
      </c>
      <c r="J18" s="143" t="s">
        <v>47</v>
      </c>
      <c r="K18" s="145" t="s">
        <v>49</v>
      </c>
      <c r="L18" s="143" t="s">
        <v>27</v>
      </c>
      <c r="M18" s="143" t="s">
        <v>39</v>
      </c>
      <c r="N18" s="145" t="s">
        <v>28</v>
      </c>
      <c r="O18" s="148"/>
      <c r="S18" s="58" t="s">
        <v>28</v>
      </c>
      <c r="T18" s="59"/>
    </row>
    <row r="19" spans="1:20" ht="14.25" customHeight="1" x14ac:dyDescent="0.25">
      <c r="A19" s="28"/>
      <c r="B19" s="138"/>
      <c r="C19" s="40" t="s">
        <v>26</v>
      </c>
      <c r="D19" s="141"/>
      <c r="E19" s="146"/>
      <c r="F19" s="149"/>
      <c r="G19" s="141"/>
      <c r="H19" s="141"/>
      <c r="I19" s="141"/>
      <c r="J19" s="144"/>
      <c r="K19" s="146"/>
      <c r="L19" s="144"/>
      <c r="M19" s="144"/>
      <c r="N19" s="146"/>
      <c r="O19" s="149"/>
      <c r="S19" s="60"/>
      <c r="T19" s="61"/>
    </row>
    <row r="20" spans="1:20" ht="14.25" customHeight="1" thickBot="1" x14ac:dyDescent="0.3">
      <c r="A20" s="28"/>
      <c r="B20" s="138"/>
      <c r="C20" s="40" t="s">
        <v>31</v>
      </c>
      <c r="D20" s="40" t="s">
        <v>48</v>
      </c>
      <c r="E20" s="146"/>
      <c r="F20" s="149"/>
      <c r="G20" s="40" t="s">
        <v>48</v>
      </c>
      <c r="H20" s="141"/>
      <c r="I20" s="141"/>
      <c r="J20" s="40" t="s">
        <v>48</v>
      </c>
      <c r="K20" s="146"/>
      <c r="L20" s="40" t="s">
        <v>29</v>
      </c>
      <c r="M20" s="40" t="s">
        <v>29</v>
      </c>
      <c r="N20" s="146"/>
      <c r="O20" s="149"/>
      <c r="S20" s="62"/>
      <c r="T20" s="63"/>
    </row>
    <row r="21" spans="1:20" x14ac:dyDescent="0.25">
      <c r="A21" s="28"/>
      <c r="B21" s="32">
        <v>1</v>
      </c>
      <c r="C21" s="36"/>
      <c r="D21" s="33"/>
      <c r="E21" s="182" t="s">
        <v>22</v>
      </c>
      <c r="F21" s="182"/>
      <c r="G21" s="36"/>
      <c r="H21" s="37">
        <f>D21*G21</f>
        <v>0</v>
      </c>
      <c r="I21" s="36">
        <f>IF(N21="DIAMETRAL",D21^2,(4*H21)/(PI()))</f>
        <v>0</v>
      </c>
      <c r="J21" s="36">
        <f>SQRT(I21)</f>
        <v>0</v>
      </c>
      <c r="K21" s="36">
        <f>(J21/50)^0.45</f>
        <v>0</v>
      </c>
      <c r="L21" s="36" t="e">
        <f>(C21*1000)/I21</f>
        <v>#DIV/0!</v>
      </c>
      <c r="M21" s="36" t="e">
        <f>L21*K21</f>
        <v>#DIV/0!</v>
      </c>
      <c r="N21" s="182"/>
      <c r="O21" s="184"/>
      <c r="R21" s="49"/>
      <c r="S21" s="56"/>
      <c r="T21" s="57"/>
    </row>
    <row r="22" spans="1:20" x14ac:dyDescent="0.25">
      <c r="A22" s="28"/>
      <c r="B22" s="34">
        <v>2</v>
      </c>
      <c r="C22" s="37"/>
      <c r="D22" s="27"/>
      <c r="E22" s="155" t="s">
        <v>22</v>
      </c>
      <c r="F22" s="155"/>
      <c r="G22" s="37"/>
      <c r="H22" s="37">
        <f>D22*G22</f>
        <v>0</v>
      </c>
      <c r="I22" s="37">
        <f t="shared" ref="I22:I30" si="0">IF(N22="DIAMETRAL",D22^2,(4*H22)/(PI()))</f>
        <v>0</v>
      </c>
      <c r="J22" s="37">
        <f t="shared" ref="J22:J30" si="1">SQRT(I22)</f>
        <v>0</v>
      </c>
      <c r="K22" s="37">
        <f t="shared" ref="K22:K30" si="2">(J22/50)^0.45</f>
        <v>0</v>
      </c>
      <c r="L22" s="37" t="e">
        <f t="shared" ref="L22:L30" si="3">(C22*1000)/I22</f>
        <v>#DIV/0!</v>
      </c>
      <c r="M22" s="37" t="e">
        <f t="shared" ref="M22:M30" si="4">L22*K22</f>
        <v>#DIV/0!</v>
      </c>
      <c r="N22" s="155"/>
      <c r="O22" s="156"/>
      <c r="R22" s="49"/>
      <c r="S22" s="52"/>
      <c r="T22" s="53"/>
    </row>
    <row r="23" spans="1:20" x14ac:dyDescent="0.25">
      <c r="A23" s="28"/>
      <c r="B23" s="34">
        <v>3</v>
      </c>
      <c r="C23" s="37"/>
      <c r="D23" s="27"/>
      <c r="E23" s="155" t="s">
        <v>22</v>
      </c>
      <c r="F23" s="155"/>
      <c r="G23" s="37"/>
      <c r="H23" s="37">
        <f t="shared" ref="H23:H30" si="5">D23*G23</f>
        <v>0</v>
      </c>
      <c r="I23" s="37">
        <f t="shared" si="0"/>
        <v>0</v>
      </c>
      <c r="J23" s="37">
        <f t="shared" si="1"/>
        <v>0</v>
      </c>
      <c r="K23" s="37">
        <f t="shared" si="2"/>
        <v>0</v>
      </c>
      <c r="L23" s="37" t="e">
        <f t="shared" si="3"/>
        <v>#DIV/0!</v>
      </c>
      <c r="M23" s="37" t="e">
        <f t="shared" si="4"/>
        <v>#DIV/0!</v>
      </c>
      <c r="N23" s="155"/>
      <c r="O23" s="156"/>
      <c r="R23" s="49"/>
      <c r="S23" s="52"/>
      <c r="T23" s="53"/>
    </row>
    <row r="24" spans="1:20" x14ac:dyDescent="0.25">
      <c r="A24" s="28"/>
      <c r="B24" s="34">
        <v>4</v>
      </c>
      <c r="C24" s="37"/>
      <c r="D24" s="27"/>
      <c r="E24" s="155" t="s">
        <v>22</v>
      </c>
      <c r="F24" s="155"/>
      <c r="G24" s="37"/>
      <c r="H24" s="37">
        <f t="shared" si="5"/>
        <v>0</v>
      </c>
      <c r="I24" s="37">
        <f t="shared" si="0"/>
        <v>0</v>
      </c>
      <c r="J24" s="37">
        <f t="shared" si="1"/>
        <v>0</v>
      </c>
      <c r="K24" s="37">
        <f t="shared" si="2"/>
        <v>0</v>
      </c>
      <c r="L24" s="37" t="e">
        <f t="shared" si="3"/>
        <v>#DIV/0!</v>
      </c>
      <c r="M24" s="37" t="e">
        <f t="shared" si="4"/>
        <v>#DIV/0!</v>
      </c>
      <c r="N24" s="155"/>
      <c r="O24" s="156"/>
      <c r="R24" s="49"/>
      <c r="S24" s="52"/>
      <c r="T24" s="53"/>
    </row>
    <row r="25" spans="1:20" x14ac:dyDescent="0.25">
      <c r="A25" s="28"/>
      <c r="B25" s="34">
        <v>5</v>
      </c>
      <c r="C25" s="37"/>
      <c r="D25" s="27"/>
      <c r="E25" s="155" t="s">
        <v>22</v>
      </c>
      <c r="F25" s="155"/>
      <c r="G25" s="37"/>
      <c r="H25" s="37">
        <f t="shared" si="5"/>
        <v>0</v>
      </c>
      <c r="I25" s="37">
        <f t="shared" si="0"/>
        <v>0</v>
      </c>
      <c r="J25" s="37">
        <f t="shared" si="1"/>
        <v>0</v>
      </c>
      <c r="K25" s="37">
        <f t="shared" si="2"/>
        <v>0</v>
      </c>
      <c r="L25" s="37" t="e">
        <f t="shared" si="3"/>
        <v>#DIV/0!</v>
      </c>
      <c r="M25" s="37" t="e">
        <f t="shared" si="4"/>
        <v>#DIV/0!</v>
      </c>
      <c r="N25" s="155"/>
      <c r="O25" s="156"/>
      <c r="R25" s="49"/>
      <c r="S25" s="52"/>
      <c r="T25" s="53"/>
    </row>
    <row r="26" spans="1:20" x14ac:dyDescent="0.25">
      <c r="A26" s="28"/>
      <c r="B26" s="34">
        <v>6</v>
      </c>
      <c r="C26" s="37"/>
      <c r="D26" s="27"/>
      <c r="E26" s="155" t="s">
        <v>22</v>
      </c>
      <c r="F26" s="155"/>
      <c r="G26" s="37"/>
      <c r="H26" s="37">
        <f t="shared" si="5"/>
        <v>0</v>
      </c>
      <c r="I26" s="37">
        <f t="shared" si="0"/>
        <v>0</v>
      </c>
      <c r="J26" s="37">
        <f t="shared" si="1"/>
        <v>0</v>
      </c>
      <c r="K26" s="37">
        <f t="shared" si="2"/>
        <v>0</v>
      </c>
      <c r="L26" s="37" t="e">
        <f t="shared" si="3"/>
        <v>#DIV/0!</v>
      </c>
      <c r="M26" s="37" t="e">
        <f t="shared" si="4"/>
        <v>#DIV/0!</v>
      </c>
      <c r="N26" s="155"/>
      <c r="O26" s="156"/>
      <c r="R26" s="49"/>
      <c r="S26" s="52"/>
      <c r="T26" s="53"/>
    </row>
    <row r="27" spans="1:20" x14ac:dyDescent="0.25">
      <c r="A27" s="28"/>
      <c r="B27" s="34">
        <v>7</v>
      </c>
      <c r="C27" s="37"/>
      <c r="D27" s="27"/>
      <c r="E27" s="155" t="s">
        <v>22</v>
      </c>
      <c r="F27" s="155"/>
      <c r="G27" s="37"/>
      <c r="H27" s="37">
        <f t="shared" si="5"/>
        <v>0</v>
      </c>
      <c r="I27" s="37">
        <f t="shared" si="0"/>
        <v>0</v>
      </c>
      <c r="J27" s="37">
        <f t="shared" si="1"/>
        <v>0</v>
      </c>
      <c r="K27" s="37">
        <f t="shared" si="2"/>
        <v>0</v>
      </c>
      <c r="L27" s="37" t="e">
        <f t="shared" si="3"/>
        <v>#DIV/0!</v>
      </c>
      <c r="M27" s="37" t="e">
        <f t="shared" si="4"/>
        <v>#DIV/0!</v>
      </c>
      <c r="N27" s="155"/>
      <c r="O27" s="156"/>
      <c r="R27" s="49"/>
      <c r="S27" s="52"/>
      <c r="T27" s="53"/>
    </row>
    <row r="28" spans="1:20" x14ac:dyDescent="0.25">
      <c r="A28" s="28"/>
      <c r="B28" s="34">
        <v>8</v>
      </c>
      <c r="C28" s="37"/>
      <c r="D28" s="27"/>
      <c r="E28" s="155" t="s">
        <v>22</v>
      </c>
      <c r="F28" s="155"/>
      <c r="G28" s="37"/>
      <c r="H28" s="37">
        <f t="shared" si="5"/>
        <v>0</v>
      </c>
      <c r="I28" s="37">
        <f t="shared" si="0"/>
        <v>0</v>
      </c>
      <c r="J28" s="37">
        <f t="shared" si="1"/>
        <v>0</v>
      </c>
      <c r="K28" s="37">
        <f t="shared" si="2"/>
        <v>0</v>
      </c>
      <c r="L28" s="37" t="e">
        <f t="shared" si="3"/>
        <v>#DIV/0!</v>
      </c>
      <c r="M28" s="37" t="e">
        <f t="shared" si="4"/>
        <v>#DIV/0!</v>
      </c>
      <c r="N28" s="155"/>
      <c r="O28" s="156"/>
      <c r="R28" s="49"/>
      <c r="S28" s="52"/>
      <c r="T28" s="53"/>
    </row>
    <row r="29" spans="1:20" x14ac:dyDescent="0.25">
      <c r="A29" s="28"/>
      <c r="B29" s="34">
        <v>9</v>
      </c>
      <c r="C29" s="37"/>
      <c r="D29" s="27"/>
      <c r="E29" s="155" t="s">
        <v>22</v>
      </c>
      <c r="F29" s="155"/>
      <c r="G29" s="37"/>
      <c r="H29" s="37">
        <f t="shared" si="5"/>
        <v>0</v>
      </c>
      <c r="I29" s="37">
        <f t="shared" si="0"/>
        <v>0</v>
      </c>
      <c r="J29" s="37">
        <f t="shared" si="1"/>
        <v>0</v>
      </c>
      <c r="K29" s="37">
        <f t="shared" si="2"/>
        <v>0</v>
      </c>
      <c r="L29" s="37" t="e">
        <f t="shared" si="3"/>
        <v>#DIV/0!</v>
      </c>
      <c r="M29" s="37" t="e">
        <f t="shared" si="4"/>
        <v>#DIV/0!</v>
      </c>
      <c r="N29" s="155"/>
      <c r="O29" s="156"/>
      <c r="R29" s="49"/>
      <c r="S29" s="52"/>
      <c r="T29" s="53"/>
    </row>
    <row r="30" spans="1:20" ht="15.75" thickBot="1" x14ac:dyDescent="0.3">
      <c r="A30" s="28"/>
      <c r="B30" s="35">
        <v>10</v>
      </c>
      <c r="C30" s="38"/>
      <c r="D30" s="31"/>
      <c r="E30" s="181" t="s">
        <v>22</v>
      </c>
      <c r="F30" s="181"/>
      <c r="G30" s="38"/>
      <c r="H30" s="38">
        <f t="shared" si="5"/>
        <v>0</v>
      </c>
      <c r="I30" s="38">
        <f t="shared" si="0"/>
        <v>0</v>
      </c>
      <c r="J30" s="38">
        <f t="shared" si="1"/>
        <v>0</v>
      </c>
      <c r="K30" s="38">
        <f t="shared" si="2"/>
        <v>0</v>
      </c>
      <c r="L30" s="38" t="e">
        <f t="shared" si="3"/>
        <v>#DIV/0!</v>
      </c>
      <c r="M30" s="38" t="e">
        <f t="shared" si="4"/>
        <v>#DIV/0!</v>
      </c>
      <c r="N30" s="181"/>
      <c r="O30" s="183"/>
      <c r="R30" s="49"/>
      <c r="S30" s="54"/>
      <c r="T30" s="55"/>
    </row>
    <row r="31" spans="1:20" ht="6" customHeight="1" thickBot="1" x14ac:dyDescent="0.3">
      <c r="A31" s="28"/>
      <c r="O31" s="29"/>
    </row>
    <row r="32" spans="1:20" ht="16.5" thickBot="1" x14ac:dyDescent="0.3">
      <c r="A32" s="28"/>
      <c r="B32" s="159" t="s">
        <v>30</v>
      </c>
      <c r="C32" s="160"/>
      <c r="D32" s="160"/>
      <c r="E32" s="161"/>
      <c r="F32" s="71"/>
      <c r="O32" s="29"/>
    </row>
    <row r="33" spans="1:42" ht="19.5" customHeight="1" thickBot="1" x14ac:dyDescent="0.4">
      <c r="A33" s="28"/>
      <c r="B33" s="162" t="s">
        <v>50</v>
      </c>
      <c r="C33" s="163"/>
      <c r="D33" s="50" t="s">
        <v>38</v>
      </c>
      <c r="E33" s="51" t="e">
        <f>AVERAGE(M21:M30)</f>
        <v>#DIV/0!</v>
      </c>
      <c r="J33" s="164" t="s">
        <v>59</v>
      </c>
      <c r="K33" s="164"/>
      <c r="L33" s="164" t="s">
        <v>60</v>
      </c>
      <c r="M33" s="164"/>
      <c r="N33" s="164"/>
      <c r="O33" s="29"/>
    </row>
    <row r="34" spans="1:42" ht="19.5" customHeight="1" thickBot="1" x14ac:dyDescent="0.3">
      <c r="A34" s="28"/>
      <c r="B34" s="165"/>
      <c r="C34" s="165"/>
      <c r="J34" s="72"/>
      <c r="K34" s="64"/>
      <c r="L34" s="72"/>
      <c r="M34" s="64"/>
      <c r="N34" s="72"/>
      <c r="O34" s="29"/>
    </row>
    <row r="35" spans="1:42" ht="19.5" customHeight="1" thickBot="1" x14ac:dyDescent="0.3">
      <c r="A35" s="28"/>
      <c r="B35" s="134" t="s">
        <v>37</v>
      </c>
      <c r="C35" s="135"/>
      <c r="D35" s="135"/>
      <c r="E35" s="136"/>
      <c r="J35" s="72"/>
      <c r="K35" s="64"/>
      <c r="L35" s="72"/>
      <c r="M35" s="64"/>
      <c r="N35" s="72"/>
      <c r="O35" s="29"/>
    </row>
    <row r="36" spans="1:42" ht="17.25" customHeight="1" x14ac:dyDescent="0.25">
      <c r="A36" s="28"/>
      <c r="B36" s="168" t="s">
        <v>34</v>
      </c>
      <c r="C36" s="169"/>
      <c r="D36" s="170"/>
      <c r="E36" s="41"/>
      <c r="J36" s="72"/>
      <c r="K36" s="64"/>
      <c r="L36" s="72"/>
      <c r="M36" s="72"/>
      <c r="N36" s="72"/>
      <c r="O36" s="29"/>
    </row>
    <row r="37" spans="1:42" ht="17.25" customHeight="1" x14ac:dyDescent="0.25">
      <c r="A37" s="28"/>
      <c r="B37" s="171" t="s">
        <v>51</v>
      </c>
      <c r="C37" s="172"/>
      <c r="D37" s="173"/>
      <c r="E37" s="30"/>
      <c r="J37" s="65"/>
      <c r="K37" s="65"/>
      <c r="L37" s="72"/>
      <c r="M37" s="64"/>
      <c r="N37" s="72"/>
      <c r="O37" s="29"/>
    </row>
    <row r="38" spans="1:42" ht="17.25" customHeight="1" x14ac:dyDescent="0.25">
      <c r="A38" s="28"/>
      <c r="B38" s="171" t="s">
        <v>36</v>
      </c>
      <c r="C38" s="172"/>
      <c r="D38" s="173"/>
      <c r="E38" s="30"/>
      <c r="O38" s="29"/>
    </row>
    <row r="39" spans="1:42" ht="17.25" customHeight="1" x14ac:dyDescent="0.25">
      <c r="A39" s="28"/>
      <c r="B39" s="171" t="s">
        <v>35</v>
      </c>
      <c r="C39" s="172"/>
      <c r="D39" s="173"/>
      <c r="E39" s="30"/>
      <c r="J39" s="174" t="s">
        <v>42</v>
      </c>
      <c r="K39" s="174"/>
      <c r="L39" s="174" t="s">
        <v>61</v>
      </c>
      <c r="M39" s="174"/>
      <c r="N39" s="174"/>
      <c r="O39" s="29"/>
      <c r="V39" s="64"/>
    </row>
    <row r="40" spans="1:42" ht="17.25" customHeight="1" thickBot="1" x14ac:dyDescent="0.3">
      <c r="A40" s="28"/>
      <c r="B40" s="175" t="s">
        <v>40</v>
      </c>
      <c r="C40" s="176"/>
      <c r="D40" s="177"/>
      <c r="E40" s="67" t="e">
        <f>((E37-E38)/(E38-E39))*100</f>
        <v>#DIV/0!</v>
      </c>
      <c r="J40" s="164" t="s">
        <v>43</v>
      </c>
      <c r="K40" s="164"/>
      <c r="L40" s="164" t="s">
        <v>62</v>
      </c>
      <c r="M40" s="164"/>
      <c r="N40" s="164"/>
      <c r="O40" s="29"/>
      <c r="V40" s="64"/>
    </row>
    <row r="41" spans="1:42" s="2" customFormat="1" ht="12.75" customHeight="1" x14ac:dyDescent="0.25">
      <c r="A41" s="3"/>
      <c r="O41" s="7"/>
      <c r="V41" s="64"/>
      <c r="AN41" s="5">
        <v>16</v>
      </c>
      <c r="AO41" s="5">
        <v>-0.59999999999999898</v>
      </c>
      <c r="AP41" s="5">
        <v>-1</v>
      </c>
    </row>
    <row r="42" spans="1:42" s="2" customFormat="1" x14ac:dyDescent="0.25">
      <c r="A42" s="3"/>
      <c r="B42" s="68" t="s">
        <v>41</v>
      </c>
      <c r="C42" s="43"/>
      <c r="D42" s="43"/>
      <c r="E42" s="43"/>
      <c r="F42" s="43"/>
      <c r="G42" s="43"/>
      <c r="H42" s="43"/>
      <c r="I42" s="43"/>
      <c r="K42" s="69"/>
      <c r="L42" s="69"/>
      <c r="M42" s="69"/>
      <c r="O42" s="7"/>
      <c r="V42" s="64"/>
      <c r="AN42" s="5">
        <v>17</v>
      </c>
      <c r="AO42" s="5">
        <v>-0.499999999999999</v>
      </c>
      <c r="AP42" s="5">
        <v>-0.8</v>
      </c>
    </row>
    <row r="43" spans="1:42" s="2" customFormat="1" x14ac:dyDescent="0.25">
      <c r="A43" s="3"/>
      <c r="C43" s="44"/>
      <c r="D43" s="44"/>
      <c r="E43" s="44"/>
      <c r="F43" s="44"/>
      <c r="G43" s="44"/>
      <c r="H43" s="44"/>
      <c r="I43" s="45"/>
      <c r="J43" s="69"/>
      <c r="N43" s="69"/>
      <c r="O43" s="7"/>
      <c r="V43" s="65"/>
      <c r="AN43" s="5">
        <v>18</v>
      </c>
      <c r="AO43" s="5">
        <v>-0.3</v>
      </c>
      <c r="AP43" s="5">
        <v>-0.5</v>
      </c>
    </row>
    <row r="44" spans="1:42" s="2" customFormat="1" x14ac:dyDescent="0.25">
      <c r="A44" s="3"/>
      <c r="C44" s="44"/>
      <c r="D44" s="44"/>
      <c r="E44" s="44"/>
      <c r="F44" s="44"/>
      <c r="G44" s="44"/>
      <c r="H44" s="44"/>
      <c r="I44" s="44"/>
      <c r="O44" s="7"/>
      <c r="V44" s="65"/>
      <c r="AN44" s="5">
        <v>19</v>
      </c>
      <c r="AO44" s="5">
        <v>-0.2</v>
      </c>
      <c r="AP44" s="5">
        <v>-0.3</v>
      </c>
    </row>
    <row r="45" spans="1:42" s="2" customFormat="1" ht="15" customHeight="1" x14ac:dyDescent="0.25">
      <c r="A45" s="3"/>
      <c r="B45" s="70"/>
      <c r="C45" s="70"/>
      <c r="D45" s="70"/>
      <c r="E45" s="70"/>
      <c r="F45" s="70"/>
      <c r="G45" s="70"/>
      <c r="H45" s="70"/>
      <c r="O45" s="7"/>
      <c r="V45" s="64"/>
      <c r="AN45" s="5">
        <v>20</v>
      </c>
      <c r="AO45" s="5">
        <v>0</v>
      </c>
      <c r="AP45" s="5">
        <v>0</v>
      </c>
    </row>
    <row r="46" spans="1:42" s="2" customFormat="1" ht="15" customHeight="1" x14ac:dyDescent="0.25">
      <c r="A46" s="42"/>
      <c r="B46" s="178" t="s">
        <v>52</v>
      </c>
      <c r="C46" s="178"/>
      <c r="D46" s="178"/>
      <c r="E46" s="178"/>
      <c r="F46" s="178"/>
      <c r="G46" s="178"/>
      <c r="H46" s="178"/>
      <c r="I46" s="178"/>
      <c r="J46" s="178"/>
      <c r="K46" s="178"/>
      <c r="L46" s="178"/>
      <c r="M46" s="178"/>
      <c r="N46" s="178"/>
      <c r="O46" s="7"/>
      <c r="W46" s="2">
        <v>13</v>
      </c>
      <c r="X46" s="2">
        <v>14.2</v>
      </c>
      <c r="Y46" s="2">
        <f t="shared" ref="Y46:Y50" si="6">X46*10</f>
        <v>142</v>
      </c>
      <c r="AN46" s="5">
        <v>21</v>
      </c>
      <c r="AO46" s="5">
        <v>0.2</v>
      </c>
      <c r="AP46" s="5">
        <v>0.3</v>
      </c>
    </row>
    <row r="47" spans="1:42" s="2" customFormat="1" ht="12.75" customHeight="1" x14ac:dyDescent="0.25">
      <c r="A47" s="3"/>
      <c r="B47" s="178" t="s">
        <v>53</v>
      </c>
      <c r="C47" s="178"/>
      <c r="D47" s="178"/>
      <c r="E47" s="178"/>
      <c r="F47" s="178"/>
      <c r="G47" s="178"/>
      <c r="H47" s="178"/>
      <c r="I47" s="178"/>
      <c r="J47" s="178"/>
      <c r="K47" s="178"/>
      <c r="L47" s="178"/>
      <c r="M47" s="178"/>
      <c r="N47" s="178"/>
      <c r="O47" s="7"/>
      <c r="W47" s="2">
        <v>14</v>
      </c>
      <c r="X47" s="2">
        <v>14</v>
      </c>
      <c r="Y47" s="2">
        <f t="shared" si="6"/>
        <v>140</v>
      </c>
      <c r="AN47" s="5">
        <v>22</v>
      </c>
      <c r="AO47" s="5">
        <v>0.4</v>
      </c>
      <c r="AP47" s="5">
        <v>0.6</v>
      </c>
    </row>
    <row r="48" spans="1:42" s="2" customFormat="1" ht="14.25" customHeight="1" x14ac:dyDescent="0.25">
      <c r="A48" s="3"/>
      <c r="B48" s="178"/>
      <c r="C48" s="178"/>
      <c r="D48" s="178"/>
      <c r="E48" s="178"/>
      <c r="F48" s="178"/>
      <c r="G48" s="178"/>
      <c r="H48" s="178"/>
      <c r="I48" s="178"/>
      <c r="J48" s="178"/>
      <c r="K48" s="178"/>
      <c r="L48" s="178"/>
      <c r="M48" s="178"/>
      <c r="N48" s="178"/>
      <c r="O48" s="7"/>
      <c r="W48" s="2">
        <v>15</v>
      </c>
      <c r="X48" s="2">
        <v>13.8</v>
      </c>
      <c r="Y48" s="2">
        <f t="shared" si="6"/>
        <v>138</v>
      </c>
      <c r="AN48" s="5">
        <v>23</v>
      </c>
      <c r="AO48" s="5">
        <v>0.6</v>
      </c>
      <c r="AP48" s="5">
        <v>0.9</v>
      </c>
    </row>
    <row r="49" spans="1:42" s="2" customFormat="1" ht="15" customHeight="1" x14ac:dyDescent="0.25">
      <c r="A49" s="46"/>
      <c r="B49" s="178"/>
      <c r="C49" s="178"/>
      <c r="D49" s="178"/>
      <c r="E49" s="178"/>
      <c r="F49" s="178"/>
      <c r="G49" s="178"/>
      <c r="H49" s="178"/>
      <c r="I49" s="178"/>
      <c r="J49" s="178"/>
      <c r="K49" s="178"/>
      <c r="L49" s="178"/>
      <c r="M49" s="178"/>
      <c r="N49" s="178"/>
      <c r="O49" s="47"/>
      <c r="W49" s="2">
        <v>16</v>
      </c>
      <c r="X49" s="2">
        <v>13.7</v>
      </c>
      <c r="Y49" s="2">
        <f t="shared" si="6"/>
        <v>137</v>
      </c>
      <c r="AN49" s="5">
        <v>24</v>
      </c>
      <c r="AO49" s="5">
        <v>0.8</v>
      </c>
      <c r="AP49" s="5">
        <v>1.3</v>
      </c>
    </row>
    <row r="50" spans="1:42" s="2" customFormat="1" ht="24.75" customHeight="1" thickBot="1" x14ac:dyDescent="0.3">
      <c r="A50" s="48"/>
      <c r="B50" s="166" t="s">
        <v>44</v>
      </c>
      <c r="C50" s="166"/>
      <c r="D50" s="166"/>
      <c r="E50" s="166"/>
      <c r="F50" s="166"/>
      <c r="G50" s="166"/>
      <c r="H50" s="166"/>
      <c r="I50" s="166"/>
      <c r="J50" s="166"/>
      <c r="K50" s="166"/>
      <c r="L50" s="166"/>
      <c r="M50" s="166"/>
      <c r="N50" s="166"/>
      <c r="O50" s="167"/>
      <c r="W50" s="2">
        <v>17</v>
      </c>
      <c r="X50" s="2">
        <v>13.5</v>
      </c>
      <c r="Y50" s="2">
        <f t="shared" si="6"/>
        <v>135</v>
      </c>
      <c r="AN50" s="5">
        <v>25</v>
      </c>
      <c r="AO50" s="5">
        <v>1</v>
      </c>
      <c r="AP50" s="5">
        <v>1.7</v>
      </c>
    </row>
    <row r="56" spans="1:42" ht="15.75" thickBot="1" x14ac:dyDescent="0.3"/>
    <row r="57" spans="1:42" ht="15.75" thickBot="1" x14ac:dyDescent="0.3">
      <c r="B57" s="66">
        <v>19</v>
      </c>
    </row>
  </sheetData>
  <mergeCells count="85">
    <mergeCell ref="N29:O29"/>
    <mergeCell ref="N24:O24"/>
    <mergeCell ref="E25:F25"/>
    <mergeCell ref="E26:F26"/>
    <mergeCell ref="E27:F27"/>
    <mergeCell ref="E28:F28"/>
    <mergeCell ref="E24:F24"/>
    <mergeCell ref="N27:O27"/>
    <mergeCell ref="B34:C34"/>
    <mergeCell ref="B50:O50"/>
    <mergeCell ref="B35:E35"/>
    <mergeCell ref="B36:D36"/>
    <mergeCell ref="B37:D37"/>
    <mergeCell ref="B38:D38"/>
    <mergeCell ref="B39:D39"/>
    <mergeCell ref="B40:D40"/>
    <mergeCell ref="L40:N40"/>
    <mergeCell ref="J40:K40"/>
    <mergeCell ref="B47:N49"/>
    <mergeCell ref="B46:N46"/>
    <mergeCell ref="A16:O16"/>
    <mergeCell ref="L10:N10"/>
    <mergeCell ref="B11:M11"/>
    <mergeCell ref="B12:C12"/>
    <mergeCell ref="D12:E12"/>
    <mergeCell ref="J12:K12"/>
    <mergeCell ref="B13:C13"/>
    <mergeCell ref="D13:N13"/>
    <mergeCell ref="F12:G12"/>
    <mergeCell ref="B9:C9"/>
    <mergeCell ref="D9:I9"/>
    <mergeCell ref="J9:K9"/>
    <mergeCell ref="B10:C10"/>
    <mergeCell ref="D10:I10"/>
    <mergeCell ref="J10:K10"/>
    <mergeCell ref="B7:C7"/>
    <mergeCell ref="D7:I7"/>
    <mergeCell ref="J7:K7"/>
    <mergeCell ref="L7:N7"/>
    <mergeCell ref="B8:C8"/>
    <mergeCell ref="D8:I8"/>
    <mergeCell ref="J8:K8"/>
    <mergeCell ref="L8:N8"/>
    <mergeCell ref="AH3:AK5"/>
    <mergeCell ref="M4:O4"/>
    <mergeCell ref="B5:M5"/>
    <mergeCell ref="B6:C6"/>
    <mergeCell ref="D6:I6"/>
    <mergeCell ref="J6:K6"/>
    <mergeCell ref="L6:N6"/>
    <mergeCell ref="A1:D4"/>
    <mergeCell ref="E1:L1"/>
    <mergeCell ref="M1:O1"/>
    <mergeCell ref="E2:L4"/>
    <mergeCell ref="M2:O2"/>
    <mergeCell ref="M3:O3"/>
    <mergeCell ref="L33:N33"/>
    <mergeCell ref="J39:K39"/>
    <mergeCell ref="L39:N39"/>
    <mergeCell ref="M18:M19"/>
    <mergeCell ref="N18:O20"/>
    <mergeCell ref="N25:O25"/>
    <mergeCell ref="N26:O26"/>
    <mergeCell ref="J33:K33"/>
    <mergeCell ref="N30:O30"/>
    <mergeCell ref="N21:O21"/>
    <mergeCell ref="N22:O22"/>
    <mergeCell ref="K18:K20"/>
    <mergeCell ref="N28:O28"/>
    <mergeCell ref="J18:J19"/>
    <mergeCell ref="L18:L19"/>
    <mergeCell ref="N23:O23"/>
    <mergeCell ref="B32:E32"/>
    <mergeCell ref="B33:C33"/>
    <mergeCell ref="I18:I20"/>
    <mergeCell ref="D18:D19"/>
    <mergeCell ref="H18:H20"/>
    <mergeCell ref="B18:B20"/>
    <mergeCell ref="E30:F30"/>
    <mergeCell ref="G18:G19"/>
    <mergeCell ref="E29:F29"/>
    <mergeCell ref="E18:F20"/>
    <mergeCell ref="E21:F21"/>
    <mergeCell ref="E22:F22"/>
    <mergeCell ref="E23:F23"/>
  </mergeCells>
  <conditionalFormatting sqref="D6:D10 J6:N6 J7:L8 M9:N9 D12 F12 H12:N12 B6:B10 J9:K10 B12:B13">
    <cfRule type="containsBlanks" dxfId="9" priority="4">
      <formula>LEN(TRIM(B6))=0</formula>
    </cfRule>
  </conditionalFormatting>
  <conditionalFormatting sqref="D6:I10">
    <cfRule type="containsBlanks" dxfId="8" priority="2">
      <formula>LEN(TRIM(D6))=0</formula>
    </cfRule>
  </conditionalFormatting>
  <conditionalFormatting sqref="D13:N13">
    <cfRule type="containsBlanks" dxfId="7" priority="3">
      <formula>LEN(TRIM(D13))=0</formula>
    </cfRule>
  </conditionalFormatting>
  <conditionalFormatting sqref="L6:N8 M9:N9 D12:F12 I12 L12 N12 D13:N13">
    <cfRule type="containsBlanks" dxfId="6" priority="1">
      <formula>LEN(TRIM(D6))=0</formula>
    </cfRule>
  </conditionalFormatting>
  <dataValidations count="2">
    <dataValidation type="list" allowBlank="1" showInputMessage="1" showErrorMessage="1" sqref="D12:E12" xr:uid="{00000000-0002-0000-0000-000000000000}">
      <formula1>$AH$6:$AH$13</formula1>
    </dataValidation>
    <dataValidation type="list" allowBlank="1" showInputMessage="1" showErrorMessage="1" sqref="N21:N30" xr:uid="{00000000-0002-0000-0000-000001000000}">
      <formula1>"DIAMETRAL,AXIAL,"</formula1>
    </dataValidation>
  </dataValidations>
  <hyperlinks>
    <hyperlink ref="D8" r:id="rId1" xr:uid="{00000000-0004-0000-0000-000000000000}"/>
  </hyperlinks>
  <printOptions horizontalCentered="1" verticalCentered="1"/>
  <pageMargins left="0.70866141732283472" right="0.70866141732283472" top="0.74803149606299213" bottom="0.74803149606299213" header="0.31496062992125984" footer="0.31496062992125984"/>
  <pageSetup scale="64" orientation="landscape" r:id="rId2"/>
  <colBreaks count="1" manualBreakCount="1">
    <brk id="16" max="13" man="1"/>
  </colBreaks>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7"/>
  </sheetPr>
  <dimension ref="A1:AP57"/>
  <sheetViews>
    <sheetView tabSelected="1" view="pageBreakPreview" zoomScaleNormal="100" zoomScaleSheetLayoutView="100" workbookViewId="0">
      <selection sqref="A1:D4"/>
    </sheetView>
  </sheetViews>
  <sheetFormatPr baseColWidth="10" defaultRowHeight="15" x14ac:dyDescent="0.25"/>
  <cols>
    <col min="1" max="1" width="1" customWidth="1"/>
    <col min="2" max="2" width="16.140625" customWidth="1"/>
    <col min="3" max="3" width="19.28515625" customWidth="1"/>
    <col min="4" max="4" width="16.85546875" customWidth="1"/>
    <col min="5" max="5" width="14.7109375" customWidth="1"/>
    <col min="6" max="6" width="1.140625" customWidth="1"/>
    <col min="7" max="7" width="16.140625" customWidth="1"/>
    <col min="8" max="8" width="17.7109375" customWidth="1"/>
    <col min="9" max="12" width="15.7109375" customWidth="1"/>
    <col min="13" max="13" width="13.28515625" customWidth="1"/>
    <col min="14" max="14" width="12.85546875" customWidth="1"/>
    <col min="15" max="15" width="1" customWidth="1"/>
    <col min="16" max="16" width="1.28515625" customWidth="1"/>
  </cols>
  <sheetData>
    <row r="1" spans="1:37" s="2" customFormat="1" ht="17.25" customHeight="1" x14ac:dyDescent="0.25">
      <c r="A1" s="103"/>
      <c r="B1" s="104"/>
      <c r="C1" s="104"/>
      <c r="D1" s="104"/>
      <c r="E1" s="108" t="s">
        <v>3</v>
      </c>
      <c r="F1" s="109"/>
      <c r="G1" s="109"/>
      <c r="H1" s="109"/>
      <c r="I1" s="109"/>
      <c r="J1" s="109"/>
      <c r="K1" s="109"/>
      <c r="L1" s="110"/>
      <c r="M1" s="111" t="s">
        <v>2</v>
      </c>
      <c r="N1" s="112"/>
      <c r="O1" s="113"/>
    </row>
    <row r="2" spans="1:37" s="2" customFormat="1" ht="17.25" customHeight="1" x14ac:dyDescent="0.25">
      <c r="A2" s="105"/>
      <c r="B2" s="99"/>
      <c r="C2" s="99"/>
      <c r="D2" s="99"/>
      <c r="E2" s="114" t="s">
        <v>33</v>
      </c>
      <c r="F2" s="115"/>
      <c r="G2" s="115"/>
      <c r="H2" s="115"/>
      <c r="I2" s="115"/>
      <c r="J2" s="115"/>
      <c r="K2" s="115"/>
      <c r="L2" s="116"/>
      <c r="M2" s="120" t="s">
        <v>88</v>
      </c>
      <c r="N2" s="121"/>
      <c r="O2" s="122"/>
    </row>
    <row r="3" spans="1:37" s="2" customFormat="1" ht="17.25" customHeight="1" x14ac:dyDescent="0.25">
      <c r="A3" s="105"/>
      <c r="B3" s="99"/>
      <c r="C3" s="99"/>
      <c r="D3" s="99"/>
      <c r="E3" s="114"/>
      <c r="F3" s="115"/>
      <c r="G3" s="115"/>
      <c r="H3" s="115"/>
      <c r="I3" s="115"/>
      <c r="J3" s="115"/>
      <c r="K3" s="115"/>
      <c r="L3" s="116"/>
      <c r="M3" s="120" t="s">
        <v>66</v>
      </c>
      <c r="N3" s="121"/>
      <c r="O3" s="122"/>
      <c r="AH3" s="95" t="s">
        <v>4</v>
      </c>
      <c r="AI3" s="95"/>
      <c r="AJ3" s="95"/>
      <c r="AK3" s="95"/>
    </row>
    <row r="4" spans="1:37" s="2" customFormat="1" ht="17.25" customHeight="1" thickBot="1" x14ac:dyDescent="0.3">
      <c r="A4" s="106"/>
      <c r="B4" s="107"/>
      <c r="C4" s="107"/>
      <c r="D4" s="107"/>
      <c r="E4" s="117"/>
      <c r="F4" s="118"/>
      <c r="G4" s="118"/>
      <c r="H4" s="118"/>
      <c r="I4" s="118"/>
      <c r="J4" s="118"/>
      <c r="K4" s="118"/>
      <c r="L4" s="119"/>
      <c r="M4" s="96" t="s">
        <v>89</v>
      </c>
      <c r="N4" s="97"/>
      <c r="O4" s="98"/>
      <c r="AH4" s="95"/>
      <c r="AI4" s="95"/>
      <c r="AJ4" s="95"/>
      <c r="AK4" s="95"/>
    </row>
    <row r="5" spans="1:37" s="2" customFormat="1" ht="3.95" customHeight="1" thickBot="1" x14ac:dyDescent="0.3">
      <c r="A5" s="3"/>
      <c r="B5" s="99"/>
      <c r="C5" s="99"/>
      <c r="D5" s="99"/>
      <c r="E5" s="99"/>
      <c r="F5" s="99"/>
      <c r="G5" s="99"/>
      <c r="H5" s="99"/>
      <c r="I5" s="99"/>
      <c r="J5" s="99"/>
      <c r="K5" s="99"/>
      <c r="L5" s="99"/>
      <c r="M5" s="99"/>
      <c r="N5" s="6"/>
      <c r="O5" s="7"/>
      <c r="AH5" s="95"/>
      <c r="AI5" s="95"/>
      <c r="AJ5" s="95"/>
      <c r="AK5" s="95"/>
    </row>
    <row r="6" spans="1:37" s="2" customFormat="1" ht="22.5" customHeight="1" x14ac:dyDescent="0.25">
      <c r="A6" s="1"/>
      <c r="B6" s="100" t="s">
        <v>0</v>
      </c>
      <c r="C6" s="100"/>
      <c r="D6" s="101"/>
      <c r="E6" s="101"/>
      <c r="F6" s="101"/>
      <c r="G6" s="101"/>
      <c r="H6" s="101"/>
      <c r="I6" s="101"/>
      <c r="J6" s="100" t="s">
        <v>5</v>
      </c>
      <c r="K6" s="100"/>
      <c r="L6" s="102"/>
      <c r="M6" s="102"/>
      <c r="N6" s="102"/>
      <c r="O6" s="9"/>
      <c r="AH6" s="10" t="s">
        <v>6</v>
      </c>
      <c r="AI6" s="5"/>
      <c r="AJ6" s="5"/>
      <c r="AK6" s="5"/>
    </row>
    <row r="7" spans="1:37" s="2" customFormat="1" ht="22.5" customHeight="1" x14ac:dyDescent="0.25">
      <c r="A7" s="3"/>
      <c r="B7" s="123" t="s">
        <v>1</v>
      </c>
      <c r="C7" s="123"/>
      <c r="D7" s="124"/>
      <c r="E7" s="124"/>
      <c r="F7" s="124"/>
      <c r="G7" s="124"/>
      <c r="H7" s="124"/>
      <c r="I7" s="124"/>
      <c r="J7" s="123" t="s">
        <v>7</v>
      </c>
      <c r="K7" s="123"/>
      <c r="L7" s="125"/>
      <c r="M7" s="125"/>
      <c r="N7" s="125"/>
      <c r="O7" s="11"/>
      <c r="AH7" s="10" t="s">
        <v>8</v>
      </c>
      <c r="AI7" s="5"/>
      <c r="AJ7" s="5"/>
      <c r="AK7" s="5"/>
    </row>
    <row r="8" spans="1:37" s="2" customFormat="1" ht="22.5" customHeight="1" x14ac:dyDescent="0.25">
      <c r="A8" s="3"/>
      <c r="B8" s="123" t="s">
        <v>9</v>
      </c>
      <c r="C8" s="123"/>
      <c r="D8" s="124"/>
      <c r="E8" s="124"/>
      <c r="F8" s="124"/>
      <c r="G8" s="124"/>
      <c r="H8" s="124"/>
      <c r="I8" s="124"/>
      <c r="J8" s="123" t="s">
        <v>10</v>
      </c>
      <c r="K8" s="123"/>
      <c r="L8" s="125"/>
      <c r="M8" s="125"/>
      <c r="N8" s="125"/>
      <c r="O8" s="11"/>
      <c r="AH8" s="10" t="s">
        <v>11</v>
      </c>
      <c r="AI8" s="5"/>
      <c r="AJ8" s="5"/>
      <c r="AK8" s="5"/>
    </row>
    <row r="9" spans="1:37" s="2" customFormat="1" ht="22.5" customHeight="1" x14ac:dyDescent="0.25">
      <c r="A9" s="3"/>
      <c r="B9" s="123" t="s">
        <v>12</v>
      </c>
      <c r="C9" s="123"/>
      <c r="D9" s="126"/>
      <c r="E9" s="126"/>
      <c r="F9" s="126"/>
      <c r="G9" s="126"/>
      <c r="H9" s="126"/>
      <c r="I9" s="126"/>
      <c r="J9" s="123" t="s">
        <v>13</v>
      </c>
      <c r="K9" s="123"/>
      <c r="L9" s="12" t="s">
        <v>14</v>
      </c>
      <c r="M9" s="13"/>
      <c r="N9" s="14"/>
      <c r="O9" s="11"/>
      <c r="AH9" s="10" t="s">
        <v>15</v>
      </c>
      <c r="AI9" s="5"/>
      <c r="AJ9" s="5"/>
      <c r="AK9" s="5"/>
    </row>
    <row r="10" spans="1:37" s="2" customFormat="1" ht="22.5" customHeight="1" x14ac:dyDescent="0.25">
      <c r="A10" s="3"/>
      <c r="B10" s="127" t="s">
        <v>16</v>
      </c>
      <c r="C10" s="127"/>
      <c r="D10" s="126" t="s">
        <v>63</v>
      </c>
      <c r="E10" s="126"/>
      <c r="F10" s="126"/>
      <c r="G10" s="126"/>
      <c r="H10" s="126"/>
      <c r="I10" s="126"/>
      <c r="J10" s="128" t="s">
        <v>17</v>
      </c>
      <c r="K10" s="128"/>
      <c r="L10" s="129" t="str">
        <f>CONCATENATE(M9,," ",N9,"-",F12,"-",I12)</f>
        <v xml:space="preserve"> --</v>
      </c>
      <c r="M10" s="129"/>
      <c r="N10" s="129"/>
      <c r="O10" s="15"/>
      <c r="AH10" s="10" t="s">
        <v>18</v>
      </c>
      <c r="AI10" s="5"/>
      <c r="AJ10" s="5"/>
      <c r="AK10" s="5"/>
    </row>
    <row r="11" spans="1:37" s="2" customFormat="1" ht="3.95" customHeight="1" thickBot="1" x14ac:dyDescent="0.3">
      <c r="A11" s="4"/>
      <c r="B11" s="130"/>
      <c r="C11" s="130"/>
      <c r="D11" s="130"/>
      <c r="E11" s="130"/>
      <c r="F11" s="130"/>
      <c r="G11" s="130"/>
      <c r="H11" s="130"/>
      <c r="I11" s="130"/>
      <c r="J11" s="130"/>
      <c r="K11" s="130"/>
      <c r="L11" s="130"/>
      <c r="M11" s="130"/>
      <c r="N11" s="16"/>
      <c r="O11" s="17"/>
      <c r="AH11" s="10"/>
      <c r="AI11" s="5"/>
      <c r="AJ11" s="5"/>
      <c r="AK11" s="5"/>
    </row>
    <row r="12" spans="1:37" s="2" customFormat="1" ht="22.5" customHeight="1" x14ac:dyDescent="0.25">
      <c r="A12" s="1"/>
      <c r="B12" s="100" t="s">
        <v>19</v>
      </c>
      <c r="C12" s="100"/>
      <c r="D12" s="131" t="s">
        <v>18</v>
      </c>
      <c r="E12" s="131"/>
      <c r="F12" s="132"/>
      <c r="G12" s="132"/>
      <c r="H12" s="18" t="s">
        <v>20</v>
      </c>
      <c r="I12" s="8"/>
      <c r="J12" s="133" t="s">
        <v>21</v>
      </c>
      <c r="K12" s="133"/>
      <c r="L12" s="19"/>
      <c r="M12" s="20" t="s">
        <v>22</v>
      </c>
      <c r="N12" s="21"/>
      <c r="O12" s="22"/>
      <c r="AH12" s="10"/>
      <c r="AI12" s="5"/>
      <c r="AJ12" s="5"/>
      <c r="AK12" s="5"/>
    </row>
    <row r="13" spans="1:37" s="2" customFormat="1" ht="22.5" customHeight="1" x14ac:dyDescent="0.25">
      <c r="A13" s="3"/>
      <c r="B13" s="123" t="s">
        <v>23</v>
      </c>
      <c r="C13" s="123"/>
      <c r="D13" s="126"/>
      <c r="E13" s="126"/>
      <c r="F13" s="126"/>
      <c r="G13" s="126"/>
      <c r="H13" s="126"/>
      <c r="I13" s="126"/>
      <c r="J13" s="126"/>
      <c r="K13" s="126"/>
      <c r="L13" s="126"/>
      <c r="M13" s="126"/>
      <c r="N13" s="126"/>
      <c r="O13" s="23"/>
      <c r="AH13" s="10"/>
      <c r="AI13" s="5"/>
      <c r="AJ13" s="5"/>
      <c r="AK13" s="5"/>
    </row>
    <row r="14" spans="1:37" s="2" customFormat="1" ht="6.95" customHeight="1" thickBot="1" x14ac:dyDescent="0.3">
      <c r="A14" s="4"/>
      <c r="B14" s="24"/>
      <c r="C14" s="24"/>
      <c r="D14" s="25"/>
      <c r="E14" s="25"/>
      <c r="F14" s="25"/>
      <c r="G14" s="25"/>
      <c r="H14" s="25"/>
      <c r="I14" s="25"/>
      <c r="J14" s="25"/>
      <c r="K14" s="25"/>
      <c r="L14" s="25"/>
      <c r="M14" s="25"/>
      <c r="N14" s="25"/>
      <c r="O14" s="26"/>
    </row>
    <row r="15" spans="1:37" ht="15.75" thickBot="1" x14ac:dyDescent="0.3">
      <c r="A15" s="28"/>
      <c r="O15" s="29"/>
    </row>
    <row r="16" spans="1:37" ht="16.5" thickBot="1" x14ac:dyDescent="0.3">
      <c r="A16" s="134" t="s">
        <v>24</v>
      </c>
      <c r="B16" s="135"/>
      <c r="C16" s="135"/>
      <c r="D16" s="135"/>
      <c r="E16" s="135"/>
      <c r="F16" s="135"/>
      <c r="G16" s="135"/>
      <c r="H16" s="135"/>
      <c r="I16" s="135"/>
      <c r="J16" s="135"/>
      <c r="K16" s="135"/>
      <c r="L16" s="135"/>
      <c r="M16" s="135"/>
      <c r="N16" s="135"/>
      <c r="O16" s="136"/>
    </row>
    <row r="17" spans="1:21" ht="15.75" thickBot="1" x14ac:dyDescent="0.3">
      <c r="A17" s="28"/>
      <c r="O17" s="29"/>
    </row>
    <row r="18" spans="1:21" ht="16.5" customHeight="1" x14ac:dyDescent="0.25">
      <c r="A18" s="28"/>
      <c r="B18" s="137" t="s">
        <v>25</v>
      </c>
      <c r="C18" s="39" t="s">
        <v>32</v>
      </c>
      <c r="D18" s="140" t="s">
        <v>81</v>
      </c>
      <c r="E18" s="145" t="s">
        <v>73</v>
      </c>
      <c r="F18" s="151"/>
      <c r="G18" s="148"/>
      <c r="H18" s="140" t="s">
        <v>80</v>
      </c>
      <c r="I18" s="140" t="s">
        <v>55</v>
      </c>
      <c r="J18" s="143" t="s">
        <v>47</v>
      </c>
      <c r="K18" s="145" t="s">
        <v>49</v>
      </c>
      <c r="L18" s="143" t="s">
        <v>27</v>
      </c>
      <c r="M18" s="143" t="s">
        <v>39</v>
      </c>
      <c r="N18" s="145" t="s">
        <v>28</v>
      </c>
      <c r="O18" s="148"/>
      <c r="S18" s="94" t="s">
        <v>75</v>
      </c>
      <c r="T18" s="94"/>
      <c r="U18" s="94"/>
    </row>
    <row r="19" spans="1:21" ht="14.25" customHeight="1" x14ac:dyDescent="0.25">
      <c r="A19" s="28"/>
      <c r="B19" s="138"/>
      <c r="C19" s="40" t="s">
        <v>26</v>
      </c>
      <c r="D19" s="141"/>
      <c r="E19" s="146"/>
      <c r="F19" s="152"/>
      <c r="G19" s="149"/>
      <c r="H19" s="141"/>
      <c r="I19" s="141"/>
      <c r="J19" s="144"/>
      <c r="K19" s="146"/>
      <c r="L19" s="144"/>
      <c r="M19" s="144"/>
      <c r="N19" s="146"/>
      <c r="O19" s="149"/>
      <c r="S19" t="s">
        <v>45</v>
      </c>
    </row>
    <row r="20" spans="1:21" ht="14.25" customHeight="1" thickBot="1" x14ac:dyDescent="0.3">
      <c r="A20" s="28"/>
      <c r="B20" s="139"/>
      <c r="C20" s="93" t="s">
        <v>31</v>
      </c>
      <c r="D20" s="93" t="s">
        <v>48</v>
      </c>
      <c r="E20" s="73" t="s">
        <v>79</v>
      </c>
      <c r="F20" s="74"/>
      <c r="G20" s="75" t="s">
        <v>74</v>
      </c>
      <c r="H20" s="142"/>
      <c r="I20" s="142"/>
      <c r="J20" s="93" t="s">
        <v>48</v>
      </c>
      <c r="K20" s="147"/>
      <c r="L20" s="93" t="s">
        <v>29</v>
      </c>
      <c r="M20" s="93" t="s">
        <v>29</v>
      </c>
      <c r="N20" s="147"/>
      <c r="O20" s="150"/>
      <c r="S20" t="s">
        <v>76</v>
      </c>
    </row>
    <row r="21" spans="1:21" x14ac:dyDescent="0.25">
      <c r="A21" s="28"/>
      <c r="B21" s="89">
        <v>1</v>
      </c>
      <c r="C21" s="90"/>
      <c r="D21" s="91"/>
      <c r="E21" s="153"/>
      <c r="F21" s="153"/>
      <c r="G21" s="90">
        <v>0</v>
      </c>
      <c r="H21" s="90">
        <f>(E21+G21)/2</f>
        <v>0</v>
      </c>
      <c r="I21" s="90">
        <f>IF(N21="AXIAL", ((4*H21*D21)/3.1416), IF(OR(N21="BLOQUE",N21="IRREGULAR"),((4*H21*D21)/3.1416),IF(N21="DIAMETRAL", (D21*D21), "")))</f>
        <v>0</v>
      </c>
      <c r="J21" s="90">
        <f>IF(N21="AXIAL", SQRT(I21), IF(OR(N21="BLOQUE",N21="IRREGULAR"), SQRT(I21),IF(N21="DIAMETRAL", D21, "")))</f>
        <v>0</v>
      </c>
      <c r="K21" s="90">
        <f>IF(OR(D21&lt;49, D21&gt;51), (J21/50)^0.45, SQRT(J21/50))</f>
        <v>0</v>
      </c>
      <c r="L21" s="92" t="e">
        <f>IF(N21="DIAMETRAL", (C21*1000)/I21, C21*1000/I21)</f>
        <v>#DIV/0!</v>
      </c>
      <c r="M21" s="90" t="e">
        <f>L21*K21</f>
        <v>#DIV/0!</v>
      </c>
      <c r="N21" s="153" t="s">
        <v>45</v>
      </c>
      <c r="O21" s="154"/>
      <c r="R21" s="49"/>
      <c r="S21" t="s">
        <v>77</v>
      </c>
    </row>
    <row r="22" spans="1:21" x14ac:dyDescent="0.25">
      <c r="A22" s="28"/>
      <c r="B22" s="34">
        <v>2</v>
      </c>
      <c r="C22" s="37"/>
      <c r="D22" s="27"/>
      <c r="E22" s="155"/>
      <c r="F22" s="155"/>
      <c r="G22" s="37">
        <v>0</v>
      </c>
      <c r="H22" s="37">
        <f>(E22+G22)/2</f>
        <v>0</v>
      </c>
      <c r="I22" s="37">
        <f t="shared" ref="I22:I26" si="0">IF(N22="AXIAL", ((4*H22*D22)/3.1416), IF(OR(N22="BLOQUE",N22="IRREGULAR"),((4*H22*D22)/3.1416),IF(N22="DIAMETRAL", (D22*D22), "")))</f>
        <v>0</v>
      </c>
      <c r="J22" s="37">
        <f t="shared" ref="J22:J23" si="1">IF(N22="AXIAL", SQRT(I22), IF(OR(N22="BLOQUE",N22="IRREGULAR"), SQRT(I22),IF(N22="DIAMETRAL", D22, "")))</f>
        <v>0</v>
      </c>
      <c r="K22" s="37">
        <f t="shared" ref="K22:K23" si="2">IF(OR(D22&lt;49, D22&gt;51), (J22/50)^0.45, SQRT(J22/50))</f>
        <v>0</v>
      </c>
      <c r="L22" s="37" t="e">
        <f>IF(N22="DIAMETRAL", (C22*1000)/I22, C22*1000/I22)</f>
        <v>#DIV/0!</v>
      </c>
      <c r="M22" s="37" t="e">
        <f t="shared" ref="M22:M23" si="3">L22*K22</f>
        <v>#DIV/0!</v>
      </c>
      <c r="N22" s="155" t="s">
        <v>45</v>
      </c>
      <c r="O22" s="156"/>
      <c r="R22" s="49"/>
      <c r="S22" t="s">
        <v>78</v>
      </c>
    </row>
    <row r="23" spans="1:21" x14ac:dyDescent="0.25">
      <c r="A23" s="28"/>
      <c r="B23" s="34">
        <v>3</v>
      </c>
      <c r="C23" s="37"/>
      <c r="D23" s="27"/>
      <c r="E23" s="155"/>
      <c r="F23" s="155"/>
      <c r="G23" s="37">
        <v>0</v>
      </c>
      <c r="H23" s="37">
        <f t="shared" ref="H23:H26" si="4">(E23+G23)/2</f>
        <v>0</v>
      </c>
      <c r="I23" s="37">
        <f t="shared" si="0"/>
        <v>0</v>
      </c>
      <c r="J23" s="37">
        <f t="shared" si="1"/>
        <v>0</v>
      </c>
      <c r="K23" s="37">
        <f t="shared" si="2"/>
        <v>0</v>
      </c>
      <c r="L23" s="37" t="e">
        <f t="shared" ref="L23:L26" si="5">IF(N23="DIAMETRAL", (C23*1000)/I23, C23*1000/I23)</f>
        <v>#DIV/0!</v>
      </c>
      <c r="M23" s="37" t="e">
        <f t="shared" si="3"/>
        <v>#DIV/0!</v>
      </c>
      <c r="N23" s="155" t="s">
        <v>45</v>
      </c>
      <c r="O23" s="156"/>
      <c r="R23" s="49"/>
    </row>
    <row r="24" spans="1:21" x14ac:dyDescent="0.25">
      <c r="A24" s="28"/>
      <c r="B24" s="34">
        <v>4</v>
      </c>
      <c r="C24" s="37"/>
      <c r="D24" s="27"/>
      <c r="E24" s="155"/>
      <c r="F24" s="155"/>
      <c r="G24" s="37">
        <v>0</v>
      </c>
      <c r="H24" s="37">
        <f t="shared" si="4"/>
        <v>0</v>
      </c>
      <c r="I24" s="37">
        <f t="shared" si="0"/>
        <v>0</v>
      </c>
      <c r="J24" s="37">
        <f>IF(N24="AXIAL", SQRT(I24), IF(OR(N24="BLOQUE",N24="IRREGULAR"), SQRT(I24),IF(N24="DIAMETRAL", D24, "")))</f>
        <v>0</v>
      </c>
      <c r="K24" s="37">
        <f>IF(OR(D24&lt;49, D24&gt;51), (J24/50)^0.45, SQRT(J24/50))</f>
        <v>0</v>
      </c>
      <c r="L24" s="37" t="e">
        <f t="shared" si="5"/>
        <v>#DIV/0!</v>
      </c>
      <c r="M24" s="37" t="e">
        <f>L24*K24</f>
        <v>#DIV/0!</v>
      </c>
      <c r="N24" s="155" t="s">
        <v>45</v>
      </c>
      <c r="O24" s="156"/>
      <c r="R24" s="49"/>
    </row>
    <row r="25" spans="1:21" x14ac:dyDescent="0.25">
      <c r="A25" s="28"/>
      <c r="B25" s="34">
        <v>5</v>
      </c>
      <c r="C25" s="37"/>
      <c r="D25" s="27"/>
      <c r="E25" s="155"/>
      <c r="F25" s="155"/>
      <c r="G25" s="37">
        <v>0</v>
      </c>
      <c r="H25" s="37">
        <f t="shared" si="4"/>
        <v>0</v>
      </c>
      <c r="I25" s="37">
        <f t="shared" si="0"/>
        <v>0</v>
      </c>
      <c r="J25" s="37">
        <f t="shared" ref="J25:J26" si="6">IF(N25="AXIAL", SQRT(I25), IF(OR(N25="BLOQUE",N25="IRREGULAR"), SQRT(I25),IF(N25="DIAMETRAL", D25, "")))</f>
        <v>0</v>
      </c>
      <c r="K25" s="37">
        <f t="shared" ref="K25:K26" si="7">IF(OR(D25&lt;49, D25&gt;51), (J25/50)^0.45, SQRT(J25/50))</f>
        <v>0</v>
      </c>
      <c r="L25" s="37" t="e">
        <f t="shared" si="5"/>
        <v>#DIV/0!</v>
      </c>
      <c r="M25" s="37" t="e">
        <f t="shared" ref="M25" si="8">L25*K25</f>
        <v>#DIV/0!</v>
      </c>
      <c r="N25" s="155" t="s">
        <v>45</v>
      </c>
      <c r="O25" s="156"/>
      <c r="R25" s="49"/>
    </row>
    <row r="26" spans="1:21" x14ac:dyDescent="0.25">
      <c r="A26" s="28"/>
      <c r="B26" s="34">
        <v>6</v>
      </c>
      <c r="C26" s="37"/>
      <c r="D26" s="27"/>
      <c r="E26" s="155"/>
      <c r="F26" s="155"/>
      <c r="G26" s="37">
        <v>0</v>
      </c>
      <c r="H26" s="37">
        <f t="shared" si="4"/>
        <v>0</v>
      </c>
      <c r="I26" s="37">
        <f t="shared" si="0"/>
        <v>0</v>
      </c>
      <c r="J26" s="37">
        <f t="shared" si="6"/>
        <v>0</v>
      </c>
      <c r="K26" s="37">
        <f t="shared" si="7"/>
        <v>0</v>
      </c>
      <c r="L26" s="37" t="e">
        <f t="shared" si="5"/>
        <v>#DIV/0!</v>
      </c>
      <c r="M26" s="37" t="e">
        <f>L26*K26</f>
        <v>#DIV/0!</v>
      </c>
      <c r="N26" s="155" t="s">
        <v>45</v>
      </c>
      <c r="O26" s="156"/>
      <c r="R26" s="49"/>
    </row>
    <row r="27" spans="1:21" x14ac:dyDescent="0.25">
      <c r="A27" s="28"/>
      <c r="B27" s="34">
        <v>7</v>
      </c>
      <c r="C27" s="37" t="s">
        <v>22</v>
      </c>
      <c r="D27" s="27" t="s">
        <v>22</v>
      </c>
      <c r="E27" s="155" t="s">
        <v>22</v>
      </c>
      <c r="F27" s="155"/>
      <c r="G27" s="37" t="s">
        <v>22</v>
      </c>
      <c r="H27" s="37" t="s">
        <v>22</v>
      </c>
      <c r="I27" s="37" t="s">
        <v>22</v>
      </c>
      <c r="J27" s="37" t="s">
        <v>22</v>
      </c>
      <c r="K27" s="37" t="s">
        <v>22</v>
      </c>
      <c r="L27" s="37" t="s">
        <v>22</v>
      </c>
      <c r="M27" s="37" t="s">
        <v>22</v>
      </c>
      <c r="N27" s="155" t="s">
        <v>22</v>
      </c>
      <c r="O27" s="156"/>
      <c r="R27" s="49"/>
    </row>
    <row r="28" spans="1:21" x14ac:dyDescent="0.25">
      <c r="A28" s="28"/>
      <c r="B28" s="76">
        <v>8</v>
      </c>
      <c r="C28" s="37" t="s">
        <v>22</v>
      </c>
      <c r="D28" s="27" t="s">
        <v>22</v>
      </c>
      <c r="E28" s="155" t="s">
        <v>22</v>
      </c>
      <c r="F28" s="155"/>
      <c r="G28" s="37" t="s">
        <v>22</v>
      </c>
      <c r="H28" s="37" t="s">
        <v>22</v>
      </c>
      <c r="I28" s="37" t="s">
        <v>22</v>
      </c>
      <c r="J28" s="37" t="s">
        <v>22</v>
      </c>
      <c r="K28" s="37" t="s">
        <v>22</v>
      </c>
      <c r="L28" s="37" t="s">
        <v>22</v>
      </c>
      <c r="M28" s="37" t="s">
        <v>22</v>
      </c>
      <c r="N28" s="155" t="s">
        <v>22</v>
      </c>
      <c r="O28" s="156"/>
      <c r="R28" s="49"/>
    </row>
    <row r="29" spans="1:21" x14ac:dyDescent="0.25">
      <c r="A29" s="28"/>
      <c r="B29" s="79">
        <v>9</v>
      </c>
      <c r="C29" s="37" t="s">
        <v>22</v>
      </c>
      <c r="D29" s="27" t="s">
        <v>22</v>
      </c>
      <c r="E29" s="155" t="s">
        <v>22</v>
      </c>
      <c r="F29" s="155"/>
      <c r="G29" s="37" t="s">
        <v>22</v>
      </c>
      <c r="H29" s="37" t="s">
        <v>22</v>
      </c>
      <c r="I29" s="37" t="s">
        <v>22</v>
      </c>
      <c r="J29" s="37" t="s">
        <v>22</v>
      </c>
      <c r="K29" s="37" t="s">
        <v>22</v>
      </c>
      <c r="L29" s="37" t="s">
        <v>22</v>
      </c>
      <c r="M29" s="37" t="s">
        <v>22</v>
      </c>
      <c r="N29" s="155" t="s">
        <v>22</v>
      </c>
      <c r="O29" s="156"/>
      <c r="R29" s="49"/>
    </row>
    <row r="30" spans="1:21" ht="15.75" thickBot="1" x14ac:dyDescent="0.3">
      <c r="A30" s="28"/>
      <c r="B30" s="35">
        <v>10</v>
      </c>
      <c r="C30" s="77" t="s">
        <v>22</v>
      </c>
      <c r="D30" s="78" t="s">
        <v>22</v>
      </c>
      <c r="E30" s="157" t="s">
        <v>22</v>
      </c>
      <c r="F30" s="157"/>
      <c r="G30" s="77" t="s">
        <v>22</v>
      </c>
      <c r="H30" s="77" t="s">
        <v>22</v>
      </c>
      <c r="I30" s="77" t="s">
        <v>22</v>
      </c>
      <c r="J30" s="77" t="s">
        <v>22</v>
      </c>
      <c r="K30" s="77" t="s">
        <v>22</v>
      </c>
      <c r="L30" s="77" t="s">
        <v>22</v>
      </c>
      <c r="M30" s="77" t="s">
        <v>22</v>
      </c>
      <c r="N30" s="157" t="s">
        <v>22</v>
      </c>
      <c r="O30" s="158"/>
      <c r="R30" s="49"/>
    </row>
    <row r="31" spans="1:21" ht="6" customHeight="1" thickBot="1" x14ac:dyDescent="0.3">
      <c r="A31" s="28"/>
      <c r="O31" s="29"/>
    </row>
    <row r="32" spans="1:21" ht="16.5" thickBot="1" x14ac:dyDescent="0.3">
      <c r="A32" s="28"/>
      <c r="B32" s="159" t="s">
        <v>30</v>
      </c>
      <c r="C32" s="160"/>
      <c r="D32" s="160"/>
      <c r="E32" s="161"/>
      <c r="F32" s="71"/>
      <c r="O32" s="29"/>
    </row>
    <row r="33" spans="1:42" ht="19.5" customHeight="1" thickBot="1" x14ac:dyDescent="0.4">
      <c r="A33" s="28"/>
      <c r="B33" s="162" t="s">
        <v>50</v>
      </c>
      <c r="C33" s="163"/>
      <c r="D33" s="50" t="s">
        <v>38</v>
      </c>
      <c r="E33" s="51" t="e">
        <f>AVERAGE(M21:M30)</f>
        <v>#DIV/0!</v>
      </c>
      <c r="J33" s="164" t="s">
        <v>59</v>
      </c>
      <c r="K33" s="164"/>
      <c r="L33" s="164" t="s">
        <v>60</v>
      </c>
      <c r="M33" s="164"/>
      <c r="N33" s="164"/>
      <c r="O33" s="29"/>
    </row>
    <row r="34" spans="1:42" ht="19.5" customHeight="1" thickBot="1" x14ac:dyDescent="0.3">
      <c r="A34" s="28"/>
      <c r="B34" s="165"/>
      <c r="C34" s="165"/>
      <c r="J34" s="72"/>
      <c r="K34" s="64"/>
      <c r="L34" s="72"/>
      <c r="M34" s="64"/>
      <c r="N34" s="72"/>
      <c r="O34" s="29"/>
    </row>
    <row r="35" spans="1:42" ht="19.5" customHeight="1" thickBot="1" x14ac:dyDescent="0.3">
      <c r="A35" s="28"/>
      <c r="B35" s="134" t="s">
        <v>37</v>
      </c>
      <c r="C35" s="135"/>
      <c r="D35" s="135"/>
      <c r="E35" s="136"/>
      <c r="J35" s="72"/>
      <c r="K35" s="64"/>
      <c r="L35" s="72"/>
      <c r="M35" s="64"/>
      <c r="N35" s="72"/>
      <c r="O35" s="29"/>
    </row>
    <row r="36" spans="1:42" ht="17.25" customHeight="1" x14ac:dyDescent="0.25">
      <c r="A36" s="28"/>
      <c r="B36" s="168" t="s">
        <v>34</v>
      </c>
      <c r="C36" s="169"/>
      <c r="D36" s="170"/>
      <c r="E36" s="41"/>
      <c r="J36" s="72"/>
      <c r="K36" s="64"/>
      <c r="L36" s="72"/>
      <c r="M36" s="72"/>
      <c r="N36" s="72"/>
      <c r="O36" s="29"/>
    </row>
    <row r="37" spans="1:42" ht="17.25" customHeight="1" x14ac:dyDescent="0.25">
      <c r="A37" s="28"/>
      <c r="B37" s="171" t="s">
        <v>51</v>
      </c>
      <c r="C37" s="172"/>
      <c r="D37" s="173"/>
      <c r="E37" s="41"/>
      <c r="J37" s="65"/>
      <c r="K37" s="65"/>
      <c r="L37" s="72"/>
      <c r="M37" s="64"/>
      <c r="N37" s="72"/>
      <c r="O37" s="29"/>
    </row>
    <row r="38" spans="1:42" ht="17.25" customHeight="1" x14ac:dyDescent="0.25">
      <c r="A38" s="28"/>
      <c r="B38" s="171" t="s">
        <v>36</v>
      </c>
      <c r="C38" s="172"/>
      <c r="D38" s="173"/>
      <c r="E38" s="41"/>
      <c r="O38" s="29"/>
    </row>
    <row r="39" spans="1:42" ht="17.25" customHeight="1" x14ac:dyDescent="0.25">
      <c r="A39" s="28"/>
      <c r="B39" s="171" t="s">
        <v>35</v>
      </c>
      <c r="C39" s="172"/>
      <c r="D39" s="173"/>
      <c r="E39" s="41"/>
      <c r="J39" s="174" t="s">
        <v>42</v>
      </c>
      <c r="K39" s="174"/>
      <c r="L39" s="174" t="s">
        <v>72</v>
      </c>
      <c r="M39" s="174"/>
      <c r="N39" s="174"/>
      <c r="O39" s="29"/>
      <c r="V39" s="64"/>
    </row>
    <row r="40" spans="1:42" ht="17.25" customHeight="1" thickBot="1" x14ac:dyDescent="0.3">
      <c r="A40" s="28"/>
      <c r="B40" s="175" t="s">
        <v>40</v>
      </c>
      <c r="C40" s="176"/>
      <c r="D40" s="177"/>
      <c r="E40" s="67" t="e">
        <f>((E37-E38)/(E38-E39))*100</f>
        <v>#DIV/0!</v>
      </c>
      <c r="J40" s="164" t="s">
        <v>43</v>
      </c>
      <c r="K40" s="164"/>
      <c r="L40" s="164" t="s">
        <v>62</v>
      </c>
      <c r="M40" s="164"/>
      <c r="N40" s="164"/>
      <c r="O40" s="29"/>
      <c r="V40" s="64"/>
    </row>
    <row r="41" spans="1:42" s="2" customFormat="1" ht="12.75" customHeight="1" x14ac:dyDescent="0.25">
      <c r="A41" s="3"/>
      <c r="O41" s="7"/>
      <c r="V41" s="64"/>
      <c r="AN41" s="5">
        <v>16</v>
      </c>
      <c r="AO41" s="5">
        <v>-0.59999999999999898</v>
      </c>
      <c r="AP41" s="5">
        <v>-1</v>
      </c>
    </row>
    <row r="42" spans="1:42" s="2" customFormat="1" ht="15" customHeight="1" x14ac:dyDescent="0.25">
      <c r="A42" s="3"/>
      <c r="B42" s="68" t="s">
        <v>41</v>
      </c>
      <c r="C42" s="179"/>
      <c r="D42" s="179"/>
      <c r="E42" s="179"/>
      <c r="F42" s="179"/>
      <c r="G42" s="179"/>
      <c r="H42" s="179"/>
      <c r="I42" s="179"/>
      <c r="J42" s="179"/>
      <c r="K42" s="179"/>
      <c r="L42" s="179"/>
      <c r="M42" s="179"/>
      <c r="N42" s="179"/>
      <c r="O42" s="7"/>
      <c r="V42" s="64"/>
      <c r="AN42" s="5">
        <v>17</v>
      </c>
      <c r="AO42" s="5">
        <v>-0.499999999999999</v>
      </c>
      <c r="AP42" s="5">
        <v>-0.8</v>
      </c>
    </row>
    <row r="43" spans="1:42" s="2" customFormat="1" x14ac:dyDescent="0.25">
      <c r="A43" s="3"/>
      <c r="C43" s="180"/>
      <c r="D43" s="180"/>
      <c r="E43" s="180"/>
      <c r="F43" s="180"/>
      <c r="G43" s="180"/>
      <c r="H43" s="180"/>
      <c r="I43" s="180"/>
      <c r="J43" s="69"/>
      <c r="N43" s="69"/>
      <c r="O43" s="7"/>
      <c r="V43" s="65"/>
      <c r="AN43" s="5">
        <v>18</v>
      </c>
      <c r="AO43" s="5">
        <v>-0.3</v>
      </c>
      <c r="AP43" s="5">
        <v>-0.5</v>
      </c>
    </row>
    <row r="44" spans="1:42" s="2" customFormat="1" x14ac:dyDescent="0.25">
      <c r="A44" s="3"/>
      <c r="C44" s="44"/>
      <c r="D44" s="44"/>
      <c r="E44" s="44"/>
      <c r="F44" s="44"/>
      <c r="G44" s="44"/>
      <c r="H44" s="44"/>
      <c r="I44" s="44"/>
      <c r="O44" s="7"/>
      <c r="V44" s="65"/>
      <c r="AN44" s="5">
        <v>19</v>
      </c>
      <c r="AO44" s="5">
        <v>-0.2</v>
      </c>
      <c r="AP44" s="5">
        <v>-0.3</v>
      </c>
    </row>
    <row r="45" spans="1:42" s="2" customFormat="1" ht="15" customHeight="1" x14ac:dyDescent="0.25">
      <c r="A45" s="3"/>
      <c r="B45" s="70"/>
      <c r="C45" s="70"/>
      <c r="D45" s="70"/>
      <c r="E45" s="70"/>
      <c r="F45" s="70"/>
      <c r="G45" s="70"/>
      <c r="H45" s="70"/>
      <c r="O45" s="7"/>
      <c r="V45" s="64"/>
      <c r="AN45" s="5">
        <v>20</v>
      </c>
      <c r="AO45" s="5">
        <v>0</v>
      </c>
      <c r="AP45" s="5">
        <v>0</v>
      </c>
    </row>
    <row r="46" spans="1:42" s="2" customFormat="1" ht="15" customHeight="1" x14ac:dyDescent="0.25">
      <c r="A46" s="42"/>
      <c r="B46" s="178" t="s">
        <v>52</v>
      </c>
      <c r="C46" s="178"/>
      <c r="D46" s="178"/>
      <c r="E46" s="178"/>
      <c r="F46" s="178"/>
      <c r="G46" s="178"/>
      <c r="H46" s="178"/>
      <c r="I46" s="178"/>
      <c r="J46" s="178"/>
      <c r="K46" s="178"/>
      <c r="L46" s="178"/>
      <c r="M46" s="178"/>
      <c r="N46" s="178"/>
      <c r="O46" s="7"/>
      <c r="W46" s="2">
        <v>13</v>
      </c>
      <c r="X46" s="2">
        <v>14.2</v>
      </c>
      <c r="Y46" s="2">
        <f t="shared" ref="Y46:Y50" si="9">X46*10</f>
        <v>142</v>
      </c>
      <c r="AN46" s="5">
        <v>21</v>
      </c>
      <c r="AO46" s="5">
        <v>0.2</v>
      </c>
      <c r="AP46" s="5">
        <v>0.3</v>
      </c>
    </row>
    <row r="47" spans="1:42" s="2" customFormat="1" ht="12.75" customHeight="1" x14ac:dyDescent="0.25">
      <c r="A47" s="3"/>
      <c r="B47" s="178" t="s">
        <v>53</v>
      </c>
      <c r="C47" s="178"/>
      <c r="D47" s="178"/>
      <c r="E47" s="178"/>
      <c r="F47" s="178"/>
      <c r="G47" s="178"/>
      <c r="H47" s="178"/>
      <c r="I47" s="178"/>
      <c r="J47" s="178"/>
      <c r="K47" s="178"/>
      <c r="L47" s="178"/>
      <c r="M47" s="178"/>
      <c r="N47" s="178"/>
      <c r="O47" s="7"/>
      <c r="W47" s="2">
        <v>14</v>
      </c>
      <c r="X47" s="2">
        <v>14</v>
      </c>
      <c r="Y47" s="2">
        <f t="shared" si="9"/>
        <v>140</v>
      </c>
      <c r="AN47" s="5">
        <v>22</v>
      </c>
      <c r="AO47" s="5">
        <v>0.4</v>
      </c>
      <c r="AP47" s="5">
        <v>0.6</v>
      </c>
    </row>
    <row r="48" spans="1:42" s="2" customFormat="1" ht="14.25" customHeight="1" x14ac:dyDescent="0.25">
      <c r="A48" s="3"/>
      <c r="B48" s="178"/>
      <c r="C48" s="178"/>
      <c r="D48" s="178"/>
      <c r="E48" s="178"/>
      <c r="F48" s="178"/>
      <c r="G48" s="178"/>
      <c r="H48" s="178"/>
      <c r="I48" s="178"/>
      <c r="J48" s="178"/>
      <c r="K48" s="178"/>
      <c r="L48" s="178"/>
      <c r="M48" s="178"/>
      <c r="N48" s="178"/>
      <c r="O48" s="7"/>
      <c r="W48" s="2">
        <v>15</v>
      </c>
      <c r="X48" s="2">
        <v>13.8</v>
      </c>
      <c r="Y48" s="2">
        <f t="shared" si="9"/>
        <v>138</v>
      </c>
      <c r="AN48" s="5">
        <v>23</v>
      </c>
      <c r="AO48" s="5">
        <v>0.6</v>
      </c>
      <c r="AP48" s="5">
        <v>0.9</v>
      </c>
    </row>
    <row r="49" spans="1:42" s="2" customFormat="1" ht="15" customHeight="1" x14ac:dyDescent="0.25">
      <c r="A49" s="46"/>
      <c r="B49" s="178"/>
      <c r="C49" s="178"/>
      <c r="D49" s="178"/>
      <c r="E49" s="178"/>
      <c r="F49" s="178"/>
      <c r="G49" s="178"/>
      <c r="H49" s="178"/>
      <c r="I49" s="178"/>
      <c r="J49" s="178"/>
      <c r="K49" s="178"/>
      <c r="L49" s="178"/>
      <c r="M49" s="178"/>
      <c r="N49" s="178"/>
      <c r="O49" s="47"/>
      <c r="W49" s="2">
        <v>16</v>
      </c>
      <c r="X49" s="2">
        <v>13.7</v>
      </c>
      <c r="Y49" s="2">
        <f t="shared" si="9"/>
        <v>137</v>
      </c>
      <c r="AN49" s="5">
        <v>24</v>
      </c>
      <c r="AO49" s="5">
        <v>0.8</v>
      </c>
      <c r="AP49" s="5">
        <v>1.3</v>
      </c>
    </row>
    <row r="50" spans="1:42" s="2" customFormat="1" ht="24.75" customHeight="1" thickBot="1" x14ac:dyDescent="0.3">
      <c r="A50" s="48"/>
      <c r="B50" s="166" t="s">
        <v>44</v>
      </c>
      <c r="C50" s="166"/>
      <c r="D50" s="166"/>
      <c r="E50" s="166"/>
      <c r="F50" s="166"/>
      <c r="G50" s="166"/>
      <c r="H50" s="166"/>
      <c r="I50" s="166"/>
      <c r="J50" s="166"/>
      <c r="K50" s="166"/>
      <c r="L50" s="166"/>
      <c r="M50" s="166"/>
      <c r="N50" s="166"/>
      <c r="O50" s="167"/>
      <c r="W50" s="2">
        <v>17</v>
      </c>
      <c r="X50" s="2">
        <v>13.5</v>
      </c>
      <c r="Y50" s="2">
        <f t="shared" si="9"/>
        <v>135</v>
      </c>
      <c r="AN50" s="5">
        <v>25</v>
      </c>
      <c r="AO50" s="5">
        <v>1</v>
      </c>
      <c r="AP50" s="5">
        <v>1.7</v>
      </c>
    </row>
    <row r="56" spans="1:42" ht="15.75" thickBot="1" x14ac:dyDescent="0.3"/>
    <row r="57" spans="1:42" ht="15.75" thickBot="1" x14ac:dyDescent="0.3">
      <c r="B57" s="66">
        <v>19</v>
      </c>
    </row>
  </sheetData>
  <mergeCells count="87">
    <mergeCell ref="B50:O50"/>
    <mergeCell ref="B36:D36"/>
    <mergeCell ref="B37:D37"/>
    <mergeCell ref="B38:D38"/>
    <mergeCell ref="B39:D39"/>
    <mergeCell ref="J39:K39"/>
    <mergeCell ref="L39:N39"/>
    <mergeCell ref="B40:D40"/>
    <mergeCell ref="J40:K40"/>
    <mergeCell ref="L40:N40"/>
    <mergeCell ref="B46:N46"/>
    <mergeCell ref="B47:N49"/>
    <mergeCell ref="C42:N42"/>
    <mergeCell ref="C43:I43"/>
    <mergeCell ref="E27:F27"/>
    <mergeCell ref="N27:O27"/>
    <mergeCell ref="B35:E35"/>
    <mergeCell ref="E28:F28"/>
    <mergeCell ref="N28:O28"/>
    <mergeCell ref="E29:F29"/>
    <mergeCell ref="N29:O29"/>
    <mergeCell ref="E30:F30"/>
    <mergeCell ref="N30:O30"/>
    <mergeCell ref="B32:E32"/>
    <mergeCell ref="B33:C33"/>
    <mergeCell ref="J33:K33"/>
    <mergeCell ref="L33:N33"/>
    <mergeCell ref="B34:C34"/>
    <mergeCell ref="E24:F24"/>
    <mergeCell ref="N24:O24"/>
    <mergeCell ref="E25:F25"/>
    <mergeCell ref="N25:O25"/>
    <mergeCell ref="E26:F26"/>
    <mergeCell ref="N26:O26"/>
    <mergeCell ref="E21:F21"/>
    <mergeCell ref="N21:O21"/>
    <mergeCell ref="E22:F22"/>
    <mergeCell ref="N22:O22"/>
    <mergeCell ref="E23:F23"/>
    <mergeCell ref="N23:O23"/>
    <mergeCell ref="B13:C13"/>
    <mergeCell ref="D13:N13"/>
    <mergeCell ref="A16:O16"/>
    <mergeCell ref="B18:B20"/>
    <mergeCell ref="D18:D19"/>
    <mergeCell ref="H18:H20"/>
    <mergeCell ref="I18:I20"/>
    <mergeCell ref="J18:J19"/>
    <mergeCell ref="K18:K20"/>
    <mergeCell ref="L18:L19"/>
    <mergeCell ref="M18:M19"/>
    <mergeCell ref="N18:O20"/>
    <mergeCell ref="E18:G19"/>
    <mergeCell ref="L10:N10"/>
    <mergeCell ref="B11:M11"/>
    <mergeCell ref="B12:C12"/>
    <mergeCell ref="D12:E12"/>
    <mergeCell ref="F12:G12"/>
    <mergeCell ref="J12:K12"/>
    <mergeCell ref="B9:C9"/>
    <mergeCell ref="D9:I9"/>
    <mergeCell ref="J9:K9"/>
    <mergeCell ref="B10:C10"/>
    <mergeCell ref="D10:I10"/>
    <mergeCell ref="J10:K10"/>
    <mergeCell ref="J7:K7"/>
    <mergeCell ref="L7:N7"/>
    <mergeCell ref="B8:C8"/>
    <mergeCell ref="D8:I8"/>
    <mergeCell ref="J8:K8"/>
    <mergeCell ref="L8:N8"/>
    <mergeCell ref="S18:U18"/>
    <mergeCell ref="AH3:AK5"/>
    <mergeCell ref="M4:O4"/>
    <mergeCell ref="B5:M5"/>
    <mergeCell ref="B6:C6"/>
    <mergeCell ref="D6:I6"/>
    <mergeCell ref="J6:K6"/>
    <mergeCell ref="L6:N6"/>
    <mergeCell ref="A1:D4"/>
    <mergeCell ref="E1:L1"/>
    <mergeCell ref="M1:O1"/>
    <mergeCell ref="E2:L4"/>
    <mergeCell ref="M2:O2"/>
    <mergeCell ref="M3:O3"/>
    <mergeCell ref="B7:C7"/>
    <mergeCell ref="D7:I7"/>
  </mergeCells>
  <conditionalFormatting sqref="D6:D10 J6:N6 J7:L8 M9:N9 D12 F12 H12:N12 B6:B10 J9:K10 B12:B13">
    <cfRule type="containsBlanks" dxfId="5" priority="7">
      <formula>LEN(TRIM(B6))=0</formula>
    </cfRule>
  </conditionalFormatting>
  <conditionalFormatting sqref="D6:I10">
    <cfRule type="containsBlanks" dxfId="4" priority="5">
      <formula>LEN(TRIM(D6))=0</formula>
    </cfRule>
  </conditionalFormatting>
  <conditionalFormatting sqref="D13:N13">
    <cfRule type="containsBlanks" dxfId="3" priority="6">
      <formula>LEN(TRIM(D13))=0</formula>
    </cfRule>
  </conditionalFormatting>
  <conditionalFormatting sqref="E36:E39">
    <cfRule type="expression" dxfId="2" priority="1">
      <formula>ISBLANK(E36)</formula>
    </cfRule>
    <cfRule type="expression" dxfId="1" priority="2">
      <formula>SIBLANCO(E36)</formula>
    </cfRule>
    <cfRule type="expression" priority="3">
      <formula>SIBLANCO(E36)</formula>
    </cfRule>
  </conditionalFormatting>
  <conditionalFormatting sqref="L6:N8 M9:N9 D12:F12 I12 L12 N12 D13:N13">
    <cfRule type="containsBlanks" dxfId="0" priority="4">
      <formula>LEN(TRIM(D6))=0</formula>
    </cfRule>
  </conditionalFormatting>
  <dataValidations count="2">
    <dataValidation type="list" allowBlank="1" showInputMessage="1" showErrorMessage="1" sqref="D12:E12" xr:uid="{00000000-0002-0000-0300-000001000000}">
      <formula1>$AH$6:$AH$13</formula1>
    </dataValidation>
    <dataValidation type="list" allowBlank="1" showInputMessage="1" showErrorMessage="1" sqref="N21:O30" xr:uid="{4B58C6D4-9513-4AD0-AA1E-A6D5C97DDA4C}">
      <formula1>$S$19:$S$22</formula1>
    </dataValidation>
  </dataValidations>
  <printOptions horizontalCentered="1" verticalCentered="1"/>
  <pageMargins left="0.70866141732283472" right="0.70866141732283472" top="0.74803149606299213" bottom="0.74803149606299213" header="0.31496062992125984" footer="0.31496062992125984"/>
  <pageSetup scale="63" orientation="landscape" r:id="rId1"/>
  <colBreaks count="1" manualBreakCount="1">
    <brk id="16" max="13" man="1"/>
  </colBreaks>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2F7700-9518-416A-A028-199D2CDCDC36}">
  <dimension ref="C1:G9"/>
  <sheetViews>
    <sheetView topLeftCell="A3" workbookViewId="0">
      <selection activeCell="C4" sqref="C4"/>
    </sheetView>
  </sheetViews>
  <sheetFormatPr baseColWidth="10" defaultRowHeight="15" x14ac:dyDescent="0.25"/>
  <cols>
    <col min="3" max="3" width="12.5703125" customWidth="1"/>
    <col min="4" max="4" width="17.140625" customWidth="1"/>
    <col min="5" max="5" width="88.42578125" customWidth="1"/>
  </cols>
  <sheetData>
    <row r="1" spans="3:7" ht="15.75" thickBot="1" x14ac:dyDescent="0.3"/>
    <row r="2" spans="3:7" ht="15.75" thickBot="1" x14ac:dyDescent="0.3">
      <c r="C2" s="80"/>
      <c r="D2" s="80"/>
      <c r="E2" s="80"/>
      <c r="F2" s="80"/>
      <c r="G2" s="80"/>
    </row>
    <row r="3" spans="3:7" ht="15.75" thickBot="1" x14ac:dyDescent="0.3">
      <c r="C3" s="186" t="s">
        <v>82</v>
      </c>
      <c r="D3" s="187"/>
      <c r="E3" s="188"/>
      <c r="F3" s="80"/>
      <c r="G3" s="80"/>
    </row>
    <row r="4" spans="3:7" ht="30.75" thickBot="1" x14ac:dyDescent="0.3">
      <c r="C4" s="87" t="s">
        <v>83</v>
      </c>
      <c r="D4" s="88" t="s">
        <v>84</v>
      </c>
      <c r="E4" s="88" t="s">
        <v>85</v>
      </c>
      <c r="F4" s="80"/>
      <c r="G4" s="80"/>
    </row>
    <row r="5" spans="3:7" ht="26.25" customHeight="1" thickBot="1" x14ac:dyDescent="0.3">
      <c r="C5" s="84" t="s">
        <v>90</v>
      </c>
      <c r="D5" s="85">
        <v>44886</v>
      </c>
      <c r="E5" s="82" t="s">
        <v>86</v>
      </c>
      <c r="F5" s="80"/>
      <c r="G5" s="80"/>
    </row>
    <row r="6" spans="3:7" ht="30" customHeight="1" thickBot="1" x14ac:dyDescent="0.3">
      <c r="C6" s="84" t="s">
        <v>91</v>
      </c>
      <c r="D6" s="85">
        <v>45260</v>
      </c>
      <c r="E6" s="82" t="s">
        <v>87</v>
      </c>
      <c r="F6" s="80"/>
      <c r="G6" s="80"/>
    </row>
    <row r="7" spans="3:7" ht="104.25" customHeight="1" thickBot="1" x14ac:dyDescent="0.3">
      <c r="C7" s="84" t="s">
        <v>92</v>
      </c>
      <c r="D7" s="85">
        <v>46031</v>
      </c>
      <c r="E7" s="86" t="s">
        <v>93</v>
      </c>
      <c r="F7" s="80"/>
      <c r="G7" s="80"/>
    </row>
    <row r="8" spans="3:7" ht="15.75" thickBot="1" x14ac:dyDescent="0.3">
      <c r="C8" s="83"/>
      <c r="D8" s="81"/>
      <c r="E8" s="82"/>
      <c r="F8" s="80"/>
      <c r="G8" s="80"/>
    </row>
    <row r="9" spans="3:7" ht="15.75" thickBot="1" x14ac:dyDescent="0.3">
      <c r="C9" s="80"/>
      <c r="D9" s="80"/>
      <c r="E9" s="80"/>
      <c r="F9" s="80"/>
      <c r="G9" s="80"/>
    </row>
  </sheetData>
  <mergeCells count="1">
    <mergeCell ref="C3:E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MUESTRA</vt:lpstr>
      <vt:lpstr>FORMATO</vt:lpstr>
      <vt:lpstr>CONTROL DE CAMBIOS</vt:lpstr>
      <vt:lpstr>FORMATO!Área_de_impresión</vt:lpstr>
      <vt:lpstr>MUESTRA!Área_de_impresión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DCM-005</dc:creator>
  <cp:lastModifiedBy>DCM-03</cp:lastModifiedBy>
  <cp:lastPrinted>2025-11-19T22:10:49Z</cp:lastPrinted>
  <dcterms:created xsi:type="dcterms:W3CDTF">2019-08-12T15:15:58Z</dcterms:created>
  <dcterms:modified xsi:type="dcterms:W3CDTF">2026-09-22T14:51:02Z</dcterms:modified>
</cp:coreProperties>
</file>