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2B9191C5-19D1-452D-97A9-2983A747ACD7}" xr6:coauthVersionLast="47" xr6:coauthVersionMax="47" xr10:uidLastSave="{00000000-0000-0000-0000-000000000000}"/>
  <bookViews>
    <workbookView xWindow="-120" yWindow="-120" windowWidth="29040" windowHeight="15720" xr2:uid="{00000000-000D-0000-FFFF-FFFF00000000}"/>
  </bookViews>
  <sheets>
    <sheet name="FORMATO" sheetId="2" r:id="rId1"/>
    <sheet name="CONTROL DE CAMBIOS" sheetId="3" r:id="rId2"/>
  </sheets>
  <externalReferences>
    <externalReference r:id="rId3"/>
  </externalReferences>
  <definedNames>
    <definedName name="__123Graph_AYO">#REF!</definedName>
    <definedName name="__123Graph_XYO">#REF!</definedName>
    <definedName name="_Fill">#REF!</definedName>
    <definedName name="_Regression_Out">[1]L!#REF!</definedName>
    <definedName name="_Regression_X">#REF!</definedName>
    <definedName name="_Regression_Y">#REF!</definedName>
    <definedName name="_xlnm.Print_Area" localSheetId="0">FORMATO!$A$1:$O$50</definedName>
    <definedName name="GFDGSD">[1]L!#REF!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OfeYhK6pZ7Bkl4rE7pAzW65pfjxrZiIPtVEdCqEZFgI="/>
    </ext>
  </extLst>
</workbook>
</file>

<file path=xl/calcChain.xml><?xml version="1.0" encoding="utf-8"?>
<calcChain xmlns="http://schemas.openxmlformats.org/spreadsheetml/2006/main">
  <c r="Y50" i="2" l="1"/>
  <c r="Y49" i="2"/>
  <c r="Y48" i="2"/>
  <c r="Y47" i="2"/>
  <c r="Y46" i="2"/>
  <c r="E40" i="2"/>
  <c r="J30" i="2"/>
  <c r="J29" i="2"/>
  <c r="J28" i="2"/>
  <c r="J27" i="2"/>
  <c r="L26" i="2"/>
  <c r="J26" i="2"/>
  <c r="K26" i="2" s="1"/>
  <c r="M26" i="2" s="1"/>
  <c r="I26" i="2"/>
  <c r="H26" i="2"/>
  <c r="L25" i="2"/>
  <c r="J25" i="2"/>
  <c r="K25" i="2" s="1"/>
  <c r="I25" i="2"/>
  <c r="H25" i="2"/>
  <c r="L24" i="2"/>
  <c r="J24" i="2"/>
  <c r="K24" i="2" s="1"/>
  <c r="I24" i="2"/>
  <c r="H24" i="2"/>
  <c r="L23" i="2"/>
  <c r="J23" i="2"/>
  <c r="K23" i="2" s="1"/>
  <c r="I23" i="2"/>
  <c r="H23" i="2"/>
  <c r="L22" i="2"/>
  <c r="J22" i="2"/>
  <c r="K22" i="2" s="1"/>
  <c r="I22" i="2"/>
  <c r="H22" i="2"/>
  <c r="L21" i="2"/>
  <c r="J21" i="2"/>
  <c r="K21" i="2" s="1"/>
  <c r="I21" i="2"/>
  <c r="H21" i="2"/>
  <c r="L10" i="2"/>
  <c r="M21" i="2" l="1"/>
  <c r="E33" i="2" s="1"/>
  <c r="M22" i="2"/>
  <c r="M23" i="2"/>
  <c r="M24" i="2"/>
  <c r="M2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9" authorId="0" shapeId="0" xr:uid="{00000000-0006-0000-0100-000001000000}">
      <text>
        <r>
          <rPr>
            <sz val="11"/>
            <color theme="1"/>
            <rFont val="Calibri"/>
            <scheme val="minor"/>
          </rPr>
          <t>======
ID#AAACHxvfcKo
user    (2026-10-01 15:45:08)
CONSECUTIVO DE INGRESO</t>
        </r>
      </text>
    </comment>
    <comment ref="N9" authorId="0" shapeId="0" xr:uid="{00000000-0006-0000-0100-000002000000}">
      <text>
        <r>
          <rPr>
            <sz val="11"/>
            <color theme="1"/>
            <rFont val="Calibri"/>
            <scheme val="minor"/>
          </rPr>
          <t>======
ID#AAACHxvfcKc
user    (2026-10-01 15:45:08)
DOS ÚLTIMOS DÍGITOS DEL AÑO DE INGRESO</t>
        </r>
      </text>
    </comment>
  </commentList>
  <extLst>
    <ext xmlns:r="http://schemas.openxmlformats.org/officeDocument/2006/relationships" uri="GoogleSheetsCustomDataVersion2">
      <go:sheetsCustomData xmlns:go="http://customooxmlschemas.google.com/" r:id="rId1" roundtripDataSignature="AMtx7mjOYywPk1EVQeq4rYpgiX81aPkQWg=="/>
    </ext>
  </extLst>
</comments>
</file>

<file path=xl/sharedStrings.xml><?xml version="1.0" encoding="utf-8"?>
<sst xmlns="http://schemas.openxmlformats.org/spreadsheetml/2006/main" count="127" uniqueCount="79">
  <si>
    <t>INFORME DE RESULTADOS</t>
  </si>
  <si>
    <t>CÓDIGO: GDA-FLC-018</t>
  </si>
  <si>
    <t>PRUEBA ESTÁNDAR PARA LA DETERMINACIÓN DEL ÍNDICE DE FUERZA DE CARGA PUNTUAL DE LA ROCA ASTM D 5731</t>
  </si>
  <si>
    <t>VERSIÓN :02</t>
  </si>
  <si>
    <t>PÁGINA 1 DE 1</t>
  </si>
  <si>
    <t xml:space="preserve">tipo de perforación </t>
  </si>
  <si>
    <t>FECHA: 09-01-2026</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</si>
  <si>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</si>
  <si>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</si>
  <si>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</si>
  <si>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</si>
  <si>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</si>
  <si>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</si>
  <si>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</si>
  <si>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</si>
  <si>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</si>
  <si>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</si>
  <si>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</si>
  <si>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</si>
  <si>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</si>
  <si>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</si>
  <si>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</si>
  <si>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</si>
  <si>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</si>
  <si>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</si>
  <si>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</si>
  <si>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</si>
  <si>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</si>
  <si>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 xml:space="preserve">CARGA PUNTUAL </t>
  </si>
  <si>
    <t>ENSAYO No.</t>
  </si>
  <si>
    <t>CARGA MÁXIMA</t>
  </si>
  <si>
    <t>ALTURA SECCIÓN D</t>
  </si>
  <si>
    <t>L  Ó W (mm)</t>
  </si>
  <si>
    <t>LONGITUD L  Ó PROMEDIO SECCIÓN W (mm)</t>
  </si>
  <si>
    <t>DIÁMETRO EQUIVALENTE De² (mm)</t>
  </si>
  <si>
    <t>De</t>
  </si>
  <si>
    <t xml:space="preserve">FACTOR DE CORRECCIÓN </t>
  </si>
  <si>
    <t>Is</t>
  </si>
  <si>
    <r>
      <rPr>
        <b/>
        <sz val="11"/>
        <color rgb="FF002060"/>
        <rFont val="Calibri"/>
      </rPr>
      <t xml:space="preserve">Is </t>
    </r>
    <r>
      <rPr>
        <b/>
        <vertAlign val="subscript"/>
        <sz val="11"/>
        <color rgb="FF002060"/>
        <rFont val="Calibri"/>
      </rPr>
      <t>50</t>
    </r>
  </si>
  <si>
    <t xml:space="preserve">SENTIDO DE FALLA </t>
  </si>
  <si>
    <t>TIPO DE FALLA</t>
  </si>
  <si>
    <t>P</t>
  </si>
  <si>
    <t>DIAMETRAL</t>
  </si>
  <si>
    <t>(kN)</t>
  </si>
  <si>
    <t>(mm)</t>
  </si>
  <si>
    <t>L1 Ó W1</t>
  </si>
  <si>
    <t>W2</t>
  </si>
  <si>
    <t>MPa</t>
  </si>
  <si>
    <t>AXIAL</t>
  </si>
  <si>
    <t>BLOQUE</t>
  </si>
  <si>
    <t>IRREGULAR</t>
  </si>
  <si>
    <t xml:space="preserve">RESULTADOS DEL ENSAYO </t>
  </si>
  <si>
    <t>(MPa)</t>
  </si>
  <si>
    <t>APROBÓ</t>
  </si>
  <si>
    <t>REVISÓ</t>
  </si>
  <si>
    <r>
      <rPr>
        <sz val="11"/>
        <color theme="1"/>
        <rFont val="Calibri"/>
      </rPr>
      <t xml:space="preserve">I </t>
    </r>
    <r>
      <rPr>
        <vertAlign val="subscript"/>
        <sz val="11"/>
        <color theme="1"/>
        <rFont val="Calibri"/>
      </rPr>
      <t>50</t>
    </r>
    <r>
      <rPr>
        <sz val="11"/>
        <color theme="1"/>
        <rFont val="Calibri"/>
      </rPr>
      <t xml:space="preserve"> PROMEDIO</t>
    </r>
  </si>
  <si>
    <t>DATOS DE HUMEDAD</t>
  </si>
  <si>
    <t>RECIPIENTE</t>
  </si>
  <si>
    <t>MASA MUESTRA HÚMEDA + RECIPIENTE (g)</t>
  </si>
  <si>
    <t>MASA MUESTRA SECA + RECIPIENTE (g)</t>
  </si>
  <si>
    <t>RECIPIENTE (g)</t>
  </si>
  <si>
    <t>Ing. SERGIO DURAN NÚÑEZ</t>
  </si>
  <si>
    <t>CONTENIDO DE HUMEDAD  w%</t>
  </si>
  <si>
    <t>Director Técnico</t>
  </si>
  <si>
    <t xml:space="preserve">Jefe laboratorio </t>
  </si>
  <si>
    <t>OBSERVACIONES:</t>
  </si>
  <si>
    <t>DESCARGO DE RESPONSABILIDADES  GEODELTA INGENIERÍA S.A.S.</t>
  </si>
  <si>
    <t xml:space="preserve"> El presente ensayo no podrá ser reproducido ni parcial ni totalmente sin previa autorización escrita del laboratorio que lo emite. Los resultados de este ensayo solo son aplicables a las muestras ensayadas. Este informe es valido únicamente si presenta firma de quien Reviso y/o Aprobó. El laboratorio es responsable de toda la información suministrada en es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</si>
  <si>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-------------------FIN DEL INFORME-----------------</t>
  </si>
  <si>
    <t>CONTROL DE CAMBIOS</t>
  </si>
  <si>
    <t>Versión No.</t>
  </si>
  <si>
    <t>Fecha del cambio</t>
  </si>
  <si>
    <t>Modificaciones</t>
  </si>
  <si>
    <t>00</t>
  </si>
  <si>
    <t>Creación de documento</t>
  </si>
  <si>
    <t>01</t>
  </si>
  <si>
    <t>Se actualiza la versión por cambios en la estructura del formato</t>
  </si>
  <si>
    <t>02</t>
  </si>
  <si>
    <t xml:space="preserve">Se actualiza la version por cambios en la estructira del formato: * Cambió  la imáagen de las clases de falla
* Se modifican los cálculos para que estos se eejecuten a partir del tipo de falla
* Se agragaron dos tipos de falla más
* Se modificaron los nombres de algunas columnas para realizar los cáculos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</si>
</sst>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200A]d&quot; de &quot;mmmm&quot; de &quot;yyyy"/>
    <numFmt numFmtId="165" formatCode="d/m/yyyy"/>
    <numFmt numFmtId="166" formatCode="@\ &quot;-&quot;"/>
    <numFmt numFmtId="167" formatCode="0.00&quot; m&quot;"/>
  </numFmts>
  <fonts count="20" x14ac:knownFonts="1">
    <font>
      <sz val="11"/>
      <color theme="1"/>
      <name val="Calibri"/>
      <scheme val="minor"/>
    </font>
    <font>
      <sz val="11"/>
      <color theme="1"/>
      <name val="Arial"/>
    </font>
    <font>
      <sz val="11"/>
      <name val="Calibri"/>
    </font>
    <font>
      <b/>
      <sz val="14"/>
      <color theme="1"/>
      <name val="Arial"/>
    </font>
    <font>
      <sz val="14"/>
      <color rgb="FFFF0000"/>
      <name val="Arial"/>
    </font>
    <font>
      <b/>
      <sz val="11"/>
      <color theme="1"/>
      <name val="Arial"/>
    </font>
    <font>
      <sz val="10"/>
      <color theme="1"/>
      <name val="Arial"/>
    </font>
    <font>
      <sz val="11"/>
      <color theme="1"/>
      <name val="Calibri"/>
    </font>
    <font>
      <b/>
      <sz val="12"/>
      <color rgb="FF002060"/>
      <name val="Arial"/>
    </font>
    <font>
      <b/>
      <sz val="9"/>
      <color rgb="FF002060"/>
      <name val="Arial"/>
    </font>
    <font>
      <b/>
      <sz val="11"/>
      <color rgb="FF002060"/>
      <name val="Calibri"/>
    </font>
    <font>
      <sz val="11"/>
      <color rgb="FFFF0000"/>
      <name val="Calibri"/>
    </font>
    <font>
      <sz val="11"/>
      <color theme="1"/>
      <name val="Calibri"/>
      <scheme val="minor"/>
    </font>
    <font>
      <sz val="10"/>
      <color theme="1"/>
      <name val="Calibri"/>
    </font>
    <font>
      <sz val="9"/>
      <color theme="1"/>
      <name val="Arial"/>
    </font>
    <font>
      <b/>
      <sz val="8"/>
      <color theme="1"/>
      <name val="Arial"/>
    </font>
    <font>
      <sz val="11"/>
      <color rgb="FFFF0000"/>
      <name val="Arial"/>
    </font>
    <font>
      <sz val="10"/>
      <color rgb="FFFF0000"/>
      <name val="Arial"/>
    </font>
    <font>
      <b/>
      <vertAlign val="subscript"/>
      <sz val="11"/>
      <color rgb="FF002060"/>
      <name val="Calibri"/>
    </font>
    <font>
      <vertAlign val="subscript"/>
      <sz val="11"/>
      <color theme="1"/>
      <name val="Calibri"/>
    </font>
  </fonts>
  <fills count="4">
    <fill>
      <patternFill patternType="none"/>
    </fill>
    <fill>
      <patternFill patternType="gray125"/>
    </fill>
    <fill>
      <patternFill patternType="solid">
        <fgColor theme="0"/>
        <bgColor theme="0"/>
      </patternFill>
    </fill>
    <fill>
      <patternFill patternType="solid">
        <fgColor rgb="FFD8D8D8"/>
        <bgColor rgb="FFD8D8D8"/>
      </patternFill>
    </fill>
  </fills>
  <borders count="95">
    <border>
      <left/>
      <right/>
      <top/>
      <bottom/>
      <diagonal/>
    </border>
    <border>
      <left style="medium">
        <color rgb="FF7F7F7F"/>
      </left>
      <right/>
      <top style="medium">
        <color rgb="FF7F7F7F"/>
      </top>
      <bottom/>
      <diagonal/>
    </border>
    <border>
      <left style="medium">
        <color rgb="FF999999"/>
      </left>
      <right/>
      <top style="medium">
        <color rgb="FF999999"/>
      </top>
      <bottom/>
      <diagonal/>
    </border>
    <border>
      <left/>
      <right/>
      <top style="medium">
        <color rgb="FF7F7F7F"/>
      </top>
      <bottom/>
      <diagonal/>
    </border>
    <border>
      <left/>
      <right/>
      <top style="medium">
        <color rgb="FF999999"/>
      </top>
      <bottom/>
      <diagonal/>
    </border>
    <border>
      <left/>
      <right style="medium">
        <color rgb="FF999999"/>
      </right>
      <top style="medium">
        <color rgb="FF999999"/>
      </top>
      <bottom/>
      <diagonal/>
    </border>
    <border>
      <left style="medium">
        <color rgb="FF7F7F7F"/>
      </left>
      <right/>
      <top style="medium">
        <color rgb="FF7F7F7F"/>
      </top>
      <bottom style="thin">
        <color rgb="FF7F7F7F"/>
      </bottom>
      <diagonal/>
    </border>
    <border>
      <left/>
      <right/>
      <top style="medium">
        <color rgb="FF7F7F7F"/>
      </top>
      <bottom style="thin">
        <color rgb="FF7F7F7F"/>
      </bottom>
      <diagonal/>
    </border>
    <border>
      <left/>
      <right/>
      <top style="medium">
        <color rgb="FF999999"/>
      </top>
      <bottom style="thin">
        <color rgb="FF7F7F7F"/>
      </bottom>
      <diagonal/>
    </border>
    <border>
      <left/>
      <right style="medium">
        <color rgb="FF999999"/>
      </right>
      <top style="medium">
        <color rgb="FF999999"/>
      </top>
      <bottom style="thin">
        <color rgb="FF7F7F7F"/>
      </bottom>
      <diagonal/>
    </border>
    <border>
      <left style="medium">
        <color rgb="FF999999"/>
      </left>
      <right/>
      <top/>
      <bottom/>
      <diagonal/>
    </border>
    <border>
      <left/>
      <right style="medium">
        <color rgb="FF999999"/>
      </right>
      <top/>
      <bottom/>
      <diagonal/>
    </border>
    <border>
      <left style="medium">
        <color rgb="FF7F7F7F"/>
      </left>
      <right/>
      <top/>
      <bottom/>
      <diagonal/>
    </border>
    <border>
      <left/>
      <right/>
      <top style="thin">
        <color rgb="FF7F7F7F"/>
      </top>
      <bottom style="thin">
        <color rgb="FF7F7F7F"/>
      </bottom>
      <diagonal/>
    </border>
    <border>
      <left/>
      <right style="medium">
        <color rgb="FF999999"/>
      </right>
      <top style="thin">
        <color rgb="FF7F7F7F"/>
      </top>
      <bottom style="thin">
        <color rgb="FF7F7F7F"/>
      </bottom>
      <diagonal/>
    </border>
    <border>
      <left style="medium">
        <color rgb="FF7F7F7F"/>
      </left>
      <right/>
      <top style="thin">
        <color rgb="FF7F7F7F"/>
      </top>
      <bottom style="thin">
        <color rgb="FF7F7F7F"/>
      </bottom>
      <diagonal/>
    </border>
    <border>
      <left/>
      <right style="medium">
        <color rgb="FF7F7F7F"/>
      </right>
      <top style="thin">
        <color rgb="FF7F7F7F"/>
      </top>
      <bottom style="thin">
        <color rgb="FF7F7F7F"/>
      </bottom>
      <diagonal/>
    </border>
    <border>
      <left style="medium">
        <color rgb="FF999999"/>
      </left>
      <right/>
      <top/>
      <bottom style="medium">
        <color rgb="FF999999"/>
      </bottom>
      <diagonal/>
    </border>
    <border>
      <left/>
      <right/>
      <top/>
      <bottom style="medium">
        <color rgb="FF999999"/>
      </bottom>
      <diagonal/>
    </border>
    <border>
      <left style="medium">
        <color rgb="FF7F7F7F"/>
      </left>
      <right/>
      <top/>
      <bottom style="medium">
        <color rgb="FF7F7F7F"/>
      </bottom>
      <diagonal/>
    </border>
    <border>
      <left/>
      <right/>
      <top/>
      <bottom style="medium">
        <color rgb="FF7F7F7F"/>
      </bottom>
      <diagonal/>
    </border>
    <border>
      <left/>
      <right style="medium">
        <color rgb="FF999999"/>
      </right>
      <top/>
      <bottom style="medium">
        <color rgb="FF999999"/>
      </bottom>
      <diagonal/>
    </border>
    <border>
      <left style="medium">
        <color rgb="FF7F7F7F"/>
      </left>
      <right/>
      <top style="thin">
        <color rgb="FF7F7F7F"/>
      </top>
      <bottom style="medium">
        <color rgb="FF7F7F7F"/>
      </bottom>
      <diagonal/>
    </border>
    <border>
      <left/>
      <right/>
      <top style="thin">
        <color rgb="FF7F7F7F"/>
      </top>
      <bottom style="medium">
        <color rgb="FF999999"/>
      </bottom>
      <diagonal/>
    </border>
    <border>
      <left/>
      <right/>
      <top style="thin">
        <color rgb="FF7F7F7F"/>
      </top>
      <bottom style="medium">
        <color rgb="FF7F7F7F"/>
      </bottom>
      <diagonal/>
    </border>
    <border>
      <left/>
      <right style="medium">
        <color rgb="FF999999"/>
      </right>
      <top style="thin">
        <color rgb="FF7F7F7F"/>
      </top>
      <bottom style="medium">
        <color rgb="FF999999"/>
      </bottom>
      <diagonal/>
    </border>
    <border>
      <left/>
      <right style="medium">
        <color rgb="FF7F7F7F"/>
      </right>
      <top/>
      <bottom/>
      <diagonal/>
    </border>
    <border>
      <left/>
      <right/>
      <top style="medium">
        <color rgb="FF7F7F7F"/>
      </top>
      <bottom/>
      <diagonal/>
    </border>
    <border>
      <left/>
      <right/>
      <top style="medium">
        <color rgb="FF7F7F7F"/>
      </top>
      <bottom/>
      <diagonal/>
    </border>
    <border>
      <left/>
      <right/>
      <top style="medium">
        <color rgb="FF7F7F7F"/>
      </top>
      <bottom style="thin">
        <color rgb="FF7F7F7F"/>
      </bottom>
      <diagonal/>
    </border>
    <border>
      <left/>
      <right/>
      <top style="medium">
        <color rgb="FF7F7F7F"/>
      </top>
      <bottom style="thin">
        <color rgb="FF7F7F7F"/>
      </bottom>
      <diagonal/>
    </border>
    <border>
      <left/>
      <right style="medium">
        <color rgb="FF7F7F7F"/>
      </right>
      <top style="medium">
        <color rgb="FF7F7F7F"/>
      </top>
      <bottom/>
      <diagonal/>
    </border>
    <border>
      <left style="thin">
        <color rgb="FF7F7F7F"/>
      </left>
      <right style="thin">
        <color rgb="FF7F7F7F"/>
      </right>
      <top style="thin">
        <color rgb="FF7F7F7F"/>
      </top>
      <bottom style="thin">
        <color rgb="FF7F7F7F"/>
      </bottom>
      <diagonal/>
    </border>
    <border>
      <left/>
      <right/>
      <top/>
      <bottom/>
      <diagonal/>
    </border>
    <border>
      <left/>
      <right/>
      <top/>
      <bottom/>
      <diagonal/>
    </border>
    <border>
      <left/>
      <right/>
      <top style="thin">
        <color rgb="FF7F7F7F"/>
      </top>
      <bottom style="thin">
        <color rgb="FF7F7F7F"/>
      </bottom>
      <diagonal/>
    </border>
    <border>
      <left/>
      <right/>
      <top style="thin">
        <color rgb="FF7F7F7F"/>
      </top>
      <bottom style="thin">
        <color rgb="FF7F7F7F"/>
      </bottom>
      <diagonal/>
    </border>
    <border>
      <left/>
      <right/>
      <top/>
      <bottom style="thin">
        <color rgb="FF7F7F7F"/>
      </bottom>
      <diagonal/>
    </border>
    <border>
      <left/>
      <right/>
      <top style="thin">
        <color rgb="FF7F7F7F"/>
      </top>
      <bottom style="thin">
        <color rgb="FF7F7F7F"/>
      </bottom>
      <diagonal/>
    </border>
    <border>
      <left/>
      <right/>
      <top/>
      <bottom style="thin">
        <color rgb="FF7F7F7F"/>
      </bottom>
      <diagonal/>
    </border>
    <border>
      <left/>
      <right/>
      <top/>
      <bottom style="thin">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top/>
      <bottom style="medium">
        <color rgb="FF7F7F7F"/>
      </bottom>
      <diagonal/>
    </border>
    <border>
      <left/>
      <right style="medium">
        <color rgb="FF7F7F7F"/>
      </right>
      <top/>
      <bottom style="medium">
        <color rgb="FF7F7F7F"/>
      </bottom>
      <diagonal/>
    </border>
    <border>
      <left/>
      <right/>
      <top style="medium">
        <color rgb="FF7F7F7F"/>
      </top>
      <bottom/>
      <diagonal/>
    </border>
    <border>
      <left/>
      <right/>
      <top style="medium">
        <color rgb="FF7F7F7F"/>
      </top>
      <bottom style="thin">
        <color rgb="FF7F7F7F"/>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style="medium">
        <color rgb="FF7F7F7F"/>
      </top>
      <bottom/>
      <diagonal/>
    </border>
    <border>
      <left style="medium">
        <color rgb="FF7F7F7F"/>
      </left>
      <right style="medium">
        <color rgb="FF7F7F7F"/>
      </right>
      <top style="medium">
        <color rgb="FF7F7F7F"/>
      </top>
      <bottom/>
      <diagonal/>
    </border>
    <border>
      <left style="medium">
        <color rgb="FF7F7F7F"/>
      </left>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diagonal/>
    </border>
    <border>
      <left style="medium">
        <color rgb="FF7F7F7F"/>
      </left>
      <right/>
      <top/>
      <bottom/>
      <diagonal/>
    </border>
    <border>
      <left/>
      <right/>
      <top/>
      <bottom/>
      <diagonal/>
    </border>
    <border>
      <left/>
      <right style="medium">
        <color rgb="FF7F7F7F"/>
      </right>
      <top/>
      <bottom/>
      <diagonal/>
    </border>
    <border>
      <left style="medium">
        <color rgb="FF7F7F7F"/>
      </left>
      <right/>
      <top/>
      <bottom/>
      <diagonal/>
    </border>
    <border>
      <left style="medium">
        <color rgb="FF7F7F7F"/>
      </left>
      <right/>
      <top/>
      <bottom style="medium">
        <color rgb="FF7F7F7F"/>
      </bottom>
      <diagonal/>
    </border>
    <border>
      <left style="medium">
        <color rgb="FF7F7F7F"/>
      </left>
      <right/>
      <top/>
      <bottom/>
      <diagonal/>
    </border>
    <border>
      <left/>
      <right style="medium">
        <color rgb="FF7F7F7F"/>
      </right>
      <top/>
      <bottom style="medium">
        <color rgb="FF7F7F7F"/>
      </bottom>
      <diagonal/>
    </border>
    <border>
      <left style="medium">
        <color rgb="FF7F7F7F"/>
      </left>
      <right style="thin">
        <color rgb="FF7F7F7F"/>
      </right>
      <top style="medium">
        <color rgb="FF7F7F7F"/>
      </top>
      <bottom/>
      <diagonal/>
    </border>
    <border>
      <left style="thin">
        <color rgb="FF7F7F7F"/>
      </left>
      <right style="thin">
        <color rgb="FF7F7F7F"/>
      </right>
      <top style="medium">
        <color rgb="FF7F7F7F"/>
      </top>
      <bottom/>
      <diagonal/>
    </border>
    <border>
      <left style="thin">
        <color rgb="FF7F7F7F"/>
      </left>
      <right/>
      <top style="medium">
        <color rgb="FF7F7F7F"/>
      </top>
      <bottom/>
      <diagonal/>
    </border>
    <border>
      <left/>
      <right style="thin">
        <color rgb="FF7F7F7F"/>
      </right>
      <top style="medium">
        <color rgb="FF7F7F7F"/>
      </top>
      <bottom/>
      <diagonal/>
    </border>
    <border>
      <left/>
      <right style="thin">
        <color rgb="FF7F7F7F"/>
      </right>
      <top style="medium">
        <color rgb="FF7F7F7F"/>
      </top>
      <bottom style="thin">
        <color rgb="FF7F7F7F"/>
      </bottom>
      <diagonal/>
    </border>
    <border>
      <left style="medium">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medium">
        <color rgb="FF7F7F7F"/>
      </left>
      <right style="thin">
        <color rgb="FF7F7F7F"/>
      </right>
      <top style="thin">
        <color rgb="FF7F7F7F"/>
      </top>
      <bottom style="medium">
        <color rgb="FF7F7F7F"/>
      </bottom>
      <diagonal/>
    </border>
    <border>
      <left/>
      <right style="thin">
        <color rgb="FF7F7F7F"/>
      </right>
      <top style="thin">
        <color rgb="FF7F7F7F"/>
      </top>
      <bottom style="medium">
        <color rgb="FF7F7F7F"/>
      </bottom>
      <diagonal/>
    </border>
    <border>
      <left style="medium">
        <color rgb="FF7F7F7F"/>
      </left>
      <right/>
      <top/>
      <bottom style="thin">
        <color rgb="FF7F7F7F"/>
      </bottom>
      <diagonal/>
    </border>
    <border>
      <left style="thin">
        <color rgb="FF7F7F7F"/>
      </left>
      <right style="medium">
        <color rgb="FF7F7F7F"/>
      </right>
      <top style="thin">
        <color rgb="FF7F7F7F"/>
      </top>
      <bottom style="medium">
        <color rgb="FF7F7F7F"/>
      </bottom>
      <diagonal/>
    </border>
    <border>
      <left style="thin">
        <color rgb="FF7F7F7F"/>
      </left>
      <right style="thin">
        <color rgb="FF7F7F7F"/>
      </right>
      <top/>
      <bottom style="medium">
        <color rgb="FF7F7F7F"/>
      </bottom>
      <diagonal/>
    </border>
    <border>
      <left style="medium">
        <color rgb="FF7F7F7F"/>
      </left>
      <right/>
      <top style="medium">
        <color rgb="FF7F7F7F"/>
      </top>
      <bottom/>
      <diagonal/>
    </border>
    <border>
      <left/>
      <right/>
      <top style="medium">
        <color rgb="FF7F7F7F"/>
      </top>
      <bottom/>
      <diagonal/>
    </border>
    <border>
      <left/>
      <right style="medium">
        <color rgb="FF7F7F7F"/>
      </right>
      <top style="medium">
        <color rgb="FF7F7F7F"/>
      </top>
      <bottom/>
      <diagonal/>
    </border>
    <border>
      <left style="thin">
        <color rgb="FF7F7F7F"/>
      </left>
      <right/>
      <top/>
      <bottom style="medium">
        <color rgb="FF7F7F7F"/>
      </bottom>
      <diagonal/>
    </border>
    <border>
      <left/>
      <right style="thin">
        <color rgb="FF7F7F7F"/>
      </right>
      <top/>
      <bottom style="medium">
        <color rgb="FF7F7F7F"/>
      </bottom>
      <diagonal/>
    </border>
    <border>
      <left/>
      <right style="thin">
        <color rgb="FF7F7F7F"/>
      </right>
      <top style="medium">
        <color rgb="FF7F7F7F"/>
      </top>
      <bottom style="medium">
        <color rgb="FF7F7F7F"/>
      </bottom>
      <diagonal/>
    </border>
    <border>
      <left style="thin">
        <color rgb="FF7F7F7F"/>
      </left>
      <right style="thin">
        <color rgb="FF7F7F7F"/>
      </right>
      <top style="medium">
        <color rgb="FF7F7F7F"/>
      </top>
      <bottom style="medium">
        <color rgb="FF7F7F7F"/>
      </bottom>
      <diagonal/>
    </border>
    <border>
      <left style="thin">
        <color rgb="FF7F7F7F"/>
      </left>
      <right style="medium">
        <color rgb="FF7F7F7F"/>
      </right>
      <top style="medium">
        <color rgb="FF7F7F7F"/>
      </top>
      <bottom style="medium">
        <color rgb="FF7F7F7F"/>
      </bottom>
      <diagonal/>
    </border>
    <border>
      <left style="thin">
        <color rgb="FF7F7F7F"/>
      </left>
      <right style="medium">
        <color rgb="FF7F7F7F"/>
      </right>
      <top/>
      <bottom style="thin">
        <color rgb="FF7F7F7F"/>
      </bottom>
      <diagonal/>
    </border>
    <border>
      <left/>
      <right/>
      <top style="thin">
        <color rgb="FF000000"/>
      </top>
      <bottom/>
      <diagonal/>
    </border>
    <border>
      <left/>
      <right/>
      <top style="thin">
        <color rgb="FF000000"/>
      </top>
      <bottom style="thin">
        <color rgb="FF000000"/>
      </bottom>
      <diagonal/>
    </border>
    <border>
      <left style="medium">
        <color rgb="FF7F7F7F"/>
      </left>
      <right style="medium">
        <color rgb="FF7F7F7F"/>
      </right>
      <top style="medium">
        <color rgb="FF7F7F7F"/>
      </top>
      <bottom style="medium">
        <color rgb="FF7F7F7F"/>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181">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1" fillId="0" borderId="32" xfId="0" applyFont="1" applyBorder="1" applyAlignment="1">
      <alignment vertical="center"/>
    </xf>
    <xf numFmtId="0" fontId="12" fillId="0" borderId="0" xfId="0" applyFont="1"/>
    <xf numFmtId="2" fontId="7" fillId="0" borderId="0" xfId="0" applyNumberFormat="1" applyFont="1"/>
    <xf numFmtId="0" fontId="5" fillId="0" borderId="0" xfId="0" applyFont="1" applyAlignment="1">
      <alignment vertical="center"/>
    </xf>
    <xf numFmtId="0" fontId="7" fillId="0" borderId="88" xfId="0" applyFont="1" applyBorder="1"/>
    <xf numFmtId="0" fontId="7" fillId="0" borderId="89" xfId="0" applyFont="1" applyBorder="1" applyAlignment="1">
      <alignment wrapText="1"/>
    </xf>
    <xf numFmtId="0" fontId="5" fillId="0" borderId="93" xfId="0" applyFont="1" applyBorder="1" applyAlignment="1">
      <alignment horizontal="center" vertical="center" wrapText="1"/>
    </xf>
    <xf numFmtId="0" fontId="5" fillId="0" borderId="94" xfId="0" applyFont="1" applyBorder="1" applyAlignment="1">
      <alignment horizontal="center" vertical="center" wrapText="1"/>
    </xf>
    <xf numFmtId="49" fontId="1" fillId="0" borderId="93" xfId="0" applyNumberFormat="1" applyFont="1" applyBorder="1" applyAlignment="1">
      <alignment horizontal="center" vertical="center" wrapText="1"/>
    </xf>
    <xf numFmtId="165" fontId="1" fillId="0" borderId="94" xfId="0" applyNumberFormat="1" applyFont="1" applyBorder="1" applyAlignment="1">
      <alignment horizontal="center" vertical="center" wrapText="1"/>
    </xf>
    <xf numFmtId="0" fontId="1" fillId="0" borderId="94" xfId="0" applyFont="1" applyBorder="1" applyAlignment="1">
      <alignment wrapText="1"/>
    </xf>
    <xf numFmtId="0" fontId="1" fillId="0" borderId="94" xfId="0" applyFont="1" applyBorder="1" applyAlignment="1">
      <alignment vertical="center" wrapText="1"/>
    </xf>
    <xf numFmtId="49" fontId="1" fillId="0" borderId="93" xfId="0" applyNumberFormat="1" applyFont="1" applyBorder="1" applyAlignment="1">
      <alignment horizontal="center" wrapText="1"/>
    </xf>
    <xf numFmtId="165" fontId="1" fillId="0" borderId="94" xfId="0" applyNumberFormat="1" applyFont="1" applyBorder="1" applyAlignment="1">
      <alignment horizontal="center" wrapText="1"/>
    </xf>
    <xf numFmtId="167" fontId="1" fillId="2" borderId="47" xfId="0" applyNumberFormat="1" applyFont="1" applyFill="1" applyBorder="1" applyAlignment="1" applyProtection="1">
      <alignment horizontal="left" vertical="center"/>
      <protection locked="0"/>
    </xf>
    <xf numFmtId="167" fontId="1" fillId="2" borderId="47" xfId="0" applyNumberFormat="1" applyFont="1" applyFill="1" applyBorder="1" applyAlignment="1" applyProtection="1">
      <alignment horizontal="right" vertical="center"/>
      <protection locked="0"/>
    </xf>
    <xf numFmtId="0" fontId="1" fillId="2" borderId="47" xfId="0" applyFont="1" applyFill="1" applyBorder="1" applyAlignment="1" applyProtection="1">
      <alignment horizontal="center" vertical="center"/>
      <protection locked="0"/>
    </xf>
    <xf numFmtId="166" fontId="1" fillId="2" borderId="38" xfId="0" applyNumberFormat="1" applyFont="1" applyFill="1" applyBorder="1" applyAlignment="1" applyProtection="1">
      <alignment horizontal="center" vertical="center"/>
      <protection locked="0"/>
    </xf>
    <xf numFmtId="49" fontId="1" fillId="2" borderId="38" xfId="0" applyNumberFormat="1" applyFont="1" applyFill="1" applyBorder="1" applyAlignment="1" applyProtection="1">
      <alignment vertical="center"/>
      <protection locked="0"/>
    </xf>
    <xf numFmtId="2" fontId="7" fillId="0" borderId="32" xfId="0" applyNumberFormat="1" applyFont="1" applyBorder="1" applyAlignment="1" applyProtection="1">
      <alignment horizontal="center"/>
      <protection locked="0"/>
    </xf>
    <xf numFmtId="0" fontId="7" fillId="0" borderId="32" xfId="0" applyFont="1" applyBorder="1" applyAlignment="1" applyProtection="1">
      <alignment horizontal="center"/>
      <protection locked="0"/>
    </xf>
    <xf numFmtId="0" fontId="1" fillId="0" borderId="87" xfId="0" applyFont="1" applyBorder="1" applyAlignment="1" applyProtection="1">
      <alignment vertical="center"/>
      <protection locked="0"/>
    </xf>
    <xf numFmtId="0" fontId="0" fillId="0" borderId="0" xfId="0" applyProtection="1">
      <protection hidden="1"/>
    </xf>
    <xf numFmtId="0" fontId="1" fillId="0" borderId="12" xfId="0" applyFont="1" applyBorder="1" applyAlignment="1" applyProtection="1">
      <alignment vertical="center"/>
      <protection hidden="1"/>
    </xf>
    <xf numFmtId="0" fontId="1" fillId="0" borderId="20" xfId="0" applyFont="1" applyBorder="1" applyAlignment="1" applyProtection="1">
      <alignment vertical="center"/>
      <protection hidden="1"/>
    </xf>
    <xf numFmtId="0" fontId="1" fillId="0" borderId="26" xfId="0" applyFont="1" applyBorder="1" applyAlignment="1" applyProtection="1">
      <alignment vertical="center"/>
      <protection hidden="1"/>
    </xf>
    <xf numFmtId="0" fontId="1" fillId="0" borderId="1" xfId="0" applyFont="1" applyBorder="1" applyAlignment="1" applyProtection="1">
      <alignment vertical="center"/>
      <protection hidden="1"/>
    </xf>
    <xf numFmtId="165" fontId="1" fillId="0" borderId="31" xfId="0" applyNumberFormat="1" applyFont="1" applyBorder="1" applyAlignment="1" applyProtection="1">
      <alignment horizontal="center" vertical="center"/>
      <protection hidden="1"/>
    </xf>
    <xf numFmtId="165" fontId="1" fillId="0" borderId="26" xfId="0" applyNumberFormat="1" applyFont="1" applyBorder="1" applyAlignment="1" applyProtection="1">
      <alignment horizontal="center" vertical="center"/>
      <protection hidden="1"/>
    </xf>
    <xf numFmtId="164" fontId="1" fillId="2" borderId="37" xfId="0" applyNumberFormat="1" applyFont="1" applyFill="1" applyBorder="1" applyAlignment="1" applyProtection="1">
      <alignment horizontal="right" vertical="center"/>
      <protection hidden="1"/>
    </xf>
    <xf numFmtId="0" fontId="1" fillId="0" borderId="26" xfId="0" applyFont="1" applyBorder="1" applyAlignment="1" applyProtection="1">
      <alignment horizontal="left" vertical="center"/>
      <protection hidden="1"/>
    </xf>
    <xf numFmtId="0" fontId="1" fillId="0" borderId="19" xfId="0" applyFont="1" applyBorder="1" applyAlignment="1" applyProtection="1">
      <alignment vertical="center"/>
      <protection hidden="1"/>
    </xf>
    <xf numFmtId="0" fontId="1" fillId="2" borderId="44" xfId="0" applyFont="1" applyFill="1" applyBorder="1" applyAlignment="1" applyProtection="1">
      <alignment vertical="center"/>
      <protection hidden="1"/>
    </xf>
    <xf numFmtId="0" fontId="1" fillId="0" borderId="45" xfId="0" applyFont="1" applyBorder="1" applyAlignment="1" applyProtection="1">
      <alignment vertical="center"/>
      <protection hidden="1"/>
    </xf>
    <xf numFmtId="0" fontId="5" fillId="2" borderId="46" xfId="0" applyFont="1" applyFill="1" applyBorder="1" applyAlignment="1" applyProtection="1">
      <alignment vertical="center"/>
      <protection hidden="1"/>
    </xf>
    <xf numFmtId="167" fontId="1" fillId="2" borderId="47" xfId="0" applyNumberFormat="1" applyFont="1" applyFill="1" applyBorder="1" applyAlignment="1" applyProtection="1">
      <alignment horizontal="center" vertical="center"/>
      <protection hidden="1"/>
    </xf>
    <xf numFmtId="167" fontId="1" fillId="0" borderId="31" xfId="0" applyNumberFormat="1" applyFont="1" applyBorder="1" applyAlignment="1" applyProtection="1">
      <alignment horizontal="left" vertical="center"/>
      <protection hidden="1"/>
    </xf>
    <xf numFmtId="0" fontId="1" fillId="0" borderId="26" xfId="0" applyFont="1" applyBorder="1" applyAlignment="1" applyProtection="1">
      <alignment horizontal="left" vertical="center" wrapText="1"/>
      <protection hidden="1"/>
    </xf>
    <xf numFmtId="0" fontId="5" fillId="2" borderId="44" xfId="0" applyFont="1" applyFill="1" applyBorder="1" applyAlignment="1" applyProtection="1">
      <alignment horizontal="left" vertical="center"/>
      <protection hidden="1"/>
    </xf>
    <xf numFmtId="0" fontId="1" fillId="2" borderId="44" xfId="0" applyFont="1" applyFill="1" applyBorder="1" applyAlignment="1" applyProtection="1">
      <alignment horizontal="left" vertical="center"/>
      <protection hidden="1"/>
    </xf>
    <xf numFmtId="0" fontId="1" fillId="0" borderId="45" xfId="0" applyFont="1" applyBorder="1" applyAlignment="1" applyProtection="1">
      <alignment horizontal="left" vertical="center"/>
      <protection hidden="1"/>
    </xf>
    <xf numFmtId="0" fontId="7" fillId="0" borderId="12" xfId="0" applyFont="1" applyBorder="1" applyProtection="1">
      <protection hidden="1"/>
    </xf>
    <xf numFmtId="0" fontId="7" fillId="0" borderId="26" xfId="0" applyFont="1" applyBorder="1" applyProtection="1">
      <protection hidden="1"/>
    </xf>
    <xf numFmtId="0" fontId="10" fillId="3" borderId="52" xfId="0" applyFont="1" applyFill="1" applyBorder="1" applyAlignment="1" applyProtection="1">
      <alignment horizontal="center" vertical="center"/>
      <protection hidden="1"/>
    </xf>
    <xf numFmtId="0" fontId="10" fillId="3" borderId="55" xfId="0" applyFont="1" applyFill="1" applyBorder="1" applyAlignment="1" applyProtection="1">
      <alignment horizontal="center" vertical="center"/>
      <protection hidden="1"/>
    </xf>
    <xf numFmtId="2" fontId="7" fillId="0" borderId="32" xfId="0" applyNumberFormat="1" applyFont="1" applyBorder="1" applyAlignment="1" applyProtection="1">
      <alignment horizontal="center"/>
      <protection hidden="1"/>
    </xf>
    <xf numFmtId="0" fontId="7" fillId="0" borderId="69" xfId="0" applyFont="1" applyBorder="1" applyAlignment="1" applyProtection="1">
      <alignment horizontal="center"/>
      <protection hidden="1"/>
    </xf>
    <xf numFmtId="0" fontId="7" fillId="0" borderId="72" xfId="0" applyFont="1" applyBorder="1" applyAlignment="1" applyProtection="1">
      <alignment horizontal="center"/>
      <protection hidden="1"/>
    </xf>
    <xf numFmtId="0" fontId="8" fillId="0" borderId="0" xfId="0" applyFont="1" applyAlignment="1" applyProtection="1">
      <alignment horizontal="center" vertical="center"/>
      <protection hidden="1"/>
    </xf>
    <xf numFmtId="0" fontId="7" fillId="0" borderId="83" xfId="0" applyFont="1" applyBorder="1" applyAlignment="1" applyProtection="1">
      <alignment horizontal="center"/>
      <protection hidden="1"/>
    </xf>
    <xf numFmtId="2" fontId="7" fillId="0" borderId="84" xfId="0" applyNumberFormat="1" applyFont="1" applyBorder="1" applyAlignment="1" applyProtection="1">
      <alignment horizontal="center"/>
      <protection hidden="1"/>
    </xf>
    <xf numFmtId="0" fontId="1" fillId="0" borderId="0" xfId="0" applyFont="1" applyAlignment="1" applyProtection="1">
      <alignment vertical="center"/>
      <protection hidden="1"/>
    </xf>
    <xf numFmtId="0" fontId="5" fillId="0" borderId="0" xfId="0" applyFont="1" applyAlignment="1" applyProtection="1">
      <alignment vertical="center"/>
      <protection hidden="1"/>
    </xf>
    <xf numFmtId="2" fontId="7" fillId="0" borderId="75" xfId="0" applyNumberFormat="1" applyFont="1" applyBorder="1" applyAlignment="1" applyProtection="1">
      <alignment horizontal="center"/>
      <protection hidden="1"/>
    </xf>
    <xf numFmtId="0" fontId="14" fillId="0" borderId="0" xfId="0" applyFont="1" applyAlignment="1" applyProtection="1">
      <alignment vertical="center"/>
      <protection hidden="1"/>
    </xf>
    <xf numFmtId="0" fontId="6" fillId="0" borderId="0" xfId="0" applyFont="1" applyAlignment="1" applyProtection="1">
      <alignment vertical="center" wrapText="1"/>
      <protection hidden="1"/>
    </xf>
    <xf numFmtId="0" fontId="14" fillId="0" borderId="12" xfId="0" applyFont="1" applyBorder="1" applyAlignment="1" applyProtection="1">
      <alignment vertical="center"/>
      <protection hidden="1"/>
    </xf>
    <xf numFmtId="0" fontId="6" fillId="0" borderId="12" xfId="0" applyFont="1" applyBorder="1" applyAlignment="1" applyProtection="1">
      <alignment vertical="center" wrapText="1"/>
      <protection hidden="1"/>
    </xf>
    <xf numFmtId="0" fontId="6" fillId="0" borderId="26" xfId="0" applyFont="1" applyBorder="1" applyAlignment="1" applyProtection="1">
      <alignment horizontal="center" vertical="center" wrapText="1"/>
      <protection hidden="1"/>
    </xf>
    <xf numFmtId="49" fontId="16" fillId="0" borderId="19" xfId="0" applyNumberFormat="1" applyFont="1" applyBorder="1" applyAlignment="1" applyProtection="1">
      <alignment horizontal="center" vertical="center" wrapText="1"/>
      <protection hidden="1"/>
    </xf>
    <xf numFmtId="0" fontId="5" fillId="2" borderId="33" xfId="0" applyFont="1" applyFill="1" applyBorder="1" applyAlignment="1" applyProtection="1">
      <alignment horizontal="left" vertical="center"/>
      <protection hidden="1"/>
    </xf>
    <xf numFmtId="0" fontId="2" fillId="0" borderId="34" xfId="0" applyFont="1" applyBorder="1" applyProtection="1">
      <protection hidden="1"/>
    </xf>
    <xf numFmtId="0" fontId="1" fillId="2" borderId="35" xfId="0" applyFont="1" applyFill="1" applyBorder="1" applyAlignment="1" applyProtection="1">
      <alignment horizontal="center" vertical="center"/>
      <protection locked="0"/>
    </xf>
    <xf numFmtId="0" fontId="2" fillId="0" borderId="13" xfId="0" applyFont="1" applyBorder="1" applyProtection="1">
      <protection locked="0"/>
    </xf>
    <xf numFmtId="0" fontId="2" fillId="0" borderId="36" xfId="0" applyFont="1" applyBorder="1" applyProtection="1">
      <protection locked="0"/>
    </xf>
    <xf numFmtId="0" fontId="8" fillId="3" borderId="48" xfId="0" applyFont="1" applyFill="1" applyBorder="1" applyAlignment="1" applyProtection="1">
      <alignment horizontal="center" vertical="center"/>
      <protection hidden="1"/>
    </xf>
    <xf numFmtId="0" fontId="2" fillId="0" borderId="49" xfId="0" applyFont="1" applyBorder="1" applyProtection="1">
      <protection hidden="1"/>
    </xf>
    <xf numFmtId="0" fontId="2" fillId="0" borderId="50" xfId="0" applyFont="1" applyBorder="1" applyProtection="1">
      <protection hidden="1"/>
    </xf>
    <xf numFmtId="0" fontId="9" fillId="3" borderId="51" xfId="0" applyFont="1" applyFill="1" applyBorder="1" applyAlignment="1" applyProtection="1">
      <alignment horizontal="center" vertical="center"/>
      <protection hidden="1"/>
    </xf>
    <xf numFmtId="0" fontId="2" fillId="0" borderId="54" xfId="0" applyFont="1" applyBorder="1" applyProtection="1">
      <protection hidden="1"/>
    </xf>
    <xf numFmtId="0" fontId="2" fillId="0" borderId="56" xfId="0" applyFont="1" applyBorder="1" applyProtection="1">
      <protection hidden="1"/>
    </xf>
    <xf numFmtId="0" fontId="10" fillId="3" borderId="51" xfId="0" applyFont="1" applyFill="1" applyBorder="1" applyAlignment="1" applyProtection="1">
      <alignment horizontal="center" vertical="center" wrapText="1"/>
      <protection hidden="1"/>
    </xf>
    <xf numFmtId="0" fontId="10" fillId="3" borderId="1" xfId="0" applyFont="1" applyFill="1" applyBorder="1" applyAlignment="1" applyProtection="1">
      <alignment horizontal="center" vertical="center" wrapText="1"/>
      <protection hidden="1"/>
    </xf>
    <xf numFmtId="0" fontId="2" fillId="0" borderId="31" xfId="0" applyFont="1" applyBorder="1" applyProtection="1">
      <protection hidden="1"/>
    </xf>
    <xf numFmtId="0" fontId="2" fillId="0" borderId="12" xfId="0" applyFont="1" applyBorder="1" applyProtection="1">
      <protection hidden="1"/>
    </xf>
    <xf numFmtId="0" fontId="2" fillId="0" borderId="26" xfId="0" applyFont="1" applyBorder="1" applyProtection="1">
      <protection hidden="1"/>
    </xf>
    <xf numFmtId="0" fontId="2" fillId="0" borderId="57" xfId="0" applyFont="1" applyBorder="1" applyProtection="1">
      <protection hidden="1"/>
    </xf>
    <xf numFmtId="0" fontId="2" fillId="0" borderId="59" xfId="0" applyFont="1" applyBorder="1" applyProtection="1">
      <protection hidden="1"/>
    </xf>
    <xf numFmtId="0" fontId="10" fillId="3" borderId="51" xfId="0" applyFont="1" applyFill="1" applyBorder="1" applyAlignment="1" applyProtection="1">
      <alignment horizontal="center" vertical="center"/>
      <protection hidden="1"/>
    </xf>
    <xf numFmtId="0" fontId="1" fillId="2" borderId="35" xfId="0" applyFont="1" applyFill="1" applyBorder="1" applyAlignment="1" applyProtection="1">
      <alignment horizontal="center" vertical="center"/>
      <protection hidden="1"/>
    </xf>
    <xf numFmtId="0" fontId="2" fillId="0" borderId="13" xfId="0" applyFont="1" applyBorder="1" applyProtection="1">
      <protection hidden="1"/>
    </xf>
    <xf numFmtId="0" fontId="2" fillId="0" borderId="36" xfId="0" applyFont="1" applyBorder="1" applyProtection="1">
      <protection hidden="1"/>
    </xf>
    <xf numFmtId="0" fontId="1" fillId="2" borderId="41" xfId="0" applyFont="1" applyFill="1" applyBorder="1" applyAlignment="1" applyProtection="1">
      <alignment horizontal="center" vertical="center"/>
      <protection hidden="1"/>
    </xf>
    <xf numFmtId="0" fontId="2" fillId="0" borderId="42" xfId="0" applyFont="1" applyBorder="1" applyProtection="1">
      <protection hidden="1"/>
    </xf>
    <xf numFmtId="0" fontId="2" fillId="0" borderId="43" xfId="0" applyFont="1" applyBorder="1" applyProtection="1">
      <protection hidden="1"/>
    </xf>
    <xf numFmtId="0" fontId="5" fillId="2" borderId="27" xfId="0" applyFont="1" applyFill="1" applyBorder="1" applyAlignment="1" applyProtection="1">
      <alignment horizontal="left" vertical="center"/>
      <protection hidden="1"/>
    </xf>
    <xf numFmtId="0" fontId="2" fillId="0" borderId="28" xfId="0" applyFont="1" applyBorder="1" applyProtection="1">
      <protection hidden="1"/>
    </xf>
    <xf numFmtId="49" fontId="1" fillId="2" borderId="29" xfId="0" applyNumberFormat="1" applyFont="1" applyFill="1" applyBorder="1" applyAlignment="1" applyProtection="1">
      <alignment horizontal="right" vertical="center"/>
      <protection locked="0"/>
    </xf>
    <xf numFmtId="0" fontId="2" fillId="0" borderId="30" xfId="0" applyFont="1" applyBorder="1" applyProtection="1">
      <protection locked="0"/>
    </xf>
    <xf numFmtId="0" fontId="1" fillId="2" borderId="29" xfId="0" applyFont="1" applyFill="1" applyBorder="1" applyAlignment="1" applyProtection="1">
      <alignment horizontal="center" vertical="center"/>
      <protection locked="0"/>
    </xf>
    <xf numFmtId="0" fontId="5" fillId="2" borderId="27" xfId="0" applyFont="1" applyFill="1" applyBorder="1" applyAlignment="1" applyProtection="1">
      <alignment horizontal="center" vertical="center"/>
      <protection hidden="1"/>
    </xf>
    <xf numFmtId="0" fontId="5" fillId="0" borderId="0" xfId="0" applyFont="1" applyAlignment="1" applyProtection="1">
      <alignment horizontal="left" vertical="center"/>
      <protection hidden="1"/>
    </xf>
    <xf numFmtId="0" fontId="0" fillId="0" borderId="0" xfId="0" applyProtection="1">
      <protection hidden="1"/>
    </xf>
    <xf numFmtId="0" fontId="5" fillId="2" borderId="39" xfId="0" applyFont="1" applyFill="1" applyBorder="1" applyAlignment="1" applyProtection="1">
      <alignment horizontal="left" vertical="center"/>
      <protection hidden="1"/>
    </xf>
    <xf numFmtId="0" fontId="2" fillId="0" borderId="40" xfId="0" applyFont="1" applyBorder="1" applyProtection="1">
      <protection hidden="1"/>
    </xf>
    <xf numFmtId="164" fontId="1" fillId="2" borderId="35" xfId="0" applyNumberFormat="1" applyFont="1" applyFill="1" applyBorder="1" applyAlignment="1" applyProtection="1">
      <alignment horizontal="center" vertical="center"/>
      <protection locked="0"/>
    </xf>
    <xf numFmtId="0" fontId="4" fillId="0" borderId="0" xfId="0" applyFont="1" applyAlignment="1">
      <alignment horizontal="center" vertical="center"/>
    </xf>
    <xf numFmtId="0" fontId="0" fillId="0" borderId="0" xfId="0"/>
    <xf numFmtId="0" fontId="2" fillId="0" borderId="24" xfId="0" applyFont="1" applyBorder="1" applyProtection="1">
      <protection hidden="1"/>
    </xf>
    <xf numFmtId="0" fontId="2" fillId="0" borderId="20" xfId="0" applyFont="1" applyBorder="1" applyProtection="1">
      <protection hidden="1"/>
    </xf>
    <xf numFmtId="0" fontId="1" fillId="0" borderId="0" xfId="0" applyFont="1" applyAlignment="1" applyProtection="1">
      <alignment horizontal="center" vertical="center"/>
      <protection hidden="1"/>
    </xf>
    <xf numFmtId="0" fontId="2" fillId="0" borderId="7" xfId="0" applyFont="1" applyBorder="1" applyProtection="1">
      <protection locked="0"/>
    </xf>
    <xf numFmtId="164" fontId="1" fillId="2" borderId="29" xfId="0" applyNumberFormat="1" applyFont="1" applyFill="1" applyBorder="1" applyAlignment="1" applyProtection="1">
      <alignment horizontal="center" vertical="center"/>
      <protection locked="0"/>
    </xf>
    <xf numFmtId="0" fontId="2" fillId="0" borderId="3" xfId="0" applyFont="1" applyBorder="1" applyProtection="1">
      <protection hidden="1"/>
    </xf>
    <xf numFmtId="0" fontId="2" fillId="0" borderId="7" xfId="0" applyFont="1" applyBorder="1" applyProtection="1">
      <protection hidden="1"/>
    </xf>
    <xf numFmtId="0" fontId="2" fillId="0" borderId="16" xfId="0" applyFont="1" applyBorder="1" applyProtection="1">
      <protection hidden="1"/>
    </xf>
    <xf numFmtId="0" fontId="13" fillId="0" borderId="15" xfId="0" applyFont="1" applyBorder="1" applyAlignment="1" applyProtection="1">
      <alignment horizontal="center" vertical="center" wrapText="1"/>
      <protection hidden="1"/>
    </xf>
    <xf numFmtId="0" fontId="2" fillId="0" borderId="71" xfId="0" applyFont="1" applyBorder="1" applyProtection="1">
      <protection hidden="1"/>
    </xf>
    <xf numFmtId="0" fontId="7" fillId="0" borderId="22" xfId="0" applyFont="1" applyBorder="1" applyAlignment="1" applyProtection="1">
      <alignment horizontal="center"/>
      <protection hidden="1"/>
    </xf>
    <xf numFmtId="0" fontId="2" fillId="0" borderId="73" xfId="0" applyFont="1" applyBorder="1" applyProtection="1">
      <protection hidden="1"/>
    </xf>
    <xf numFmtId="0" fontId="15" fillId="0" borderId="0" xfId="0" applyFont="1" applyAlignment="1" applyProtection="1">
      <alignment horizontal="center" vertical="center" wrapText="1"/>
      <protection hidden="1"/>
    </xf>
    <xf numFmtId="49" fontId="17" fillId="0" borderId="20" xfId="0" applyNumberFormat="1" applyFont="1" applyBorder="1" applyAlignment="1" applyProtection="1">
      <alignment horizontal="center" vertical="center"/>
      <protection hidden="1"/>
    </xf>
    <xf numFmtId="0" fontId="2" fillId="0" borderId="45" xfId="0" applyFont="1" applyBorder="1" applyProtection="1">
      <protection hidden="1"/>
    </xf>
    <xf numFmtId="0" fontId="7" fillId="0" borderId="70" xfId="0" applyFont="1" applyBorder="1" applyAlignment="1" applyProtection="1">
      <alignment horizontal="center"/>
      <protection locked="0"/>
    </xf>
    <xf numFmtId="0" fontId="2" fillId="0" borderId="71" xfId="0" applyFont="1" applyBorder="1" applyProtection="1">
      <protection locked="0"/>
    </xf>
    <xf numFmtId="0" fontId="13" fillId="0" borderId="6" xfId="0" applyFont="1" applyBorder="1" applyAlignment="1" applyProtection="1">
      <alignment horizontal="center" vertical="center" wrapText="1"/>
      <protection hidden="1"/>
    </xf>
    <xf numFmtId="0" fontId="2" fillId="0" borderId="68" xfId="0" applyFont="1" applyBorder="1" applyProtection="1">
      <protection hidden="1"/>
    </xf>
    <xf numFmtId="0" fontId="8" fillId="3" borderId="77" xfId="0" applyFont="1" applyFill="1" applyBorder="1" applyAlignment="1" applyProtection="1">
      <alignment horizontal="center" vertical="center"/>
      <protection hidden="1"/>
    </xf>
    <xf numFmtId="0" fontId="2" fillId="0" borderId="78" xfId="0" applyFont="1" applyBorder="1" applyProtection="1">
      <protection hidden="1"/>
    </xf>
    <xf numFmtId="0" fontId="2" fillId="0" borderId="79" xfId="0" applyFont="1" applyBorder="1" applyProtection="1">
      <protection hidden="1"/>
    </xf>
    <xf numFmtId="0" fontId="7" fillId="0" borderId="48" xfId="0" applyFont="1" applyBorder="1" applyAlignment="1" applyProtection="1">
      <alignment horizontal="center"/>
      <protection hidden="1"/>
    </xf>
    <xf numFmtId="0" fontId="2" fillId="0" borderId="82" xfId="0" applyFont="1" applyBorder="1" applyProtection="1">
      <protection hidden="1"/>
    </xf>
    <xf numFmtId="0" fontId="7" fillId="0" borderId="20" xfId="0" applyFont="1" applyBorder="1" applyAlignment="1" applyProtection="1">
      <alignment horizontal="center"/>
      <protection hidden="1"/>
    </xf>
    <xf numFmtId="0" fontId="5" fillId="0" borderId="86" xfId="0" applyFont="1" applyBorder="1" applyAlignment="1" applyProtection="1">
      <alignment horizontal="center" vertical="center"/>
      <protection hidden="1"/>
    </xf>
    <xf numFmtId="0" fontId="2" fillId="0" borderId="86" xfId="0" applyFont="1" applyBorder="1" applyProtection="1">
      <protection hidden="1"/>
    </xf>
    <xf numFmtId="0" fontId="10" fillId="3" borderId="53" xfId="0" applyFont="1" applyFill="1" applyBorder="1" applyAlignment="1" applyProtection="1">
      <alignment horizontal="center" vertical="center" wrapText="1"/>
      <protection hidden="1"/>
    </xf>
    <xf numFmtId="0" fontId="2" fillId="0" borderId="60" xfId="0" applyFont="1" applyBorder="1" applyProtection="1">
      <protection hidden="1"/>
    </xf>
    <xf numFmtId="0" fontId="2" fillId="0" borderId="62" xfId="0" applyFont="1" applyBorder="1" applyProtection="1">
      <protection hidden="1"/>
    </xf>
    <xf numFmtId="0" fontId="11" fillId="0" borderId="0" xfId="0" applyFont="1" applyAlignment="1">
      <alignment horizontal="center"/>
    </xf>
    <xf numFmtId="0" fontId="5" fillId="0" borderId="90" xfId="0" applyFont="1" applyBorder="1" applyAlignment="1">
      <alignment horizontal="center" wrapText="1"/>
    </xf>
    <xf numFmtId="0" fontId="2" fillId="0" borderId="91" xfId="0" applyFont="1" applyBorder="1"/>
    <xf numFmtId="0" fontId="2" fillId="0" borderId="92" xfId="0" applyFont="1" applyBorder="1"/>
    <xf numFmtId="0" fontId="1" fillId="0" borderId="2" xfId="0" applyFont="1" applyBorder="1" applyAlignment="1" applyProtection="1">
      <alignment horizontal="center" vertical="center"/>
      <protection hidden="1"/>
    </xf>
    <xf numFmtId="0" fontId="2" fillId="0" borderId="4" xfId="0" applyFont="1" applyBorder="1" applyProtection="1">
      <protection hidden="1"/>
    </xf>
    <xf numFmtId="0" fontId="3" fillId="0" borderId="2" xfId="0" applyFont="1" applyBorder="1" applyAlignment="1" applyProtection="1">
      <alignment horizontal="center" vertical="center"/>
      <protection hidden="1"/>
    </xf>
    <xf numFmtId="0" fontId="2" fillId="0" borderId="5" xfId="0" applyFont="1" applyBorder="1" applyProtection="1">
      <protection hidden="1"/>
    </xf>
    <xf numFmtId="0" fontId="1" fillId="0" borderId="8" xfId="0" applyFont="1" applyBorder="1" applyAlignment="1" applyProtection="1">
      <alignment horizontal="center" vertical="center"/>
      <protection hidden="1"/>
    </xf>
    <xf numFmtId="0" fontId="2" fillId="0" borderId="8" xfId="0" applyFont="1" applyBorder="1" applyProtection="1">
      <protection hidden="1"/>
    </xf>
    <xf numFmtId="0" fontId="2" fillId="0" borderId="9" xfId="0" applyFont="1" applyBorder="1" applyProtection="1">
      <protection hidden="1"/>
    </xf>
    <xf numFmtId="0" fontId="2" fillId="0" borderId="10" xfId="0" applyFont="1" applyBorder="1" applyProtection="1">
      <protection hidden="1"/>
    </xf>
    <xf numFmtId="0" fontId="3" fillId="0" borderId="10" xfId="0" applyFont="1" applyBorder="1" applyAlignment="1" applyProtection="1">
      <alignment horizontal="center" vertical="center" wrapText="1"/>
      <protection hidden="1"/>
    </xf>
    <xf numFmtId="0" fontId="2" fillId="0" borderId="11" xfId="0" applyFont="1" applyBorder="1" applyProtection="1">
      <protection hidden="1"/>
    </xf>
    <xf numFmtId="0" fontId="1" fillId="0" borderId="13" xfId="0" applyFont="1" applyBorder="1" applyAlignment="1" applyProtection="1">
      <alignment horizontal="center" vertical="center"/>
      <protection hidden="1"/>
    </xf>
    <xf numFmtId="0" fontId="2" fillId="0" borderId="14" xfId="0" applyFont="1" applyBorder="1" applyProtection="1">
      <protection hidden="1"/>
    </xf>
    <xf numFmtId="0" fontId="2" fillId="0" borderId="17" xfId="0" applyFont="1" applyBorder="1" applyProtection="1">
      <protection hidden="1"/>
    </xf>
    <xf numFmtId="0" fontId="2" fillId="0" borderId="18" xfId="0" applyFont="1" applyBorder="1" applyProtection="1">
      <protection hidden="1"/>
    </xf>
    <xf numFmtId="0" fontId="2" fillId="0" borderId="21" xfId="0" applyFont="1" applyBorder="1" applyProtection="1">
      <protection hidden="1"/>
    </xf>
    <xf numFmtId="0" fontId="1" fillId="0" borderId="23" xfId="0" applyFont="1" applyBorder="1" applyAlignment="1" applyProtection="1">
      <alignment horizontal="center" vertical="center"/>
      <protection hidden="1"/>
    </xf>
    <xf numFmtId="0" fontId="2" fillId="0" borderId="23" xfId="0" applyFont="1" applyBorder="1" applyProtection="1">
      <protection hidden="1"/>
    </xf>
    <xf numFmtId="0" fontId="2" fillId="0" borderId="25" xfId="0" applyFont="1" applyBorder="1" applyProtection="1">
      <protection hidden="1"/>
    </xf>
    <xf numFmtId="0" fontId="2" fillId="0" borderId="58" xfId="0" applyFont="1" applyBorder="1" applyProtection="1">
      <protection hidden="1"/>
    </xf>
    <xf numFmtId="0" fontId="10" fillId="3" borderId="61" xfId="0" applyFont="1" applyFill="1" applyBorder="1" applyAlignment="1" applyProtection="1">
      <alignment horizontal="center" vertical="center" wrapText="1"/>
      <protection hidden="1"/>
    </xf>
    <xf numFmtId="0" fontId="10" fillId="3" borderId="44" xfId="0" applyFont="1" applyFill="1" applyBorder="1" applyAlignment="1" applyProtection="1">
      <alignment horizontal="center" vertical="center" wrapText="1"/>
      <protection hidden="1"/>
    </xf>
    <xf numFmtId="0" fontId="10" fillId="3" borderId="63" xfId="0" applyFont="1" applyFill="1" applyBorder="1" applyAlignment="1" applyProtection="1">
      <alignment horizontal="center" vertical="center" wrapText="1"/>
      <protection hidden="1"/>
    </xf>
    <xf numFmtId="0" fontId="7" fillId="0" borderId="64" xfId="0" applyFont="1" applyBorder="1" applyAlignment="1" applyProtection="1">
      <alignment horizontal="center"/>
      <protection hidden="1"/>
    </xf>
    <xf numFmtId="2" fontId="7" fillId="0" borderId="65" xfId="0" applyNumberFormat="1" applyFont="1" applyBorder="1" applyAlignment="1" applyProtection="1">
      <alignment horizontal="center"/>
      <protection hidden="1"/>
    </xf>
    <xf numFmtId="0" fontId="7" fillId="0" borderId="66" xfId="0" applyFont="1" applyBorder="1" applyAlignment="1" applyProtection="1">
      <alignment horizontal="center"/>
      <protection hidden="1"/>
    </xf>
    <xf numFmtId="0" fontId="7" fillId="0" borderId="70" xfId="0" applyFont="1" applyBorder="1" applyAlignment="1" applyProtection="1">
      <alignment horizontal="center"/>
      <protection hidden="1"/>
    </xf>
    <xf numFmtId="0" fontId="7" fillId="0" borderId="15" xfId="0" applyFont="1" applyBorder="1" applyAlignment="1" applyProtection="1">
      <alignment horizontal="center"/>
      <protection hidden="1"/>
    </xf>
    <xf numFmtId="0" fontId="7" fillId="0" borderId="74" xfId="0" applyFont="1" applyBorder="1" applyAlignment="1" applyProtection="1">
      <alignment horizontal="center"/>
      <protection hidden="1"/>
    </xf>
    <xf numFmtId="2" fontId="7" fillId="0" borderId="76" xfId="0" applyNumberFormat="1" applyFont="1" applyBorder="1" applyAlignment="1" applyProtection="1">
      <alignment horizontal="center"/>
      <protection hidden="1"/>
    </xf>
    <xf numFmtId="0" fontId="7" fillId="0" borderId="80" xfId="0" applyFont="1" applyBorder="1" applyAlignment="1" applyProtection="1">
      <alignment horizontal="center"/>
      <protection hidden="1"/>
    </xf>
    <xf numFmtId="0" fontId="1" fillId="2" borderId="35" xfId="0" applyFont="1" applyFill="1" applyBorder="1" applyAlignment="1" applyProtection="1">
      <alignment horizontal="center" vertical="center" wrapText="1"/>
      <protection locked="0"/>
    </xf>
    <xf numFmtId="2" fontId="7" fillId="0" borderId="65" xfId="0" applyNumberFormat="1" applyFont="1" applyBorder="1" applyAlignment="1" applyProtection="1">
      <alignment horizontal="center"/>
      <protection locked="0"/>
    </xf>
    <xf numFmtId="0" fontId="7" fillId="0" borderId="65" xfId="0" applyFont="1" applyBorder="1" applyAlignment="1" applyProtection="1">
      <alignment horizontal="center"/>
      <protection locked="0"/>
    </xf>
    <xf numFmtId="0" fontId="7" fillId="0" borderId="66" xfId="0" applyFont="1" applyBorder="1" applyAlignment="1" applyProtection="1">
      <alignment horizontal="center"/>
      <protection locked="0"/>
    </xf>
    <xf numFmtId="0" fontId="2" fillId="0" borderId="67" xfId="0" applyFont="1" applyBorder="1" applyProtection="1">
      <protection locked="0"/>
    </xf>
    <xf numFmtId="2" fontId="7" fillId="0" borderId="76" xfId="0" applyNumberFormat="1" applyFont="1" applyBorder="1" applyAlignment="1" applyProtection="1">
      <alignment horizontal="center"/>
      <protection locked="0"/>
    </xf>
    <xf numFmtId="0" fontId="7" fillId="0" borderId="76" xfId="0" applyFont="1" applyBorder="1" applyAlignment="1" applyProtection="1">
      <alignment horizontal="center"/>
      <protection locked="0"/>
    </xf>
    <xf numFmtId="0" fontId="7" fillId="0" borderId="80" xfId="0" applyFont="1" applyBorder="1" applyAlignment="1" applyProtection="1">
      <alignment horizontal="center"/>
      <protection locked="0"/>
    </xf>
    <xf numFmtId="0" fontId="2" fillId="0" borderId="81" xfId="0" applyFont="1" applyBorder="1" applyProtection="1">
      <protection locked="0"/>
    </xf>
    <xf numFmtId="0" fontId="7" fillId="0" borderId="85" xfId="0" applyFont="1" applyBorder="1" applyAlignment="1" applyProtection="1">
      <alignment horizontal="center"/>
      <protection locked="0"/>
    </xf>
    <xf numFmtId="0" fontId="1" fillId="0" borderId="0" xfId="0" applyFont="1" applyAlignment="1" applyProtection="1">
      <alignment horizontal="left" vertical="center"/>
      <protection locked="0"/>
    </xf>
    <xf numFmtId="0" fontId="0" fillId="0" borderId="0" xfId="0" applyProtection="1">
      <protection locked="0"/>
    </xf>
    <xf numFmtId="0" fontId="1" fillId="0" borderId="87" xfId="0" applyFont="1" applyBorder="1" applyAlignment="1" applyProtection="1">
      <alignment horizontal="left" vertical="center"/>
      <protection locked="0"/>
    </xf>
    <xf numFmtId="0" fontId="2" fillId="0" borderId="87" xfId="0" applyFont="1" applyBorder="1" applyProtection="1">
      <protection locked="0"/>
    </xf>
    <xf numFmtId="0" fontId="5" fillId="0" borderId="0" xfId="0" applyFont="1" applyAlignment="1" applyProtection="1">
      <alignment vertical="center"/>
      <protection locked="0"/>
    </xf>
    <xf numFmtId="0" fontId="1" fillId="0" borderId="0" xfId="0" applyFont="1" applyAlignment="1" applyProtection="1">
      <alignment vertical="center"/>
      <protection locked="0"/>
    </xf>
  </cellXfs>
  <cellStyles count="1">
    <cellStyle name="Normal" xfId="0" builtinId="0"/>
  </cellStyles>
  <dxfs count="7">
    <dxf>
      <fill>
        <patternFill patternType="solid">
          <fgColor rgb="FFECECEC"/>
          <bgColor rgb="FFECECEC"/>
        </patternFill>
      </fill>
    </dxf>
    <dxf>
      <fill>
        <patternFill patternType="none"/>
      </fill>
    </dxf>
    <dxf>
      <fill>
        <patternFill patternType="solid">
          <fgColor rgb="FFE2EFD9"/>
          <bgColor rgb="FFE2EFD9"/>
        </patternFill>
      </fill>
    </dxf>
    <dxf>
      <fill>
        <patternFill patternType="solid">
          <fgColor rgb="FFE2EFD9"/>
          <bgColor rgb="FFE2EFD9"/>
        </patternFill>
      </fill>
    </dxf>
    <dxf>
      <fill>
        <patternFill patternType="solid">
          <fgColor rgb="FFECECEC"/>
          <bgColor rgb="FFECECEC"/>
        </patternFill>
      </fill>
    </dxf>
    <dxf>
      <fill>
        <patternFill patternType="solid">
          <fgColor rgb="FFE2EFD9"/>
          <bgColor rgb="FFE2EFD9"/>
        </patternFill>
      </fill>
    </dxf>
    <dxf>
      <fill>
        <patternFill patternType="solid">
          <fgColor rgb="FFE2EFD9"/>
          <bgColor rgb="FFE2EF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11</xdr:col>
      <xdr:colOff>190500</xdr:colOff>
      <xdr:row>37</xdr:row>
      <xdr:rowOff>161925</xdr:rowOff>
    </xdr:from>
    <xdr:ext cx="95250" cy="142875"/>
    <xdr:sp macro="" textlink="">
      <xdr:nvSpPr>
        <xdr:cNvPr id="3" name="Shape 3">
          <a:extLst>
            <a:ext uri="{FF2B5EF4-FFF2-40B4-BE49-F238E27FC236}">
              <a16:creationId xmlns:a16="http://schemas.microsoft.com/office/drawing/2014/main" id="{00000000-0008-0000-0100-000003000000}"/>
            </a:ext>
          </a:extLst>
        </xdr:cNvPr>
        <xdr:cNvSpPr/>
      </xdr:nvSpPr>
      <xdr:spPr>
        <a:xfrm>
          <a:off x="5303138" y="3718088"/>
          <a:ext cx="85725" cy="123825"/>
        </a:xfrm>
        <a:prstGeom prst="rect">
          <a:avLst/>
        </a:prstGeom>
        <a:solidFill>
          <a:schemeClr val="lt1"/>
        </a:solidFill>
        <a:ln w="12700" cap="flat" cmpd="sng">
          <a:solidFill>
            <a:schemeClr val="lt1"/>
          </a:solidFill>
          <a:prstDash val="solid"/>
          <a:miter lim="8000"/>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66675</xdr:colOff>
      <xdr:row>0</xdr:row>
      <xdr:rowOff>66675</xdr:rowOff>
    </xdr:from>
    <xdr:ext cx="2981325" cy="76200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21</xdr:col>
      <xdr:colOff>457200</xdr:colOff>
      <xdr:row>32</xdr:row>
      <xdr:rowOff>95250</xdr:rowOff>
    </xdr:from>
    <xdr:ext cx="3171825" cy="2019300"/>
    <xdr:pic>
      <xdr:nvPicPr>
        <xdr:cNvPr id="4" name="image5.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266700</xdr:colOff>
      <xdr:row>31</xdr:row>
      <xdr:rowOff>9525</xdr:rowOff>
    </xdr:from>
    <xdr:ext cx="2847975" cy="1247775"/>
    <xdr:pic>
      <xdr:nvPicPr>
        <xdr:cNvPr id="5" name="image4.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228600</xdr:colOff>
      <xdr:row>36</xdr:row>
      <xdr:rowOff>161925</xdr:rowOff>
    </xdr:from>
    <xdr:ext cx="2867025" cy="847725"/>
    <xdr:pic>
      <xdr:nvPicPr>
        <xdr:cNvPr id="6" name="image3.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sheetPr>
  <dimension ref="A1:AP1000"/>
  <sheetViews>
    <sheetView tabSelected="1" view="pageBreakPreview" zoomScale="60" zoomScaleNormal="100" workbookViewId="0">
      <selection activeCell="M36" sqref="M36"/>
    </sheetView>
  </sheetViews>
  <sheetFormatPr baseColWidth="10" defaultColWidth="14.42578125" defaultRowHeight="15" customHeight="1" x14ac:dyDescent="0.25"/>
  <cols>
    <col min="1" max="1" width="1" customWidth="1"/>
    <col min="2" max="2" width="16.140625" customWidth="1"/>
    <col min="3" max="3" width="19.28515625" customWidth="1"/>
    <col min="4" max="4" width="16.85546875" customWidth="1"/>
    <col min="5" max="5" width="14.7109375" customWidth="1"/>
    <col min="6" max="6" width="1.140625" customWidth="1"/>
    <col min="7" max="7" width="16.140625" customWidth="1"/>
    <col min="8" max="8" width="17.7109375" customWidth="1"/>
    <col min="9" max="12" width="15.7109375" customWidth="1"/>
    <col min="13" max="13" width="13.28515625" customWidth="1"/>
    <col min="14" max="14" width="12.85546875" customWidth="1"/>
    <col min="15" max="15" width="1" customWidth="1"/>
    <col min="16" max="16" width="1.28515625" customWidth="1"/>
    <col min="17" max="42" width="10.7109375" customWidth="1"/>
  </cols>
  <sheetData>
    <row r="1" spans="1:42" ht="17.25" customHeight="1" x14ac:dyDescent="0.25">
      <c r="A1" s="135"/>
      <c r="B1" s="136"/>
      <c r="C1" s="136"/>
      <c r="D1" s="136"/>
      <c r="E1" s="137" t="s">
        <v>0</v>
      </c>
      <c r="F1" s="136"/>
      <c r="G1" s="136"/>
      <c r="H1" s="136"/>
      <c r="I1" s="136"/>
      <c r="J1" s="136"/>
      <c r="K1" s="136"/>
      <c r="L1" s="138"/>
      <c r="M1" s="139" t="s">
        <v>1</v>
      </c>
      <c r="N1" s="140"/>
      <c r="O1" s="141"/>
      <c r="P1" s="1"/>
      <c r="Q1" s="1"/>
      <c r="R1" s="1"/>
      <c r="S1" s="1"/>
      <c r="T1" s="1"/>
      <c r="U1" s="1"/>
      <c r="V1" s="1"/>
      <c r="W1" s="1"/>
      <c r="X1" s="1"/>
      <c r="Y1" s="1"/>
      <c r="Z1" s="1"/>
      <c r="AA1" s="1"/>
      <c r="AB1" s="1"/>
      <c r="AC1" s="1"/>
      <c r="AD1" s="1"/>
      <c r="AE1" s="1"/>
      <c r="AF1" s="1"/>
      <c r="AG1" s="1"/>
      <c r="AH1" s="1"/>
      <c r="AI1" s="1"/>
      <c r="AJ1" s="1"/>
      <c r="AK1" s="1"/>
      <c r="AL1" s="1"/>
      <c r="AM1" s="1"/>
      <c r="AN1" s="1"/>
      <c r="AO1" s="1"/>
      <c r="AP1" s="1"/>
    </row>
    <row r="2" spans="1:42" ht="17.25" customHeight="1" x14ac:dyDescent="0.25">
      <c r="A2" s="142"/>
      <c r="B2" s="95"/>
      <c r="C2" s="95"/>
      <c r="D2" s="95"/>
      <c r="E2" s="143" t="s">
        <v>2</v>
      </c>
      <c r="F2" s="95"/>
      <c r="G2" s="95"/>
      <c r="H2" s="95"/>
      <c r="I2" s="95"/>
      <c r="J2" s="95"/>
      <c r="K2" s="95"/>
      <c r="L2" s="144"/>
      <c r="M2" s="145" t="s">
        <v>3</v>
      </c>
      <c r="N2" s="83"/>
      <c r="O2" s="146"/>
      <c r="P2" s="1"/>
      <c r="Q2" s="1"/>
      <c r="R2" s="1"/>
      <c r="S2" s="1"/>
      <c r="T2" s="1"/>
      <c r="U2" s="1"/>
      <c r="V2" s="1"/>
      <c r="W2" s="1"/>
      <c r="X2" s="1"/>
      <c r="Y2" s="1"/>
      <c r="Z2" s="1"/>
      <c r="AA2" s="1"/>
      <c r="AB2" s="1"/>
      <c r="AC2" s="1"/>
      <c r="AD2" s="1"/>
      <c r="AE2" s="1"/>
      <c r="AF2" s="1"/>
      <c r="AG2" s="1"/>
      <c r="AH2" s="1"/>
      <c r="AI2" s="1"/>
      <c r="AJ2" s="1"/>
      <c r="AK2" s="1"/>
      <c r="AL2" s="1"/>
      <c r="AM2" s="1"/>
      <c r="AN2" s="1"/>
      <c r="AO2" s="1"/>
      <c r="AP2" s="1"/>
    </row>
    <row r="3" spans="1:42" ht="17.25" customHeight="1" x14ac:dyDescent="0.25">
      <c r="A3" s="142"/>
      <c r="B3" s="95"/>
      <c r="C3" s="95"/>
      <c r="D3" s="95"/>
      <c r="E3" s="142"/>
      <c r="F3" s="95"/>
      <c r="G3" s="95"/>
      <c r="H3" s="95"/>
      <c r="I3" s="95"/>
      <c r="J3" s="95"/>
      <c r="K3" s="95"/>
      <c r="L3" s="144"/>
      <c r="M3" s="145" t="s">
        <v>4</v>
      </c>
      <c r="N3" s="83"/>
      <c r="O3" s="146"/>
      <c r="P3" s="1"/>
      <c r="Q3" s="1"/>
      <c r="R3" s="1"/>
      <c r="S3" s="1"/>
      <c r="T3" s="1"/>
      <c r="U3" s="1"/>
      <c r="V3" s="1"/>
      <c r="W3" s="1"/>
      <c r="X3" s="1"/>
      <c r="Y3" s="1"/>
      <c r="Z3" s="1"/>
      <c r="AA3" s="1"/>
      <c r="AB3" s="1"/>
      <c r="AC3" s="1"/>
      <c r="AD3" s="1"/>
      <c r="AE3" s="1"/>
      <c r="AF3" s="1"/>
      <c r="AG3" s="1"/>
      <c r="AH3" s="99" t="s">
        <v>5</v>
      </c>
      <c r="AI3" s="100"/>
      <c r="AJ3" s="100"/>
      <c r="AK3" s="100"/>
      <c r="AL3" s="1"/>
      <c r="AM3" s="1"/>
      <c r="AN3" s="1"/>
      <c r="AO3" s="1"/>
      <c r="AP3" s="1"/>
    </row>
    <row r="4" spans="1:42" ht="17.25" customHeight="1" x14ac:dyDescent="0.25">
      <c r="A4" s="147"/>
      <c r="B4" s="148"/>
      <c r="C4" s="148"/>
      <c r="D4" s="148"/>
      <c r="E4" s="147"/>
      <c r="F4" s="148"/>
      <c r="G4" s="148"/>
      <c r="H4" s="148"/>
      <c r="I4" s="148"/>
      <c r="J4" s="148"/>
      <c r="K4" s="148"/>
      <c r="L4" s="149"/>
      <c r="M4" s="150" t="s">
        <v>6</v>
      </c>
      <c r="N4" s="151"/>
      <c r="O4" s="152"/>
      <c r="P4" s="1"/>
      <c r="Q4" s="1"/>
      <c r="R4" s="1"/>
      <c r="S4" s="1"/>
      <c r="T4" s="1"/>
      <c r="U4" s="1"/>
      <c r="V4" s="1"/>
      <c r="W4" s="1"/>
      <c r="X4" s="1"/>
      <c r="Y4" s="1"/>
      <c r="Z4" s="1"/>
      <c r="AA4" s="1"/>
      <c r="AB4" s="1"/>
      <c r="AC4" s="1"/>
      <c r="AD4" s="1"/>
      <c r="AE4" s="1"/>
      <c r="AF4" s="1"/>
      <c r="AG4" s="1"/>
      <c r="AH4" s="100"/>
      <c r="AI4" s="100"/>
      <c r="AJ4" s="100"/>
      <c r="AK4" s="100"/>
      <c r="AL4" s="1"/>
      <c r="AM4" s="1"/>
      <c r="AN4" s="1"/>
      <c r="AO4" s="1"/>
      <c r="AP4" s="1"/>
    </row>
    <row r="5" spans="1:42" ht="3.75" customHeight="1" x14ac:dyDescent="0.25">
      <c r="A5" s="26"/>
      <c r="B5" s="103"/>
      <c r="C5" s="95"/>
      <c r="D5" s="95"/>
      <c r="E5" s="95"/>
      <c r="F5" s="95"/>
      <c r="G5" s="95"/>
      <c r="H5" s="95"/>
      <c r="I5" s="95"/>
      <c r="J5" s="95"/>
      <c r="K5" s="95"/>
      <c r="L5" s="95"/>
      <c r="M5" s="95"/>
      <c r="N5" s="27"/>
      <c r="O5" s="28"/>
      <c r="P5" s="1"/>
      <c r="Q5" s="1"/>
      <c r="R5" s="1"/>
      <c r="S5" s="1"/>
      <c r="T5" s="1"/>
      <c r="U5" s="1"/>
      <c r="V5" s="1"/>
      <c r="W5" s="1"/>
      <c r="X5" s="1"/>
      <c r="Y5" s="1"/>
      <c r="Z5" s="1"/>
      <c r="AA5" s="1"/>
      <c r="AB5" s="1"/>
      <c r="AC5" s="1"/>
      <c r="AD5" s="1"/>
      <c r="AE5" s="1"/>
      <c r="AF5" s="1"/>
      <c r="AG5" s="1"/>
      <c r="AH5" s="100"/>
      <c r="AI5" s="100"/>
      <c r="AJ5" s="100"/>
      <c r="AK5" s="100"/>
      <c r="AL5" s="1"/>
      <c r="AM5" s="1"/>
      <c r="AN5" s="1"/>
      <c r="AO5" s="1"/>
      <c r="AP5" s="1"/>
    </row>
    <row r="6" spans="1:42" ht="22.5" customHeight="1" x14ac:dyDescent="0.25">
      <c r="A6" s="29"/>
      <c r="B6" s="88" t="s">
        <v>7</v>
      </c>
      <c r="C6" s="89"/>
      <c r="D6" s="92"/>
      <c r="E6" s="104"/>
      <c r="F6" s="104"/>
      <c r="G6" s="104"/>
      <c r="H6" s="104"/>
      <c r="I6" s="91"/>
      <c r="J6" s="88" t="s">
        <v>8</v>
      </c>
      <c r="K6" s="89"/>
      <c r="L6" s="105"/>
      <c r="M6" s="104"/>
      <c r="N6" s="91"/>
      <c r="O6" s="30"/>
      <c r="P6" s="1"/>
      <c r="Q6" s="1"/>
      <c r="R6" s="1"/>
      <c r="S6" s="1"/>
      <c r="T6" s="1"/>
      <c r="U6" s="1"/>
      <c r="V6" s="1"/>
      <c r="W6" s="1"/>
      <c r="X6" s="1"/>
      <c r="Y6" s="1"/>
      <c r="Z6" s="1"/>
      <c r="AA6" s="1"/>
      <c r="AB6" s="1"/>
      <c r="AC6" s="1"/>
      <c r="AD6" s="1"/>
      <c r="AE6" s="1"/>
      <c r="AF6" s="1"/>
      <c r="AG6" s="1"/>
      <c r="AH6" s="3" t="s">
        <v>9</v>
      </c>
      <c r="AI6" s="2"/>
      <c r="AJ6" s="2"/>
      <c r="AK6" s="2"/>
      <c r="AL6" s="1"/>
      <c r="AM6" s="1"/>
      <c r="AN6" s="1"/>
      <c r="AO6" s="1"/>
      <c r="AP6" s="1"/>
    </row>
    <row r="7" spans="1:42" ht="22.5" customHeight="1" x14ac:dyDescent="0.25">
      <c r="A7" s="26"/>
      <c r="B7" s="63" t="s">
        <v>10</v>
      </c>
      <c r="C7" s="64"/>
      <c r="D7" s="165"/>
      <c r="E7" s="66"/>
      <c r="F7" s="66"/>
      <c r="G7" s="66"/>
      <c r="H7" s="66"/>
      <c r="I7" s="67"/>
      <c r="J7" s="63" t="s">
        <v>11</v>
      </c>
      <c r="K7" s="64"/>
      <c r="L7" s="98"/>
      <c r="M7" s="66"/>
      <c r="N7" s="67"/>
      <c r="O7" s="31"/>
      <c r="P7" s="1"/>
      <c r="Q7" s="1"/>
      <c r="R7" s="1"/>
      <c r="S7" s="1"/>
      <c r="T7" s="1"/>
      <c r="U7" s="1"/>
      <c r="V7" s="1"/>
      <c r="W7" s="1"/>
      <c r="X7" s="1"/>
      <c r="Y7" s="1"/>
      <c r="Z7" s="1"/>
      <c r="AA7" s="1"/>
      <c r="AB7" s="1"/>
      <c r="AC7" s="1"/>
      <c r="AD7" s="1"/>
      <c r="AE7" s="1"/>
      <c r="AF7" s="1"/>
      <c r="AG7" s="1"/>
      <c r="AH7" s="3" t="s">
        <v>12</v>
      </c>
      <c r="AI7" s="2"/>
      <c r="AJ7" s="2"/>
      <c r="AK7" s="2"/>
      <c r="AL7" s="1"/>
      <c r="AM7" s="1"/>
      <c r="AN7" s="1"/>
      <c r="AO7" s="1"/>
      <c r="AP7" s="1"/>
    </row>
    <row r="8" spans="1:42" ht="22.5" customHeight="1" x14ac:dyDescent="0.25">
      <c r="A8" s="26"/>
      <c r="B8" s="63" t="s">
        <v>13</v>
      </c>
      <c r="C8" s="64"/>
      <c r="D8" s="165"/>
      <c r="E8" s="66"/>
      <c r="F8" s="66"/>
      <c r="G8" s="66"/>
      <c r="H8" s="66"/>
      <c r="I8" s="67"/>
      <c r="J8" s="63" t="s">
        <v>14</v>
      </c>
      <c r="K8" s="64"/>
      <c r="L8" s="98"/>
      <c r="M8" s="66"/>
      <c r="N8" s="67"/>
      <c r="O8" s="31"/>
      <c r="P8" s="1"/>
      <c r="Q8" s="1"/>
      <c r="R8" s="1"/>
      <c r="S8" s="1"/>
      <c r="T8" s="1"/>
      <c r="U8" s="1"/>
      <c r="V8" s="1"/>
      <c r="W8" s="1"/>
      <c r="X8" s="1"/>
      <c r="Y8" s="1"/>
      <c r="Z8" s="1"/>
      <c r="AA8" s="1"/>
      <c r="AB8" s="1"/>
      <c r="AC8" s="1"/>
      <c r="AD8" s="1"/>
      <c r="AE8" s="1"/>
      <c r="AF8" s="1"/>
      <c r="AG8" s="1"/>
      <c r="AH8" s="3" t="s">
        <v>15</v>
      </c>
      <c r="AI8" s="2"/>
      <c r="AJ8" s="2"/>
      <c r="AK8" s="2"/>
      <c r="AL8" s="1"/>
      <c r="AM8" s="1"/>
      <c r="AN8" s="1"/>
      <c r="AO8" s="1"/>
      <c r="AP8" s="1"/>
    </row>
    <row r="9" spans="1:42" ht="22.5" customHeight="1" x14ac:dyDescent="0.25">
      <c r="A9" s="26"/>
      <c r="B9" s="63" t="s">
        <v>16</v>
      </c>
      <c r="C9" s="64"/>
      <c r="D9" s="65"/>
      <c r="E9" s="66"/>
      <c r="F9" s="66"/>
      <c r="G9" s="66"/>
      <c r="H9" s="66"/>
      <c r="I9" s="67"/>
      <c r="J9" s="63" t="s">
        <v>17</v>
      </c>
      <c r="K9" s="64"/>
      <c r="L9" s="32" t="s">
        <v>18</v>
      </c>
      <c r="M9" s="20"/>
      <c r="N9" s="21"/>
      <c r="O9" s="31"/>
      <c r="P9" s="1"/>
      <c r="Q9" s="1"/>
      <c r="R9" s="1"/>
      <c r="S9" s="1"/>
      <c r="T9" s="1"/>
      <c r="U9" s="1"/>
      <c r="V9" s="1"/>
      <c r="W9" s="1"/>
      <c r="X9" s="1"/>
      <c r="Y9" s="1"/>
      <c r="Z9" s="1"/>
      <c r="AA9" s="1"/>
      <c r="AB9" s="1"/>
      <c r="AC9" s="1"/>
      <c r="AD9" s="1"/>
      <c r="AE9" s="1"/>
      <c r="AF9" s="1"/>
      <c r="AG9" s="1"/>
      <c r="AH9" s="3" t="s">
        <v>19</v>
      </c>
      <c r="AI9" s="2"/>
      <c r="AJ9" s="2"/>
      <c r="AK9" s="2"/>
      <c r="AL9" s="1"/>
      <c r="AM9" s="1"/>
      <c r="AN9" s="1"/>
      <c r="AO9" s="1"/>
      <c r="AP9" s="1"/>
    </row>
    <row r="10" spans="1:42" ht="22.5" customHeight="1" x14ac:dyDescent="0.25">
      <c r="A10" s="26"/>
      <c r="B10" s="94" t="s">
        <v>20</v>
      </c>
      <c r="C10" s="95"/>
      <c r="D10" s="65"/>
      <c r="E10" s="66"/>
      <c r="F10" s="66"/>
      <c r="G10" s="66"/>
      <c r="H10" s="66"/>
      <c r="I10" s="67"/>
      <c r="J10" s="96" t="s">
        <v>21</v>
      </c>
      <c r="K10" s="97"/>
      <c r="L10" s="82" t="str">
        <f>CONCATENATE(M9,," ",N9,"-",F12,"-",I12)</f>
        <v xml:space="preserve"> --</v>
      </c>
      <c r="M10" s="83"/>
      <c r="N10" s="84"/>
      <c r="O10" s="33"/>
      <c r="P10" s="1"/>
      <c r="Q10" s="1"/>
      <c r="R10" s="1"/>
      <c r="S10" s="1"/>
      <c r="T10" s="1"/>
      <c r="U10" s="1"/>
      <c r="V10" s="1"/>
      <c r="W10" s="1"/>
      <c r="X10" s="1"/>
      <c r="Y10" s="1"/>
      <c r="Z10" s="1"/>
      <c r="AA10" s="1"/>
      <c r="AB10" s="1"/>
      <c r="AC10" s="1"/>
      <c r="AD10" s="1"/>
      <c r="AE10" s="1"/>
      <c r="AF10" s="1"/>
      <c r="AG10" s="1"/>
      <c r="AH10" s="3" t="s">
        <v>22</v>
      </c>
      <c r="AI10" s="2"/>
      <c r="AJ10" s="2"/>
      <c r="AK10" s="2"/>
      <c r="AL10" s="1"/>
      <c r="AM10" s="1"/>
      <c r="AN10" s="1"/>
      <c r="AO10" s="1"/>
      <c r="AP10" s="1"/>
    </row>
    <row r="11" spans="1:42" ht="3.75" customHeight="1" x14ac:dyDescent="0.25">
      <c r="A11" s="34"/>
      <c r="B11" s="85"/>
      <c r="C11" s="86"/>
      <c r="D11" s="86"/>
      <c r="E11" s="86"/>
      <c r="F11" s="86"/>
      <c r="G11" s="86"/>
      <c r="H11" s="86"/>
      <c r="I11" s="86"/>
      <c r="J11" s="86"/>
      <c r="K11" s="86"/>
      <c r="L11" s="86"/>
      <c r="M11" s="87"/>
      <c r="N11" s="35"/>
      <c r="O11" s="36"/>
      <c r="P11" s="1"/>
      <c r="Q11" s="1"/>
      <c r="R11" s="1"/>
      <c r="S11" s="1"/>
      <c r="T11" s="1"/>
      <c r="U11" s="1"/>
      <c r="V11" s="1"/>
      <c r="W11" s="1"/>
      <c r="X11" s="1"/>
      <c r="Y11" s="1"/>
      <c r="Z11" s="1"/>
      <c r="AA11" s="1"/>
      <c r="AB11" s="1"/>
      <c r="AC11" s="1"/>
      <c r="AD11" s="1"/>
      <c r="AE11" s="1"/>
      <c r="AF11" s="1"/>
      <c r="AG11" s="1"/>
      <c r="AH11" s="3"/>
      <c r="AI11" s="2"/>
      <c r="AJ11" s="2"/>
      <c r="AK11" s="2"/>
      <c r="AL11" s="1"/>
      <c r="AM11" s="1"/>
      <c r="AN11" s="1"/>
      <c r="AO11" s="1"/>
      <c r="AP11" s="1"/>
    </row>
    <row r="12" spans="1:42" ht="22.5" customHeight="1" x14ac:dyDescent="0.25">
      <c r="A12" s="29"/>
      <c r="B12" s="88" t="s">
        <v>23</v>
      </c>
      <c r="C12" s="89"/>
      <c r="D12" s="90"/>
      <c r="E12" s="91"/>
      <c r="F12" s="92"/>
      <c r="G12" s="91"/>
      <c r="H12" s="37" t="s">
        <v>24</v>
      </c>
      <c r="I12" s="19"/>
      <c r="J12" s="93" t="s">
        <v>25</v>
      </c>
      <c r="K12" s="89"/>
      <c r="L12" s="18"/>
      <c r="M12" s="38" t="s">
        <v>26</v>
      </c>
      <c r="N12" s="17"/>
      <c r="O12" s="39"/>
      <c r="P12" s="1"/>
      <c r="Q12" s="1"/>
      <c r="R12" s="1"/>
      <c r="S12" s="1"/>
      <c r="T12" s="1"/>
      <c r="U12" s="1"/>
      <c r="V12" s="1"/>
      <c r="W12" s="1"/>
      <c r="X12" s="1"/>
      <c r="Y12" s="1"/>
      <c r="Z12" s="1"/>
      <c r="AA12" s="1"/>
      <c r="AB12" s="1"/>
      <c r="AC12" s="1"/>
      <c r="AD12" s="1"/>
      <c r="AE12" s="1"/>
      <c r="AF12" s="1"/>
      <c r="AG12" s="1"/>
      <c r="AH12" s="3"/>
      <c r="AI12" s="2"/>
      <c r="AJ12" s="2"/>
      <c r="AK12" s="2"/>
      <c r="AL12" s="1"/>
      <c r="AM12" s="1"/>
      <c r="AN12" s="1"/>
      <c r="AO12" s="1"/>
      <c r="AP12" s="1"/>
    </row>
    <row r="13" spans="1:42" ht="22.5" customHeight="1" x14ac:dyDescent="0.25">
      <c r="A13" s="26"/>
      <c r="B13" s="63" t="s">
        <v>27</v>
      </c>
      <c r="C13" s="64"/>
      <c r="D13" s="65"/>
      <c r="E13" s="66"/>
      <c r="F13" s="66"/>
      <c r="G13" s="66"/>
      <c r="H13" s="66"/>
      <c r="I13" s="66"/>
      <c r="J13" s="66"/>
      <c r="K13" s="66"/>
      <c r="L13" s="66"/>
      <c r="M13" s="66"/>
      <c r="N13" s="67"/>
      <c r="O13" s="40"/>
      <c r="P13" s="1"/>
      <c r="Q13" s="1"/>
      <c r="R13" s="1"/>
      <c r="S13" s="1"/>
      <c r="T13" s="1"/>
      <c r="U13" s="1"/>
      <c r="V13" s="1"/>
      <c r="W13" s="1"/>
      <c r="X13" s="1"/>
      <c r="Y13" s="1"/>
      <c r="Z13" s="1"/>
      <c r="AA13" s="1"/>
      <c r="AB13" s="1"/>
      <c r="AC13" s="1"/>
      <c r="AD13" s="1"/>
      <c r="AE13" s="1"/>
      <c r="AF13" s="1"/>
      <c r="AG13" s="1"/>
      <c r="AH13" s="3"/>
      <c r="AI13" s="2"/>
      <c r="AJ13" s="2"/>
      <c r="AK13" s="2"/>
      <c r="AL13" s="1"/>
      <c r="AM13" s="1"/>
      <c r="AN13" s="1"/>
      <c r="AO13" s="1"/>
      <c r="AP13" s="1"/>
    </row>
    <row r="14" spans="1:42" ht="6.75" customHeight="1" x14ac:dyDescent="0.25">
      <c r="A14" s="34"/>
      <c r="B14" s="41"/>
      <c r="C14" s="41"/>
      <c r="D14" s="42"/>
      <c r="E14" s="42"/>
      <c r="F14" s="42"/>
      <c r="G14" s="42"/>
      <c r="H14" s="42"/>
      <c r="I14" s="42"/>
      <c r="J14" s="42"/>
      <c r="K14" s="42"/>
      <c r="L14" s="42"/>
      <c r="M14" s="42"/>
      <c r="N14" s="42"/>
      <c r="O14" s="43"/>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row>
    <row r="15" spans="1:42" x14ac:dyDescent="0.25">
      <c r="A15" s="44"/>
      <c r="B15" s="25"/>
      <c r="C15" s="25"/>
      <c r="D15" s="25"/>
      <c r="E15" s="25"/>
      <c r="F15" s="25"/>
      <c r="G15" s="25"/>
      <c r="H15" s="25"/>
      <c r="I15" s="25"/>
      <c r="J15" s="25"/>
      <c r="K15" s="25"/>
      <c r="L15" s="25"/>
      <c r="M15" s="25"/>
      <c r="N15" s="25"/>
      <c r="O15" s="45"/>
    </row>
    <row r="16" spans="1:42" ht="15.75" x14ac:dyDescent="0.25">
      <c r="A16" s="68" t="s">
        <v>28</v>
      </c>
      <c r="B16" s="69"/>
      <c r="C16" s="69"/>
      <c r="D16" s="69"/>
      <c r="E16" s="69"/>
      <c r="F16" s="69"/>
      <c r="G16" s="69"/>
      <c r="H16" s="69"/>
      <c r="I16" s="69"/>
      <c r="J16" s="69"/>
      <c r="K16" s="69"/>
      <c r="L16" s="69"/>
      <c r="M16" s="69"/>
      <c r="N16" s="69"/>
      <c r="O16" s="70"/>
    </row>
    <row r="17" spans="1:21" x14ac:dyDescent="0.25">
      <c r="A17" s="44"/>
      <c r="B17" s="25"/>
      <c r="C17" s="25"/>
      <c r="D17" s="25"/>
      <c r="E17" s="25"/>
      <c r="F17" s="25"/>
      <c r="G17" s="25"/>
      <c r="H17" s="25"/>
      <c r="I17" s="25"/>
      <c r="J17" s="25"/>
      <c r="K17" s="25"/>
      <c r="L17" s="25"/>
      <c r="M17" s="25"/>
      <c r="N17" s="25"/>
      <c r="O17" s="45"/>
    </row>
    <row r="18" spans="1:21" ht="16.5" customHeight="1" x14ac:dyDescent="0.25">
      <c r="A18" s="44"/>
      <c r="B18" s="71" t="s">
        <v>29</v>
      </c>
      <c r="C18" s="46" t="s">
        <v>30</v>
      </c>
      <c r="D18" s="74" t="s">
        <v>31</v>
      </c>
      <c r="E18" s="75" t="s">
        <v>32</v>
      </c>
      <c r="F18" s="106"/>
      <c r="G18" s="76"/>
      <c r="H18" s="74" t="s">
        <v>33</v>
      </c>
      <c r="I18" s="74" t="s">
        <v>34</v>
      </c>
      <c r="J18" s="81" t="s">
        <v>35</v>
      </c>
      <c r="K18" s="128" t="s">
        <v>36</v>
      </c>
      <c r="L18" s="81" t="s">
        <v>37</v>
      </c>
      <c r="M18" s="81" t="s">
        <v>38</v>
      </c>
      <c r="N18" s="75" t="s">
        <v>39</v>
      </c>
      <c r="O18" s="76"/>
      <c r="S18" s="131" t="s">
        <v>40</v>
      </c>
      <c r="T18" s="100"/>
      <c r="U18" s="100"/>
    </row>
    <row r="19" spans="1:21" ht="14.25" customHeight="1" x14ac:dyDescent="0.25">
      <c r="A19" s="44"/>
      <c r="B19" s="72"/>
      <c r="C19" s="47" t="s">
        <v>41</v>
      </c>
      <c r="D19" s="73"/>
      <c r="E19" s="79"/>
      <c r="F19" s="153"/>
      <c r="G19" s="80"/>
      <c r="H19" s="72"/>
      <c r="I19" s="72"/>
      <c r="J19" s="73"/>
      <c r="K19" s="129"/>
      <c r="L19" s="73"/>
      <c r="M19" s="73"/>
      <c r="N19" s="77"/>
      <c r="O19" s="78"/>
      <c r="S19" s="4" t="s">
        <v>42</v>
      </c>
    </row>
    <row r="20" spans="1:21" ht="14.25" customHeight="1" x14ac:dyDescent="0.25">
      <c r="A20" s="44"/>
      <c r="B20" s="73"/>
      <c r="C20" s="47" t="s">
        <v>43</v>
      </c>
      <c r="D20" s="47" t="s">
        <v>44</v>
      </c>
      <c r="E20" s="154" t="s">
        <v>45</v>
      </c>
      <c r="F20" s="155"/>
      <c r="G20" s="156" t="s">
        <v>46</v>
      </c>
      <c r="H20" s="73"/>
      <c r="I20" s="73"/>
      <c r="J20" s="47" t="s">
        <v>44</v>
      </c>
      <c r="K20" s="130"/>
      <c r="L20" s="47" t="s">
        <v>47</v>
      </c>
      <c r="M20" s="47" t="s">
        <v>47</v>
      </c>
      <c r="N20" s="79"/>
      <c r="O20" s="80"/>
      <c r="S20" s="4" t="s">
        <v>48</v>
      </c>
    </row>
    <row r="21" spans="1:21" ht="15.75" customHeight="1" x14ac:dyDescent="0.25">
      <c r="A21" s="44"/>
      <c r="B21" s="157">
        <v>1</v>
      </c>
      <c r="C21" s="166"/>
      <c r="D21" s="167"/>
      <c r="E21" s="168"/>
      <c r="F21" s="169"/>
      <c r="G21" s="166">
        <v>0</v>
      </c>
      <c r="H21" s="158">
        <f t="shared" ref="H21:H26" si="0">+E21+G21/2</f>
        <v>0</v>
      </c>
      <c r="I21" s="158">
        <f t="shared" ref="I21:I26" si="1">IF(N21="AXIAL", ((4*H21*D21)/3.1416), IF(OR(N21="BLOQUE",N21="IRREGULAR"),((4*H21*D21)/3.1416),IF(N21="DIAMETRAL", (D21*D21), "")))</f>
        <v>0</v>
      </c>
      <c r="J21" s="158">
        <f t="shared" ref="J21:J30" si="2">IF(N21="AXIAL", SQRT(I21), IF(OR(N21="BLOQUE",N21="IRREGULAR"), SQRT(I21),IF(N21="DIAMETRAL", D21, "")))</f>
        <v>0</v>
      </c>
      <c r="K21" s="158">
        <f t="shared" ref="K21:K26" si="3">IF(OR(D21&lt;49, D21&gt;51), (J21/50)^0.45, SQRT(J21/50))</f>
        <v>0</v>
      </c>
      <c r="L21" s="158" t="e">
        <f>(C21*1000)/I21</f>
        <v>#DIV/0!</v>
      </c>
      <c r="M21" s="158" t="e">
        <f t="shared" ref="M21:M26" si="4">L21*K21</f>
        <v>#DIV/0!</v>
      </c>
      <c r="N21" s="159" t="s">
        <v>42</v>
      </c>
      <c r="O21" s="76"/>
      <c r="R21" s="5"/>
      <c r="S21" s="4" t="s">
        <v>49</v>
      </c>
    </row>
    <row r="22" spans="1:21" ht="15.75" customHeight="1" x14ac:dyDescent="0.25">
      <c r="A22" s="44"/>
      <c r="B22" s="49">
        <v>2</v>
      </c>
      <c r="C22" s="22"/>
      <c r="D22" s="23"/>
      <c r="E22" s="116"/>
      <c r="F22" s="117"/>
      <c r="G22" s="22">
        <v>0</v>
      </c>
      <c r="H22" s="48">
        <f t="shared" si="0"/>
        <v>0</v>
      </c>
      <c r="I22" s="48">
        <f t="shared" si="1"/>
        <v>0</v>
      </c>
      <c r="J22" s="48">
        <f t="shared" si="2"/>
        <v>0</v>
      </c>
      <c r="K22" s="48">
        <f t="shared" si="3"/>
        <v>0</v>
      </c>
      <c r="L22" s="48" t="e">
        <f t="shared" ref="L22:L26" si="5">IF(N22="DIAMETRAL", C22*1000/D22, C22*1000/I22)</f>
        <v>#DIV/0!</v>
      </c>
      <c r="M22" s="48" t="e">
        <f t="shared" si="4"/>
        <v>#DIV/0!</v>
      </c>
      <c r="N22" s="160" t="s">
        <v>42</v>
      </c>
      <c r="O22" s="108"/>
      <c r="R22" s="5"/>
      <c r="S22" s="4" t="s">
        <v>50</v>
      </c>
    </row>
    <row r="23" spans="1:21" ht="15.75" customHeight="1" x14ac:dyDescent="0.25">
      <c r="A23" s="44"/>
      <c r="B23" s="49">
        <v>3</v>
      </c>
      <c r="C23" s="22"/>
      <c r="D23" s="23"/>
      <c r="E23" s="116"/>
      <c r="F23" s="117"/>
      <c r="G23" s="22">
        <v>0</v>
      </c>
      <c r="H23" s="48">
        <f t="shared" si="0"/>
        <v>0</v>
      </c>
      <c r="I23" s="48">
        <f t="shared" si="1"/>
        <v>0</v>
      </c>
      <c r="J23" s="48">
        <f t="shared" si="2"/>
        <v>0</v>
      </c>
      <c r="K23" s="48">
        <f t="shared" si="3"/>
        <v>0</v>
      </c>
      <c r="L23" s="48" t="e">
        <f t="shared" si="5"/>
        <v>#DIV/0!</v>
      </c>
      <c r="M23" s="48" t="e">
        <f t="shared" si="4"/>
        <v>#DIV/0!</v>
      </c>
      <c r="N23" s="160" t="s">
        <v>42</v>
      </c>
      <c r="O23" s="108"/>
      <c r="R23" s="5"/>
    </row>
    <row r="24" spans="1:21" ht="15.75" customHeight="1" x14ac:dyDescent="0.25">
      <c r="A24" s="44"/>
      <c r="B24" s="49">
        <v>4</v>
      </c>
      <c r="C24" s="22"/>
      <c r="D24" s="23"/>
      <c r="E24" s="116"/>
      <c r="F24" s="117"/>
      <c r="G24" s="22">
        <v>0</v>
      </c>
      <c r="H24" s="48">
        <f t="shared" si="0"/>
        <v>0</v>
      </c>
      <c r="I24" s="48">
        <f t="shared" si="1"/>
        <v>0</v>
      </c>
      <c r="J24" s="48">
        <f t="shared" si="2"/>
        <v>0</v>
      </c>
      <c r="K24" s="48">
        <f t="shared" si="3"/>
        <v>0</v>
      </c>
      <c r="L24" s="48" t="e">
        <f t="shared" si="5"/>
        <v>#DIV/0!</v>
      </c>
      <c r="M24" s="48" t="e">
        <f t="shared" si="4"/>
        <v>#DIV/0!</v>
      </c>
      <c r="N24" s="160" t="s">
        <v>42</v>
      </c>
      <c r="O24" s="108"/>
      <c r="R24" s="5"/>
    </row>
    <row r="25" spans="1:21" ht="15.75" customHeight="1" x14ac:dyDescent="0.25">
      <c r="A25" s="44"/>
      <c r="B25" s="49">
        <v>5</v>
      </c>
      <c r="C25" s="22"/>
      <c r="D25" s="23"/>
      <c r="E25" s="116"/>
      <c r="F25" s="117"/>
      <c r="G25" s="22">
        <v>0</v>
      </c>
      <c r="H25" s="48">
        <f t="shared" si="0"/>
        <v>0</v>
      </c>
      <c r="I25" s="48">
        <f t="shared" si="1"/>
        <v>0</v>
      </c>
      <c r="J25" s="48">
        <f t="shared" si="2"/>
        <v>0</v>
      </c>
      <c r="K25" s="48">
        <f t="shared" si="3"/>
        <v>0</v>
      </c>
      <c r="L25" s="48" t="e">
        <f t="shared" si="5"/>
        <v>#DIV/0!</v>
      </c>
      <c r="M25" s="48" t="e">
        <f t="shared" si="4"/>
        <v>#DIV/0!</v>
      </c>
      <c r="N25" s="160" t="s">
        <v>42</v>
      </c>
      <c r="O25" s="108"/>
      <c r="R25" s="5"/>
    </row>
    <row r="26" spans="1:21" ht="15.75" customHeight="1" x14ac:dyDescent="0.25">
      <c r="A26" s="44"/>
      <c r="B26" s="49">
        <v>6</v>
      </c>
      <c r="C26" s="22"/>
      <c r="D26" s="23"/>
      <c r="E26" s="116"/>
      <c r="F26" s="117"/>
      <c r="G26" s="22">
        <v>0</v>
      </c>
      <c r="H26" s="48">
        <f t="shared" si="0"/>
        <v>0</v>
      </c>
      <c r="I26" s="48">
        <f t="shared" si="1"/>
        <v>0</v>
      </c>
      <c r="J26" s="48">
        <f t="shared" si="2"/>
        <v>0</v>
      </c>
      <c r="K26" s="48">
        <f t="shared" si="3"/>
        <v>0</v>
      </c>
      <c r="L26" s="48" t="e">
        <f t="shared" si="5"/>
        <v>#DIV/0!</v>
      </c>
      <c r="M26" s="48" t="e">
        <f t="shared" si="4"/>
        <v>#DIV/0!</v>
      </c>
      <c r="N26" s="160" t="s">
        <v>42</v>
      </c>
      <c r="O26" s="108"/>
      <c r="R26" s="5"/>
    </row>
    <row r="27" spans="1:21" ht="15.75" customHeight="1" x14ac:dyDescent="0.25">
      <c r="A27" s="44"/>
      <c r="B27" s="49">
        <v>7</v>
      </c>
      <c r="C27" s="22" t="s">
        <v>26</v>
      </c>
      <c r="D27" s="23" t="s">
        <v>26</v>
      </c>
      <c r="E27" s="116" t="s">
        <v>26</v>
      </c>
      <c r="F27" s="117"/>
      <c r="G27" s="22" t="s">
        <v>26</v>
      </c>
      <c r="H27" s="48" t="s">
        <v>26</v>
      </c>
      <c r="I27" s="48" t="s">
        <v>26</v>
      </c>
      <c r="J27" s="48" t="str">
        <f t="shared" si="2"/>
        <v/>
      </c>
      <c r="K27" s="48" t="s">
        <v>26</v>
      </c>
      <c r="L27" s="48" t="s">
        <v>26</v>
      </c>
      <c r="M27" s="48" t="s">
        <v>26</v>
      </c>
      <c r="N27" s="160" t="s">
        <v>26</v>
      </c>
      <c r="O27" s="108"/>
      <c r="R27" s="5"/>
    </row>
    <row r="28" spans="1:21" ht="15.75" customHeight="1" x14ac:dyDescent="0.25">
      <c r="A28" s="44"/>
      <c r="B28" s="161">
        <v>8</v>
      </c>
      <c r="C28" s="22" t="s">
        <v>26</v>
      </c>
      <c r="D28" s="23" t="s">
        <v>26</v>
      </c>
      <c r="E28" s="116" t="s">
        <v>26</v>
      </c>
      <c r="F28" s="117"/>
      <c r="G28" s="22" t="s">
        <v>26</v>
      </c>
      <c r="H28" s="48" t="s">
        <v>26</v>
      </c>
      <c r="I28" s="48" t="s">
        <v>26</v>
      </c>
      <c r="J28" s="48" t="str">
        <f t="shared" si="2"/>
        <v/>
      </c>
      <c r="K28" s="48" t="s">
        <v>26</v>
      </c>
      <c r="L28" s="48" t="s">
        <v>26</v>
      </c>
      <c r="M28" s="48" t="s">
        <v>26</v>
      </c>
      <c r="N28" s="160" t="s">
        <v>26</v>
      </c>
      <c r="O28" s="108"/>
      <c r="R28" s="5"/>
    </row>
    <row r="29" spans="1:21" ht="15.75" customHeight="1" x14ac:dyDescent="0.25">
      <c r="A29" s="44"/>
      <c r="B29" s="162">
        <v>9</v>
      </c>
      <c r="C29" s="22" t="s">
        <v>26</v>
      </c>
      <c r="D29" s="23" t="s">
        <v>26</v>
      </c>
      <c r="E29" s="116" t="s">
        <v>26</v>
      </c>
      <c r="F29" s="117"/>
      <c r="G29" s="22" t="s">
        <v>26</v>
      </c>
      <c r="H29" s="48" t="s">
        <v>26</v>
      </c>
      <c r="I29" s="48" t="s">
        <v>26</v>
      </c>
      <c r="J29" s="48" t="str">
        <f t="shared" si="2"/>
        <v/>
      </c>
      <c r="K29" s="48" t="s">
        <v>26</v>
      </c>
      <c r="L29" s="48" t="s">
        <v>26</v>
      </c>
      <c r="M29" s="48" t="s">
        <v>26</v>
      </c>
      <c r="N29" s="160" t="s">
        <v>26</v>
      </c>
      <c r="O29" s="108"/>
      <c r="R29" s="5"/>
    </row>
    <row r="30" spans="1:21" ht="15.75" customHeight="1" x14ac:dyDescent="0.25">
      <c r="A30" s="44"/>
      <c r="B30" s="50">
        <v>10</v>
      </c>
      <c r="C30" s="170" t="s">
        <v>26</v>
      </c>
      <c r="D30" s="171" t="s">
        <v>26</v>
      </c>
      <c r="E30" s="172" t="s">
        <v>26</v>
      </c>
      <c r="F30" s="173"/>
      <c r="G30" s="170" t="s">
        <v>26</v>
      </c>
      <c r="H30" s="163" t="s">
        <v>26</v>
      </c>
      <c r="I30" s="163" t="s">
        <v>26</v>
      </c>
      <c r="J30" s="163" t="str">
        <f t="shared" si="2"/>
        <v/>
      </c>
      <c r="K30" s="163" t="s">
        <v>26</v>
      </c>
      <c r="L30" s="163" t="s">
        <v>26</v>
      </c>
      <c r="M30" s="163" t="s">
        <v>26</v>
      </c>
      <c r="N30" s="164" t="s">
        <v>26</v>
      </c>
      <c r="O30" s="115"/>
      <c r="R30" s="5"/>
    </row>
    <row r="31" spans="1:21" ht="6" customHeight="1" x14ac:dyDescent="0.25">
      <c r="A31" s="44"/>
      <c r="B31" s="25"/>
      <c r="C31" s="25"/>
      <c r="D31" s="25"/>
      <c r="E31" s="25"/>
      <c r="F31" s="25"/>
      <c r="G31" s="25"/>
      <c r="H31" s="25"/>
      <c r="I31" s="25"/>
      <c r="J31" s="25"/>
      <c r="K31" s="25"/>
      <c r="L31" s="25"/>
      <c r="M31" s="25"/>
      <c r="N31" s="25"/>
      <c r="O31" s="45"/>
    </row>
    <row r="32" spans="1:21" ht="15.75" customHeight="1" x14ac:dyDescent="0.25">
      <c r="A32" s="44"/>
      <c r="B32" s="120" t="s">
        <v>51</v>
      </c>
      <c r="C32" s="121"/>
      <c r="D32" s="121"/>
      <c r="E32" s="122"/>
      <c r="F32" s="51"/>
      <c r="G32" s="25"/>
      <c r="H32" s="25"/>
      <c r="I32" s="25"/>
      <c r="J32" s="25"/>
      <c r="K32" s="25"/>
      <c r="L32" s="25"/>
      <c r="M32" s="25"/>
      <c r="N32" s="25"/>
      <c r="O32" s="45"/>
    </row>
    <row r="33" spans="1:42" ht="19.5" customHeight="1" x14ac:dyDescent="0.35">
      <c r="A33" s="44"/>
      <c r="B33" s="123" t="s">
        <v>55</v>
      </c>
      <c r="C33" s="124"/>
      <c r="D33" s="52" t="s">
        <v>52</v>
      </c>
      <c r="E33" s="53" t="e">
        <f>AVERAGE(M21:M30)</f>
        <v>#DIV/0!</v>
      </c>
      <c r="F33" s="25"/>
      <c r="G33" s="25"/>
      <c r="H33" s="25"/>
      <c r="I33" s="25"/>
      <c r="J33" s="103" t="s">
        <v>53</v>
      </c>
      <c r="K33" s="95"/>
      <c r="L33" s="103" t="s">
        <v>54</v>
      </c>
      <c r="M33" s="95"/>
      <c r="N33" s="95"/>
      <c r="O33" s="45"/>
    </row>
    <row r="34" spans="1:42" ht="19.5" customHeight="1" x14ac:dyDescent="0.25">
      <c r="A34" s="44"/>
      <c r="B34" s="125"/>
      <c r="C34" s="102"/>
      <c r="D34" s="25"/>
      <c r="E34" s="25"/>
      <c r="F34" s="25"/>
      <c r="G34" s="25"/>
      <c r="H34" s="25"/>
      <c r="I34" s="25"/>
      <c r="J34" s="54"/>
      <c r="K34" s="54"/>
      <c r="L34" s="54"/>
      <c r="M34" s="54"/>
      <c r="N34" s="54"/>
      <c r="O34" s="45"/>
    </row>
    <row r="35" spans="1:42" ht="19.5" customHeight="1" x14ac:dyDescent="0.25">
      <c r="A35" s="44"/>
      <c r="B35" s="68" t="s">
        <v>56</v>
      </c>
      <c r="C35" s="69"/>
      <c r="D35" s="69"/>
      <c r="E35" s="70"/>
      <c r="F35" s="25"/>
      <c r="G35" s="25"/>
      <c r="H35" s="25"/>
      <c r="I35" s="25"/>
      <c r="J35" s="54"/>
      <c r="K35" s="54"/>
      <c r="L35" s="54"/>
      <c r="M35" s="54"/>
      <c r="N35" s="54"/>
      <c r="O35" s="45"/>
    </row>
    <row r="36" spans="1:42" ht="17.25" customHeight="1" x14ac:dyDescent="0.25">
      <c r="A36" s="44"/>
      <c r="B36" s="118" t="s">
        <v>57</v>
      </c>
      <c r="C36" s="107"/>
      <c r="D36" s="119"/>
      <c r="E36" s="174"/>
      <c r="F36" s="25"/>
      <c r="G36" s="25"/>
      <c r="H36" s="25"/>
      <c r="I36" s="25"/>
      <c r="J36" s="54"/>
      <c r="K36" s="54"/>
      <c r="L36" s="54"/>
      <c r="M36" s="54"/>
      <c r="N36" s="54"/>
      <c r="O36" s="45"/>
    </row>
    <row r="37" spans="1:42" ht="17.25" customHeight="1" x14ac:dyDescent="0.25">
      <c r="A37" s="44"/>
      <c r="B37" s="109" t="s">
        <v>58</v>
      </c>
      <c r="C37" s="83"/>
      <c r="D37" s="110"/>
      <c r="E37" s="174"/>
      <c r="F37" s="25"/>
      <c r="G37" s="25"/>
      <c r="H37" s="25"/>
      <c r="I37" s="25"/>
      <c r="J37" s="55"/>
      <c r="K37" s="55"/>
      <c r="L37" s="54"/>
      <c r="M37" s="54"/>
      <c r="N37" s="54"/>
      <c r="O37" s="45"/>
    </row>
    <row r="38" spans="1:42" ht="17.25" customHeight="1" x14ac:dyDescent="0.25">
      <c r="A38" s="44"/>
      <c r="B38" s="109" t="s">
        <v>59</v>
      </c>
      <c r="C38" s="83"/>
      <c r="D38" s="110"/>
      <c r="E38" s="174"/>
      <c r="F38" s="25"/>
      <c r="G38" s="25"/>
      <c r="H38" s="25"/>
      <c r="I38" s="25"/>
      <c r="J38" s="25"/>
      <c r="K38" s="25"/>
      <c r="L38" s="25"/>
      <c r="M38" s="25"/>
      <c r="N38" s="25"/>
      <c r="O38" s="45"/>
    </row>
    <row r="39" spans="1:42" ht="17.25" customHeight="1" x14ac:dyDescent="0.25">
      <c r="A39" s="44"/>
      <c r="B39" s="109" t="s">
        <v>60</v>
      </c>
      <c r="C39" s="83"/>
      <c r="D39" s="110"/>
      <c r="E39" s="174"/>
      <c r="F39" s="25"/>
      <c r="G39" s="25"/>
      <c r="H39" s="25"/>
      <c r="I39" s="25"/>
      <c r="J39" s="126" t="s">
        <v>61</v>
      </c>
      <c r="K39" s="127"/>
      <c r="L39" s="126"/>
      <c r="M39" s="127"/>
      <c r="N39" s="127"/>
      <c r="O39" s="45"/>
      <c r="V39" s="1"/>
    </row>
    <row r="40" spans="1:42" ht="17.25" customHeight="1" x14ac:dyDescent="0.25">
      <c r="A40" s="44"/>
      <c r="B40" s="111" t="s">
        <v>62</v>
      </c>
      <c r="C40" s="101"/>
      <c r="D40" s="112"/>
      <c r="E40" s="56" t="e">
        <f>((E37-E38)/(E38-E39))*100</f>
        <v>#DIV/0!</v>
      </c>
      <c r="F40" s="25"/>
      <c r="G40" s="25"/>
      <c r="H40" s="25"/>
      <c r="I40" s="25"/>
      <c r="J40" s="103" t="s">
        <v>63</v>
      </c>
      <c r="K40" s="95"/>
      <c r="L40" s="103" t="s">
        <v>64</v>
      </c>
      <c r="M40" s="95"/>
      <c r="N40" s="95"/>
      <c r="O40" s="45"/>
      <c r="V40" s="1"/>
    </row>
    <row r="41" spans="1:42" ht="12.75" customHeight="1" x14ac:dyDescent="0.25">
      <c r="A41" s="26"/>
      <c r="B41" s="54"/>
      <c r="C41" s="54"/>
      <c r="D41" s="54"/>
      <c r="E41" s="54"/>
      <c r="F41" s="54"/>
      <c r="G41" s="54"/>
      <c r="H41" s="54"/>
      <c r="I41" s="54"/>
      <c r="J41" s="54"/>
      <c r="K41" s="54"/>
      <c r="L41" s="54"/>
      <c r="M41" s="54"/>
      <c r="N41" s="54"/>
      <c r="O41" s="28"/>
      <c r="P41" s="1"/>
      <c r="Q41" s="1"/>
      <c r="R41" s="1"/>
      <c r="S41" s="1"/>
      <c r="T41" s="1"/>
      <c r="U41" s="1"/>
      <c r="V41" s="1"/>
      <c r="W41" s="1"/>
      <c r="X41" s="1"/>
      <c r="Y41" s="1"/>
      <c r="Z41" s="1"/>
      <c r="AA41" s="1"/>
      <c r="AB41" s="1"/>
      <c r="AC41" s="1"/>
      <c r="AD41" s="1"/>
      <c r="AE41" s="1"/>
      <c r="AF41" s="1"/>
      <c r="AG41" s="1"/>
      <c r="AH41" s="1"/>
      <c r="AI41" s="1"/>
      <c r="AJ41" s="1"/>
      <c r="AK41" s="1"/>
      <c r="AL41" s="1"/>
      <c r="AM41" s="1"/>
      <c r="AN41" s="2">
        <v>16</v>
      </c>
      <c r="AO41" s="2">
        <v>-0.59999999999999898</v>
      </c>
      <c r="AP41" s="2">
        <v>-1</v>
      </c>
    </row>
    <row r="42" spans="1:42" ht="15" customHeight="1" x14ac:dyDescent="0.25">
      <c r="A42" s="26"/>
      <c r="B42" s="57" t="s">
        <v>65</v>
      </c>
      <c r="C42" s="175"/>
      <c r="D42" s="176"/>
      <c r="E42" s="176"/>
      <c r="F42" s="176"/>
      <c r="G42" s="176"/>
      <c r="H42" s="176"/>
      <c r="I42" s="176"/>
      <c r="J42" s="176"/>
      <c r="K42" s="176"/>
      <c r="L42" s="176"/>
      <c r="M42" s="176"/>
      <c r="N42" s="176"/>
      <c r="O42" s="28"/>
      <c r="P42" s="1"/>
      <c r="Q42" s="1"/>
      <c r="R42" s="1"/>
      <c r="S42" s="1"/>
      <c r="T42" s="1"/>
      <c r="U42" s="1"/>
      <c r="V42" s="1"/>
      <c r="W42" s="1"/>
      <c r="X42" s="1"/>
      <c r="Y42" s="1"/>
      <c r="Z42" s="1"/>
      <c r="AA42" s="1"/>
      <c r="AB42" s="1"/>
      <c r="AC42" s="1"/>
      <c r="AD42" s="1"/>
      <c r="AE42" s="1"/>
      <c r="AF42" s="1"/>
      <c r="AG42" s="1"/>
      <c r="AH42" s="1"/>
      <c r="AI42" s="1"/>
      <c r="AJ42" s="1"/>
      <c r="AK42" s="1"/>
      <c r="AL42" s="1"/>
      <c r="AM42" s="1"/>
      <c r="AN42" s="2">
        <v>17</v>
      </c>
      <c r="AO42" s="2">
        <v>-0.499999999999999</v>
      </c>
      <c r="AP42" s="2">
        <v>-0.8</v>
      </c>
    </row>
    <row r="43" spans="1:42" ht="15.75" customHeight="1" x14ac:dyDescent="0.25">
      <c r="A43" s="26"/>
      <c r="B43" s="54"/>
      <c r="C43" s="177"/>
      <c r="D43" s="178"/>
      <c r="E43" s="178"/>
      <c r="F43" s="178"/>
      <c r="G43" s="178"/>
      <c r="H43" s="178"/>
      <c r="I43" s="178"/>
      <c r="J43" s="179"/>
      <c r="K43" s="180"/>
      <c r="L43" s="180"/>
      <c r="M43" s="180"/>
      <c r="N43" s="179"/>
      <c r="O43" s="28"/>
      <c r="P43" s="1"/>
      <c r="Q43" s="1"/>
      <c r="R43" s="1"/>
      <c r="S43" s="1"/>
      <c r="T43" s="1"/>
      <c r="U43" s="1"/>
      <c r="V43" s="6"/>
      <c r="W43" s="1"/>
      <c r="X43" s="1"/>
      <c r="Y43" s="1"/>
      <c r="Z43" s="1"/>
      <c r="AA43" s="1"/>
      <c r="AB43" s="1"/>
      <c r="AC43" s="1"/>
      <c r="AD43" s="1"/>
      <c r="AE43" s="1"/>
      <c r="AF43" s="1"/>
      <c r="AG43" s="1"/>
      <c r="AH43" s="1"/>
      <c r="AI43" s="1"/>
      <c r="AJ43" s="1"/>
      <c r="AK43" s="1"/>
      <c r="AL43" s="1"/>
      <c r="AM43" s="1"/>
      <c r="AN43" s="2">
        <v>18</v>
      </c>
      <c r="AO43" s="2">
        <v>-0.3</v>
      </c>
      <c r="AP43" s="2">
        <v>-0.5</v>
      </c>
    </row>
    <row r="44" spans="1:42" ht="15.75" customHeight="1" x14ac:dyDescent="0.25">
      <c r="A44" s="26"/>
      <c r="B44" s="54"/>
      <c r="C44" s="24"/>
      <c r="D44" s="24"/>
      <c r="E44" s="24"/>
      <c r="F44" s="24"/>
      <c r="G44" s="24"/>
      <c r="H44" s="24"/>
      <c r="I44" s="24"/>
      <c r="J44" s="180"/>
      <c r="K44" s="180"/>
      <c r="L44" s="180"/>
      <c r="M44" s="180"/>
      <c r="N44" s="180"/>
      <c r="O44" s="28"/>
      <c r="P44" s="1"/>
      <c r="Q44" s="1"/>
      <c r="R44" s="1"/>
      <c r="S44" s="1"/>
      <c r="T44" s="1"/>
      <c r="U44" s="1"/>
      <c r="V44" s="6"/>
      <c r="W44" s="1"/>
      <c r="X44" s="1"/>
      <c r="Y44" s="1"/>
      <c r="Z44" s="1"/>
      <c r="AA44" s="1"/>
      <c r="AB44" s="1"/>
      <c r="AC44" s="1"/>
      <c r="AD44" s="1"/>
      <c r="AE44" s="1"/>
      <c r="AF44" s="1"/>
      <c r="AG44" s="1"/>
      <c r="AH44" s="1"/>
      <c r="AI44" s="1"/>
      <c r="AJ44" s="1"/>
      <c r="AK44" s="1"/>
      <c r="AL44" s="1"/>
      <c r="AM44" s="1"/>
      <c r="AN44" s="2">
        <v>19</v>
      </c>
      <c r="AO44" s="2">
        <v>-0.2</v>
      </c>
      <c r="AP44" s="2">
        <v>-0.3</v>
      </c>
    </row>
    <row r="45" spans="1:42" ht="15" customHeight="1" x14ac:dyDescent="0.25">
      <c r="A45" s="26"/>
      <c r="B45" s="58"/>
      <c r="C45" s="58"/>
      <c r="D45" s="58"/>
      <c r="E45" s="58"/>
      <c r="F45" s="58"/>
      <c r="G45" s="58"/>
      <c r="H45" s="58"/>
      <c r="I45" s="54"/>
      <c r="J45" s="54"/>
      <c r="K45" s="54"/>
      <c r="L45" s="54"/>
      <c r="M45" s="54"/>
      <c r="N45" s="54"/>
      <c r="O45" s="28"/>
      <c r="P45" s="1"/>
      <c r="Q45" s="1"/>
      <c r="R45" s="1"/>
      <c r="S45" s="1"/>
      <c r="T45" s="1"/>
      <c r="U45" s="1"/>
      <c r="V45" s="1"/>
      <c r="W45" s="1"/>
      <c r="X45" s="1"/>
      <c r="Y45" s="1"/>
      <c r="Z45" s="1"/>
      <c r="AA45" s="1"/>
      <c r="AB45" s="1"/>
      <c r="AC45" s="1"/>
      <c r="AD45" s="1"/>
      <c r="AE45" s="1"/>
      <c r="AF45" s="1"/>
      <c r="AG45" s="1"/>
      <c r="AH45" s="1"/>
      <c r="AI45" s="1"/>
      <c r="AJ45" s="1"/>
      <c r="AK45" s="1"/>
      <c r="AL45" s="1"/>
      <c r="AM45" s="1"/>
      <c r="AN45" s="2">
        <v>20</v>
      </c>
      <c r="AO45" s="2">
        <v>0</v>
      </c>
      <c r="AP45" s="2">
        <v>0</v>
      </c>
    </row>
    <row r="46" spans="1:42" ht="15" customHeight="1" x14ac:dyDescent="0.25">
      <c r="A46" s="59"/>
      <c r="B46" s="113" t="s">
        <v>66</v>
      </c>
      <c r="C46" s="95"/>
      <c r="D46" s="95"/>
      <c r="E46" s="95"/>
      <c r="F46" s="95"/>
      <c r="G46" s="95"/>
      <c r="H46" s="95"/>
      <c r="I46" s="95"/>
      <c r="J46" s="95"/>
      <c r="K46" s="95"/>
      <c r="L46" s="95"/>
      <c r="M46" s="95"/>
      <c r="N46" s="95"/>
      <c r="O46" s="28"/>
      <c r="P46" s="1"/>
      <c r="Q46" s="1"/>
      <c r="R46" s="1"/>
      <c r="S46" s="1"/>
      <c r="T46" s="1"/>
      <c r="U46" s="1"/>
      <c r="V46" s="1"/>
      <c r="W46" s="1">
        <v>13</v>
      </c>
      <c r="X46" s="1">
        <v>14.2</v>
      </c>
      <c r="Y46" s="1">
        <f t="shared" ref="Y46:Y50" si="6">X46*10</f>
        <v>142</v>
      </c>
      <c r="Z46" s="1"/>
      <c r="AA46" s="1"/>
      <c r="AB46" s="1"/>
      <c r="AC46" s="1"/>
      <c r="AD46" s="1"/>
      <c r="AE46" s="1"/>
      <c r="AF46" s="1"/>
      <c r="AG46" s="1"/>
      <c r="AH46" s="1"/>
      <c r="AI46" s="1"/>
      <c r="AJ46" s="1"/>
      <c r="AK46" s="1"/>
      <c r="AL46" s="1"/>
      <c r="AM46" s="1"/>
      <c r="AN46" s="2">
        <v>21</v>
      </c>
      <c r="AO46" s="2">
        <v>0.2</v>
      </c>
      <c r="AP46" s="2">
        <v>0.3</v>
      </c>
    </row>
    <row r="47" spans="1:42" ht="12.75" customHeight="1" x14ac:dyDescent="0.25">
      <c r="A47" s="26"/>
      <c r="B47" s="113" t="s">
        <v>67</v>
      </c>
      <c r="C47" s="95"/>
      <c r="D47" s="95"/>
      <c r="E47" s="95"/>
      <c r="F47" s="95"/>
      <c r="G47" s="95"/>
      <c r="H47" s="95"/>
      <c r="I47" s="95"/>
      <c r="J47" s="95"/>
      <c r="K47" s="95"/>
      <c r="L47" s="95"/>
      <c r="M47" s="95"/>
      <c r="N47" s="95"/>
      <c r="O47" s="28"/>
      <c r="P47" s="1"/>
      <c r="Q47" s="1"/>
      <c r="R47" s="1"/>
      <c r="S47" s="1"/>
      <c r="T47" s="1"/>
      <c r="U47" s="1"/>
      <c r="V47" s="1"/>
      <c r="W47" s="1">
        <v>14</v>
      </c>
      <c r="X47" s="1">
        <v>14</v>
      </c>
      <c r="Y47" s="1">
        <f t="shared" si="6"/>
        <v>140</v>
      </c>
      <c r="Z47" s="1"/>
      <c r="AA47" s="1"/>
      <c r="AB47" s="1"/>
      <c r="AC47" s="1"/>
      <c r="AD47" s="1"/>
      <c r="AE47" s="1"/>
      <c r="AF47" s="1"/>
      <c r="AG47" s="1"/>
      <c r="AH47" s="1"/>
      <c r="AI47" s="1"/>
      <c r="AJ47" s="1"/>
      <c r="AK47" s="1"/>
      <c r="AL47" s="1"/>
      <c r="AM47" s="1"/>
      <c r="AN47" s="2">
        <v>22</v>
      </c>
      <c r="AO47" s="2">
        <v>0.4</v>
      </c>
      <c r="AP47" s="2">
        <v>0.6</v>
      </c>
    </row>
    <row r="48" spans="1:42" ht="14.25" customHeight="1" x14ac:dyDescent="0.25">
      <c r="A48" s="26"/>
      <c r="B48" s="95"/>
      <c r="C48" s="95"/>
      <c r="D48" s="95"/>
      <c r="E48" s="95"/>
      <c r="F48" s="95"/>
      <c r="G48" s="95"/>
      <c r="H48" s="95"/>
      <c r="I48" s="95"/>
      <c r="J48" s="95"/>
      <c r="K48" s="95"/>
      <c r="L48" s="95"/>
      <c r="M48" s="95"/>
      <c r="N48" s="95"/>
      <c r="O48" s="28"/>
      <c r="P48" s="1"/>
      <c r="Q48" s="1"/>
      <c r="R48" s="1"/>
      <c r="S48" s="1"/>
      <c r="T48" s="1"/>
      <c r="U48" s="1"/>
      <c r="V48" s="1"/>
      <c r="W48" s="1">
        <v>15</v>
      </c>
      <c r="X48" s="1">
        <v>13.8</v>
      </c>
      <c r="Y48" s="1">
        <f t="shared" si="6"/>
        <v>138</v>
      </c>
      <c r="Z48" s="1"/>
      <c r="AA48" s="1"/>
      <c r="AB48" s="1"/>
      <c r="AC48" s="1"/>
      <c r="AD48" s="1"/>
      <c r="AE48" s="1"/>
      <c r="AF48" s="1"/>
      <c r="AG48" s="1"/>
      <c r="AH48" s="1"/>
      <c r="AI48" s="1"/>
      <c r="AJ48" s="1"/>
      <c r="AK48" s="1"/>
      <c r="AL48" s="1"/>
      <c r="AM48" s="1"/>
      <c r="AN48" s="2">
        <v>23</v>
      </c>
      <c r="AO48" s="2">
        <v>0.6</v>
      </c>
      <c r="AP48" s="2">
        <v>0.9</v>
      </c>
    </row>
    <row r="49" spans="1:42" ht="15" customHeight="1" x14ac:dyDescent="0.25">
      <c r="A49" s="60"/>
      <c r="B49" s="95"/>
      <c r="C49" s="95"/>
      <c r="D49" s="95"/>
      <c r="E49" s="95"/>
      <c r="F49" s="95"/>
      <c r="G49" s="95"/>
      <c r="H49" s="95"/>
      <c r="I49" s="95"/>
      <c r="J49" s="95"/>
      <c r="K49" s="95"/>
      <c r="L49" s="95"/>
      <c r="M49" s="95"/>
      <c r="N49" s="95"/>
      <c r="O49" s="61"/>
      <c r="P49" s="1"/>
      <c r="Q49" s="1"/>
      <c r="R49" s="1"/>
      <c r="S49" s="1"/>
      <c r="T49" s="1"/>
      <c r="U49" s="1"/>
      <c r="V49" s="1"/>
      <c r="W49" s="1">
        <v>16</v>
      </c>
      <c r="X49" s="1">
        <v>13.7</v>
      </c>
      <c r="Y49" s="1">
        <f t="shared" si="6"/>
        <v>137</v>
      </c>
      <c r="Z49" s="1"/>
      <c r="AA49" s="1"/>
      <c r="AB49" s="1"/>
      <c r="AC49" s="1"/>
      <c r="AD49" s="1"/>
      <c r="AE49" s="1"/>
      <c r="AF49" s="1"/>
      <c r="AG49" s="1"/>
      <c r="AH49" s="1"/>
      <c r="AI49" s="1"/>
      <c r="AJ49" s="1"/>
      <c r="AK49" s="1"/>
      <c r="AL49" s="1"/>
      <c r="AM49" s="1"/>
      <c r="AN49" s="2">
        <v>24</v>
      </c>
      <c r="AO49" s="2">
        <v>0.8</v>
      </c>
      <c r="AP49" s="2">
        <v>1.3</v>
      </c>
    </row>
    <row r="50" spans="1:42" ht="24.75" customHeight="1" x14ac:dyDescent="0.25">
      <c r="A50" s="62"/>
      <c r="B50" s="114" t="s">
        <v>68</v>
      </c>
      <c r="C50" s="102"/>
      <c r="D50" s="102"/>
      <c r="E50" s="102"/>
      <c r="F50" s="102"/>
      <c r="G50" s="102"/>
      <c r="H50" s="102"/>
      <c r="I50" s="102"/>
      <c r="J50" s="102"/>
      <c r="K50" s="102"/>
      <c r="L50" s="102"/>
      <c r="M50" s="102"/>
      <c r="N50" s="102"/>
      <c r="O50" s="115"/>
      <c r="P50" s="1"/>
      <c r="Q50" s="1"/>
      <c r="R50" s="1"/>
      <c r="S50" s="1"/>
      <c r="T50" s="1"/>
      <c r="U50" s="1"/>
      <c r="V50" s="1"/>
      <c r="W50" s="1">
        <v>17</v>
      </c>
      <c r="X50" s="1">
        <v>13.5</v>
      </c>
      <c r="Y50" s="1">
        <f t="shared" si="6"/>
        <v>135</v>
      </c>
      <c r="Z50" s="1"/>
      <c r="AA50" s="1"/>
      <c r="AB50" s="1"/>
      <c r="AC50" s="1"/>
      <c r="AD50" s="1"/>
      <c r="AE50" s="1"/>
      <c r="AF50" s="1"/>
      <c r="AG50" s="1"/>
      <c r="AH50" s="1"/>
      <c r="AI50" s="1"/>
      <c r="AJ50" s="1"/>
      <c r="AK50" s="1"/>
      <c r="AL50" s="1"/>
      <c r="AM50" s="1"/>
      <c r="AN50" s="2">
        <v>25</v>
      </c>
      <c r="AO50" s="2">
        <v>1</v>
      </c>
      <c r="AP50" s="2">
        <v>1.7</v>
      </c>
    </row>
    <row r="51" spans="1:42" ht="15.75" customHeight="1" x14ac:dyDescent="0.25"/>
    <row r="52" spans="1:42" ht="15.75" customHeight="1" x14ac:dyDescent="0.25"/>
    <row r="53" spans="1:42" ht="15.75" customHeight="1" x14ac:dyDescent="0.25"/>
    <row r="54" spans="1:42" ht="15.75" customHeight="1" x14ac:dyDescent="0.25"/>
    <row r="55" spans="1:42" ht="15.75" customHeight="1" x14ac:dyDescent="0.25"/>
    <row r="56" spans="1:42" ht="15.75" customHeight="1" x14ac:dyDescent="0.25"/>
    <row r="57" spans="1:42" ht="15.75" customHeight="1" x14ac:dyDescent="0.25">
      <c r="B57" s="7">
        <v>19</v>
      </c>
    </row>
    <row r="58" spans="1:42" ht="15.75" customHeight="1" x14ac:dyDescent="0.25"/>
    <row r="59" spans="1:42" ht="15.75" customHeight="1" x14ac:dyDescent="0.25"/>
    <row r="60" spans="1:42" ht="15.75" customHeight="1" x14ac:dyDescent="0.25"/>
    <row r="61" spans="1:42" ht="15.75" customHeight="1" x14ac:dyDescent="0.25"/>
    <row r="62" spans="1:42" ht="15.75" customHeight="1" x14ac:dyDescent="0.25"/>
    <row r="63" spans="1:42" ht="15.75" customHeight="1" x14ac:dyDescent="0.25"/>
    <row r="64" spans="1:4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sheetProtection algorithmName="SHA-512" hashValue="4MtgX/dDgD3wFED2jVvSKv88InNx0i1xA05d9tW1Sh6mHTyq8wnG2JbyUx5y8ouPxAmZYFWJ/edS7p9xc698aA==" saltValue="gSQBIcqkOsEVNNK59cx/6A==" spinCount="100000" sheet="1" objects="1" scenarios="1"/>
  <mergeCells count="87">
    <mergeCell ref="N24:O24"/>
    <mergeCell ref="N25:O25"/>
    <mergeCell ref="L18:L19"/>
    <mergeCell ref="M18:M19"/>
    <mergeCell ref="N18:O20"/>
    <mergeCell ref="S18:U18"/>
    <mergeCell ref="N21:O21"/>
    <mergeCell ref="N22:O22"/>
    <mergeCell ref="N23:O23"/>
    <mergeCell ref="E21:F21"/>
    <mergeCell ref="E22:F22"/>
    <mergeCell ref="E23:F23"/>
    <mergeCell ref="E24:F24"/>
    <mergeCell ref="E25:F25"/>
    <mergeCell ref="E26:F26"/>
    <mergeCell ref="E27:F27"/>
    <mergeCell ref="E28:F28"/>
    <mergeCell ref="E29:F29"/>
    <mergeCell ref="E30:F30"/>
    <mergeCell ref="B32:E32"/>
    <mergeCell ref="B33:C33"/>
    <mergeCell ref="J33:K33"/>
    <mergeCell ref="L33:N33"/>
    <mergeCell ref="B39:D39"/>
    <mergeCell ref="B40:D40"/>
    <mergeCell ref="J40:K40"/>
    <mergeCell ref="L40:N40"/>
    <mergeCell ref="B34:C34"/>
    <mergeCell ref="B35:E35"/>
    <mergeCell ref="B36:D36"/>
    <mergeCell ref="B37:D37"/>
    <mergeCell ref="B38:D38"/>
    <mergeCell ref="J39:K39"/>
    <mergeCell ref="L39:N39"/>
    <mergeCell ref="C42:N42"/>
    <mergeCell ref="C43:I43"/>
    <mergeCell ref="B46:N46"/>
    <mergeCell ref="B47:N49"/>
    <mergeCell ref="B50:O50"/>
    <mergeCell ref="AH3:AK5"/>
    <mergeCell ref="M4:O4"/>
    <mergeCell ref="E2:L4"/>
    <mergeCell ref="B5:M5"/>
    <mergeCell ref="B6:C6"/>
    <mergeCell ref="D6:I6"/>
    <mergeCell ref="J6:K6"/>
    <mergeCell ref="L6:N6"/>
    <mergeCell ref="A1:D4"/>
    <mergeCell ref="E1:L1"/>
    <mergeCell ref="M1:O1"/>
    <mergeCell ref="M2:O2"/>
    <mergeCell ref="M3:O3"/>
    <mergeCell ref="B7:C7"/>
    <mergeCell ref="L7:N7"/>
    <mergeCell ref="D7:I7"/>
    <mergeCell ref="J7:K7"/>
    <mergeCell ref="B8:C8"/>
    <mergeCell ref="D8:I8"/>
    <mergeCell ref="J8:K8"/>
    <mergeCell ref="L8:N8"/>
    <mergeCell ref="B9:C9"/>
    <mergeCell ref="D9:I9"/>
    <mergeCell ref="J9:K9"/>
    <mergeCell ref="B10:C10"/>
    <mergeCell ref="D10:I10"/>
    <mergeCell ref="J10:K10"/>
    <mergeCell ref="L10:N10"/>
    <mergeCell ref="B11:M11"/>
    <mergeCell ref="B12:C12"/>
    <mergeCell ref="D12:E12"/>
    <mergeCell ref="F12:G12"/>
    <mergeCell ref="J12:K12"/>
    <mergeCell ref="B13:C13"/>
    <mergeCell ref="D13:N13"/>
    <mergeCell ref="A16:O16"/>
    <mergeCell ref="B18:B20"/>
    <mergeCell ref="D18:D19"/>
    <mergeCell ref="E18:G19"/>
    <mergeCell ref="H18:H20"/>
    <mergeCell ref="I18:I20"/>
    <mergeCell ref="J18:J19"/>
    <mergeCell ref="K18:K20"/>
    <mergeCell ref="N26:O26"/>
    <mergeCell ref="N27:O27"/>
    <mergeCell ref="N28:O28"/>
    <mergeCell ref="N29:O29"/>
    <mergeCell ref="N30:O30"/>
  </mergeCells>
  <conditionalFormatting sqref="D6:I10">
    <cfRule type="containsBlanks" dxfId="6" priority="2">
      <formula>LEN(TRIM(D6))=0</formula>
    </cfRule>
  </conditionalFormatting>
  <conditionalFormatting sqref="D13:N13 L6:N8 M9:N9 D12:F12 I12 L12 N12">
    <cfRule type="containsBlanks" dxfId="5" priority="7">
      <formula>LEN(TRIM(D12))=0</formula>
    </cfRule>
  </conditionalFormatting>
  <conditionalFormatting sqref="D13:N13">
    <cfRule type="containsBlanks" dxfId="4" priority="3">
      <formula>LEN(TRIM(D13))=0</formula>
    </cfRule>
  </conditionalFormatting>
  <conditionalFormatting sqref="E36:E39">
    <cfRule type="expression" dxfId="3" priority="4">
      <formula>ISBLANK(E36)</formula>
    </cfRule>
    <cfRule type="expression" dxfId="2" priority="5">
      <formula>SIBLANCO(E36)</formula>
    </cfRule>
    <cfRule type="expression" dxfId="1" priority="6">
      <formula>SIBLANCO(E36)</formula>
    </cfRule>
  </conditionalFormatting>
  <conditionalFormatting sqref="J6:N6 B6:B10 D6:D10 J7:L8 M9:N9 J9:K10 D12 F12 H12:N12 B12:B13">
    <cfRule type="containsBlanks" dxfId="0" priority="1">
      <formula>LEN(TRIM(B6))=0</formula>
    </cfRule>
  </conditionalFormatting>
  <dataValidations count="2">
    <dataValidation type="list" allowBlank="1" showErrorMessage="1" sqref="N21:N30" xr:uid="{00000000-0002-0000-0100-000000000000}">
      <formula1>$S$19:$S$22</formula1>
    </dataValidation>
    <dataValidation type="list" allowBlank="1" showErrorMessage="1" sqref="D12" xr:uid="{00000000-0002-0000-0100-000001000000}">
      <formula1>$AH$6:$AH$13</formula1>
    </dataValidation>
  </dataValidations>
  <printOptions horizontalCentered="1" verticalCentered="1"/>
  <pageMargins left="0.70866141732283472" right="0.70866141732283472" top="0.74803149606299213" bottom="0.74803149606299213" header="0" footer="0"/>
  <pageSetup scale="63" orientation="landscape" r:id="rId1"/>
  <colBreaks count="1" manualBreakCount="1">
    <brk id="16" man="1"/>
  </col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G1000"/>
  <sheetViews>
    <sheetView workbookViewId="0"/>
  </sheetViews>
  <sheetFormatPr baseColWidth="10" defaultColWidth="14.42578125" defaultRowHeight="15" customHeight="1" x14ac:dyDescent="0.25"/>
  <cols>
    <col min="1" max="2" width="10.7109375" customWidth="1"/>
    <col min="3" max="3" width="12.5703125" customWidth="1"/>
    <col min="4" max="4" width="17.140625" customWidth="1"/>
    <col min="5" max="5" width="88.42578125" customWidth="1"/>
    <col min="6" max="26" width="10.7109375" customWidth="1"/>
  </cols>
  <sheetData>
    <row r="2" spans="3:7" x14ac:dyDescent="0.25">
      <c r="C2" s="8"/>
      <c r="D2" s="8"/>
      <c r="E2" s="8"/>
      <c r="F2" s="8"/>
      <c r="G2" s="8"/>
    </row>
    <row r="3" spans="3:7" x14ac:dyDescent="0.25">
      <c r="C3" s="132" t="s">
        <v>69</v>
      </c>
      <c r="D3" s="133"/>
      <c r="E3" s="134"/>
      <c r="F3" s="8"/>
      <c r="G3" s="8"/>
    </row>
    <row r="4" spans="3:7" ht="30" x14ac:dyDescent="0.25">
      <c r="C4" s="9" t="s">
        <v>70</v>
      </c>
      <c r="D4" s="10" t="s">
        <v>71</v>
      </c>
      <c r="E4" s="10" t="s">
        <v>72</v>
      </c>
      <c r="F4" s="8"/>
      <c r="G4" s="8"/>
    </row>
    <row r="5" spans="3:7" ht="26.25" customHeight="1" x14ac:dyDescent="0.25">
      <c r="C5" s="11" t="s">
        <v>73</v>
      </c>
      <c r="D5" s="12">
        <v>44886</v>
      </c>
      <c r="E5" s="13" t="s">
        <v>74</v>
      </c>
      <c r="F5" s="8"/>
      <c r="G5" s="8"/>
    </row>
    <row r="6" spans="3:7" ht="30" customHeight="1" x14ac:dyDescent="0.25">
      <c r="C6" s="11" t="s">
        <v>75</v>
      </c>
      <c r="D6" s="12">
        <v>45260</v>
      </c>
      <c r="E6" s="13" t="s">
        <v>76</v>
      </c>
      <c r="F6" s="8"/>
      <c r="G6" s="8"/>
    </row>
    <row r="7" spans="3:7" ht="104.25" customHeight="1" x14ac:dyDescent="0.25">
      <c r="C7" s="11" t="s">
        <v>77</v>
      </c>
      <c r="D7" s="12">
        <v>46031</v>
      </c>
      <c r="E7" s="14" t="s">
        <v>78</v>
      </c>
      <c r="F7" s="8"/>
      <c r="G7" s="8"/>
    </row>
    <row r="8" spans="3:7" x14ac:dyDescent="0.25">
      <c r="C8" s="15"/>
      <c r="D8" s="16"/>
      <c r="E8" s="13"/>
      <c r="F8" s="8"/>
      <c r="G8" s="8"/>
    </row>
    <row r="9" spans="3:7" x14ac:dyDescent="0.25">
      <c r="C9" s="8"/>
      <c r="D9" s="8"/>
      <c r="E9" s="8"/>
      <c r="F9" s="8"/>
      <c r="G9" s="8"/>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C3:E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DCM-005</dc:creator>
  <cp:lastModifiedBy>DCM-03</cp:lastModifiedBy>
  <dcterms:created xsi:type="dcterms:W3CDTF">2019-08-12T15:15:58Z</dcterms:created>
  <dcterms:modified xsi:type="dcterms:W3CDTF">2026-10-14T15:20:09Z</dcterms:modified>
</cp:coreProperties>
</file>