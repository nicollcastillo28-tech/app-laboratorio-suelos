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GeoDelta Líneas\Dropbox\14. GEODELTA\014 FORMATOS ACTUALIZADOS 2026\"/>
    </mc:Choice>
  </mc:AlternateContent>
  <xr:revisionPtr revIDLastSave="0" documentId="13_ncr:1_{B99F7D8F-C823-4403-95F9-E8CDCA022576}" xr6:coauthVersionLast="47" xr6:coauthVersionMax="47" xr10:uidLastSave="{00000000-0000-0000-0000-000000000000}"/>
  <bookViews>
    <workbookView xWindow="-120" yWindow="-120" windowWidth="20730" windowHeight="11040" tabRatio="778" xr2:uid="{00000000-000D-0000-FFFF-FFFF00000000}"/>
  </bookViews>
  <sheets>
    <sheet name="GUIA" sheetId="89" r:id="rId1"/>
  </sheets>
  <externalReferences>
    <externalReference r:id="rId2"/>
  </externalReferences>
  <definedNames>
    <definedName name="__123Graph_AYO" localSheetId="0" hidden="1">#REF!</definedName>
    <definedName name="__123Graph_AYO" hidden="1">#REF!</definedName>
    <definedName name="__123Graph_XYO" localSheetId="0" hidden="1">#REF!</definedName>
    <definedName name="__123Graph_XYO" hidden="1">#REF!</definedName>
    <definedName name="_Fill" localSheetId="0" hidden="1">#REF!</definedName>
    <definedName name="_Fill" hidden="1">#REF!</definedName>
    <definedName name="_Regression_Out" localSheetId="0" hidden="1">[1]L!#REF!</definedName>
    <definedName name="_Regression_Out" hidden="1">[1]L!#REF!</definedName>
    <definedName name="_Regression_X" localSheetId="0" hidden="1">#REF!</definedName>
    <definedName name="_Regression_X" hidden="1">#REF!</definedName>
    <definedName name="_Regression_Y" localSheetId="0" hidden="1">#REF!</definedName>
    <definedName name="_Regression_Y" hidden="1">#REF!</definedName>
    <definedName name="_xlnm.Print_Area" localSheetId="0">GUIA!$A$1:$J$35</definedName>
    <definedName name="GFDGSD" localSheetId="0" hidden="1">[1]L!#REF!</definedName>
    <definedName name="GFDGSD" hidden="1">[1]L!#REF!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8" i="89" l="1"/>
  <c r="I19" i="89"/>
  <c r="J45" i="89" l="1"/>
  <c r="J44" i="89"/>
  <c r="I45" i="89"/>
  <c r="I44" i="89"/>
  <c r="L30" i="89"/>
  <c r="L29" i="89"/>
  <c r="L28" i="89"/>
  <c r="L27" i="89"/>
  <c r="K34" i="89" s="1"/>
  <c r="L26" i="89"/>
  <c r="K33" i="89" s="1"/>
  <c r="I22" i="89"/>
  <c r="I21" i="89"/>
  <c r="I20" i="89"/>
  <c r="J40" i="89"/>
  <c r="K37" i="89" l="1"/>
  <c r="I48" i="89"/>
  <c r="J48" i="89" s="1"/>
  <c r="K36" i="89"/>
  <c r="I47" i="89"/>
  <c r="J47" i="89" s="1"/>
  <c r="I46" i="89"/>
  <c r="J46" i="89" s="1"/>
  <c r="K35" i="89"/>
  <c r="K40" i="89" s="1"/>
  <c r="O23" i="89"/>
  <c r="O35" i="89" l="1"/>
  <c r="O34" i="89"/>
  <c r="O33" i="89"/>
  <c r="O32" i="89"/>
  <c r="O31" i="89"/>
  <c r="O30" i="89"/>
  <c r="O29" i="89"/>
  <c r="K21" i="89" s="1"/>
  <c r="H22" i="89" s="1"/>
  <c r="O28" i="89"/>
  <c r="K20" i="89" s="1"/>
  <c r="H21" i="89" s="1"/>
  <c r="O27" i="89"/>
  <c r="O26" i="89"/>
  <c r="K19" i="89" s="1"/>
  <c r="H20" i="89" s="1"/>
  <c r="O25" i="89"/>
  <c r="O24" i="89"/>
  <c r="K18" i="89" s="1"/>
  <c r="H19" i="89" s="1"/>
  <c r="H45" i="89" s="1"/>
  <c r="O22" i="89"/>
  <c r="O21" i="89"/>
  <c r="O20" i="89"/>
  <c r="O19" i="89"/>
  <c r="O18" i="89"/>
  <c r="H10" i="89"/>
  <c r="K1" i="89" a="1"/>
  <c r="K1" i="89" s="1"/>
  <c r="H48" i="89" l="1"/>
  <c r="K30" i="89"/>
  <c r="H46" i="89"/>
  <c r="K26" i="89"/>
  <c r="K31" i="89" s="1"/>
  <c r="K27" i="89"/>
  <c r="K28" i="89"/>
  <c r="P18" i="89"/>
  <c r="Q18" i="89" s="1"/>
  <c r="K17" i="89"/>
  <c r="H18" i="89" s="1"/>
  <c r="H47" i="89"/>
  <c r="K29" i="89"/>
  <c r="P19" i="89"/>
  <c r="K22" i="89" l="1"/>
  <c r="L17" i="89" s="1"/>
  <c r="H44" i="89"/>
  <c r="H40" i="89"/>
  <c r="I24" i="89" s="1"/>
  <c r="P20" i="89"/>
  <c r="Q19" i="89"/>
  <c r="L20" i="89" l="1"/>
  <c r="L21" i="89"/>
  <c r="L19" i="89"/>
  <c r="L18" i="89"/>
  <c r="L24" i="89"/>
  <c r="L22" i="89"/>
  <c r="Q20" i="89"/>
  <c r="P21" i="89"/>
  <c r="B41" i="89" l="1"/>
  <c r="L31" i="89"/>
  <c r="K38" i="89" s="1"/>
  <c r="Q21" i="89"/>
  <c r="P22" i="89"/>
  <c r="F41" i="89" l="1"/>
  <c r="E41" i="89"/>
  <c r="P23" i="89"/>
  <c r="Q22" i="89"/>
  <c r="P24" i="89" l="1"/>
  <c r="Q23" i="89"/>
  <c r="P25" i="89" l="1"/>
  <c r="Q24" i="89"/>
  <c r="Q25" i="89" l="1"/>
  <c r="P26" i="89"/>
  <c r="Q26" i="89" l="1"/>
  <c r="P27" i="89"/>
  <c r="Q27" i="89" l="1"/>
  <c r="P28" i="89"/>
  <c r="Q28" i="89" l="1"/>
  <c r="P29" i="89"/>
  <c r="Q29" i="89" l="1"/>
  <c r="P30" i="89"/>
  <c r="P31" i="89" l="1"/>
  <c r="Q30" i="89"/>
  <c r="P32" i="89" l="1"/>
  <c r="Q31" i="89"/>
  <c r="Q32" i="89" l="1"/>
  <c r="P33" i="89"/>
  <c r="Q33" i="89" l="1"/>
  <c r="P34" i="89"/>
  <c r="P35" i="89" l="1"/>
  <c r="Q35" i="89" s="1"/>
  <c r="Q34" i="8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I9" authorId="0" shapeId="0" xr:uid="{00000000-0006-0000-0400-000001000000}">
      <text>
        <r>
          <rPr>
            <sz val="9"/>
            <color indexed="81"/>
            <rFont val="Tahoma"/>
            <family val="2"/>
          </rPr>
          <t>CONSECUTIVO DE INGRESO</t>
        </r>
      </text>
    </comment>
    <comment ref="J9" authorId="0" shapeId="0" xr:uid="{00000000-0006-0000-0400-000002000000}">
      <text>
        <r>
          <rPr>
            <sz val="9"/>
            <color indexed="81"/>
            <rFont val="Tahoma"/>
            <family val="2"/>
          </rPr>
          <t>DOS ÚLTIMOS DÍGITOS DEL AÑO DE INGRESO</t>
        </r>
      </text>
    </comment>
    <comment ref="D12" authorId="0" shapeId="0" xr:uid="{00000000-0006-0000-0400-000003000000}">
      <text>
        <r>
          <rPr>
            <b/>
            <sz val="9"/>
            <color indexed="81"/>
            <rFont val="Tahoma"/>
            <family val="2"/>
          </rPr>
          <t xml:space="preserve"># DE LA PERFORACIÓN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<sst xmlns="http://schemas.openxmlformats.org/spreadsheetml/2006/main" count="156" uniqueCount="81">
  <si>
    <t>CLIENTE:</t>
  </si>
  <si>
    <t>PROYECTO:</t>
  </si>
  <si>
    <t>INFORME DE RESULTADOS</t>
  </si>
  <si>
    <t>FECHA DE RECEPCIÓN:</t>
  </si>
  <si>
    <t xml:space="preserve">FECHA DE EJECUCIÓN: </t>
  </si>
  <si>
    <t>APIQUE</t>
  </si>
  <si>
    <t>CORREO ELECTRÓNICO:</t>
  </si>
  <si>
    <t>FECHA DE EMISIÓN:</t>
  </si>
  <si>
    <t>LOCALIZACIÓN:</t>
  </si>
  <si>
    <t xml:space="preserve">ORDEN INTERNA: </t>
  </si>
  <si>
    <t>GDA</t>
  </si>
  <si>
    <t>MUESTRA TOMADA POR:</t>
  </si>
  <si>
    <t>INFORME ID No:</t>
  </si>
  <si>
    <t>PERFORACIÓN:</t>
  </si>
  <si>
    <t>MUESTRA No. :</t>
  </si>
  <si>
    <t xml:space="preserve">PROFUNDIDAD: </t>
  </si>
  <si>
    <t>-</t>
  </si>
  <si>
    <t xml:space="preserve">DESCRIPCIÓN VISUAL: </t>
  </si>
  <si>
    <t>Ing. SERGIO DURAN NÚÑEZ</t>
  </si>
  <si>
    <t>Director Técnico</t>
  </si>
  <si>
    <t xml:space="preserve">  --------------------FIN DEL INFORME--------------------</t>
  </si>
  <si>
    <t xml:space="preserve">PONER LA CANTIDAD DE LAS MUESTRAS QUE VIENEN DEL SONDEO </t>
  </si>
  <si>
    <t xml:space="preserve">CANTIDAD DE MODIFICACIONES </t>
  </si>
  <si>
    <t>APROBÓ</t>
  </si>
  <si>
    <t>REVISÓ</t>
  </si>
  <si>
    <t>Jefe de laboratorio</t>
  </si>
  <si>
    <t>2 1/2"</t>
  </si>
  <si>
    <t>2"</t>
  </si>
  <si>
    <t>1 1/2"</t>
  </si>
  <si>
    <t>1"</t>
  </si>
  <si>
    <t>1/2"</t>
  </si>
  <si>
    <t>3/8"</t>
  </si>
  <si>
    <t/>
  </si>
  <si>
    <t>DESCARGO DE RESPONSABILIDADES GEODELTA INGENIERÍA S.A.S.
El presente ensayo no podrá ser reproducido ni parcial ni totalmente sin previa autorización escrita del laboratorio que lo emite. Los resultados de este ensayo solo son aplicables a las muestras ensayadas. Este informe es válido únicamente si presenta firma de quien Reviso y/o Aprobó. El laboratorio es responsable de toda la información suministrada en el presente informe, excepto cuando la información es suministrada por el cliente. El laboratorio no es responsable por la información suministrada por el cliente, misma que puede afectar la validez de los resultados. (DATOS SUMINISTRADOS POR EL CLIENTE: PROCEDENCIA, PROFUNDIDAD, NUMERO DE PERFORACIÓN Y FECHA DE TOMA)</t>
  </si>
  <si>
    <t>N° 4</t>
  </si>
  <si>
    <t>3/4"</t>
  </si>
  <si>
    <t>N° 8</t>
  </si>
  <si>
    <t>N° 20</t>
  </si>
  <si>
    <t>DETERMINACIÓN DE TERRONES DE ARCILLA Y PARTÍCULAS DELEZNABLES EN LOS AGREGADOS
 INV E – 211 – 13</t>
  </si>
  <si>
    <t>MASA INICIAL SECA (g)</t>
  </si>
  <si>
    <t xml:space="preserve">TAMIZ </t>
  </si>
  <si>
    <t>MASA RET. CORREGIDA(g)</t>
  </si>
  <si>
    <t xml:space="preserve">% RETENIDO INDIVIDUAL </t>
  </si>
  <si>
    <t>&amp; RETENIDO ACUMULADO</t>
  </si>
  <si>
    <t>% PASA  UNIFICADO</t>
  </si>
  <si>
    <t>6"</t>
  </si>
  <si>
    <t>4"</t>
  </si>
  <si>
    <t>3"</t>
  </si>
  <si>
    <t>N°4</t>
  </si>
  <si>
    <t>N°10</t>
  </si>
  <si>
    <t>N°40</t>
  </si>
  <si>
    <t>N°100</t>
  </si>
  <si>
    <t>N°200</t>
  </si>
  <si>
    <t>Resultados</t>
  </si>
  <si>
    <t>Cumple</t>
  </si>
  <si>
    <t>Terrones de Arcilla y P. Deleznables</t>
  </si>
  <si>
    <t>Criterio</t>
  </si>
  <si>
    <t>Especificación Art. INV - 320 - 13</t>
  </si>
  <si>
    <t>Si</t>
  </si>
  <si>
    <t>No</t>
  </si>
  <si>
    <t>≤</t>
  </si>
  <si>
    <t>N°20</t>
  </si>
  <si>
    <t>N°60</t>
  </si>
  <si>
    <t>FRACCIÓN COMPRENDIDA ENTRE</t>
  </si>
  <si>
    <t>MASA MÍNIMA DE LA FRACCIÓN (g).</t>
  </si>
  <si>
    <t>MASA INICIAL LAVADA SECA (g)</t>
  </si>
  <si>
    <t>TAMIZ DESIGNADO PARA DETERMINAR PERDIDA.</t>
  </si>
  <si>
    <t>MASA FINAL LAVADA SECA (g).</t>
  </si>
  <si>
    <t>% RETENIDO ACUMULADO ENTRE LOS TAMICES EN GRADACIÓN ORIGINAL</t>
  </si>
  <si>
    <t>% DE PÉRDIDA PONDERADA</t>
  </si>
  <si>
    <t>RETENIDO INDIVIDUAL</t>
  </si>
  <si>
    <t>RETENIDO IGUALADO AL 100%</t>
  </si>
  <si>
    <t>% de terrones de arcilla y partículas deleznables</t>
  </si>
  <si>
    <t>% DE TERRONES DE ARCILLA Y PARTÍCULAS DELEZNABLES</t>
  </si>
  <si>
    <t>CÓDIGO:GDA-FLC-034</t>
  </si>
  <si>
    <t>PÁGINA: 1 DE 1</t>
  </si>
  <si>
    <t>FECHA: 08-08-2025</t>
  </si>
  <si>
    <t>VERSIÓN: 00</t>
  </si>
  <si>
    <t>MIGUEL BARÓN</t>
  </si>
  <si>
    <t>CLIENTE</t>
  </si>
  <si>
    <t>N° 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</si>
</sst>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quot; m&quot;"/>
    <numFmt numFmtId="166" formatCode="[$-200A]d&quot; de &quot;mmmm&quot; de &quot;yyyy;@"/>
    <numFmt numFmtId="167" formatCode="@\ &quot;-&quot;"/>
    <numFmt numFmtId="168" formatCode="0.0%"/>
  </numFmts>
  <fonts count="26" x14ac:knownFonts="1">
    <font>
      <sz val="11"/>
      <color theme="1"/>
      <name val="Calibri"/>
      <family val="2"/>
      <scheme val="minor"/>
    </font>
    <font>
      <sz val="12"/>
      <color theme="1"/>
      <name val="Arial"/>
      <family val="2"/>
    </font>
    <font>
      <sz val="10"/>
      <name val="Arial"/>
      <family val="2"/>
    </font>
    <font>
      <b/>
      <sz val="12"/>
      <name val="Arial"/>
      <family val="2"/>
    </font>
    <font>
      <sz val="12"/>
      <name val="Arial"/>
      <family val="2"/>
    </font>
    <font>
      <b/>
      <sz val="12"/>
      <color rgb="FF002060"/>
      <name val="Arial"/>
      <family val="2"/>
    </font>
    <font>
      <b/>
      <sz val="11"/>
      <color theme="1"/>
      <name val="Arial"/>
      <family val="2"/>
    </font>
    <font>
      <sz val="11"/>
      <color theme="1"/>
      <name val="Calibri"/>
      <family val="2"/>
      <scheme val="minor"/>
    </font>
    <font>
      <b/>
      <sz val="12"/>
      <color theme="1"/>
      <name val="Arial"/>
      <family val="2"/>
    </font>
    <font>
      <b/>
      <sz val="14"/>
      <color theme="1"/>
      <name val="Arial"/>
      <family val="2"/>
    </font>
    <font>
      <sz val="11"/>
      <color theme="1"/>
      <name val="Arial"/>
      <family val="2"/>
    </font>
    <font>
      <sz val="11"/>
      <color rgb="FFFF0000"/>
      <name val="Arial"/>
      <family val="2"/>
    </font>
    <font>
      <i/>
      <sz val="11"/>
      <color theme="1"/>
      <name val="Arial"/>
      <family val="2"/>
    </font>
    <font>
      <sz val="9"/>
      <color indexed="81"/>
      <name val="Tahoma"/>
      <family val="2"/>
    </font>
    <font>
      <b/>
      <sz val="9"/>
      <color indexed="81"/>
      <name val="Tahoma"/>
      <family val="2"/>
    </font>
    <font>
      <b/>
      <sz val="10"/>
      <color theme="1"/>
      <name val="Arial"/>
      <family val="2"/>
    </font>
    <font>
      <sz val="9"/>
      <color rgb="FFFF0000"/>
      <name val="Bookman Old Style"/>
      <family val="1"/>
    </font>
    <font>
      <sz val="12"/>
      <color indexed="8"/>
      <name val="Arial"/>
      <family val="2"/>
    </font>
    <font>
      <b/>
      <sz val="12"/>
      <color indexed="8"/>
      <name val="Arial"/>
      <family val="2"/>
    </font>
    <font>
      <sz val="9"/>
      <color indexed="8"/>
      <name val="Bookman Old Style"/>
      <family val="1"/>
    </font>
    <font>
      <sz val="9"/>
      <name val="Bookman Old Style"/>
      <family val="1"/>
    </font>
    <font>
      <b/>
      <i/>
      <sz val="9"/>
      <name val="Bookman Old Style"/>
      <family val="1"/>
    </font>
    <font>
      <i/>
      <sz val="9"/>
      <color indexed="8"/>
      <name val="Bookman Old Style"/>
      <family val="1"/>
    </font>
    <font>
      <sz val="11"/>
      <name val="Arial"/>
      <family val="2"/>
    </font>
    <font>
      <u/>
      <sz val="11"/>
      <color theme="10"/>
      <name val="Calibri"/>
      <family val="2"/>
      <scheme val="minor"/>
    </font>
    <font>
      <sz val="11"/>
      <name val="Calibri"/>
      <family val="2"/>
      <scheme val="minor"/>
    </font>
  </fonts>
  <fills count="4">
    <fill>
      <patternFill patternType="none"/>
    </fill>
    <fill>
      <patternFill patternType="gray125"/>
    </fill>
    <fill>
      <patternFill patternType="solid">
        <fgColor theme="0"/>
        <bgColor indexed="64"/>
      </patternFill>
    </fill>
    <fill>
      <patternFill patternType="solid">
        <fgColor theme="0" tint="-4.9989318521683403E-2"/>
        <bgColor indexed="64"/>
      </patternFill>
    </fill>
  </fills>
  <borders count="55">
    <border>
      <left/>
      <right/>
      <top/>
      <bottom/>
      <diagonal/>
    </border>
    <border>
      <left style="medium">
        <color theme="0" tint="-0.499984740745262"/>
      </left>
      <right/>
      <top/>
      <bottom/>
      <diagonal/>
    </border>
    <border>
      <left/>
      <right style="medium">
        <color theme="0" tint="-0.499984740745262"/>
      </right>
      <top/>
      <bottom/>
      <diagonal/>
    </border>
    <border>
      <left style="medium">
        <color theme="0" tint="-0.499984740745262"/>
      </left>
      <right/>
      <top style="medium">
        <color theme="0" tint="-0.499984740745262"/>
      </top>
      <bottom/>
      <diagonal/>
    </border>
    <border>
      <left/>
      <right/>
      <top style="medium">
        <color theme="0" tint="-0.499984740745262"/>
      </top>
      <bottom/>
      <diagonal/>
    </border>
    <border>
      <left/>
      <right/>
      <top/>
      <bottom style="thin">
        <color theme="0" tint="-0.499984740745262"/>
      </bottom>
      <diagonal/>
    </border>
    <border>
      <left style="medium">
        <color theme="0" tint="-0.499984740745262"/>
      </left>
      <right/>
      <top/>
      <bottom style="medium">
        <color theme="0" tint="-0.499984740745262"/>
      </bottom>
      <diagonal/>
    </border>
    <border>
      <left/>
      <right/>
      <top/>
      <bottom style="medium">
        <color theme="0" tint="-0.499984740745262"/>
      </bottom>
      <diagonal/>
    </border>
    <border>
      <left/>
      <right style="medium">
        <color theme="0" tint="-0.499984740745262"/>
      </right>
      <top/>
      <bottom style="medium">
        <color theme="0" tint="-0.499984740745262"/>
      </bottom>
      <diagonal/>
    </border>
    <border>
      <left/>
      <right/>
      <top style="thin">
        <color theme="0" tint="-0.499984740745262"/>
      </top>
      <bottom style="thin">
        <color theme="0" tint="-0.499984740745262"/>
      </bottom>
      <diagonal/>
    </border>
    <border>
      <left/>
      <right/>
      <top style="medium">
        <color theme="0" tint="-0.499984740745262"/>
      </top>
      <bottom style="thin">
        <color theme="0" tint="-0.499984740745262"/>
      </bottom>
      <diagonal/>
    </border>
    <border>
      <left/>
      <right style="medium">
        <color theme="0" tint="-0.499984740745262"/>
      </right>
      <top style="thin">
        <color theme="0" tint="-0.499984740745262"/>
      </top>
      <bottom style="thin">
        <color theme="0" tint="-0.499984740745262"/>
      </bottom>
      <diagonal/>
    </border>
    <border>
      <left/>
      <right style="medium">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right/>
      <top style="thin">
        <color theme="0" tint="-0.499984740745262"/>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style="medium">
        <color theme="0" tint="-0.499984740745262"/>
      </right>
      <top style="thin">
        <color theme="0" tint="-0.499984740745262"/>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theme="0" tint="-0.499984740745262"/>
      </right>
      <top style="medium">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right style="thin">
        <color theme="0" tint="-0.499984740745262"/>
      </right>
      <top style="thin">
        <color theme="0" tint="-0.499984740745262"/>
      </top>
      <bottom style="medium">
        <color theme="0" tint="-0.499984740745262"/>
      </bottom>
      <diagonal/>
    </border>
    <border>
      <left style="medium">
        <color theme="0" tint="-0.499984740745262"/>
      </left>
      <right style="medium">
        <color theme="0" tint="-0.499984740745262"/>
      </right>
      <top style="medium">
        <color theme="0" tint="-0.499984740745262"/>
      </top>
      <bottom style="medium">
        <color theme="0" tint="-0.499984740745262"/>
      </bottom>
      <diagonal/>
    </border>
    <border>
      <left/>
      <right style="medium">
        <color theme="0" tint="-0.499984740745262"/>
      </right>
      <top style="medium">
        <color theme="0" tint="-0.499984740745262"/>
      </top>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medium">
        <color theme="0" tint="-0.499984740745262"/>
      </left>
      <right style="thin">
        <color indexed="64"/>
      </right>
      <top style="medium">
        <color theme="0" tint="-0.499984740745262"/>
      </top>
      <bottom style="thin">
        <color indexed="64"/>
      </bottom>
      <diagonal/>
    </border>
    <border>
      <left style="thin">
        <color indexed="64"/>
      </left>
      <right style="thin">
        <color indexed="64"/>
      </right>
      <top style="medium">
        <color theme="0" tint="-0.499984740745262"/>
      </top>
      <bottom style="thin">
        <color indexed="64"/>
      </bottom>
      <diagonal/>
    </border>
    <border>
      <left style="thin">
        <color indexed="64"/>
      </left>
      <right style="medium">
        <color theme="0" tint="-0.499984740745262"/>
      </right>
      <top style="medium">
        <color theme="0" tint="-0.499984740745262"/>
      </top>
      <bottom style="thin">
        <color indexed="64"/>
      </bottom>
      <diagonal/>
    </border>
    <border>
      <left style="medium">
        <color theme="0" tint="-0.499984740745262"/>
      </left>
      <right style="thin">
        <color indexed="64"/>
      </right>
      <top style="thin">
        <color indexed="64"/>
      </top>
      <bottom style="thin">
        <color indexed="64"/>
      </bottom>
      <diagonal/>
    </border>
    <border>
      <left style="thin">
        <color indexed="64"/>
      </left>
      <right style="medium">
        <color theme="0" tint="-0.499984740745262"/>
      </right>
      <top style="thin">
        <color indexed="64"/>
      </top>
      <bottom style="thin">
        <color indexed="64"/>
      </bottom>
      <diagonal/>
    </border>
    <border>
      <left style="medium">
        <color theme="0" tint="-0.499984740745262"/>
      </left>
      <right style="thin">
        <color indexed="64"/>
      </right>
      <top style="thin">
        <color indexed="64"/>
      </top>
      <bottom style="medium">
        <color theme="0" tint="-0.499984740745262"/>
      </bottom>
      <diagonal/>
    </border>
    <border>
      <left style="thin">
        <color indexed="64"/>
      </left>
      <right style="thin">
        <color indexed="64"/>
      </right>
      <top style="thin">
        <color indexed="64"/>
      </top>
      <bottom style="medium">
        <color theme="0" tint="-0.499984740745262"/>
      </bottom>
      <diagonal/>
    </border>
    <border>
      <left style="thin">
        <color indexed="64"/>
      </left>
      <right style="medium">
        <color theme="0" tint="-0.499984740745262"/>
      </right>
      <top style="thin">
        <color indexed="64"/>
      </top>
      <bottom style="medium">
        <color theme="0" tint="-0.499984740745262"/>
      </bottom>
      <diagonal/>
    </border>
  </borders>
  <cellStyleXfs count="7">
    <xf numFmtId="0" fontId="0" fillId="0" borderId="0"/>
    <xf numFmtId="0" fontId="1" fillId="0" borderId="0"/>
    <xf numFmtId="0" fontId="2" fillId="0" borderId="0"/>
    <xf numFmtId="0" fontId="7" fillId="0" borderId="0"/>
    <xf numFmtId="0" fontId="4" fillId="0" borderId="0"/>
    <xf numFmtId="0" fontId="4" fillId="0" borderId="0"/>
    <xf numFmtId="0" fontId="24" fillId="0" borderId="0" applyNumberFormat="0" applyFill="0" applyBorder="0" applyAlignment="0" applyProtection="0"/>
  </cellStyleXfs>
  <cellXfs count="177">
    <xf numFmtId="0" fontId="0" fillId="0" borderId="0" xfId="0"/>
    <xf numFmtId="0" fontId="1" fillId="0" borderId="1" xfId="3" applyFont="1" applyBorder="1" applyAlignment="1" applyProtection="1">
      <alignment vertical="center"/>
      <protection hidden="1"/>
    </xf>
    <xf numFmtId="0" fontId="1" fillId="0" borderId="8" xfId="3" applyFont="1" applyBorder="1" applyAlignment="1" applyProtection="1">
      <alignment vertical="center"/>
      <protection hidden="1"/>
    </xf>
    <xf numFmtId="0" fontId="1" fillId="0" borderId="3" xfId="3" applyFont="1" applyBorder="1" applyAlignment="1" applyProtection="1">
      <alignment vertical="center"/>
      <protection hidden="1"/>
    </xf>
    <xf numFmtId="0" fontId="8" fillId="2" borderId="4" xfId="3" applyFont="1" applyFill="1" applyBorder="1" applyAlignment="1" applyProtection="1">
      <alignment horizontal="left" vertical="center"/>
      <protection hidden="1"/>
    </xf>
    <xf numFmtId="166" fontId="1" fillId="2" borderId="5" xfId="3" applyNumberFormat="1" applyFont="1" applyFill="1" applyBorder="1" applyAlignment="1" applyProtection="1">
      <alignment horizontal="right" vertical="center"/>
      <protection hidden="1"/>
    </xf>
    <xf numFmtId="0" fontId="1" fillId="0" borderId="6" xfId="3" applyFont="1" applyBorder="1" applyAlignment="1" applyProtection="1">
      <alignment vertical="center"/>
      <protection hidden="1"/>
    </xf>
    <xf numFmtId="0" fontId="1" fillId="2" borderId="8" xfId="3" applyFont="1" applyFill="1" applyBorder="1" applyAlignment="1" applyProtection="1">
      <alignment vertical="center"/>
      <protection hidden="1"/>
    </xf>
    <xf numFmtId="0" fontId="8" fillId="2" borderId="4" xfId="3" applyFont="1" applyFill="1" applyBorder="1" applyAlignment="1" applyProtection="1">
      <alignment vertical="center"/>
      <protection hidden="1"/>
    </xf>
    <xf numFmtId="165" fontId="1" fillId="2" borderId="10" xfId="3" applyNumberFormat="1" applyFont="1" applyFill="1" applyBorder="1" applyAlignment="1" applyProtection="1">
      <alignment horizontal="center" vertical="center"/>
      <protection hidden="1"/>
    </xf>
    <xf numFmtId="0" fontId="8" fillId="2" borderId="7" xfId="3" applyFont="1" applyFill="1" applyBorder="1" applyAlignment="1" applyProtection="1">
      <alignment horizontal="left" vertical="center"/>
      <protection hidden="1"/>
    </xf>
    <xf numFmtId="0" fontId="1" fillId="2" borderId="7" xfId="3" applyFont="1" applyFill="1" applyBorder="1" applyAlignment="1" applyProtection="1">
      <alignment horizontal="left" vertical="center"/>
      <protection hidden="1"/>
    </xf>
    <xf numFmtId="0" fontId="1" fillId="2" borderId="8" xfId="3" applyFont="1" applyFill="1" applyBorder="1" applyAlignment="1" applyProtection="1">
      <alignment horizontal="left" vertical="center"/>
      <protection hidden="1"/>
    </xf>
    <xf numFmtId="0" fontId="1" fillId="0" borderId="1" xfId="0" applyFont="1" applyBorder="1" applyProtection="1">
      <protection hidden="1"/>
    </xf>
    <xf numFmtId="0" fontId="1" fillId="0" borderId="0" xfId="0" applyFont="1" applyProtection="1">
      <protection hidden="1"/>
    </xf>
    <xf numFmtId="0" fontId="1" fillId="0" borderId="2" xfId="0" applyFont="1" applyBorder="1" applyProtection="1">
      <protection hidden="1"/>
    </xf>
    <xf numFmtId="0" fontId="10" fillId="0" borderId="0" xfId="3" applyFont="1" applyAlignment="1" applyProtection="1">
      <alignment vertical="center"/>
      <protection hidden="1"/>
    </xf>
    <xf numFmtId="0" fontId="1" fillId="0" borderId="0" xfId="3" applyFont="1" applyAlignment="1" applyProtection="1">
      <alignment vertical="center"/>
      <protection hidden="1"/>
    </xf>
    <xf numFmtId="0" fontId="0" fillId="0" borderId="0" xfId="0" applyProtection="1">
      <protection hidden="1"/>
    </xf>
    <xf numFmtId="0" fontId="12" fillId="0" borderId="0" xfId="3" applyFont="1" applyAlignment="1" applyProtection="1">
      <alignment horizontal="center" vertical="center"/>
      <protection hidden="1"/>
    </xf>
    <xf numFmtId="0" fontId="10" fillId="0" borderId="20" xfId="3" applyFont="1" applyBorder="1" applyAlignment="1" applyProtection="1">
      <alignment vertical="center"/>
      <protection hidden="1"/>
    </xf>
    <xf numFmtId="0" fontId="11" fillId="0" borderId="0" xfId="3" applyFont="1" applyAlignment="1" applyProtection="1">
      <alignment vertical="center" wrapText="1"/>
      <protection hidden="1"/>
    </xf>
    <xf numFmtId="0" fontId="10" fillId="0" borderId="2" xfId="3" applyFont="1" applyBorder="1" applyAlignment="1" applyProtection="1">
      <alignment vertical="center"/>
      <protection hidden="1"/>
    </xf>
    <xf numFmtId="167" fontId="1" fillId="2" borderId="9" xfId="3" applyNumberFormat="1" applyFont="1" applyFill="1" applyBorder="1" applyAlignment="1" applyProtection="1">
      <alignment horizontal="center" vertical="center"/>
      <protection hidden="1"/>
    </xf>
    <xf numFmtId="49" fontId="1" fillId="2" borderId="11" xfId="3" applyNumberFormat="1" applyFont="1" applyFill="1" applyBorder="1" applyAlignment="1" applyProtection="1">
      <alignment vertical="center"/>
      <protection hidden="1"/>
    </xf>
    <xf numFmtId="49" fontId="1" fillId="2" borderId="10" xfId="3" applyNumberFormat="1" applyFont="1" applyFill="1" applyBorder="1" applyAlignment="1" applyProtection="1">
      <alignment horizontal="right" vertical="center"/>
      <protection hidden="1"/>
    </xf>
    <xf numFmtId="0" fontId="1" fillId="2" borderId="10" xfId="3" applyFont="1" applyFill="1" applyBorder="1" applyAlignment="1" applyProtection="1">
      <alignment horizontal="left" vertical="center"/>
      <protection hidden="1"/>
    </xf>
    <xf numFmtId="165" fontId="1" fillId="2" borderId="10" xfId="3" applyNumberFormat="1" applyFont="1" applyFill="1" applyBorder="1" applyAlignment="1" applyProtection="1">
      <alignment horizontal="right" vertical="center"/>
      <protection hidden="1"/>
    </xf>
    <xf numFmtId="165" fontId="1" fillId="2" borderId="12" xfId="3" applyNumberFormat="1" applyFont="1" applyFill="1" applyBorder="1" applyAlignment="1" applyProtection="1">
      <alignment horizontal="left" vertical="center"/>
      <protection hidden="1"/>
    </xf>
    <xf numFmtId="0" fontId="6" fillId="0" borderId="2" xfId="3" applyFont="1" applyBorder="1" applyAlignment="1" applyProtection="1">
      <alignment vertical="center"/>
      <protection hidden="1"/>
    </xf>
    <xf numFmtId="0" fontId="8" fillId="2" borderId="4" xfId="3" applyFont="1" applyFill="1" applyBorder="1" applyAlignment="1" applyProtection="1">
      <alignment horizontal="center" vertical="center"/>
      <protection hidden="1"/>
    </xf>
    <xf numFmtId="0" fontId="8" fillId="2" borderId="5" xfId="3" applyFont="1" applyFill="1" applyBorder="1" applyAlignment="1" applyProtection="1">
      <alignment horizontal="left" vertical="center"/>
      <protection hidden="1"/>
    </xf>
    <xf numFmtId="0" fontId="5" fillId="0" borderId="1" xfId="1" applyFont="1" applyBorder="1" applyAlignment="1" applyProtection="1">
      <alignment horizontal="center" vertical="center"/>
      <protection hidden="1"/>
    </xf>
    <xf numFmtId="0" fontId="5" fillId="0" borderId="2" xfId="1" applyFont="1" applyBorder="1" applyAlignment="1" applyProtection="1">
      <alignment horizontal="center" vertical="center"/>
      <protection hidden="1"/>
    </xf>
    <xf numFmtId="0" fontId="8" fillId="2" borderId="0" xfId="3" applyFont="1" applyFill="1" applyAlignment="1" applyProtection="1">
      <alignment horizontal="left" vertical="center"/>
      <protection hidden="1"/>
    </xf>
    <xf numFmtId="0" fontId="3" fillId="0" borderId="0" xfId="3" applyFont="1" applyAlignment="1" applyProtection="1">
      <alignment horizontal="left" vertical="center"/>
      <protection hidden="1"/>
    </xf>
    <xf numFmtId="0" fontId="15" fillId="0" borderId="0" xfId="3" applyFont="1" applyAlignment="1" applyProtection="1">
      <alignment vertical="center" wrapText="1"/>
      <protection hidden="1"/>
    </xf>
    <xf numFmtId="0" fontId="1" fillId="0" borderId="0" xfId="3" applyFont="1" applyAlignment="1" applyProtection="1">
      <alignment vertical="center" wrapText="1"/>
      <protection hidden="1"/>
    </xf>
    <xf numFmtId="0" fontId="4" fillId="0" borderId="0" xfId="0" applyFont="1" applyAlignment="1">
      <alignment horizontal="center" vertical="center" wrapText="1"/>
    </xf>
    <xf numFmtId="2" fontId="17" fillId="0" borderId="0" xfId="0" applyNumberFormat="1" applyFont="1" applyAlignment="1">
      <alignment horizontal="center" vertical="center" wrapText="1"/>
    </xf>
    <xf numFmtId="164" fontId="17" fillId="0" borderId="0" xfId="0" applyNumberFormat="1" applyFont="1" applyAlignment="1">
      <alignment horizontal="center" vertical="center" wrapText="1"/>
    </xf>
    <xf numFmtId="2" fontId="4" fillId="0" borderId="0" xfId="0" applyNumberFormat="1" applyFont="1" applyAlignment="1">
      <alignment horizontal="center" vertical="center" wrapText="1"/>
    </xf>
    <xf numFmtId="0" fontId="4" fillId="0" borderId="21" xfId="0" applyFont="1" applyBorder="1" applyAlignment="1">
      <alignment horizontal="center" vertical="center"/>
    </xf>
    <xf numFmtId="0" fontId="17" fillId="0" borderId="21" xfId="0" applyFont="1" applyBorder="1" applyAlignment="1">
      <alignment horizontal="center"/>
    </xf>
    <xf numFmtId="0" fontId="17" fillId="0" borderId="21" xfId="0" applyFont="1" applyBorder="1" applyAlignment="1">
      <alignment horizontal="center" vertical="center"/>
    </xf>
    <xf numFmtId="0" fontId="4" fillId="0" borderId="0" xfId="0" applyFont="1" applyAlignment="1">
      <alignment horizontal="center" vertical="center"/>
    </xf>
    <xf numFmtId="0" fontId="17" fillId="0" borderId="0" xfId="0" applyFont="1" applyAlignment="1">
      <alignment horizontal="center" vertical="center"/>
    </xf>
    <xf numFmtId="2" fontId="17" fillId="0" borderId="0" xfId="0" applyNumberFormat="1" applyFont="1" applyAlignment="1">
      <alignment horizontal="center" vertical="center"/>
    </xf>
    <xf numFmtId="2" fontId="4" fillId="0" borderId="0" xfId="0" applyNumberFormat="1" applyFont="1" applyAlignment="1">
      <alignment horizontal="center" vertical="center"/>
    </xf>
    <xf numFmtId="0" fontId="1" fillId="0" borderId="0" xfId="0" applyFont="1"/>
    <xf numFmtId="0" fontId="19" fillId="0" borderId="0" xfId="0" applyFont="1" applyAlignment="1">
      <alignment vertical="center"/>
    </xf>
    <xf numFmtId="0" fontId="20" fillId="0" borderId="0" xfId="0" applyFont="1" applyAlignment="1">
      <alignment horizontal="center" vertical="center"/>
    </xf>
    <xf numFmtId="0" fontId="20" fillId="0" borderId="0" xfId="0" applyFont="1" applyAlignment="1">
      <alignment vertical="center"/>
    </xf>
    <xf numFmtId="0" fontId="19" fillId="0" borderId="0" xfId="0" applyFont="1" applyAlignment="1">
      <alignment horizontal="center" vertical="center"/>
    </xf>
    <xf numFmtId="0" fontId="20" fillId="0" borderId="0" xfId="0" applyFont="1" applyAlignment="1">
      <alignment vertical="center" wrapText="1"/>
    </xf>
    <xf numFmtId="0" fontId="16" fillId="0" borderId="0" xfId="0" applyFont="1" applyAlignment="1">
      <alignment horizontal="left" vertical="center"/>
    </xf>
    <xf numFmtId="0" fontId="16" fillId="0" borderId="20" xfId="0" applyFont="1" applyBorder="1" applyAlignment="1">
      <alignment vertical="center"/>
    </xf>
    <xf numFmtId="0" fontId="21" fillId="0" borderId="0" xfId="0" applyFont="1" applyAlignment="1">
      <alignment vertical="center"/>
    </xf>
    <xf numFmtId="0" fontId="20" fillId="0" borderId="23" xfId="0" applyFont="1" applyBorder="1" applyAlignment="1">
      <alignment horizontal="center" vertical="center"/>
    </xf>
    <xf numFmtId="0" fontId="20" fillId="0" borderId="21" xfId="0" applyFont="1" applyBorder="1" applyAlignment="1">
      <alignment horizontal="center" vertical="center"/>
    </xf>
    <xf numFmtId="164" fontId="20" fillId="0" borderId="21" xfId="0" applyNumberFormat="1" applyFont="1" applyBorder="1" applyAlignment="1">
      <alignment horizontal="center"/>
    </xf>
    <xf numFmtId="2" fontId="20" fillId="0" borderId="21" xfId="0" applyNumberFormat="1" applyFont="1" applyBorder="1" applyAlignment="1">
      <alignment horizontal="center" vertical="center"/>
    </xf>
    <xf numFmtId="2" fontId="20" fillId="0" borderId="24" xfId="0" applyNumberFormat="1" applyFont="1" applyBorder="1" applyAlignment="1">
      <alignment horizontal="center" vertical="center"/>
    </xf>
    <xf numFmtId="0" fontId="19" fillId="0" borderId="31" xfId="0" applyFont="1" applyBorder="1" applyAlignment="1">
      <alignment horizontal="center" wrapText="1"/>
    </xf>
    <xf numFmtId="0" fontId="20" fillId="0" borderId="23" xfId="0" applyFont="1" applyBorder="1" applyAlignment="1">
      <alignment horizontal="center"/>
    </xf>
    <xf numFmtId="0" fontId="19" fillId="0" borderId="23" xfId="0" applyFont="1" applyBorder="1" applyAlignment="1">
      <alignment horizontal="center"/>
    </xf>
    <xf numFmtId="164" fontId="20" fillId="0" borderId="0" xfId="0" applyNumberFormat="1" applyFont="1" applyAlignment="1">
      <alignment horizontal="center" vertical="center"/>
    </xf>
    <xf numFmtId="2" fontId="19" fillId="0" borderId="0" xfId="0" applyNumberFormat="1" applyFont="1" applyAlignment="1">
      <alignment vertical="center"/>
    </xf>
    <xf numFmtId="168" fontId="20" fillId="0" borderId="0" xfId="0" applyNumberFormat="1" applyFont="1" applyAlignment="1">
      <alignment horizontal="center" vertical="center"/>
    </xf>
    <xf numFmtId="0" fontId="20" fillId="2" borderId="0" xfId="0" applyFont="1" applyFill="1"/>
    <xf numFmtId="0" fontId="20" fillId="0" borderId="0" xfId="0" applyFont="1"/>
    <xf numFmtId="2" fontId="19" fillId="0" borderId="23" xfId="0" applyNumberFormat="1" applyFont="1" applyBorder="1" applyAlignment="1">
      <alignment horizontal="center" vertical="center" wrapText="1"/>
    </xf>
    <xf numFmtId="2" fontId="19" fillId="0" borderId="21" xfId="0" applyNumberFormat="1" applyFont="1" applyBorder="1" applyAlignment="1">
      <alignment horizontal="center" vertical="center"/>
    </xf>
    <xf numFmtId="2" fontId="19" fillId="0" borderId="21" xfId="0" applyNumberFormat="1" applyFont="1" applyBorder="1" applyAlignment="1">
      <alignment horizontal="center" vertical="center" wrapText="1"/>
    </xf>
    <xf numFmtId="2" fontId="19" fillId="0" borderId="24" xfId="0" applyNumberFormat="1" applyFont="1" applyBorder="1" applyAlignment="1">
      <alignment horizontal="center" vertical="center"/>
    </xf>
    <xf numFmtId="164" fontId="19" fillId="0" borderId="25" xfId="0" applyNumberFormat="1" applyFont="1" applyBorder="1" applyAlignment="1">
      <alignment horizontal="center" vertical="center"/>
    </xf>
    <xf numFmtId="2" fontId="19" fillId="0" borderId="26" xfId="0" applyNumberFormat="1" applyFont="1" applyBorder="1" applyAlignment="1">
      <alignment horizontal="center" vertical="center"/>
    </xf>
    <xf numFmtId="1" fontId="19" fillId="0" borderId="26" xfId="0" applyNumberFormat="1" applyFont="1" applyBorder="1" applyAlignment="1">
      <alignment horizontal="center" vertical="center"/>
    </xf>
    <xf numFmtId="2" fontId="19" fillId="0" borderId="27" xfId="0" applyNumberFormat="1" applyFont="1" applyBorder="1" applyAlignment="1">
      <alignment horizontal="center" vertical="center"/>
    </xf>
    <xf numFmtId="2" fontId="23" fillId="0" borderId="39" xfId="0" applyNumberFormat="1" applyFont="1" applyBorder="1" applyAlignment="1" applyProtection="1">
      <alignment horizontal="center" vertical="center"/>
      <protection locked="0" hidden="1"/>
    </xf>
    <xf numFmtId="2" fontId="23" fillId="0" borderId="40" xfId="0" applyNumberFormat="1" applyFont="1" applyBorder="1" applyAlignment="1" applyProtection="1">
      <alignment horizontal="center" vertical="center"/>
      <protection locked="0" hidden="1"/>
    </xf>
    <xf numFmtId="2" fontId="23" fillId="0" borderId="41" xfId="0" applyNumberFormat="1" applyFont="1" applyBorder="1" applyAlignment="1" applyProtection="1">
      <alignment horizontal="center" vertical="center"/>
      <protection locked="0" hidden="1"/>
    </xf>
    <xf numFmtId="0" fontId="19" fillId="0" borderId="0" xfId="0" applyFont="1"/>
    <xf numFmtId="2" fontId="4" fillId="0" borderId="21" xfId="0" applyNumberFormat="1" applyFont="1" applyBorder="1" applyAlignment="1">
      <alignment horizontal="center" vertical="center"/>
    </xf>
    <xf numFmtId="2" fontId="0" fillId="0" borderId="0" xfId="0" applyNumberFormat="1"/>
    <xf numFmtId="0" fontId="11" fillId="0" borderId="0" xfId="3" applyFont="1" applyAlignment="1" applyProtection="1">
      <alignment horizontal="center" vertical="center" wrapText="1"/>
      <protection hidden="1"/>
    </xf>
    <xf numFmtId="0" fontId="1" fillId="2" borderId="10" xfId="3" applyFont="1" applyFill="1" applyBorder="1" applyAlignment="1" applyProtection="1">
      <alignment horizontal="center" vertical="center"/>
      <protection hidden="1"/>
    </xf>
    <xf numFmtId="0" fontId="4" fillId="0" borderId="50" xfId="0" applyFont="1" applyBorder="1" applyAlignment="1">
      <alignment horizontal="center" vertical="center"/>
    </xf>
    <xf numFmtId="2" fontId="4" fillId="0" borderId="51" xfId="0" applyNumberFormat="1" applyFont="1" applyBorder="1" applyAlignment="1">
      <alignment horizontal="center" vertical="center"/>
    </xf>
    <xf numFmtId="0" fontId="4" fillId="0" borderId="52" xfId="0" applyFont="1" applyBorder="1" applyAlignment="1">
      <alignment horizontal="center" vertical="center"/>
    </xf>
    <xf numFmtId="0" fontId="17" fillId="0" borderId="53" xfId="0" applyFont="1" applyBorder="1" applyAlignment="1">
      <alignment horizontal="center" vertical="center"/>
    </xf>
    <xf numFmtId="2" fontId="17" fillId="0" borderId="53" xfId="0" applyNumberFormat="1" applyFont="1" applyBorder="1" applyAlignment="1">
      <alignment horizontal="center" vertical="center"/>
    </xf>
    <xf numFmtId="2" fontId="4" fillId="0" borderId="54" xfId="0" applyNumberFormat="1" applyFont="1" applyBorder="1" applyAlignment="1">
      <alignment horizontal="center" vertical="center"/>
    </xf>
    <xf numFmtId="2" fontId="18" fillId="0" borderId="42" xfId="0" applyNumberFormat="1" applyFont="1" applyBorder="1" applyAlignment="1">
      <alignment horizontal="center"/>
    </xf>
    <xf numFmtId="164" fontId="19" fillId="0" borderId="0" xfId="0" applyNumberFormat="1" applyFont="1" applyAlignment="1">
      <alignment horizontal="center" vertical="center"/>
    </xf>
    <xf numFmtId="164" fontId="21" fillId="0" borderId="0" xfId="0" applyNumberFormat="1" applyFont="1" applyAlignment="1">
      <alignment vertical="center"/>
    </xf>
    <xf numFmtId="2" fontId="0" fillId="0" borderId="0" xfId="0" applyNumberFormat="1" applyProtection="1">
      <protection hidden="1"/>
    </xf>
    <xf numFmtId="2" fontId="20" fillId="0" borderId="0" xfId="0" applyNumberFormat="1" applyFont="1" applyAlignment="1">
      <alignment vertical="center"/>
    </xf>
    <xf numFmtId="2" fontId="20" fillId="0" borderId="0" xfId="0" applyNumberFormat="1" applyFont="1" applyAlignment="1">
      <alignment horizontal="center" vertical="center"/>
    </xf>
    <xf numFmtId="2" fontId="0" fillId="0" borderId="21" xfId="0" applyNumberFormat="1" applyBorder="1" applyProtection="1">
      <protection hidden="1"/>
    </xf>
    <xf numFmtId="0" fontId="0" fillId="0" borderId="21" xfId="0" applyBorder="1" applyProtection="1">
      <protection hidden="1"/>
    </xf>
    <xf numFmtId="0" fontId="0" fillId="0" borderId="20" xfId="0" applyBorder="1" applyProtection="1">
      <protection hidden="1"/>
    </xf>
    <xf numFmtId="2" fontId="4" fillId="0" borderId="53" xfId="0" applyNumberFormat="1" applyFont="1" applyBorder="1" applyAlignment="1">
      <alignment horizontal="center" vertical="center"/>
    </xf>
    <xf numFmtId="49" fontId="11" fillId="0" borderId="6" xfId="3" applyNumberFormat="1" applyFont="1" applyBorder="1" applyAlignment="1" applyProtection="1">
      <alignment horizontal="center" vertical="center" wrapText="1"/>
      <protection hidden="1"/>
    </xf>
    <xf numFmtId="49" fontId="11" fillId="0" borderId="7" xfId="3" applyNumberFormat="1" applyFont="1" applyBorder="1" applyAlignment="1" applyProtection="1">
      <alignment horizontal="center" vertical="center" wrapText="1"/>
      <protection hidden="1"/>
    </xf>
    <xf numFmtId="49" fontId="11" fillId="0" borderId="8" xfId="3" applyNumberFormat="1" applyFont="1" applyBorder="1" applyAlignment="1" applyProtection="1">
      <alignment horizontal="center" vertical="center" wrapText="1"/>
      <protection hidden="1"/>
    </xf>
    <xf numFmtId="2" fontId="22" fillId="3" borderId="34" xfId="0" applyNumberFormat="1" applyFont="1" applyFill="1" applyBorder="1" applyAlignment="1">
      <alignment horizontal="center" vertical="center"/>
    </xf>
    <xf numFmtId="2" fontId="22" fillId="3" borderId="35" xfId="0" applyNumberFormat="1" applyFont="1" applyFill="1" applyBorder="1" applyAlignment="1">
      <alignment horizontal="center" vertical="center"/>
    </xf>
    <xf numFmtId="2" fontId="22" fillId="3" borderId="36" xfId="0" applyNumberFormat="1" applyFont="1" applyFill="1" applyBorder="1" applyAlignment="1">
      <alignment horizontal="center" vertical="center"/>
    </xf>
    <xf numFmtId="2" fontId="22" fillId="3" borderId="37" xfId="0" applyNumberFormat="1" applyFont="1" applyFill="1" applyBorder="1" applyAlignment="1">
      <alignment horizontal="center" vertical="center"/>
    </xf>
    <xf numFmtId="2" fontId="22" fillId="3" borderId="38" xfId="0" applyNumberFormat="1" applyFont="1" applyFill="1" applyBorder="1" applyAlignment="1">
      <alignment horizontal="center" vertical="center"/>
    </xf>
    <xf numFmtId="0" fontId="11" fillId="0" borderId="0" xfId="3" applyFont="1" applyAlignment="1" applyProtection="1">
      <alignment horizontal="center" vertical="center" wrapText="1"/>
      <protection hidden="1"/>
    </xf>
    <xf numFmtId="0" fontId="20" fillId="0" borderId="30" xfId="0" applyFont="1" applyBorder="1" applyAlignment="1">
      <alignment horizontal="center" vertical="center" wrapText="1"/>
    </xf>
    <xf numFmtId="0" fontId="20" fillId="0" borderId="33" xfId="0" applyFont="1" applyBorder="1" applyAlignment="1">
      <alignment horizontal="center" vertical="center" wrapText="1"/>
    </xf>
    <xf numFmtId="164" fontId="18" fillId="0" borderId="0" xfId="0" applyNumberFormat="1" applyFont="1" applyAlignment="1">
      <alignment horizontal="center"/>
    </xf>
    <xf numFmtId="0" fontId="8" fillId="0" borderId="0" xfId="3" applyFont="1" applyAlignment="1" applyProtection="1">
      <alignment horizontal="center"/>
      <protection hidden="1"/>
    </xf>
    <xf numFmtId="0" fontId="8" fillId="0" borderId="2" xfId="3" applyFont="1" applyBorder="1" applyAlignment="1" applyProtection="1">
      <alignment horizontal="center"/>
      <protection hidden="1"/>
    </xf>
    <xf numFmtId="0" fontId="15" fillId="0" borderId="1" xfId="3" applyFont="1" applyBorder="1" applyAlignment="1" applyProtection="1">
      <alignment horizontal="center" vertical="center" wrapText="1"/>
      <protection hidden="1"/>
    </xf>
    <xf numFmtId="0" fontId="15" fillId="0" borderId="0" xfId="3" applyFont="1" applyAlignment="1" applyProtection="1">
      <alignment horizontal="center" vertical="center" wrapText="1"/>
      <protection hidden="1"/>
    </xf>
    <xf numFmtId="0" fontId="6" fillId="0" borderId="19" xfId="3" applyFont="1" applyBorder="1" applyAlignment="1" applyProtection="1">
      <alignment horizontal="center" vertical="center"/>
      <protection hidden="1"/>
    </xf>
    <xf numFmtId="0" fontId="6" fillId="0" borderId="22" xfId="3" applyFont="1" applyBorder="1" applyAlignment="1" applyProtection="1">
      <alignment horizontal="center" vertical="center"/>
      <protection hidden="1"/>
    </xf>
    <xf numFmtId="0" fontId="10" fillId="0" borderId="0" xfId="3" applyFont="1" applyAlignment="1" applyProtection="1">
      <alignment horizontal="center" vertical="center"/>
      <protection hidden="1"/>
    </xf>
    <xf numFmtId="0" fontId="10" fillId="0" borderId="2" xfId="3" applyFont="1" applyBorder="1" applyAlignment="1" applyProtection="1">
      <alignment horizontal="center" vertical="center"/>
      <protection hidden="1"/>
    </xf>
    <xf numFmtId="0" fontId="3" fillId="3" borderId="48" xfId="0" applyFont="1" applyFill="1" applyBorder="1" applyAlignment="1">
      <alignment horizontal="center" vertical="center" wrapText="1"/>
    </xf>
    <xf numFmtId="0" fontId="3" fillId="3" borderId="21" xfId="0" applyFont="1" applyFill="1" applyBorder="1" applyAlignment="1">
      <alignment horizontal="center" vertical="center" wrapText="1"/>
    </xf>
    <xf numFmtId="0" fontId="18" fillId="3" borderId="49" xfId="0" applyFont="1" applyFill="1" applyBorder="1" applyAlignment="1">
      <alignment horizontal="center" vertical="center" wrapText="1"/>
    </xf>
    <xf numFmtId="0" fontId="18" fillId="3" borderId="51" xfId="0" applyFont="1" applyFill="1" applyBorder="1" applyAlignment="1">
      <alignment horizontal="center" vertical="center" wrapText="1"/>
    </xf>
    <xf numFmtId="0" fontId="19" fillId="3" borderId="28" xfId="0" applyFont="1" applyFill="1" applyBorder="1" applyAlignment="1">
      <alignment horizontal="center" vertical="center" wrapText="1"/>
    </xf>
    <xf numFmtId="0" fontId="19" fillId="3" borderId="31" xfId="0" applyFont="1" applyFill="1" applyBorder="1" applyAlignment="1">
      <alignment horizontal="center" vertical="center" wrapText="1"/>
    </xf>
    <xf numFmtId="0" fontId="16" fillId="0" borderId="29" xfId="0" applyFont="1" applyBorder="1" applyAlignment="1">
      <alignment horizontal="center" vertical="center" wrapText="1"/>
    </xf>
    <xf numFmtId="0" fontId="16" fillId="0" borderId="32" xfId="0" applyFont="1" applyBorder="1" applyAlignment="1">
      <alignment horizontal="center" vertical="center" wrapText="1"/>
    </xf>
    <xf numFmtId="0" fontId="19" fillId="0" borderId="29" xfId="0" applyFont="1" applyBorder="1" applyAlignment="1">
      <alignment horizontal="center" vertical="center" wrapText="1"/>
    </xf>
    <xf numFmtId="0" fontId="19" fillId="0" borderId="32" xfId="0" applyFont="1" applyBorder="1" applyAlignment="1">
      <alignment horizontal="center" vertical="center" wrapText="1"/>
    </xf>
    <xf numFmtId="0" fontId="20" fillId="0" borderId="29" xfId="0" applyFont="1" applyBorder="1" applyAlignment="1">
      <alignment horizontal="center" vertical="center" wrapText="1"/>
    </xf>
    <xf numFmtId="0" fontId="20" fillId="0" borderId="32" xfId="0" applyFont="1" applyBorder="1" applyAlignment="1">
      <alignment horizontal="center" vertical="center" wrapText="1"/>
    </xf>
    <xf numFmtId="0" fontId="4" fillId="2" borderId="9" xfId="3" applyFont="1" applyFill="1" applyBorder="1" applyAlignment="1" applyProtection="1">
      <alignment horizontal="center" vertical="center" wrapText="1"/>
      <protection hidden="1"/>
    </xf>
    <xf numFmtId="0" fontId="4" fillId="2" borderId="9" xfId="3" applyFont="1" applyFill="1" applyBorder="1" applyAlignment="1" applyProtection="1">
      <alignment horizontal="center" vertical="center"/>
      <protection hidden="1"/>
    </xf>
    <xf numFmtId="0" fontId="1" fillId="2" borderId="9" xfId="3" applyFont="1" applyFill="1" applyBorder="1" applyAlignment="1" applyProtection="1">
      <alignment horizontal="center" vertical="center"/>
      <protection hidden="1"/>
    </xf>
    <xf numFmtId="0" fontId="1" fillId="2" borderId="11" xfId="3" applyFont="1" applyFill="1" applyBorder="1" applyAlignment="1" applyProtection="1">
      <alignment horizontal="center" vertical="center"/>
      <protection hidden="1"/>
    </xf>
    <xf numFmtId="0" fontId="1" fillId="2" borderId="7" xfId="3" applyFont="1" applyFill="1" applyBorder="1" applyAlignment="1" applyProtection="1">
      <alignment horizontal="center" vertical="center"/>
      <protection hidden="1"/>
    </xf>
    <xf numFmtId="0" fontId="1" fillId="2" borderId="9" xfId="3" applyFont="1" applyFill="1" applyBorder="1" applyAlignment="1" applyProtection="1">
      <alignment horizontal="center" vertical="center" wrapText="1"/>
      <protection hidden="1"/>
    </xf>
    <xf numFmtId="0" fontId="1" fillId="2" borderId="11" xfId="3" applyFont="1" applyFill="1" applyBorder="1" applyAlignment="1" applyProtection="1">
      <alignment horizontal="center" vertical="center" wrapText="1"/>
      <protection hidden="1"/>
    </xf>
    <xf numFmtId="0" fontId="3" fillId="3" borderId="47" xfId="0" applyFont="1" applyFill="1" applyBorder="1" applyAlignment="1">
      <alignment horizontal="center" vertical="center" wrapText="1"/>
    </xf>
    <xf numFmtId="0" fontId="3" fillId="3" borderId="50" xfId="0" applyFont="1" applyFill="1" applyBorder="1" applyAlignment="1">
      <alignment horizontal="center" vertical="center" wrapText="1"/>
    </xf>
    <xf numFmtId="0" fontId="18" fillId="3" borderId="48" xfId="0" applyFont="1" applyFill="1" applyBorder="1" applyAlignment="1">
      <alignment horizontal="center" vertical="center" wrapText="1"/>
    </xf>
    <xf numFmtId="0" fontId="18" fillId="3" borderId="21" xfId="0" applyFont="1" applyFill="1" applyBorder="1" applyAlignment="1">
      <alignment horizontal="center" vertical="center" wrapText="1"/>
    </xf>
    <xf numFmtId="0" fontId="25" fillId="2" borderId="9" xfId="6" applyFont="1" applyFill="1" applyBorder="1" applyAlignment="1" applyProtection="1">
      <alignment horizontal="center" vertical="center"/>
      <protection hidden="1"/>
    </xf>
    <xf numFmtId="166" fontId="1" fillId="2" borderId="9" xfId="3" applyNumberFormat="1" applyFont="1" applyFill="1" applyBorder="1" applyAlignment="1" applyProtection="1">
      <alignment horizontal="center" vertical="center"/>
      <protection hidden="1"/>
    </xf>
    <xf numFmtId="166" fontId="1" fillId="2" borderId="11" xfId="3" applyNumberFormat="1" applyFont="1" applyFill="1" applyBorder="1" applyAlignment="1" applyProtection="1">
      <alignment horizontal="center" vertical="center"/>
      <protection hidden="1"/>
    </xf>
    <xf numFmtId="0" fontId="1" fillId="0" borderId="3" xfId="3" applyFont="1" applyBorder="1" applyAlignment="1" applyProtection="1">
      <alignment horizontal="center" vertical="center"/>
      <protection hidden="1"/>
    </xf>
    <xf numFmtId="0" fontId="1" fillId="0" borderId="43" xfId="3" applyFont="1" applyBorder="1" applyAlignment="1" applyProtection="1">
      <alignment horizontal="center" vertical="center"/>
      <protection hidden="1"/>
    </xf>
    <xf numFmtId="0" fontId="1" fillId="0" borderId="1" xfId="3" applyFont="1" applyBorder="1" applyAlignment="1" applyProtection="1">
      <alignment horizontal="center" vertical="center"/>
      <protection hidden="1"/>
    </xf>
    <xf numFmtId="0" fontId="1" fillId="0" borderId="2" xfId="3" applyFont="1" applyBorder="1" applyAlignment="1" applyProtection="1">
      <alignment horizontal="center" vertical="center"/>
      <protection hidden="1"/>
    </xf>
    <xf numFmtId="0" fontId="1" fillId="0" borderId="6" xfId="3" applyFont="1" applyBorder="1" applyAlignment="1" applyProtection="1">
      <alignment horizontal="center" vertical="center"/>
      <protection hidden="1"/>
    </xf>
    <xf numFmtId="0" fontId="1" fillId="0" borderId="8" xfId="3" applyFont="1" applyBorder="1" applyAlignment="1" applyProtection="1">
      <alignment horizontal="center" vertical="center"/>
      <protection hidden="1"/>
    </xf>
    <xf numFmtId="0" fontId="9" fillId="0" borderId="3" xfId="3" applyFont="1" applyBorder="1" applyAlignment="1" applyProtection="1">
      <alignment horizontal="center" vertical="center"/>
      <protection hidden="1"/>
    </xf>
    <xf numFmtId="0" fontId="9" fillId="0" borderId="4" xfId="3" applyFont="1" applyBorder="1" applyAlignment="1" applyProtection="1">
      <alignment horizontal="center" vertical="center"/>
      <protection hidden="1"/>
    </xf>
    <xf numFmtId="0" fontId="9" fillId="0" borderId="43" xfId="3" applyFont="1" applyBorder="1" applyAlignment="1" applyProtection="1">
      <alignment horizontal="center" vertical="center"/>
      <protection hidden="1"/>
    </xf>
    <xf numFmtId="0" fontId="1" fillId="0" borderId="44" xfId="0" applyFont="1" applyBorder="1" applyAlignment="1">
      <alignment horizontal="center" vertical="center" wrapText="1"/>
    </xf>
    <xf numFmtId="0" fontId="1" fillId="0" borderId="14" xfId="0" applyFont="1" applyBorder="1" applyAlignment="1">
      <alignment horizontal="center" vertical="center" wrapText="1"/>
    </xf>
    <xf numFmtId="0" fontId="1" fillId="0" borderId="15" xfId="0" applyFont="1" applyBorder="1" applyAlignment="1">
      <alignment horizontal="center" vertical="center" wrapText="1"/>
    </xf>
    <xf numFmtId="0" fontId="9" fillId="0" borderId="1" xfId="3" applyFont="1" applyBorder="1" applyAlignment="1" applyProtection="1">
      <alignment horizontal="center" vertical="center" wrapText="1"/>
      <protection hidden="1"/>
    </xf>
    <xf numFmtId="0" fontId="9" fillId="0" borderId="0" xfId="3" applyFont="1" applyAlignment="1" applyProtection="1">
      <alignment horizontal="center" vertical="center" wrapText="1"/>
      <protection hidden="1"/>
    </xf>
    <xf numFmtId="0" fontId="9" fillId="0" borderId="2" xfId="3" applyFont="1" applyBorder="1" applyAlignment="1" applyProtection="1">
      <alignment horizontal="center" vertical="center" wrapText="1"/>
      <protection hidden="1"/>
    </xf>
    <xf numFmtId="0" fontId="9" fillId="0" borderId="6" xfId="3" applyFont="1" applyBorder="1" applyAlignment="1" applyProtection="1">
      <alignment horizontal="center" vertical="center" wrapText="1"/>
      <protection hidden="1"/>
    </xf>
    <xf numFmtId="0" fontId="9" fillId="0" borderId="7" xfId="3" applyFont="1" applyBorder="1" applyAlignment="1" applyProtection="1">
      <alignment horizontal="center" vertical="center" wrapText="1"/>
      <protection hidden="1"/>
    </xf>
    <xf numFmtId="0" fontId="9" fillId="0" borderId="8" xfId="3" applyFont="1" applyBorder="1" applyAlignment="1" applyProtection="1">
      <alignment horizontal="center" vertical="center" wrapText="1"/>
      <protection hidden="1"/>
    </xf>
    <xf numFmtId="0" fontId="1" fillId="0" borderId="45" xfId="0" applyFont="1" applyBorder="1" applyAlignment="1">
      <alignment horizontal="center" vertical="center" wrapText="1"/>
    </xf>
    <xf numFmtId="0" fontId="1" fillId="0" borderId="13" xfId="0" applyFont="1" applyBorder="1" applyAlignment="1">
      <alignment horizontal="center" vertical="center" wrapText="1"/>
    </xf>
    <xf numFmtId="0" fontId="1" fillId="0" borderId="18" xfId="0" applyFont="1" applyBorder="1" applyAlignment="1">
      <alignment horizontal="center" vertical="center" wrapText="1"/>
    </xf>
    <xf numFmtId="0" fontId="1" fillId="0" borderId="46" xfId="0" applyFont="1" applyBorder="1" applyAlignment="1">
      <alignment horizontal="center" vertical="center" wrapText="1"/>
    </xf>
    <xf numFmtId="0" fontId="1" fillId="0" borderId="16" xfId="0" applyFont="1" applyBorder="1" applyAlignment="1">
      <alignment horizontal="center" vertical="center" wrapText="1"/>
    </xf>
    <xf numFmtId="0" fontId="1" fillId="0" borderId="17" xfId="0" applyFont="1" applyBorder="1" applyAlignment="1">
      <alignment horizontal="center" vertical="center" wrapText="1"/>
    </xf>
    <xf numFmtId="0" fontId="1" fillId="0" borderId="0" xfId="3" applyFont="1" applyAlignment="1" applyProtection="1">
      <alignment horizontal="center" vertical="center"/>
      <protection hidden="1"/>
    </xf>
    <xf numFmtId="0" fontId="4" fillId="2" borderId="10" xfId="3" applyFont="1" applyFill="1" applyBorder="1" applyAlignment="1" applyProtection="1">
      <alignment horizontal="center" vertical="center"/>
      <protection hidden="1"/>
    </xf>
    <xf numFmtId="166" fontId="1" fillId="2" borderId="10" xfId="3" applyNumberFormat="1" applyFont="1" applyFill="1" applyBorder="1" applyAlignment="1" applyProtection="1">
      <alignment horizontal="center" vertical="center"/>
      <protection hidden="1"/>
    </xf>
    <xf numFmtId="166" fontId="1" fillId="2" borderId="12" xfId="3" applyNumberFormat="1" applyFont="1" applyFill="1" applyBorder="1" applyAlignment="1" applyProtection="1">
      <alignment horizontal="center" vertical="center"/>
      <protection hidden="1"/>
    </xf>
  </cellXfs>
  <cellStyles count="7">
    <cellStyle name="Hipervínculo" xfId="6" builtinId="8"/>
    <cellStyle name="Normal" xfId="0" builtinId="0"/>
    <cellStyle name="Normal 2" xfId="4" xr:uid="{00000000-0005-0000-0000-000002000000}"/>
    <cellStyle name="Normal 2 2" xfId="2" xr:uid="{00000000-0005-0000-0000-000003000000}"/>
    <cellStyle name="Normal 2 2 2" xfId="5" xr:uid="{00000000-0005-0000-0000-000004000000}"/>
    <cellStyle name="Normal 5" xfId="3" xr:uid="{00000000-0005-0000-0000-000005000000}"/>
    <cellStyle name="Normal 9 2 2" xfId="1" xr:uid="{00000000-0005-0000-0000-000006000000}"/>
  </cellStyles>
  <dxfs count="8">
    <dxf>
      <fill>
        <patternFill>
          <bgColor theme="6" tint="0.79998168889431442"/>
        </patternFill>
      </fill>
    </dxf>
    <dxf>
      <font>
        <color rgb="FF9C0006"/>
      </font>
      <fill>
        <patternFill>
          <bgColor rgb="FFFFC7CE"/>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194262</xdr:colOff>
      <xdr:row>0</xdr:row>
      <xdr:rowOff>268063</xdr:rowOff>
    </xdr:from>
    <xdr:to>
      <xdr:col>1</xdr:col>
      <xdr:colOff>1773661</xdr:colOff>
      <xdr:row>2</xdr:row>
      <xdr:rowOff>250373</xdr:rowOff>
    </xdr:to>
    <xdr:pic>
      <xdr:nvPicPr>
        <xdr:cNvPr id="2" name="Imagen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4262" y="268063"/>
          <a:ext cx="1960399" cy="526596"/>
        </a:xfrm>
        <a:prstGeom prst="rect">
          <a:avLst/>
        </a:prstGeom>
      </xdr:spPr>
    </xdr:pic>
    <xdr:clientData/>
  </xdr:twoCellAnchor>
  <xdr:twoCellAnchor>
    <xdr:from>
      <xdr:col>2</xdr:col>
      <xdr:colOff>107497</xdr:colOff>
      <xdr:row>84</xdr:row>
      <xdr:rowOff>212271</xdr:rowOff>
    </xdr:from>
    <xdr:to>
      <xdr:col>3</xdr:col>
      <xdr:colOff>326572</xdr:colOff>
      <xdr:row>84</xdr:row>
      <xdr:rowOff>212271</xdr:rowOff>
    </xdr:to>
    <xdr:cxnSp macro="">
      <xdr:nvCxnSpPr>
        <xdr:cNvPr id="3" name="Conector recto de flecha 2">
          <a:extLst>
            <a:ext uri="{FF2B5EF4-FFF2-40B4-BE49-F238E27FC236}">
              <a16:creationId xmlns:a16="http://schemas.microsoft.com/office/drawing/2014/main" id="{00000000-0008-0000-0400-000003000000}"/>
            </a:ext>
          </a:extLst>
        </xdr:cNvPr>
        <xdr:cNvCxnSpPr/>
      </xdr:nvCxnSpPr>
      <xdr:spPr bwMode="auto">
        <a:xfrm flipH="1">
          <a:off x="2469697" y="18795546"/>
          <a:ext cx="2200275" cy="0"/>
        </a:xfrm>
        <a:prstGeom prst="straightConnector1">
          <a:avLst/>
        </a:prstGeom>
        <a:ln>
          <a:headEnd type="none" w="med" len="med"/>
          <a:tailEnd type="triangle"/>
        </a:ln>
      </xdr:spPr>
      <xdr:style>
        <a:lnRef idx="3">
          <a:schemeClr val="accent2"/>
        </a:lnRef>
        <a:fillRef idx="0">
          <a:schemeClr val="accent2"/>
        </a:fillRef>
        <a:effectRef idx="2">
          <a:schemeClr val="accent2"/>
        </a:effectRef>
        <a:fontRef idx="minor">
          <a:schemeClr val="tx1"/>
        </a:fontRef>
      </xdr:style>
    </xdr:cxnSp>
    <xdr:clientData/>
  </xdr:twoCellAnchor>
  <xdr:twoCellAnchor editAs="oneCell">
    <xdr:from>
      <xdr:col>5</xdr:col>
      <xdr:colOff>948419</xdr:colOff>
      <xdr:row>29</xdr:row>
      <xdr:rowOff>123825</xdr:rowOff>
    </xdr:from>
    <xdr:to>
      <xdr:col>6</xdr:col>
      <xdr:colOff>735216</xdr:colOff>
      <xdr:row>32</xdr:row>
      <xdr:rowOff>1549</xdr:rowOff>
    </xdr:to>
    <xdr:pic>
      <xdr:nvPicPr>
        <xdr:cNvPr id="4" name="Imagen 3">
          <a:extLst>
            <a:ext uri="{FF2B5EF4-FFF2-40B4-BE49-F238E27FC236}">
              <a16:creationId xmlns:a16="http://schemas.microsoft.com/office/drawing/2014/main" id="{00000000-0008-0000-0400-000004000000}"/>
            </a:ext>
          </a:extLst>
        </xdr:cNvPr>
        <xdr:cNvPicPr>
          <a:picLocks noChangeAspect="1"/>
        </xdr:cNvPicPr>
      </xdr:nvPicPr>
      <xdr:blipFill rotWithShape="1">
        <a:blip xmlns:r="http://schemas.openxmlformats.org/officeDocument/2006/relationships" r:embed="rId2"/>
        <a:srcRect l="88188"/>
        <a:stretch/>
      </xdr:blipFill>
      <xdr:spPr>
        <a:xfrm>
          <a:off x="9254219" y="7648575"/>
          <a:ext cx="1834672" cy="696875"/>
        </a:xfrm>
        <a:prstGeom prst="rect">
          <a:avLst/>
        </a:prstGeom>
      </xdr:spPr>
    </xdr:pic>
    <xdr:clientData/>
  </xdr:twoCellAnchor>
  <xdr:twoCellAnchor>
    <xdr:from>
      <xdr:col>6</xdr:col>
      <xdr:colOff>1483179</xdr:colOff>
      <xdr:row>31</xdr:row>
      <xdr:rowOff>108858</xdr:rowOff>
    </xdr:from>
    <xdr:to>
      <xdr:col>7</xdr:col>
      <xdr:colOff>244929</xdr:colOff>
      <xdr:row>32</xdr:row>
      <xdr:rowOff>149679</xdr:rowOff>
    </xdr:to>
    <xdr:sp macro="" textlink="">
      <xdr:nvSpPr>
        <xdr:cNvPr id="5" name="Rectángulo 4">
          <a:extLst>
            <a:ext uri="{FF2B5EF4-FFF2-40B4-BE49-F238E27FC236}">
              <a16:creationId xmlns:a16="http://schemas.microsoft.com/office/drawing/2014/main" id="{00000000-0008-0000-0400-000005000000}"/>
            </a:ext>
          </a:extLst>
        </xdr:cNvPr>
        <xdr:cNvSpPr/>
      </xdr:nvSpPr>
      <xdr:spPr>
        <a:xfrm>
          <a:off x="11836854" y="8262258"/>
          <a:ext cx="742950" cy="23132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kern="1200"/>
        </a:p>
      </xdr:txBody>
    </xdr:sp>
    <xdr:clientData/>
  </xdr:twoCellAnchor>
  <xdr:twoCellAnchor editAs="oneCell">
    <xdr:from>
      <xdr:col>4</xdr:col>
      <xdr:colOff>0</xdr:colOff>
      <xdr:row>89</xdr:row>
      <xdr:rowOff>0</xdr:rowOff>
    </xdr:from>
    <xdr:to>
      <xdr:col>7</xdr:col>
      <xdr:colOff>581945</xdr:colOff>
      <xdr:row>106</xdr:row>
      <xdr:rowOff>473</xdr:rowOff>
    </xdr:to>
    <xdr:pic>
      <xdr:nvPicPr>
        <xdr:cNvPr id="6" name="Imagen 5">
          <a:extLst>
            <a:ext uri="{FF2B5EF4-FFF2-40B4-BE49-F238E27FC236}">
              <a16:creationId xmlns:a16="http://schemas.microsoft.com/office/drawing/2014/main" id="{00000000-0008-0000-0400-000006000000}"/>
            </a:ext>
          </a:extLst>
        </xdr:cNvPr>
        <xdr:cNvPicPr>
          <a:picLocks noChangeAspect="1"/>
        </xdr:cNvPicPr>
      </xdr:nvPicPr>
      <xdr:blipFill>
        <a:blip xmlns:r="http://schemas.openxmlformats.org/officeDocument/2006/relationships" r:embed="rId3"/>
        <a:stretch>
          <a:fillRect/>
        </a:stretch>
      </xdr:blipFill>
      <xdr:spPr>
        <a:xfrm>
          <a:off x="6324600" y="19754850"/>
          <a:ext cx="6592220" cy="3324697"/>
        </a:xfrm>
        <a:prstGeom prst="rect">
          <a:avLst/>
        </a:prstGeom>
      </xdr:spPr>
    </xdr:pic>
    <xdr:clientData/>
  </xdr:twoCellAnchor>
  <xdr:twoCellAnchor>
    <xdr:from>
      <xdr:col>12</xdr:col>
      <xdr:colOff>47625</xdr:colOff>
      <xdr:row>8</xdr:row>
      <xdr:rowOff>104775</xdr:rowOff>
    </xdr:from>
    <xdr:to>
      <xdr:col>14</xdr:col>
      <xdr:colOff>266701</xdr:colOff>
      <xdr:row>12</xdr:row>
      <xdr:rowOff>219076</xdr:rowOff>
    </xdr:to>
    <xdr:sp macro="" textlink="">
      <xdr:nvSpPr>
        <xdr:cNvPr id="7" name="CuadroTexto 6">
          <a:extLst>
            <a:ext uri="{FF2B5EF4-FFF2-40B4-BE49-F238E27FC236}">
              <a16:creationId xmlns:a16="http://schemas.microsoft.com/office/drawing/2014/main" id="{00000000-0008-0000-0400-000007000000}"/>
            </a:ext>
          </a:extLst>
        </xdr:cNvPr>
        <xdr:cNvSpPr txBox="1"/>
      </xdr:nvSpPr>
      <xdr:spPr>
        <a:xfrm>
          <a:off x="18173700" y="2324100"/>
          <a:ext cx="2200276" cy="914401"/>
        </a:xfrm>
        <a:prstGeom prst="rect">
          <a:avLst/>
        </a:prstGeom>
        <a:no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lnSpc>
              <a:spcPts val="1200"/>
            </a:lnSpc>
          </a:pPr>
          <a:r>
            <a:rPr lang="es-CO" sz="1100"/>
            <a:t>DIGITAR</a:t>
          </a:r>
          <a:r>
            <a:rPr lang="es-CO" sz="1100" baseline="0"/>
            <a:t> EN ESTA COLUMNA LAS MASAS RETENIDAS CORREGIDAS OBTENIDAS EN EL EXCEL DE LA GRANULOMETRÍA Y TAMBIÉN COLOCAR LA MASA INICIAL SECA DE LA GRANULOMETRÍA </a:t>
          </a:r>
          <a:endParaRPr lang="es-CO" sz="1100"/>
        </a:p>
      </xdr:txBody>
    </xdr:sp>
    <xdr:clientData/>
  </xdr:twoCellAnchor>
  <xdr:twoCellAnchor>
    <xdr:from>
      <xdr:col>13</xdr:col>
      <xdr:colOff>361951</xdr:colOff>
      <xdr:row>13</xdr:row>
      <xdr:rowOff>104774</xdr:rowOff>
    </xdr:from>
    <xdr:to>
      <xdr:col>13</xdr:col>
      <xdr:colOff>571501</xdr:colOff>
      <xdr:row>14</xdr:row>
      <xdr:rowOff>114299</xdr:rowOff>
    </xdr:to>
    <xdr:sp macro="" textlink="">
      <xdr:nvSpPr>
        <xdr:cNvPr id="8" name="Flecha abajo 3">
          <a:extLst>
            <a:ext uri="{FF2B5EF4-FFF2-40B4-BE49-F238E27FC236}">
              <a16:creationId xmlns:a16="http://schemas.microsoft.com/office/drawing/2014/main" id="{00000000-0008-0000-0400-000008000000}"/>
            </a:ext>
          </a:extLst>
        </xdr:cNvPr>
        <xdr:cNvSpPr/>
      </xdr:nvSpPr>
      <xdr:spPr>
        <a:xfrm>
          <a:off x="19516726" y="3552824"/>
          <a:ext cx="209550" cy="114300"/>
        </a:xfrm>
        <a:prstGeom prst="downArrow">
          <a:avLst/>
        </a:prstGeom>
        <a:noFill/>
        <a:ln>
          <a:solidFill>
            <a:schemeClr val="accent6">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endParaRPr lang="es-MX"/>
        </a:p>
      </xdr:txBody>
    </xdr:sp>
    <xdr:clientData/>
  </xdr:twoCellAnchor>
  <xdr:twoCellAnchor editAs="oneCell">
    <xdr:from>
      <xdr:col>7</xdr:col>
      <xdr:colOff>1154906</xdr:colOff>
      <xdr:row>29</xdr:row>
      <xdr:rowOff>95251</xdr:rowOff>
    </xdr:from>
    <xdr:to>
      <xdr:col>8</xdr:col>
      <xdr:colOff>1137610</xdr:colOff>
      <xdr:row>32</xdr:row>
      <xdr:rowOff>48117</xdr:rowOff>
    </xdr:to>
    <xdr:pic>
      <xdr:nvPicPr>
        <xdr:cNvPr id="10" name="Imagen 9">
          <a:extLst>
            <a:ext uri="{FF2B5EF4-FFF2-40B4-BE49-F238E27FC236}">
              <a16:creationId xmlns:a16="http://schemas.microsoft.com/office/drawing/2014/main" id="{2D5DC5C9-AF55-ECEF-71A8-C82F97143B56}"/>
            </a:ext>
          </a:extLst>
        </xdr:cNvPr>
        <xdr:cNvPicPr>
          <a:picLocks noChangeAspect="1"/>
        </xdr:cNvPicPr>
      </xdr:nvPicPr>
      <xdr:blipFill>
        <a:blip xmlns:r="http://schemas.openxmlformats.org/officeDocument/2006/relationships" r:embed="rId4"/>
        <a:stretch>
          <a:fillRect/>
        </a:stretch>
      </xdr:blipFill>
      <xdr:spPr>
        <a:xfrm>
          <a:off x="13465969" y="7298532"/>
          <a:ext cx="1220954" cy="76249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ervidor\disco%20duro\irina\CLAS-BOG.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
      <sheetName val="Recipiente"/>
      <sheetName val="Guia rec."/>
      <sheetName val="MEZCLAS"/>
      <sheetName val="Módulo1"/>
      <sheetName val="Módulo11"/>
      <sheetName val="2-6"/>
      <sheetName val="LIMITE"/>
      <sheetName val="Hoja1"/>
      <sheetName val="Clasificado 1 1-2 "/>
      <sheetName val="CLAS-BOG"/>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A1:BE104"/>
  <sheetViews>
    <sheetView tabSelected="1" view="pageBreakPreview" zoomScale="80" zoomScaleNormal="100" zoomScaleSheetLayoutView="80" workbookViewId="0">
      <selection activeCell="N35" sqref="N35"/>
    </sheetView>
  </sheetViews>
  <sheetFormatPr baseColWidth="10" defaultColWidth="11.42578125" defaultRowHeight="15" x14ac:dyDescent="0.2"/>
  <cols>
    <col min="1" max="1" width="5.7109375" style="14" customWidth="1"/>
    <col min="2" max="5" width="29.7109375" style="14" customWidth="1"/>
    <col min="6" max="6" width="30.7109375" style="14" customWidth="1"/>
    <col min="7" max="7" width="29.7109375" style="14" customWidth="1"/>
    <col min="8" max="8" width="18.5703125" style="14" customWidth="1"/>
    <col min="9" max="9" width="20.140625" style="14" customWidth="1"/>
    <col min="10" max="10" width="15.7109375" style="14" customWidth="1"/>
    <col min="11" max="11" width="15.140625" style="52" bestFit="1" customWidth="1"/>
    <col min="12" max="12" width="17.28515625" style="52" customWidth="1"/>
    <col min="13" max="13" width="15.42578125" style="52" customWidth="1"/>
    <col min="14" max="14" width="14.28515625" style="52" customWidth="1"/>
    <col min="15" max="15" width="12.7109375" style="52" customWidth="1"/>
    <col min="16" max="16" width="16.85546875" style="52" customWidth="1"/>
    <col min="17" max="17" width="12.7109375" style="52" customWidth="1"/>
    <col min="18" max="18" width="11.85546875" style="52" customWidth="1"/>
    <col min="19" max="19" width="12.140625" style="52" customWidth="1"/>
    <col min="20" max="28" width="1.7109375" style="52" customWidth="1"/>
    <col min="29" max="57" width="11.42578125" style="52"/>
    <col min="58" max="16384" width="11.42578125" style="14"/>
  </cols>
  <sheetData>
    <row r="1" spans="1:57" s="17" customFormat="1" ht="21.95" customHeight="1" x14ac:dyDescent="0.2">
      <c r="A1" s="149"/>
      <c r="B1" s="150"/>
      <c r="C1" s="155" t="s">
        <v>2</v>
      </c>
      <c r="D1" s="156"/>
      <c r="E1" s="156"/>
      <c r="F1" s="156"/>
      <c r="G1" s="157"/>
      <c r="H1" s="158" t="s">
        <v>74</v>
      </c>
      <c r="I1" s="159"/>
      <c r="J1" s="160"/>
      <c r="K1" s="49" t="e" cm="1">
        <f t="array" ref="K1">+K:AGH19K:BK</f>
        <v>#NAME?</v>
      </c>
      <c r="L1" s="49"/>
      <c r="M1" s="49"/>
      <c r="N1" s="49"/>
      <c r="O1" s="49"/>
      <c r="P1" s="49"/>
      <c r="Q1" s="49"/>
      <c r="R1" s="49"/>
      <c r="S1" s="49"/>
      <c r="T1" s="49"/>
      <c r="U1" s="49"/>
      <c r="V1" s="49"/>
      <c r="W1" s="49"/>
      <c r="X1" s="49"/>
      <c r="Y1" s="49"/>
      <c r="Z1" s="49"/>
      <c r="AA1" s="49"/>
      <c r="AB1" s="49"/>
      <c r="AC1" s="49"/>
      <c r="AD1" s="49"/>
      <c r="AE1" s="49"/>
      <c r="AF1" s="49"/>
      <c r="AG1" s="49"/>
      <c r="AH1" s="49"/>
      <c r="AI1" s="49"/>
      <c r="AJ1" s="49"/>
      <c r="AK1" s="49"/>
      <c r="AL1" s="49"/>
      <c r="AM1" s="49"/>
      <c r="AN1" s="49"/>
      <c r="AO1" s="49"/>
      <c r="AP1" s="49"/>
      <c r="AQ1" s="49"/>
      <c r="AR1" s="49"/>
      <c r="AS1" s="49"/>
      <c r="AT1" s="49"/>
      <c r="AU1" s="49"/>
      <c r="AV1" s="49"/>
      <c r="AW1" s="49"/>
      <c r="AX1" s="49"/>
      <c r="AY1" s="49"/>
      <c r="AZ1" s="49"/>
      <c r="BA1" s="49"/>
      <c r="BB1" s="49"/>
      <c r="BC1" s="49"/>
      <c r="BD1" s="49"/>
      <c r="BE1" s="49"/>
    </row>
    <row r="2" spans="1:57" s="17" customFormat="1" ht="21.95" customHeight="1" x14ac:dyDescent="0.2">
      <c r="A2" s="151"/>
      <c r="B2" s="152"/>
      <c r="C2" s="161" t="s">
        <v>38</v>
      </c>
      <c r="D2" s="162"/>
      <c r="E2" s="162"/>
      <c r="F2" s="162"/>
      <c r="G2" s="163"/>
      <c r="H2" s="167" t="s">
        <v>77</v>
      </c>
      <c r="I2" s="168"/>
      <c r="J2" s="169"/>
      <c r="K2" s="49"/>
      <c r="L2" s="49"/>
      <c r="M2" s="49"/>
      <c r="N2" s="49"/>
      <c r="O2" s="49"/>
      <c r="P2" s="49"/>
      <c r="Q2" s="49"/>
      <c r="R2" s="49"/>
      <c r="S2" s="49"/>
      <c r="T2" s="49"/>
      <c r="U2" s="49"/>
      <c r="V2" s="49"/>
      <c r="W2" s="49"/>
      <c r="X2" s="49"/>
      <c r="Y2" s="49"/>
      <c r="Z2" s="49"/>
      <c r="AA2" s="49"/>
      <c r="AB2" s="49"/>
      <c r="AC2" s="49"/>
      <c r="AD2" s="49"/>
      <c r="AE2" s="49"/>
      <c r="AF2" s="49"/>
      <c r="AG2" s="49"/>
      <c r="AH2" s="49"/>
      <c r="AI2" s="49"/>
      <c r="AJ2" s="49"/>
      <c r="AK2" s="49"/>
      <c r="AL2" s="49"/>
      <c r="AM2" s="49"/>
      <c r="AN2" s="49"/>
      <c r="AO2" s="49"/>
      <c r="AP2" s="49"/>
      <c r="AQ2" s="49"/>
      <c r="AR2" s="49"/>
      <c r="AS2" s="49"/>
      <c r="AT2" s="49"/>
      <c r="AU2" s="49"/>
      <c r="AV2" s="49"/>
      <c r="AW2" s="49"/>
      <c r="AX2" s="49"/>
      <c r="AY2" s="49"/>
      <c r="AZ2" s="49"/>
      <c r="BA2" s="49"/>
      <c r="BB2" s="49"/>
      <c r="BC2" s="49"/>
      <c r="BD2" s="49"/>
      <c r="BE2" s="49"/>
    </row>
    <row r="3" spans="1:57" s="17" customFormat="1" ht="21.95" customHeight="1" x14ac:dyDescent="0.2">
      <c r="A3" s="151"/>
      <c r="B3" s="152"/>
      <c r="C3" s="161"/>
      <c r="D3" s="162"/>
      <c r="E3" s="162"/>
      <c r="F3" s="162"/>
      <c r="G3" s="163"/>
      <c r="H3" s="167" t="s">
        <v>75</v>
      </c>
      <c r="I3" s="168"/>
      <c r="J3" s="169"/>
      <c r="K3" s="49"/>
      <c r="L3" s="49"/>
      <c r="M3" s="49"/>
      <c r="N3" s="49"/>
      <c r="O3" s="49"/>
      <c r="P3" s="49"/>
      <c r="Q3" s="49"/>
      <c r="R3" s="49"/>
      <c r="S3" s="49"/>
      <c r="T3" s="49"/>
      <c r="U3" s="49"/>
      <c r="V3" s="49"/>
      <c r="W3" s="49"/>
      <c r="X3" s="49"/>
      <c r="Y3" s="49"/>
      <c r="Z3" s="49"/>
      <c r="AA3" s="49"/>
      <c r="AB3" s="49"/>
      <c r="AC3" s="49"/>
      <c r="AD3" s="49"/>
      <c r="AE3" s="49"/>
      <c r="AF3" s="49"/>
      <c r="AG3" s="49"/>
      <c r="AH3" s="49"/>
      <c r="AI3" s="49"/>
      <c r="AJ3" s="49"/>
      <c r="AK3" s="49"/>
      <c r="AL3" s="49"/>
      <c r="AM3" s="49"/>
      <c r="AN3" s="49"/>
      <c r="AO3" s="49"/>
      <c r="AP3" s="49"/>
      <c r="AQ3" s="49"/>
      <c r="AR3" s="49"/>
      <c r="AS3" s="49"/>
      <c r="AT3" s="49"/>
      <c r="AU3" s="49"/>
      <c r="AV3" s="49"/>
      <c r="AW3" s="49"/>
      <c r="AX3" s="49"/>
      <c r="AY3" s="49"/>
      <c r="AZ3" s="49"/>
      <c r="BA3" s="49"/>
      <c r="BB3" s="49"/>
      <c r="BC3" s="49"/>
      <c r="BD3" s="49"/>
      <c r="BE3" s="49"/>
    </row>
    <row r="4" spans="1:57" s="17" customFormat="1" ht="21.95" customHeight="1" thickBot="1" x14ac:dyDescent="0.25">
      <c r="A4" s="153"/>
      <c r="B4" s="154"/>
      <c r="C4" s="164"/>
      <c r="D4" s="165"/>
      <c r="E4" s="165"/>
      <c r="F4" s="165"/>
      <c r="G4" s="166"/>
      <c r="H4" s="170" t="s">
        <v>76</v>
      </c>
      <c r="I4" s="171"/>
      <c r="J4" s="172"/>
      <c r="K4" s="49"/>
      <c r="L4" s="49"/>
      <c r="M4" s="49"/>
      <c r="N4" s="49"/>
      <c r="O4" s="49"/>
      <c r="P4" s="49"/>
      <c r="Q4" s="49"/>
      <c r="R4" s="49"/>
      <c r="S4" s="49"/>
      <c r="T4" s="49"/>
      <c r="U4" s="49"/>
      <c r="V4" s="49"/>
      <c r="W4" s="49"/>
      <c r="X4" s="49"/>
      <c r="Y4" s="49"/>
      <c r="Z4" s="49"/>
      <c r="AA4" s="49"/>
      <c r="AB4" s="49"/>
      <c r="AC4" s="49"/>
      <c r="AD4" s="49"/>
      <c r="AE4" s="49"/>
      <c r="AF4" s="49"/>
      <c r="AG4" s="49"/>
      <c r="AH4" s="49"/>
      <c r="AI4" s="49"/>
      <c r="AJ4" s="49"/>
      <c r="AK4" s="49"/>
      <c r="AL4" s="49"/>
      <c r="AM4" s="49"/>
      <c r="AN4" s="49"/>
      <c r="AO4" s="49"/>
      <c r="AP4" s="49"/>
      <c r="AQ4" s="49"/>
      <c r="AR4" s="49"/>
      <c r="AS4" s="49"/>
      <c r="AT4" s="49"/>
      <c r="AU4" s="49"/>
      <c r="AV4" s="49"/>
      <c r="AW4" s="49"/>
      <c r="AX4" s="49"/>
      <c r="AY4" s="49"/>
      <c r="AZ4" s="49"/>
      <c r="BA4" s="49"/>
      <c r="BB4" s="49"/>
      <c r="BC4" s="49"/>
      <c r="BD4" s="49"/>
      <c r="BE4" s="49"/>
    </row>
    <row r="5" spans="1:57" s="17" customFormat="1" ht="5.0999999999999996" customHeight="1" thickBot="1" x14ac:dyDescent="0.25">
      <c r="A5" s="1"/>
      <c r="B5" s="173"/>
      <c r="C5" s="173"/>
      <c r="D5" s="173"/>
      <c r="E5" s="173"/>
      <c r="F5" s="173"/>
      <c r="G5" s="173"/>
      <c r="H5" s="173"/>
      <c r="I5" s="173"/>
      <c r="J5" s="2"/>
      <c r="K5" s="49"/>
      <c r="L5" s="49"/>
      <c r="M5" s="49"/>
      <c r="N5" s="49"/>
      <c r="O5" s="49"/>
      <c r="P5" s="49"/>
      <c r="Q5" s="49"/>
      <c r="R5" s="49"/>
      <c r="S5" s="49"/>
      <c r="T5" s="49"/>
      <c r="U5" s="49"/>
      <c r="V5" s="49"/>
      <c r="W5" s="49"/>
      <c r="X5" s="49"/>
      <c r="Y5" s="49"/>
      <c r="Z5" s="49"/>
      <c r="AA5" s="49"/>
      <c r="AB5" s="49"/>
      <c r="AC5" s="49"/>
      <c r="AD5" s="49"/>
      <c r="AE5" s="49"/>
      <c r="AF5" s="49"/>
      <c r="AG5" s="49"/>
      <c r="AH5" s="49"/>
      <c r="AI5" s="49"/>
      <c r="AJ5" s="49"/>
      <c r="AK5" s="49"/>
      <c r="AL5" s="49"/>
      <c r="AM5" s="49"/>
      <c r="AN5" s="49"/>
      <c r="AO5" s="49"/>
      <c r="AP5" s="49"/>
      <c r="AQ5" s="49"/>
      <c r="AR5" s="49"/>
      <c r="AS5" s="49"/>
      <c r="AT5" s="49"/>
      <c r="AU5" s="49"/>
      <c r="AV5" s="49"/>
      <c r="AW5" s="49"/>
      <c r="AX5" s="49"/>
      <c r="AY5" s="49"/>
      <c r="AZ5" s="49"/>
      <c r="BA5" s="49"/>
      <c r="BB5" s="49"/>
      <c r="BC5" s="49"/>
      <c r="BD5" s="49"/>
      <c r="BE5" s="49"/>
    </row>
    <row r="6" spans="1:57" s="17" customFormat="1" ht="20.100000000000001" customHeight="1" x14ac:dyDescent="0.2">
      <c r="A6" s="3"/>
      <c r="B6" s="4" t="s">
        <v>0</v>
      </c>
      <c r="C6" s="174"/>
      <c r="D6" s="174"/>
      <c r="E6" s="174"/>
      <c r="F6" s="174"/>
      <c r="G6" s="4" t="s">
        <v>3</v>
      </c>
      <c r="H6" s="175"/>
      <c r="I6" s="175"/>
      <c r="J6" s="176"/>
      <c r="K6" s="49"/>
      <c r="L6" s="49"/>
      <c r="M6" s="49"/>
      <c r="N6" s="49"/>
      <c r="O6" s="49"/>
      <c r="P6" s="49"/>
      <c r="Q6" s="49"/>
      <c r="R6" s="49"/>
      <c r="S6" s="49"/>
      <c r="T6" s="49"/>
      <c r="U6" s="49"/>
      <c r="V6" s="49"/>
      <c r="W6" s="49"/>
      <c r="X6" s="49"/>
      <c r="Y6" s="49"/>
      <c r="Z6" s="49"/>
      <c r="AA6" s="49"/>
      <c r="AB6" s="49"/>
      <c r="AC6" s="49"/>
      <c r="AD6" s="49"/>
      <c r="AE6" s="49"/>
      <c r="AF6" s="49"/>
      <c r="AG6" s="49"/>
      <c r="AH6" s="49"/>
      <c r="AI6" s="49"/>
      <c r="AJ6" s="49"/>
      <c r="AK6" s="49"/>
      <c r="AL6" s="49"/>
      <c r="AM6" s="49"/>
      <c r="AN6" s="49"/>
      <c r="AO6" s="49"/>
      <c r="AP6" s="49"/>
      <c r="AQ6" s="49"/>
      <c r="AR6" s="49"/>
      <c r="AS6" s="49"/>
      <c r="AT6" s="49"/>
      <c r="AU6" s="49"/>
      <c r="AV6" s="49"/>
      <c r="AW6" s="49"/>
      <c r="AX6" s="49"/>
      <c r="AY6" s="49"/>
      <c r="AZ6" s="49"/>
      <c r="BA6" s="49"/>
      <c r="BB6" s="49"/>
      <c r="BC6" s="49"/>
      <c r="BD6" s="49"/>
      <c r="BE6" s="49"/>
    </row>
    <row r="7" spans="1:57" s="17" customFormat="1" ht="33" customHeight="1" x14ac:dyDescent="0.25">
      <c r="A7" s="1"/>
      <c r="B7" s="34" t="s">
        <v>1</v>
      </c>
      <c r="C7" s="135"/>
      <c r="D7" s="135"/>
      <c r="E7" s="135"/>
      <c r="F7" s="135"/>
      <c r="G7" s="34" t="s">
        <v>4</v>
      </c>
      <c r="H7" s="147"/>
      <c r="I7" s="147"/>
      <c r="J7" s="148"/>
      <c r="K7" s="84"/>
      <c r="L7" s="49"/>
      <c r="M7" s="49"/>
      <c r="N7" s="49"/>
      <c r="O7" s="49"/>
      <c r="P7" s="49"/>
      <c r="Q7" s="49"/>
      <c r="R7" s="49"/>
      <c r="S7" s="49"/>
      <c r="T7" s="49"/>
      <c r="U7" s="49"/>
      <c r="V7" s="49"/>
      <c r="W7" s="49"/>
      <c r="X7" s="49"/>
      <c r="Y7" s="49"/>
      <c r="Z7" s="49"/>
      <c r="AA7" s="49"/>
      <c r="AB7" s="49"/>
      <c r="AC7" s="49"/>
      <c r="AD7" s="49"/>
      <c r="AE7" s="49"/>
      <c r="AF7" s="49"/>
      <c r="AG7" s="49"/>
      <c r="AH7" s="49"/>
      <c r="AI7" s="49"/>
      <c r="AJ7" s="49"/>
      <c r="AK7" s="49"/>
      <c r="AL7" s="49"/>
      <c r="AM7" s="49"/>
      <c r="AN7" s="49"/>
      <c r="AO7" s="49"/>
      <c r="AP7" s="49"/>
      <c r="AQ7" s="49"/>
      <c r="AR7" s="49"/>
      <c r="AS7" s="49"/>
      <c r="AT7" s="49"/>
      <c r="AU7" s="49"/>
      <c r="AV7" s="49"/>
      <c r="AW7" s="49"/>
      <c r="AX7" s="49"/>
      <c r="AY7" s="49"/>
      <c r="AZ7" s="49"/>
      <c r="BA7" s="49"/>
      <c r="BB7" s="49"/>
      <c r="BC7" s="49"/>
      <c r="BD7" s="49"/>
      <c r="BE7" s="49"/>
    </row>
    <row r="8" spans="1:57" s="17" customFormat="1" ht="20.100000000000001" customHeight="1" x14ac:dyDescent="0.2">
      <c r="A8" s="1"/>
      <c r="B8" s="34" t="s">
        <v>6</v>
      </c>
      <c r="C8" s="146"/>
      <c r="D8" s="136"/>
      <c r="E8" s="136"/>
      <c r="F8" s="136"/>
      <c r="G8" s="34" t="s">
        <v>7</v>
      </c>
      <c r="H8" s="147"/>
      <c r="I8" s="147"/>
      <c r="J8" s="148"/>
      <c r="K8" s="49"/>
      <c r="L8" s="49"/>
      <c r="M8" s="49"/>
      <c r="N8" s="49"/>
      <c r="O8" s="49"/>
      <c r="P8" s="49"/>
      <c r="Q8" s="49"/>
      <c r="R8" s="49"/>
      <c r="S8" s="49"/>
      <c r="T8" s="49"/>
      <c r="U8" s="49"/>
      <c r="V8" s="49"/>
      <c r="W8" s="49"/>
      <c r="X8" s="49"/>
      <c r="Y8" s="49"/>
      <c r="Z8" s="49"/>
      <c r="AA8" s="49"/>
      <c r="AB8" s="49"/>
      <c r="AC8" s="49"/>
      <c r="AD8" s="49"/>
      <c r="AE8" s="49"/>
      <c r="AF8" s="49"/>
      <c r="AG8" s="49"/>
      <c r="AH8" s="49"/>
      <c r="AI8" s="49"/>
      <c r="AJ8" s="49"/>
      <c r="AK8" s="49"/>
      <c r="AL8" s="49"/>
      <c r="AM8" s="49"/>
      <c r="AN8" s="49"/>
      <c r="AO8" s="49"/>
      <c r="AP8" s="49"/>
      <c r="AQ8" s="49"/>
      <c r="AR8" s="49"/>
      <c r="AS8" s="49"/>
      <c r="AT8" s="49"/>
      <c r="AU8" s="49"/>
      <c r="AV8" s="49"/>
      <c r="AW8" s="49"/>
      <c r="AX8" s="49"/>
      <c r="AY8" s="49"/>
      <c r="AZ8" s="49"/>
      <c r="BA8" s="49"/>
      <c r="BB8" s="49"/>
      <c r="BC8" s="49"/>
      <c r="BD8" s="49"/>
      <c r="BE8" s="49"/>
    </row>
    <row r="9" spans="1:57" s="17" customFormat="1" ht="20.100000000000001" customHeight="1" x14ac:dyDescent="0.2">
      <c r="A9" s="1"/>
      <c r="B9" s="34" t="s">
        <v>8</v>
      </c>
      <c r="C9" s="135"/>
      <c r="D9" s="135"/>
      <c r="E9" s="135"/>
      <c r="F9" s="135"/>
      <c r="G9" s="34" t="s">
        <v>9</v>
      </c>
      <c r="H9" s="5" t="s">
        <v>10</v>
      </c>
      <c r="I9" s="23"/>
      <c r="J9" s="24"/>
      <c r="K9" s="49" t="s">
        <v>72</v>
      </c>
      <c r="L9" s="49"/>
      <c r="M9" s="49"/>
      <c r="N9" s="49"/>
      <c r="O9" s="49"/>
      <c r="P9" s="49"/>
      <c r="Q9" s="49"/>
      <c r="R9" s="49"/>
      <c r="S9" s="49"/>
      <c r="T9" s="49"/>
      <c r="U9" s="49"/>
      <c r="V9" s="49"/>
      <c r="W9" s="49"/>
      <c r="X9" s="49"/>
      <c r="Y9" s="49"/>
      <c r="Z9" s="49"/>
      <c r="AA9" s="49"/>
      <c r="AB9" s="49"/>
      <c r="AC9" s="49"/>
      <c r="AD9" s="49"/>
      <c r="AE9" s="49"/>
      <c r="AF9" s="49"/>
      <c r="AG9" s="49"/>
      <c r="AH9" s="49"/>
      <c r="AI9" s="49"/>
      <c r="AJ9" s="49"/>
      <c r="AK9" s="49"/>
      <c r="AL9" s="49"/>
      <c r="AM9" s="49"/>
      <c r="AN9" s="49"/>
      <c r="AO9" s="49"/>
      <c r="AP9" s="49"/>
      <c r="AQ9" s="49"/>
      <c r="AR9" s="49"/>
      <c r="AS9" s="49"/>
      <c r="AT9" s="49"/>
      <c r="AU9" s="49"/>
      <c r="AV9" s="49"/>
      <c r="AW9" s="49"/>
      <c r="AX9" s="49"/>
      <c r="AY9" s="49"/>
      <c r="AZ9" s="49"/>
      <c r="BA9" s="49"/>
      <c r="BB9" s="49"/>
      <c r="BC9" s="49"/>
      <c r="BD9" s="49"/>
      <c r="BE9" s="49"/>
    </row>
    <row r="10" spans="1:57" s="17" customFormat="1" ht="20.100000000000001" customHeight="1" x14ac:dyDescent="0.2">
      <c r="A10" s="1"/>
      <c r="B10" s="35" t="s">
        <v>11</v>
      </c>
      <c r="C10" s="136" t="s">
        <v>79</v>
      </c>
      <c r="D10" s="136"/>
      <c r="E10" s="136"/>
      <c r="F10" s="136"/>
      <c r="G10" s="31" t="s">
        <v>12</v>
      </c>
      <c r="H10" s="137" t="str">
        <f>CONCATENATE(I9,," ",J9,"-",D12,"-",F12)</f>
        <v xml:space="preserve"> --</v>
      </c>
      <c r="I10" s="137"/>
      <c r="J10" s="138"/>
      <c r="K10" s="49"/>
      <c r="L10" s="49"/>
      <c r="M10" s="49"/>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c r="AR10" s="49"/>
      <c r="AS10" s="49"/>
      <c r="AT10" s="49"/>
      <c r="AU10" s="49"/>
      <c r="AV10" s="49"/>
      <c r="AW10" s="49"/>
      <c r="AX10" s="49"/>
      <c r="AY10" s="49"/>
      <c r="AZ10" s="49"/>
      <c r="BA10" s="49"/>
      <c r="BB10" s="49"/>
      <c r="BC10" s="49"/>
      <c r="BD10" s="49"/>
      <c r="BE10" s="49"/>
    </row>
    <row r="11" spans="1:57" s="17" customFormat="1" ht="5.0999999999999996" customHeight="1" thickBot="1" x14ac:dyDescent="0.25">
      <c r="A11" s="6"/>
      <c r="B11" s="139"/>
      <c r="C11" s="139"/>
      <c r="D11" s="139"/>
      <c r="E11" s="139"/>
      <c r="F11" s="139"/>
      <c r="G11" s="139"/>
      <c r="H11" s="139"/>
      <c r="I11" s="139"/>
      <c r="J11" s="7"/>
      <c r="K11" s="49"/>
      <c r="L11" s="49"/>
      <c r="M11" s="49"/>
      <c r="N11" s="49"/>
      <c r="O11" s="49"/>
      <c r="P11" s="49"/>
      <c r="Q11" s="49"/>
      <c r="R11" s="49"/>
      <c r="S11" s="49"/>
      <c r="T11" s="49"/>
      <c r="U11" s="49"/>
      <c r="V11" s="49"/>
      <c r="W11" s="49"/>
      <c r="X11" s="49"/>
      <c r="Y11" s="49"/>
      <c r="Z11" s="49"/>
      <c r="AA11" s="49"/>
      <c r="AB11" s="49"/>
      <c r="AC11" s="49"/>
      <c r="AD11" s="49"/>
      <c r="AE11" s="49"/>
      <c r="AF11" s="49"/>
      <c r="AG11" s="49"/>
      <c r="AH11" s="49"/>
      <c r="AI11" s="49"/>
      <c r="AJ11" s="49"/>
      <c r="AK11" s="49"/>
      <c r="AL11" s="49"/>
      <c r="AM11" s="49"/>
      <c r="AN11" s="49"/>
      <c r="AO11" s="49"/>
      <c r="AP11" s="49"/>
      <c r="AQ11" s="49"/>
      <c r="AR11" s="49"/>
      <c r="AS11" s="49"/>
      <c r="AT11" s="49"/>
      <c r="AU11" s="49"/>
      <c r="AV11" s="49"/>
      <c r="AW11" s="49"/>
      <c r="AX11" s="49"/>
      <c r="AY11" s="49"/>
      <c r="AZ11" s="49"/>
      <c r="BA11" s="49"/>
      <c r="BB11" s="49"/>
      <c r="BC11" s="49"/>
      <c r="BD11" s="49"/>
      <c r="BE11" s="49"/>
    </row>
    <row r="12" spans="1:57" s="17" customFormat="1" ht="20.100000000000001" customHeight="1" x14ac:dyDescent="0.25">
      <c r="A12" s="3"/>
      <c r="B12" s="4" t="s">
        <v>13</v>
      </c>
      <c r="C12" s="25" t="s">
        <v>5</v>
      </c>
      <c r="D12" s="26"/>
      <c r="E12" s="8" t="s">
        <v>14</v>
      </c>
      <c r="F12" s="86"/>
      <c r="G12" s="30" t="s">
        <v>15</v>
      </c>
      <c r="H12" s="27"/>
      <c r="I12" s="9" t="s">
        <v>16</v>
      </c>
      <c r="J12" s="28"/>
      <c r="K12" s="50"/>
      <c r="L12" s="51"/>
      <c r="M12" s="52"/>
      <c r="N12" s="53"/>
      <c r="O12" s="52"/>
      <c r="P12" s="52"/>
      <c r="Q12" s="52"/>
      <c r="R12" s="52"/>
      <c r="S12" s="52"/>
      <c r="T12" s="52"/>
      <c r="U12" s="52"/>
      <c r="V12" s="52"/>
      <c r="W12" s="52"/>
      <c r="X12" s="52"/>
      <c r="Y12" s="52"/>
      <c r="Z12" s="52"/>
      <c r="AA12" s="52"/>
      <c r="AB12" s="52"/>
      <c r="AC12" s="52"/>
      <c r="AD12" s="52"/>
      <c r="AE12" s="52"/>
      <c r="AF12" s="52"/>
      <c r="AG12" s="52"/>
      <c r="AH12" s="52"/>
      <c r="AI12" s="52"/>
      <c r="AJ12" s="52"/>
      <c r="AK12" s="52"/>
      <c r="AL12" s="52"/>
      <c r="AM12" s="52"/>
      <c r="AN12" s="52"/>
      <c r="AO12" s="52"/>
      <c r="AP12" s="52"/>
      <c r="AQ12" s="52"/>
      <c r="AR12" s="52"/>
      <c r="AS12" s="52"/>
      <c r="AT12" s="52"/>
      <c r="AU12" s="52"/>
      <c r="AV12" s="52"/>
      <c r="AW12" s="52"/>
      <c r="AX12" s="52"/>
      <c r="AY12" s="52"/>
      <c r="AZ12" s="52"/>
      <c r="BA12" s="52"/>
      <c r="BB12" s="52"/>
      <c r="BC12" s="52"/>
      <c r="BD12" s="52"/>
      <c r="BE12" s="52"/>
    </row>
    <row r="13" spans="1:57" s="17" customFormat="1" ht="30.75" customHeight="1" x14ac:dyDescent="0.25">
      <c r="A13" s="1"/>
      <c r="B13" s="34" t="s">
        <v>17</v>
      </c>
      <c r="C13" s="140"/>
      <c r="D13" s="140"/>
      <c r="E13" s="140"/>
      <c r="F13" s="140"/>
      <c r="G13" s="140"/>
      <c r="H13" s="140"/>
      <c r="I13" s="140"/>
      <c r="J13" s="141"/>
      <c r="K13" s="50"/>
      <c r="L13" s="51"/>
      <c r="M13" s="52"/>
      <c r="N13" s="53" t="s">
        <v>32</v>
      </c>
      <c r="O13" s="52"/>
      <c r="P13" s="52"/>
      <c r="Q13" s="52"/>
      <c r="R13" s="52"/>
      <c r="S13" s="52"/>
      <c r="T13" s="52"/>
      <c r="U13" s="52"/>
      <c r="V13" s="52"/>
      <c r="W13" s="52"/>
      <c r="X13" s="52"/>
      <c r="Y13" s="52"/>
      <c r="Z13" s="52"/>
      <c r="AA13" s="52"/>
      <c r="AB13" s="52"/>
      <c r="AC13" s="52"/>
      <c r="AD13" s="52"/>
      <c r="AE13" s="52"/>
      <c r="AF13" s="52"/>
      <c r="AG13" s="52"/>
      <c r="AH13" s="52"/>
      <c r="AI13" s="52"/>
      <c r="AJ13" s="52"/>
      <c r="AK13" s="52"/>
      <c r="AL13" s="52"/>
      <c r="AM13" s="52"/>
      <c r="AN13" s="52"/>
      <c r="AO13" s="52"/>
      <c r="AP13" s="52"/>
      <c r="AQ13" s="52"/>
      <c r="AR13" s="52"/>
      <c r="AS13" s="52"/>
      <c r="AT13" s="52"/>
      <c r="AU13" s="52"/>
      <c r="AV13" s="52"/>
      <c r="AW13" s="52"/>
      <c r="AX13" s="52"/>
      <c r="AY13" s="52"/>
      <c r="AZ13" s="52"/>
      <c r="BA13" s="52"/>
      <c r="BB13" s="52"/>
      <c r="BC13" s="52"/>
      <c r="BD13" s="52"/>
      <c r="BE13" s="52"/>
    </row>
    <row r="14" spans="1:57" s="17" customFormat="1" ht="5.0999999999999996" customHeight="1" thickBot="1" x14ac:dyDescent="0.3">
      <c r="A14" s="6"/>
      <c r="B14" s="10"/>
      <c r="C14" s="11"/>
      <c r="D14" s="11"/>
      <c r="E14" s="11"/>
      <c r="F14" s="11"/>
      <c r="G14" s="11"/>
      <c r="H14" s="11"/>
      <c r="I14" s="11"/>
      <c r="J14" s="12"/>
      <c r="K14" s="50"/>
      <c r="L14" s="51"/>
      <c r="M14" s="52"/>
      <c r="N14" s="53"/>
      <c r="O14" s="52"/>
      <c r="P14" s="52"/>
      <c r="Q14" s="52"/>
      <c r="R14" s="52"/>
      <c r="S14" s="52"/>
      <c r="T14" s="52"/>
      <c r="U14" s="52"/>
      <c r="V14" s="52"/>
      <c r="W14" s="52"/>
      <c r="X14" s="52"/>
      <c r="Y14" s="52"/>
      <c r="Z14" s="52"/>
      <c r="AA14" s="52"/>
      <c r="AB14" s="52"/>
      <c r="AC14" s="52"/>
      <c r="AD14" s="52"/>
      <c r="AE14" s="52"/>
      <c r="AF14" s="52"/>
      <c r="AG14" s="52"/>
      <c r="AH14" s="52"/>
      <c r="AI14" s="52"/>
      <c r="AJ14" s="52"/>
      <c r="AK14" s="52"/>
      <c r="AL14" s="52"/>
      <c r="AM14" s="52"/>
      <c r="AN14" s="52"/>
      <c r="AO14" s="52"/>
      <c r="AP14" s="52"/>
      <c r="AQ14" s="52"/>
      <c r="AR14" s="52"/>
      <c r="AS14" s="52"/>
      <c r="AT14" s="52"/>
      <c r="AU14" s="52"/>
      <c r="AV14" s="52"/>
      <c r="AW14" s="52"/>
      <c r="AX14" s="52"/>
      <c r="AY14" s="52"/>
      <c r="AZ14" s="52"/>
      <c r="BA14" s="52"/>
      <c r="BB14" s="52"/>
      <c r="BC14" s="52"/>
      <c r="BD14" s="52"/>
      <c r="BE14" s="52"/>
    </row>
    <row r="15" spans="1:57" ht="10.5" customHeight="1" thickBot="1" x14ac:dyDescent="0.25">
      <c r="A15" s="13"/>
      <c r="J15" s="15"/>
      <c r="K15" s="54"/>
      <c r="L15" s="51"/>
      <c r="M15" s="55" t="s">
        <v>39</v>
      </c>
      <c r="O15" s="56"/>
    </row>
    <row r="16" spans="1:57" ht="34.5" customHeight="1" x14ac:dyDescent="0.2">
      <c r="A16" s="32"/>
      <c r="B16" s="142" t="s">
        <v>63</v>
      </c>
      <c r="C16" s="123"/>
      <c r="D16" s="123" t="s">
        <v>64</v>
      </c>
      <c r="E16" s="144" t="s">
        <v>65</v>
      </c>
      <c r="F16" s="144" t="s">
        <v>66</v>
      </c>
      <c r="G16" s="144" t="s">
        <v>67</v>
      </c>
      <c r="H16" s="123" t="s">
        <v>68</v>
      </c>
      <c r="I16" s="125" t="s">
        <v>73</v>
      </c>
      <c r="J16" s="33"/>
      <c r="K16" s="50" t="s">
        <v>70</v>
      </c>
      <c r="L16" s="52" t="s">
        <v>71</v>
      </c>
      <c r="M16" s="127" t="s">
        <v>40</v>
      </c>
      <c r="N16" s="129" t="s">
        <v>41</v>
      </c>
      <c r="O16" s="131" t="s">
        <v>42</v>
      </c>
      <c r="P16" s="133" t="s">
        <v>43</v>
      </c>
      <c r="Q16" s="112" t="s">
        <v>44</v>
      </c>
    </row>
    <row r="17" spans="1:57" ht="45.75" customHeight="1" x14ac:dyDescent="0.2">
      <c r="A17" s="13"/>
      <c r="B17" s="143"/>
      <c r="C17" s="124"/>
      <c r="D17" s="124"/>
      <c r="E17" s="145"/>
      <c r="F17" s="145"/>
      <c r="G17" s="145"/>
      <c r="H17" s="124"/>
      <c r="I17" s="126"/>
      <c r="J17" s="15"/>
      <c r="K17" s="94" t="e">
        <f>SUM(O18:O23)</f>
        <v>#DIV/0!</v>
      </c>
      <c r="L17" s="51" t="e">
        <f>K17*100/$K$22</f>
        <v>#DIV/0!</v>
      </c>
      <c r="M17" s="128"/>
      <c r="N17" s="130"/>
      <c r="O17" s="132"/>
      <c r="P17" s="134"/>
      <c r="Q17" s="113"/>
    </row>
    <row r="18" spans="1:57" ht="20.100000000000001" customHeight="1" x14ac:dyDescent="0.25">
      <c r="A18" s="13"/>
      <c r="B18" s="87" t="s">
        <v>16</v>
      </c>
      <c r="C18" s="42" t="s">
        <v>28</v>
      </c>
      <c r="D18" s="42">
        <v>5000</v>
      </c>
      <c r="E18" s="43"/>
      <c r="F18" s="44" t="s">
        <v>34</v>
      </c>
      <c r="G18" s="42"/>
      <c r="H18" s="83" t="e">
        <f t="shared" ref="H18:H19" si="0">K17</f>
        <v>#DIV/0!</v>
      </c>
      <c r="I18" s="88" t="e">
        <f t="shared" ref="I18:I19" si="1">(((E18-G18)/E18)*100)</f>
        <v>#DIV/0!</v>
      </c>
      <c r="J18" s="15"/>
      <c r="K18" s="95" t="e">
        <f>SUM(O24:O25)</f>
        <v>#DIV/0!</v>
      </c>
      <c r="L18" s="57" t="e">
        <f>K18*100/$K$22</f>
        <v>#DIV/0!</v>
      </c>
      <c r="M18" s="58" t="s">
        <v>45</v>
      </c>
      <c r="N18" s="59"/>
      <c r="O18" s="60" t="e">
        <f>N18/$O$15*100</f>
        <v>#DIV/0!</v>
      </c>
      <c r="P18" s="61" t="e">
        <f>O18</f>
        <v>#DIV/0!</v>
      </c>
      <c r="Q18" s="62" t="e">
        <f>100-P18</f>
        <v>#DIV/0!</v>
      </c>
    </row>
    <row r="19" spans="1:57" ht="20.100000000000001" customHeight="1" thickBot="1" x14ac:dyDescent="0.3">
      <c r="A19" s="13"/>
      <c r="B19" s="87" t="s">
        <v>28</v>
      </c>
      <c r="C19" s="42" t="s">
        <v>35</v>
      </c>
      <c r="D19" s="42">
        <v>3000</v>
      </c>
      <c r="E19" s="43"/>
      <c r="F19" s="44" t="s">
        <v>34</v>
      </c>
      <c r="G19" s="43"/>
      <c r="H19" s="83" t="e">
        <f t="shared" si="0"/>
        <v>#DIV/0!</v>
      </c>
      <c r="I19" s="88" t="e">
        <f t="shared" si="1"/>
        <v>#DIV/0!</v>
      </c>
      <c r="J19" s="15"/>
      <c r="K19" s="66" t="e">
        <f>SUM(O26:O27)</f>
        <v>#DIV/0!</v>
      </c>
      <c r="L19" s="51" t="e">
        <f>K19*100/$K$22</f>
        <v>#DIV/0!</v>
      </c>
      <c r="M19" s="58" t="s">
        <v>46</v>
      </c>
      <c r="N19" s="59"/>
      <c r="O19" s="60" t="e">
        <f t="shared" ref="O19:O35" si="2">N19/$O$15*100</f>
        <v>#DIV/0!</v>
      </c>
      <c r="P19" s="61" t="e">
        <f t="shared" ref="P19:P35" si="3">P18+O19</f>
        <v>#DIV/0!</v>
      </c>
      <c r="Q19" s="62" t="e">
        <f>100-P19</f>
        <v>#DIV/0!</v>
      </c>
    </row>
    <row r="20" spans="1:57" ht="20.100000000000001" customHeight="1" x14ac:dyDescent="0.25">
      <c r="A20" s="13"/>
      <c r="B20" s="87" t="s">
        <v>35</v>
      </c>
      <c r="C20" s="42" t="s">
        <v>31</v>
      </c>
      <c r="D20" s="42">
        <v>2000</v>
      </c>
      <c r="E20" s="43"/>
      <c r="F20" s="44" t="s">
        <v>34</v>
      </c>
      <c r="G20" s="43"/>
      <c r="H20" s="83" t="e">
        <f>K19</f>
        <v>#DIV/0!</v>
      </c>
      <c r="I20" s="88" t="e">
        <f>(((E20-G20)/E20)*100)</f>
        <v>#DIV/0!</v>
      </c>
      <c r="J20" s="15"/>
      <c r="K20" s="94" t="e">
        <f>O28</f>
        <v>#DIV/0!</v>
      </c>
      <c r="L20" s="51" t="e">
        <f>K20*100/$K$22</f>
        <v>#DIV/0!</v>
      </c>
      <c r="M20" s="63" t="s">
        <v>47</v>
      </c>
      <c r="N20" s="79"/>
      <c r="O20" s="60" t="e">
        <f t="shared" si="2"/>
        <v>#DIV/0!</v>
      </c>
      <c r="P20" s="61" t="e">
        <f t="shared" si="3"/>
        <v>#DIV/0!</v>
      </c>
      <c r="Q20" s="62" t="e">
        <f t="shared" ref="Q20:Q35" si="4">100-P20</f>
        <v>#DIV/0!</v>
      </c>
    </row>
    <row r="21" spans="1:57" ht="20.100000000000001" customHeight="1" x14ac:dyDescent="0.25">
      <c r="A21" s="13"/>
      <c r="B21" s="87" t="s">
        <v>31</v>
      </c>
      <c r="C21" s="42" t="s">
        <v>34</v>
      </c>
      <c r="D21" s="42">
        <v>1000</v>
      </c>
      <c r="E21" s="42"/>
      <c r="F21" s="44" t="s">
        <v>36</v>
      </c>
      <c r="G21" s="44"/>
      <c r="H21" s="83" t="e">
        <f>K20</f>
        <v>#DIV/0!</v>
      </c>
      <c r="I21" s="88" t="e">
        <f>(((E21-G21)/E21)*100)</f>
        <v>#DIV/0!</v>
      </c>
      <c r="J21" s="15"/>
      <c r="K21" s="94" t="e">
        <f>O29</f>
        <v>#DIV/0!</v>
      </c>
      <c r="L21" s="51" t="e">
        <f>K21*100/$K$22</f>
        <v>#DIV/0!</v>
      </c>
      <c r="M21" s="64" t="s">
        <v>26</v>
      </c>
      <c r="N21" s="80"/>
      <c r="O21" s="60" t="e">
        <f t="shared" si="2"/>
        <v>#DIV/0!</v>
      </c>
      <c r="P21" s="61" t="e">
        <f t="shared" si="3"/>
        <v>#DIV/0!</v>
      </c>
      <c r="Q21" s="62" t="e">
        <f t="shared" si="4"/>
        <v>#DIV/0!</v>
      </c>
    </row>
    <row r="22" spans="1:57" ht="20.100000000000001" customHeight="1" thickBot="1" x14ac:dyDescent="0.3">
      <c r="A22" s="13"/>
      <c r="B22" s="89" t="s">
        <v>34</v>
      </c>
      <c r="C22" s="90" t="s">
        <v>80</v>
      </c>
      <c r="D22" s="91">
        <v>25</v>
      </c>
      <c r="E22" s="91"/>
      <c r="F22" s="90" t="s">
        <v>37</v>
      </c>
      <c r="G22" s="91"/>
      <c r="H22" s="102" t="e">
        <f>K21</f>
        <v>#DIV/0!</v>
      </c>
      <c r="I22" s="92" t="e">
        <f>(((E22-G22)/E22)*100)</f>
        <v>#DIV/0!</v>
      </c>
      <c r="J22" s="15"/>
      <c r="K22" s="53" t="e">
        <f>SUM(K17:K21)</f>
        <v>#DIV/0!</v>
      </c>
      <c r="L22" s="51" t="e">
        <f>SUM(L17:L21)</f>
        <v>#DIV/0!</v>
      </c>
      <c r="M22" s="65" t="s">
        <v>27</v>
      </c>
      <c r="N22" s="80"/>
      <c r="O22" s="60" t="e">
        <f t="shared" si="2"/>
        <v>#DIV/0!</v>
      </c>
      <c r="P22" s="61" t="e">
        <f t="shared" si="3"/>
        <v>#DIV/0!</v>
      </c>
      <c r="Q22" s="62" t="e">
        <f t="shared" si="4"/>
        <v>#DIV/0!</v>
      </c>
    </row>
    <row r="23" spans="1:57" ht="20.100000000000001" customHeight="1" thickBot="1" x14ac:dyDescent="0.3">
      <c r="A23" s="13"/>
      <c r="J23" s="15"/>
      <c r="K23" s="66"/>
      <c r="L23" s="66"/>
      <c r="M23" s="65" t="s">
        <v>28</v>
      </c>
      <c r="N23" s="80"/>
      <c r="O23" s="60" t="e">
        <f>N23/$O$15*100</f>
        <v>#DIV/0!</v>
      </c>
      <c r="P23" s="61" t="e">
        <f t="shared" si="3"/>
        <v>#DIV/0!</v>
      </c>
      <c r="Q23" s="62" t="e">
        <f t="shared" si="4"/>
        <v>#DIV/0!</v>
      </c>
    </row>
    <row r="24" spans="1:57" ht="20.100000000000001" customHeight="1" thickBot="1" x14ac:dyDescent="0.3">
      <c r="A24" s="13"/>
      <c r="B24" s="45"/>
      <c r="C24" s="46"/>
      <c r="D24" s="47"/>
      <c r="E24" s="114" t="s">
        <v>69</v>
      </c>
      <c r="F24" s="114"/>
      <c r="G24" s="114"/>
      <c r="H24" s="114"/>
      <c r="I24" s="93" t="e">
        <f>H40</f>
        <v>#DIV/0!</v>
      </c>
      <c r="J24" s="15"/>
      <c r="K24" s="50"/>
      <c r="L24" s="66" t="e">
        <f>SUM(L17:L21)</f>
        <v>#DIV/0!</v>
      </c>
      <c r="M24" s="65" t="s">
        <v>29</v>
      </c>
      <c r="N24" s="80"/>
      <c r="O24" s="60" t="e">
        <f t="shared" si="2"/>
        <v>#DIV/0!</v>
      </c>
      <c r="P24" s="61" t="e">
        <f t="shared" si="3"/>
        <v>#DIV/0!</v>
      </c>
      <c r="Q24" s="62" t="e">
        <f t="shared" si="4"/>
        <v>#DIV/0!</v>
      </c>
    </row>
    <row r="25" spans="1:57" ht="20.100000000000001" customHeight="1" x14ac:dyDescent="0.25">
      <c r="A25" s="13"/>
      <c r="B25" s="45"/>
      <c r="C25" s="46"/>
      <c r="D25" s="47"/>
      <c r="E25" s="47"/>
      <c r="F25" s="46"/>
      <c r="G25" s="47"/>
      <c r="H25" s="46"/>
      <c r="I25" s="48"/>
      <c r="J25" s="15"/>
      <c r="K25" s="67"/>
      <c r="L25" s="68"/>
      <c r="M25" s="65" t="s">
        <v>35</v>
      </c>
      <c r="N25" s="80"/>
      <c r="O25" s="60" t="e">
        <f t="shared" si="2"/>
        <v>#DIV/0!</v>
      </c>
      <c r="P25" s="61" t="e">
        <f t="shared" si="3"/>
        <v>#DIV/0!</v>
      </c>
      <c r="Q25" s="62" t="e">
        <f t="shared" si="4"/>
        <v>#DIV/0!</v>
      </c>
    </row>
    <row r="26" spans="1:57" ht="20.100000000000001" customHeight="1" x14ac:dyDescent="0.25">
      <c r="A26" s="13"/>
      <c r="B26" s="45"/>
      <c r="C26" s="46"/>
      <c r="D26" s="47"/>
      <c r="E26" s="47"/>
      <c r="F26" s="46"/>
      <c r="G26" s="47"/>
      <c r="H26" s="46"/>
      <c r="I26" s="48"/>
      <c r="J26" s="15"/>
      <c r="K26" s="51" t="e">
        <f>I20*H20/E20</f>
        <v>#DIV/0!</v>
      </c>
      <c r="L26" s="52">
        <f>SUM(N18:N23)</f>
        <v>0</v>
      </c>
      <c r="M26" s="65" t="s">
        <v>30</v>
      </c>
      <c r="N26" s="80"/>
      <c r="O26" s="60" t="e">
        <f t="shared" si="2"/>
        <v>#DIV/0!</v>
      </c>
      <c r="P26" s="61" t="e">
        <f t="shared" si="3"/>
        <v>#DIV/0!</v>
      </c>
      <c r="Q26" s="62" t="e">
        <f t="shared" si="4"/>
        <v>#DIV/0!</v>
      </c>
    </row>
    <row r="27" spans="1:57" ht="15.75" x14ac:dyDescent="0.25">
      <c r="A27" s="13"/>
      <c r="B27" s="38"/>
      <c r="C27" s="39"/>
      <c r="D27" s="40"/>
      <c r="E27" s="39"/>
      <c r="F27" s="40"/>
      <c r="G27" s="41"/>
      <c r="J27" s="15"/>
      <c r="K27" s="51" t="e">
        <f>I20*H20/E20</f>
        <v>#DIV/0!</v>
      </c>
      <c r="L27" s="97">
        <f>SUM(N24:N25)</f>
        <v>0</v>
      </c>
      <c r="M27" s="65" t="s">
        <v>31</v>
      </c>
      <c r="N27" s="80"/>
      <c r="O27" s="60" t="e">
        <f t="shared" si="2"/>
        <v>#DIV/0!</v>
      </c>
      <c r="P27" s="61" t="e">
        <f t="shared" si="3"/>
        <v>#DIV/0!</v>
      </c>
      <c r="Q27" s="62" t="e">
        <f t="shared" si="4"/>
        <v>#DIV/0!</v>
      </c>
    </row>
    <row r="28" spans="1:57" ht="21.95" customHeight="1" x14ac:dyDescent="0.25">
      <c r="A28" s="13"/>
      <c r="F28" s="115" t="s">
        <v>23</v>
      </c>
      <c r="G28" s="115"/>
      <c r="H28" s="115" t="s">
        <v>24</v>
      </c>
      <c r="I28" s="115"/>
      <c r="J28" s="116"/>
      <c r="K28" s="51" t="e">
        <f>I20*H20/E20</f>
        <v>#DIV/0!</v>
      </c>
      <c r="L28" s="97">
        <f>SUM(N26:N27)</f>
        <v>0</v>
      </c>
      <c r="M28" s="65" t="s">
        <v>48</v>
      </c>
      <c r="N28" s="80"/>
      <c r="O28" s="60" t="e">
        <f t="shared" si="2"/>
        <v>#DIV/0!</v>
      </c>
      <c r="P28" s="61" t="e">
        <f t="shared" si="3"/>
        <v>#DIV/0!</v>
      </c>
      <c r="Q28" s="62" t="e">
        <f t="shared" si="4"/>
        <v>#DIV/0!</v>
      </c>
    </row>
    <row r="29" spans="1:57" s="16" customFormat="1" ht="9.9499999999999993" customHeight="1" x14ac:dyDescent="0.25">
      <c r="A29" s="117" t="s">
        <v>33</v>
      </c>
      <c r="B29" s="118"/>
      <c r="C29" s="118"/>
      <c r="D29" s="118"/>
      <c r="E29" s="118"/>
      <c r="F29" s="115"/>
      <c r="G29" s="115"/>
      <c r="H29" s="115"/>
      <c r="I29" s="115"/>
      <c r="J29" s="116"/>
      <c r="K29" s="51" t="e">
        <f>I21*H21/E21</f>
        <v>#DIV/0!</v>
      </c>
      <c r="L29" s="97">
        <f>SUM(N28)</f>
        <v>0</v>
      </c>
      <c r="M29" s="65" t="s">
        <v>49</v>
      </c>
      <c r="N29" s="80"/>
      <c r="O29" s="60" t="e">
        <f t="shared" si="2"/>
        <v>#DIV/0!</v>
      </c>
      <c r="P29" s="61" t="e">
        <f t="shared" si="3"/>
        <v>#DIV/0!</v>
      </c>
      <c r="Q29" s="62" t="e">
        <f t="shared" si="4"/>
        <v>#DIV/0!</v>
      </c>
      <c r="R29" s="52"/>
      <c r="S29" s="52"/>
      <c r="T29" s="52"/>
      <c r="U29" s="52"/>
      <c r="V29" s="52"/>
      <c r="W29" s="52"/>
      <c r="X29" s="52"/>
      <c r="Y29" s="52"/>
      <c r="Z29" s="52"/>
      <c r="AA29" s="52"/>
      <c r="AB29" s="52"/>
      <c r="AC29" s="52"/>
      <c r="AD29" s="52"/>
      <c r="AE29" s="52"/>
      <c r="AF29" s="52"/>
      <c r="AG29" s="52"/>
      <c r="AH29" s="52"/>
      <c r="AI29" s="52"/>
      <c r="AJ29" s="52"/>
      <c r="AK29" s="52"/>
      <c r="AL29" s="52"/>
      <c r="AM29" s="52"/>
      <c r="AN29" s="52"/>
      <c r="AO29" s="52"/>
      <c r="AP29" s="52"/>
      <c r="AQ29" s="52"/>
      <c r="AR29" s="52"/>
      <c r="AS29" s="52"/>
      <c r="AT29" s="52"/>
      <c r="AU29" s="52"/>
      <c r="AV29" s="52"/>
      <c r="AW29" s="52"/>
      <c r="AX29" s="52"/>
      <c r="AY29" s="52"/>
      <c r="AZ29" s="52"/>
      <c r="BA29" s="52"/>
      <c r="BB29" s="52"/>
      <c r="BC29" s="52"/>
      <c r="BD29" s="52"/>
      <c r="BE29" s="52"/>
    </row>
    <row r="30" spans="1:57" s="16" customFormat="1" ht="24.75" customHeight="1" x14ac:dyDescent="0.25">
      <c r="A30" s="117"/>
      <c r="B30" s="118"/>
      <c r="C30" s="118"/>
      <c r="D30" s="118"/>
      <c r="E30" s="118"/>
      <c r="F30" s="36"/>
      <c r="H30" s="36"/>
      <c r="J30" s="22"/>
      <c r="K30" s="53" t="e">
        <f>I22*H22/E22</f>
        <v>#DIV/0!</v>
      </c>
      <c r="L30" s="98">
        <f>SUM(N29)</f>
        <v>0</v>
      </c>
      <c r="M30" s="65" t="s">
        <v>61</v>
      </c>
      <c r="N30" s="80"/>
      <c r="O30" s="60" t="e">
        <f t="shared" si="2"/>
        <v>#DIV/0!</v>
      </c>
      <c r="P30" s="61" t="e">
        <f t="shared" si="3"/>
        <v>#DIV/0!</v>
      </c>
      <c r="Q30" s="62" t="e">
        <f t="shared" si="4"/>
        <v>#DIV/0!</v>
      </c>
      <c r="R30" s="52"/>
      <c r="S30" s="52"/>
      <c r="T30" s="52"/>
      <c r="U30" s="52"/>
      <c r="V30" s="52"/>
      <c r="W30" s="52"/>
      <c r="X30" s="52"/>
      <c r="Y30" s="52"/>
      <c r="Z30" s="52"/>
      <c r="AA30" s="52"/>
      <c r="AB30" s="52"/>
      <c r="AC30" s="52"/>
      <c r="AD30" s="52"/>
      <c r="AE30" s="52"/>
      <c r="AF30" s="52"/>
      <c r="AG30" s="52"/>
      <c r="AH30" s="52"/>
      <c r="AI30" s="52"/>
      <c r="AJ30" s="52"/>
      <c r="AK30" s="52"/>
      <c r="AL30" s="52"/>
      <c r="AM30" s="52"/>
      <c r="AN30" s="52"/>
      <c r="AO30" s="52"/>
      <c r="AP30" s="52"/>
      <c r="AQ30" s="52"/>
      <c r="AR30" s="52"/>
      <c r="AS30" s="52"/>
      <c r="AT30" s="52"/>
      <c r="AU30" s="52"/>
      <c r="AV30" s="52"/>
      <c r="AW30" s="52"/>
      <c r="AX30" s="52"/>
      <c r="AY30" s="52"/>
      <c r="AZ30" s="52"/>
      <c r="BA30" s="52"/>
      <c r="BB30" s="52"/>
      <c r="BC30" s="52"/>
      <c r="BD30" s="52"/>
      <c r="BE30" s="52"/>
    </row>
    <row r="31" spans="1:57" s="16" customFormat="1" ht="24.75" customHeight="1" x14ac:dyDescent="0.25">
      <c r="A31" s="117"/>
      <c r="B31" s="118"/>
      <c r="C31" s="118"/>
      <c r="D31" s="118"/>
      <c r="E31" s="118"/>
      <c r="F31" s="36"/>
      <c r="H31" s="36"/>
      <c r="J31" s="22"/>
      <c r="K31" s="51" t="e">
        <f>SUM(K26:K30)</f>
        <v>#DIV/0!</v>
      </c>
      <c r="L31" s="52" t="e">
        <f>K31*100/$K$22</f>
        <v>#DIV/0!</v>
      </c>
      <c r="M31" s="65" t="s">
        <v>50</v>
      </c>
      <c r="N31" s="80"/>
      <c r="O31" s="60" t="e">
        <f t="shared" si="2"/>
        <v>#DIV/0!</v>
      </c>
      <c r="P31" s="61" t="e">
        <f t="shared" si="3"/>
        <v>#DIV/0!</v>
      </c>
      <c r="Q31" s="62" t="e">
        <f t="shared" si="4"/>
        <v>#DIV/0!</v>
      </c>
      <c r="R31" s="52"/>
      <c r="S31" s="52"/>
      <c r="T31" s="52"/>
      <c r="U31" s="52"/>
      <c r="V31" s="52"/>
      <c r="W31" s="52"/>
      <c r="X31" s="52"/>
      <c r="Y31" s="52"/>
      <c r="Z31" s="52"/>
      <c r="AA31" s="52"/>
      <c r="AB31" s="52"/>
      <c r="AC31" s="52"/>
      <c r="AD31" s="52"/>
      <c r="AE31" s="52"/>
      <c r="AF31" s="52"/>
      <c r="AG31" s="52"/>
      <c r="AH31" s="52"/>
      <c r="AI31" s="52"/>
      <c r="AJ31" s="52"/>
      <c r="AK31" s="52"/>
      <c r="AL31" s="52"/>
      <c r="AM31" s="52"/>
      <c r="AN31" s="52"/>
      <c r="AO31" s="52"/>
      <c r="AP31" s="52"/>
      <c r="AQ31" s="52"/>
      <c r="AR31" s="52"/>
      <c r="AS31" s="52"/>
      <c r="AT31" s="52"/>
      <c r="AU31" s="52"/>
      <c r="AV31" s="52"/>
      <c r="AW31" s="52"/>
      <c r="AX31" s="52"/>
      <c r="AY31" s="52"/>
      <c r="AZ31" s="52"/>
      <c r="BA31" s="52"/>
      <c r="BB31" s="52"/>
      <c r="BC31" s="52"/>
      <c r="BD31" s="52"/>
      <c r="BE31" s="52"/>
    </row>
    <row r="32" spans="1:57" s="16" customFormat="1" x14ac:dyDescent="0.25">
      <c r="A32" s="117"/>
      <c r="B32" s="118"/>
      <c r="C32" s="118"/>
      <c r="D32" s="118"/>
      <c r="E32" s="118"/>
      <c r="F32" s="36"/>
      <c r="G32" s="37"/>
      <c r="H32" s="36"/>
      <c r="I32" s="37"/>
      <c r="J32" s="29"/>
      <c r="K32" s="52"/>
      <c r="L32" s="52"/>
      <c r="M32" s="65" t="s">
        <v>62</v>
      </c>
      <c r="N32" s="80"/>
      <c r="O32" s="60" t="e">
        <f t="shared" si="2"/>
        <v>#DIV/0!</v>
      </c>
      <c r="P32" s="61" t="e">
        <f t="shared" si="3"/>
        <v>#DIV/0!</v>
      </c>
      <c r="Q32" s="62" t="e">
        <f t="shared" si="4"/>
        <v>#DIV/0!</v>
      </c>
      <c r="R32" s="52"/>
      <c r="S32" s="52"/>
      <c r="T32" s="52"/>
      <c r="U32" s="52"/>
      <c r="V32" s="52"/>
      <c r="W32" s="52"/>
      <c r="X32" s="52"/>
      <c r="Y32" s="52"/>
      <c r="Z32" s="52"/>
      <c r="AA32" s="52"/>
      <c r="AB32" s="52"/>
      <c r="AC32" s="52"/>
      <c r="AD32" s="52"/>
      <c r="AE32" s="52"/>
      <c r="AF32" s="52"/>
      <c r="AG32" s="52"/>
      <c r="AH32" s="52"/>
      <c r="AI32" s="52"/>
      <c r="AJ32" s="52"/>
      <c r="AK32" s="52"/>
      <c r="AL32" s="52"/>
      <c r="AM32" s="52"/>
      <c r="AN32" s="52"/>
      <c r="AO32" s="52"/>
      <c r="AP32" s="52"/>
      <c r="AQ32" s="52"/>
      <c r="AR32" s="52"/>
      <c r="AS32" s="52"/>
      <c r="AT32" s="52"/>
      <c r="AU32" s="52"/>
      <c r="AV32" s="52"/>
      <c r="AW32" s="52"/>
      <c r="AX32" s="52"/>
      <c r="AY32" s="52"/>
      <c r="AZ32" s="52"/>
      <c r="BA32" s="52"/>
      <c r="BB32" s="52"/>
      <c r="BC32" s="52"/>
      <c r="BD32" s="52"/>
      <c r="BE32" s="52"/>
    </row>
    <row r="33" spans="1:57" s="16" customFormat="1" ht="22.5" customHeight="1" x14ac:dyDescent="0.25">
      <c r="A33" s="117"/>
      <c r="B33" s="118"/>
      <c r="C33" s="118"/>
      <c r="D33" s="118"/>
      <c r="E33" s="118"/>
      <c r="F33" s="119" t="s">
        <v>18</v>
      </c>
      <c r="G33" s="119"/>
      <c r="H33" s="119" t="s">
        <v>78</v>
      </c>
      <c r="I33" s="119"/>
      <c r="J33" s="120"/>
      <c r="K33" s="52" t="e">
        <f t="shared" ref="K33:K38" si="5">L26*I18/E18</f>
        <v>#DIV/0!</v>
      </c>
      <c r="L33" s="52"/>
      <c r="M33" s="65" t="s">
        <v>51</v>
      </c>
      <c r="N33" s="80"/>
      <c r="O33" s="60" t="e">
        <f t="shared" si="2"/>
        <v>#DIV/0!</v>
      </c>
      <c r="P33" s="61" t="e">
        <f t="shared" si="3"/>
        <v>#DIV/0!</v>
      </c>
      <c r="Q33" s="62" t="e">
        <f t="shared" si="4"/>
        <v>#DIV/0!</v>
      </c>
      <c r="R33" s="52"/>
      <c r="S33" s="52"/>
      <c r="T33" s="52"/>
      <c r="U33" s="52"/>
      <c r="V33" s="52"/>
      <c r="W33" s="52"/>
      <c r="X33" s="52"/>
      <c r="Y33" s="52"/>
      <c r="Z33" s="52"/>
      <c r="AA33" s="52"/>
      <c r="AB33" s="52"/>
      <c r="AC33" s="52"/>
      <c r="AD33" s="52"/>
      <c r="AE33" s="52"/>
      <c r="AF33" s="52"/>
      <c r="AG33" s="52"/>
      <c r="AH33" s="52"/>
      <c r="AI33" s="52"/>
      <c r="AJ33" s="52"/>
      <c r="AK33" s="52"/>
      <c r="AL33" s="52"/>
      <c r="AM33" s="52"/>
      <c r="AN33" s="52"/>
      <c r="AO33" s="52"/>
      <c r="AP33" s="52"/>
      <c r="AQ33" s="52"/>
      <c r="AR33" s="52"/>
      <c r="AS33" s="52"/>
      <c r="AT33" s="52"/>
      <c r="AU33" s="52"/>
      <c r="AV33" s="52"/>
      <c r="AW33" s="52"/>
      <c r="AX33" s="52"/>
      <c r="AY33" s="52"/>
      <c r="AZ33" s="52"/>
      <c r="BA33" s="52"/>
      <c r="BB33" s="52"/>
      <c r="BC33" s="52"/>
      <c r="BD33" s="52"/>
      <c r="BE33" s="52"/>
    </row>
    <row r="34" spans="1:57" s="16" customFormat="1" ht="21" customHeight="1" thickBot="1" x14ac:dyDescent="0.3">
      <c r="A34" s="117"/>
      <c r="B34" s="118"/>
      <c r="C34" s="118"/>
      <c r="D34" s="118"/>
      <c r="E34" s="118"/>
      <c r="F34" s="121" t="s">
        <v>19</v>
      </c>
      <c r="G34" s="121"/>
      <c r="H34" s="121" t="s">
        <v>25</v>
      </c>
      <c r="I34" s="121"/>
      <c r="J34" s="122"/>
      <c r="K34" s="52" t="e">
        <f t="shared" si="5"/>
        <v>#DIV/0!</v>
      </c>
      <c r="L34" s="52"/>
      <c r="M34" s="65" t="s">
        <v>52</v>
      </c>
      <c r="N34" s="81"/>
      <c r="O34" s="60" t="e">
        <f t="shared" si="2"/>
        <v>#DIV/0!</v>
      </c>
      <c r="P34" s="61" t="e">
        <f t="shared" si="3"/>
        <v>#DIV/0!</v>
      </c>
      <c r="Q34" s="62" t="e">
        <f t="shared" si="4"/>
        <v>#DIV/0!</v>
      </c>
      <c r="R34" s="52"/>
      <c r="S34" s="52"/>
      <c r="T34" s="52"/>
      <c r="U34" s="52"/>
      <c r="V34" s="52"/>
      <c r="W34" s="52"/>
      <c r="X34" s="52"/>
      <c r="Y34" s="52"/>
      <c r="Z34" s="52"/>
      <c r="AA34" s="52"/>
      <c r="AB34" s="52"/>
      <c r="AC34" s="52"/>
      <c r="AD34" s="52"/>
      <c r="AE34" s="52"/>
      <c r="AF34" s="52"/>
      <c r="AG34" s="52"/>
      <c r="AH34" s="52"/>
      <c r="AI34" s="52"/>
      <c r="AJ34" s="52"/>
      <c r="AK34" s="52"/>
      <c r="AL34" s="52"/>
      <c r="AM34" s="52"/>
      <c r="AN34" s="52"/>
      <c r="AO34" s="52"/>
      <c r="AP34" s="52"/>
      <c r="AQ34" s="52"/>
      <c r="AR34" s="52"/>
      <c r="AS34" s="52"/>
      <c r="AT34" s="52"/>
      <c r="AU34" s="52"/>
      <c r="AV34" s="52"/>
      <c r="AW34" s="52"/>
      <c r="AX34" s="52"/>
      <c r="AY34" s="52"/>
      <c r="AZ34" s="52"/>
      <c r="BA34" s="52"/>
      <c r="BB34" s="52"/>
      <c r="BC34" s="52"/>
      <c r="BD34" s="52"/>
      <c r="BE34" s="52"/>
    </row>
    <row r="35" spans="1:57" s="16" customFormat="1" thickBot="1" x14ac:dyDescent="0.3">
      <c r="A35" s="103" t="s">
        <v>20</v>
      </c>
      <c r="B35" s="104"/>
      <c r="C35" s="104"/>
      <c r="D35" s="104"/>
      <c r="E35" s="104"/>
      <c r="F35" s="104"/>
      <c r="G35" s="104"/>
      <c r="H35" s="104"/>
      <c r="I35" s="104"/>
      <c r="J35" s="105"/>
      <c r="K35" s="50" t="e">
        <f t="shared" si="5"/>
        <v>#DIV/0!</v>
      </c>
      <c r="L35" s="52"/>
      <c r="M35" s="65"/>
      <c r="N35" s="59"/>
      <c r="O35" s="60" t="e">
        <f t="shared" si="2"/>
        <v>#DIV/0!</v>
      </c>
      <c r="P35" s="61" t="e">
        <f t="shared" si="3"/>
        <v>#DIV/0!</v>
      </c>
      <c r="Q35" s="62" t="e">
        <f t="shared" si="4"/>
        <v>#DIV/0!</v>
      </c>
      <c r="R35" s="52"/>
      <c r="S35" s="52"/>
      <c r="T35" s="52"/>
      <c r="U35" s="52"/>
      <c r="V35" s="52"/>
      <c r="W35" s="52"/>
      <c r="X35" s="52"/>
      <c r="Y35" s="52"/>
      <c r="Z35" s="52"/>
      <c r="AA35" s="52"/>
      <c r="AB35" s="52"/>
      <c r="AC35" s="52"/>
      <c r="AD35" s="52"/>
      <c r="AE35" s="52"/>
      <c r="AF35" s="52"/>
      <c r="AG35" s="52"/>
      <c r="AH35" s="52"/>
      <c r="AI35" s="52"/>
      <c r="AJ35" s="52"/>
      <c r="AK35" s="52"/>
      <c r="AL35" s="52"/>
      <c r="AM35" s="52"/>
      <c r="AN35" s="52"/>
      <c r="AO35" s="52"/>
      <c r="AP35" s="52"/>
      <c r="AQ35" s="52"/>
      <c r="AR35" s="52"/>
      <c r="AS35" s="52"/>
      <c r="AT35" s="52"/>
      <c r="AU35" s="52"/>
      <c r="AV35" s="52"/>
      <c r="AW35" s="52"/>
      <c r="AX35" s="52"/>
      <c r="AY35" s="52"/>
      <c r="AZ35" s="52"/>
      <c r="BA35" s="52"/>
      <c r="BB35" s="52"/>
      <c r="BC35" s="52"/>
      <c r="BD35" s="52"/>
      <c r="BE35" s="52"/>
    </row>
    <row r="36" spans="1:57" s="16" customFormat="1" x14ac:dyDescent="0.25">
      <c r="A36" s="18"/>
      <c r="B36" s="18"/>
      <c r="C36" s="18"/>
      <c r="D36" s="18"/>
      <c r="E36" s="18"/>
      <c r="F36" s="18"/>
      <c r="G36" s="18"/>
      <c r="H36" s="18"/>
      <c r="I36" s="18"/>
      <c r="J36" s="18"/>
      <c r="K36" s="69" t="e">
        <f t="shared" si="5"/>
        <v>#DIV/0!</v>
      </c>
      <c r="L36" s="69"/>
      <c r="M36" s="65"/>
      <c r="N36" s="59"/>
      <c r="O36" s="60"/>
      <c r="P36" s="61"/>
      <c r="Q36" s="62"/>
      <c r="R36" s="70"/>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0"/>
      <c r="AW36" s="70"/>
      <c r="AX36" s="70"/>
      <c r="AY36" s="70"/>
      <c r="AZ36" s="70"/>
      <c r="BA36" s="70"/>
      <c r="BB36" s="70"/>
      <c r="BC36" s="70"/>
      <c r="BD36" s="70"/>
      <c r="BE36" s="70"/>
    </row>
    <row r="37" spans="1:57" s="16" customFormat="1" x14ac:dyDescent="0.25">
      <c r="A37" s="18"/>
      <c r="B37" s="18"/>
      <c r="C37" s="18"/>
      <c r="D37" s="18"/>
      <c r="E37" s="18"/>
      <c r="F37" s="18"/>
      <c r="G37" s="18"/>
      <c r="H37" s="18"/>
      <c r="I37" s="18"/>
      <c r="J37" s="18"/>
      <c r="K37" s="69" t="e">
        <f t="shared" si="5"/>
        <v>#DIV/0!</v>
      </c>
      <c r="L37" s="69"/>
      <c r="M37" s="65"/>
      <c r="N37" s="59"/>
      <c r="O37" s="60"/>
      <c r="P37" s="61"/>
      <c r="Q37" s="62"/>
      <c r="R37" s="70"/>
      <c r="S37" s="70"/>
      <c r="T37" s="70"/>
      <c r="U37" s="70"/>
      <c r="V37" s="70"/>
      <c r="W37" s="70"/>
      <c r="X37" s="70"/>
      <c r="Y37" s="70"/>
      <c r="Z37" s="70"/>
      <c r="AA37" s="70"/>
      <c r="AB37" s="70"/>
      <c r="AC37" s="70"/>
      <c r="AD37" s="70"/>
      <c r="AE37" s="70"/>
      <c r="AF37" s="70"/>
      <c r="AG37" s="70"/>
      <c r="AH37" s="70"/>
      <c r="AI37" s="70"/>
      <c r="AJ37" s="70"/>
      <c r="AK37" s="70"/>
      <c r="AL37" s="70"/>
      <c r="AM37" s="70"/>
      <c r="AN37" s="70"/>
      <c r="AO37" s="70"/>
      <c r="AP37" s="70"/>
      <c r="AQ37" s="70"/>
      <c r="AR37" s="70"/>
      <c r="AS37" s="70"/>
      <c r="AT37" s="70"/>
      <c r="AU37" s="70"/>
      <c r="AV37" s="70"/>
      <c r="AW37" s="70"/>
      <c r="AX37" s="70"/>
      <c r="AY37" s="70"/>
      <c r="AZ37" s="70"/>
      <c r="BA37" s="70"/>
      <c r="BB37" s="70"/>
      <c r="BC37" s="70"/>
      <c r="BD37" s="70"/>
      <c r="BE37" s="70"/>
    </row>
    <row r="38" spans="1:57" s="16" customFormat="1" ht="15.75" thickBot="1" x14ac:dyDescent="0.3">
      <c r="A38" s="18"/>
      <c r="B38" s="18"/>
      <c r="C38" s="18"/>
      <c r="D38" s="18"/>
      <c r="E38" s="18"/>
      <c r="F38" s="18"/>
      <c r="G38" s="18"/>
      <c r="H38" s="18"/>
      <c r="I38" s="18"/>
      <c r="J38" s="18"/>
      <c r="K38" s="82" t="e">
        <f t="shared" si="5"/>
        <v>#DIV/0!</v>
      </c>
      <c r="L38" s="82"/>
      <c r="M38" s="82"/>
      <c r="N38" s="82"/>
      <c r="O38" s="82"/>
      <c r="P38" s="82"/>
      <c r="Q38" s="82"/>
      <c r="R38" s="82"/>
      <c r="S38" s="70"/>
      <c r="T38" s="70"/>
      <c r="U38" s="70"/>
      <c r="V38" s="70"/>
      <c r="W38" s="70"/>
      <c r="X38" s="70"/>
      <c r="Y38" s="70"/>
      <c r="Z38" s="70"/>
      <c r="AA38" s="70"/>
      <c r="AB38" s="70"/>
      <c r="AC38" s="70"/>
      <c r="AD38" s="70"/>
      <c r="AE38" s="70"/>
      <c r="AF38" s="70"/>
      <c r="AG38" s="70"/>
      <c r="AH38" s="70"/>
      <c r="AI38" s="70"/>
      <c r="AJ38" s="70"/>
      <c r="AK38" s="70"/>
      <c r="AL38" s="70"/>
      <c r="AM38" s="70"/>
      <c r="AN38" s="70"/>
      <c r="AO38" s="70"/>
      <c r="AP38" s="70"/>
      <c r="AQ38" s="70"/>
      <c r="AR38" s="70"/>
      <c r="AS38" s="70"/>
      <c r="AT38" s="70"/>
      <c r="AU38" s="70"/>
      <c r="AV38" s="70"/>
      <c r="AW38" s="70"/>
      <c r="AX38" s="70"/>
      <c r="AY38" s="70"/>
      <c r="AZ38" s="70"/>
      <c r="BA38" s="70"/>
      <c r="BB38" s="70"/>
      <c r="BC38" s="70"/>
      <c r="BD38" s="70"/>
      <c r="BE38" s="70"/>
    </row>
    <row r="39" spans="1:57" s="16" customFormat="1" ht="15.75" thickBot="1" x14ac:dyDescent="0.3">
      <c r="A39" s="18"/>
      <c r="B39" s="106" t="s">
        <v>53</v>
      </c>
      <c r="C39" s="107"/>
      <c r="D39" s="108"/>
      <c r="E39" s="109" t="s">
        <v>54</v>
      </c>
      <c r="F39" s="110"/>
      <c r="G39" s="18"/>
      <c r="H39" s="18"/>
      <c r="I39" s="18"/>
      <c r="J39" s="18"/>
      <c r="K39" s="82"/>
      <c r="L39" s="82"/>
      <c r="M39" s="82"/>
      <c r="N39" s="82"/>
      <c r="O39" s="82"/>
      <c r="P39" s="82"/>
      <c r="Q39" s="82"/>
      <c r="R39" s="82"/>
      <c r="S39" s="70"/>
      <c r="T39" s="70"/>
      <c r="U39" s="70"/>
      <c r="V39" s="70"/>
      <c r="W39" s="70"/>
      <c r="X39" s="70"/>
      <c r="Y39" s="70"/>
      <c r="Z39" s="70"/>
      <c r="AA39" s="70"/>
      <c r="AB39" s="70"/>
      <c r="AC39" s="70"/>
      <c r="AD39" s="70"/>
      <c r="AE39" s="70"/>
      <c r="AF39" s="70"/>
      <c r="AG39" s="70"/>
      <c r="AH39" s="70"/>
      <c r="AI39" s="70"/>
      <c r="AJ39" s="70"/>
      <c r="AK39" s="70"/>
      <c r="AL39" s="70"/>
      <c r="AM39" s="70"/>
      <c r="AN39" s="70"/>
      <c r="AO39" s="70"/>
      <c r="AP39" s="70"/>
      <c r="AQ39" s="70"/>
      <c r="AR39" s="70"/>
      <c r="AS39" s="70"/>
      <c r="AT39" s="70"/>
      <c r="AU39" s="70"/>
      <c r="AV39" s="70"/>
      <c r="AW39" s="70"/>
      <c r="AX39" s="70"/>
      <c r="AY39" s="70"/>
      <c r="AZ39" s="70"/>
      <c r="BA39" s="70"/>
      <c r="BB39" s="70"/>
      <c r="BC39" s="70"/>
      <c r="BD39" s="70"/>
      <c r="BE39" s="70"/>
    </row>
    <row r="40" spans="1:57" s="16" customFormat="1" ht="26.25" thickBot="1" x14ac:dyDescent="0.3">
      <c r="A40" s="18"/>
      <c r="B40" s="71" t="s">
        <v>55</v>
      </c>
      <c r="C40" s="72" t="s">
        <v>56</v>
      </c>
      <c r="D40" s="73" t="s">
        <v>57</v>
      </c>
      <c r="E40" s="72" t="s">
        <v>58</v>
      </c>
      <c r="F40" s="74" t="s">
        <v>59</v>
      </c>
      <c r="G40" s="18"/>
      <c r="H40" s="101" t="e">
        <f>(H18*J44)+(H19*J45)+(H20*J46)+(H21*J47)+(H22*J48)</f>
        <v>#DIV/0!</v>
      </c>
      <c r="I40" s="18"/>
      <c r="J40" s="96" t="e">
        <f>((E20-G20)/E20)*100</f>
        <v>#DIV/0!</v>
      </c>
      <c r="K40" s="82" t="e">
        <f>AVERAGE(K35:K37)</f>
        <v>#DIV/0!</v>
      </c>
      <c r="L40" s="82"/>
      <c r="M40" s="82"/>
      <c r="N40" s="82"/>
      <c r="O40" s="82"/>
      <c r="P40" s="82"/>
      <c r="Q40" s="82"/>
      <c r="R40" s="82"/>
      <c r="S40" s="70"/>
      <c r="T40" s="70"/>
      <c r="U40" s="70"/>
      <c r="V40" s="70"/>
      <c r="W40" s="70"/>
      <c r="X40" s="70"/>
      <c r="Y40" s="70"/>
      <c r="Z40" s="70"/>
      <c r="AA40" s="70"/>
      <c r="AB40" s="70"/>
      <c r="AC40" s="70"/>
      <c r="AD40" s="70"/>
      <c r="AE40" s="70"/>
      <c r="AF40" s="70"/>
      <c r="AG40" s="70"/>
      <c r="AH40" s="70"/>
      <c r="AI40" s="70"/>
      <c r="AJ40" s="70"/>
      <c r="AK40" s="70"/>
      <c r="AL40" s="70"/>
      <c r="AM40" s="70"/>
      <c r="AN40" s="70"/>
      <c r="AO40" s="70"/>
      <c r="AP40" s="70"/>
      <c r="AQ40" s="70"/>
      <c r="AR40" s="70"/>
      <c r="AS40" s="70"/>
      <c r="AT40" s="70"/>
      <c r="AU40" s="70"/>
      <c r="AV40" s="70"/>
      <c r="AW40" s="70"/>
      <c r="AX40" s="70"/>
      <c r="AY40" s="70"/>
      <c r="AZ40" s="70"/>
      <c r="BA40" s="70"/>
      <c r="BB40" s="70"/>
      <c r="BC40" s="70"/>
      <c r="BD40" s="70"/>
      <c r="BE40" s="70"/>
    </row>
    <row r="41" spans="1:57" s="16" customFormat="1" ht="15.75" thickBot="1" x14ac:dyDescent="0.3">
      <c r="A41" s="18"/>
      <c r="B41" s="75" t="e">
        <f>I24</f>
        <v>#DIV/0!</v>
      </c>
      <c r="C41" s="76" t="s">
        <v>60</v>
      </c>
      <c r="D41" s="77">
        <v>2</v>
      </c>
      <c r="E41" s="76" t="e">
        <f>IF(B41&lt;=D41,"X","")</f>
        <v>#DIV/0!</v>
      </c>
      <c r="F41" s="78" t="e">
        <f>IF(B41&gt;D41,"X","")</f>
        <v>#DIV/0!</v>
      </c>
      <c r="G41" s="18"/>
      <c r="H41" s="18"/>
      <c r="I41" s="18"/>
      <c r="J41" s="18"/>
      <c r="K41" s="82"/>
      <c r="L41" s="82"/>
      <c r="M41" s="82"/>
      <c r="N41" s="82"/>
      <c r="O41" s="82"/>
      <c r="P41" s="82"/>
      <c r="Q41" s="82"/>
      <c r="R41" s="82"/>
      <c r="S41" s="70"/>
      <c r="T41" s="70"/>
      <c r="U41" s="70"/>
      <c r="V41" s="70"/>
      <c r="W41" s="70"/>
      <c r="X41" s="70"/>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0"/>
      <c r="AW41" s="70"/>
      <c r="AX41" s="70"/>
      <c r="AY41" s="70"/>
      <c r="AZ41" s="70"/>
      <c r="BA41" s="70"/>
      <c r="BB41" s="70"/>
      <c r="BC41" s="70"/>
      <c r="BD41" s="70"/>
      <c r="BE41" s="70"/>
    </row>
    <row r="42" spans="1:57" s="16" customFormat="1" x14ac:dyDescent="0.25">
      <c r="A42" s="18"/>
      <c r="B42" s="18"/>
      <c r="C42" s="18"/>
      <c r="D42" s="18"/>
      <c r="E42" s="18"/>
      <c r="F42" s="18"/>
      <c r="G42" s="18"/>
      <c r="H42" s="18"/>
      <c r="I42" s="18"/>
      <c r="J42" s="18"/>
      <c r="K42" s="82"/>
      <c r="L42" s="82"/>
      <c r="M42" s="82"/>
      <c r="N42" s="82"/>
      <c r="O42" s="82"/>
      <c r="P42" s="82"/>
      <c r="Q42" s="82"/>
      <c r="R42" s="82"/>
      <c r="S42" s="70"/>
      <c r="T42" s="70"/>
      <c r="U42" s="70"/>
      <c r="V42" s="70"/>
      <c r="W42" s="70"/>
      <c r="X42" s="70"/>
      <c r="Y42" s="70"/>
      <c r="Z42" s="70"/>
      <c r="AA42" s="70"/>
      <c r="AB42" s="70"/>
      <c r="AC42" s="70"/>
      <c r="AD42" s="70"/>
      <c r="AE42" s="70"/>
      <c r="AF42" s="70"/>
      <c r="AG42" s="70"/>
      <c r="AH42" s="70"/>
      <c r="AI42" s="70"/>
      <c r="AJ42" s="70"/>
      <c r="AK42" s="70"/>
      <c r="AL42" s="70"/>
      <c r="AM42" s="70"/>
      <c r="AN42" s="70"/>
      <c r="AO42" s="70"/>
      <c r="AP42" s="70"/>
      <c r="AQ42" s="70"/>
      <c r="AR42" s="70"/>
      <c r="AS42" s="70"/>
      <c r="AT42" s="70"/>
      <c r="AU42" s="70"/>
      <c r="AV42" s="70"/>
      <c r="AW42" s="70"/>
      <c r="AX42" s="70"/>
      <c r="AY42" s="70"/>
      <c r="AZ42" s="70"/>
      <c r="BA42" s="70"/>
      <c r="BB42" s="70"/>
      <c r="BC42" s="70"/>
      <c r="BD42" s="70"/>
      <c r="BE42" s="70"/>
    </row>
    <row r="43" spans="1:57" s="16" customFormat="1" x14ac:dyDescent="0.25">
      <c r="A43" s="18"/>
      <c r="B43" s="18"/>
      <c r="C43" s="18"/>
      <c r="D43" s="18"/>
      <c r="E43" s="18"/>
      <c r="F43" s="18"/>
      <c r="G43" s="18"/>
      <c r="H43" s="18"/>
      <c r="I43" s="18"/>
      <c r="J43" s="18"/>
      <c r="K43" s="82"/>
      <c r="L43" s="82"/>
      <c r="M43" s="82"/>
      <c r="N43" s="82"/>
      <c r="O43" s="82"/>
      <c r="P43" s="82"/>
      <c r="Q43" s="82"/>
      <c r="R43" s="82"/>
      <c r="S43" s="70"/>
      <c r="T43" s="70"/>
      <c r="U43" s="70"/>
      <c r="V43" s="70"/>
      <c r="W43" s="70"/>
      <c r="X43" s="70"/>
      <c r="Y43" s="70"/>
      <c r="Z43" s="70"/>
      <c r="AA43" s="70"/>
      <c r="AB43" s="70"/>
      <c r="AC43" s="70"/>
      <c r="AD43" s="70"/>
      <c r="AE43" s="70"/>
      <c r="AF43" s="70"/>
      <c r="AG43" s="70"/>
      <c r="AH43" s="70"/>
      <c r="AI43" s="70"/>
      <c r="AJ43" s="70"/>
      <c r="AK43" s="70"/>
      <c r="AL43" s="70"/>
      <c r="AM43" s="70"/>
      <c r="AN43" s="70"/>
      <c r="AO43" s="70"/>
      <c r="AP43" s="70"/>
      <c r="AQ43" s="70"/>
      <c r="AR43" s="70"/>
      <c r="AS43" s="70"/>
      <c r="AT43" s="70"/>
      <c r="AU43" s="70"/>
      <c r="AV43" s="70"/>
      <c r="AW43" s="70"/>
      <c r="AX43" s="70"/>
      <c r="AY43" s="70"/>
      <c r="AZ43" s="70"/>
      <c r="BA43" s="70"/>
      <c r="BB43" s="70"/>
      <c r="BC43" s="70"/>
      <c r="BD43" s="70"/>
      <c r="BE43" s="70"/>
    </row>
    <row r="44" spans="1:57" s="16" customFormat="1" x14ac:dyDescent="0.25">
      <c r="A44" s="18"/>
      <c r="B44" s="18"/>
      <c r="C44" s="18"/>
      <c r="D44" s="18"/>
      <c r="E44" s="18"/>
      <c r="F44" s="18"/>
      <c r="G44" s="18"/>
      <c r="H44" s="99" t="e">
        <f t="shared" ref="H44:I48" si="6">H18</f>
        <v>#DIV/0!</v>
      </c>
      <c r="I44" s="99" t="e">
        <f t="shared" si="6"/>
        <v>#DIV/0!</v>
      </c>
      <c r="J44" s="100" t="e">
        <f>I44/100</f>
        <v>#DIV/0!</v>
      </c>
      <c r="K44" s="82"/>
      <c r="L44" s="82"/>
      <c r="M44" s="82"/>
      <c r="N44" s="82"/>
      <c r="O44" s="82"/>
      <c r="P44" s="82"/>
      <c r="Q44" s="82"/>
      <c r="R44" s="82"/>
      <c r="S44" s="70"/>
      <c r="T44" s="70"/>
      <c r="U44" s="70"/>
      <c r="V44" s="70"/>
      <c r="W44" s="70"/>
      <c r="X44" s="70"/>
      <c r="Y44" s="70"/>
      <c r="Z44" s="70"/>
      <c r="AA44" s="70"/>
      <c r="AB44" s="70"/>
      <c r="AC44" s="70"/>
      <c r="AD44" s="70"/>
      <c r="AE44" s="70"/>
      <c r="AF44" s="70"/>
      <c r="AG44" s="70"/>
      <c r="AH44" s="70"/>
      <c r="AI44" s="70"/>
      <c r="AJ44" s="70"/>
      <c r="AK44" s="70"/>
      <c r="AL44" s="70"/>
      <c r="AM44" s="70"/>
      <c r="AN44" s="70"/>
      <c r="AO44" s="70"/>
      <c r="AP44" s="70"/>
      <c r="AQ44" s="70"/>
      <c r="AR44" s="70"/>
      <c r="AS44" s="70"/>
      <c r="AT44" s="70"/>
      <c r="AU44" s="70"/>
      <c r="AV44" s="70"/>
      <c r="AW44" s="70"/>
      <c r="AX44" s="70"/>
      <c r="AY44" s="70"/>
      <c r="AZ44" s="70"/>
      <c r="BA44" s="70"/>
      <c r="BB44" s="70"/>
      <c r="BC44" s="70"/>
      <c r="BD44" s="70"/>
      <c r="BE44" s="70"/>
    </row>
    <row r="45" spans="1:57" s="16" customFormat="1" x14ac:dyDescent="0.25">
      <c r="A45" s="18"/>
      <c r="B45" s="18"/>
      <c r="C45" s="18"/>
      <c r="D45" s="18"/>
      <c r="E45" s="18"/>
      <c r="F45" s="18"/>
      <c r="G45" s="18"/>
      <c r="H45" s="99" t="e">
        <f t="shared" si="6"/>
        <v>#DIV/0!</v>
      </c>
      <c r="I45" s="99" t="e">
        <f t="shared" si="6"/>
        <v>#DIV/0!</v>
      </c>
      <c r="J45" s="100" t="e">
        <f>I45/100</f>
        <v>#DIV/0!</v>
      </c>
      <c r="K45" s="82"/>
      <c r="L45" s="82"/>
      <c r="M45" s="82"/>
      <c r="N45" s="82"/>
      <c r="O45" s="82"/>
      <c r="P45" s="82"/>
      <c r="Q45" s="82"/>
      <c r="R45" s="82"/>
      <c r="S45" s="70"/>
      <c r="T45" s="70"/>
      <c r="U45" s="70"/>
      <c r="V45" s="70"/>
      <c r="W45" s="70"/>
      <c r="X45" s="70"/>
      <c r="Y45" s="70"/>
      <c r="Z45" s="70"/>
      <c r="AA45" s="70"/>
      <c r="AB45" s="70"/>
      <c r="AC45" s="70"/>
      <c r="AD45" s="70"/>
      <c r="AE45" s="70"/>
      <c r="AF45" s="70"/>
      <c r="AG45" s="70"/>
      <c r="AH45" s="70"/>
      <c r="AI45" s="70"/>
      <c r="AJ45" s="70"/>
      <c r="AK45" s="70"/>
      <c r="AL45" s="70"/>
      <c r="AM45" s="70"/>
      <c r="AN45" s="70"/>
      <c r="AO45" s="70"/>
      <c r="AP45" s="70"/>
      <c r="AQ45" s="70"/>
      <c r="AR45" s="70"/>
      <c r="AS45" s="70"/>
      <c r="AT45" s="70"/>
      <c r="AU45" s="70"/>
      <c r="AV45" s="70"/>
      <c r="AW45" s="70"/>
      <c r="AX45" s="70"/>
      <c r="AY45" s="70"/>
      <c r="AZ45" s="70"/>
      <c r="BA45" s="70"/>
      <c r="BB45" s="70"/>
      <c r="BC45" s="70"/>
      <c r="BD45" s="70"/>
      <c r="BE45" s="70"/>
    </row>
    <row r="46" spans="1:57" s="16" customFormat="1" x14ac:dyDescent="0.25">
      <c r="A46" s="18"/>
      <c r="B46" s="18"/>
      <c r="C46" s="18"/>
      <c r="D46" s="18"/>
      <c r="E46" s="18"/>
      <c r="F46" s="18"/>
      <c r="G46" s="18"/>
      <c r="H46" s="99" t="e">
        <f t="shared" si="6"/>
        <v>#DIV/0!</v>
      </c>
      <c r="I46" s="99" t="e">
        <f t="shared" si="6"/>
        <v>#DIV/0!</v>
      </c>
      <c r="J46" s="100" t="e">
        <f>I46/100</f>
        <v>#DIV/0!</v>
      </c>
      <c r="K46" s="82"/>
      <c r="L46" s="82"/>
      <c r="M46" s="82"/>
      <c r="N46" s="82"/>
      <c r="O46" s="82"/>
      <c r="P46" s="82"/>
      <c r="Q46" s="82"/>
      <c r="R46" s="82"/>
      <c r="S46" s="70"/>
      <c r="T46" s="70"/>
      <c r="U46" s="70"/>
      <c r="V46" s="70"/>
      <c r="W46" s="70"/>
      <c r="X46" s="70"/>
      <c r="Y46" s="70"/>
      <c r="Z46" s="70"/>
      <c r="AA46" s="70"/>
      <c r="AB46" s="70"/>
      <c r="AC46" s="70"/>
      <c r="AD46" s="70"/>
      <c r="AE46" s="70"/>
      <c r="AF46" s="70"/>
      <c r="AG46" s="70"/>
      <c r="AH46" s="70"/>
      <c r="AI46" s="70"/>
      <c r="AJ46" s="70"/>
      <c r="AK46" s="70"/>
      <c r="AL46" s="70"/>
      <c r="AM46" s="70"/>
      <c r="AN46" s="70"/>
      <c r="AO46" s="70"/>
      <c r="AP46" s="70"/>
      <c r="AQ46" s="70"/>
      <c r="AR46" s="70"/>
      <c r="AS46" s="70"/>
      <c r="AT46" s="70"/>
      <c r="AU46" s="70"/>
      <c r="AV46" s="70"/>
      <c r="AW46" s="70"/>
      <c r="AX46" s="70"/>
      <c r="AY46" s="70"/>
      <c r="AZ46" s="70"/>
      <c r="BA46" s="70"/>
      <c r="BB46" s="70"/>
      <c r="BC46" s="70"/>
      <c r="BD46" s="70"/>
      <c r="BE46" s="70"/>
    </row>
    <row r="47" spans="1:57" s="16" customFormat="1" x14ac:dyDescent="0.25">
      <c r="A47" s="18"/>
      <c r="B47" s="18"/>
      <c r="C47" s="18"/>
      <c r="D47" s="18"/>
      <c r="E47" s="18"/>
      <c r="F47" s="18"/>
      <c r="G47" s="18"/>
      <c r="H47" s="99" t="e">
        <f t="shared" si="6"/>
        <v>#DIV/0!</v>
      </c>
      <c r="I47" s="99" t="e">
        <f t="shared" si="6"/>
        <v>#DIV/0!</v>
      </c>
      <c r="J47" s="100" t="e">
        <f>I47/100</f>
        <v>#DIV/0!</v>
      </c>
      <c r="K47" s="82"/>
      <c r="L47" s="82"/>
      <c r="M47" s="82"/>
      <c r="N47" s="82"/>
      <c r="O47" s="82"/>
      <c r="P47" s="82"/>
      <c r="Q47" s="82"/>
      <c r="R47" s="82"/>
      <c r="S47" s="70"/>
      <c r="T47" s="70"/>
      <c r="U47" s="70"/>
      <c r="V47" s="70"/>
      <c r="W47" s="70"/>
      <c r="X47" s="70"/>
      <c r="Y47" s="70"/>
      <c r="Z47" s="70"/>
      <c r="AA47" s="70"/>
      <c r="AB47" s="70"/>
      <c r="AC47" s="70"/>
      <c r="AD47" s="70"/>
      <c r="AE47" s="70"/>
      <c r="AF47" s="70"/>
      <c r="AG47" s="70"/>
      <c r="AH47" s="70"/>
      <c r="AI47" s="70"/>
      <c r="AJ47" s="70"/>
      <c r="AK47" s="70"/>
      <c r="AL47" s="70"/>
      <c r="AM47" s="70"/>
      <c r="AN47" s="70"/>
      <c r="AO47" s="70"/>
      <c r="AP47" s="70"/>
      <c r="AQ47" s="70"/>
      <c r="AR47" s="70"/>
      <c r="AS47" s="70"/>
      <c r="AT47" s="70"/>
      <c r="AU47" s="70"/>
      <c r="AV47" s="70"/>
      <c r="AW47" s="70"/>
      <c r="AX47" s="70"/>
      <c r="AY47" s="70"/>
      <c r="AZ47" s="70"/>
      <c r="BA47" s="70"/>
      <c r="BB47" s="70"/>
      <c r="BC47" s="70"/>
      <c r="BD47" s="70"/>
      <c r="BE47" s="70"/>
    </row>
    <row r="48" spans="1:57" s="16" customFormat="1" x14ac:dyDescent="0.25">
      <c r="A48" s="18"/>
      <c r="B48" s="18"/>
      <c r="C48" s="18"/>
      <c r="D48" s="18"/>
      <c r="E48" s="18"/>
      <c r="F48" s="18"/>
      <c r="G48" s="18"/>
      <c r="H48" s="99" t="e">
        <f t="shared" si="6"/>
        <v>#DIV/0!</v>
      </c>
      <c r="I48" s="99" t="e">
        <f t="shared" si="6"/>
        <v>#DIV/0!</v>
      </c>
      <c r="J48" s="100" t="e">
        <f>I48/100</f>
        <v>#DIV/0!</v>
      </c>
      <c r="K48" s="82"/>
      <c r="L48" s="82"/>
      <c r="M48" s="82"/>
      <c r="N48" s="82"/>
      <c r="O48" s="82"/>
      <c r="P48" s="82"/>
      <c r="Q48" s="82"/>
      <c r="R48" s="82"/>
      <c r="S48" s="70"/>
      <c r="T48" s="70"/>
      <c r="U48" s="70"/>
      <c r="V48" s="70"/>
      <c r="W48" s="70"/>
      <c r="X48" s="70"/>
      <c r="Y48" s="70"/>
      <c r="Z48" s="70"/>
      <c r="AA48" s="70"/>
      <c r="AB48" s="70"/>
      <c r="AC48" s="70"/>
      <c r="AD48" s="70"/>
      <c r="AE48" s="70"/>
      <c r="AF48" s="70"/>
      <c r="AG48" s="70"/>
      <c r="AH48" s="70"/>
      <c r="AI48" s="70"/>
      <c r="AJ48" s="70"/>
      <c r="AK48" s="70"/>
      <c r="AL48" s="70"/>
      <c r="AM48" s="70"/>
      <c r="AN48" s="70"/>
      <c r="AO48" s="70"/>
      <c r="AP48" s="70"/>
      <c r="AQ48" s="70"/>
      <c r="AR48" s="70"/>
      <c r="AS48" s="70"/>
      <c r="AT48" s="70"/>
      <c r="AU48" s="70"/>
      <c r="AV48" s="70"/>
      <c r="AW48" s="70"/>
      <c r="AX48" s="70"/>
      <c r="AY48" s="70"/>
      <c r="AZ48" s="70"/>
      <c r="BA48" s="70"/>
      <c r="BB48" s="70"/>
      <c r="BC48" s="70"/>
      <c r="BD48" s="70"/>
      <c r="BE48" s="70"/>
    </row>
    <row r="49" spans="1:57" s="16" customFormat="1" x14ac:dyDescent="0.25">
      <c r="A49" s="18"/>
      <c r="B49" s="18"/>
      <c r="C49" s="18"/>
      <c r="D49" s="18"/>
      <c r="E49" s="18"/>
      <c r="F49" s="18"/>
      <c r="G49" s="18"/>
      <c r="H49" s="96"/>
      <c r="I49" s="96"/>
      <c r="J49" s="18"/>
      <c r="K49" s="82"/>
      <c r="L49" s="82"/>
      <c r="M49" s="82"/>
      <c r="N49" s="82"/>
      <c r="O49" s="82"/>
      <c r="P49" s="82"/>
      <c r="Q49" s="82"/>
      <c r="R49" s="82"/>
      <c r="S49" s="70"/>
      <c r="T49" s="70"/>
      <c r="U49" s="70"/>
      <c r="V49" s="70"/>
      <c r="W49" s="70"/>
      <c r="X49" s="70"/>
      <c r="Y49" s="70"/>
      <c r="Z49" s="70"/>
      <c r="AA49" s="70"/>
      <c r="AB49" s="70"/>
      <c r="AC49" s="70"/>
      <c r="AD49" s="70"/>
      <c r="AE49" s="70"/>
      <c r="AF49" s="70"/>
      <c r="AG49" s="70"/>
      <c r="AH49" s="70"/>
      <c r="AI49" s="70"/>
      <c r="AJ49" s="70"/>
      <c r="AK49" s="70"/>
      <c r="AL49" s="70"/>
      <c r="AM49" s="70"/>
      <c r="AN49" s="70"/>
      <c r="AO49" s="70"/>
      <c r="AP49" s="70"/>
      <c r="AQ49" s="70"/>
      <c r="AR49" s="70"/>
      <c r="AS49" s="70"/>
      <c r="AT49" s="70"/>
      <c r="AU49" s="70"/>
      <c r="AV49" s="70"/>
      <c r="AW49" s="70"/>
      <c r="AX49" s="70"/>
      <c r="AY49" s="70"/>
      <c r="AZ49" s="70"/>
      <c r="BA49" s="70"/>
      <c r="BB49" s="70"/>
      <c r="BC49" s="70"/>
      <c r="BD49" s="70"/>
      <c r="BE49" s="70"/>
    </row>
    <row r="50" spans="1:57" s="16" customFormat="1" x14ac:dyDescent="0.25">
      <c r="A50" s="18"/>
      <c r="B50" s="18"/>
      <c r="C50" s="18"/>
      <c r="D50" s="18"/>
      <c r="E50" s="18"/>
      <c r="F50" s="18"/>
      <c r="G50" s="18"/>
      <c r="H50" s="96"/>
      <c r="I50" s="96"/>
      <c r="J50" s="18"/>
      <c r="K50" s="82"/>
      <c r="L50" s="82"/>
      <c r="M50" s="82"/>
      <c r="N50" s="82"/>
      <c r="O50" s="82"/>
      <c r="P50" s="82"/>
      <c r="Q50" s="82"/>
      <c r="R50" s="82"/>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c r="AZ50" s="70"/>
      <c r="BA50" s="70"/>
      <c r="BB50" s="70"/>
      <c r="BC50" s="70"/>
      <c r="BD50" s="70"/>
      <c r="BE50" s="70"/>
    </row>
    <row r="51" spans="1:57" s="16" customFormat="1" x14ac:dyDescent="0.25">
      <c r="A51" s="18"/>
      <c r="B51" s="18"/>
      <c r="C51" s="18"/>
      <c r="D51" s="18"/>
      <c r="E51" s="18"/>
      <c r="F51" s="18"/>
      <c r="G51" s="18"/>
      <c r="H51" s="18"/>
      <c r="I51" s="18"/>
      <c r="J51" s="18"/>
      <c r="K51" s="82"/>
      <c r="L51" s="82"/>
      <c r="M51" s="82"/>
      <c r="N51" s="82"/>
      <c r="O51" s="82"/>
      <c r="P51" s="82"/>
      <c r="Q51" s="82"/>
      <c r="R51" s="82"/>
      <c r="S51" s="70"/>
      <c r="T51" s="70"/>
      <c r="U51" s="70"/>
      <c r="V51" s="70"/>
      <c r="W51" s="70"/>
      <c r="X51" s="70"/>
      <c r="Y51" s="70"/>
      <c r="Z51" s="70"/>
      <c r="AA51" s="70"/>
      <c r="AB51" s="70"/>
      <c r="AC51" s="70"/>
      <c r="AD51" s="70"/>
      <c r="AE51" s="70"/>
      <c r="AF51" s="70"/>
      <c r="AG51" s="70"/>
      <c r="AH51" s="70"/>
      <c r="AI51" s="70"/>
      <c r="AJ51" s="70"/>
      <c r="AK51" s="70"/>
      <c r="AL51" s="70"/>
      <c r="AM51" s="70"/>
      <c r="AN51" s="70"/>
      <c r="AO51" s="70"/>
      <c r="AP51" s="70"/>
      <c r="AQ51" s="70"/>
      <c r="AR51" s="70"/>
      <c r="AS51" s="70"/>
      <c r="AT51" s="70"/>
      <c r="AU51" s="70"/>
      <c r="AV51" s="70"/>
      <c r="AW51" s="70"/>
      <c r="AX51" s="70"/>
      <c r="AY51" s="70"/>
      <c r="AZ51" s="70"/>
      <c r="BA51" s="70"/>
      <c r="BB51" s="70"/>
      <c r="BC51" s="70"/>
      <c r="BD51" s="70"/>
      <c r="BE51" s="70"/>
    </row>
    <row r="52" spans="1:57" s="16" customFormat="1" x14ac:dyDescent="0.25">
      <c r="A52" s="18"/>
      <c r="B52" s="18"/>
      <c r="C52" s="18"/>
      <c r="D52" s="18"/>
      <c r="E52" s="18"/>
      <c r="F52" s="18"/>
      <c r="G52" s="18"/>
      <c r="H52" s="18"/>
      <c r="I52" s="18"/>
      <c r="J52" s="18"/>
      <c r="K52" s="82"/>
      <c r="L52" s="82"/>
      <c r="M52" s="82"/>
      <c r="N52" s="82"/>
      <c r="O52" s="82"/>
      <c r="P52" s="82"/>
      <c r="Q52" s="82"/>
      <c r="R52" s="82"/>
      <c r="S52" s="70"/>
      <c r="T52" s="70"/>
      <c r="U52" s="70"/>
      <c r="V52" s="70"/>
      <c r="W52" s="70"/>
      <c r="X52" s="70"/>
      <c r="Y52" s="70"/>
      <c r="Z52" s="70"/>
      <c r="AA52" s="70"/>
      <c r="AB52" s="70"/>
      <c r="AC52" s="70"/>
      <c r="AD52" s="70"/>
      <c r="AE52" s="70"/>
      <c r="AF52" s="70"/>
      <c r="AG52" s="70"/>
      <c r="AH52" s="70"/>
      <c r="AI52" s="70"/>
      <c r="AJ52" s="70"/>
      <c r="AK52" s="70"/>
      <c r="AL52" s="70"/>
      <c r="AM52" s="70"/>
      <c r="AN52" s="70"/>
      <c r="AO52" s="70"/>
      <c r="AP52" s="70"/>
      <c r="AQ52" s="70"/>
      <c r="AR52" s="70"/>
      <c r="AS52" s="70"/>
      <c r="AT52" s="70"/>
      <c r="AU52" s="70"/>
      <c r="AV52" s="70"/>
      <c r="AW52" s="70"/>
      <c r="AX52" s="70"/>
      <c r="AY52" s="70"/>
      <c r="AZ52" s="70"/>
      <c r="BA52" s="70"/>
      <c r="BB52" s="70"/>
      <c r="BC52" s="70"/>
      <c r="BD52" s="70"/>
      <c r="BE52" s="70"/>
    </row>
    <row r="53" spans="1:57" s="16" customFormat="1" x14ac:dyDescent="0.25">
      <c r="A53" s="18"/>
      <c r="B53" s="18"/>
      <c r="C53" s="18"/>
      <c r="D53" s="18"/>
      <c r="E53" s="18"/>
      <c r="F53" s="18"/>
      <c r="G53" s="18"/>
      <c r="H53" s="18"/>
      <c r="I53" s="18"/>
      <c r="J53" s="18"/>
      <c r="K53" s="82"/>
      <c r="L53" s="82"/>
      <c r="M53" s="82"/>
      <c r="N53" s="82"/>
      <c r="O53" s="82"/>
      <c r="P53" s="82"/>
      <c r="Q53" s="82"/>
      <c r="R53" s="82"/>
      <c r="S53" s="70"/>
      <c r="T53" s="70"/>
      <c r="U53" s="70"/>
      <c r="V53" s="70"/>
      <c r="W53" s="70"/>
      <c r="X53" s="70"/>
      <c r="Y53" s="70"/>
      <c r="Z53" s="70"/>
      <c r="AA53" s="70"/>
      <c r="AB53" s="70"/>
      <c r="AC53" s="70"/>
      <c r="AD53" s="70"/>
      <c r="AE53" s="70"/>
      <c r="AF53" s="70"/>
      <c r="AG53" s="70"/>
      <c r="AH53" s="70"/>
      <c r="AI53" s="70"/>
      <c r="AJ53" s="70"/>
      <c r="AK53" s="70"/>
      <c r="AL53" s="70"/>
      <c r="AM53" s="70"/>
      <c r="AN53" s="70"/>
      <c r="AO53" s="70"/>
      <c r="AP53" s="70"/>
      <c r="AQ53" s="70"/>
      <c r="AR53" s="70"/>
      <c r="AS53" s="70"/>
      <c r="AT53" s="70"/>
      <c r="AU53" s="70"/>
      <c r="AV53" s="70"/>
      <c r="AW53" s="70"/>
      <c r="AX53" s="70"/>
      <c r="AY53" s="70"/>
      <c r="AZ53" s="70"/>
      <c r="BA53" s="70"/>
      <c r="BB53" s="70"/>
      <c r="BC53" s="70"/>
      <c r="BD53" s="70"/>
      <c r="BE53" s="70"/>
    </row>
    <row r="54" spans="1:57" s="16" customFormat="1" x14ac:dyDescent="0.25">
      <c r="A54" s="18"/>
      <c r="B54" s="18"/>
      <c r="C54" s="18"/>
      <c r="D54" s="18"/>
      <c r="E54" s="18"/>
      <c r="F54" s="18"/>
      <c r="G54" s="18"/>
      <c r="H54" s="18"/>
      <c r="I54" s="18"/>
      <c r="J54" s="18"/>
      <c r="K54" s="82"/>
      <c r="L54" s="82"/>
      <c r="M54" s="82"/>
      <c r="N54" s="82"/>
      <c r="O54" s="82"/>
      <c r="P54" s="82"/>
      <c r="Q54" s="82"/>
      <c r="R54" s="82"/>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70"/>
      <c r="AU54" s="70"/>
      <c r="AV54" s="70"/>
      <c r="AW54" s="70"/>
      <c r="AX54" s="70"/>
      <c r="AY54" s="70"/>
      <c r="AZ54" s="70"/>
      <c r="BA54" s="70"/>
      <c r="BB54" s="70"/>
      <c r="BC54" s="70"/>
      <c r="BD54" s="70"/>
      <c r="BE54" s="70"/>
    </row>
    <row r="55" spans="1:57" s="16" customFormat="1" x14ac:dyDescent="0.25">
      <c r="A55" s="18"/>
      <c r="B55" s="18"/>
      <c r="C55" s="18"/>
      <c r="D55" s="18"/>
      <c r="E55" s="18"/>
      <c r="F55" s="18"/>
      <c r="G55" s="18"/>
      <c r="H55" s="18"/>
      <c r="I55" s="18"/>
      <c r="J55" s="18"/>
      <c r="K55" s="82"/>
      <c r="L55" s="82"/>
      <c r="M55" s="82"/>
      <c r="N55" s="82"/>
      <c r="O55" s="82"/>
      <c r="P55" s="82"/>
      <c r="Q55" s="82"/>
      <c r="R55" s="82"/>
      <c r="S55" s="70"/>
      <c r="T55" s="70"/>
      <c r="U55" s="70"/>
      <c r="V55" s="70"/>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0"/>
      <c r="AW55" s="70"/>
      <c r="AX55" s="70"/>
      <c r="AY55" s="70"/>
      <c r="AZ55" s="70"/>
      <c r="BA55" s="70"/>
      <c r="BB55" s="70"/>
      <c r="BC55" s="70"/>
      <c r="BD55" s="70"/>
      <c r="BE55" s="70"/>
    </row>
    <row r="56" spans="1:57" s="16" customFormat="1" x14ac:dyDescent="0.25">
      <c r="A56" s="18"/>
      <c r="B56" s="18"/>
      <c r="C56" s="18"/>
      <c r="D56" s="18"/>
      <c r="E56" s="18"/>
      <c r="F56" s="18"/>
      <c r="G56" s="18"/>
      <c r="H56" s="18"/>
      <c r="I56" s="18"/>
      <c r="J56" s="18"/>
      <c r="K56" s="82"/>
      <c r="L56" s="82"/>
      <c r="M56" s="82"/>
      <c r="N56" s="82"/>
      <c r="O56" s="82"/>
      <c r="P56" s="82"/>
      <c r="Q56" s="82"/>
      <c r="R56" s="82"/>
      <c r="S56" s="70"/>
      <c r="T56" s="70"/>
      <c r="U56" s="70"/>
      <c r="V56" s="70"/>
      <c r="W56" s="70"/>
      <c r="X56" s="70"/>
      <c r="Y56" s="70"/>
      <c r="Z56" s="70"/>
      <c r="AA56" s="70"/>
      <c r="AB56" s="70"/>
      <c r="AC56" s="70"/>
      <c r="AD56" s="70"/>
      <c r="AE56" s="70"/>
      <c r="AF56" s="70"/>
      <c r="AG56" s="70"/>
      <c r="AH56" s="70"/>
      <c r="AI56" s="70"/>
      <c r="AJ56" s="70"/>
      <c r="AK56" s="70"/>
      <c r="AL56" s="70"/>
      <c r="AM56" s="70"/>
      <c r="AN56" s="70"/>
      <c r="AO56" s="70"/>
      <c r="AP56" s="70"/>
      <c r="AQ56" s="70"/>
      <c r="AR56" s="70"/>
      <c r="AS56" s="70"/>
      <c r="AT56" s="70"/>
      <c r="AU56" s="70"/>
      <c r="AV56" s="70"/>
      <c r="AW56" s="70"/>
      <c r="AX56" s="70"/>
      <c r="AY56" s="70"/>
      <c r="AZ56" s="70"/>
      <c r="BA56" s="70"/>
      <c r="BB56" s="70"/>
      <c r="BC56" s="70"/>
      <c r="BD56" s="70"/>
      <c r="BE56" s="70"/>
    </row>
    <row r="57" spans="1:57" s="16" customFormat="1" x14ac:dyDescent="0.25">
      <c r="A57" s="18"/>
      <c r="B57" s="18"/>
      <c r="C57" s="18"/>
      <c r="D57" s="18"/>
      <c r="E57" s="18"/>
      <c r="F57" s="18"/>
      <c r="G57" s="18"/>
      <c r="H57" s="18"/>
      <c r="I57" s="18"/>
      <c r="J57" s="18"/>
      <c r="K57" s="82"/>
      <c r="L57" s="82"/>
      <c r="M57" s="82"/>
      <c r="N57" s="82"/>
      <c r="O57" s="82"/>
      <c r="P57" s="82"/>
      <c r="Q57" s="82"/>
      <c r="R57" s="82"/>
      <c r="S57" s="70"/>
      <c r="T57" s="70"/>
      <c r="U57" s="70"/>
      <c r="V57" s="70"/>
      <c r="W57" s="70"/>
      <c r="X57" s="70"/>
      <c r="Y57" s="70"/>
      <c r="Z57" s="70"/>
      <c r="AA57" s="70"/>
      <c r="AB57" s="70"/>
      <c r="AC57" s="70"/>
      <c r="AD57" s="70"/>
      <c r="AE57" s="70"/>
      <c r="AF57" s="70"/>
      <c r="AG57" s="70"/>
      <c r="AH57" s="70"/>
      <c r="AI57" s="70"/>
      <c r="AJ57" s="70"/>
      <c r="AK57" s="70"/>
      <c r="AL57" s="70"/>
      <c r="AM57" s="70"/>
      <c r="AN57" s="70"/>
      <c r="AO57" s="70"/>
      <c r="AP57" s="70"/>
      <c r="AQ57" s="70"/>
      <c r="AR57" s="70"/>
      <c r="AS57" s="70"/>
      <c r="AT57" s="70"/>
      <c r="AU57" s="70"/>
      <c r="AV57" s="70"/>
      <c r="AW57" s="70"/>
      <c r="AX57" s="70"/>
      <c r="AY57" s="70"/>
      <c r="AZ57" s="70"/>
      <c r="BA57" s="70"/>
      <c r="BB57" s="70"/>
      <c r="BC57" s="70"/>
      <c r="BD57" s="70"/>
      <c r="BE57" s="70"/>
    </row>
    <row r="58" spans="1:57" s="16" customFormat="1" x14ac:dyDescent="0.25">
      <c r="A58" s="18"/>
      <c r="B58" s="18"/>
      <c r="C58" s="18"/>
      <c r="D58" s="18"/>
      <c r="E58" s="18"/>
      <c r="F58" s="18"/>
      <c r="G58" s="18"/>
      <c r="H58" s="18"/>
      <c r="I58" s="18"/>
      <c r="J58" s="18"/>
      <c r="K58" s="82"/>
      <c r="L58" s="82"/>
      <c r="M58" s="82"/>
      <c r="N58" s="82"/>
      <c r="O58" s="82"/>
      <c r="P58" s="82"/>
      <c r="Q58" s="82"/>
      <c r="R58" s="82"/>
      <c r="S58" s="70"/>
      <c r="T58" s="70"/>
      <c r="U58" s="70"/>
      <c r="V58" s="70"/>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c r="BA58" s="70"/>
      <c r="BB58" s="70"/>
      <c r="BC58" s="70"/>
      <c r="BD58" s="70"/>
      <c r="BE58" s="70"/>
    </row>
    <row r="59" spans="1:57" s="16" customFormat="1" x14ac:dyDescent="0.25">
      <c r="A59" s="18"/>
      <c r="B59" s="18"/>
      <c r="C59" s="18"/>
      <c r="D59" s="18"/>
      <c r="E59" s="18"/>
      <c r="F59" s="18"/>
      <c r="G59" s="18"/>
      <c r="H59" s="18"/>
      <c r="I59" s="18"/>
      <c r="J59" s="18"/>
      <c r="K59" s="82"/>
      <c r="L59" s="82"/>
      <c r="M59" s="82"/>
      <c r="N59" s="82"/>
      <c r="O59" s="82"/>
      <c r="P59" s="82"/>
      <c r="Q59" s="82"/>
      <c r="R59" s="82"/>
      <c r="S59" s="70"/>
      <c r="T59" s="70"/>
      <c r="U59" s="70"/>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c r="BA59" s="70"/>
      <c r="BB59" s="70"/>
      <c r="BC59" s="70"/>
      <c r="BD59" s="70"/>
      <c r="BE59" s="70"/>
    </row>
    <row r="60" spans="1:57" s="16" customFormat="1" x14ac:dyDescent="0.25">
      <c r="A60" s="18"/>
      <c r="B60" s="18"/>
      <c r="C60" s="18"/>
      <c r="D60" s="18"/>
      <c r="E60" s="18"/>
      <c r="F60" s="18"/>
      <c r="G60" s="18"/>
      <c r="H60" s="18"/>
      <c r="I60" s="18"/>
      <c r="J60" s="18"/>
      <c r="K60" s="82"/>
      <c r="L60" s="82"/>
      <c r="M60" s="82"/>
      <c r="N60" s="82"/>
      <c r="O60" s="82"/>
      <c r="P60" s="82"/>
      <c r="Q60" s="82"/>
      <c r="R60" s="82"/>
      <c r="S60" s="70"/>
      <c r="T60" s="70"/>
      <c r="U60" s="70"/>
      <c r="V60" s="70"/>
      <c r="W60" s="70"/>
      <c r="X60" s="70"/>
      <c r="Y60" s="70"/>
      <c r="Z60" s="70"/>
      <c r="AA60" s="70"/>
      <c r="AB60" s="70"/>
      <c r="AC60" s="70"/>
      <c r="AD60" s="70"/>
      <c r="AE60" s="70"/>
      <c r="AF60" s="70"/>
      <c r="AG60" s="70"/>
      <c r="AH60" s="70"/>
      <c r="AI60" s="70"/>
      <c r="AJ60" s="70"/>
      <c r="AK60" s="70"/>
      <c r="AL60" s="70"/>
      <c r="AM60" s="70"/>
      <c r="AN60" s="70"/>
      <c r="AO60" s="70"/>
      <c r="AP60" s="70"/>
      <c r="AQ60" s="70"/>
      <c r="AR60" s="70"/>
      <c r="AS60" s="70"/>
      <c r="AT60" s="70"/>
      <c r="AU60" s="70"/>
      <c r="AV60" s="70"/>
      <c r="AW60" s="70"/>
      <c r="AX60" s="70"/>
      <c r="AY60" s="70"/>
      <c r="AZ60" s="70"/>
      <c r="BA60" s="70"/>
      <c r="BB60" s="70"/>
      <c r="BC60" s="70"/>
      <c r="BD60" s="70"/>
      <c r="BE60" s="70"/>
    </row>
    <row r="61" spans="1:57" s="16" customFormat="1" x14ac:dyDescent="0.25">
      <c r="A61" s="18"/>
      <c r="B61" s="18"/>
      <c r="C61" s="18"/>
      <c r="D61" s="18"/>
      <c r="E61" s="18"/>
      <c r="F61" s="18"/>
      <c r="G61" s="18"/>
      <c r="H61" s="18"/>
      <c r="I61" s="18"/>
      <c r="J61" s="18"/>
      <c r="K61" s="82"/>
      <c r="L61" s="82"/>
      <c r="M61" s="82"/>
      <c r="N61" s="82"/>
      <c r="O61" s="82"/>
      <c r="P61" s="82"/>
      <c r="Q61" s="82"/>
      <c r="R61" s="82"/>
      <c r="S61" s="70"/>
      <c r="T61" s="70"/>
      <c r="U61" s="70"/>
      <c r="V61" s="70"/>
      <c r="W61" s="70"/>
      <c r="X61" s="70"/>
      <c r="Y61" s="70"/>
      <c r="Z61" s="70"/>
      <c r="AA61" s="70"/>
      <c r="AB61" s="70"/>
      <c r="AC61" s="70"/>
      <c r="AD61" s="70"/>
      <c r="AE61" s="70"/>
      <c r="AF61" s="70"/>
      <c r="AG61" s="70"/>
      <c r="AH61" s="70"/>
      <c r="AI61" s="70"/>
      <c r="AJ61" s="70"/>
      <c r="AK61" s="70"/>
      <c r="AL61" s="70"/>
      <c r="AM61" s="70"/>
      <c r="AN61" s="70"/>
      <c r="AO61" s="70"/>
      <c r="AP61" s="70"/>
      <c r="AQ61" s="70"/>
      <c r="AR61" s="70"/>
      <c r="AS61" s="70"/>
      <c r="AT61" s="70"/>
      <c r="AU61" s="70"/>
      <c r="AV61" s="70"/>
      <c r="AW61" s="70"/>
      <c r="AX61" s="70"/>
      <c r="AY61" s="70"/>
      <c r="AZ61" s="70"/>
      <c r="BA61" s="70"/>
      <c r="BB61" s="70"/>
      <c r="BC61" s="70"/>
      <c r="BD61" s="70"/>
      <c r="BE61" s="70"/>
    </row>
    <row r="62" spans="1:57" s="16" customFormat="1" x14ac:dyDescent="0.25">
      <c r="A62" s="18"/>
      <c r="B62" s="18"/>
      <c r="C62" s="18"/>
      <c r="D62" s="18"/>
      <c r="E62" s="18"/>
      <c r="F62" s="18"/>
      <c r="G62" s="18"/>
      <c r="H62" s="18"/>
      <c r="I62" s="18"/>
      <c r="J62" s="18"/>
      <c r="K62" s="82"/>
      <c r="L62" s="82"/>
      <c r="M62" s="82"/>
      <c r="N62" s="82"/>
      <c r="O62" s="82"/>
      <c r="P62" s="82"/>
      <c r="Q62" s="82"/>
      <c r="R62" s="82"/>
      <c r="S62" s="70"/>
      <c r="T62" s="70"/>
      <c r="U62" s="70"/>
      <c r="V62" s="70"/>
      <c r="W62" s="70"/>
      <c r="X62" s="70"/>
      <c r="Y62" s="70"/>
      <c r="Z62" s="70"/>
      <c r="AA62" s="70"/>
      <c r="AB62" s="70"/>
      <c r="AC62" s="70"/>
      <c r="AD62" s="70"/>
      <c r="AE62" s="70"/>
      <c r="AF62" s="70"/>
      <c r="AG62" s="70"/>
      <c r="AH62" s="70"/>
      <c r="AI62" s="70"/>
      <c r="AJ62" s="70"/>
      <c r="AK62" s="70"/>
      <c r="AL62" s="70"/>
      <c r="AM62" s="70"/>
      <c r="AN62" s="70"/>
      <c r="AO62" s="70"/>
      <c r="AP62" s="70"/>
      <c r="AQ62" s="70"/>
      <c r="AR62" s="70"/>
      <c r="AS62" s="70"/>
      <c r="AT62" s="70"/>
      <c r="AU62" s="70"/>
      <c r="AV62" s="70"/>
      <c r="AW62" s="70"/>
      <c r="AX62" s="70"/>
      <c r="AY62" s="70"/>
      <c r="AZ62" s="70"/>
      <c r="BA62" s="70"/>
      <c r="BB62" s="70"/>
      <c r="BC62" s="70"/>
      <c r="BD62" s="70"/>
      <c r="BE62" s="70"/>
    </row>
    <row r="63" spans="1:57" s="16" customFormat="1" x14ac:dyDescent="0.25">
      <c r="A63" s="18"/>
      <c r="B63" s="18"/>
      <c r="C63" s="18"/>
      <c r="D63" s="18"/>
      <c r="E63" s="18"/>
      <c r="F63" s="18"/>
      <c r="G63" s="18"/>
      <c r="H63" s="18"/>
      <c r="I63" s="18"/>
      <c r="J63" s="18"/>
      <c r="K63" s="82"/>
      <c r="L63" s="82"/>
      <c r="M63" s="82"/>
      <c r="N63" s="82"/>
      <c r="O63" s="82"/>
      <c r="P63" s="82"/>
      <c r="Q63" s="82"/>
      <c r="R63" s="82"/>
      <c r="S63" s="70"/>
      <c r="T63" s="70"/>
      <c r="U63" s="70"/>
      <c r="V63" s="70"/>
      <c r="W63" s="70"/>
      <c r="X63" s="70"/>
      <c r="Y63" s="70"/>
      <c r="Z63" s="70"/>
      <c r="AA63" s="70"/>
      <c r="AB63" s="70"/>
      <c r="AC63" s="70"/>
      <c r="AD63" s="70"/>
      <c r="AE63" s="70"/>
      <c r="AF63" s="70"/>
      <c r="AG63" s="70"/>
      <c r="AH63" s="70"/>
      <c r="AI63" s="70"/>
      <c r="AJ63" s="70"/>
      <c r="AK63" s="70"/>
      <c r="AL63" s="70"/>
      <c r="AM63" s="70"/>
      <c r="AN63" s="70"/>
      <c r="AO63" s="70"/>
      <c r="AP63" s="70"/>
      <c r="AQ63" s="70"/>
      <c r="AR63" s="70"/>
      <c r="AS63" s="70"/>
      <c r="AT63" s="70"/>
      <c r="AU63" s="70"/>
      <c r="AV63" s="70"/>
      <c r="AW63" s="70"/>
      <c r="AX63" s="70"/>
      <c r="AY63" s="70"/>
      <c r="AZ63" s="70"/>
      <c r="BA63" s="70"/>
      <c r="BB63" s="70"/>
      <c r="BC63" s="70"/>
      <c r="BD63" s="70"/>
      <c r="BE63" s="70"/>
    </row>
    <row r="64" spans="1:57" s="16" customFormat="1" x14ac:dyDescent="0.25">
      <c r="A64" s="18"/>
      <c r="B64" s="18"/>
      <c r="C64" s="18"/>
      <c r="D64" s="18"/>
      <c r="E64" s="18"/>
      <c r="F64" s="18"/>
      <c r="G64" s="18"/>
      <c r="H64" s="18"/>
      <c r="I64" s="18"/>
      <c r="J64" s="18"/>
      <c r="K64" s="82"/>
      <c r="L64" s="82"/>
      <c r="M64" s="82"/>
      <c r="N64" s="82"/>
      <c r="O64" s="82"/>
      <c r="P64" s="82"/>
      <c r="Q64" s="82"/>
      <c r="R64" s="82"/>
      <c r="S64" s="70"/>
      <c r="T64" s="70"/>
      <c r="U64" s="70"/>
      <c r="V64" s="70"/>
      <c r="W64" s="70"/>
      <c r="X64" s="70"/>
      <c r="Y64" s="70"/>
      <c r="Z64" s="70"/>
      <c r="AA64" s="70"/>
      <c r="AB64" s="70"/>
      <c r="AC64" s="70"/>
      <c r="AD64" s="70"/>
      <c r="AE64" s="70"/>
      <c r="AF64" s="70"/>
      <c r="AG64" s="70"/>
      <c r="AH64" s="70"/>
      <c r="AI64" s="70"/>
      <c r="AJ64" s="70"/>
      <c r="AK64" s="70"/>
      <c r="AL64" s="70"/>
      <c r="AM64" s="70"/>
      <c r="AN64" s="70"/>
      <c r="AO64" s="70"/>
      <c r="AP64" s="70"/>
      <c r="AQ64" s="70"/>
      <c r="AR64" s="70"/>
      <c r="AS64" s="70"/>
      <c r="AT64" s="70"/>
      <c r="AU64" s="70"/>
      <c r="AV64" s="70"/>
      <c r="AW64" s="70"/>
      <c r="AX64" s="70"/>
      <c r="AY64" s="70"/>
      <c r="AZ64" s="70"/>
      <c r="BA64" s="70"/>
      <c r="BB64" s="70"/>
      <c r="BC64" s="70"/>
      <c r="BD64" s="70"/>
      <c r="BE64" s="70"/>
    </row>
    <row r="65" spans="1:57" s="16" customFormat="1" x14ac:dyDescent="0.25">
      <c r="A65" s="18"/>
      <c r="B65" s="18"/>
      <c r="C65" s="18"/>
      <c r="D65" s="18"/>
      <c r="E65" s="18"/>
      <c r="F65" s="18"/>
      <c r="G65" s="18"/>
      <c r="H65" s="18"/>
      <c r="I65" s="18"/>
      <c r="J65" s="18"/>
      <c r="K65" s="82"/>
      <c r="L65" s="82"/>
      <c r="M65" s="82"/>
      <c r="N65" s="82"/>
      <c r="O65" s="82"/>
      <c r="P65" s="82"/>
      <c r="Q65" s="82"/>
      <c r="R65" s="82"/>
      <c r="S65" s="70"/>
      <c r="T65" s="70"/>
      <c r="U65" s="70"/>
      <c r="V65" s="70"/>
      <c r="W65" s="70"/>
      <c r="X65" s="70"/>
      <c r="Y65" s="70"/>
      <c r="Z65" s="70"/>
      <c r="AA65" s="70"/>
      <c r="AB65" s="70"/>
      <c r="AC65" s="70"/>
      <c r="AD65" s="70"/>
      <c r="AE65" s="70"/>
      <c r="AF65" s="70"/>
      <c r="AG65" s="70"/>
      <c r="AH65" s="70"/>
      <c r="AI65" s="70"/>
      <c r="AJ65" s="70"/>
      <c r="AK65" s="70"/>
      <c r="AL65" s="70"/>
      <c r="AM65" s="70"/>
      <c r="AN65" s="70"/>
      <c r="AO65" s="70"/>
      <c r="AP65" s="70"/>
      <c r="AQ65" s="70"/>
      <c r="AR65" s="70"/>
      <c r="AS65" s="70"/>
      <c r="AT65" s="70"/>
      <c r="AU65" s="70"/>
      <c r="AV65" s="70"/>
      <c r="AW65" s="70"/>
      <c r="AX65" s="70"/>
      <c r="AY65" s="70"/>
      <c r="AZ65" s="70"/>
      <c r="BA65" s="70"/>
      <c r="BB65" s="70"/>
      <c r="BC65" s="70"/>
      <c r="BD65" s="70"/>
      <c r="BE65" s="70"/>
    </row>
    <row r="66" spans="1:57" s="16" customFormat="1" x14ac:dyDescent="0.25">
      <c r="A66" s="18"/>
      <c r="B66" s="18"/>
      <c r="C66" s="18"/>
      <c r="D66" s="18"/>
      <c r="E66" s="18"/>
      <c r="F66" s="18"/>
      <c r="G66" s="18"/>
      <c r="H66" s="18"/>
      <c r="I66" s="18"/>
      <c r="J66" s="18"/>
      <c r="K66" s="82"/>
      <c r="L66" s="82"/>
      <c r="M66" s="82"/>
      <c r="N66" s="82"/>
      <c r="O66" s="82"/>
      <c r="P66" s="82"/>
      <c r="Q66" s="82"/>
      <c r="R66" s="82"/>
      <c r="S66" s="70"/>
      <c r="T66" s="70"/>
      <c r="U66" s="70"/>
      <c r="V66" s="70"/>
      <c r="W66" s="70"/>
      <c r="X66" s="70"/>
      <c r="Y66" s="70"/>
      <c r="Z66" s="70"/>
      <c r="AA66" s="70"/>
      <c r="AB66" s="70"/>
      <c r="AC66" s="70"/>
      <c r="AD66" s="70"/>
      <c r="AE66" s="70"/>
      <c r="AF66" s="70"/>
      <c r="AG66" s="70"/>
      <c r="AH66" s="70"/>
      <c r="AI66" s="70"/>
      <c r="AJ66" s="70"/>
      <c r="AK66" s="70"/>
      <c r="AL66" s="70"/>
      <c r="AM66" s="70"/>
      <c r="AN66" s="70"/>
      <c r="AO66" s="70"/>
      <c r="AP66" s="70"/>
      <c r="AQ66" s="70"/>
      <c r="AR66" s="70"/>
      <c r="AS66" s="70"/>
      <c r="AT66" s="70"/>
      <c r="AU66" s="70"/>
      <c r="AV66" s="70"/>
      <c r="AW66" s="70"/>
      <c r="AX66" s="70"/>
      <c r="AY66" s="70"/>
      <c r="AZ66" s="70"/>
      <c r="BA66" s="70"/>
      <c r="BB66" s="70"/>
      <c r="BC66" s="70"/>
      <c r="BD66" s="70"/>
      <c r="BE66" s="70"/>
    </row>
    <row r="67" spans="1:57" s="16" customFormat="1" x14ac:dyDescent="0.25">
      <c r="A67" s="18"/>
      <c r="B67" s="18"/>
      <c r="C67" s="18"/>
      <c r="D67" s="18"/>
      <c r="E67" s="18"/>
      <c r="F67" s="18"/>
      <c r="G67" s="18"/>
      <c r="H67" s="18"/>
      <c r="I67" s="18"/>
      <c r="J67" s="18"/>
      <c r="K67" s="82"/>
      <c r="L67" s="82"/>
      <c r="M67" s="82"/>
      <c r="N67" s="82"/>
      <c r="O67" s="82"/>
      <c r="P67" s="82"/>
      <c r="Q67" s="82"/>
      <c r="R67" s="82"/>
      <c r="S67" s="70"/>
      <c r="T67" s="70"/>
      <c r="U67" s="70"/>
      <c r="V67" s="70"/>
      <c r="W67" s="70"/>
      <c r="X67" s="70"/>
      <c r="Y67" s="70"/>
      <c r="Z67" s="70"/>
      <c r="AA67" s="70"/>
      <c r="AB67" s="70"/>
      <c r="AC67" s="70"/>
      <c r="AD67" s="70"/>
      <c r="AE67" s="70"/>
      <c r="AF67" s="70"/>
      <c r="AG67" s="70"/>
      <c r="AH67" s="70"/>
      <c r="AI67" s="70"/>
      <c r="AJ67" s="70"/>
      <c r="AK67" s="70"/>
      <c r="AL67" s="70"/>
      <c r="AM67" s="70"/>
      <c r="AN67" s="70"/>
      <c r="AO67" s="70"/>
      <c r="AP67" s="70"/>
      <c r="AQ67" s="70"/>
      <c r="AR67" s="70"/>
      <c r="AS67" s="70"/>
      <c r="AT67" s="70"/>
      <c r="AU67" s="70"/>
      <c r="AV67" s="70"/>
      <c r="AW67" s="70"/>
      <c r="AX67" s="70"/>
      <c r="AY67" s="70"/>
      <c r="AZ67" s="70"/>
      <c r="BA67" s="70"/>
      <c r="BB67" s="70"/>
      <c r="BC67" s="70"/>
      <c r="BD67" s="70"/>
      <c r="BE67" s="70"/>
    </row>
    <row r="68" spans="1:57" s="16" customFormat="1" x14ac:dyDescent="0.25">
      <c r="A68" s="18"/>
      <c r="B68" s="18"/>
      <c r="C68" s="18"/>
      <c r="D68" s="18"/>
      <c r="E68" s="18"/>
      <c r="F68" s="18"/>
      <c r="G68" s="18"/>
      <c r="H68" s="18"/>
      <c r="I68" s="18"/>
      <c r="J68" s="18"/>
      <c r="K68" s="82"/>
      <c r="L68" s="82"/>
      <c r="M68" s="82"/>
      <c r="N68" s="82"/>
      <c r="O68" s="82"/>
      <c r="P68" s="82"/>
      <c r="Q68" s="82"/>
      <c r="R68" s="82"/>
      <c r="S68" s="70"/>
      <c r="T68" s="70"/>
      <c r="U68" s="70"/>
      <c r="V68" s="70"/>
      <c r="W68" s="70"/>
      <c r="X68" s="70"/>
      <c r="Y68" s="70"/>
      <c r="Z68" s="70"/>
      <c r="AA68" s="70"/>
      <c r="AB68" s="70"/>
      <c r="AC68" s="70"/>
      <c r="AD68" s="70"/>
      <c r="AE68" s="70"/>
      <c r="AF68" s="70"/>
      <c r="AG68" s="70"/>
      <c r="AH68" s="70"/>
      <c r="AI68" s="70"/>
      <c r="AJ68" s="70"/>
      <c r="AK68" s="70"/>
      <c r="AL68" s="70"/>
      <c r="AM68" s="70"/>
      <c r="AN68" s="70"/>
      <c r="AO68" s="70"/>
      <c r="AP68" s="70"/>
      <c r="AQ68" s="70"/>
      <c r="AR68" s="70"/>
      <c r="AS68" s="70"/>
      <c r="AT68" s="70"/>
      <c r="AU68" s="70"/>
      <c r="AV68" s="70"/>
      <c r="AW68" s="70"/>
      <c r="AX68" s="70"/>
      <c r="AY68" s="70"/>
      <c r="AZ68" s="70"/>
      <c r="BA68" s="70"/>
      <c r="BB68" s="70"/>
      <c r="BC68" s="70"/>
      <c r="BD68" s="70"/>
      <c r="BE68" s="70"/>
    </row>
    <row r="69" spans="1:57" s="16" customFormat="1" x14ac:dyDescent="0.25">
      <c r="A69" s="18"/>
      <c r="B69" s="18"/>
      <c r="C69" s="18"/>
      <c r="D69" s="18"/>
      <c r="E69" s="18"/>
      <c r="F69" s="18"/>
      <c r="G69" s="18"/>
      <c r="H69" s="18"/>
      <c r="I69" s="18"/>
      <c r="J69" s="18"/>
      <c r="K69" s="82"/>
      <c r="L69" s="82"/>
      <c r="M69" s="82"/>
      <c r="N69" s="82"/>
      <c r="O69" s="82"/>
      <c r="P69" s="82"/>
      <c r="Q69" s="82"/>
      <c r="R69" s="82"/>
      <c r="S69" s="70"/>
      <c r="T69" s="70"/>
      <c r="U69" s="70"/>
      <c r="V69" s="70"/>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c r="AZ69" s="70"/>
      <c r="BA69" s="70"/>
      <c r="BB69" s="70"/>
      <c r="BC69" s="70"/>
      <c r="BD69" s="70"/>
      <c r="BE69" s="70"/>
    </row>
    <row r="70" spans="1:57" s="16" customFormat="1" x14ac:dyDescent="0.25">
      <c r="A70" s="18"/>
      <c r="B70" s="18"/>
      <c r="C70" s="18"/>
      <c r="D70" s="18"/>
      <c r="E70" s="18"/>
      <c r="F70" s="18"/>
      <c r="G70" s="18"/>
      <c r="H70" s="18"/>
      <c r="I70" s="18"/>
      <c r="J70" s="18"/>
      <c r="K70" s="82"/>
      <c r="L70" s="82"/>
      <c r="M70" s="82"/>
      <c r="N70" s="82"/>
      <c r="O70" s="82"/>
      <c r="P70" s="82"/>
      <c r="Q70" s="82"/>
      <c r="R70" s="82"/>
      <c r="S70" s="70"/>
      <c r="T70" s="70"/>
      <c r="U70" s="70"/>
      <c r="V70" s="70"/>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c r="AZ70" s="70"/>
      <c r="BA70" s="70"/>
      <c r="BB70" s="70"/>
      <c r="BC70" s="70"/>
      <c r="BD70" s="70"/>
      <c r="BE70" s="70"/>
    </row>
    <row r="71" spans="1:57" s="16" customFormat="1" x14ac:dyDescent="0.25">
      <c r="A71" s="18"/>
      <c r="B71" s="18"/>
      <c r="C71" s="18"/>
      <c r="D71" s="18"/>
      <c r="E71" s="18"/>
      <c r="F71" s="18"/>
      <c r="G71" s="18"/>
      <c r="H71" s="18"/>
      <c r="I71" s="18"/>
      <c r="J71" s="18"/>
      <c r="K71" s="82"/>
      <c r="L71" s="82"/>
      <c r="M71" s="82"/>
      <c r="N71" s="82"/>
      <c r="O71" s="82"/>
      <c r="P71" s="82"/>
      <c r="Q71" s="82"/>
      <c r="R71" s="82"/>
      <c r="S71" s="70"/>
      <c r="T71" s="70"/>
      <c r="U71" s="70"/>
      <c r="V71" s="70"/>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c r="AZ71" s="70"/>
      <c r="BA71" s="70"/>
      <c r="BB71" s="70"/>
      <c r="BC71" s="70"/>
      <c r="BD71" s="70"/>
      <c r="BE71" s="70"/>
    </row>
    <row r="72" spans="1:57" s="16" customFormat="1" x14ac:dyDescent="0.25">
      <c r="A72" s="18"/>
      <c r="B72" s="18"/>
      <c r="C72" s="18"/>
      <c r="D72" s="18"/>
      <c r="E72" s="18"/>
      <c r="F72" s="18"/>
      <c r="G72" s="18"/>
      <c r="H72" s="18"/>
      <c r="I72" s="18"/>
      <c r="J72" s="18"/>
      <c r="K72" s="82"/>
      <c r="L72" s="82"/>
      <c r="M72" s="82"/>
      <c r="N72" s="82"/>
      <c r="O72" s="82"/>
      <c r="P72" s="82"/>
      <c r="Q72" s="82"/>
      <c r="R72" s="82"/>
      <c r="S72" s="70"/>
      <c r="T72" s="70"/>
      <c r="U72" s="70"/>
      <c r="V72" s="70"/>
      <c r="W72" s="70"/>
      <c r="X72" s="70"/>
      <c r="Y72" s="70"/>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c r="AZ72" s="70"/>
      <c r="BA72" s="70"/>
      <c r="BB72" s="70"/>
      <c r="BC72" s="70"/>
      <c r="BD72" s="70"/>
      <c r="BE72" s="70"/>
    </row>
    <row r="73" spans="1:57" s="16" customFormat="1" x14ac:dyDescent="0.25">
      <c r="A73" s="18"/>
      <c r="B73" s="18"/>
      <c r="C73" s="18"/>
      <c r="D73" s="18"/>
      <c r="E73" s="18"/>
      <c r="F73" s="18"/>
      <c r="G73" s="18"/>
      <c r="H73" s="18"/>
      <c r="I73" s="18"/>
      <c r="J73" s="18"/>
      <c r="K73" s="82"/>
      <c r="L73" s="82"/>
      <c r="M73" s="82"/>
      <c r="N73" s="82"/>
      <c r="O73" s="82"/>
      <c r="P73" s="82"/>
      <c r="Q73" s="82"/>
      <c r="R73" s="82"/>
      <c r="S73" s="70"/>
      <c r="T73" s="70"/>
      <c r="U73" s="70"/>
      <c r="V73" s="70"/>
      <c r="W73" s="70"/>
      <c r="X73" s="70"/>
      <c r="Y73" s="70"/>
      <c r="Z73" s="70"/>
      <c r="AA73" s="70"/>
      <c r="AB73" s="70"/>
      <c r="AC73" s="70"/>
      <c r="AD73" s="70"/>
      <c r="AE73" s="70"/>
      <c r="AF73" s="70"/>
      <c r="AG73" s="70"/>
      <c r="AH73" s="70"/>
      <c r="AI73" s="70"/>
      <c r="AJ73" s="70"/>
      <c r="AK73" s="70"/>
      <c r="AL73" s="70"/>
      <c r="AM73" s="70"/>
      <c r="AN73" s="70"/>
      <c r="AO73" s="70"/>
      <c r="AP73" s="70"/>
      <c r="AQ73" s="70"/>
      <c r="AR73" s="70"/>
      <c r="AS73" s="70"/>
      <c r="AT73" s="70"/>
      <c r="AU73" s="70"/>
      <c r="AV73" s="70"/>
      <c r="AW73" s="70"/>
      <c r="AX73" s="70"/>
      <c r="AY73" s="70"/>
      <c r="AZ73" s="70"/>
      <c r="BA73" s="70"/>
      <c r="BB73" s="70"/>
      <c r="BC73" s="70"/>
      <c r="BD73" s="70"/>
      <c r="BE73" s="70"/>
    </row>
    <row r="74" spans="1:57" s="16" customFormat="1" x14ac:dyDescent="0.25">
      <c r="A74" s="18"/>
      <c r="B74" s="18"/>
      <c r="C74" s="18"/>
      <c r="D74" s="18"/>
      <c r="E74" s="18"/>
      <c r="F74" s="18"/>
      <c r="G74" s="18"/>
      <c r="H74" s="18"/>
      <c r="I74" s="18"/>
      <c r="J74" s="18"/>
      <c r="K74" s="82"/>
      <c r="L74" s="82"/>
      <c r="M74" s="82"/>
      <c r="N74" s="82"/>
      <c r="O74" s="82"/>
      <c r="P74" s="82"/>
      <c r="Q74" s="82"/>
      <c r="R74" s="82"/>
      <c r="S74" s="70"/>
      <c r="T74" s="70"/>
      <c r="U74" s="70"/>
      <c r="V74" s="70"/>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c r="AZ74" s="70"/>
      <c r="BA74" s="70"/>
      <c r="BB74" s="70"/>
      <c r="BC74" s="70"/>
      <c r="BD74" s="70"/>
      <c r="BE74" s="70"/>
    </row>
    <row r="75" spans="1:57" s="16" customFormat="1" x14ac:dyDescent="0.25">
      <c r="A75" s="18"/>
      <c r="B75" s="18"/>
      <c r="C75" s="18"/>
      <c r="D75" s="18"/>
      <c r="E75" s="18"/>
      <c r="F75" s="18"/>
      <c r="G75" s="18"/>
      <c r="H75" s="18"/>
      <c r="I75" s="18"/>
      <c r="J75" s="18"/>
      <c r="K75" s="82"/>
      <c r="L75" s="82"/>
      <c r="M75" s="82"/>
      <c r="N75" s="82"/>
      <c r="O75" s="82"/>
      <c r="P75" s="82"/>
      <c r="Q75" s="82"/>
      <c r="R75" s="82"/>
      <c r="S75" s="70"/>
      <c r="T75" s="70"/>
      <c r="U75" s="70"/>
      <c r="V75" s="70"/>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c r="AZ75" s="70"/>
      <c r="BA75" s="70"/>
      <c r="BB75" s="70"/>
      <c r="BC75" s="70"/>
      <c r="BD75" s="70"/>
      <c r="BE75" s="70"/>
    </row>
    <row r="76" spans="1:57" s="16" customFormat="1" x14ac:dyDescent="0.25">
      <c r="A76" s="18"/>
      <c r="B76" s="18"/>
      <c r="C76" s="18"/>
      <c r="D76" s="18"/>
      <c r="E76" s="18"/>
      <c r="F76" s="18"/>
      <c r="G76" s="18"/>
      <c r="H76" s="18"/>
      <c r="I76" s="18"/>
      <c r="J76" s="18"/>
      <c r="K76" s="82"/>
      <c r="L76" s="82"/>
      <c r="M76" s="82"/>
      <c r="N76" s="82"/>
      <c r="O76" s="82"/>
      <c r="P76" s="82"/>
      <c r="Q76" s="82"/>
      <c r="R76" s="82"/>
      <c r="S76" s="70"/>
      <c r="T76" s="70"/>
      <c r="U76" s="70"/>
      <c r="V76" s="70"/>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c r="AZ76" s="70"/>
      <c r="BA76" s="70"/>
      <c r="BB76" s="70"/>
      <c r="BC76" s="70"/>
      <c r="BD76" s="70"/>
      <c r="BE76" s="70"/>
    </row>
    <row r="77" spans="1:57" s="16" customFormat="1" x14ac:dyDescent="0.25">
      <c r="A77" s="18"/>
      <c r="B77" s="18"/>
      <c r="C77" s="18"/>
      <c r="D77" s="18"/>
      <c r="E77" s="18"/>
      <c r="F77" s="18"/>
      <c r="G77" s="18"/>
      <c r="H77" s="18"/>
      <c r="I77" s="18"/>
      <c r="J77" s="18"/>
      <c r="K77" s="82"/>
      <c r="L77" s="82"/>
      <c r="M77" s="82"/>
      <c r="N77" s="82"/>
      <c r="O77" s="82"/>
      <c r="P77" s="82"/>
      <c r="Q77" s="82"/>
      <c r="R77" s="82"/>
      <c r="S77" s="70"/>
      <c r="T77" s="70"/>
      <c r="U77" s="70"/>
      <c r="V77" s="70"/>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c r="AZ77" s="70"/>
      <c r="BA77" s="70"/>
      <c r="BB77" s="70"/>
      <c r="BC77" s="70"/>
      <c r="BD77" s="70"/>
      <c r="BE77" s="70"/>
    </row>
    <row r="78" spans="1:57" s="16" customFormat="1" x14ac:dyDescent="0.25">
      <c r="A78" s="18"/>
      <c r="B78" s="18"/>
      <c r="C78" s="18"/>
      <c r="D78" s="18"/>
      <c r="E78" s="18"/>
      <c r="F78" s="18"/>
      <c r="G78" s="18"/>
      <c r="H78" s="18"/>
      <c r="I78" s="18"/>
      <c r="J78" s="18"/>
      <c r="K78" s="82"/>
      <c r="L78" s="82"/>
      <c r="M78" s="82"/>
      <c r="N78" s="82"/>
      <c r="O78" s="82"/>
      <c r="P78" s="82"/>
      <c r="Q78" s="82"/>
      <c r="R78" s="82"/>
      <c r="S78" s="70"/>
      <c r="T78" s="70"/>
      <c r="U78" s="70"/>
      <c r="V78" s="70"/>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c r="AZ78" s="70"/>
      <c r="BA78" s="70"/>
      <c r="BB78" s="70"/>
      <c r="BC78" s="70"/>
      <c r="BD78" s="70"/>
      <c r="BE78" s="70"/>
    </row>
    <row r="79" spans="1:57" s="16" customFormat="1" x14ac:dyDescent="0.25">
      <c r="A79" s="18"/>
      <c r="B79" s="18"/>
      <c r="C79" s="18"/>
      <c r="D79" s="18"/>
      <c r="E79" s="18"/>
      <c r="F79" s="18"/>
      <c r="G79" s="18"/>
      <c r="H79" s="18"/>
      <c r="I79" s="18"/>
      <c r="J79" s="18"/>
      <c r="K79" s="82"/>
      <c r="L79" s="82"/>
      <c r="M79" s="82"/>
      <c r="N79" s="82"/>
      <c r="O79" s="82"/>
      <c r="P79" s="82"/>
      <c r="Q79" s="82"/>
      <c r="R79" s="82"/>
      <c r="S79" s="70"/>
      <c r="T79" s="70"/>
      <c r="U79" s="70"/>
      <c r="V79" s="70"/>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c r="AZ79" s="70"/>
      <c r="BA79" s="70"/>
      <c r="BB79" s="70"/>
      <c r="BC79" s="70"/>
      <c r="BD79" s="70"/>
      <c r="BE79" s="70"/>
    </row>
    <row r="80" spans="1:57" s="16" customFormat="1" x14ac:dyDescent="0.25">
      <c r="A80" s="18"/>
      <c r="B80" s="18"/>
      <c r="C80" s="18"/>
      <c r="D80" s="18"/>
      <c r="E80" s="18"/>
      <c r="F80" s="18"/>
      <c r="G80" s="18"/>
      <c r="H80" s="18"/>
      <c r="I80" s="18"/>
      <c r="J80" s="18"/>
      <c r="K80" s="82"/>
      <c r="L80" s="82"/>
      <c r="M80" s="82"/>
      <c r="N80" s="82"/>
      <c r="O80" s="82"/>
      <c r="P80" s="82"/>
      <c r="Q80" s="82"/>
      <c r="R80" s="82"/>
      <c r="S80" s="70"/>
      <c r="T80" s="70"/>
      <c r="U80" s="70"/>
      <c r="V80" s="70"/>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c r="AZ80" s="70"/>
      <c r="BA80" s="70"/>
      <c r="BB80" s="70"/>
      <c r="BC80" s="70"/>
      <c r="BD80" s="70"/>
      <c r="BE80" s="70"/>
    </row>
    <row r="81" spans="1:57" s="16" customFormat="1" x14ac:dyDescent="0.25">
      <c r="A81" s="18"/>
      <c r="B81" s="18"/>
      <c r="C81" s="18"/>
      <c r="D81" s="18"/>
      <c r="E81" s="18"/>
      <c r="F81" s="18"/>
      <c r="G81" s="18"/>
      <c r="H81" s="18"/>
      <c r="I81" s="18"/>
      <c r="J81" s="18"/>
      <c r="K81" s="82"/>
      <c r="L81" s="82"/>
      <c r="M81" s="82"/>
      <c r="N81" s="82"/>
      <c r="O81" s="82"/>
      <c r="P81" s="82"/>
      <c r="Q81" s="82"/>
      <c r="R81" s="82"/>
      <c r="S81" s="70"/>
      <c r="T81" s="70"/>
      <c r="U81" s="70"/>
      <c r="V81" s="70"/>
      <c r="W81" s="70"/>
      <c r="X81" s="70"/>
      <c r="Y81" s="70"/>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c r="AZ81" s="70"/>
      <c r="BA81" s="70"/>
      <c r="BB81" s="70"/>
      <c r="BC81" s="70"/>
      <c r="BD81" s="70"/>
      <c r="BE81" s="70"/>
    </row>
    <row r="82" spans="1:57" s="16" customFormat="1" x14ac:dyDescent="0.25">
      <c r="A82" s="18"/>
      <c r="B82" s="18"/>
      <c r="C82" s="18"/>
      <c r="D82" s="18"/>
      <c r="E82" s="18"/>
      <c r="F82" s="18"/>
      <c r="G82" s="18"/>
      <c r="H82" s="18"/>
      <c r="I82" s="18"/>
      <c r="J82" s="18"/>
      <c r="K82" s="82"/>
      <c r="L82" s="82"/>
      <c r="M82" s="82"/>
      <c r="N82" s="82"/>
      <c r="O82" s="82"/>
      <c r="P82" s="82"/>
      <c r="Q82" s="82"/>
      <c r="R82" s="82"/>
      <c r="S82" s="70"/>
      <c r="T82" s="70"/>
      <c r="U82" s="70"/>
      <c r="V82" s="70"/>
      <c r="W82" s="70"/>
      <c r="X82" s="70"/>
      <c r="Y82" s="70"/>
      <c r="Z82" s="70"/>
      <c r="AA82" s="70"/>
      <c r="AB82" s="70"/>
      <c r="AC82" s="70"/>
      <c r="AD82" s="70"/>
      <c r="AE82" s="70"/>
      <c r="AF82" s="70"/>
      <c r="AG82" s="70"/>
      <c r="AH82" s="70"/>
      <c r="AI82" s="70"/>
      <c r="AJ82" s="70"/>
      <c r="AK82" s="70"/>
      <c r="AL82" s="70"/>
      <c r="AM82" s="70"/>
      <c r="AN82" s="70"/>
      <c r="AO82" s="70"/>
      <c r="AP82" s="70"/>
      <c r="AQ82" s="70"/>
      <c r="AR82" s="70"/>
      <c r="AS82" s="70"/>
      <c r="AT82" s="70"/>
      <c r="AU82" s="70"/>
      <c r="AV82" s="70"/>
      <c r="AW82" s="70"/>
      <c r="AX82" s="70"/>
      <c r="AY82" s="70"/>
      <c r="AZ82" s="70"/>
      <c r="BA82" s="70"/>
      <c r="BB82" s="70"/>
      <c r="BC82" s="70"/>
      <c r="BD82" s="70"/>
      <c r="BE82" s="70"/>
    </row>
    <row r="83" spans="1:57" s="16" customFormat="1" x14ac:dyDescent="0.25">
      <c r="A83" s="18"/>
      <c r="B83" s="18"/>
      <c r="C83" s="18"/>
      <c r="D83" s="18"/>
      <c r="E83" s="18"/>
      <c r="F83" s="18"/>
      <c r="G83" s="18"/>
      <c r="H83" s="18"/>
      <c r="I83" s="18"/>
      <c r="J83" s="18"/>
      <c r="K83" s="82"/>
      <c r="L83" s="82"/>
      <c r="M83" s="82"/>
      <c r="N83" s="82"/>
      <c r="O83" s="82"/>
      <c r="P83" s="82"/>
      <c r="Q83" s="82"/>
      <c r="R83" s="82"/>
      <c r="S83" s="70"/>
      <c r="T83" s="70"/>
      <c r="U83" s="70"/>
      <c r="V83" s="70"/>
      <c r="W83" s="70"/>
      <c r="X83" s="70"/>
      <c r="Y83" s="70"/>
      <c r="Z83" s="70"/>
      <c r="AA83" s="70"/>
      <c r="AB83" s="70"/>
      <c r="AC83" s="70"/>
      <c r="AD83" s="70"/>
      <c r="AE83" s="70"/>
      <c r="AF83" s="70"/>
      <c r="AG83" s="70"/>
      <c r="AH83" s="70"/>
      <c r="AI83" s="70"/>
      <c r="AJ83" s="70"/>
      <c r="AK83" s="70"/>
      <c r="AL83" s="70"/>
      <c r="AM83" s="70"/>
      <c r="AN83" s="70"/>
      <c r="AO83" s="70"/>
      <c r="AP83" s="70"/>
      <c r="AQ83" s="70"/>
      <c r="AR83" s="70"/>
      <c r="AS83" s="70"/>
      <c r="AT83" s="70"/>
      <c r="AU83" s="70"/>
      <c r="AV83" s="70"/>
      <c r="AW83" s="70"/>
      <c r="AX83" s="70"/>
      <c r="AY83" s="70"/>
      <c r="AZ83" s="70"/>
      <c r="BA83" s="70"/>
      <c r="BB83" s="70"/>
      <c r="BC83" s="70"/>
      <c r="BD83" s="70"/>
      <c r="BE83" s="70"/>
    </row>
    <row r="84" spans="1:57" s="16" customFormat="1" ht="15.75" thickBot="1" x14ac:dyDescent="0.3">
      <c r="A84" s="18"/>
      <c r="B84" s="18"/>
      <c r="C84" s="18"/>
      <c r="D84" s="18"/>
      <c r="E84" s="18"/>
      <c r="F84" s="18"/>
      <c r="G84" s="18"/>
      <c r="H84" s="18"/>
      <c r="I84" s="18"/>
      <c r="J84" s="18"/>
      <c r="K84" s="82"/>
      <c r="L84" s="82"/>
      <c r="M84" s="82"/>
      <c r="N84" s="82"/>
      <c r="O84" s="82"/>
      <c r="P84" s="82"/>
      <c r="Q84" s="82"/>
      <c r="R84" s="82"/>
      <c r="S84" s="70"/>
      <c r="T84" s="70"/>
      <c r="U84" s="70"/>
      <c r="V84" s="70"/>
      <c r="W84" s="70"/>
      <c r="X84" s="70"/>
      <c r="Y84" s="70"/>
      <c r="Z84" s="70"/>
      <c r="AA84" s="70"/>
      <c r="AB84" s="70"/>
      <c r="AC84" s="70"/>
      <c r="AD84" s="70"/>
      <c r="AE84" s="70"/>
      <c r="AF84" s="70"/>
      <c r="AG84" s="70"/>
      <c r="AH84" s="70"/>
      <c r="AI84" s="70"/>
      <c r="AJ84" s="70"/>
      <c r="AK84" s="70"/>
      <c r="AL84" s="70"/>
      <c r="AM84" s="70"/>
      <c r="AN84" s="70"/>
      <c r="AO84" s="70"/>
      <c r="AP84" s="70"/>
      <c r="AQ84" s="70"/>
      <c r="AR84" s="70"/>
      <c r="AS84" s="70"/>
      <c r="AT84" s="70"/>
      <c r="AU84" s="70"/>
      <c r="AV84" s="70"/>
      <c r="AW84" s="70"/>
      <c r="AX84" s="70"/>
      <c r="AY84" s="70"/>
      <c r="AZ84" s="70"/>
      <c r="BA84" s="70"/>
      <c r="BB84" s="70"/>
      <c r="BC84" s="70"/>
      <c r="BD84" s="70"/>
      <c r="BE84" s="70"/>
    </row>
    <row r="85" spans="1:57" s="18" customFormat="1" ht="29.25" thickBot="1" x14ac:dyDescent="0.3">
      <c r="A85" s="16"/>
      <c r="B85" s="20">
        <v>3</v>
      </c>
      <c r="C85" s="111" t="s">
        <v>21</v>
      </c>
      <c r="D85" s="111"/>
      <c r="E85" s="20"/>
      <c r="F85" s="85" t="s">
        <v>22</v>
      </c>
      <c r="G85" s="16"/>
      <c r="H85" s="19"/>
      <c r="I85" s="19"/>
      <c r="J85" s="16"/>
      <c r="K85" s="82"/>
      <c r="L85" s="82"/>
      <c r="M85" s="82"/>
      <c r="N85" s="82"/>
      <c r="O85" s="82"/>
      <c r="P85" s="82"/>
      <c r="Q85" s="82"/>
      <c r="R85" s="82"/>
      <c r="S85" s="70"/>
      <c r="T85" s="70"/>
      <c r="U85" s="70"/>
      <c r="V85" s="70"/>
      <c r="W85" s="70"/>
      <c r="X85" s="70"/>
      <c r="Y85" s="70"/>
      <c r="Z85" s="70"/>
      <c r="AA85" s="70"/>
      <c r="AB85" s="70"/>
      <c r="AC85" s="70"/>
      <c r="AD85" s="70"/>
      <c r="AE85" s="70"/>
      <c r="AF85" s="70"/>
      <c r="AG85" s="70"/>
      <c r="AH85" s="70"/>
      <c r="AI85" s="70"/>
      <c r="AJ85" s="70"/>
      <c r="AK85" s="70"/>
      <c r="AL85" s="70"/>
      <c r="AM85" s="70"/>
      <c r="AN85" s="70"/>
      <c r="AO85" s="70"/>
      <c r="AP85" s="70"/>
      <c r="AQ85" s="70"/>
      <c r="AR85" s="70"/>
      <c r="AS85" s="70"/>
      <c r="AT85" s="70"/>
      <c r="AU85" s="70"/>
      <c r="AV85" s="70"/>
      <c r="AW85" s="70"/>
      <c r="AX85" s="70"/>
      <c r="AY85" s="70"/>
      <c r="AZ85" s="70"/>
      <c r="BA85" s="70"/>
      <c r="BB85" s="70"/>
      <c r="BC85" s="70"/>
      <c r="BD85" s="70"/>
      <c r="BE85" s="70"/>
    </row>
    <row r="86" spans="1:57" s="16" customFormat="1" ht="15.75" x14ac:dyDescent="0.25">
      <c r="A86" s="14"/>
      <c r="B86" s="14"/>
      <c r="C86" s="111"/>
      <c r="D86" s="111"/>
      <c r="E86" s="21"/>
      <c r="F86" s="14"/>
      <c r="G86" s="14"/>
      <c r="H86" s="14"/>
      <c r="I86" s="14"/>
      <c r="J86" s="14"/>
      <c r="K86" s="82"/>
      <c r="L86" s="82"/>
      <c r="M86" s="82"/>
      <c r="N86" s="82"/>
      <c r="O86" s="82"/>
      <c r="P86" s="82"/>
      <c r="Q86" s="82"/>
      <c r="R86" s="82"/>
      <c r="S86" s="70"/>
      <c r="T86" s="70"/>
      <c r="U86" s="70"/>
      <c r="V86" s="70"/>
      <c r="W86" s="70"/>
      <c r="X86" s="70"/>
      <c r="Y86" s="70"/>
      <c r="Z86" s="70"/>
      <c r="AA86" s="70"/>
      <c r="AB86" s="70"/>
      <c r="AC86" s="70"/>
      <c r="AD86" s="70"/>
      <c r="AE86" s="70"/>
      <c r="AF86" s="70"/>
      <c r="AG86" s="70"/>
      <c r="AH86" s="70"/>
      <c r="AI86" s="70"/>
      <c r="AJ86" s="70"/>
      <c r="AK86" s="70"/>
      <c r="AL86" s="70"/>
      <c r="AM86" s="70"/>
      <c r="AN86" s="70"/>
      <c r="AO86" s="70"/>
      <c r="AP86" s="70"/>
      <c r="AQ86" s="70"/>
      <c r="AR86" s="70"/>
      <c r="AS86" s="70"/>
      <c r="AT86" s="70"/>
      <c r="AU86" s="70"/>
      <c r="AV86" s="70"/>
      <c r="AW86" s="70"/>
      <c r="AX86" s="70"/>
      <c r="AY86" s="70"/>
      <c r="AZ86" s="70"/>
      <c r="BA86" s="70"/>
      <c r="BB86" s="70"/>
      <c r="BC86" s="70"/>
      <c r="BD86" s="70"/>
      <c r="BE86" s="70"/>
    </row>
    <row r="87" spans="1:57" ht="15.75" x14ac:dyDescent="0.25">
      <c r="C87" s="111"/>
      <c r="D87" s="111"/>
      <c r="E87" s="21"/>
      <c r="K87" s="82"/>
      <c r="L87" s="82"/>
      <c r="M87" s="82"/>
      <c r="N87" s="82"/>
      <c r="O87" s="82"/>
      <c r="P87" s="82"/>
      <c r="Q87" s="82"/>
      <c r="R87" s="82"/>
      <c r="S87" s="70"/>
      <c r="T87" s="70"/>
      <c r="U87" s="70"/>
      <c r="V87" s="70"/>
      <c r="W87" s="70"/>
      <c r="X87" s="70"/>
      <c r="Y87" s="70"/>
      <c r="Z87" s="70"/>
      <c r="AA87" s="70"/>
      <c r="AB87" s="70"/>
      <c r="AC87" s="70"/>
      <c r="AD87" s="70"/>
      <c r="AE87" s="70"/>
      <c r="AF87" s="70"/>
      <c r="AG87" s="70"/>
      <c r="AH87" s="70"/>
      <c r="AI87" s="70"/>
      <c r="AJ87" s="70"/>
      <c r="AK87" s="70"/>
      <c r="AL87" s="70"/>
      <c r="AM87" s="70"/>
      <c r="AN87" s="70"/>
      <c r="AO87" s="70"/>
      <c r="AP87" s="70"/>
      <c r="AQ87" s="70"/>
      <c r="AR87" s="70"/>
      <c r="AS87" s="70"/>
      <c r="AT87" s="70"/>
      <c r="AU87" s="70"/>
      <c r="AV87" s="70"/>
      <c r="AW87" s="70"/>
      <c r="AX87" s="70"/>
      <c r="AY87" s="70"/>
      <c r="AZ87" s="70"/>
      <c r="BA87" s="70"/>
      <c r="BB87" s="70"/>
      <c r="BC87" s="70"/>
      <c r="BD87" s="70"/>
      <c r="BE87" s="70"/>
    </row>
    <row r="88" spans="1:57" ht="15.75" x14ac:dyDescent="0.25">
      <c r="C88" s="111"/>
      <c r="D88" s="111"/>
      <c r="E88" s="21"/>
      <c r="K88" s="82"/>
      <c r="L88" s="82"/>
      <c r="M88" s="82"/>
      <c r="N88" s="82"/>
      <c r="O88" s="82"/>
      <c r="P88" s="82"/>
      <c r="Q88" s="82"/>
      <c r="R88" s="82"/>
      <c r="S88" s="70"/>
      <c r="T88" s="70"/>
      <c r="U88" s="70"/>
      <c r="V88" s="70"/>
      <c r="W88" s="70"/>
      <c r="X88" s="70"/>
      <c r="Y88" s="70"/>
      <c r="Z88" s="70"/>
      <c r="AA88" s="70"/>
      <c r="AB88" s="70"/>
      <c r="AC88" s="70"/>
      <c r="AD88" s="70"/>
      <c r="AE88" s="70"/>
      <c r="AF88" s="70"/>
      <c r="AG88" s="70"/>
      <c r="AH88" s="70"/>
      <c r="AI88" s="70"/>
      <c r="AJ88" s="70"/>
      <c r="AK88" s="70"/>
      <c r="AL88" s="70"/>
      <c r="AM88" s="70"/>
      <c r="AN88" s="70"/>
      <c r="AO88" s="70"/>
      <c r="AP88" s="70"/>
      <c r="AQ88" s="70"/>
      <c r="AR88" s="70"/>
      <c r="AS88" s="70"/>
      <c r="AT88" s="70"/>
      <c r="AU88" s="70"/>
      <c r="AV88" s="70"/>
      <c r="AW88" s="70"/>
      <c r="AX88" s="70"/>
      <c r="AY88" s="70"/>
      <c r="AZ88" s="70"/>
      <c r="BA88" s="70"/>
      <c r="BB88" s="70"/>
      <c r="BC88" s="70"/>
      <c r="BD88" s="70"/>
      <c r="BE88" s="70"/>
    </row>
    <row r="89" spans="1:57" s="18" customFormat="1" ht="15.75" x14ac:dyDescent="0.25">
      <c r="A89" s="14"/>
      <c r="B89" s="14"/>
      <c r="C89" s="111"/>
      <c r="D89" s="111"/>
      <c r="E89" s="14"/>
      <c r="F89" s="14"/>
      <c r="G89" s="14"/>
      <c r="H89" s="14"/>
      <c r="I89" s="14"/>
      <c r="J89" s="14"/>
      <c r="K89" s="50" t="s">
        <v>32</v>
      </c>
      <c r="L89" s="50" t="s">
        <v>32</v>
      </c>
      <c r="M89" s="50" t="s">
        <v>32</v>
      </c>
      <c r="N89" s="50" t="s">
        <v>32</v>
      </c>
      <c r="O89" s="52"/>
      <c r="P89" s="52"/>
      <c r="Q89" s="52"/>
      <c r="R89" s="52"/>
      <c r="S89" s="52"/>
      <c r="T89" s="52"/>
      <c r="U89" s="52"/>
      <c r="V89" s="52"/>
      <c r="W89" s="52"/>
      <c r="X89" s="52"/>
      <c r="Y89" s="52"/>
      <c r="Z89" s="52"/>
      <c r="AA89" s="52"/>
      <c r="AB89" s="52"/>
      <c r="AC89" s="52"/>
      <c r="AD89" s="52"/>
      <c r="AE89" s="52"/>
      <c r="AF89" s="52"/>
      <c r="AG89" s="52"/>
      <c r="AH89" s="52"/>
      <c r="AI89" s="52"/>
      <c r="AJ89" s="52"/>
      <c r="AK89" s="52"/>
      <c r="AL89" s="52"/>
      <c r="AM89" s="52"/>
      <c r="AN89" s="52"/>
      <c r="AO89" s="52"/>
      <c r="AP89" s="52"/>
      <c r="AQ89" s="52"/>
      <c r="AR89" s="52"/>
      <c r="AS89" s="52"/>
      <c r="AT89" s="52"/>
      <c r="AU89" s="52"/>
      <c r="AV89" s="52"/>
      <c r="AW89" s="52"/>
      <c r="AX89" s="52"/>
      <c r="AY89" s="52"/>
      <c r="AZ89" s="52"/>
      <c r="BA89" s="52"/>
      <c r="BB89" s="52"/>
      <c r="BC89" s="52"/>
      <c r="BD89" s="52"/>
      <c r="BE89" s="52"/>
    </row>
    <row r="90" spans="1:57" s="18" customFormat="1" ht="15.75" x14ac:dyDescent="0.25">
      <c r="A90" s="14"/>
      <c r="B90" s="14"/>
      <c r="C90" s="111"/>
      <c r="D90" s="111"/>
      <c r="E90" s="14"/>
      <c r="F90" s="14"/>
      <c r="G90" s="14"/>
      <c r="H90" s="14"/>
      <c r="I90" s="14"/>
      <c r="J90" s="14"/>
      <c r="K90" s="50" t="s">
        <v>32</v>
      </c>
      <c r="L90" s="50" t="s">
        <v>32</v>
      </c>
      <c r="M90" s="50" t="s">
        <v>32</v>
      </c>
      <c r="N90" s="50" t="s">
        <v>32</v>
      </c>
      <c r="O90" s="52"/>
      <c r="P90" s="52"/>
      <c r="Q90" s="52"/>
      <c r="R90" s="52"/>
      <c r="S90" s="52"/>
      <c r="T90" s="52"/>
      <c r="U90" s="52"/>
      <c r="V90" s="52"/>
      <c r="W90" s="52"/>
      <c r="X90" s="52"/>
      <c r="Y90" s="52"/>
      <c r="Z90" s="52"/>
      <c r="AA90" s="52"/>
      <c r="AB90" s="52"/>
      <c r="AC90" s="52"/>
      <c r="AD90" s="52"/>
      <c r="AE90" s="52"/>
      <c r="AF90" s="52"/>
      <c r="AG90" s="52"/>
      <c r="AH90" s="52"/>
      <c r="AI90" s="52"/>
      <c r="AJ90" s="52"/>
      <c r="AK90" s="52"/>
      <c r="AL90" s="52"/>
      <c r="AM90" s="52"/>
      <c r="AN90" s="52"/>
      <c r="AO90" s="52"/>
      <c r="AP90" s="52"/>
      <c r="AQ90" s="52"/>
      <c r="AR90" s="52"/>
      <c r="AS90" s="52"/>
      <c r="AT90" s="52"/>
      <c r="AU90" s="52"/>
      <c r="AV90" s="52"/>
      <c r="AW90" s="52"/>
      <c r="AX90" s="52"/>
      <c r="AY90" s="52"/>
      <c r="AZ90" s="52"/>
      <c r="BA90" s="52"/>
      <c r="BB90" s="52"/>
      <c r="BC90" s="52"/>
      <c r="BD90" s="52"/>
      <c r="BE90" s="52"/>
    </row>
    <row r="91" spans="1:57" s="18" customFormat="1" ht="15.75" x14ac:dyDescent="0.25">
      <c r="A91" s="14"/>
      <c r="B91" s="14"/>
      <c r="C91" s="14"/>
      <c r="D91" s="14"/>
      <c r="E91" s="14"/>
      <c r="F91" s="14"/>
      <c r="G91" s="14"/>
      <c r="H91" s="14"/>
      <c r="I91" s="14"/>
      <c r="J91" s="14"/>
      <c r="K91" s="50" t="s">
        <v>32</v>
      </c>
      <c r="L91" s="50" t="s">
        <v>32</v>
      </c>
      <c r="M91" s="50" t="s">
        <v>32</v>
      </c>
      <c r="N91" s="50" t="s">
        <v>32</v>
      </c>
      <c r="O91" s="52"/>
      <c r="P91" s="52"/>
      <c r="Q91" s="52"/>
      <c r="R91" s="52"/>
      <c r="S91" s="52"/>
      <c r="T91" s="52"/>
      <c r="U91" s="52"/>
      <c r="V91" s="52"/>
      <c r="W91" s="52"/>
      <c r="X91" s="52"/>
      <c r="Y91" s="52"/>
      <c r="Z91" s="52"/>
      <c r="AA91" s="52"/>
      <c r="AB91" s="52"/>
      <c r="AC91" s="52"/>
      <c r="AD91" s="52"/>
      <c r="AE91" s="52"/>
      <c r="AF91" s="52"/>
      <c r="AG91" s="52"/>
      <c r="AH91" s="52"/>
      <c r="AI91" s="52"/>
      <c r="AJ91" s="52"/>
      <c r="AK91" s="52"/>
      <c r="AL91" s="52"/>
      <c r="AM91" s="52"/>
      <c r="AN91" s="52"/>
      <c r="AO91" s="52"/>
      <c r="AP91" s="52"/>
      <c r="AQ91" s="52"/>
      <c r="AR91" s="52"/>
      <c r="AS91" s="52"/>
      <c r="AT91" s="52"/>
      <c r="AU91" s="52"/>
      <c r="AV91" s="52"/>
      <c r="AW91" s="52"/>
      <c r="AX91" s="52"/>
      <c r="AY91" s="52"/>
      <c r="AZ91" s="52"/>
      <c r="BA91" s="52"/>
      <c r="BB91" s="52"/>
      <c r="BC91" s="52"/>
      <c r="BD91" s="52"/>
      <c r="BE91" s="52"/>
    </row>
    <row r="92" spans="1:57" s="18" customFormat="1" ht="15.75" x14ac:dyDescent="0.25">
      <c r="A92" s="14"/>
      <c r="B92" s="14"/>
      <c r="C92" s="14"/>
      <c r="D92" s="14"/>
      <c r="E92" s="14"/>
      <c r="F92" s="14"/>
      <c r="G92" s="14"/>
      <c r="H92" s="14"/>
      <c r="I92" s="14"/>
      <c r="J92" s="14"/>
      <c r="K92" s="50" t="s">
        <v>32</v>
      </c>
      <c r="L92" s="50" t="s">
        <v>32</v>
      </c>
      <c r="M92" s="50" t="s">
        <v>32</v>
      </c>
      <c r="N92" s="50" t="s">
        <v>32</v>
      </c>
      <c r="O92" s="52"/>
      <c r="P92" s="52"/>
      <c r="Q92" s="52"/>
      <c r="R92" s="52"/>
      <c r="S92" s="52"/>
      <c r="T92" s="52"/>
      <c r="U92" s="52"/>
      <c r="V92" s="52"/>
      <c r="W92" s="52"/>
      <c r="X92" s="52"/>
      <c r="Y92" s="52"/>
      <c r="Z92" s="52"/>
      <c r="AA92" s="52"/>
      <c r="AB92" s="52"/>
      <c r="AC92" s="52"/>
      <c r="AD92" s="52"/>
      <c r="AE92" s="52"/>
      <c r="AF92" s="52"/>
      <c r="AG92" s="52"/>
      <c r="AH92" s="52"/>
      <c r="AI92" s="52"/>
      <c r="AJ92" s="52"/>
      <c r="AK92" s="52"/>
      <c r="AL92" s="52"/>
      <c r="AM92" s="52"/>
      <c r="AN92" s="52"/>
      <c r="AO92" s="52"/>
      <c r="AP92" s="52"/>
      <c r="AQ92" s="52"/>
      <c r="AR92" s="52"/>
      <c r="AS92" s="52"/>
      <c r="AT92" s="52"/>
      <c r="AU92" s="52"/>
      <c r="AV92" s="52"/>
      <c r="AW92" s="52"/>
      <c r="AX92" s="52"/>
      <c r="AY92" s="52"/>
      <c r="AZ92" s="52"/>
      <c r="BA92" s="52"/>
      <c r="BB92" s="52"/>
      <c r="BC92" s="52"/>
      <c r="BD92" s="52"/>
      <c r="BE92" s="52"/>
    </row>
    <row r="93" spans="1:57" s="18" customFormat="1" ht="15.75" x14ac:dyDescent="0.25">
      <c r="A93" s="14"/>
      <c r="B93" s="14"/>
      <c r="C93" s="14"/>
      <c r="D93" s="14"/>
      <c r="E93" s="14"/>
      <c r="F93" s="14"/>
      <c r="G93" s="14"/>
      <c r="H93" s="14"/>
      <c r="I93" s="14"/>
      <c r="J93" s="14"/>
      <c r="K93" s="50" t="s">
        <v>32</v>
      </c>
      <c r="L93" s="50" t="s">
        <v>32</v>
      </c>
      <c r="M93" s="50" t="s">
        <v>32</v>
      </c>
      <c r="N93" s="50" t="s">
        <v>32</v>
      </c>
      <c r="O93" s="52"/>
      <c r="P93" s="52"/>
      <c r="Q93" s="52"/>
      <c r="R93" s="52"/>
      <c r="S93" s="52"/>
      <c r="T93" s="52"/>
      <c r="U93" s="52"/>
      <c r="V93" s="52"/>
      <c r="W93" s="52"/>
      <c r="X93" s="52"/>
      <c r="Y93" s="52"/>
      <c r="Z93" s="52"/>
      <c r="AA93" s="52"/>
      <c r="AB93" s="52"/>
      <c r="AC93" s="52"/>
      <c r="AD93" s="52"/>
      <c r="AE93" s="52"/>
      <c r="AF93" s="52"/>
      <c r="AG93" s="52"/>
      <c r="AH93" s="52"/>
      <c r="AI93" s="52"/>
      <c r="AJ93" s="52"/>
      <c r="AK93" s="52"/>
      <c r="AL93" s="52"/>
      <c r="AM93" s="52"/>
      <c r="AN93" s="52"/>
      <c r="AO93" s="52"/>
      <c r="AP93" s="52"/>
      <c r="AQ93" s="52"/>
      <c r="AR93" s="52"/>
      <c r="AS93" s="52"/>
      <c r="AT93" s="52"/>
      <c r="AU93" s="52"/>
      <c r="AV93" s="52"/>
      <c r="AW93" s="52"/>
      <c r="AX93" s="52"/>
      <c r="AY93" s="52"/>
      <c r="AZ93" s="52"/>
      <c r="BA93" s="52"/>
      <c r="BB93" s="52"/>
      <c r="BC93" s="52"/>
      <c r="BD93" s="52"/>
      <c r="BE93" s="52"/>
    </row>
    <row r="94" spans="1:57" s="18" customFormat="1" ht="15.75" x14ac:dyDescent="0.25">
      <c r="A94" s="14"/>
      <c r="B94" s="14"/>
      <c r="C94" s="14"/>
      <c r="D94" s="14"/>
      <c r="E94" s="14"/>
      <c r="F94" s="14"/>
      <c r="G94" s="14"/>
      <c r="H94" s="14"/>
      <c r="I94" s="14"/>
      <c r="J94" s="14"/>
      <c r="K94" s="50" t="s">
        <v>32</v>
      </c>
      <c r="L94" s="50" t="s">
        <v>32</v>
      </c>
      <c r="M94" s="50" t="s">
        <v>32</v>
      </c>
      <c r="N94" s="50" t="s">
        <v>32</v>
      </c>
      <c r="O94" s="52"/>
      <c r="P94" s="52"/>
      <c r="Q94" s="52"/>
      <c r="R94" s="52"/>
      <c r="S94" s="52"/>
      <c r="T94" s="52"/>
      <c r="U94" s="52"/>
      <c r="V94" s="52"/>
      <c r="W94" s="52"/>
      <c r="X94" s="52"/>
      <c r="Y94" s="52"/>
      <c r="Z94" s="52"/>
      <c r="AA94" s="52"/>
      <c r="AB94" s="52"/>
      <c r="AC94" s="52"/>
      <c r="AD94" s="52"/>
      <c r="AE94" s="52"/>
      <c r="AF94" s="52"/>
      <c r="AG94" s="52"/>
      <c r="AH94" s="52"/>
      <c r="AI94" s="52"/>
      <c r="AJ94" s="52"/>
      <c r="AK94" s="52"/>
      <c r="AL94" s="52"/>
      <c r="AM94" s="52"/>
      <c r="AN94" s="52"/>
      <c r="AO94" s="52"/>
      <c r="AP94" s="52"/>
      <c r="AQ94" s="52"/>
      <c r="AR94" s="52"/>
      <c r="AS94" s="52"/>
      <c r="AT94" s="52"/>
      <c r="AU94" s="52"/>
      <c r="AV94" s="52"/>
      <c r="AW94" s="52"/>
      <c r="AX94" s="52"/>
      <c r="AY94" s="52"/>
      <c r="AZ94" s="52"/>
      <c r="BA94" s="52"/>
      <c r="BB94" s="52"/>
      <c r="BC94" s="52"/>
      <c r="BD94" s="52"/>
      <c r="BE94" s="52"/>
    </row>
    <row r="95" spans="1:57" s="18" customFormat="1" ht="15.75" x14ac:dyDescent="0.25">
      <c r="A95" s="14"/>
      <c r="B95" s="14"/>
      <c r="C95" s="14"/>
      <c r="D95" s="14"/>
      <c r="E95" s="14"/>
      <c r="F95" s="14"/>
      <c r="G95" s="14"/>
      <c r="H95" s="14"/>
      <c r="I95" s="14"/>
      <c r="J95" s="14"/>
      <c r="K95" s="50" t="s">
        <v>32</v>
      </c>
      <c r="L95" s="50" t="s">
        <v>32</v>
      </c>
      <c r="M95" s="50" t="s">
        <v>32</v>
      </c>
      <c r="N95" s="50" t="s">
        <v>32</v>
      </c>
      <c r="O95" s="52"/>
      <c r="P95" s="52"/>
      <c r="Q95" s="52"/>
      <c r="R95" s="52"/>
      <c r="S95" s="52"/>
      <c r="T95" s="52"/>
      <c r="U95" s="52"/>
      <c r="V95" s="52"/>
      <c r="W95" s="52"/>
      <c r="X95" s="52"/>
      <c r="Y95" s="52"/>
      <c r="Z95" s="52"/>
      <c r="AA95" s="52"/>
      <c r="AB95" s="52"/>
      <c r="AC95" s="52"/>
      <c r="AD95" s="52"/>
      <c r="AE95" s="52"/>
      <c r="AF95" s="52"/>
      <c r="AG95" s="52"/>
      <c r="AH95" s="52"/>
      <c r="AI95" s="52"/>
      <c r="AJ95" s="52"/>
      <c r="AK95" s="52"/>
      <c r="AL95" s="52"/>
      <c r="AM95" s="52"/>
      <c r="AN95" s="52"/>
      <c r="AO95" s="52"/>
      <c r="AP95" s="52"/>
      <c r="AQ95" s="52"/>
      <c r="AR95" s="52"/>
      <c r="AS95" s="52"/>
      <c r="AT95" s="52"/>
      <c r="AU95" s="52"/>
      <c r="AV95" s="52"/>
      <c r="AW95" s="52"/>
      <c r="AX95" s="52"/>
      <c r="AY95" s="52"/>
      <c r="AZ95" s="52"/>
      <c r="BA95" s="52"/>
      <c r="BB95" s="52"/>
      <c r="BC95" s="52"/>
      <c r="BD95" s="52"/>
      <c r="BE95" s="52"/>
    </row>
    <row r="96" spans="1:57" s="18" customFormat="1" ht="15.75" x14ac:dyDescent="0.25">
      <c r="A96" s="14"/>
      <c r="B96" s="14"/>
      <c r="C96" s="14"/>
      <c r="D96" s="14"/>
      <c r="E96" s="14"/>
      <c r="F96" s="14"/>
      <c r="G96" s="14"/>
      <c r="H96" s="14"/>
      <c r="I96" s="14"/>
      <c r="J96" s="14"/>
      <c r="K96" s="50" t="s">
        <v>32</v>
      </c>
      <c r="L96" s="50" t="s">
        <v>32</v>
      </c>
      <c r="M96" s="50" t="s">
        <v>32</v>
      </c>
      <c r="N96" s="50" t="s">
        <v>32</v>
      </c>
      <c r="O96" s="52"/>
      <c r="P96" s="52"/>
      <c r="Q96" s="52"/>
      <c r="R96" s="52"/>
      <c r="S96" s="52"/>
      <c r="T96" s="52"/>
      <c r="U96" s="52"/>
      <c r="V96" s="52"/>
      <c r="W96" s="52"/>
      <c r="X96" s="52"/>
      <c r="Y96" s="52"/>
      <c r="Z96" s="52"/>
      <c r="AA96" s="52"/>
      <c r="AB96" s="52"/>
      <c r="AC96" s="52"/>
      <c r="AD96" s="52"/>
      <c r="AE96" s="52"/>
      <c r="AF96" s="52"/>
      <c r="AG96" s="52"/>
      <c r="AH96" s="52"/>
      <c r="AI96" s="52"/>
      <c r="AJ96" s="52"/>
      <c r="AK96" s="52"/>
      <c r="AL96" s="52"/>
      <c r="AM96" s="52"/>
      <c r="AN96" s="52"/>
      <c r="AO96" s="52"/>
      <c r="AP96" s="52"/>
      <c r="AQ96" s="52"/>
      <c r="AR96" s="52"/>
      <c r="AS96" s="52"/>
      <c r="AT96" s="52"/>
      <c r="AU96" s="52"/>
      <c r="AV96" s="52"/>
      <c r="AW96" s="52"/>
      <c r="AX96" s="52"/>
      <c r="AY96" s="52"/>
      <c r="AZ96" s="52"/>
      <c r="BA96" s="52"/>
      <c r="BB96" s="52"/>
      <c r="BC96" s="52"/>
      <c r="BD96" s="52"/>
      <c r="BE96" s="52"/>
    </row>
    <row r="97" spans="1:57" s="18" customFormat="1" ht="15.75" x14ac:dyDescent="0.25">
      <c r="A97" s="14"/>
      <c r="B97" s="14"/>
      <c r="C97" s="14"/>
      <c r="D97" s="14"/>
      <c r="E97" s="14"/>
      <c r="F97" s="14"/>
      <c r="G97" s="14"/>
      <c r="H97" s="14"/>
      <c r="I97" s="14"/>
      <c r="J97" s="14"/>
      <c r="K97" s="50" t="s">
        <v>32</v>
      </c>
      <c r="L97" s="50" t="s">
        <v>32</v>
      </c>
      <c r="M97" s="50" t="s">
        <v>32</v>
      </c>
      <c r="N97" s="50" t="s">
        <v>32</v>
      </c>
      <c r="O97" s="52"/>
      <c r="P97" s="52"/>
      <c r="Q97" s="52"/>
      <c r="R97" s="52"/>
      <c r="S97" s="52"/>
      <c r="T97" s="52"/>
      <c r="U97" s="52"/>
      <c r="V97" s="52"/>
      <c r="W97" s="52"/>
      <c r="X97" s="52"/>
      <c r="Y97" s="52"/>
      <c r="Z97" s="52"/>
      <c r="AA97" s="52"/>
      <c r="AB97" s="52"/>
      <c r="AC97" s="52"/>
      <c r="AD97" s="52"/>
      <c r="AE97" s="52"/>
      <c r="AF97" s="52"/>
      <c r="AG97" s="52"/>
      <c r="AH97" s="52"/>
      <c r="AI97" s="52"/>
      <c r="AJ97" s="52"/>
      <c r="AK97" s="52"/>
      <c r="AL97" s="52"/>
      <c r="AM97" s="52"/>
      <c r="AN97" s="52"/>
      <c r="AO97" s="52"/>
      <c r="AP97" s="52"/>
      <c r="AQ97" s="52"/>
      <c r="AR97" s="52"/>
      <c r="AS97" s="52"/>
      <c r="AT97" s="52"/>
      <c r="AU97" s="52"/>
      <c r="AV97" s="52"/>
      <c r="AW97" s="52"/>
      <c r="AX97" s="52"/>
      <c r="AY97" s="52"/>
      <c r="AZ97" s="52"/>
      <c r="BA97" s="52"/>
      <c r="BB97" s="52"/>
      <c r="BC97" s="52"/>
      <c r="BD97" s="52"/>
      <c r="BE97" s="52"/>
    </row>
    <row r="98" spans="1:57" s="18" customFormat="1" ht="15.75" x14ac:dyDescent="0.25">
      <c r="A98" s="14"/>
      <c r="B98" s="14"/>
      <c r="C98" s="14"/>
      <c r="D98" s="14"/>
      <c r="E98" s="14"/>
      <c r="F98" s="14"/>
      <c r="G98" s="14"/>
      <c r="H98" s="14"/>
      <c r="I98" s="14"/>
      <c r="J98" s="14"/>
      <c r="K98" s="50" t="s">
        <v>32</v>
      </c>
      <c r="L98" s="50" t="s">
        <v>32</v>
      </c>
      <c r="M98" s="50" t="s">
        <v>32</v>
      </c>
      <c r="N98" s="50" t="s">
        <v>32</v>
      </c>
      <c r="O98" s="52"/>
      <c r="P98" s="52"/>
      <c r="Q98" s="52"/>
      <c r="R98" s="52"/>
      <c r="S98" s="52"/>
      <c r="T98" s="52"/>
      <c r="U98" s="52"/>
      <c r="V98" s="52"/>
      <c r="W98" s="52"/>
      <c r="X98" s="52"/>
      <c r="Y98" s="52"/>
      <c r="Z98" s="52"/>
      <c r="AA98" s="52"/>
      <c r="AB98" s="52"/>
      <c r="AC98" s="52"/>
      <c r="AD98" s="52"/>
      <c r="AE98" s="52"/>
      <c r="AF98" s="52"/>
      <c r="AG98" s="52"/>
      <c r="AH98" s="52"/>
      <c r="AI98" s="52"/>
      <c r="AJ98" s="52"/>
      <c r="AK98" s="52"/>
      <c r="AL98" s="52"/>
      <c r="AM98" s="52"/>
      <c r="AN98" s="52"/>
      <c r="AO98" s="52"/>
      <c r="AP98" s="52"/>
      <c r="AQ98" s="52"/>
      <c r="AR98" s="52"/>
      <c r="AS98" s="52"/>
      <c r="AT98" s="52"/>
      <c r="AU98" s="52"/>
      <c r="AV98" s="52"/>
      <c r="AW98" s="52"/>
      <c r="AX98" s="52"/>
      <c r="AY98" s="52"/>
      <c r="AZ98" s="52"/>
      <c r="BA98" s="52"/>
      <c r="BB98" s="52"/>
      <c r="BC98" s="52"/>
      <c r="BD98" s="52"/>
      <c r="BE98" s="52"/>
    </row>
    <row r="99" spans="1:57" x14ac:dyDescent="0.2">
      <c r="K99" s="50" t="s">
        <v>32</v>
      </c>
      <c r="L99" s="50" t="s">
        <v>32</v>
      </c>
      <c r="M99" s="50" t="s">
        <v>32</v>
      </c>
      <c r="N99" s="50" t="s">
        <v>32</v>
      </c>
    </row>
    <row r="100" spans="1:57" x14ac:dyDescent="0.2">
      <c r="K100" s="50" t="s">
        <v>32</v>
      </c>
      <c r="L100" s="50" t="s">
        <v>32</v>
      </c>
      <c r="M100" s="50" t="s">
        <v>32</v>
      </c>
      <c r="N100" s="50" t="s">
        <v>32</v>
      </c>
    </row>
    <row r="101" spans="1:57" x14ac:dyDescent="0.2">
      <c r="K101" s="50" t="s">
        <v>32</v>
      </c>
      <c r="L101" s="50" t="s">
        <v>32</v>
      </c>
      <c r="M101" s="50" t="s">
        <v>32</v>
      </c>
      <c r="N101" s="50" t="s">
        <v>32</v>
      </c>
    </row>
    <row r="102" spans="1:57" x14ac:dyDescent="0.2">
      <c r="K102" s="50" t="s">
        <v>32</v>
      </c>
      <c r="L102" s="50" t="s">
        <v>32</v>
      </c>
      <c r="M102" s="50" t="s">
        <v>32</v>
      </c>
      <c r="N102" s="50" t="s">
        <v>32</v>
      </c>
    </row>
    <row r="103" spans="1:57" x14ac:dyDescent="0.2">
      <c r="K103" s="50" t="s">
        <v>32</v>
      </c>
      <c r="L103" s="50" t="s">
        <v>32</v>
      </c>
      <c r="M103" s="50" t="s">
        <v>32</v>
      </c>
      <c r="N103" s="50" t="s">
        <v>32</v>
      </c>
    </row>
    <row r="104" spans="1:57" x14ac:dyDescent="0.2">
      <c r="K104" s="50" t="s">
        <v>32</v>
      </c>
      <c r="L104" s="50" t="s">
        <v>32</v>
      </c>
      <c r="M104" s="50" t="s">
        <v>32</v>
      </c>
      <c r="N104" s="50" t="s">
        <v>32</v>
      </c>
    </row>
  </sheetData>
  <sheetProtection insertColumns="0" insertRows="0" deleteColumns="0" deleteRows="0"/>
  <mergeCells count="43">
    <mergeCell ref="C8:F8"/>
    <mergeCell ref="H8:J8"/>
    <mergeCell ref="A1:B4"/>
    <mergeCell ref="C1:G1"/>
    <mergeCell ref="H1:J1"/>
    <mergeCell ref="C2:G4"/>
    <mergeCell ref="H2:J2"/>
    <mergeCell ref="H3:J3"/>
    <mergeCell ref="H4:J4"/>
    <mergeCell ref="B5:I5"/>
    <mergeCell ref="C6:F6"/>
    <mergeCell ref="H6:J6"/>
    <mergeCell ref="C7:F7"/>
    <mergeCell ref="H7:J7"/>
    <mergeCell ref="N16:N17"/>
    <mergeCell ref="O16:O17"/>
    <mergeCell ref="P16:P17"/>
    <mergeCell ref="C9:F9"/>
    <mergeCell ref="C10:F10"/>
    <mergeCell ref="H10:J10"/>
    <mergeCell ref="B11:I11"/>
    <mergeCell ref="C13:J13"/>
    <mergeCell ref="B16:C17"/>
    <mergeCell ref="D16:D17"/>
    <mergeCell ref="E16:E17"/>
    <mergeCell ref="F16:F17"/>
    <mergeCell ref="G16:G17"/>
    <mergeCell ref="A35:J35"/>
    <mergeCell ref="B39:D39"/>
    <mergeCell ref="E39:F39"/>
    <mergeCell ref="C85:D90"/>
    <mergeCell ref="Q16:Q17"/>
    <mergeCell ref="E24:H24"/>
    <mergeCell ref="F28:G29"/>
    <mergeCell ref="H28:J29"/>
    <mergeCell ref="A29:E34"/>
    <mergeCell ref="F33:G33"/>
    <mergeCell ref="H33:J33"/>
    <mergeCell ref="F34:G34"/>
    <mergeCell ref="H34:J34"/>
    <mergeCell ref="H16:H17"/>
    <mergeCell ref="I16:I17"/>
    <mergeCell ref="M16:M17"/>
  </mergeCells>
  <conditionalFormatting sqref="B6:C10 B12:J13 G6:J6 G7:H8 I9:J9 G9:G10">
    <cfRule type="containsBlanks" dxfId="7" priority="8">
      <formula>LEN(TRIM(B6))=0</formula>
    </cfRule>
  </conditionalFormatting>
  <conditionalFormatting sqref="C12:D12 C13:J13">
    <cfRule type="containsBlanks" dxfId="6" priority="6">
      <formula>LEN(TRIM(C12))=0</formula>
    </cfRule>
  </conditionalFormatting>
  <conditionalFormatting sqref="C6:F10">
    <cfRule type="containsBlanks" dxfId="5" priority="7">
      <formula>LEN(TRIM(C6))=0</formula>
    </cfRule>
  </conditionalFormatting>
  <conditionalFormatting sqref="E18:E22">
    <cfRule type="containsBlanks" dxfId="4" priority="2">
      <formula>LEN(TRIM(E18))=0</formula>
    </cfRule>
  </conditionalFormatting>
  <conditionalFormatting sqref="G18:G22">
    <cfRule type="containsBlanks" dxfId="3" priority="1">
      <formula>LEN(TRIM(G18))=0</formula>
    </cfRule>
  </conditionalFormatting>
  <conditionalFormatting sqref="H6:J9 F12 H12 J12">
    <cfRule type="containsBlanks" dxfId="2" priority="5">
      <formula>LEN(TRIM(F6))=0</formula>
    </cfRule>
  </conditionalFormatting>
  <conditionalFormatting sqref="M20:M21">
    <cfRule type="duplicateValues" dxfId="1" priority="4" stopIfTrue="1"/>
  </conditionalFormatting>
  <conditionalFormatting sqref="N20:N34">
    <cfRule type="containsBlanks" dxfId="0" priority="3">
      <formula>LEN(TRIM(N20))=0</formula>
    </cfRule>
  </conditionalFormatting>
  <dataValidations count="2">
    <dataValidation type="list" allowBlank="1" showInputMessage="1" showErrorMessage="1" sqref="L15 L981273 L915737 L850201 L784665 L719129 L653593 L588057 L522521 L456985 L391449 L325913 L260377 L194841 L129305 L63769" xr:uid="{00000000-0002-0000-0400-000000000000}">
      <formula1>$R$16:$R$17</formula1>
    </dataValidation>
    <dataValidation type="list" allowBlank="1" showInputMessage="1" showErrorMessage="1" sqref="C12" xr:uid="{00000000-0002-0000-0400-000001000000}">
      <formula1>$M$6:$M$13</formula1>
    </dataValidation>
  </dataValidations>
  <printOptions horizontalCentered="1" verticalCentered="1"/>
  <pageMargins left="0.70866141732283472" right="0.70866141732283472" top="0.74803149606299213" bottom="0.74803149606299213" header="0.31496062992125984" footer="0.31496062992125984"/>
  <pageSetup scale="51" orientation="landscape" r:id="rId1"/>
  <headerFooter>
    <oddFooter xml:space="preserve">&amp;CGEODELTA S.A.S. Calle 68 B bis No 70 C 95, Móvil: 318 7902368 Bogotá DC - Colombia
e-mail: laboratoriogeodelta@gmail.com
</oddFooter>
  </headerFooter>
  <colBreaks count="1" manualBreakCount="1">
    <brk id="10" max="1048575" man="1"/>
  </colBreaks>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GUIA</vt:lpstr>
      <vt:lpstr>GUIA!Área_de_impresión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DCM-03</dc:creator>
  <cp:lastModifiedBy>GeoDelta Líneas</cp:lastModifiedBy>
  <cp:lastPrinted>2026-05-14T16:32:43Z</cp:lastPrinted>
  <dcterms:created xsi:type="dcterms:W3CDTF">2019-08-23T14:36:05Z</dcterms:created>
  <dcterms:modified xsi:type="dcterms:W3CDTF">2026-05-14T16:48:08Z</dcterms:modified>
</cp:coreProperties>
</file>