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3.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4.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charts/chart5.xml" ContentType="application/vnd.openxmlformats-officedocument.drawingml.chart+xml"/>
  <Override PartName="/xl/drawings/drawing5.xml" ContentType="application/vnd.openxmlformats-officedocument.drawing+xml"/>
  <Override PartName="/xl/comments5.xml" ContentType="application/vnd.openxmlformats-officedocument.spreadsheetml.comments+xml"/>
  <Override PartName="/xl/charts/chart6.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charts/chart7.xml" ContentType="application/vnd.openxmlformats-officedocument.drawingml.chart+xml"/>
  <Override PartName="/xl/drawings/drawing7.xml" ContentType="application/vnd.openxmlformats-officedocument.drawing+xml"/>
  <Override PartName="/xl/comments7.xml" ContentType="application/vnd.openxmlformats-officedocument.spreadsheetml.comments+xml"/>
  <Override PartName="/xl/charts/chart8.xml" ContentType="application/vnd.openxmlformats-officedocument.drawingml.chart+xml"/>
  <Override PartName="/xl/drawings/drawing8.xml" ContentType="application/vnd.openxmlformats-officedocument.drawing+xml"/>
  <Override PartName="/xl/comments8.xml" ContentType="application/vnd.openxmlformats-officedocument.spreadsheetml.comments+xml"/>
  <Override PartName="/xl/charts/chart9.xml" ContentType="application/vnd.openxmlformats-officedocument.drawingml.chart+xml"/>
  <Override PartName="/xl/drawings/drawing9.xml" ContentType="application/vnd.openxmlformats-officedocument.drawing+xml"/>
  <Override PartName="/xl/charts/chart10.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0.xml" ContentType="application/vnd.openxmlformats-officedocument.drawing+xml"/>
  <Override PartName="/xl/charts/chart11.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1.xml" ContentType="application/vnd.openxmlformats-officedocument.drawing+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GeoDelta Líneas\Dropbox\14. GEODELTA\014 FORMATOS ACTUALIZADOS 2026\FORMATOS PARA DIGITAR ACTUALIZADOS 2026\"/>
    </mc:Choice>
  </mc:AlternateContent>
  <xr:revisionPtr revIDLastSave="0" documentId="13_ncr:1_{48F04901-EC8C-4504-BEF0-EBC159557C50}" xr6:coauthVersionLast="47" xr6:coauthVersionMax="47" xr10:uidLastSave="{00000000-0000-0000-0000-000000000000}"/>
  <bookViews>
    <workbookView xWindow="-120" yWindow="-120" windowWidth="20730" windowHeight="11040" xr2:uid="{00000000-000D-0000-FFFF-FFFF00000000}"/>
  </bookViews>
  <sheets>
    <sheet name="Resultados" sheetId="1" r:id="rId1"/>
    <sheet name="0.5 kg" sheetId="15" r:id="rId2"/>
    <sheet name="1,0 kg " sheetId="35" r:id="rId3"/>
    <sheet name="2,0 kg " sheetId="36" r:id="rId4"/>
    <sheet name="4,0 kg  " sheetId="37" r:id="rId5"/>
    <sheet name="8,0 kg" sheetId="38" r:id="rId6"/>
    <sheet name="16,0 kg" sheetId="39" r:id="rId7"/>
    <sheet name="32,0 kg" sheetId="40" r:id="rId8"/>
    <sheet name="Datos " sheetId="33" r:id="rId9"/>
    <sheet name="DATOS MAQUINA " sheetId="34" r:id="rId10"/>
    <sheet name="GS" sheetId="41" r:id="rId11"/>
    <sheet name="CONTROL DE CAMBIOS" sheetId="42" r:id="rId12"/>
  </sheets>
  <definedNames>
    <definedName name="_xlnm.Print_Area" localSheetId="1">'0.5 kg'!$A$1:$O$58</definedName>
    <definedName name="_xlnm.Print_Area" localSheetId="2">'1,0 kg '!$A$1:$O$58</definedName>
    <definedName name="_xlnm.Print_Area" localSheetId="6">'16,0 kg'!$A$1:$O$58</definedName>
    <definedName name="_xlnm.Print_Area" localSheetId="3">'2,0 kg '!$A$1:$O$58</definedName>
    <definedName name="_xlnm.Print_Area" localSheetId="7">'32,0 kg'!$A$1:$O$58</definedName>
    <definedName name="_xlnm.Print_Area" localSheetId="4">'4,0 kg  '!$A$1:$O$58</definedName>
    <definedName name="_xlnm.Print_Area" localSheetId="5">'8,0 kg'!$A$1:$O$58</definedName>
    <definedName name="_xlnm.Print_Area" localSheetId="0">Resultados!$A$1:$Q$65</definedName>
    <definedName name="_xlnm.Print_Titles" localSheetId="0">Resultados!$A:$P,Resultados!$1:$10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M4" i="15" l="1"/>
  <c r="M1" i="15"/>
  <c r="D48" i="1"/>
  <c r="D46" i="1"/>
  <c r="D45" i="1"/>
  <c r="K30" i="1"/>
  <c r="H5" i="33"/>
  <c r="A677" i="34"/>
  <c r="A678" i="34"/>
  <c r="A679" i="34"/>
  <c r="A680" i="34"/>
  <c r="A681" i="34"/>
  <c r="A682" i="34"/>
  <c r="A683" i="34"/>
  <c r="A684" i="34"/>
  <c r="A685" i="34"/>
  <c r="A686" i="34"/>
  <c r="A687" i="34"/>
  <c r="A688" i="34"/>
  <c r="A689" i="34"/>
  <c r="A690" i="34"/>
  <c r="A691" i="34"/>
  <c r="A692" i="34"/>
  <c r="A693" i="34"/>
  <c r="A694" i="34"/>
  <c r="A695" i="34"/>
  <c r="A696" i="34"/>
  <c r="A697" i="34"/>
  <c r="A698" i="34"/>
  <c r="A699" i="34"/>
  <c r="A700" i="34"/>
  <c r="A701" i="34"/>
  <c r="A702" i="34"/>
  <c r="A703" i="34"/>
  <c r="A704" i="34"/>
  <c r="A705" i="34"/>
  <c r="A706" i="34"/>
  <c r="A707" i="34"/>
  <c r="A708" i="34"/>
  <c r="A709" i="34"/>
  <c r="A710" i="34"/>
  <c r="A711" i="34"/>
  <c r="A712" i="34"/>
  <c r="A713" i="34"/>
  <c r="A714" i="34"/>
  <c r="A715" i="34"/>
  <c r="A716" i="34"/>
  <c r="A717" i="34"/>
  <c r="A718" i="34"/>
  <c r="A719" i="34"/>
  <c r="A720" i="34"/>
  <c r="A721" i="34"/>
  <c r="A722" i="34"/>
  <c r="A723" i="34"/>
  <c r="A724" i="34"/>
  <c r="A725" i="34"/>
  <c r="A726" i="34"/>
  <c r="A727" i="34"/>
  <c r="A728" i="34"/>
  <c r="A729" i="34"/>
  <c r="A730" i="34"/>
  <c r="A731" i="34"/>
  <c r="A732" i="34"/>
  <c r="A733" i="34"/>
  <c r="A734" i="34"/>
  <c r="A735" i="34"/>
  <c r="A736" i="34"/>
  <c r="A737" i="34"/>
  <c r="A738" i="34"/>
  <c r="A739" i="34"/>
  <c r="A740" i="34"/>
  <c r="A741" i="34"/>
  <c r="A742" i="34"/>
  <c r="A743" i="34"/>
  <c r="A744" i="34"/>
  <c r="A745" i="34"/>
  <c r="A746" i="34"/>
  <c r="A747" i="34"/>
  <c r="A748" i="34"/>
  <c r="A749" i="34"/>
  <c r="A750" i="34"/>
  <c r="A751" i="34"/>
  <c r="A752" i="34"/>
  <c r="A753" i="34"/>
  <c r="A754" i="34"/>
  <c r="A755" i="34"/>
  <c r="A756" i="34"/>
  <c r="A757" i="34"/>
  <c r="A758" i="34"/>
  <c r="A759" i="34"/>
  <c r="A760" i="34"/>
  <c r="A761" i="34"/>
  <c r="A762" i="34"/>
  <c r="A763" i="34"/>
  <c r="A764" i="34"/>
  <c r="A765" i="34"/>
  <c r="A766" i="34"/>
  <c r="A767" i="34"/>
  <c r="A768" i="34"/>
  <c r="A769" i="34"/>
  <c r="A770" i="34"/>
  <c r="A771" i="34"/>
  <c r="A772" i="34"/>
  <c r="A773" i="34"/>
  <c r="A774" i="34"/>
  <c r="A775" i="34"/>
  <c r="A776" i="34"/>
  <c r="A777" i="34"/>
  <c r="A778" i="34"/>
  <c r="A779" i="34"/>
  <c r="A780" i="34"/>
  <c r="A781" i="34"/>
  <c r="A782" i="34"/>
  <c r="A783" i="34"/>
  <c r="A784" i="34"/>
  <c r="A785" i="34"/>
  <c r="A786" i="34"/>
  <c r="A787" i="34"/>
  <c r="A788" i="34"/>
  <c r="A789" i="34"/>
  <c r="A790" i="34"/>
  <c r="A791" i="34"/>
  <c r="A792" i="34"/>
  <c r="A793" i="34"/>
  <c r="A794" i="34"/>
  <c r="A795" i="34"/>
  <c r="A796" i="34"/>
  <c r="A797" i="34"/>
  <c r="A798" i="34"/>
  <c r="A799" i="34"/>
  <c r="A800" i="34"/>
  <c r="A801" i="34"/>
  <c r="A802" i="34"/>
  <c r="A803" i="34"/>
  <c r="A804" i="34"/>
  <c r="A805" i="34"/>
  <c r="A806" i="34"/>
  <c r="A807" i="34"/>
  <c r="A808" i="34"/>
  <c r="A809" i="34"/>
  <c r="A810" i="34"/>
  <c r="A811" i="34"/>
  <c r="A812" i="34"/>
  <c r="A813" i="34"/>
  <c r="A814" i="34"/>
  <c r="A815" i="34"/>
  <c r="A816" i="34"/>
  <c r="A817" i="34"/>
  <c r="A818" i="34"/>
  <c r="A819" i="34"/>
  <c r="A820" i="34"/>
  <c r="A821" i="34"/>
  <c r="A822" i="34"/>
  <c r="A823" i="34"/>
  <c r="A824" i="34"/>
  <c r="A825" i="34"/>
  <c r="A826" i="34"/>
  <c r="A827" i="34"/>
  <c r="A828" i="34"/>
  <c r="A829" i="34"/>
  <c r="A830" i="34"/>
  <c r="A831" i="34"/>
  <c r="A832" i="34"/>
  <c r="A833" i="34"/>
  <c r="A834" i="34"/>
  <c r="A835" i="34"/>
  <c r="A836" i="34"/>
  <c r="A837" i="34"/>
  <c r="A838" i="34"/>
  <c r="A839" i="34"/>
  <c r="A840" i="34"/>
  <c r="A841" i="34"/>
  <c r="A842" i="34"/>
  <c r="A843" i="34"/>
  <c r="A844" i="34"/>
  <c r="A845" i="34"/>
  <c r="A846" i="34"/>
  <c r="A847" i="34"/>
  <c r="A848" i="34"/>
  <c r="A849" i="34"/>
  <c r="A850" i="34"/>
  <c r="A851" i="34"/>
  <c r="A852" i="34"/>
  <c r="A853" i="34"/>
  <c r="A854" i="34"/>
  <c r="A855" i="34"/>
  <c r="A856" i="34"/>
  <c r="A857" i="34"/>
  <c r="A858" i="34"/>
  <c r="A859" i="34"/>
  <c r="A860" i="34"/>
  <c r="A861" i="34"/>
  <c r="A862" i="34"/>
  <c r="A863" i="34"/>
  <c r="A864" i="34"/>
  <c r="A865" i="34"/>
  <c r="A866" i="34"/>
  <c r="A867" i="34"/>
  <c r="A868" i="34"/>
  <c r="A869" i="34"/>
  <c r="A870" i="34"/>
  <c r="A871" i="34"/>
  <c r="A872" i="34"/>
  <c r="A873" i="34"/>
  <c r="A874" i="34"/>
  <c r="A875" i="34"/>
  <c r="A876" i="34"/>
  <c r="A877" i="34"/>
  <c r="A878" i="34"/>
  <c r="A879" i="34"/>
  <c r="A880" i="34"/>
  <c r="A881" i="34"/>
  <c r="A882" i="34"/>
  <c r="A883" i="34"/>
  <c r="A884" i="34"/>
  <c r="A885" i="34"/>
  <c r="A886" i="34"/>
  <c r="A887" i="34"/>
  <c r="A888" i="34"/>
  <c r="A889" i="34"/>
  <c r="A890" i="34"/>
  <c r="A891" i="34"/>
  <c r="A892" i="34"/>
  <c r="A893" i="34"/>
  <c r="A894" i="34"/>
  <c r="A895" i="34"/>
  <c r="A896" i="34"/>
  <c r="A897" i="34"/>
  <c r="A898" i="34"/>
  <c r="A899" i="34"/>
  <c r="A900" i="34"/>
  <c r="A901" i="34"/>
  <c r="A902" i="34"/>
  <c r="A903" i="34"/>
  <c r="A904" i="34"/>
  <c r="A905" i="34"/>
  <c r="A906" i="34"/>
  <c r="A907" i="34"/>
  <c r="A908" i="34"/>
  <c r="A909" i="34"/>
  <c r="A910" i="34"/>
  <c r="A911" i="34"/>
  <c r="A912" i="34"/>
  <c r="A913" i="34"/>
  <c r="A914" i="34"/>
  <c r="A915" i="34"/>
  <c r="A916" i="34"/>
  <c r="A917" i="34"/>
  <c r="A918" i="34"/>
  <c r="A919" i="34"/>
  <c r="A920" i="34"/>
  <c r="A921" i="34"/>
  <c r="A922" i="34"/>
  <c r="A923" i="34"/>
  <c r="A924" i="34"/>
  <c r="A925" i="34"/>
  <c r="A926" i="34"/>
  <c r="A927" i="34"/>
  <c r="A928" i="34"/>
  <c r="A929" i="34"/>
  <c r="A930" i="34"/>
  <c r="A931" i="34"/>
  <c r="A932" i="34"/>
  <c r="A933" i="34"/>
  <c r="A934" i="34"/>
  <c r="A935" i="34"/>
  <c r="A936" i="34"/>
  <c r="A937" i="34"/>
  <c r="A938" i="34"/>
  <c r="A939" i="34"/>
  <c r="A940" i="34"/>
  <c r="A941" i="34"/>
  <c r="A942" i="34"/>
  <c r="A943" i="34"/>
  <c r="A944" i="34"/>
  <c r="A945" i="34"/>
  <c r="A946" i="34"/>
  <c r="A947" i="34"/>
  <c r="A948" i="34"/>
  <c r="A949" i="34"/>
  <c r="A950" i="34"/>
  <c r="A951" i="34"/>
  <c r="A952" i="34"/>
  <c r="A953" i="34"/>
  <c r="A954" i="34"/>
  <c r="A955" i="34"/>
  <c r="A956" i="34"/>
  <c r="A957" i="34"/>
  <c r="A958" i="34"/>
  <c r="A959" i="34"/>
  <c r="A960" i="34"/>
  <c r="A961" i="34"/>
  <c r="A962" i="34"/>
  <c r="A963" i="34"/>
  <c r="A964" i="34"/>
  <c r="A965" i="34"/>
  <c r="A966" i="34"/>
  <c r="A967" i="34"/>
  <c r="A968" i="34"/>
  <c r="A969" i="34"/>
  <c r="A970" i="34"/>
  <c r="A971" i="34"/>
  <c r="A972" i="34"/>
  <c r="A973" i="34"/>
  <c r="A974" i="34"/>
  <c r="A975" i="34"/>
  <c r="A976" i="34"/>
  <c r="A977" i="34"/>
  <c r="A978" i="34"/>
  <c r="A979" i="34"/>
  <c r="A980" i="34"/>
  <c r="A981" i="34"/>
  <c r="A982" i="34"/>
  <c r="A983" i="34"/>
  <c r="A984" i="34"/>
  <c r="A985" i="34"/>
  <c r="A986" i="34"/>
  <c r="A987" i="34"/>
  <c r="A988" i="34"/>
  <c r="A989" i="34"/>
  <c r="A990" i="34"/>
  <c r="A991" i="34"/>
  <c r="A992" i="34"/>
  <c r="A993" i="34"/>
  <c r="A994" i="34"/>
  <c r="A995" i="34"/>
  <c r="A996" i="34"/>
  <c r="A997" i="34"/>
  <c r="A998" i="34"/>
  <c r="A999" i="34"/>
  <c r="A1000" i="34"/>
  <c r="A1001" i="34"/>
  <c r="A1002" i="34"/>
  <c r="A1003" i="34"/>
  <c r="A1004" i="34"/>
  <c r="A1005" i="34"/>
  <c r="A1006" i="34"/>
  <c r="A1007" i="34"/>
  <c r="A1008" i="34"/>
  <c r="A1009" i="34"/>
  <c r="A1010" i="34"/>
  <c r="A1011" i="34"/>
  <c r="A1012" i="34"/>
  <c r="A1013" i="34"/>
  <c r="A1014" i="34"/>
  <c r="A1015" i="34"/>
  <c r="A1016" i="34"/>
  <c r="A1017" i="34"/>
  <c r="A1018" i="34"/>
  <c r="A1019" i="34"/>
  <c r="A1020" i="34"/>
  <c r="A1021" i="34"/>
  <c r="A1022" i="34"/>
  <c r="A1023" i="34"/>
  <c r="A1024" i="34"/>
  <c r="A1025" i="34"/>
  <c r="A1026" i="34"/>
  <c r="A1027" i="34"/>
  <c r="A1028" i="34"/>
  <c r="A1029" i="34"/>
  <c r="A1030" i="34"/>
  <c r="A1031" i="34"/>
  <c r="A1032" i="34"/>
  <c r="A1033" i="34"/>
  <c r="A1034" i="34"/>
  <c r="A1035" i="34"/>
  <c r="A1036" i="34"/>
  <c r="A1037" i="34"/>
  <c r="A1038" i="34"/>
  <c r="A1039" i="34"/>
  <c r="A1040" i="34"/>
  <c r="A1041" i="34"/>
  <c r="A1042" i="34"/>
  <c r="A1043" i="34"/>
  <c r="A1044" i="34"/>
  <c r="A1045" i="34"/>
  <c r="A1046" i="34"/>
  <c r="A1047" i="34"/>
  <c r="A1048" i="34"/>
  <c r="A1049" i="34"/>
  <c r="A1050" i="34"/>
  <c r="A1051" i="34"/>
  <c r="A1052" i="34"/>
  <c r="A1053" i="34"/>
  <c r="A1054" i="34"/>
  <c r="A1055" i="34"/>
  <c r="A1056" i="34"/>
  <c r="A1057" i="34"/>
  <c r="A1058" i="34"/>
  <c r="A1059" i="34"/>
  <c r="A1060" i="34"/>
  <c r="A1061" i="34"/>
  <c r="A1062" i="34"/>
  <c r="A1063" i="34"/>
  <c r="A1064" i="34"/>
  <c r="A1065" i="34"/>
  <c r="A1066" i="34"/>
  <c r="A1067" i="34"/>
  <c r="A1068" i="34"/>
  <c r="A1069" i="34"/>
  <c r="A1070" i="34"/>
  <c r="A1071" i="34"/>
  <c r="A1072" i="34"/>
  <c r="A1073" i="34"/>
  <c r="A1074" i="34"/>
  <c r="A1075" i="34"/>
  <c r="A1076" i="34"/>
  <c r="A1077" i="34"/>
  <c r="A1078" i="34"/>
  <c r="A1079" i="34"/>
  <c r="A1080" i="34"/>
  <c r="A1081" i="34"/>
  <c r="A1082" i="34"/>
  <c r="A1083" i="34"/>
  <c r="A1084" i="34"/>
  <c r="A1085" i="34"/>
  <c r="A1086" i="34"/>
  <c r="A1087" i="34"/>
  <c r="A1088" i="34"/>
  <c r="A1089" i="34"/>
  <c r="A1090" i="34"/>
  <c r="A1091" i="34"/>
  <c r="A1092" i="34"/>
  <c r="A1093" i="34"/>
  <c r="A1094" i="34"/>
  <c r="A1095" i="34"/>
  <c r="A1096" i="34"/>
  <c r="A1097" i="34"/>
  <c r="A1098" i="34"/>
  <c r="A1099" i="34"/>
  <c r="A1100" i="34"/>
  <c r="A1101" i="34"/>
  <c r="A1102" i="34"/>
  <c r="A1103" i="34"/>
  <c r="A1104" i="34"/>
  <c r="A1105" i="34"/>
  <c r="A1106" i="34"/>
  <c r="A1107" i="34"/>
  <c r="A1108" i="34"/>
  <c r="A1109" i="34"/>
  <c r="A1110" i="34"/>
  <c r="A1111" i="34"/>
  <c r="A1112" i="34"/>
  <c r="A1113" i="34"/>
  <c r="A1114" i="34"/>
  <c r="A1115" i="34"/>
  <c r="A1116" i="34"/>
  <c r="A1117" i="34"/>
  <c r="A1118" i="34"/>
  <c r="A1119" i="34"/>
  <c r="A1120" i="34"/>
  <c r="A1121" i="34"/>
  <c r="A1122" i="34"/>
  <c r="A1123" i="34"/>
  <c r="A1124" i="34"/>
  <c r="A1125" i="34"/>
  <c r="A1126" i="34"/>
  <c r="A1127" i="34"/>
  <c r="A1128" i="34"/>
  <c r="A1129" i="34"/>
  <c r="A1130" i="34"/>
  <c r="A1131" i="34"/>
  <c r="A1132" i="34"/>
  <c r="A1133" i="34"/>
  <c r="A1134" i="34"/>
  <c r="A1135" i="34"/>
  <c r="A1136" i="34"/>
  <c r="A1137" i="34"/>
  <c r="A1138" i="34"/>
  <c r="A1139" i="34"/>
  <c r="A1140" i="34"/>
  <c r="A1141" i="34"/>
  <c r="A1142" i="34"/>
  <c r="A1143" i="34"/>
  <c r="A1144" i="34"/>
  <c r="A1145" i="34"/>
  <c r="A1146" i="34"/>
  <c r="A1147" i="34"/>
  <c r="A1148" i="34"/>
  <c r="A1149" i="34"/>
  <c r="A1150" i="34"/>
  <c r="A1151" i="34"/>
  <c r="A1152" i="34"/>
  <c r="A1153" i="34"/>
  <c r="A1154" i="34"/>
  <c r="A1155" i="34"/>
  <c r="A1156" i="34"/>
  <c r="A1157" i="34"/>
  <c r="A1158" i="34"/>
  <c r="A1159" i="34"/>
  <c r="A1160" i="34"/>
  <c r="A1161" i="34"/>
  <c r="A1162" i="34"/>
  <c r="A1163" i="34"/>
  <c r="A1164" i="34"/>
  <c r="A1165" i="34"/>
  <c r="A1166" i="34"/>
  <c r="A1167" i="34"/>
  <c r="A1168" i="34"/>
  <c r="A1169" i="34"/>
  <c r="A1170" i="34"/>
  <c r="A1171" i="34"/>
  <c r="A1172" i="34"/>
  <c r="A1173" i="34"/>
  <c r="A1174" i="34"/>
  <c r="A1175" i="34"/>
  <c r="A1176" i="34"/>
  <c r="A1177" i="34"/>
  <c r="A1178" i="34"/>
  <c r="A1179" i="34"/>
  <c r="A1180" i="34"/>
  <c r="A1181" i="34"/>
  <c r="A1182" i="34"/>
  <c r="A1183" i="34"/>
  <c r="A1184" i="34"/>
  <c r="A1185" i="34"/>
  <c r="A1186" i="34"/>
  <c r="A1187" i="34"/>
  <c r="A1188" i="34"/>
  <c r="A1189" i="34"/>
  <c r="A1190" i="34"/>
  <c r="A1191" i="34"/>
  <c r="A1192" i="34"/>
  <c r="A1193" i="34"/>
  <c r="A1194" i="34"/>
  <c r="A1195" i="34"/>
  <c r="A1196" i="34"/>
  <c r="A1197" i="34"/>
  <c r="A1198" i="34"/>
  <c r="A1199" i="34"/>
  <c r="A1200" i="34"/>
  <c r="A1201" i="34"/>
  <c r="A1202" i="34"/>
  <c r="A1203" i="34"/>
  <c r="A1204" i="34"/>
  <c r="A1205" i="34"/>
  <c r="A1206" i="34"/>
  <c r="A1207" i="34"/>
  <c r="A1208" i="34"/>
  <c r="A1209" i="34"/>
  <c r="A1210" i="34"/>
  <c r="A1211" i="34"/>
  <c r="A1212" i="34"/>
  <c r="A1213" i="34"/>
  <c r="A1214" i="34"/>
  <c r="A1215" i="34"/>
  <c r="A1216" i="34"/>
  <c r="A1217" i="34"/>
  <c r="A1218" i="34"/>
  <c r="A1219" i="34"/>
  <c r="A1220" i="34"/>
  <c r="A1221" i="34"/>
  <c r="A1222" i="34"/>
  <c r="A1223" i="34"/>
  <c r="A1224" i="34"/>
  <c r="A1225" i="34"/>
  <c r="A1226" i="34"/>
  <c r="A1227" i="34"/>
  <c r="A1228" i="34"/>
  <c r="A1229" i="34"/>
  <c r="A1230" i="34"/>
  <c r="A1231" i="34"/>
  <c r="A1232" i="34"/>
  <c r="A1233" i="34"/>
  <c r="A1234" i="34"/>
  <c r="A1235" i="34"/>
  <c r="A1236" i="34"/>
  <c r="A1237" i="34"/>
  <c r="A1238" i="34"/>
  <c r="A1239" i="34"/>
  <c r="A1240" i="34"/>
  <c r="A1241" i="34"/>
  <c r="A1242" i="34"/>
  <c r="A1243" i="34"/>
  <c r="A1244" i="34"/>
  <c r="A1245" i="34"/>
  <c r="A1246" i="34"/>
  <c r="A1247" i="34"/>
  <c r="A1248" i="34"/>
  <c r="A1249" i="34"/>
  <c r="A1250" i="34"/>
  <c r="A1251" i="34"/>
  <c r="A1252" i="34"/>
  <c r="A1253" i="34"/>
  <c r="A1254" i="34"/>
  <c r="A1255" i="34"/>
  <c r="A1256" i="34"/>
  <c r="A1257" i="34"/>
  <c r="A1258" i="34"/>
  <c r="A1259" i="34"/>
  <c r="A1260" i="34"/>
  <c r="A1261" i="34"/>
  <c r="A1262" i="34"/>
  <c r="A1263" i="34"/>
  <c r="A1264" i="34"/>
  <c r="A1265" i="34"/>
  <c r="A1266" i="34"/>
  <c r="A1267" i="34"/>
  <c r="A1268" i="34"/>
  <c r="A1269" i="34"/>
  <c r="A1270" i="34"/>
  <c r="A676" i="34"/>
  <c r="A662" i="34"/>
  <c r="D4" i="34"/>
  <c r="D5" i="34"/>
  <c r="S4" i="34"/>
  <c r="P4" i="34"/>
  <c r="M4" i="34"/>
  <c r="J4" i="34"/>
  <c r="G4" i="34"/>
  <c r="G5" i="34"/>
  <c r="E4" i="33"/>
  <c r="D39" i="33" s="1"/>
  <c r="D20" i="35" s="1"/>
  <c r="B4" i="33"/>
  <c r="C39" i="33" s="1"/>
  <c r="C4" i="33" l="1"/>
  <c r="D19" i="15"/>
  <c r="E19" i="15" s="1"/>
  <c r="F25" i="1"/>
  <c r="E37" i="1"/>
  <c r="E32" i="1"/>
  <c r="F32" i="1"/>
  <c r="F19" i="15"/>
  <c r="AA18" i="37" l="1"/>
  <c r="AA22" i="37"/>
  <c r="AA23" i="37"/>
  <c r="AA24" i="37"/>
  <c r="AA25" i="37"/>
  <c r="AA26" i="37"/>
  <c r="AA27" i="37"/>
  <c r="AA28" i="37"/>
  <c r="AA29" i="37"/>
  <c r="AA30" i="37"/>
  <c r="AA31" i="37"/>
  <c r="AA32" i="37"/>
  <c r="AA33" i="37"/>
  <c r="AA34" i="37"/>
  <c r="AA35" i="37"/>
  <c r="AA36" i="37"/>
  <c r="AA37" i="37"/>
  <c r="AA38" i="37"/>
  <c r="AA39" i="37"/>
  <c r="AA40" i="37"/>
  <c r="AA41" i="37"/>
  <c r="AA42" i="37"/>
  <c r="AA43" i="37"/>
  <c r="AA44" i="37"/>
  <c r="AA45" i="37"/>
  <c r="AA46" i="37"/>
  <c r="AA47" i="37"/>
  <c r="AA48" i="37"/>
  <c r="AA19" i="37"/>
  <c r="AA20" i="37"/>
  <c r="AA21" i="37"/>
  <c r="X5" i="34" l="1"/>
  <c r="X6" i="34"/>
  <c r="X7" i="34"/>
  <c r="X8" i="34"/>
  <c r="X9" i="34"/>
  <c r="X10" i="34"/>
  <c r="X11" i="34"/>
  <c r="X12" i="34"/>
  <c r="X13" i="34"/>
  <c r="X14" i="34"/>
  <c r="X15" i="34"/>
  <c r="X16" i="34"/>
  <c r="X17" i="34"/>
  <c r="X18" i="34"/>
  <c r="X19" i="34"/>
  <c r="X20" i="34"/>
  <c r="X21" i="34"/>
  <c r="X22" i="34"/>
  <c r="X23" i="34"/>
  <c r="X24" i="34"/>
  <c r="X25" i="34"/>
  <c r="X26" i="34"/>
  <c r="X27" i="34"/>
  <c r="X28" i="34"/>
  <c r="X29" i="34"/>
  <c r="X30" i="34"/>
  <c r="X31" i="34"/>
  <c r="X32" i="34"/>
  <c r="X33" i="34"/>
  <c r="X34" i="34"/>
  <c r="X35" i="34"/>
  <c r="X36" i="34"/>
  <c r="X37" i="34"/>
  <c r="X38" i="34"/>
  <c r="X39" i="34"/>
  <c r="X40" i="34"/>
  <c r="X41" i="34"/>
  <c r="X42" i="34"/>
  <c r="X43" i="34"/>
  <c r="X44" i="34"/>
  <c r="X45" i="34"/>
  <c r="X46" i="34"/>
  <c r="X47" i="34"/>
  <c r="X48" i="34"/>
  <c r="X49" i="34"/>
  <c r="X50" i="34"/>
  <c r="X51" i="34"/>
  <c r="X52" i="34"/>
  <c r="X53" i="34"/>
  <c r="X54" i="34"/>
  <c r="X55" i="34"/>
  <c r="X56" i="34"/>
  <c r="X57" i="34"/>
  <c r="X58" i="34"/>
  <c r="X59" i="34"/>
  <c r="X60" i="34"/>
  <c r="X61" i="34"/>
  <c r="X62" i="34"/>
  <c r="X63" i="34"/>
  <c r="X64" i="34"/>
  <c r="X65" i="34"/>
  <c r="X66" i="34"/>
  <c r="X67" i="34"/>
  <c r="X68" i="34"/>
  <c r="X69" i="34"/>
  <c r="X70" i="34"/>
  <c r="X71" i="34"/>
  <c r="X72" i="34"/>
  <c r="X73" i="34"/>
  <c r="X74" i="34"/>
  <c r="X75" i="34"/>
  <c r="X76" i="34"/>
  <c r="X77" i="34"/>
  <c r="X78" i="34"/>
  <c r="X79" i="34"/>
  <c r="X80" i="34"/>
  <c r="X81" i="34"/>
  <c r="X82" i="34"/>
  <c r="X83" i="34"/>
  <c r="X84" i="34"/>
  <c r="X85" i="34"/>
  <c r="X86" i="34"/>
  <c r="X87" i="34"/>
  <c r="X88" i="34"/>
  <c r="X89" i="34"/>
  <c r="X90" i="34"/>
  <c r="X91" i="34"/>
  <c r="X92" i="34"/>
  <c r="X93" i="34"/>
  <c r="X94" i="34"/>
  <c r="X95" i="34"/>
  <c r="X96" i="34"/>
  <c r="X97" i="34"/>
  <c r="X98" i="34"/>
  <c r="X99" i="34"/>
  <c r="X100" i="34"/>
  <c r="X101" i="34"/>
  <c r="X102" i="34"/>
  <c r="X103" i="34"/>
  <c r="X104" i="34"/>
  <c r="X105" i="34"/>
  <c r="X106" i="34"/>
  <c r="X107" i="34"/>
  <c r="X108" i="34"/>
  <c r="X109" i="34"/>
  <c r="X110" i="34"/>
  <c r="X111" i="34"/>
  <c r="X112" i="34"/>
  <c r="X113" i="34"/>
  <c r="X114" i="34"/>
  <c r="X115" i="34"/>
  <c r="X116" i="34"/>
  <c r="X117" i="34"/>
  <c r="X118" i="34"/>
  <c r="X119" i="34"/>
  <c r="X120" i="34"/>
  <c r="X121" i="34"/>
  <c r="X122" i="34"/>
  <c r="X123" i="34"/>
  <c r="X124" i="34"/>
  <c r="X125" i="34"/>
  <c r="X126" i="34"/>
  <c r="X127" i="34"/>
  <c r="X128" i="34"/>
  <c r="X129" i="34"/>
  <c r="X130" i="34"/>
  <c r="X131" i="34"/>
  <c r="X132" i="34"/>
  <c r="X133" i="34"/>
  <c r="X134" i="34"/>
  <c r="X135" i="34"/>
  <c r="X136" i="34"/>
  <c r="X137" i="34"/>
  <c r="X138" i="34"/>
  <c r="X139" i="34"/>
  <c r="X140" i="34"/>
  <c r="X141" i="34"/>
  <c r="X142" i="34"/>
  <c r="X143" i="34"/>
  <c r="X144" i="34"/>
  <c r="X145" i="34"/>
  <c r="X146" i="34"/>
  <c r="X147" i="34"/>
  <c r="X148" i="34"/>
  <c r="X149" i="34"/>
  <c r="X150" i="34"/>
  <c r="X151" i="34"/>
  <c r="X152" i="34"/>
  <c r="X153" i="34"/>
  <c r="X154" i="34"/>
  <c r="X155" i="34"/>
  <c r="X156" i="34"/>
  <c r="X157" i="34"/>
  <c r="X158" i="34"/>
  <c r="X159" i="34"/>
  <c r="X160" i="34"/>
  <c r="X161" i="34"/>
  <c r="X162" i="34"/>
  <c r="X163" i="34"/>
  <c r="X164" i="34"/>
  <c r="X165" i="34"/>
  <c r="X166" i="34"/>
  <c r="X167" i="34"/>
  <c r="X168" i="34"/>
  <c r="X169" i="34"/>
  <c r="X170" i="34"/>
  <c r="X171" i="34"/>
  <c r="X172" i="34"/>
  <c r="X173" i="34"/>
  <c r="X174" i="34"/>
  <c r="X175" i="34"/>
  <c r="X176" i="34"/>
  <c r="X177" i="34"/>
  <c r="X178" i="34"/>
  <c r="X179" i="34"/>
  <c r="X180" i="34"/>
  <c r="X181" i="34"/>
  <c r="X182" i="34"/>
  <c r="X183" i="34"/>
  <c r="X184" i="34"/>
  <c r="X185" i="34"/>
  <c r="X186" i="34"/>
  <c r="X187" i="34"/>
  <c r="X188" i="34"/>
  <c r="X189" i="34"/>
  <c r="X190" i="34"/>
  <c r="X191" i="34"/>
  <c r="X192" i="34"/>
  <c r="X193" i="34"/>
  <c r="X194" i="34"/>
  <c r="X195" i="34"/>
  <c r="X196" i="34"/>
  <c r="X197" i="34"/>
  <c r="X198" i="34"/>
  <c r="X199" i="34"/>
  <c r="X200" i="34"/>
  <c r="X201" i="34"/>
  <c r="X202" i="34"/>
  <c r="X203" i="34"/>
  <c r="X204" i="34"/>
  <c r="X205" i="34"/>
  <c r="X206" i="34"/>
  <c r="X207" i="34"/>
  <c r="X208" i="34"/>
  <c r="X209" i="34"/>
  <c r="X210" i="34"/>
  <c r="X211" i="34"/>
  <c r="X212" i="34"/>
  <c r="X213" i="34"/>
  <c r="X214" i="34"/>
  <c r="X215" i="34"/>
  <c r="X216" i="34"/>
  <c r="X217" i="34"/>
  <c r="X218" i="34"/>
  <c r="X219" i="34"/>
  <c r="X220" i="34"/>
  <c r="X221" i="34"/>
  <c r="X222" i="34"/>
  <c r="X223" i="34"/>
  <c r="X224" i="34"/>
  <c r="X225" i="34"/>
  <c r="X226" i="34"/>
  <c r="X227" i="34"/>
  <c r="X228" i="34"/>
  <c r="X229" i="34"/>
  <c r="X230" i="34"/>
  <c r="X231" i="34"/>
  <c r="X232" i="34"/>
  <c r="X233" i="34"/>
  <c r="X234" i="34"/>
  <c r="X235" i="34"/>
  <c r="X236" i="34"/>
  <c r="X237" i="34"/>
  <c r="X238" i="34"/>
  <c r="X239" i="34"/>
  <c r="X240" i="34"/>
  <c r="X241" i="34"/>
  <c r="X242" i="34"/>
  <c r="X243" i="34"/>
  <c r="X244" i="34"/>
  <c r="X245" i="34"/>
  <c r="X246" i="34"/>
  <c r="X247" i="34"/>
  <c r="X248" i="34"/>
  <c r="X249" i="34"/>
  <c r="X250" i="34"/>
  <c r="X251" i="34"/>
  <c r="X252" i="34"/>
  <c r="X253" i="34"/>
  <c r="X254" i="34"/>
  <c r="X255" i="34"/>
  <c r="X256" i="34"/>
  <c r="X257" i="34"/>
  <c r="X258" i="34"/>
  <c r="X259" i="34"/>
  <c r="X260" i="34"/>
  <c r="X261" i="34"/>
  <c r="X262" i="34"/>
  <c r="X263" i="34"/>
  <c r="X264" i="34"/>
  <c r="X265" i="34"/>
  <c r="X266" i="34"/>
  <c r="X267" i="34"/>
  <c r="X268" i="34"/>
  <c r="X269" i="34"/>
  <c r="X270" i="34"/>
  <c r="X271" i="34"/>
  <c r="X272" i="34"/>
  <c r="X273" i="34"/>
  <c r="X274" i="34"/>
  <c r="X275" i="34"/>
  <c r="X276" i="34"/>
  <c r="X277" i="34"/>
  <c r="X278" i="34"/>
  <c r="X279" i="34"/>
  <c r="X280" i="34"/>
  <c r="X281" i="34"/>
  <c r="X282" i="34"/>
  <c r="X283" i="34"/>
  <c r="X284" i="34"/>
  <c r="X285" i="34"/>
  <c r="X286" i="34"/>
  <c r="X287" i="34"/>
  <c r="X288" i="34"/>
  <c r="X289" i="34"/>
  <c r="X290" i="34"/>
  <c r="X291" i="34"/>
  <c r="X292" i="34"/>
  <c r="X293" i="34"/>
  <c r="X294" i="34"/>
  <c r="X295" i="34"/>
  <c r="X296" i="34"/>
  <c r="X297" i="34"/>
  <c r="X298" i="34"/>
  <c r="X299" i="34"/>
  <c r="X300" i="34"/>
  <c r="X301" i="34"/>
  <c r="X302" i="34"/>
  <c r="X303" i="34"/>
  <c r="X304" i="34"/>
  <c r="X305" i="34"/>
  <c r="X306" i="34"/>
  <c r="X307" i="34"/>
  <c r="X308" i="34"/>
  <c r="X309" i="34"/>
  <c r="X310" i="34"/>
  <c r="X311" i="34"/>
  <c r="X312" i="34"/>
  <c r="X313" i="34"/>
  <c r="X314" i="34"/>
  <c r="X315" i="34"/>
  <c r="X316" i="34"/>
  <c r="X317" i="34"/>
  <c r="X318" i="34"/>
  <c r="X319" i="34"/>
  <c r="X320" i="34"/>
  <c r="X321" i="34"/>
  <c r="X322" i="34"/>
  <c r="X323" i="34"/>
  <c r="X324" i="34"/>
  <c r="X325" i="34"/>
  <c r="X326" i="34"/>
  <c r="X327" i="34"/>
  <c r="X328" i="34"/>
  <c r="X329" i="34"/>
  <c r="X330" i="34"/>
  <c r="X331" i="34"/>
  <c r="X332" i="34"/>
  <c r="X333" i="34"/>
  <c r="X334" i="34"/>
  <c r="X335" i="34"/>
  <c r="X336" i="34"/>
  <c r="X337" i="34"/>
  <c r="X338" i="34"/>
  <c r="X339" i="34"/>
  <c r="X340" i="34"/>
  <c r="X341" i="34"/>
  <c r="X342" i="34"/>
  <c r="X343" i="34"/>
  <c r="X344" i="34"/>
  <c r="X345" i="34"/>
  <c r="X346" i="34"/>
  <c r="X347" i="34"/>
  <c r="X348" i="34"/>
  <c r="X349" i="34"/>
  <c r="X350" i="34"/>
  <c r="X351" i="34"/>
  <c r="X352" i="34"/>
  <c r="X353" i="34"/>
  <c r="X354" i="34"/>
  <c r="X355" i="34"/>
  <c r="X356" i="34"/>
  <c r="X357" i="34"/>
  <c r="X358" i="34"/>
  <c r="X359" i="34"/>
  <c r="X360" i="34"/>
  <c r="X361" i="34"/>
  <c r="X362" i="34"/>
  <c r="X363" i="34"/>
  <c r="X364" i="34"/>
  <c r="X365" i="34"/>
  <c r="X366" i="34"/>
  <c r="X367" i="34"/>
  <c r="X368" i="34"/>
  <c r="X369" i="34"/>
  <c r="X370" i="34"/>
  <c r="X371" i="34"/>
  <c r="X372" i="34"/>
  <c r="X373" i="34"/>
  <c r="X374" i="34"/>
  <c r="X375" i="34"/>
  <c r="X376" i="34"/>
  <c r="X377" i="34"/>
  <c r="X378" i="34"/>
  <c r="X379" i="34"/>
  <c r="X380" i="34"/>
  <c r="X381" i="34"/>
  <c r="X382" i="34"/>
  <c r="X383" i="34"/>
  <c r="X384" i="34"/>
  <c r="X385" i="34"/>
  <c r="X386" i="34"/>
  <c r="X387" i="34"/>
  <c r="X388" i="34"/>
  <c r="X389" i="34"/>
  <c r="X390" i="34"/>
  <c r="X391" i="34"/>
  <c r="X392" i="34"/>
  <c r="X393" i="34"/>
  <c r="X394" i="34"/>
  <c r="X395" i="34"/>
  <c r="X396" i="34"/>
  <c r="X397" i="34"/>
  <c r="X398" i="34"/>
  <c r="X399" i="34"/>
  <c r="X400" i="34"/>
  <c r="X401" i="34"/>
  <c r="X402" i="34"/>
  <c r="X403" i="34"/>
  <c r="X404" i="34"/>
  <c r="X405" i="34"/>
  <c r="X406" i="34"/>
  <c r="X407" i="34"/>
  <c r="X408" i="34"/>
  <c r="X409" i="34"/>
  <c r="X410" i="34"/>
  <c r="X411" i="34"/>
  <c r="X412" i="34"/>
  <c r="X413" i="34"/>
  <c r="X414" i="34"/>
  <c r="X415" i="34"/>
  <c r="X416" i="34"/>
  <c r="X417" i="34"/>
  <c r="X418" i="34"/>
  <c r="X419" i="34"/>
  <c r="X420" i="34"/>
  <c r="X421" i="34"/>
  <c r="X422" i="34"/>
  <c r="X423" i="34"/>
  <c r="X424" i="34"/>
  <c r="X425" i="34"/>
  <c r="X426" i="34"/>
  <c r="X427" i="34"/>
  <c r="X428" i="34"/>
  <c r="X429" i="34"/>
  <c r="X430" i="34"/>
  <c r="X431" i="34"/>
  <c r="X432" i="34"/>
  <c r="X433" i="34"/>
  <c r="X434" i="34"/>
  <c r="X435" i="34"/>
  <c r="X436" i="34"/>
  <c r="X437" i="34"/>
  <c r="X438" i="34"/>
  <c r="X439" i="34"/>
  <c r="X440" i="34"/>
  <c r="X441" i="34"/>
  <c r="X442" i="34"/>
  <c r="X443" i="34"/>
  <c r="X444" i="34"/>
  <c r="X445" i="34"/>
  <c r="X446" i="34"/>
  <c r="X447" i="34"/>
  <c r="X448" i="34"/>
  <c r="X449" i="34"/>
  <c r="X450" i="34"/>
  <c r="X451" i="34"/>
  <c r="X452" i="34"/>
  <c r="X453" i="34"/>
  <c r="X454" i="34"/>
  <c r="X455" i="34"/>
  <c r="X456" i="34"/>
  <c r="X457" i="34"/>
  <c r="X458" i="34"/>
  <c r="X459" i="34"/>
  <c r="X460" i="34"/>
  <c r="X461" i="34"/>
  <c r="X462" i="34"/>
  <c r="X463" i="34"/>
  <c r="X464" i="34"/>
  <c r="X465" i="34"/>
  <c r="X466" i="34"/>
  <c r="X467" i="34"/>
  <c r="X468" i="34"/>
  <c r="X469" i="34"/>
  <c r="X470" i="34"/>
  <c r="X471" i="34"/>
  <c r="X472" i="34"/>
  <c r="X473" i="34"/>
  <c r="X474" i="34"/>
  <c r="X475" i="34"/>
  <c r="X476" i="34"/>
  <c r="X477" i="34"/>
  <c r="X478" i="34"/>
  <c r="X479" i="34"/>
  <c r="X480" i="34"/>
  <c r="X481" i="34"/>
  <c r="X482" i="34"/>
  <c r="X483" i="34"/>
  <c r="X484" i="34"/>
  <c r="X485" i="34"/>
  <c r="X486" i="34"/>
  <c r="X487" i="34"/>
  <c r="X488" i="34"/>
  <c r="X489" i="34"/>
  <c r="X490" i="34"/>
  <c r="X491" i="34"/>
  <c r="X492" i="34"/>
  <c r="X493" i="34"/>
  <c r="X494" i="34"/>
  <c r="X495" i="34"/>
  <c r="X496" i="34"/>
  <c r="X497" i="34"/>
  <c r="X498" i="34"/>
  <c r="X499" i="34"/>
  <c r="X500" i="34"/>
  <c r="X501" i="34"/>
  <c r="X502" i="34"/>
  <c r="X503" i="34"/>
  <c r="X504" i="34"/>
  <c r="X505" i="34"/>
  <c r="X506" i="34"/>
  <c r="X507" i="34"/>
  <c r="X508" i="34"/>
  <c r="X509" i="34"/>
  <c r="X510" i="34"/>
  <c r="X511" i="34"/>
  <c r="X512" i="34"/>
  <c r="X513" i="34"/>
  <c r="X514" i="34"/>
  <c r="X515" i="34"/>
  <c r="X516" i="34"/>
  <c r="X517" i="34"/>
  <c r="X518" i="34"/>
  <c r="X519" i="34"/>
  <c r="X520" i="34"/>
  <c r="X521" i="34"/>
  <c r="X522" i="34"/>
  <c r="X523" i="34"/>
  <c r="X524" i="34"/>
  <c r="X525" i="34"/>
  <c r="X526" i="34"/>
  <c r="X527" i="34"/>
  <c r="X528" i="34"/>
  <c r="X529" i="34"/>
  <c r="X530" i="34"/>
  <c r="X531" i="34"/>
  <c r="X532" i="34"/>
  <c r="X533" i="34"/>
  <c r="X534" i="34"/>
  <c r="X535" i="34"/>
  <c r="X536" i="34"/>
  <c r="X537" i="34"/>
  <c r="X538" i="34"/>
  <c r="X539" i="34"/>
  <c r="X540" i="34"/>
  <c r="X541" i="34"/>
  <c r="X542" i="34"/>
  <c r="X543" i="34"/>
  <c r="X544" i="34"/>
  <c r="X545" i="34"/>
  <c r="X546" i="34"/>
  <c r="X547" i="34"/>
  <c r="X548" i="34"/>
  <c r="X549" i="34"/>
  <c r="X550" i="34"/>
  <c r="X551" i="34"/>
  <c r="X552" i="34"/>
  <c r="X553" i="34"/>
  <c r="X554" i="34"/>
  <c r="X555" i="34"/>
  <c r="X556" i="34"/>
  <c r="X557" i="34"/>
  <c r="X558" i="34"/>
  <c r="X559" i="34"/>
  <c r="X560" i="34"/>
  <c r="X561" i="34"/>
  <c r="X562" i="34"/>
  <c r="X563" i="34"/>
  <c r="X564" i="34"/>
  <c r="X565" i="34"/>
  <c r="X566" i="34"/>
  <c r="X567" i="34"/>
  <c r="X568" i="34"/>
  <c r="X569" i="34"/>
  <c r="X570" i="34"/>
  <c r="X571" i="34"/>
  <c r="X572" i="34"/>
  <c r="X573" i="34"/>
  <c r="X574" i="34"/>
  <c r="X575" i="34"/>
  <c r="X576" i="34"/>
  <c r="X577" i="34"/>
  <c r="X578" i="34"/>
  <c r="X579" i="34"/>
  <c r="X580" i="34"/>
  <c r="X581" i="34"/>
  <c r="X582" i="34"/>
  <c r="X583" i="34"/>
  <c r="X584" i="34"/>
  <c r="X585" i="34"/>
  <c r="X586" i="34"/>
  <c r="X587" i="34"/>
  <c r="X588" i="34"/>
  <c r="X589" i="34"/>
  <c r="X590" i="34"/>
  <c r="X591" i="34"/>
  <c r="X592" i="34"/>
  <c r="X593" i="34"/>
  <c r="X594" i="34"/>
  <c r="X595" i="34"/>
  <c r="X596" i="34"/>
  <c r="X597" i="34"/>
  <c r="X598" i="34"/>
  <c r="X599" i="34"/>
  <c r="X600" i="34"/>
  <c r="X601" i="34"/>
  <c r="X602" i="34"/>
  <c r="X603" i="34"/>
  <c r="X604" i="34"/>
  <c r="X605" i="34"/>
  <c r="X606" i="34"/>
  <c r="X607" i="34"/>
  <c r="X608" i="34"/>
  <c r="X609" i="34"/>
  <c r="X610" i="34"/>
  <c r="X611" i="34"/>
  <c r="X612" i="34"/>
  <c r="X613" i="34"/>
  <c r="X614" i="34"/>
  <c r="X615" i="34"/>
  <c r="X616" i="34"/>
  <c r="X617" i="34"/>
  <c r="X618" i="34"/>
  <c r="X619" i="34"/>
  <c r="X620" i="34"/>
  <c r="X621" i="34"/>
  <c r="X622" i="34"/>
  <c r="X623" i="34"/>
  <c r="X624" i="34"/>
  <c r="X625" i="34"/>
  <c r="X626" i="34"/>
  <c r="X627" i="34"/>
  <c r="X628" i="34"/>
  <c r="X629" i="34"/>
  <c r="X630" i="34"/>
  <c r="X631" i="34"/>
  <c r="X632" i="34"/>
  <c r="X633" i="34"/>
  <c r="X634" i="34"/>
  <c r="X635" i="34"/>
  <c r="X636" i="34"/>
  <c r="X637" i="34"/>
  <c r="X638" i="34"/>
  <c r="X639" i="34"/>
  <c r="X640" i="34"/>
  <c r="X641" i="34"/>
  <c r="X642" i="34"/>
  <c r="X643" i="34"/>
  <c r="X644" i="34"/>
  <c r="X645" i="34"/>
  <c r="X646" i="34"/>
  <c r="X647" i="34"/>
  <c r="X648" i="34"/>
  <c r="X649" i="34"/>
  <c r="X650" i="34"/>
  <c r="X651" i="34"/>
  <c r="X652" i="34"/>
  <c r="X653" i="34"/>
  <c r="X654" i="34"/>
  <c r="X655" i="34"/>
  <c r="X656" i="34"/>
  <c r="X657" i="34"/>
  <c r="X658" i="34"/>
  <c r="X659" i="34"/>
  <c r="X660" i="34"/>
  <c r="X661" i="34"/>
  <c r="X662" i="34"/>
  <c r="X663" i="34"/>
  <c r="X664" i="34"/>
  <c r="X665" i="34"/>
  <c r="X666" i="34"/>
  <c r="X667" i="34"/>
  <c r="X668" i="34"/>
  <c r="X669" i="34"/>
  <c r="X670" i="34"/>
  <c r="X671" i="34"/>
  <c r="X672" i="34"/>
  <c r="X673" i="34"/>
  <c r="X674" i="34"/>
  <c r="X675" i="34"/>
  <c r="X676" i="34"/>
  <c r="X677" i="34"/>
  <c r="X678" i="34"/>
  <c r="X679" i="34"/>
  <c r="X680" i="34"/>
  <c r="X681" i="34"/>
  <c r="X682" i="34"/>
  <c r="X683" i="34"/>
  <c r="X684" i="34"/>
  <c r="X685" i="34"/>
  <c r="X686" i="34"/>
  <c r="X687" i="34"/>
  <c r="X688" i="34"/>
  <c r="X689" i="34"/>
  <c r="X690" i="34"/>
  <c r="X691" i="34"/>
  <c r="X692" i="34"/>
  <c r="X693" i="34"/>
  <c r="X694" i="34"/>
  <c r="X695" i="34"/>
  <c r="X696" i="34"/>
  <c r="X697" i="34"/>
  <c r="X698" i="34"/>
  <c r="X699" i="34"/>
  <c r="X700" i="34"/>
  <c r="X701" i="34"/>
  <c r="X702" i="34"/>
  <c r="X703" i="34"/>
  <c r="X704" i="34"/>
  <c r="X705" i="34"/>
  <c r="X706" i="34"/>
  <c r="X707" i="34"/>
  <c r="X708" i="34"/>
  <c r="X709" i="34"/>
  <c r="X710" i="34"/>
  <c r="X711" i="34"/>
  <c r="X712" i="34"/>
  <c r="X713" i="34"/>
  <c r="X714" i="34"/>
  <c r="X715" i="34"/>
  <c r="X716" i="34"/>
  <c r="X717" i="34"/>
  <c r="X718" i="34"/>
  <c r="X719" i="34"/>
  <c r="X720" i="34"/>
  <c r="X721" i="34"/>
  <c r="X722" i="34"/>
  <c r="X723" i="34"/>
  <c r="X724" i="34"/>
  <c r="X725" i="34"/>
  <c r="X726" i="34"/>
  <c r="X727" i="34"/>
  <c r="X728" i="34"/>
  <c r="X729" i="34"/>
  <c r="X730" i="34"/>
  <c r="X731" i="34"/>
  <c r="X732" i="34"/>
  <c r="X733" i="34"/>
  <c r="X734" i="34"/>
  <c r="X735" i="34"/>
  <c r="X736" i="34"/>
  <c r="X737" i="34"/>
  <c r="X738" i="34"/>
  <c r="X739" i="34"/>
  <c r="X740" i="34"/>
  <c r="X741" i="34"/>
  <c r="X742" i="34"/>
  <c r="X743" i="34"/>
  <c r="X744" i="34"/>
  <c r="X745" i="34"/>
  <c r="X746" i="34"/>
  <c r="X747" i="34"/>
  <c r="X748" i="34"/>
  <c r="X749" i="34"/>
  <c r="X750" i="34"/>
  <c r="X751" i="34"/>
  <c r="X752" i="34"/>
  <c r="X753" i="34"/>
  <c r="X754" i="34"/>
  <c r="X755" i="34"/>
  <c r="X756" i="34"/>
  <c r="X757" i="34"/>
  <c r="X758" i="34"/>
  <c r="X759" i="34"/>
  <c r="X760" i="34"/>
  <c r="X761" i="34"/>
  <c r="X762" i="34"/>
  <c r="X763" i="34"/>
  <c r="X764" i="34"/>
  <c r="X765" i="34"/>
  <c r="X766" i="34"/>
  <c r="X767" i="34"/>
  <c r="X768" i="34"/>
  <c r="X769" i="34"/>
  <c r="X770" i="34"/>
  <c r="X771" i="34"/>
  <c r="X772" i="34"/>
  <c r="X773" i="34"/>
  <c r="X774" i="34"/>
  <c r="X775" i="34"/>
  <c r="X776" i="34"/>
  <c r="X777" i="34"/>
  <c r="X778" i="34"/>
  <c r="X779" i="34"/>
  <c r="X780" i="34"/>
  <c r="X781" i="34"/>
  <c r="X782" i="34"/>
  <c r="X783" i="34"/>
  <c r="X784" i="34"/>
  <c r="X785" i="34"/>
  <c r="X786" i="34"/>
  <c r="X787" i="34"/>
  <c r="X788" i="34"/>
  <c r="X789" i="34"/>
  <c r="X790" i="34"/>
  <c r="X791" i="34"/>
  <c r="X792" i="34"/>
  <c r="X793" i="34"/>
  <c r="X794" i="34"/>
  <c r="X795" i="34"/>
  <c r="X796" i="34"/>
  <c r="X797" i="34"/>
  <c r="X798" i="34"/>
  <c r="X799" i="34"/>
  <c r="X800" i="34"/>
  <c r="X801" i="34"/>
  <c r="X802" i="34"/>
  <c r="X803" i="34"/>
  <c r="X804" i="34"/>
  <c r="X805" i="34"/>
  <c r="X806" i="34"/>
  <c r="X807" i="34"/>
  <c r="X808" i="34"/>
  <c r="X809" i="34"/>
  <c r="X810" i="34"/>
  <c r="X811" i="34"/>
  <c r="X812" i="34"/>
  <c r="X813" i="34"/>
  <c r="X814" i="34"/>
  <c r="X815" i="34"/>
  <c r="X816" i="34"/>
  <c r="X817" i="34"/>
  <c r="X818" i="34"/>
  <c r="X819" i="34"/>
  <c r="X820" i="34"/>
  <c r="X821" i="34"/>
  <c r="X822" i="34"/>
  <c r="X823" i="34"/>
  <c r="X824" i="34"/>
  <c r="X825" i="34"/>
  <c r="X826" i="34"/>
  <c r="X827" i="34"/>
  <c r="X828" i="34"/>
  <c r="X829" i="34"/>
  <c r="X830" i="34"/>
  <c r="X831" i="34"/>
  <c r="X832" i="34"/>
  <c r="X833" i="34"/>
  <c r="X834" i="34"/>
  <c r="X835" i="34"/>
  <c r="X836" i="34"/>
  <c r="X837" i="34"/>
  <c r="X838" i="34"/>
  <c r="X839" i="34"/>
  <c r="X840" i="34"/>
  <c r="X841" i="34"/>
  <c r="X842" i="34"/>
  <c r="X843" i="34"/>
  <c r="X844" i="34"/>
  <c r="X845" i="34"/>
  <c r="X846" i="34"/>
  <c r="X847" i="34"/>
  <c r="X848" i="34"/>
  <c r="X849" i="34"/>
  <c r="X850" i="34"/>
  <c r="X851" i="34"/>
  <c r="X852" i="34"/>
  <c r="X853" i="34"/>
  <c r="X854" i="34"/>
  <c r="X855" i="34"/>
  <c r="X856" i="34"/>
  <c r="X857" i="34"/>
  <c r="X858" i="34"/>
  <c r="X859" i="34"/>
  <c r="X860" i="34"/>
  <c r="X861" i="34"/>
  <c r="X862" i="34"/>
  <c r="X863" i="34"/>
  <c r="X864" i="34"/>
  <c r="X865" i="34"/>
  <c r="X866" i="34"/>
  <c r="X867" i="34"/>
  <c r="X868" i="34"/>
  <c r="X869" i="34"/>
  <c r="X870" i="34"/>
  <c r="X871" i="34"/>
  <c r="X872" i="34"/>
  <c r="X873" i="34"/>
  <c r="X874" i="34"/>
  <c r="X875" i="34"/>
  <c r="X876" i="34"/>
  <c r="X877" i="34"/>
  <c r="X878" i="34"/>
  <c r="X879" i="34"/>
  <c r="X880" i="34"/>
  <c r="X881" i="34"/>
  <c r="X882" i="34"/>
  <c r="X883" i="34"/>
  <c r="X884" i="34"/>
  <c r="X885" i="34"/>
  <c r="X886" i="34"/>
  <c r="X887" i="34"/>
  <c r="X888" i="34"/>
  <c r="X889" i="34"/>
  <c r="X890" i="34"/>
  <c r="X891" i="34"/>
  <c r="X892" i="34"/>
  <c r="X893" i="34"/>
  <c r="X894" i="34"/>
  <c r="X895" i="34"/>
  <c r="X896" i="34"/>
  <c r="X897" i="34"/>
  <c r="X898" i="34"/>
  <c r="X899" i="34"/>
  <c r="X900" i="34"/>
  <c r="X901" i="34"/>
  <c r="X902" i="34"/>
  <c r="X903" i="34"/>
  <c r="X904" i="34"/>
  <c r="X905" i="34"/>
  <c r="X906" i="34"/>
  <c r="X907" i="34"/>
  <c r="X908" i="34"/>
  <c r="X909" i="34"/>
  <c r="X910" i="34"/>
  <c r="X911" i="34"/>
  <c r="X912" i="34"/>
  <c r="X913" i="34"/>
  <c r="X914" i="34"/>
  <c r="X915" i="34"/>
  <c r="X916" i="34"/>
  <c r="X917" i="34"/>
  <c r="X918" i="34"/>
  <c r="X919" i="34"/>
  <c r="X920" i="34"/>
  <c r="X921" i="34"/>
  <c r="X922" i="34"/>
  <c r="X923" i="34"/>
  <c r="X924" i="34"/>
  <c r="X925" i="34"/>
  <c r="X926" i="34"/>
  <c r="X927" i="34"/>
  <c r="X928" i="34"/>
  <c r="X929" i="34"/>
  <c r="X930" i="34"/>
  <c r="X931" i="34"/>
  <c r="X932" i="34"/>
  <c r="X933" i="34"/>
  <c r="X934" i="34"/>
  <c r="X935" i="34"/>
  <c r="X936" i="34"/>
  <c r="X937" i="34"/>
  <c r="X938" i="34"/>
  <c r="X939" i="34"/>
  <c r="X940" i="34"/>
  <c r="X941" i="34"/>
  <c r="X942" i="34"/>
  <c r="X943" i="34"/>
  <c r="X944" i="34"/>
  <c r="X945" i="34"/>
  <c r="X946" i="34"/>
  <c r="X947" i="34"/>
  <c r="X948" i="34"/>
  <c r="X949" i="34"/>
  <c r="X950" i="34"/>
  <c r="X951" i="34"/>
  <c r="X952" i="34"/>
  <c r="X953" i="34"/>
  <c r="X954" i="34"/>
  <c r="X955" i="34"/>
  <c r="X956" i="34"/>
  <c r="X957" i="34"/>
  <c r="X958" i="34"/>
  <c r="X959" i="34"/>
  <c r="X960" i="34"/>
  <c r="X961" i="34"/>
  <c r="X962" i="34"/>
  <c r="X963" i="34"/>
  <c r="X964" i="34"/>
  <c r="X965" i="34"/>
  <c r="X966" i="34"/>
  <c r="X967" i="34"/>
  <c r="X968" i="34"/>
  <c r="X969" i="34"/>
  <c r="X970" i="34"/>
  <c r="X971" i="34"/>
  <c r="X972" i="34"/>
  <c r="X973" i="34"/>
  <c r="X974" i="34"/>
  <c r="X975" i="34"/>
  <c r="X976" i="34"/>
  <c r="X977" i="34"/>
  <c r="X978" i="34"/>
  <c r="X979" i="34"/>
  <c r="X980" i="34"/>
  <c r="X981" i="34"/>
  <c r="X982" i="34"/>
  <c r="X983" i="34"/>
  <c r="X984" i="34"/>
  <c r="X985" i="34"/>
  <c r="X986" i="34"/>
  <c r="X987" i="34"/>
  <c r="X988" i="34"/>
  <c r="X989" i="34"/>
  <c r="X990" i="34"/>
  <c r="X991" i="34"/>
  <c r="X992" i="34"/>
  <c r="X993" i="34"/>
  <c r="X994" i="34"/>
  <c r="X995" i="34"/>
  <c r="X996" i="34"/>
  <c r="X997" i="34"/>
  <c r="X998" i="34"/>
  <c r="X999" i="34"/>
  <c r="X1000" i="34"/>
  <c r="X1001" i="34"/>
  <c r="X1002" i="34"/>
  <c r="X1003" i="34"/>
  <c r="X1004" i="34"/>
  <c r="X1005" i="34"/>
  <c r="X1006" i="34"/>
  <c r="X1007" i="34"/>
  <c r="X1008" i="34"/>
  <c r="X1009" i="34"/>
  <c r="X1010" i="34"/>
  <c r="X1011" i="34"/>
  <c r="X1012" i="34"/>
  <c r="X1013" i="34"/>
  <c r="X1014" i="34"/>
  <c r="X1015" i="34"/>
  <c r="X1016" i="34"/>
  <c r="X1017" i="34"/>
  <c r="X1018" i="34"/>
  <c r="X1019" i="34"/>
  <c r="X1020" i="34"/>
  <c r="X1021" i="34"/>
  <c r="X1022" i="34"/>
  <c r="X1023" i="34"/>
  <c r="X1024" i="34"/>
  <c r="X1025" i="34"/>
  <c r="X1026" i="34"/>
  <c r="X1027" i="34"/>
  <c r="X1028" i="34"/>
  <c r="X1029" i="34"/>
  <c r="X1030" i="34"/>
  <c r="X1031" i="34"/>
  <c r="X1032" i="34"/>
  <c r="X1033" i="34"/>
  <c r="X1034" i="34"/>
  <c r="X1035" i="34"/>
  <c r="X1036" i="34"/>
  <c r="X1037" i="34"/>
  <c r="X1038" i="34"/>
  <c r="X1039" i="34"/>
  <c r="X1040" i="34"/>
  <c r="X1041" i="34"/>
  <c r="X1042" i="34"/>
  <c r="X1043" i="34"/>
  <c r="X1044" i="34"/>
  <c r="X1045" i="34"/>
  <c r="X1046" i="34"/>
  <c r="X1047" i="34"/>
  <c r="X1048" i="34"/>
  <c r="X1049" i="34"/>
  <c r="X1050" i="34"/>
  <c r="X1051" i="34"/>
  <c r="X1052" i="34"/>
  <c r="X1053" i="34"/>
  <c r="X1054" i="34"/>
  <c r="X1055" i="34"/>
  <c r="X1056" i="34"/>
  <c r="X1057" i="34"/>
  <c r="X1058" i="34"/>
  <c r="X1059" i="34"/>
  <c r="X1060" i="34"/>
  <c r="X1061" i="34"/>
  <c r="X1062" i="34"/>
  <c r="X1063" i="34"/>
  <c r="X1064" i="34"/>
  <c r="X1065" i="34"/>
  <c r="X1066" i="34"/>
  <c r="X1067" i="34"/>
  <c r="X1068" i="34"/>
  <c r="X1069" i="34"/>
  <c r="X1070" i="34"/>
  <c r="X1071" i="34"/>
  <c r="X1072" i="34"/>
  <c r="X1073" i="34"/>
  <c r="X1074" i="34"/>
  <c r="X1075" i="34"/>
  <c r="X1076" i="34"/>
  <c r="X1077" i="34"/>
  <c r="X1078" i="34"/>
  <c r="X1079" i="34"/>
  <c r="X1080" i="34"/>
  <c r="X1081" i="34"/>
  <c r="X1082" i="34"/>
  <c r="X1083" i="34"/>
  <c r="X1084" i="34"/>
  <c r="X1085" i="34"/>
  <c r="X1086" i="34"/>
  <c r="X1087" i="34"/>
  <c r="X1088" i="34"/>
  <c r="X1089" i="34"/>
  <c r="X1090" i="34"/>
  <c r="X1091" i="34"/>
  <c r="X1092" i="34"/>
  <c r="X1093" i="34"/>
  <c r="X1094" i="34"/>
  <c r="X1095" i="34"/>
  <c r="X1096" i="34"/>
  <c r="X1097" i="34"/>
  <c r="X1098" i="34"/>
  <c r="X1099" i="34"/>
  <c r="X1100" i="34"/>
  <c r="X1101" i="34"/>
  <c r="X1102" i="34"/>
  <c r="X1103" i="34"/>
  <c r="X1104" i="34"/>
  <c r="X1105" i="34"/>
  <c r="X1106" i="34"/>
  <c r="X1107" i="34"/>
  <c r="X1108" i="34"/>
  <c r="X1109" i="34"/>
  <c r="X1110" i="34"/>
  <c r="X1111" i="34"/>
  <c r="X1112" i="34"/>
  <c r="X1113" i="34"/>
  <c r="X1114" i="34"/>
  <c r="X1115" i="34"/>
  <c r="X1116" i="34"/>
  <c r="X1117" i="34"/>
  <c r="X1118" i="34"/>
  <c r="X1119" i="34"/>
  <c r="X1120" i="34"/>
  <c r="X1121" i="34"/>
  <c r="X1122" i="34"/>
  <c r="X1123" i="34"/>
  <c r="X1124" i="34"/>
  <c r="X1125" i="34"/>
  <c r="X1126" i="34"/>
  <c r="X1127" i="34"/>
  <c r="X1128" i="34"/>
  <c r="X1129" i="34"/>
  <c r="X1130" i="34"/>
  <c r="X1131" i="34"/>
  <c r="X1132" i="34"/>
  <c r="X1133" i="34"/>
  <c r="X1134" i="34"/>
  <c r="X1135" i="34"/>
  <c r="X1136" i="34"/>
  <c r="X1137" i="34"/>
  <c r="X1138" i="34"/>
  <c r="X1139" i="34"/>
  <c r="X1140" i="34"/>
  <c r="X1141" i="34"/>
  <c r="X1142" i="34"/>
  <c r="X1143" i="34"/>
  <c r="X1144" i="34"/>
  <c r="X1145" i="34"/>
  <c r="X1146" i="34"/>
  <c r="X1147" i="34"/>
  <c r="X1148" i="34"/>
  <c r="X1149" i="34"/>
  <c r="X1150" i="34"/>
  <c r="X1151" i="34"/>
  <c r="X1152" i="34"/>
  <c r="X1153" i="34"/>
  <c r="X1154" i="34"/>
  <c r="X1155" i="34"/>
  <c r="X1156" i="34"/>
  <c r="X1157" i="34"/>
  <c r="X1158" i="34"/>
  <c r="X1159" i="34"/>
  <c r="X1160" i="34"/>
  <c r="X1161" i="34"/>
  <c r="X1162" i="34"/>
  <c r="X1163" i="34"/>
  <c r="X1164" i="34"/>
  <c r="X1165" i="34"/>
  <c r="X1166" i="34"/>
  <c r="X1167" i="34"/>
  <c r="X1168" i="34"/>
  <c r="X1169" i="34"/>
  <c r="X1170" i="34"/>
  <c r="X1171" i="34"/>
  <c r="X1172" i="34"/>
  <c r="X1173" i="34"/>
  <c r="X1174" i="34"/>
  <c r="X1175" i="34"/>
  <c r="X1176" i="34"/>
  <c r="X1177" i="34"/>
  <c r="X1178" i="34"/>
  <c r="X1179" i="34"/>
  <c r="X1180" i="34"/>
  <c r="X1181" i="34"/>
  <c r="X1182" i="34"/>
  <c r="X1183" i="34"/>
  <c r="X1184" i="34"/>
  <c r="X1185" i="34"/>
  <c r="X1186" i="34"/>
  <c r="X1187" i="34"/>
  <c r="X1188" i="34"/>
  <c r="X1189" i="34"/>
  <c r="X1190" i="34"/>
  <c r="X1191" i="34"/>
  <c r="X1192" i="34"/>
  <c r="X1193" i="34"/>
  <c r="X1194" i="34"/>
  <c r="X1195" i="34"/>
  <c r="X1196" i="34"/>
  <c r="X1197" i="34"/>
  <c r="X1198" i="34"/>
  <c r="X1199" i="34"/>
  <c r="X1200" i="34"/>
  <c r="X1201" i="34"/>
  <c r="X1202" i="34"/>
  <c r="X1203" i="34"/>
  <c r="X1204" i="34"/>
  <c r="X1205" i="34"/>
  <c r="X1206" i="34"/>
  <c r="X1207" i="34"/>
  <c r="X1208" i="34"/>
  <c r="X1209" i="34"/>
  <c r="X1210" i="34"/>
  <c r="X1211" i="34"/>
  <c r="X1212" i="34"/>
  <c r="X1213" i="34"/>
  <c r="X1214" i="34"/>
  <c r="X1215" i="34"/>
  <c r="X1216" i="34"/>
  <c r="X1217" i="34"/>
  <c r="X1218" i="34"/>
  <c r="X1219" i="34"/>
  <c r="X1220" i="34"/>
  <c r="X1221" i="34"/>
  <c r="X1222" i="34"/>
  <c r="X1223" i="34"/>
  <c r="X1224" i="34"/>
  <c r="X1225" i="34"/>
  <c r="X1226" i="34"/>
  <c r="X1227" i="34"/>
  <c r="X1228" i="34"/>
  <c r="X1229" i="34"/>
  <c r="X1230" i="34"/>
  <c r="X1231" i="34"/>
  <c r="X1232" i="34"/>
  <c r="X1233" i="34"/>
  <c r="X1234" i="34"/>
  <c r="X1235" i="34"/>
  <c r="X1236" i="34"/>
  <c r="X1237" i="34"/>
  <c r="X1238" i="34"/>
  <c r="X1239" i="34"/>
  <c r="X1240" i="34"/>
  <c r="X1241" i="34"/>
  <c r="X1242" i="34"/>
  <c r="X1243" i="34"/>
  <c r="X1244" i="34"/>
  <c r="X1245" i="34"/>
  <c r="X1246" i="34"/>
  <c r="X1247" i="34"/>
  <c r="X1248" i="34"/>
  <c r="X1249" i="34"/>
  <c r="X1250" i="34"/>
  <c r="X1251" i="34"/>
  <c r="X1252" i="34"/>
  <c r="X1253" i="34"/>
  <c r="X1254" i="34"/>
  <c r="X1255" i="34"/>
  <c r="X1256" i="34"/>
  <c r="X1257" i="34"/>
  <c r="X1258" i="34"/>
  <c r="X1259" i="34"/>
  <c r="X1260" i="34"/>
  <c r="X1261" i="34"/>
  <c r="X1262" i="34"/>
  <c r="X1263" i="34"/>
  <c r="X1264" i="34"/>
  <c r="X1265" i="34"/>
  <c r="X1266" i="34"/>
  <c r="X1267" i="34"/>
  <c r="X1268" i="34"/>
  <c r="X1269" i="34"/>
  <c r="X1270" i="34"/>
  <c r="X1271" i="34"/>
  <c r="X1272" i="34"/>
  <c r="X1273" i="34"/>
  <c r="X1274" i="34"/>
  <c r="X1275" i="34"/>
  <c r="X1276" i="34"/>
  <c r="X1277" i="34"/>
  <c r="X1278" i="34"/>
  <c r="X1279" i="34"/>
  <c r="X1280" i="34"/>
  <c r="X1281" i="34"/>
  <c r="X1282" i="34"/>
  <c r="X1283" i="34"/>
  <c r="X1284" i="34"/>
  <c r="X1285" i="34"/>
  <c r="X1286" i="34"/>
  <c r="X1287" i="34"/>
  <c r="X1288" i="34"/>
  <c r="X1289" i="34"/>
  <c r="X1290" i="34"/>
  <c r="X1291" i="34"/>
  <c r="X1292" i="34"/>
  <c r="X1293" i="34"/>
  <c r="X1294" i="34"/>
  <c r="X1295" i="34"/>
  <c r="X1296" i="34"/>
  <c r="X1297" i="34"/>
  <c r="X1298" i="34"/>
  <c r="X1299" i="34"/>
  <c r="X1300" i="34"/>
  <c r="X1301" i="34"/>
  <c r="X1302" i="34"/>
  <c r="X1303" i="34"/>
  <c r="X1304" i="34"/>
  <c r="X1305" i="34"/>
  <c r="X1306" i="34"/>
  <c r="X1307" i="34"/>
  <c r="X1308" i="34"/>
  <c r="X1309" i="34"/>
  <c r="X1310" i="34"/>
  <c r="X1311" i="34"/>
  <c r="X1312" i="34"/>
  <c r="X1313" i="34"/>
  <c r="X1314" i="34"/>
  <c r="X1315" i="34"/>
  <c r="X1316" i="34"/>
  <c r="X1317" i="34"/>
  <c r="X1318" i="34"/>
  <c r="X1319" i="34"/>
  <c r="X1320" i="34"/>
  <c r="X1321" i="34"/>
  <c r="X1322" i="34"/>
  <c r="X1323" i="34"/>
  <c r="X1324" i="34"/>
  <c r="X1325" i="34"/>
  <c r="X1326" i="34"/>
  <c r="X1327" i="34"/>
  <c r="X1328" i="34"/>
  <c r="X1329" i="34"/>
  <c r="X1330" i="34"/>
  <c r="X1331" i="34"/>
  <c r="X1332" i="34"/>
  <c r="X1333" i="34"/>
  <c r="X1334" i="34"/>
  <c r="X1335" i="34"/>
  <c r="X1336" i="34"/>
  <c r="X1337" i="34"/>
  <c r="X1338" i="34"/>
  <c r="X1339" i="34"/>
  <c r="X1340" i="34"/>
  <c r="X1341" i="34"/>
  <c r="X1342" i="34"/>
  <c r="X1343" i="34"/>
  <c r="X1344" i="34"/>
  <c r="X1345" i="34"/>
  <c r="X1346" i="34"/>
  <c r="X1347" i="34"/>
  <c r="X1348" i="34"/>
  <c r="X1349" i="34"/>
  <c r="X1350" i="34"/>
  <c r="X1351" i="34"/>
  <c r="X1352" i="34"/>
  <c r="X1353" i="34"/>
  <c r="X1354" i="34"/>
  <c r="X1355" i="34"/>
  <c r="X1356" i="34"/>
  <c r="X1357" i="34"/>
  <c r="X1358" i="34"/>
  <c r="X1359" i="34"/>
  <c r="X1360" i="34"/>
  <c r="X1361" i="34"/>
  <c r="X1362" i="34"/>
  <c r="X1363" i="34"/>
  <c r="X1364" i="34"/>
  <c r="X1365" i="34"/>
  <c r="X1366" i="34"/>
  <c r="X1367" i="34"/>
  <c r="X1368" i="34"/>
  <c r="X1369" i="34"/>
  <c r="X1370" i="34"/>
  <c r="X1371" i="34"/>
  <c r="X1372" i="34"/>
  <c r="X1373" i="34"/>
  <c r="X1374" i="34"/>
  <c r="X1375" i="34"/>
  <c r="X1376" i="34"/>
  <c r="X1377" i="34"/>
  <c r="X4" i="34"/>
  <c r="Y4" i="34" s="1"/>
  <c r="V4" i="34" s="1"/>
  <c r="D14" i="35" l="1"/>
  <c r="D14" i="36"/>
  <c r="D14" i="38"/>
  <c r="D14" i="39"/>
  <c r="D14" i="40"/>
  <c r="D14" i="37"/>
  <c r="D6" i="15"/>
  <c r="L7" i="40" l="1"/>
  <c r="I12" i="40"/>
  <c r="I12" i="39"/>
  <c r="I12" i="38"/>
  <c r="I12" i="37"/>
  <c r="I12" i="36"/>
  <c r="I12" i="35"/>
  <c r="I12" i="15"/>
  <c r="G12" i="40"/>
  <c r="G12" i="39"/>
  <c r="G12" i="38"/>
  <c r="G12" i="37"/>
  <c r="G12" i="36"/>
  <c r="G12" i="35"/>
  <c r="G12" i="15"/>
  <c r="L12" i="35"/>
  <c r="L8" i="38"/>
  <c r="L6" i="35"/>
  <c r="L8" i="15"/>
  <c r="L7" i="15"/>
  <c r="L6" i="15"/>
  <c r="L12" i="15"/>
  <c r="N12" i="40"/>
  <c r="N12" i="39"/>
  <c r="N12" i="38"/>
  <c r="N12" i="37"/>
  <c r="N12" i="36"/>
  <c r="N12" i="35"/>
  <c r="N12" i="15"/>
  <c r="D13" i="15"/>
  <c r="D13" i="35"/>
  <c r="D13" i="36"/>
  <c r="D13" i="37"/>
  <c r="D13" i="38"/>
  <c r="D13" i="39"/>
  <c r="D13" i="40"/>
  <c r="B42" i="1" l="1"/>
  <c r="B45" i="1" s="1"/>
  <c r="E48" i="1"/>
  <c r="F20" i="1" s="1"/>
  <c r="D7" i="34" l="1"/>
  <c r="M10" i="1"/>
  <c r="E25" i="1"/>
  <c r="K17" i="1"/>
  <c r="K18" i="1" s="1"/>
  <c r="F22" i="1"/>
  <c r="E22" i="1"/>
  <c r="E21" i="1"/>
  <c r="F19" i="1"/>
  <c r="W692" i="34"/>
  <c r="W693" i="34"/>
  <c r="W694" i="34"/>
  <c r="W695" i="34"/>
  <c r="W696" i="34"/>
  <c r="W697" i="34"/>
  <c r="W698" i="34"/>
  <c r="W699" i="34"/>
  <c r="W700" i="34"/>
  <c r="W701" i="34"/>
  <c r="W702" i="34"/>
  <c r="W703" i="34"/>
  <c r="W704" i="34"/>
  <c r="W705" i="34"/>
  <c r="W706" i="34"/>
  <c r="W707" i="34"/>
  <c r="W708" i="34"/>
  <c r="W709" i="34"/>
  <c r="W710" i="34"/>
  <c r="W711" i="34"/>
  <c r="W712" i="34"/>
  <c r="W713" i="34"/>
  <c r="W714" i="34"/>
  <c r="W715" i="34"/>
  <c r="W716" i="34"/>
  <c r="W717" i="34"/>
  <c r="W718" i="34"/>
  <c r="W719" i="34"/>
  <c r="W720" i="34"/>
  <c r="W721" i="34"/>
  <c r="W722" i="34"/>
  <c r="W723" i="34"/>
  <c r="W724" i="34"/>
  <c r="W725" i="34"/>
  <c r="W726" i="34"/>
  <c r="W727" i="34"/>
  <c r="W728" i="34"/>
  <c r="W729" i="34"/>
  <c r="W730" i="34"/>
  <c r="W731" i="34"/>
  <c r="W732" i="34"/>
  <c r="W733" i="34"/>
  <c r="W734" i="34"/>
  <c r="W735" i="34"/>
  <c r="W736" i="34"/>
  <c r="W737" i="34"/>
  <c r="W738" i="34"/>
  <c r="W739" i="34"/>
  <c r="W740" i="34"/>
  <c r="W741" i="34"/>
  <c r="W742" i="34"/>
  <c r="W743" i="34"/>
  <c r="W744" i="34"/>
  <c r="W745" i="34"/>
  <c r="W746" i="34"/>
  <c r="W747" i="34"/>
  <c r="W748" i="34"/>
  <c r="W749" i="34"/>
  <c r="W750" i="34"/>
  <c r="W751" i="34"/>
  <c r="W752" i="34"/>
  <c r="W753" i="34"/>
  <c r="W754" i="34"/>
  <c r="W755" i="34"/>
  <c r="W756" i="34"/>
  <c r="W757" i="34"/>
  <c r="W758" i="34"/>
  <c r="W759" i="34"/>
  <c r="W760" i="34"/>
  <c r="W761" i="34"/>
  <c r="W762" i="34"/>
  <c r="W763" i="34"/>
  <c r="W764" i="34"/>
  <c r="W765" i="34"/>
  <c r="W766" i="34"/>
  <c r="W767" i="34"/>
  <c r="W768" i="34"/>
  <c r="W769" i="34"/>
  <c r="W770" i="34"/>
  <c r="W771" i="34"/>
  <c r="W772" i="34"/>
  <c r="W773" i="34"/>
  <c r="W774" i="34"/>
  <c r="W775" i="34"/>
  <c r="W776" i="34"/>
  <c r="W777" i="34"/>
  <c r="W778" i="34"/>
  <c r="W779" i="34"/>
  <c r="W780" i="34"/>
  <c r="W781" i="34"/>
  <c r="W782" i="34"/>
  <c r="W783" i="34"/>
  <c r="W784" i="34"/>
  <c r="W785" i="34"/>
  <c r="W786" i="34"/>
  <c r="W787" i="34"/>
  <c r="W788" i="34"/>
  <c r="W789" i="34"/>
  <c r="W790" i="34"/>
  <c r="W791" i="34"/>
  <c r="W792" i="34"/>
  <c r="W793" i="34"/>
  <c r="W794" i="34"/>
  <c r="W795" i="34"/>
  <c r="W796" i="34"/>
  <c r="W797" i="34"/>
  <c r="W798" i="34"/>
  <c r="W799" i="34"/>
  <c r="W800" i="34"/>
  <c r="W801" i="34"/>
  <c r="W802" i="34"/>
  <c r="W803" i="34"/>
  <c r="W804" i="34"/>
  <c r="W805" i="34"/>
  <c r="W806" i="34"/>
  <c r="W807" i="34"/>
  <c r="W808" i="34"/>
  <c r="W809" i="34"/>
  <c r="W810" i="34"/>
  <c r="W811" i="34"/>
  <c r="W812" i="34"/>
  <c r="W813" i="34"/>
  <c r="W814" i="34"/>
  <c r="W815" i="34"/>
  <c r="W816" i="34"/>
  <c r="W817" i="34"/>
  <c r="W818" i="34"/>
  <c r="W819" i="34"/>
  <c r="W820" i="34"/>
  <c r="W821" i="34"/>
  <c r="W822" i="34"/>
  <c r="W823" i="34"/>
  <c r="W824" i="34"/>
  <c r="W825" i="34"/>
  <c r="W826" i="34"/>
  <c r="W827" i="34"/>
  <c r="W828" i="34"/>
  <c r="W829" i="34"/>
  <c r="W830" i="34"/>
  <c r="W831" i="34"/>
  <c r="W832" i="34"/>
  <c r="W833" i="34"/>
  <c r="W834" i="34"/>
  <c r="W835" i="34"/>
  <c r="W836" i="34"/>
  <c r="W837" i="34"/>
  <c r="W838" i="34"/>
  <c r="W839" i="34"/>
  <c r="W840" i="34"/>
  <c r="W841" i="34"/>
  <c r="W842" i="34"/>
  <c r="W843" i="34"/>
  <c r="W844" i="34"/>
  <c r="W845" i="34"/>
  <c r="W846" i="34"/>
  <c r="W847" i="34"/>
  <c r="W848" i="34"/>
  <c r="W849" i="34"/>
  <c r="W850" i="34"/>
  <c r="W851" i="34"/>
  <c r="W852" i="34"/>
  <c r="W853" i="34"/>
  <c r="W854" i="34"/>
  <c r="W855" i="34"/>
  <c r="W856" i="34"/>
  <c r="W857" i="34"/>
  <c r="W858" i="34"/>
  <c r="W859" i="34"/>
  <c r="W860" i="34"/>
  <c r="W861" i="34"/>
  <c r="W862" i="34"/>
  <c r="W863" i="34"/>
  <c r="W864" i="34"/>
  <c r="W865" i="34"/>
  <c r="W866" i="34"/>
  <c r="W867" i="34"/>
  <c r="W868" i="34"/>
  <c r="W869" i="34"/>
  <c r="W870" i="34"/>
  <c r="W871" i="34"/>
  <c r="W872" i="34"/>
  <c r="W873" i="34"/>
  <c r="W874" i="34"/>
  <c r="W875" i="34"/>
  <c r="W876" i="34"/>
  <c r="W877" i="34"/>
  <c r="W878" i="34"/>
  <c r="W879" i="34"/>
  <c r="W880" i="34"/>
  <c r="W881" i="34"/>
  <c r="W882" i="34"/>
  <c r="W883" i="34"/>
  <c r="W884" i="34"/>
  <c r="W885" i="34"/>
  <c r="W886" i="34"/>
  <c r="W887" i="34"/>
  <c r="W888" i="34"/>
  <c r="W889" i="34"/>
  <c r="W890" i="34"/>
  <c r="W891" i="34"/>
  <c r="W892" i="34"/>
  <c r="W893" i="34"/>
  <c r="W894" i="34"/>
  <c r="W895" i="34"/>
  <c r="W896" i="34"/>
  <c r="W897" i="34"/>
  <c r="W898" i="34"/>
  <c r="W899" i="34"/>
  <c r="W900" i="34"/>
  <c r="W901" i="34"/>
  <c r="W902" i="34"/>
  <c r="W903" i="34"/>
  <c r="W904" i="34"/>
  <c r="W905" i="34"/>
  <c r="W906" i="34"/>
  <c r="W907" i="34"/>
  <c r="W908" i="34"/>
  <c r="W909" i="34"/>
  <c r="W910" i="34"/>
  <c r="W911" i="34"/>
  <c r="W912" i="34"/>
  <c r="W913" i="34"/>
  <c r="W914" i="34"/>
  <c r="W915" i="34"/>
  <c r="W916" i="34"/>
  <c r="W917" i="34"/>
  <c r="W918" i="34"/>
  <c r="W919" i="34"/>
  <c r="W920" i="34"/>
  <c r="W921" i="34"/>
  <c r="W922" i="34"/>
  <c r="W923" i="34"/>
  <c r="W924" i="34"/>
  <c r="W925" i="34"/>
  <c r="W926" i="34"/>
  <c r="W927" i="34"/>
  <c r="W928" i="34"/>
  <c r="W929" i="34"/>
  <c r="W930" i="34"/>
  <c r="W931" i="34"/>
  <c r="W932" i="34"/>
  <c r="W933" i="34"/>
  <c r="W934" i="34"/>
  <c r="W935" i="34"/>
  <c r="W936" i="34"/>
  <c r="W937" i="34"/>
  <c r="W938" i="34"/>
  <c r="W939" i="34"/>
  <c r="W940" i="34"/>
  <c r="W941" i="34"/>
  <c r="W942" i="34"/>
  <c r="W943" i="34"/>
  <c r="W944" i="34"/>
  <c r="W945" i="34"/>
  <c r="W946" i="34"/>
  <c r="W947" i="34"/>
  <c r="W948" i="34"/>
  <c r="W949" i="34"/>
  <c r="W950" i="34"/>
  <c r="W951" i="34"/>
  <c r="W952" i="34"/>
  <c r="W953" i="34"/>
  <c r="W954" i="34"/>
  <c r="W955" i="34"/>
  <c r="W956" i="34"/>
  <c r="W957" i="34"/>
  <c r="W958" i="34"/>
  <c r="W959" i="34"/>
  <c r="W960" i="34"/>
  <c r="W961" i="34"/>
  <c r="W962" i="34"/>
  <c r="W963" i="34"/>
  <c r="W964" i="34"/>
  <c r="W965" i="34"/>
  <c r="W966" i="34"/>
  <c r="W967" i="34"/>
  <c r="W968" i="34"/>
  <c r="W969" i="34"/>
  <c r="W970" i="34"/>
  <c r="W971" i="34"/>
  <c r="W972" i="34"/>
  <c r="W973" i="34"/>
  <c r="W974" i="34"/>
  <c r="W975" i="34"/>
  <c r="W976" i="34"/>
  <c r="W977" i="34"/>
  <c r="W978" i="34"/>
  <c r="W979" i="34"/>
  <c r="W980" i="34"/>
  <c r="W981" i="34"/>
  <c r="W982" i="34"/>
  <c r="W983" i="34"/>
  <c r="W984" i="34"/>
  <c r="W985" i="34"/>
  <c r="W986" i="34"/>
  <c r="W987" i="34"/>
  <c r="W988" i="34"/>
  <c r="W989" i="34"/>
  <c r="W990" i="34"/>
  <c r="W991" i="34"/>
  <c r="W992" i="34"/>
  <c r="W993" i="34"/>
  <c r="W994" i="34"/>
  <c r="W995" i="34"/>
  <c r="W996" i="34"/>
  <c r="W997" i="34"/>
  <c r="W998" i="34"/>
  <c r="W999" i="34"/>
  <c r="W1000" i="34"/>
  <c r="W1001" i="34"/>
  <c r="W1002" i="34"/>
  <c r="W1003" i="34"/>
  <c r="W1004" i="34"/>
  <c r="W1005" i="34"/>
  <c r="W1006" i="34"/>
  <c r="W1007" i="34"/>
  <c r="W1008" i="34"/>
  <c r="W1009" i="34"/>
  <c r="W1010" i="34"/>
  <c r="W1011" i="34"/>
  <c r="W1012" i="34"/>
  <c r="W1013" i="34"/>
  <c r="W1014" i="34"/>
  <c r="W1015" i="34"/>
  <c r="W1016" i="34"/>
  <c r="W1017" i="34"/>
  <c r="W1018" i="34"/>
  <c r="W1019" i="34"/>
  <c r="W1020" i="34"/>
  <c r="W1021" i="34"/>
  <c r="W1022" i="34"/>
  <c r="W1023" i="34"/>
  <c r="W1024" i="34"/>
  <c r="W1025" i="34"/>
  <c r="W1026" i="34"/>
  <c r="W1027" i="34"/>
  <c r="W1028" i="34"/>
  <c r="W1029" i="34"/>
  <c r="W1030" i="34"/>
  <c r="W1031" i="34"/>
  <c r="W1032" i="34"/>
  <c r="W1033" i="34"/>
  <c r="W1034" i="34"/>
  <c r="W1035" i="34"/>
  <c r="W1036" i="34"/>
  <c r="W1037" i="34"/>
  <c r="W1038" i="34"/>
  <c r="W1039" i="34"/>
  <c r="W1040" i="34"/>
  <c r="W1041" i="34"/>
  <c r="W1042" i="34"/>
  <c r="W1043" i="34"/>
  <c r="W1044" i="34"/>
  <c r="W1045" i="34"/>
  <c r="W1046" i="34"/>
  <c r="W1047" i="34"/>
  <c r="W1048" i="34"/>
  <c r="W1049" i="34"/>
  <c r="W1050" i="34"/>
  <c r="W1051" i="34"/>
  <c r="W1052" i="34"/>
  <c r="W1053" i="34"/>
  <c r="W1054" i="34"/>
  <c r="W1055" i="34"/>
  <c r="W1056" i="34"/>
  <c r="W1057" i="34"/>
  <c r="W1058" i="34"/>
  <c r="W1059" i="34"/>
  <c r="W1060" i="34"/>
  <c r="W1061" i="34"/>
  <c r="W1062" i="34"/>
  <c r="W1063" i="34"/>
  <c r="W1064" i="34"/>
  <c r="W1065" i="34"/>
  <c r="W1066" i="34"/>
  <c r="W1067" i="34"/>
  <c r="W1068" i="34"/>
  <c r="W1069" i="34"/>
  <c r="W1070" i="34"/>
  <c r="W1071" i="34"/>
  <c r="W1072" i="34"/>
  <c r="W1073" i="34"/>
  <c r="W1074" i="34"/>
  <c r="W1075" i="34"/>
  <c r="W1076" i="34"/>
  <c r="W1077" i="34"/>
  <c r="W1078" i="34"/>
  <c r="W1079" i="34"/>
  <c r="W1080" i="34"/>
  <c r="W1081" i="34"/>
  <c r="W1082" i="34"/>
  <c r="W1083" i="34"/>
  <c r="W1084" i="34"/>
  <c r="W1085" i="34"/>
  <c r="W1086" i="34"/>
  <c r="W1087" i="34"/>
  <c r="W1088" i="34"/>
  <c r="W1089" i="34"/>
  <c r="W1090" i="34"/>
  <c r="W1091" i="34"/>
  <c r="W1092" i="34"/>
  <c r="W1093" i="34"/>
  <c r="W1094" i="34"/>
  <c r="W1095" i="34"/>
  <c r="W1096" i="34"/>
  <c r="W1097" i="34"/>
  <c r="W1098" i="34"/>
  <c r="W1099" i="34"/>
  <c r="W1100" i="34"/>
  <c r="W1101" i="34"/>
  <c r="W1102" i="34"/>
  <c r="W1103" i="34"/>
  <c r="W1104" i="34"/>
  <c r="W1105" i="34"/>
  <c r="W1106" i="34"/>
  <c r="W1107" i="34"/>
  <c r="W1108" i="34"/>
  <c r="W1109" i="34"/>
  <c r="W1110" i="34"/>
  <c r="W1111" i="34"/>
  <c r="W1112" i="34"/>
  <c r="W1113" i="34"/>
  <c r="W1114" i="34"/>
  <c r="W1115" i="34"/>
  <c r="W1116" i="34"/>
  <c r="W1117" i="34"/>
  <c r="W1118" i="34"/>
  <c r="W1119" i="34"/>
  <c r="W1120" i="34"/>
  <c r="W1121" i="34"/>
  <c r="W1122" i="34"/>
  <c r="W1123" i="34"/>
  <c r="W1124" i="34"/>
  <c r="W1125" i="34"/>
  <c r="W1126" i="34"/>
  <c r="W1127" i="34"/>
  <c r="W1128" i="34"/>
  <c r="W1129" i="34"/>
  <c r="W1130" i="34"/>
  <c r="W1131" i="34"/>
  <c r="W1132" i="34"/>
  <c r="W1133" i="34"/>
  <c r="W1134" i="34"/>
  <c r="W1135" i="34"/>
  <c r="W1136" i="34"/>
  <c r="W1137" i="34"/>
  <c r="W1138" i="34"/>
  <c r="W1139" i="34"/>
  <c r="W1140" i="34"/>
  <c r="W1141" i="34"/>
  <c r="W1142" i="34"/>
  <c r="W1143" i="34"/>
  <c r="W1144" i="34"/>
  <c r="W1145" i="34"/>
  <c r="W1146" i="34"/>
  <c r="W1147" i="34"/>
  <c r="W1148" i="34"/>
  <c r="W1149" i="34"/>
  <c r="W1150" i="34"/>
  <c r="W1151" i="34"/>
  <c r="W1152" i="34"/>
  <c r="W1153" i="34"/>
  <c r="W1154" i="34"/>
  <c r="W1155" i="34"/>
  <c r="W1156" i="34"/>
  <c r="W1157" i="34"/>
  <c r="W1158" i="34"/>
  <c r="W1159" i="34"/>
  <c r="W1160" i="34"/>
  <c r="W1161" i="34"/>
  <c r="W1162" i="34"/>
  <c r="W1163" i="34"/>
  <c r="W1164" i="34"/>
  <c r="W1165" i="34"/>
  <c r="W1166" i="34"/>
  <c r="W1167" i="34"/>
  <c r="W1168" i="34"/>
  <c r="W1169" i="34"/>
  <c r="W1170" i="34"/>
  <c r="W1171" i="34"/>
  <c r="W1172" i="34"/>
  <c r="W1173" i="34"/>
  <c r="W1174" i="34"/>
  <c r="W1175" i="34"/>
  <c r="W1176" i="34"/>
  <c r="W1177" i="34"/>
  <c r="W1178" i="34"/>
  <c r="W1179" i="34"/>
  <c r="W1180" i="34"/>
  <c r="W1181" i="34"/>
  <c r="W1182" i="34"/>
  <c r="W1183" i="34"/>
  <c r="W1184" i="34"/>
  <c r="W1185" i="34"/>
  <c r="W1186" i="34"/>
  <c r="W1187" i="34"/>
  <c r="W1188" i="34"/>
  <c r="W1189" i="34"/>
  <c r="W1190" i="34"/>
  <c r="W1191" i="34"/>
  <c r="W1192" i="34"/>
  <c r="W1193" i="34"/>
  <c r="W1194" i="34"/>
  <c r="W1195" i="34"/>
  <c r="W1196" i="34"/>
  <c r="W1197" i="34"/>
  <c r="W1198" i="34"/>
  <c r="W1199" i="34"/>
  <c r="W1200" i="34"/>
  <c r="W1201" i="34"/>
  <c r="W1202" i="34"/>
  <c r="W1203" i="34"/>
  <c r="W1204" i="34"/>
  <c r="W1205" i="34"/>
  <c r="W1206" i="34"/>
  <c r="W1207" i="34"/>
  <c r="W1208" i="34"/>
  <c r="W1209" i="34"/>
  <c r="W1210" i="34"/>
  <c r="W1211" i="34"/>
  <c r="W1212" i="34"/>
  <c r="W1213" i="34"/>
  <c r="W1214" i="34"/>
  <c r="W1215" i="34"/>
  <c r="W1216" i="34"/>
  <c r="W1217" i="34"/>
  <c r="W1218" i="34"/>
  <c r="W1219" i="34"/>
  <c r="W1220" i="34"/>
  <c r="W1221" i="34"/>
  <c r="W1222" i="34"/>
  <c r="W1223" i="34"/>
  <c r="W1224" i="34"/>
  <c r="W1225" i="34"/>
  <c r="W1226" i="34"/>
  <c r="W1227" i="34"/>
  <c r="W1228" i="34"/>
  <c r="W1229" i="34"/>
  <c r="W1230" i="34"/>
  <c r="W1231" i="34"/>
  <c r="W1232" i="34"/>
  <c r="W1233" i="34"/>
  <c r="W1234" i="34"/>
  <c r="W1235" i="34"/>
  <c r="W1236" i="34"/>
  <c r="W1237" i="34"/>
  <c r="W1238" i="34"/>
  <c r="W1239" i="34"/>
  <c r="W1240" i="34"/>
  <c r="W1241" i="34"/>
  <c r="W1242" i="34"/>
  <c r="W1243" i="34"/>
  <c r="W1244" i="34"/>
  <c r="W1245" i="34"/>
  <c r="W1246" i="34"/>
  <c r="W1247" i="34"/>
  <c r="W1248" i="34"/>
  <c r="W1249" i="34"/>
  <c r="W1250" i="34"/>
  <c r="W1251" i="34"/>
  <c r="W1252" i="34"/>
  <c r="W1253" i="34"/>
  <c r="W1254" i="34"/>
  <c r="W1255" i="34"/>
  <c r="W1256" i="34"/>
  <c r="W1257" i="34"/>
  <c r="W1258" i="34"/>
  <c r="W1259" i="34"/>
  <c r="W1260" i="34"/>
  <c r="W1261" i="34"/>
  <c r="W1262" i="34"/>
  <c r="W1263" i="34"/>
  <c r="W1264" i="34"/>
  <c r="W1265" i="34"/>
  <c r="W1266" i="34"/>
  <c r="W1267" i="34"/>
  <c r="W1268" i="34"/>
  <c r="W1269" i="34"/>
  <c r="W1270" i="34"/>
  <c r="V20" i="37"/>
  <c r="V21" i="37"/>
  <c r="V22" i="37"/>
  <c r="V23" i="37"/>
  <c r="V24" i="37"/>
  <c r="V25" i="37"/>
  <c r="V26" i="37"/>
  <c r="V27" i="37"/>
  <c r="V28" i="37"/>
  <c r="V29" i="37"/>
  <c r="V30" i="37"/>
  <c r="V31" i="37"/>
  <c r="V32" i="37"/>
  <c r="V33" i="37"/>
  <c r="V34" i="37"/>
  <c r="V35" i="37"/>
  <c r="V36" i="37"/>
  <c r="V37" i="37"/>
  <c r="V38" i="37"/>
  <c r="V39" i="37"/>
  <c r="V40" i="37"/>
  <c r="V41" i="37"/>
  <c r="V42" i="37"/>
  <c r="V43" i="37"/>
  <c r="V44" i="37"/>
  <c r="V19" i="37"/>
  <c r="AJ55" i="1"/>
  <c r="C117" i="1"/>
  <c r="C45" i="1" l="1"/>
  <c r="K23" i="1"/>
  <c r="K24" i="1" s="1"/>
  <c r="K29" i="1" s="1"/>
  <c r="U12" i="1"/>
  <c r="K25" i="1" l="1"/>
  <c r="H37" i="1"/>
  <c r="K28" i="1"/>
  <c r="AB23" i="1"/>
  <c r="Z30" i="1"/>
  <c r="B110" i="1"/>
  <c r="D118" i="1" s="1"/>
  <c r="AB20" i="1" s="1"/>
  <c r="AI55" i="1" s="1"/>
  <c r="G109" i="1"/>
  <c r="G110" i="1" s="1"/>
  <c r="F109" i="1"/>
  <c r="F110" i="1" s="1"/>
  <c r="E109" i="1"/>
  <c r="E110" i="1" s="1"/>
  <c r="D109" i="1"/>
  <c r="D110" i="1" s="1"/>
  <c r="C109" i="1"/>
  <c r="C110" i="1" s="1"/>
  <c r="B109" i="1"/>
  <c r="C118" i="1" s="1"/>
  <c r="AI61" i="1"/>
  <c r="AI56" i="1" l="1"/>
  <c r="AI57" i="1"/>
  <c r="AB25" i="1" s="1"/>
  <c r="AB24" i="1"/>
  <c r="D1490" i="34"/>
  <c r="G1490" i="34"/>
  <c r="J1490" i="34"/>
  <c r="M1490" i="34"/>
  <c r="P1490" i="34"/>
  <c r="S1490" i="34"/>
  <c r="V1490" i="34"/>
  <c r="Y1490" i="34"/>
  <c r="D1491" i="34"/>
  <c r="G1491" i="34"/>
  <c r="J1491" i="34"/>
  <c r="M1491" i="34"/>
  <c r="P1491" i="34"/>
  <c r="S1491" i="34"/>
  <c r="V1491" i="34"/>
  <c r="Y1491" i="34"/>
  <c r="D1492" i="34"/>
  <c r="G1492" i="34"/>
  <c r="J1492" i="34"/>
  <c r="M1492" i="34"/>
  <c r="P1492" i="34"/>
  <c r="S1492" i="34"/>
  <c r="V1492" i="34"/>
  <c r="Y1492" i="34"/>
  <c r="D1493" i="34"/>
  <c r="G1493" i="34"/>
  <c r="J1493" i="34"/>
  <c r="M1493" i="34"/>
  <c r="P1493" i="34"/>
  <c r="S1493" i="34"/>
  <c r="V1493" i="34"/>
  <c r="Y1493" i="34"/>
  <c r="D1494" i="34"/>
  <c r="G1494" i="34"/>
  <c r="J1494" i="34"/>
  <c r="M1494" i="34"/>
  <c r="P1494" i="34"/>
  <c r="S1494" i="34"/>
  <c r="V1494" i="34"/>
  <c r="Y1494" i="34"/>
  <c r="D1495" i="34"/>
  <c r="G1495" i="34"/>
  <c r="J1495" i="34"/>
  <c r="M1495" i="34"/>
  <c r="P1495" i="34"/>
  <c r="S1495" i="34"/>
  <c r="V1495" i="34"/>
  <c r="Y1495" i="34"/>
  <c r="D1496" i="34"/>
  <c r="G1496" i="34"/>
  <c r="J1496" i="34"/>
  <c r="M1496" i="34"/>
  <c r="P1496" i="34"/>
  <c r="S1496" i="34"/>
  <c r="V1496" i="34"/>
  <c r="Y1496" i="34"/>
  <c r="D1497" i="34"/>
  <c r="G1497" i="34"/>
  <c r="J1497" i="34"/>
  <c r="M1497" i="34"/>
  <c r="P1497" i="34"/>
  <c r="S1497" i="34"/>
  <c r="V1497" i="34"/>
  <c r="Y1497" i="34"/>
  <c r="D1498" i="34"/>
  <c r="G1498" i="34"/>
  <c r="J1498" i="34"/>
  <c r="M1498" i="34"/>
  <c r="P1498" i="34"/>
  <c r="S1498" i="34"/>
  <c r="V1498" i="34"/>
  <c r="Y1498" i="34"/>
  <c r="D1499" i="34"/>
  <c r="G1499" i="34"/>
  <c r="J1499" i="34"/>
  <c r="M1499" i="34"/>
  <c r="P1499" i="34"/>
  <c r="S1499" i="34"/>
  <c r="V1499" i="34"/>
  <c r="Y1499" i="34"/>
  <c r="D1500" i="34"/>
  <c r="G1500" i="34"/>
  <c r="J1500" i="34"/>
  <c r="M1500" i="34"/>
  <c r="P1500" i="34"/>
  <c r="S1500" i="34"/>
  <c r="V1500" i="34"/>
  <c r="Y1500" i="34"/>
  <c r="D1501" i="34"/>
  <c r="G1501" i="34"/>
  <c r="J1501" i="34"/>
  <c r="M1501" i="34"/>
  <c r="P1501" i="34"/>
  <c r="S1501" i="34"/>
  <c r="V1501" i="34"/>
  <c r="Y1501" i="34"/>
  <c r="D1502" i="34"/>
  <c r="G1502" i="34"/>
  <c r="J1502" i="34"/>
  <c r="M1502" i="34"/>
  <c r="P1502" i="34"/>
  <c r="S1502" i="34"/>
  <c r="V1502" i="34"/>
  <c r="Y1502" i="34"/>
  <c r="D1503" i="34"/>
  <c r="G1503" i="34"/>
  <c r="J1503" i="34"/>
  <c r="M1503" i="34"/>
  <c r="P1503" i="34"/>
  <c r="S1503" i="34"/>
  <c r="V1503" i="34"/>
  <c r="Y1503" i="34"/>
  <c r="D1504" i="34"/>
  <c r="G1504" i="34"/>
  <c r="J1504" i="34"/>
  <c r="M1504" i="34"/>
  <c r="P1504" i="34"/>
  <c r="S1504" i="34"/>
  <c r="V1504" i="34"/>
  <c r="Y1504" i="34"/>
  <c r="D1505" i="34"/>
  <c r="G1505" i="34"/>
  <c r="J1505" i="34"/>
  <c r="M1505" i="34"/>
  <c r="P1505" i="34"/>
  <c r="S1505" i="34"/>
  <c r="V1505" i="34"/>
  <c r="Y1505" i="34"/>
  <c r="D1506" i="34"/>
  <c r="G1506" i="34"/>
  <c r="J1506" i="34"/>
  <c r="M1506" i="34"/>
  <c r="P1506" i="34"/>
  <c r="S1506" i="34"/>
  <c r="V1506" i="34"/>
  <c r="Y1506" i="34"/>
  <c r="D1507" i="34"/>
  <c r="G1507" i="34"/>
  <c r="J1507" i="34"/>
  <c r="M1507" i="34"/>
  <c r="P1507" i="34"/>
  <c r="S1507" i="34"/>
  <c r="V1507" i="34"/>
  <c r="Y1507" i="34"/>
  <c r="D1508" i="34"/>
  <c r="G1508" i="34"/>
  <c r="J1508" i="34"/>
  <c r="M1508" i="34"/>
  <c r="P1508" i="34"/>
  <c r="S1508" i="34"/>
  <c r="V1508" i="34"/>
  <c r="Y1508" i="34"/>
  <c r="D1509" i="34"/>
  <c r="G1509" i="34"/>
  <c r="J1509" i="34"/>
  <c r="M1509" i="34"/>
  <c r="P1509" i="34"/>
  <c r="S1509" i="34"/>
  <c r="V1509" i="34"/>
  <c r="Y1509" i="34"/>
  <c r="D1510" i="34"/>
  <c r="G1510" i="34"/>
  <c r="J1510" i="34"/>
  <c r="M1510" i="34"/>
  <c r="P1510" i="34"/>
  <c r="S1510" i="34"/>
  <c r="V1510" i="34"/>
  <c r="Y1510" i="34"/>
  <c r="D1511" i="34"/>
  <c r="G1511" i="34"/>
  <c r="J1511" i="34"/>
  <c r="M1511" i="34"/>
  <c r="P1511" i="34"/>
  <c r="S1511" i="34"/>
  <c r="V1511" i="34"/>
  <c r="Y1511" i="34"/>
  <c r="D1512" i="34"/>
  <c r="G1512" i="34"/>
  <c r="J1512" i="34"/>
  <c r="M1512" i="34"/>
  <c r="P1512" i="34"/>
  <c r="S1512" i="34"/>
  <c r="V1512" i="34"/>
  <c r="Y1512" i="34"/>
  <c r="D1513" i="34"/>
  <c r="G1513" i="34"/>
  <c r="J1513" i="34"/>
  <c r="M1513" i="34"/>
  <c r="P1513" i="34"/>
  <c r="S1513" i="34"/>
  <c r="V1513" i="34"/>
  <c r="Y1513" i="34"/>
  <c r="D1514" i="34"/>
  <c r="G1514" i="34"/>
  <c r="J1514" i="34"/>
  <c r="M1514" i="34"/>
  <c r="P1514" i="34"/>
  <c r="S1514" i="34"/>
  <c r="V1514" i="34"/>
  <c r="Y1514" i="34"/>
  <c r="D1515" i="34"/>
  <c r="G1515" i="34"/>
  <c r="J1515" i="34"/>
  <c r="M1515" i="34"/>
  <c r="P1515" i="34"/>
  <c r="S1515" i="34"/>
  <c r="V1515" i="34"/>
  <c r="Y1515" i="34"/>
  <c r="D1516" i="34"/>
  <c r="G1516" i="34"/>
  <c r="J1516" i="34"/>
  <c r="M1516" i="34"/>
  <c r="P1516" i="34"/>
  <c r="S1516" i="34"/>
  <c r="V1516" i="34"/>
  <c r="Y1516" i="34"/>
  <c r="D1517" i="34"/>
  <c r="G1517" i="34"/>
  <c r="J1517" i="34"/>
  <c r="M1517" i="34"/>
  <c r="P1517" i="34"/>
  <c r="S1517" i="34"/>
  <c r="V1517" i="34"/>
  <c r="Y1517" i="34"/>
  <c r="D1518" i="34"/>
  <c r="G1518" i="34"/>
  <c r="J1518" i="34"/>
  <c r="M1518" i="34"/>
  <c r="P1518" i="34"/>
  <c r="S1518" i="34"/>
  <c r="V1518" i="34"/>
  <c r="Y1518" i="34"/>
  <c r="D1519" i="34"/>
  <c r="G1519" i="34"/>
  <c r="J1519" i="34"/>
  <c r="M1519" i="34"/>
  <c r="P1519" i="34"/>
  <c r="S1519" i="34"/>
  <c r="V1519" i="34"/>
  <c r="Y1519" i="34"/>
  <c r="D1520" i="34"/>
  <c r="G1520" i="34"/>
  <c r="J1520" i="34"/>
  <c r="M1520" i="34"/>
  <c r="P1520" i="34"/>
  <c r="S1520" i="34"/>
  <c r="V1520" i="34"/>
  <c r="Y1520" i="34"/>
  <c r="D1521" i="34"/>
  <c r="G1521" i="34"/>
  <c r="J1521" i="34"/>
  <c r="M1521" i="34"/>
  <c r="P1521" i="34"/>
  <c r="S1521" i="34"/>
  <c r="V1521" i="34"/>
  <c r="Y1521" i="34"/>
  <c r="D1522" i="34"/>
  <c r="G1522" i="34"/>
  <c r="J1522" i="34"/>
  <c r="M1522" i="34"/>
  <c r="P1522" i="34"/>
  <c r="S1522" i="34"/>
  <c r="V1522" i="34"/>
  <c r="Y1522" i="34"/>
  <c r="D1523" i="34"/>
  <c r="G1523" i="34"/>
  <c r="J1523" i="34"/>
  <c r="M1523" i="34"/>
  <c r="P1523" i="34"/>
  <c r="S1523" i="34"/>
  <c r="V1523" i="34"/>
  <c r="Y1523" i="34"/>
  <c r="D1524" i="34"/>
  <c r="G1524" i="34"/>
  <c r="J1524" i="34"/>
  <c r="M1524" i="34"/>
  <c r="P1524" i="34"/>
  <c r="S1524" i="34"/>
  <c r="V1524" i="34"/>
  <c r="Y1524" i="34"/>
  <c r="D1525" i="34"/>
  <c r="G1525" i="34"/>
  <c r="J1525" i="34"/>
  <c r="M1525" i="34"/>
  <c r="P1525" i="34"/>
  <c r="S1525" i="34"/>
  <c r="V1525" i="34"/>
  <c r="Y1525" i="34"/>
  <c r="D1526" i="34"/>
  <c r="G1526" i="34"/>
  <c r="J1526" i="34"/>
  <c r="M1526" i="34"/>
  <c r="P1526" i="34"/>
  <c r="S1526" i="34"/>
  <c r="V1526" i="34"/>
  <c r="Y1526" i="34"/>
  <c r="D1527" i="34"/>
  <c r="G1527" i="34"/>
  <c r="J1527" i="34"/>
  <c r="M1527" i="34"/>
  <c r="P1527" i="34"/>
  <c r="S1527" i="34"/>
  <c r="V1527" i="34"/>
  <c r="Y1527" i="34"/>
  <c r="D1528" i="34"/>
  <c r="G1528" i="34"/>
  <c r="J1528" i="34"/>
  <c r="M1528" i="34"/>
  <c r="P1528" i="34"/>
  <c r="S1528" i="34"/>
  <c r="V1528" i="34"/>
  <c r="Y1528" i="34"/>
  <c r="D1529" i="34"/>
  <c r="G1529" i="34"/>
  <c r="J1529" i="34"/>
  <c r="M1529" i="34"/>
  <c r="P1529" i="34"/>
  <c r="S1529" i="34"/>
  <c r="V1529" i="34"/>
  <c r="Y1529" i="34"/>
  <c r="D1530" i="34"/>
  <c r="G1530" i="34"/>
  <c r="J1530" i="34"/>
  <c r="M1530" i="34"/>
  <c r="P1530" i="34"/>
  <c r="S1530" i="34"/>
  <c r="V1530" i="34"/>
  <c r="Y1530" i="34"/>
  <c r="D1531" i="34"/>
  <c r="G1531" i="34"/>
  <c r="J1531" i="34"/>
  <c r="M1531" i="34"/>
  <c r="P1531" i="34"/>
  <c r="S1531" i="34"/>
  <c r="V1531" i="34"/>
  <c r="Y1531" i="34"/>
  <c r="D1532" i="34"/>
  <c r="G1532" i="34"/>
  <c r="J1532" i="34"/>
  <c r="M1532" i="34"/>
  <c r="P1532" i="34"/>
  <c r="S1532" i="34"/>
  <c r="V1532" i="34"/>
  <c r="Y1532" i="34"/>
  <c r="D1533" i="34"/>
  <c r="G1533" i="34"/>
  <c r="J1533" i="34"/>
  <c r="M1533" i="34"/>
  <c r="P1533" i="34"/>
  <c r="S1533" i="34"/>
  <c r="V1533" i="34"/>
  <c r="Y1533" i="34"/>
  <c r="D1534" i="34"/>
  <c r="G1534" i="34"/>
  <c r="J1534" i="34"/>
  <c r="M1534" i="34"/>
  <c r="P1534" i="34"/>
  <c r="S1534" i="34"/>
  <c r="V1534" i="34"/>
  <c r="Y1534" i="34"/>
  <c r="D1535" i="34"/>
  <c r="G1535" i="34"/>
  <c r="J1535" i="34"/>
  <c r="M1535" i="34"/>
  <c r="P1535" i="34"/>
  <c r="S1535" i="34"/>
  <c r="V1535" i="34"/>
  <c r="Y1535" i="34"/>
  <c r="D1536" i="34"/>
  <c r="G1536" i="34"/>
  <c r="J1536" i="34"/>
  <c r="M1536" i="34"/>
  <c r="P1536" i="34"/>
  <c r="S1536" i="34"/>
  <c r="V1536" i="34"/>
  <c r="Y1536" i="34"/>
  <c r="D1537" i="34"/>
  <c r="G1537" i="34"/>
  <c r="J1537" i="34"/>
  <c r="M1537" i="34"/>
  <c r="P1537" i="34"/>
  <c r="S1537" i="34"/>
  <c r="V1537" i="34"/>
  <c r="Y1537" i="34"/>
  <c r="D1538" i="34"/>
  <c r="G1538" i="34"/>
  <c r="J1538" i="34"/>
  <c r="M1538" i="34"/>
  <c r="P1538" i="34"/>
  <c r="S1538" i="34"/>
  <c r="V1538" i="34"/>
  <c r="Y1538" i="34"/>
  <c r="D1539" i="34"/>
  <c r="G1539" i="34"/>
  <c r="J1539" i="34"/>
  <c r="M1539" i="34"/>
  <c r="P1539" i="34"/>
  <c r="S1539" i="34"/>
  <c r="V1539" i="34"/>
  <c r="Y1539" i="34"/>
  <c r="D1540" i="34"/>
  <c r="G1540" i="34"/>
  <c r="J1540" i="34"/>
  <c r="M1540" i="34"/>
  <c r="P1540" i="34"/>
  <c r="S1540" i="34"/>
  <c r="V1540" i="34"/>
  <c r="Y1540" i="34"/>
  <c r="D1541" i="34"/>
  <c r="G1541" i="34"/>
  <c r="J1541" i="34"/>
  <c r="M1541" i="34"/>
  <c r="P1541" i="34"/>
  <c r="S1541" i="34"/>
  <c r="V1541" i="34"/>
  <c r="Y1541" i="34"/>
  <c r="D1542" i="34"/>
  <c r="G1542" i="34"/>
  <c r="J1542" i="34"/>
  <c r="M1542" i="34"/>
  <c r="P1542" i="34"/>
  <c r="S1542" i="34"/>
  <c r="V1542" i="34"/>
  <c r="Y1542" i="34"/>
  <c r="D1543" i="34"/>
  <c r="G1543" i="34"/>
  <c r="J1543" i="34"/>
  <c r="M1543" i="34"/>
  <c r="P1543" i="34"/>
  <c r="S1543" i="34"/>
  <c r="V1543" i="34"/>
  <c r="Y1543" i="34"/>
  <c r="D1544" i="34"/>
  <c r="G1544" i="34"/>
  <c r="J1544" i="34"/>
  <c r="M1544" i="34"/>
  <c r="P1544" i="34"/>
  <c r="S1544" i="34"/>
  <c r="V1544" i="34"/>
  <c r="Y1544" i="34"/>
  <c r="D1545" i="34"/>
  <c r="G1545" i="34"/>
  <c r="J1545" i="34"/>
  <c r="M1545" i="34"/>
  <c r="P1545" i="34"/>
  <c r="S1545" i="34"/>
  <c r="V1545" i="34"/>
  <c r="Y1545" i="34"/>
  <c r="D1546" i="34"/>
  <c r="G1546" i="34"/>
  <c r="J1546" i="34"/>
  <c r="M1546" i="34"/>
  <c r="P1546" i="34"/>
  <c r="S1546" i="34"/>
  <c r="V1546" i="34"/>
  <c r="Y1546" i="34"/>
  <c r="D1547" i="34"/>
  <c r="G1547" i="34"/>
  <c r="J1547" i="34"/>
  <c r="M1547" i="34"/>
  <c r="P1547" i="34"/>
  <c r="S1547" i="34"/>
  <c r="V1547" i="34"/>
  <c r="Y1547" i="34"/>
  <c r="D1548" i="34"/>
  <c r="G1548" i="34"/>
  <c r="J1548" i="34"/>
  <c r="M1548" i="34"/>
  <c r="P1548" i="34"/>
  <c r="S1548" i="34"/>
  <c r="V1548" i="34"/>
  <c r="Y1548" i="34"/>
  <c r="D1549" i="34"/>
  <c r="G1549" i="34"/>
  <c r="J1549" i="34"/>
  <c r="M1549" i="34"/>
  <c r="P1549" i="34"/>
  <c r="S1549" i="34"/>
  <c r="V1549" i="34"/>
  <c r="Y1549" i="34"/>
  <c r="D1550" i="34"/>
  <c r="G1550" i="34"/>
  <c r="J1550" i="34"/>
  <c r="M1550" i="34"/>
  <c r="P1550" i="34"/>
  <c r="S1550" i="34"/>
  <c r="V1550" i="34"/>
  <c r="Y1550" i="34"/>
  <c r="D1551" i="34"/>
  <c r="G1551" i="34"/>
  <c r="J1551" i="34"/>
  <c r="M1551" i="34"/>
  <c r="P1551" i="34"/>
  <c r="S1551" i="34"/>
  <c r="V1551" i="34"/>
  <c r="Y1551" i="34"/>
  <c r="D1552" i="34"/>
  <c r="G1552" i="34"/>
  <c r="J1552" i="34"/>
  <c r="M1552" i="34"/>
  <c r="P1552" i="34"/>
  <c r="S1552" i="34"/>
  <c r="V1552" i="34"/>
  <c r="Y1552" i="34"/>
  <c r="D1553" i="34"/>
  <c r="G1553" i="34"/>
  <c r="J1553" i="34"/>
  <c r="M1553" i="34"/>
  <c r="P1553" i="34"/>
  <c r="S1553" i="34"/>
  <c r="V1553" i="34"/>
  <c r="Y1553" i="34"/>
  <c r="D1554" i="34"/>
  <c r="G1554" i="34"/>
  <c r="J1554" i="34"/>
  <c r="M1554" i="34"/>
  <c r="P1554" i="34"/>
  <c r="S1554" i="34"/>
  <c r="V1554" i="34"/>
  <c r="Y1554" i="34"/>
  <c r="D1555" i="34"/>
  <c r="G1555" i="34"/>
  <c r="J1555" i="34"/>
  <c r="M1555" i="34"/>
  <c r="P1555" i="34"/>
  <c r="S1555" i="34"/>
  <c r="V1555" i="34"/>
  <c r="Y1555" i="34"/>
  <c r="D1556" i="34"/>
  <c r="G1556" i="34"/>
  <c r="J1556" i="34"/>
  <c r="M1556" i="34"/>
  <c r="P1556" i="34"/>
  <c r="S1556" i="34"/>
  <c r="V1556" i="34"/>
  <c r="Y1556" i="34"/>
  <c r="D1557" i="34"/>
  <c r="G1557" i="34"/>
  <c r="J1557" i="34"/>
  <c r="M1557" i="34"/>
  <c r="P1557" i="34"/>
  <c r="S1557" i="34"/>
  <c r="V1557" i="34"/>
  <c r="Y1557" i="34"/>
  <c r="D1558" i="34"/>
  <c r="G1558" i="34"/>
  <c r="J1558" i="34"/>
  <c r="M1558" i="34"/>
  <c r="P1558" i="34"/>
  <c r="S1558" i="34"/>
  <c r="V1558" i="34"/>
  <c r="Y1558" i="34"/>
  <c r="D1559" i="34"/>
  <c r="G1559" i="34"/>
  <c r="J1559" i="34"/>
  <c r="M1559" i="34"/>
  <c r="P1559" i="34"/>
  <c r="S1559" i="34"/>
  <c r="V1559" i="34"/>
  <c r="Y1559" i="34"/>
  <c r="D1560" i="34"/>
  <c r="G1560" i="34"/>
  <c r="J1560" i="34"/>
  <c r="M1560" i="34"/>
  <c r="P1560" i="34"/>
  <c r="S1560" i="34"/>
  <c r="V1560" i="34"/>
  <c r="Y1560" i="34"/>
  <c r="D1561" i="34"/>
  <c r="G1561" i="34"/>
  <c r="J1561" i="34"/>
  <c r="M1561" i="34"/>
  <c r="P1561" i="34"/>
  <c r="S1561" i="34"/>
  <c r="V1561" i="34"/>
  <c r="Y1561" i="34"/>
  <c r="D1562" i="34"/>
  <c r="G1562" i="34"/>
  <c r="J1562" i="34"/>
  <c r="M1562" i="34"/>
  <c r="P1562" i="34"/>
  <c r="S1562" i="34"/>
  <c r="V1562" i="34"/>
  <c r="Y1562" i="34"/>
  <c r="D1563" i="34"/>
  <c r="G1563" i="34"/>
  <c r="J1563" i="34"/>
  <c r="M1563" i="34"/>
  <c r="P1563" i="34"/>
  <c r="S1563" i="34"/>
  <c r="V1563" i="34"/>
  <c r="Y1563" i="34"/>
  <c r="D1564" i="34"/>
  <c r="G1564" i="34"/>
  <c r="J1564" i="34"/>
  <c r="M1564" i="34"/>
  <c r="P1564" i="34"/>
  <c r="S1564" i="34"/>
  <c r="V1564" i="34"/>
  <c r="Y1564" i="34"/>
  <c r="D1565" i="34"/>
  <c r="G1565" i="34"/>
  <c r="J1565" i="34"/>
  <c r="M1565" i="34"/>
  <c r="P1565" i="34"/>
  <c r="S1565" i="34"/>
  <c r="V1565" i="34"/>
  <c r="Y1565" i="34"/>
  <c r="D1566" i="34"/>
  <c r="G1566" i="34"/>
  <c r="J1566" i="34"/>
  <c r="M1566" i="34"/>
  <c r="P1566" i="34"/>
  <c r="S1566" i="34"/>
  <c r="V1566" i="34"/>
  <c r="Y1566" i="34"/>
  <c r="D1567" i="34"/>
  <c r="G1567" i="34"/>
  <c r="J1567" i="34"/>
  <c r="M1567" i="34"/>
  <c r="P1567" i="34"/>
  <c r="S1567" i="34"/>
  <c r="V1567" i="34"/>
  <c r="Y1567" i="34"/>
  <c r="D1568" i="34"/>
  <c r="G1568" i="34"/>
  <c r="J1568" i="34"/>
  <c r="M1568" i="34"/>
  <c r="P1568" i="34"/>
  <c r="S1568" i="34"/>
  <c r="V1568" i="34"/>
  <c r="Y1568" i="34"/>
  <c r="D1569" i="34"/>
  <c r="G1569" i="34"/>
  <c r="J1569" i="34"/>
  <c r="M1569" i="34"/>
  <c r="P1569" i="34"/>
  <c r="S1569" i="34"/>
  <c r="V1569" i="34"/>
  <c r="Y1569" i="34"/>
  <c r="D1570" i="34"/>
  <c r="G1570" i="34"/>
  <c r="J1570" i="34"/>
  <c r="M1570" i="34"/>
  <c r="P1570" i="34"/>
  <c r="S1570" i="34"/>
  <c r="V1570" i="34"/>
  <c r="Y1570" i="34"/>
  <c r="D1571" i="34"/>
  <c r="G1571" i="34"/>
  <c r="J1571" i="34"/>
  <c r="M1571" i="34"/>
  <c r="P1571" i="34"/>
  <c r="S1571" i="34"/>
  <c r="V1571" i="34"/>
  <c r="Y1571" i="34"/>
  <c r="D1572" i="34"/>
  <c r="G1572" i="34"/>
  <c r="J1572" i="34"/>
  <c r="M1572" i="34"/>
  <c r="P1572" i="34"/>
  <c r="S1572" i="34"/>
  <c r="V1572" i="34"/>
  <c r="Y1572" i="34"/>
  <c r="D1573" i="34"/>
  <c r="G1573" i="34"/>
  <c r="J1573" i="34"/>
  <c r="M1573" i="34"/>
  <c r="P1573" i="34"/>
  <c r="S1573" i="34"/>
  <c r="V1573" i="34"/>
  <c r="Y1573" i="34"/>
  <c r="D1574" i="34"/>
  <c r="G1574" i="34"/>
  <c r="J1574" i="34"/>
  <c r="M1574" i="34"/>
  <c r="P1574" i="34"/>
  <c r="S1574" i="34"/>
  <c r="V1574" i="34"/>
  <c r="Y1574" i="34"/>
  <c r="D1575" i="34"/>
  <c r="G1575" i="34"/>
  <c r="J1575" i="34"/>
  <c r="M1575" i="34"/>
  <c r="P1575" i="34"/>
  <c r="S1575" i="34"/>
  <c r="V1575" i="34"/>
  <c r="Y1575" i="34"/>
  <c r="D1576" i="34"/>
  <c r="G1576" i="34"/>
  <c r="J1576" i="34"/>
  <c r="M1576" i="34"/>
  <c r="P1576" i="34"/>
  <c r="S1576" i="34"/>
  <c r="V1576" i="34"/>
  <c r="Y1576" i="34"/>
  <c r="D1577" i="34"/>
  <c r="G1577" i="34"/>
  <c r="J1577" i="34"/>
  <c r="M1577" i="34"/>
  <c r="P1577" i="34"/>
  <c r="S1577" i="34"/>
  <c r="V1577" i="34"/>
  <c r="Y1577" i="34"/>
  <c r="D1578" i="34"/>
  <c r="G1578" i="34"/>
  <c r="J1578" i="34"/>
  <c r="M1578" i="34"/>
  <c r="P1578" i="34"/>
  <c r="S1578" i="34"/>
  <c r="V1578" i="34"/>
  <c r="Y1578" i="34"/>
  <c r="D1579" i="34"/>
  <c r="G1579" i="34"/>
  <c r="J1579" i="34"/>
  <c r="M1579" i="34"/>
  <c r="P1579" i="34"/>
  <c r="S1579" i="34"/>
  <c r="V1579" i="34"/>
  <c r="Y1579" i="34"/>
  <c r="D1580" i="34"/>
  <c r="G1580" i="34"/>
  <c r="J1580" i="34"/>
  <c r="M1580" i="34"/>
  <c r="P1580" i="34"/>
  <c r="S1580" i="34"/>
  <c r="V1580" i="34"/>
  <c r="Y1580" i="34"/>
  <c r="D1581" i="34"/>
  <c r="G1581" i="34"/>
  <c r="J1581" i="34"/>
  <c r="M1581" i="34"/>
  <c r="P1581" i="34"/>
  <c r="S1581" i="34"/>
  <c r="V1581" i="34"/>
  <c r="Y1581" i="34"/>
  <c r="D1582" i="34"/>
  <c r="G1582" i="34"/>
  <c r="J1582" i="34"/>
  <c r="M1582" i="34"/>
  <c r="P1582" i="34"/>
  <c r="S1582" i="34"/>
  <c r="V1582" i="34"/>
  <c r="Y1582" i="34"/>
  <c r="D1583" i="34"/>
  <c r="G1583" i="34"/>
  <c r="J1583" i="34"/>
  <c r="M1583" i="34"/>
  <c r="P1583" i="34"/>
  <c r="S1583" i="34"/>
  <c r="V1583" i="34"/>
  <c r="Y1583" i="34"/>
  <c r="D1584" i="34"/>
  <c r="G1584" i="34"/>
  <c r="J1584" i="34"/>
  <c r="M1584" i="34"/>
  <c r="P1584" i="34"/>
  <c r="S1584" i="34"/>
  <c r="V1584" i="34"/>
  <c r="Y1584" i="34"/>
  <c r="D1585" i="34"/>
  <c r="G1585" i="34"/>
  <c r="J1585" i="34"/>
  <c r="M1585" i="34"/>
  <c r="P1585" i="34"/>
  <c r="S1585" i="34"/>
  <c r="V1585" i="34"/>
  <c r="Y1585" i="34"/>
  <c r="D1586" i="34"/>
  <c r="G1586" i="34"/>
  <c r="J1586" i="34"/>
  <c r="M1586" i="34"/>
  <c r="P1586" i="34"/>
  <c r="S1586" i="34"/>
  <c r="V1586" i="34"/>
  <c r="Y1586" i="34"/>
  <c r="D1587" i="34"/>
  <c r="G1587" i="34"/>
  <c r="J1587" i="34"/>
  <c r="M1587" i="34"/>
  <c r="P1587" i="34"/>
  <c r="S1587" i="34"/>
  <c r="V1587" i="34"/>
  <c r="Y1587" i="34"/>
  <c r="D1588" i="34"/>
  <c r="G1588" i="34"/>
  <c r="J1588" i="34"/>
  <c r="M1588" i="34"/>
  <c r="P1588" i="34"/>
  <c r="S1588" i="34"/>
  <c r="V1588" i="34"/>
  <c r="Y1588" i="34"/>
  <c r="D1589" i="34"/>
  <c r="G1589" i="34"/>
  <c r="J1589" i="34"/>
  <c r="M1589" i="34"/>
  <c r="P1589" i="34"/>
  <c r="S1589" i="34"/>
  <c r="V1589" i="34"/>
  <c r="Y1589" i="34"/>
  <c r="D1590" i="34"/>
  <c r="G1590" i="34"/>
  <c r="J1590" i="34"/>
  <c r="M1590" i="34"/>
  <c r="P1590" i="34"/>
  <c r="S1590" i="34"/>
  <c r="V1590" i="34"/>
  <c r="Y1590" i="34"/>
  <c r="D1591" i="34"/>
  <c r="G1591" i="34"/>
  <c r="J1591" i="34"/>
  <c r="M1591" i="34"/>
  <c r="P1591" i="34"/>
  <c r="S1591" i="34"/>
  <c r="V1591" i="34"/>
  <c r="Y1591" i="34"/>
  <c r="D1592" i="34"/>
  <c r="G1592" i="34"/>
  <c r="J1592" i="34"/>
  <c r="M1592" i="34"/>
  <c r="P1592" i="34"/>
  <c r="S1592" i="34"/>
  <c r="V1592" i="34"/>
  <c r="Y1592" i="34"/>
  <c r="D1593" i="34"/>
  <c r="G1593" i="34"/>
  <c r="J1593" i="34"/>
  <c r="M1593" i="34"/>
  <c r="P1593" i="34"/>
  <c r="S1593" i="34"/>
  <c r="V1593" i="34"/>
  <c r="Y1593" i="34"/>
  <c r="D1594" i="34"/>
  <c r="G1594" i="34"/>
  <c r="J1594" i="34"/>
  <c r="M1594" i="34"/>
  <c r="P1594" i="34"/>
  <c r="S1594" i="34"/>
  <c r="V1594" i="34"/>
  <c r="Y1594" i="34"/>
  <c r="D1595" i="34"/>
  <c r="G1595" i="34"/>
  <c r="J1595" i="34"/>
  <c r="M1595" i="34"/>
  <c r="P1595" i="34"/>
  <c r="S1595" i="34"/>
  <c r="V1595" i="34"/>
  <c r="Y1595" i="34"/>
  <c r="D1596" i="34"/>
  <c r="G1596" i="34"/>
  <c r="J1596" i="34"/>
  <c r="M1596" i="34"/>
  <c r="P1596" i="34"/>
  <c r="S1596" i="34"/>
  <c r="V1596" i="34"/>
  <c r="Y1596" i="34"/>
  <c r="D1597" i="34"/>
  <c r="G1597" i="34"/>
  <c r="J1597" i="34"/>
  <c r="M1597" i="34"/>
  <c r="P1597" i="34"/>
  <c r="S1597" i="34"/>
  <c r="V1597" i="34"/>
  <c r="Y1597" i="34"/>
  <c r="D1598" i="34"/>
  <c r="G1598" i="34"/>
  <c r="J1598" i="34"/>
  <c r="M1598" i="34"/>
  <c r="P1598" i="34"/>
  <c r="S1598" i="34"/>
  <c r="V1598" i="34"/>
  <c r="Y1598" i="34"/>
  <c r="D1599" i="34"/>
  <c r="G1599" i="34"/>
  <c r="J1599" i="34"/>
  <c r="M1599" i="34"/>
  <c r="P1599" i="34"/>
  <c r="S1599" i="34"/>
  <c r="V1599" i="34"/>
  <c r="Y1599" i="34"/>
  <c r="D1600" i="34"/>
  <c r="G1600" i="34"/>
  <c r="J1600" i="34"/>
  <c r="M1600" i="34"/>
  <c r="P1600" i="34"/>
  <c r="S1600" i="34"/>
  <c r="V1600" i="34"/>
  <c r="Y1600" i="34"/>
  <c r="D1601" i="34"/>
  <c r="G1601" i="34"/>
  <c r="J1601" i="34"/>
  <c r="M1601" i="34"/>
  <c r="P1601" i="34"/>
  <c r="S1601" i="34"/>
  <c r="V1601" i="34"/>
  <c r="Y1601" i="34"/>
  <c r="D1602" i="34"/>
  <c r="G1602" i="34"/>
  <c r="J1602" i="34"/>
  <c r="M1602" i="34"/>
  <c r="P1602" i="34"/>
  <c r="S1602" i="34"/>
  <c r="V1602" i="34"/>
  <c r="Y1602" i="34"/>
  <c r="D1603" i="34"/>
  <c r="G1603" i="34"/>
  <c r="J1603" i="34"/>
  <c r="M1603" i="34"/>
  <c r="P1603" i="34"/>
  <c r="S1603" i="34"/>
  <c r="V1603" i="34"/>
  <c r="Y1603" i="34"/>
  <c r="D1604" i="34"/>
  <c r="G1604" i="34"/>
  <c r="J1604" i="34"/>
  <c r="M1604" i="34"/>
  <c r="P1604" i="34"/>
  <c r="S1604" i="34"/>
  <c r="V1604" i="34"/>
  <c r="Y1604" i="34"/>
  <c r="D1605" i="34"/>
  <c r="G1605" i="34"/>
  <c r="J1605" i="34"/>
  <c r="M1605" i="34"/>
  <c r="P1605" i="34"/>
  <c r="S1605" i="34"/>
  <c r="V1605" i="34"/>
  <c r="Y1605" i="34"/>
  <c r="D1606" i="34"/>
  <c r="G1606" i="34"/>
  <c r="J1606" i="34"/>
  <c r="M1606" i="34"/>
  <c r="P1606" i="34"/>
  <c r="S1606" i="34"/>
  <c r="V1606" i="34"/>
  <c r="Y1606" i="34"/>
  <c r="D1607" i="34"/>
  <c r="G1607" i="34"/>
  <c r="J1607" i="34"/>
  <c r="M1607" i="34"/>
  <c r="P1607" i="34"/>
  <c r="S1607" i="34"/>
  <c r="V1607" i="34"/>
  <c r="Y1607" i="34"/>
  <c r="D1608" i="34"/>
  <c r="G1608" i="34"/>
  <c r="J1608" i="34"/>
  <c r="M1608" i="34"/>
  <c r="P1608" i="34"/>
  <c r="S1608" i="34"/>
  <c r="V1608" i="34"/>
  <c r="Y1608" i="34"/>
  <c r="D1609" i="34"/>
  <c r="G1609" i="34"/>
  <c r="J1609" i="34"/>
  <c r="M1609" i="34"/>
  <c r="P1609" i="34"/>
  <c r="S1609" i="34"/>
  <c r="V1609" i="34"/>
  <c r="Y1609" i="34"/>
  <c r="D1610" i="34"/>
  <c r="G1610" i="34"/>
  <c r="J1610" i="34"/>
  <c r="M1610" i="34"/>
  <c r="P1610" i="34"/>
  <c r="S1610" i="34"/>
  <c r="V1610" i="34"/>
  <c r="Y1610" i="34"/>
  <c r="D1611" i="34"/>
  <c r="G1611" i="34"/>
  <c r="J1611" i="34"/>
  <c r="M1611" i="34"/>
  <c r="P1611" i="34"/>
  <c r="S1611" i="34"/>
  <c r="V1611" i="34"/>
  <c r="Y1611" i="34"/>
  <c r="D1612" i="34"/>
  <c r="G1612" i="34"/>
  <c r="J1612" i="34"/>
  <c r="M1612" i="34"/>
  <c r="P1612" i="34"/>
  <c r="S1612" i="34"/>
  <c r="V1612" i="34"/>
  <c r="Y1612" i="34"/>
  <c r="D1613" i="34"/>
  <c r="G1613" i="34"/>
  <c r="J1613" i="34"/>
  <c r="M1613" i="34"/>
  <c r="P1613" i="34"/>
  <c r="S1613" i="34"/>
  <c r="V1613" i="34"/>
  <c r="Y1613" i="34"/>
  <c r="D1614" i="34"/>
  <c r="G1614" i="34"/>
  <c r="J1614" i="34"/>
  <c r="M1614" i="34"/>
  <c r="P1614" i="34"/>
  <c r="S1614" i="34"/>
  <c r="V1614" i="34"/>
  <c r="Y1614" i="34"/>
  <c r="D1615" i="34"/>
  <c r="G1615" i="34"/>
  <c r="J1615" i="34"/>
  <c r="M1615" i="34"/>
  <c r="P1615" i="34"/>
  <c r="S1615" i="34"/>
  <c r="V1615" i="34"/>
  <c r="Y1615" i="34"/>
  <c r="D1616" i="34"/>
  <c r="G1616" i="34"/>
  <c r="J1616" i="34"/>
  <c r="M1616" i="34"/>
  <c r="P1616" i="34"/>
  <c r="S1616" i="34"/>
  <c r="V1616" i="34"/>
  <c r="Y1616" i="34"/>
  <c r="D1617" i="34"/>
  <c r="G1617" i="34"/>
  <c r="J1617" i="34"/>
  <c r="M1617" i="34"/>
  <c r="P1617" i="34"/>
  <c r="S1617" i="34"/>
  <c r="V1617" i="34"/>
  <c r="Y1617" i="34"/>
  <c r="D1618" i="34"/>
  <c r="G1618" i="34"/>
  <c r="J1618" i="34"/>
  <c r="M1618" i="34"/>
  <c r="P1618" i="34"/>
  <c r="S1618" i="34"/>
  <c r="V1618" i="34"/>
  <c r="Y1618" i="34"/>
  <c r="D1619" i="34"/>
  <c r="G1619" i="34"/>
  <c r="J1619" i="34"/>
  <c r="M1619" i="34"/>
  <c r="P1619" i="34"/>
  <c r="S1619" i="34"/>
  <c r="V1619" i="34"/>
  <c r="Y1619" i="34"/>
  <c r="D1620" i="34"/>
  <c r="G1620" i="34"/>
  <c r="J1620" i="34"/>
  <c r="M1620" i="34"/>
  <c r="P1620" i="34"/>
  <c r="S1620" i="34"/>
  <c r="V1620" i="34"/>
  <c r="Y1620" i="34"/>
  <c r="D1621" i="34"/>
  <c r="G1621" i="34"/>
  <c r="J1621" i="34"/>
  <c r="M1621" i="34"/>
  <c r="P1621" i="34"/>
  <c r="S1621" i="34"/>
  <c r="V1621" i="34"/>
  <c r="Y1621" i="34"/>
  <c r="D1622" i="34"/>
  <c r="G1622" i="34"/>
  <c r="J1622" i="34"/>
  <c r="M1622" i="34"/>
  <c r="P1622" i="34"/>
  <c r="S1622" i="34"/>
  <c r="V1622" i="34"/>
  <c r="Y1622" i="34"/>
  <c r="D1623" i="34"/>
  <c r="G1623" i="34"/>
  <c r="J1623" i="34"/>
  <c r="M1623" i="34"/>
  <c r="P1623" i="34"/>
  <c r="S1623" i="34"/>
  <c r="V1623" i="34"/>
  <c r="Y1623" i="34"/>
  <c r="D1624" i="34"/>
  <c r="G1624" i="34"/>
  <c r="J1624" i="34"/>
  <c r="M1624" i="34"/>
  <c r="P1624" i="34"/>
  <c r="S1624" i="34"/>
  <c r="V1624" i="34"/>
  <c r="Y1624" i="34"/>
  <c r="D1625" i="34"/>
  <c r="G1625" i="34"/>
  <c r="J1625" i="34"/>
  <c r="M1625" i="34"/>
  <c r="P1625" i="34"/>
  <c r="S1625" i="34"/>
  <c r="V1625" i="34"/>
  <c r="Y1625" i="34"/>
  <c r="D1626" i="34"/>
  <c r="G1626" i="34"/>
  <c r="J1626" i="34"/>
  <c r="M1626" i="34"/>
  <c r="P1626" i="34"/>
  <c r="S1626" i="34"/>
  <c r="V1626" i="34"/>
  <c r="Y1626" i="34"/>
  <c r="D1627" i="34"/>
  <c r="G1627" i="34"/>
  <c r="J1627" i="34"/>
  <c r="M1627" i="34"/>
  <c r="P1627" i="34"/>
  <c r="S1627" i="34"/>
  <c r="V1627" i="34"/>
  <c r="Y1627" i="34"/>
  <c r="D1628" i="34"/>
  <c r="G1628" i="34"/>
  <c r="J1628" i="34"/>
  <c r="M1628" i="34"/>
  <c r="P1628" i="34"/>
  <c r="S1628" i="34"/>
  <c r="V1628" i="34"/>
  <c r="Y1628" i="34"/>
  <c r="D1629" i="34"/>
  <c r="G1629" i="34"/>
  <c r="J1629" i="34"/>
  <c r="M1629" i="34"/>
  <c r="P1629" i="34"/>
  <c r="S1629" i="34"/>
  <c r="V1629" i="34"/>
  <c r="Y1629" i="34"/>
  <c r="D1630" i="34"/>
  <c r="G1630" i="34"/>
  <c r="J1630" i="34"/>
  <c r="M1630" i="34"/>
  <c r="P1630" i="34"/>
  <c r="S1630" i="34"/>
  <c r="V1630" i="34"/>
  <c r="Y1630" i="34"/>
  <c r="D1631" i="34"/>
  <c r="G1631" i="34"/>
  <c r="J1631" i="34"/>
  <c r="M1631" i="34"/>
  <c r="P1631" i="34"/>
  <c r="S1631" i="34"/>
  <c r="V1631" i="34"/>
  <c r="Y1631" i="34"/>
  <c r="D1632" i="34"/>
  <c r="G1632" i="34"/>
  <c r="J1632" i="34"/>
  <c r="M1632" i="34"/>
  <c r="P1632" i="34"/>
  <c r="S1632" i="34"/>
  <c r="V1632" i="34"/>
  <c r="Y1632" i="34"/>
  <c r="D1633" i="34"/>
  <c r="G1633" i="34"/>
  <c r="J1633" i="34"/>
  <c r="M1633" i="34"/>
  <c r="P1633" i="34"/>
  <c r="S1633" i="34"/>
  <c r="V1633" i="34"/>
  <c r="Y1633" i="34"/>
  <c r="D1634" i="34"/>
  <c r="G1634" i="34"/>
  <c r="J1634" i="34"/>
  <c r="M1634" i="34"/>
  <c r="P1634" i="34"/>
  <c r="S1634" i="34"/>
  <c r="V1634" i="34"/>
  <c r="Y1634" i="34"/>
  <c r="D1635" i="34"/>
  <c r="G1635" i="34"/>
  <c r="J1635" i="34"/>
  <c r="M1635" i="34"/>
  <c r="P1635" i="34"/>
  <c r="S1635" i="34"/>
  <c r="V1635" i="34"/>
  <c r="Y1635" i="34"/>
  <c r="D1636" i="34"/>
  <c r="G1636" i="34"/>
  <c r="J1636" i="34"/>
  <c r="M1636" i="34"/>
  <c r="P1636" i="34"/>
  <c r="S1636" i="34"/>
  <c r="V1636" i="34"/>
  <c r="Y1636" i="34"/>
  <c r="D1637" i="34"/>
  <c r="G1637" i="34"/>
  <c r="J1637" i="34"/>
  <c r="M1637" i="34"/>
  <c r="P1637" i="34"/>
  <c r="S1637" i="34"/>
  <c r="V1637" i="34"/>
  <c r="Y1637" i="34"/>
  <c r="D1638" i="34"/>
  <c r="G1638" i="34"/>
  <c r="J1638" i="34"/>
  <c r="M1638" i="34"/>
  <c r="P1638" i="34"/>
  <c r="S1638" i="34"/>
  <c r="V1638" i="34"/>
  <c r="Y1638" i="34"/>
  <c r="D1639" i="34"/>
  <c r="G1639" i="34"/>
  <c r="J1639" i="34"/>
  <c r="M1639" i="34"/>
  <c r="P1639" i="34"/>
  <c r="S1639" i="34"/>
  <c r="V1639" i="34"/>
  <c r="Y1639" i="34"/>
  <c r="D1640" i="34"/>
  <c r="G1640" i="34"/>
  <c r="J1640" i="34"/>
  <c r="M1640" i="34"/>
  <c r="P1640" i="34"/>
  <c r="S1640" i="34"/>
  <c r="V1640" i="34"/>
  <c r="Y1640" i="34"/>
  <c r="D1641" i="34"/>
  <c r="G1641" i="34"/>
  <c r="J1641" i="34"/>
  <c r="M1641" i="34"/>
  <c r="P1641" i="34"/>
  <c r="S1641" i="34"/>
  <c r="V1641" i="34"/>
  <c r="Y1641" i="34"/>
  <c r="D1642" i="34"/>
  <c r="G1642" i="34"/>
  <c r="J1642" i="34"/>
  <c r="M1642" i="34"/>
  <c r="P1642" i="34"/>
  <c r="S1642" i="34"/>
  <c r="V1642" i="34"/>
  <c r="Y1642" i="34"/>
  <c r="D1643" i="34"/>
  <c r="G1643" i="34"/>
  <c r="J1643" i="34"/>
  <c r="M1643" i="34"/>
  <c r="P1643" i="34"/>
  <c r="S1643" i="34"/>
  <c r="V1643" i="34"/>
  <c r="Y1643" i="34"/>
  <c r="D1644" i="34"/>
  <c r="G1644" i="34"/>
  <c r="J1644" i="34"/>
  <c r="M1644" i="34"/>
  <c r="P1644" i="34"/>
  <c r="S1644" i="34"/>
  <c r="V1644" i="34"/>
  <c r="Y1644" i="34"/>
  <c r="D1645" i="34"/>
  <c r="G1645" i="34"/>
  <c r="J1645" i="34"/>
  <c r="M1645" i="34"/>
  <c r="P1645" i="34"/>
  <c r="S1645" i="34"/>
  <c r="V1645" i="34"/>
  <c r="Y1645" i="34"/>
  <c r="D1646" i="34"/>
  <c r="G1646" i="34"/>
  <c r="J1646" i="34"/>
  <c r="M1646" i="34"/>
  <c r="P1646" i="34"/>
  <c r="S1646" i="34"/>
  <c r="V1646" i="34"/>
  <c r="Y1646" i="34"/>
  <c r="D1647" i="34"/>
  <c r="G1647" i="34"/>
  <c r="J1647" i="34"/>
  <c r="M1647" i="34"/>
  <c r="P1647" i="34"/>
  <c r="S1647" i="34"/>
  <c r="V1647" i="34"/>
  <c r="Y1647" i="34"/>
  <c r="D1648" i="34"/>
  <c r="G1648" i="34"/>
  <c r="J1648" i="34"/>
  <c r="M1648" i="34"/>
  <c r="P1648" i="34"/>
  <c r="S1648" i="34"/>
  <c r="V1648" i="34"/>
  <c r="Y1648" i="34"/>
  <c r="D1649" i="34"/>
  <c r="G1649" i="34"/>
  <c r="J1649" i="34"/>
  <c r="M1649" i="34"/>
  <c r="P1649" i="34"/>
  <c r="S1649" i="34"/>
  <c r="V1649" i="34"/>
  <c r="Y1649" i="34"/>
  <c r="D1650" i="34"/>
  <c r="G1650" i="34"/>
  <c r="J1650" i="34"/>
  <c r="M1650" i="34"/>
  <c r="P1650" i="34"/>
  <c r="S1650" i="34"/>
  <c r="V1650" i="34"/>
  <c r="Y1650" i="34"/>
  <c r="D1651" i="34"/>
  <c r="G1651" i="34"/>
  <c r="J1651" i="34"/>
  <c r="M1651" i="34"/>
  <c r="P1651" i="34"/>
  <c r="S1651" i="34"/>
  <c r="V1651" i="34"/>
  <c r="Y1651" i="34"/>
  <c r="D1652" i="34"/>
  <c r="G1652" i="34"/>
  <c r="J1652" i="34"/>
  <c r="M1652" i="34"/>
  <c r="P1652" i="34"/>
  <c r="S1652" i="34"/>
  <c r="V1652" i="34"/>
  <c r="Y1652" i="34"/>
  <c r="D1653" i="34"/>
  <c r="G1653" i="34"/>
  <c r="J1653" i="34"/>
  <c r="M1653" i="34"/>
  <c r="P1653" i="34"/>
  <c r="S1653" i="34"/>
  <c r="V1653" i="34"/>
  <c r="Y1653" i="34"/>
  <c r="D1654" i="34"/>
  <c r="G1654" i="34"/>
  <c r="J1654" i="34"/>
  <c r="M1654" i="34"/>
  <c r="P1654" i="34"/>
  <c r="S1654" i="34"/>
  <c r="V1654" i="34"/>
  <c r="Y1654" i="34"/>
  <c r="D1655" i="34"/>
  <c r="G1655" i="34"/>
  <c r="J1655" i="34"/>
  <c r="M1655" i="34"/>
  <c r="P1655" i="34"/>
  <c r="S1655" i="34"/>
  <c r="V1655" i="34"/>
  <c r="Y1655" i="34"/>
  <c r="D1656" i="34"/>
  <c r="G1656" i="34"/>
  <c r="J1656" i="34"/>
  <c r="M1656" i="34"/>
  <c r="P1656" i="34"/>
  <c r="S1656" i="34"/>
  <c r="V1656" i="34"/>
  <c r="Y1656" i="34"/>
  <c r="D1657" i="34"/>
  <c r="G1657" i="34"/>
  <c r="J1657" i="34"/>
  <c r="M1657" i="34"/>
  <c r="P1657" i="34"/>
  <c r="S1657" i="34"/>
  <c r="V1657" i="34"/>
  <c r="Y1657" i="34"/>
  <c r="D1658" i="34"/>
  <c r="G1658" i="34"/>
  <c r="J1658" i="34"/>
  <c r="M1658" i="34"/>
  <c r="P1658" i="34"/>
  <c r="S1658" i="34"/>
  <c r="V1658" i="34"/>
  <c r="Y1658" i="34"/>
  <c r="D1659" i="34"/>
  <c r="G1659" i="34"/>
  <c r="J1659" i="34"/>
  <c r="M1659" i="34"/>
  <c r="P1659" i="34"/>
  <c r="S1659" i="34"/>
  <c r="V1659" i="34"/>
  <c r="Y1659" i="34"/>
  <c r="D1660" i="34"/>
  <c r="G1660" i="34"/>
  <c r="J1660" i="34"/>
  <c r="M1660" i="34"/>
  <c r="P1660" i="34"/>
  <c r="S1660" i="34"/>
  <c r="V1660" i="34"/>
  <c r="Y1660" i="34"/>
  <c r="D1661" i="34"/>
  <c r="G1661" i="34"/>
  <c r="J1661" i="34"/>
  <c r="M1661" i="34"/>
  <c r="P1661" i="34"/>
  <c r="S1661" i="34"/>
  <c r="V1661" i="34"/>
  <c r="Y1661" i="34"/>
  <c r="D1662" i="34"/>
  <c r="G1662" i="34"/>
  <c r="J1662" i="34"/>
  <c r="M1662" i="34"/>
  <c r="P1662" i="34"/>
  <c r="S1662" i="34"/>
  <c r="V1662" i="34"/>
  <c r="Y1662" i="34"/>
  <c r="D1663" i="34"/>
  <c r="G1663" i="34"/>
  <c r="J1663" i="34"/>
  <c r="M1663" i="34"/>
  <c r="P1663" i="34"/>
  <c r="S1663" i="34"/>
  <c r="V1663" i="34"/>
  <c r="Y1663" i="34"/>
  <c r="D1664" i="34"/>
  <c r="G1664" i="34"/>
  <c r="J1664" i="34"/>
  <c r="M1664" i="34"/>
  <c r="P1664" i="34"/>
  <c r="S1664" i="34"/>
  <c r="V1664" i="34"/>
  <c r="Y1664" i="34"/>
  <c r="D1665" i="34"/>
  <c r="G1665" i="34"/>
  <c r="J1665" i="34"/>
  <c r="M1665" i="34"/>
  <c r="P1665" i="34"/>
  <c r="S1665" i="34"/>
  <c r="V1665" i="34"/>
  <c r="Y1665" i="34"/>
  <c r="D1666" i="34"/>
  <c r="G1666" i="34"/>
  <c r="J1666" i="34"/>
  <c r="M1666" i="34"/>
  <c r="P1666" i="34"/>
  <c r="S1666" i="34"/>
  <c r="V1666" i="34"/>
  <c r="Y1666" i="34"/>
  <c r="D1667" i="34"/>
  <c r="G1667" i="34"/>
  <c r="J1667" i="34"/>
  <c r="M1667" i="34"/>
  <c r="P1667" i="34"/>
  <c r="S1667" i="34"/>
  <c r="V1667" i="34"/>
  <c r="Y1667" i="34"/>
  <c r="D1668" i="34"/>
  <c r="G1668" i="34"/>
  <c r="J1668" i="34"/>
  <c r="M1668" i="34"/>
  <c r="P1668" i="34"/>
  <c r="S1668" i="34"/>
  <c r="V1668" i="34"/>
  <c r="Y1668" i="34"/>
  <c r="D1669" i="34"/>
  <c r="G1669" i="34"/>
  <c r="J1669" i="34"/>
  <c r="M1669" i="34"/>
  <c r="P1669" i="34"/>
  <c r="S1669" i="34"/>
  <c r="V1669" i="34"/>
  <c r="Y1669" i="34"/>
  <c r="D1670" i="34"/>
  <c r="G1670" i="34"/>
  <c r="J1670" i="34"/>
  <c r="M1670" i="34"/>
  <c r="P1670" i="34"/>
  <c r="S1670" i="34"/>
  <c r="V1670" i="34"/>
  <c r="Y1670" i="34"/>
  <c r="D1671" i="34"/>
  <c r="G1671" i="34"/>
  <c r="J1671" i="34"/>
  <c r="M1671" i="34"/>
  <c r="P1671" i="34"/>
  <c r="S1671" i="34"/>
  <c r="V1671" i="34"/>
  <c r="Y1671" i="34"/>
  <c r="D1672" i="34"/>
  <c r="G1672" i="34"/>
  <c r="J1672" i="34"/>
  <c r="M1672" i="34"/>
  <c r="P1672" i="34"/>
  <c r="S1672" i="34"/>
  <c r="V1672" i="34"/>
  <c r="Y1672" i="34"/>
  <c r="D1673" i="34"/>
  <c r="G1673" i="34"/>
  <c r="J1673" i="34"/>
  <c r="M1673" i="34"/>
  <c r="P1673" i="34"/>
  <c r="S1673" i="34"/>
  <c r="V1673" i="34"/>
  <c r="Y1673" i="34"/>
  <c r="D1674" i="34"/>
  <c r="G1674" i="34"/>
  <c r="J1674" i="34"/>
  <c r="M1674" i="34"/>
  <c r="P1674" i="34"/>
  <c r="S1674" i="34"/>
  <c r="V1674" i="34"/>
  <c r="Y1674" i="34"/>
  <c r="D1675" i="34"/>
  <c r="G1675" i="34"/>
  <c r="J1675" i="34"/>
  <c r="M1675" i="34"/>
  <c r="P1675" i="34"/>
  <c r="S1675" i="34"/>
  <c r="V1675" i="34"/>
  <c r="Y1675" i="34"/>
  <c r="D1676" i="34"/>
  <c r="G1676" i="34"/>
  <c r="J1676" i="34"/>
  <c r="M1676" i="34"/>
  <c r="P1676" i="34"/>
  <c r="S1676" i="34"/>
  <c r="V1676" i="34"/>
  <c r="Y1676" i="34"/>
  <c r="D1677" i="34"/>
  <c r="G1677" i="34"/>
  <c r="J1677" i="34"/>
  <c r="M1677" i="34"/>
  <c r="P1677" i="34"/>
  <c r="S1677" i="34"/>
  <c r="V1677" i="34"/>
  <c r="Y1677" i="34"/>
  <c r="D1678" i="34"/>
  <c r="G1678" i="34"/>
  <c r="J1678" i="34"/>
  <c r="M1678" i="34"/>
  <c r="P1678" i="34"/>
  <c r="S1678" i="34"/>
  <c r="V1678" i="34"/>
  <c r="Y1678" i="34"/>
  <c r="D1679" i="34"/>
  <c r="G1679" i="34"/>
  <c r="J1679" i="34"/>
  <c r="M1679" i="34"/>
  <c r="P1679" i="34"/>
  <c r="S1679" i="34"/>
  <c r="V1679" i="34"/>
  <c r="Y1679" i="34"/>
  <c r="D1680" i="34"/>
  <c r="G1680" i="34"/>
  <c r="J1680" i="34"/>
  <c r="M1680" i="34"/>
  <c r="P1680" i="34"/>
  <c r="S1680" i="34"/>
  <c r="V1680" i="34"/>
  <c r="Y1680" i="34"/>
  <c r="D1681" i="34"/>
  <c r="G1681" i="34"/>
  <c r="J1681" i="34"/>
  <c r="M1681" i="34"/>
  <c r="P1681" i="34"/>
  <c r="S1681" i="34"/>
  <c r="V1681" i="34"/>
  <c r="Y1681" i="34"/>
  <c r="D1682" i="34"/>
  <c r="G1682" i="34"/>
  <c r="J1682" i="34"/>
  <c r="M1682" i="34"/>
  <c r="P1682" i="34"/>
  <c r="S1682" i="34"/>
  <c r="V1682" i="34"/>
  <c r="Y1682" i="34"/>
  <c r="D1683" i="34"/>
  <c r="G1683" i="34"/>
  <c r="J1683" i="34"/>
  <c r="M1683" i="34"/>
  <c r="P1683" i="34"/>
  <c r="S1683" i="34"/>
  <c r="V1683" i="34"/>
  <c r="Y1683" i="34"/>
  <c r="D1684" i="34"/>
  <c r="G1684" i="34"/>
  <c r="J1684" i="34"/>
  <c r="M1684" i="34"/>
  <c r="P1684" i="34"/>
  <c r="S1684" i="34"/>
  <c r="V1684" i="34"/>
  <c r="Y1684" i="34"/>
  <c r="D1685" i="34"/>
  <c r="G1685" i="34"/>
  <c r="J1685" i="34"/>
  <c r="M1685" i="34"/>
  <c r="P1685" i="34"/>
  <c r="S1685" i="34"/>
  <c r="V1685" i="34"/>
  <c r="Y1685" i="34"/>
  <c r="D1686" i="34"/>
  <c r="G1686" i="34"/>
  <c r="J1686" i="34"/>
  <c r="M1686" i="34"/>
  <c r="P1686" i="34"/>
  <c r="S1686" i="34"/>
  <c r="V1686" i="34"/>
  <c r="Y1686" i="34"/>
  <c r="D1687" i="34"/>
  <c r="G1687" i="34"/>
  <c r="J1687" i="34"/>
  <c r="M1687" i="34"/>
  <c r="P1687" i="34"/>
  <c r="S1687" i="34"/>
  <c r="V1687" i="34"/>
  <c r="Y1687" i="34"/>
  <c r="D1688" i="34"/>
  <c r="G1688" i="34"/>
  <c r="J1688" i="34"/>
  <c r="M1688" i="34"/>
  <c r="P1688" i="34"/>
  <c r="S1688" i="34"/>
  <c r="V1688" i="34"/>
  <c r="Y1688" i="34"/>
  <c r="D1689" i="34"/>
  <c r="G1689" i="34"/>
  <c r="J1689" i="34"/>
  <c r="M1689" i="34"/>
  <c r="P1689" i="34"/>
  <c r="S1689" i="34"/>
  <c r="V1689" i="34"/>
  <c r="Y1689" i="34"/>
  <c r="D1690" i="34"/>
  <c r="G1690" i="34"/>
  <c r="J1690" i="34"/>
  <c r="M1690" i="34"/>
  <c r="P1690" i="34"/>
  <c r="S1690" i="34"/>
  <c r="V1690" i="34"/>
  <c r="Y1690" i="34"/>
  <c r="D1691" i="34"/>
  <c r="G1691" i="34"/>
  <c r="J1691" i="34"/>
  <c r="M1691" i="34"/>
  <c r="P1691" i="34"/>
  <c r="S1691" i="34"/>
  <c r="V1691" i="34"/>
  <c r="Y1691" i="34"/>
  <c r="D1692" i="34"/>
  <c r="G1692" i="34"/>
  <c r="J1692" i="34"/>
  <c r="M1692" i="34"/>
  <c r="P1692" i="34"/>
  <c r="S1692" i="34"/>
  <c r="V1692" i="34"/>
  <c r="Y1692" i="34"/>
  <c r="D1693" i="34"/>
  <c r="G1693" i="34"/>
  <c r="J1693" i="34"/>
  <c r="M1693" i="34"/>
  <c r="P1693" i="34"/>
  <c r="S1693" i="34"/>
  <c r="V1693" i="34"/>
  <c r="Y1693" i="34"/>
  <c r="D1694" i="34"/>
  <c r="G1694" i="34"/>
  <c r="J1694" i="34"/>
  <c r="M1694" i="34"/>
  <c r="P1694" i="34"/>
  <c r="S1694" i="34"/>
  <c r="V1694" i="34"/>
  <c r="Y1694" i="34"/>
  <c r="D1695" i="34"/>
  <c r="G1695" i="34"/>
  <c r="J1695" i="34"/>
  <c r="M1695" i="34"/>
  <c r="P1695" i="34"/>
  <c r="S1695" i="34"/>
  <c r="V1695" i="34"/>
  <c r="Y1695" i="34"/>
  <c r="D1696" i="34"/>
  <c r="G1696" i="34"/>
  <c r="J1696" i="34"/>
  <c r="M1696" i="34"/>
  <c r="P1696" i="34"/>
  <c r="S1696" i="34"/>
  <c r="V1696" i="34"/>
  <c r="Y1696" i="34"/>
  <c r="D1697" i="34"/>
  <c r="G1697" i="34"/>
  <c r="J1697" i="34"/>
  <c r="M1697" i="34"/>
  <c r="P1697" i="34"/>
  <c r="S1697" i="34"/>
  <c r="V1697" i="34"/>
  <c r="Y1697" i="34"/>
  <c r="D1698" i="34"/>
  <c r="G1698" i="34"/>
  <c r="J1698" i="34"/>
  <c r="M1698" i="34"/>
  <c r="P1698" i="34"/>
  <c r="S1698" i="34"/>
  <c r="V1698" i="34"/>
  <c r="Y1698" i="34"/>
  <c r="D1699" i="34"/>
  <c r="G1699" i="34"/>
  <c r="J1699" i="34"/>
  <c r="M1699" i="34"/>
  <c r="P1699" i="34"/>
  <c r="S1699" i="34"/>
  <c r="V1699" i="34"/>
  <c r="Y1699" i="34"/>
  <c r="D1700" i="34"/>
  <c r="G1700" i="34"/>
  <c r="J1700" i="34"/>
  <c r="M1700" i="34"/>
  <c r="P1700" i="34"/>
  <c r="S1700" i="34"/>
  <c r="V1700" i="34"/>
  <c r="Y1700" i="34"/>
  <c r="D1701" i="34"/>
  <c r="G1701" i="34"/>
  <c r="J1701" i="34"/>
  <c r="M1701" i="34"/>
  <c r="P1701" i="34"/>
  <c r="S1701" i="34"/>
  <c r="V1701" i="34"/>
  <c r="Y1701" i="34"/>
  <c r="D1702" i="34"/>
  <c r="G1702" i="34"/>
  <c r="J1702" i="34"/>
  <c r="M1702" i="34"/>
  <c r="P1702" i="34"/>
  <c r="S1702" i="34"/>
  <c r="V1702" i="34"/>
  <c r="Y1702" i="34"/>
  <c r="D1703" i="34"/>
  <c r="G1703" i="34"/>
  <c r="J1703" i="34"/>
  <c r="M1703" i="34"/>
  <c r="P1703" i="34"/>
  <c r="S1703" i="34"/>
  <c r="V1703" i="34"/>
  <c r="Y1703" i="34"/>
  <c r="D1704" i="34"/>
  <c r="G1704" i="34"/>
  <c r="J1704" i="34"/>
  <c r="M1704" i="34"/>
  <c r="P1704" i="34"/>
  <c r="S1704" i="34"/>
  <c r="V1704" i="34"/>
  <c r="Y1704" i="34"/>
  <c r="D1705" i="34"/>
  <c r="G1705" i="34"/>
  <c r="J1705" i="34"/>
  <c r="M1705" i="34"/>
  <c r="P1705" i="34"/>
  <c r="S1705" i="34"/>
  <c r="V1705" i="34"/>
  <c r="Y1705" i="34"/>
  <c r="D1706" i="34"/>
  <c r="G1706" i="34"/>
  <c r="J1706" i="34"/>
  <c r="M1706" i="34"/>
  <c r="P1706" i="34"/>
  <c r="S1706" i="34"/>
  <c r="V1706" i="34"/>
  <c r="Y1706" i="34"/>
  <c r="D1707" i="34"/>
  <c r="G1707" i="34"/>
  <c r="J1707" i="34"/>
  <c r="M1707" i="34"/>
  <c r="P1707" i="34"/>
  <c r="S1707" i="34"/>
  <c r="V1707" i="34"/>
  <c r="Y1707" i="34"/>
  <c r="D1708" i="34"/>
  <c r="G1708" i="34"/>
  <c r="J1708" i="34"/>
  <c r="M1708" i="34"/>
  <c r="P1708" i="34"/>
  <c r="S1708" i="34"/>
  <c r="V1708" i="34"/>
  <c r="Y1708" i="34"/>
  <c r="D1709" i="34"/>
  <c r="G1709" i="34"/>
  <c r="J1709" i="34"/>
  <c r="M1709" i="34"/>
  <c r="P1709" i="34"/>
  <c r="S1709" i="34"/>
  <c r="V1709" i="34"/>
  <c r="Y1709" i="34"/>
  <c r="D1710" i="34"/>
  <c r="G1710" i="34"/>
  <c r="J1710" i="34"/>
  <c r="M1710" i="34"/>
  <c r="P1710" i="34"/>
  <c r="S1710" i="34"/>
  <c r="V1710" i="34"/>
  <c r="Y1710" i="34"/>
  <c r="D1711" i="34"/>
  <c r="G1711" i="34"/>
  <c r="J1711" i="34"/>
  <c r="M1711" i="34"/>
  <c r="P1711" i="34"/>
  <c r="S1711" i="34"/>
  <c r="V1711" i="34"/>
  <c r="Y1711" i="34"/>
  <c r="D1712" i="34"/>
  <c r="G1712" i="34"/>
  <c r="J1712" i="34"/>
  <c r="M1712" i="34"/>
  <c r="P1712" i="34"/>
  <c r="S1712" i="34"/>
  <c r="V1712" i="34"/>
  <c r="Y1712" i="34"/>
  <c r="D1713" i="34"/>
  <c r="G1713" i="34"/>
  <c r="J1713" i="34"/>
  <c r="M1713" i="34"/>
  <c r="P1713" i="34"/>
  <c r="S1713" i="34"/>
  <c r="V1713" i="34"/>
  <c r="Y1713" i="34"/>
  <c r="D1714" i="34"/>
  <c r="G1714" i="34"/>
  <c r="J1714" i="34"/>
  <c r="M1714" i="34"/>
  <c r="P1714" i="34"/>
  <c r="S1714" i="34"/>
  <c r="V1714" i="34"/>
  <c r="Y1714" i="34"/>
  <c r="D1715" i="34"/>
  <c r="G1715" i="34"/>
  <c r="J1715" i="34"/>
  <c r="M1715" i="34"/>
  <c r="P1715" i="34"/>
  <c r="S1715" i="34"/>
  <c r="V1715" i="34"/>
  <c r="Y1715" i="34"/>
  <c r="D1716" i="34"/>
  <c r="G1716" i="34"/>
  <c r="J1716" i="34"/>
  <c r="M1716" i="34"/>
  <c r="P1716" i="34"/>
  <c r="S1716" i="34"/>
  <c r="V1716" i="34"/>
  <c r="Y1716" i="34"/>
  <c r="D1717" i="34"/>
  <c r="G1717" i="34"/>
  <c r="J1717" i="34"/>
  <c r="M1717" i="34"/>
  <c r="P1717" i="34"/>
  <c r="S1717" i="34"/>
  <c r="V1717" i="34"/>
  <c r="Y1717" i="34"/>
  <c r="D1718" i="34"/>
  <c r="G1718" i="34"/>
  <c r="J1718" i="34"/>
  <c r="M1718" i="34"/>
  <c r="P1718" i="34"/>
  <c r="S1718" i="34"/>
  <c r="V1718" i="34"/>
  <c r="Y1718" i="34"/>
  <c r="D1719" i="34"/>
  <c r="G1719" i="34"/>
  <c r="J1719" i="34"/>
  <c r="M1719" i="34"/>
  <c r="P1719" i="34"/>
  <c r="S1719" i="34"/>
  <c r="V1719" i="34"/>
  <c r="Y1719" i="34"/>
  <c r="D1720" i="34"/>
  <c r="G1720" i="34"/>
  <c r="J1720" i="34"/>
  <c r="M1720" i="34"/>
  <c r="P1720" i="34"/>
  <c r="S1720" i="34"/>
  <c r="V1720" i="34"/>
  <c r="Y1720" i="34"/>
  <c r="D1721" i="34"/>
  <c r="G1721" i="34"/>
  <c r="J1721" i="34"/>
  <c r="M1721" i="34"/>
  <c r="P1721" i="34"/>
  <c r="S1721" i="34"/>
  <c r="V1721" i="34"/>
  <c r="Y1721" i="34"/>
  <c r="D1722" i="34"/>
  <c r="G1722" i="34"/>
  <c r="J1722" i="34"/>
  <c r="M1722" i="34"/>
  <c r="P1722" i="34"/>
  <c r="S1722" i="34"/>
  <c r="V1722" i="34"/>
  <c r="Y1722" i="34"/>
  <c r="D1723" i="34"/>
  <c r="G1723" i="34"/>
  <c r="J1723" i="34"/>
  <c r="M1723" i="34"/>
  <c r="P1723" i="34"/>
  <c r="S1723" i="34"/>
  <c r="V1723" i="34"/>
  <c r="Y1723" i="34"/>
  <c r="D1724" i="34"/>
  <c r="G1724" i="34"/>
  <c r="J1724" i="34"/>
  <c r="M1724" i="34"/>
  <c r="P1724" i="34"/>
  <c r="S1724" i="34"/>
  <c r="V1724" i="34"/>
  <c r="Y1724" i="34"/>
  <c r="D1725" i="34"/>
  <c r="G1725" i="34"/>
  <c r="J1725" i="34"/>
  <c r="M1725" i="34"/>
  <c r="P1725" i="34"/>
  <c r="S1725" i="34"/>
  <c r="V1725" i="34"/>
  <c r="Y1725" i="34"/>
  <c r="D1726" i="34"/>
  <c r="G1726" i="34"/>
  <c r="J1726" i="34"/>
  <c r="M1726" i="34"/>
  <c r="P1726" i="34"/>
  <c r="S1726" i="34"/>
  <c r="V1726" i="34"/>
  <c r="Y1726" i="34"/>
  <c r="D1727" i="34"/>
  <c r="G1727" i="34"/>
  <c r="J1727" i="34"/>
  <c r="M1727" i="34"/>
  <c r="P1727" i="34"/>
  <c r="S1727" i="34"/>
  <c r="V1727" i="34"/>
  <c r="Y1727" i="34"/>
  <c r="D1728" i="34"/>
  <c r="G1728" i="34"/>
  <c r="J1728" i="34"/>
  <c r="M1728" i="34"/>
  <c r="P1728" i="34"/>
  <c r="S1728" i="34"/>
  <c r="V1728" i="34"/>
  <c r="Y1728" i="34"/>
  <c r="D1729" i="34"/>
  <c r="G1729" i="34"/>
  <c r="J1729" i="34"/>
  <c r="M1729" i="34"/>
  <c r="P1729" i="34"/>
  <c r="S1729" i="34"/>
  <c r="V1729" i="34"/>
  <c r="Y1729" i="34"/>
  <c r="D1730" i="34"/>
  <c r="G1730" i="34"/>
  <c r="J1730" i="34"/>
  <c r="M1730" i="34"/>
  <c r="P1730" i="34"/>
  <c r="S1730" i="34"/>
  <c r="V1730" i="34"/>
  <c r="Y1730" i="34"/>
  <c r="D1731" i="34"/>
  <c r="G1731" i="34"/>
  <c r="J1731" i="34"/>
  <c r="M1731" i="34"/>
  <c r="P1731" i="34"/>
  <c r="S1731" i="34"/>
  <c r="V1731" i="34"/>
  <c r="Y1731" i="34"/>
  <c r="D1732" i="34"/>
  <c r="G1732" i="34"/>
  <c r="J1732" i="34"/>
  <c r="M1732" i="34"/>
  <c r="P1732" i="34"/>
  <c r="S1732" i="34"/>
  <c r="V1732" i="34"/>
  <c r="Y1732" i="34"/>
  <c r="D1733" i="34"/>
  <c r="G1733" i="34"/>
  <c r="J1733" i="34"/>
  <c r="M1733" i="34"/>
  <c r="P1733" i="34"/>
  <c r="S1733" i="34"/>
  <c r="V1733" i="34"/>
  <c r="Y1733" i="34"/>
  <c r="D1734" i="34"/>
  <c r="G1734" i="34"/>
  <c r="J1734" i="34"/>
  <c r="M1734" i="34"/>
  <c r="P1734" i="34"/>
  <c r="S1734" i="34"/>
  <c r="V1734" i="34"/>
  <c r="Y1734" i="34"/>
  <c r="D1735" i="34"/>
  <c r="G1735" i="34"/>
  <c r="J1735" i="34"/>
  <c r="M1735" i="34"/>
  <c r="P1735" i="34"/>
  <c r="S1735" i="34"/>
  <c r="V1735" i="34"/>
  <c r="Y1735" i="34"/>
  <c r="D1736" i="34"/>
  <c r="G1736" i="34"/>
  <c r="J1736" i="34"/>
  <c r="M1736" i="34"/>
  <c r="P1736" i="34"/>
  <c r="S1736" i="34"/>
  <c r="V1736" i="34"/>
  <c r="Y1736" i="34"/>
  <c r="D1737" i="34"/>
  <c r="G1737" i="34"/>
  <c r="J1737" i="34"/>
  <c r="M1737" i="34"/>
  <c r="P1737" i="34"/>
  <c r="S1737" i="34"/>
  <c r="V1737" i="34"/>
  <c r="Y1737" i="34"/>
  <c r="D1738" i="34"/>
  <c r="G1738" i="34"/>
  <c r="J1738" i="34"/>
  <c r="M1738" i="34"/>
  <c r="P1738" i="34"/>
  <c r="S1738" i="34"/>
  <c r="V1738" i="34"/>
  <c r="Y1738" i="34"/>
  <c r="D1739" i="34"/>
  <c r="G1739" i="34"/>
  <c r="J1739" i="34"/>
  <c r="M1739" i="34"/>
  <c r="P1739" i="34"/>
  <c r="S1739" i="34"/>
  <c r="V1739" i="34"/>
  <c r="Y1739" i="34"/>
  <c r="D1740" i="34"/>
  <c r="G1740" i="34"/>
  <c r="J1740" i="34"/>
  <c r="M1740" i="34"/>
  <c r="P1740" i="34"/>
  <c r="S1740" i="34"/>
  <c r="V1740" i="34"/>
  <c r="Y1740" i="34"/>
  <c r="D1741" i="34"/>
  <c r="G1741" i="34"/>
  <c r="J1741" i="34"/>
  <c r="M1741" i="34"/>
  <c r="P1741" i="34"/>
  <c r="S1741" i="34"/>
  <c r="V1741" i="34"/>
  <c r="Y1741" i="34"/>
  <c r="D1742" i="34"/>
  <c r="G1742" i="34"/>
  <c r="J1742" i="34"/>
  <c r="M1742" i="34"/>
  <c r="P1742" i="34"/>
  <c r="S1742" i="34"/>
  <c r="V1742" i="34"/>
  <c r="Y1742" i="34"/>
  <c r="D1743" i="34"/>
  <c r="G1743" i="34"/>
  <c r="J1743" i="34"/>
  <c r="M1743" i="34"/>
  <c r="P1743" i="34"/>
  <c r="S1743" i="34"/>
  <c r="V1743" i="34"/>
  <c r="Y1743" i="34"/>
  <c r="D1744" i="34"/>
  <c r="G1744" i="34"/>
  <c r="J1744" i="34"/>
  <c r="M1744" i="34"/>
  <c r="P1744" i="34"/>
  <c r="S1744" i="34"/>
  <c r="V1744" i="34"/>
  <c r="Y1744" i="34"/>
  <c r="D1745" i="34"/>
  <c r="G1745" i="34"/>
  <c r="J1745" i="34"/>
  <c r="M1745" i="34"/>
  <c r="P1745" i="34"/>
  <c r="S1745" i="34"/>
  <c r="V1745" i="34"/>
  <c r="Y1745" i="34"/>
  <c r="D1746" i="34"/>
  <c r="G1746" i="34"/>
  <c r="J1746" i="34"/>
  <c r="M1746" i="34"/>
  <c r="P1746" i="34"/>
  <c r="S1746" i="34"/>
  <c r="V1746" i="34"/>
  <c r="Y1746" i="34"/>
  <c r="D1747" i="34"/>
  <c r="G1747" i="34"/>
  <c r="J1747" i="34"/>
  <c r="M1747" i="34"/>
  <c r="P1747" i="34"/>
  <c r="S1747" i="34"/>
  <c r="V1747" i="34"/>
  <c r="Y1747" i="34"/>
  <c r="D1748" i="34"/>
  <c r="G1748" i="34"/>
  <c r="J1748" i="34"/>
  <c r="M1748" i="34"/>
  <c r="P1748" i="34"/>
  <c r="S1748" i="34"/>
  <c r="V1748" i="34"/>
  <c r="Y1748" i="34"/>
  <c r="D1749" i="34"/>
  <c r="G1749" i="34"/>
  <c r="J1749" i="34"/>
  <c r="M1749" i="34"/>
  <c r="P1749" i="34"/>
  <c r="S1749" i="34"/>
  <c r="V1749" i="34"/>
  <c r="Y1749" i="34"/>
  <c r="D1750" i="34"/>
  <c r="G1750" i="34"/>
  <c r="J1750" i="34"/>
  <c r="M1750" i="34"/>
  <c r="P1750" i="34"/>
  <c r="S1750" i="34"/>
  <c r="V1750" i="34"/>
  <c r="Y1750" i="34"/>
  <c r="D1751" i="34"/>
  <c r="G1751" i="34"/>
  <c r="J1751" i="34"/>
  <c r="M1751" i="34"/>
  <c r="P1751" i="34"/>
  <c r="S1751" i="34"/>
  <c r="V1751" i="34"/>
  <c r="Y1751" i="34"/>
  <c r="D1752" i="34"/>
  <c r="G1752" i="34"/>
  <c r="J1752" i="34"/>
  <c r="M1752" i="34"/>
  <c r="P1752" i="34"/>
  <c r="S1752" i="34"/>
  <c r="V1752" i="34"/>
  <c r="Y1752" i="34"/>
  <c r="D1753" i="34"/>
  <c r="G1753" i="34"/>
  <c r="J1753" i="34"/>
  <c r="M1753" i="34"/>
  <c r="P1753" i="34"/>
  <c r="S1753" i="34"/>
  <c r="V1753" i="34"/>
  <c r="Y1753" i="34"/>
  <c r="D1754" i="34"/>
  <c r="G1754" i="34"/>
  <c r="J1754" i="34"/>
  <c r="M1754" i="34"/>
  <c r="P1754" i="34"/>
  <c r="S1754" i="34"/>
  <c r="V1754" i="34"/>
  <c r="Y1754" i="34"/>
  <c r="D1755" i="34"/>
  <c r="G1755" i="34"/>
  <c r="J1755" i="34"/>
  <c r="M1755" i="34"/>
  <c r="P1755" i="34"/>
  <c r="S1755" i="34"/>
  <c r="V1755" i="34"/>
  <c r="Y1755" i="34"/>
  <c r="D1756" i="34"/>
  <c r="G1756" i="34"/>
  <c r="J1756" i="34"/>
  <c r="M1756" i="34"/>
  <c r="P1756" i="34"/>
  <c r="S1756" i="34"/>
  <c r="V1756" i="34"/>
  <c r="Y1756" i="34"/>
  <c r="D1757" i="34"/>
  <c r="G1757" i="34"/>
  <c r="J1757" i="34"/>
  <c r="M1757" i="34"/>
  <c r="P1757" i="34"/>
  <c r="S1757" i="34"/>
  <c r="V1757" i="34"/>
  <c r="Y1757" i="34"/>
  <c r="D1758" i="34"/>
  <c r="G1758" i="34"/>
  <c r="J1758" i="34"/>
  <c r="M1758" i="34"/>
  <c r="P1758" i="34"/>
  <c r="S1758" i="34"/>
  <c r="V1758" i="34"/>
  <c r="Y1758" i="34"/>
  <c r="D1759" i="34"/>
  <c r="G1759" i="34"/>
  <c r="J1759" i="34"/>
  <c r="M1759" i="34"/>
  <c r="P1759" i="34"/>
  <c r="S1759" i="34"/>
  <c r="V1759" i="34"/>
  <c r="Y1759" i="34"/>
  <c r="D1760" i="34"/>
  <c r="G1760" i="34"/>
  <c r="J1760" i="34"/>
  <c r="M1760" i="34"/>
  <c r="P1760" i="34"/>
  <c r="S1760" i="34"/>
  <c r="V1760" i="34"/>
  <c r="Y1760" i="34"/>
  <c r="D1761" i="34"/>
  <c r="G1761" i="34"/>
  <c r="J1761" i="34"/>
  <c r="M1761" i="34"/>
  <c r="P1761" i="34"/>
  <c r="S1761" i="34"/>
  <c r="V1761" i="34"/>
  <c r="Y1761" i="34"/>
  <c r="D1762" i="34"/>
  <c r="G1762" i="34"/>
  <c r="J1762" i="34"/>
  <c r="M1762" i="34"/>
  <c r="P1762" i="34"/>
  <c r="S1762" i="34"/>
  <c r="V1762" i="34"/>
  <c r="Y1762" i="34"/>
  <c r="D1763" i="34"/>
  <c r="G1763" i="34"/>
  <c r="J1763" i="34"/>
  <c r="M1763" i="34"/>
  <c r="P1763" i="34"/>
  <c r="S1763" i="34"/>
  <c r="V1763" i="34"/>
  <c r="Y1763" i="34"/>
  <c r="D1764" i="34"/>
  <c r="G1764" i="34"/>
  <c r="J1764" i="34"/>
  <c r="M1764" i="34"/>
  <c r="P1764" i="34"/>
  <c r="S1764" i="34"/>
  <c r="V1764" i="34"/>
  <c r="Y1764" i="34"/>
  <c r="D1765" i="34"/>
  <c r="G1765" i="34"/>
  <c r="J1765" i="34"/>
  <c r="M1765" i="34"/>
  <c r="P1765" i="34"/>
  <c r="S1765" i="34"/>
  <c r="V1765" i="34"/>
  <c r="Y1765" i="34"/>
  <c r="D1766" i="34"/>
  <c r="G1766" i="34"/>
  <c r="J1766" i="34"/>
  <c r="M1766" i="34"/>
  <c r="P1766" i="34"/>
  <c r="S1766" i="34"/>
  <c r="V1766" i="34"/>
  <c r="Y1766" i="34"/>
  <c r="D1767" i="34"/>
  <c r="G1767" i="34"/>
  <c r="J1767" i="34"/>
  <c r="M1767" i="34"/>
  <c r="P1767" i="34"/>
  <c r="S1767" i="34"/>
  <c r="V1767" i="34"/>
  <c r="Y1767" i="34"/>
  <c r="D1768" i="34"/>
  <c r="G1768" i="34"/>
  <c r="J1768" i="34"/>
  <c r="M1768" i="34"/>
  <c r="P1768" i="34"/>
  <c r="S1768" i="34"/>
  <c r="V1768" i="34"/>
  <c r="Y1768" i="34"/>
  <c r="D1769" i="34"/>
  <c r="G1769" i="34"/>
  <c r="J1769" i="34"/>
  <c r="M1769" i="34"/>
  <c r="P1769" i="34"/>
  <c r="S1769" i="34"/>
  <c r="V1769" i="34"/>
  <c r="Y1769" i="34"/>
  <c r="D1770" i="34"/>
  <c r="G1770" i="34"/>
  <c r="J1770" i="34"/>
  <c r="M1770" i="34"/>
  <c r="P1770" i="34"/>
  <c r="S1770" i="34"/>
  <c r="V1770" i="34"/>
  <c r="Y1770" i="34"/>
  <c r="D1771" i="34"/>
  <c r="G1771" i="34"/>
  <c r="J1771" i="34"/>
  <c r="M1771" i="34"/>
  <c r="P1771" i="34"/>
  <c r="S1771" i="34"/>
  <c r="V1771" i="34"/>
  <c r="Y1771" i="34"/>
  <c r="D1772" i="34"/>
  <c r="G1772" i="34"/>
  <c r="J1772" i="34"/>
  <c r="M1772" i="34"/>
  <c r="P1772" i="34"/>
  <c r="S1772" i="34"/>
  <c r="V1772" i="34"/>
  <c r="Y1772" i="34"/>
  <c r="D1773" i="34"/>
  <c r="G1773" i="34"/>
  <c r="J1773" i="34"/>
  <c r="M1773" i="34"/>
  <c r="P1773" i="34"/>
  <c r="S1773" i="34"/>
  <c r="V1773" i="34"/>
  <c r="Y1773" i="34"/>
  <c r="D1774" i="34"/>
  <c r="G1774" i="34"/>
  <c r="J1774" i="34"/>
  <c r="M1774" i="34"/>
  <c r="P1774" i="34"/>
  <c r="S1774" i="34"/>
  <c r="V1774" i="34"/>
  <c r="Y1774" i="34"/>
  <c r="D1775" i="34"/>
  <c r="G1775" i="34"/>
  <c r="J1775" i="34"/>
  <c r="M1775" i="34"/>
  <c r="P1775" i="34"/>
  <c r="S1775" i="34"/>
  <c r="V1775" i="34"/>
  <c r="Y1775" i="34"/>
  <c r="D1776" i="34"/>
  <c r="G1776" i="34"/>
  <c r="J1776" i="34"/>
  <c r="M1776" i="34"/>
  <c r="P1776" i="34"/>
  <c r="S1776" i="34"/>
  <c r="V1776" i="34"/>
  <c r="Y1776" i="34"/>
  <c r="D1777" i="34"/>
  <c r="G1777" i="34"/>
  <c r="J1777" i="34"/>
  <c r="M1777" i="34"/>
  <c r="P1777" i="34"/>
  <c r="S1777" i="34"/>
  <c r="V1777" i="34"/>
  <c r="Y1777" i="34"/>
  <c r="D1778" i="34"/>
  <c r="G1778" i="34"/>
  <c r="J1778" i="34"/>
  <c r="M1778" i="34"/>
  <c r="P1778" i="34"/>
  <c r="S1778" i="34"/>
  <c r="V1778" i="34"/>
  <c r="Y1778" i="34"/>
  <c r="D1779" i="34"/>
  <c r="G1779" i="34"/>
  <c r="J1779" i="34"/>
  <c r="M1779" i="34"/>
  <c r="P1779" i="34"/>
  <c r="S1779" i="34"/>
  <c r="V1779" i="34"/>
  <c r="Y1779" i="34"/>
  <c r="D1780" i="34"/>
  <c r="G1780" i="34"/>
  <c r="J1780" i="34"/>
  <c r="M1780" i="34"/>
  <c r="P1780" i="34"/>
  <c r="S1780" i="34"/>
  <c r="V1780" i="34"/>
  <c r="Y1780" i="34"/>
  <c r="D1781" i="34"/>
  <c r="G1781" i="34"/>
  <c r="J1781" i="34"/>
  <c r="M1781" i="34"/>
  <c r="P1781" i="34"/>
  <c r="S1781" i="34"/>
  <c r="V1781" i="34"/>
  <c r="Y1781" i="34"/>
  <c r="D1782" i="34"/>
  <c r="G1782" i="34"/>
  <c r="J1782" i="34"/>
  <c r="M1782" i="34"/>
  <c r="P1782" i="34"/>
  <c r="S1782" i="34"/>
  <c r="V1782" i="34"/>
  <c r="Y1782" i="34"/>
  <c r="D1783" i="34"/>
  <c r="G1783" i="34"/>
  <c r="J1783" i="34"/>
  <c r="M1783" i="34"/>
  <c r="P1783" i="34"/>
  <c r="S1783" i="34"/>
  <c r="V1783" i="34"/>
  <c r="Y1783" i="34"/>
  <c r="D1784" i="34"/>
  <c r="G1784" i="34"/>
  <c r="J1784" i="34"/>
  <c r="M1784" i="34"/>
  <c r="P1784" i="34"/>
  <c r="S1784" i="34"/>
  <c r="V1784" i="34"/>
  <c r="Y1784" i="34"/>
  <c r="D1785" i="34"/>
  <c r="G1785" i="34"/>
  <c r="J1785" i="34"/>
  <c r="M1785" i="34"/>
  <c r="P1785" i="34"/>
  <c r="S1785" i="34"/>
  <c r="V1785" i="34"/>
  <c r="Y1785" i="34"/>
  <c r="D1786" i="34"/>
  <c r="G1786" i="34"/>
  <c r="J1786" i="34"/>
  <c r="M1786" i="34"/>
  <c r="P1786" i="34"/>
  <c r="S1786" i="34"/>
  <c r="V1786" i="34"/>
  <c r="Y1786" i="34"/>
  <c r="D1787" i="34"/>
  <c r="G1787" i="34"/>
  <c r="J1787" i="34"/>
  <c r="M1787" i="34"/>
  <c r="P1787" i="34"/>
  <c r="S1787" i="34"/>
  <c r="V1787" i="34"/>
  <c r="Y1787" i="34"/>
  <c r="D1788" i="34"/>
  <c r="G1788" i="34"/>
  <c r="J1788" i="34"/>
  <c r="M1788" i="34"/>
  <c r="P1788" i="34"/>
  <c r="S1788" i="34"/>
  <c r="V1788" i="34"/>
  <c r="Y1788" i="34"/>
  <c r="D1789" i="34"/>
  <c r="G1789" i="34"/>
  <c r="J1789" i="34"/>
  <c r="M1789" i="34"/>
  <c r="P1789" i="34"/>
  <c r="S1789" i="34"/>
  <c r="V1789" i="34"/>
  <c r="Y1789" i="34"/>
  <c r="D1790" i="34"/>
  <c r="G1790" i="34"/>
  <c r="J1790" i="34"/>
  <c r="M1790" i="34"/>
  <c r="P1790" i="34"/>
  <c r="S1790" i="34"/>
  <c r="V1790" i="34"/>
  <c r="Y1790" i="34"/>
  <c r="D1791" i="34"/>
  <c r="G1791" i="34"/>
  <c r="J1791" i="34"/>
  <c r="M1791" i="34"/>
  <c r="P1791" i="34"/>
  <c r="S1791" i="34"/>
  <c r="V1791" i="34"/>
  <c r="Y1791" i="34"/>
  <c r="D1792" i="34"/>
  <c r="G1792" i="34"/>
  <c r="J1792" i="34"/>
  <c r="M1792" i="34"/>
  <c r="P1792" i="34"/>
  <c r="S1792" i="34"/>
  <c r="V1792" i="34"/>
  <c r="Y1792" i="34"/>
  <c r="D1793" i="34"/>
  <c r="G1793" i="34"/>
  <c r="J1793" i="34"/>
  <c r="M1793" i="34"/>
  <c r="P1793" i="34"/>
  <c r="S1793" i="34"/>
  <c r="V1793" i="34"/>
  <c r="Y1793" i="34"/>
  <c r="D1794" i="34"/>
  <c r="G1794" i="34"/>
  <c r="J1794" i="34"/>
  <c r="M1794" i="34"/>
  <c r="P1794" i="34"/>
  <c r="S1794" i="34"/>
  <c r="V1794" i="34"/>
  <c r="Y1794" i="34"/>
  <c r="D1795" i="34"/>
  <c r="G1795" i="34"/>
  <c r="J1795" i="34"/>
  <c r="M1795" i="34"/>
  <c r="P1795" i="34"/>
  <c r="S1795" i="34"/>
  <c r="V1795" i="34"/>
  <c r="Y1795" i="34"/>
  <c r="D1796" i="34"/>
  <c r="G1796" i="34"/>
  <c r="J1796" i="34"/>
  <c r="M1796" i="34"/>
  <c r="P1796" i="34"/>
  <c r="S1796" i="34"/>
  <c r="V1796" i="34"/>
  <c r="Y1796" i="34"/>
  <c r="D1797" i="34"/>
  <c r="G1797" i="34"/>
  <c r="J1797" i="34"/>
  <c r="M1797" i="34"/>
  <c r="P1797" i="34"/>
  <c r="S1797" i="34"/>
  <c r="V1797" i="34"/>
  <c r="Y1797" i="34"/>
  <c r="D1798" i="34"/>
  <c r="G1798" i="34"/>
  <c r="J1798" i="34"/>
  <c r="M1798" i="34"/>
  <c r="P1798" i="34"/>
  <c r="S1798" i="34"/>
  <c r="V1798" i="34"/>
  <c r="Y1798" i="34"/>
  <c r="D1799" i="34"/>
  <c r="G1799" i="34"/>
  <c r="J1799" i="34"/>
  <c r="M1799" i="34"/>
  <c r="P1799" i="34"/>
  <c r="S1799" i="34"/>
  <c r="V1799" i="34"/>
  <c r="Y1799" i="34"/>
  <c r="D1800" i="34"/>
  <c r="G1800" i="34"/>
  <c r="J1800" i="34"/>
  <c r="M1800" i="34"/>
  <c r="P1800" i="34"/>
  <c r="S1800" i="34"/>
  <c r="V1800" i="34"/>
  <c r="Y1800" i="34"/>
  <c r="D1801" i="34"/>
  <c r="G1801" i="34"/>
  <c r="J1801" i="34"/>
  <c r="M1801" i="34"/>
  <c r="P1801" i="34"/>
  <c r="S1801" i="34"/>
  <c r="V1801" i="34"/>
  <c r="Y1801" i="34"/>
  <c r="D1802" i="34"/>
  <c r="G1802" i="34"/>
  <c r="J1802" i="34"/>
  <c r="M1802" i="34"/>
  <c r="P1802" i="34"/>
  <c r="S1802" i="34"/>
  <c r="V1802" i="34"/>
  <c r="Y1802" i="34"/>
  <c r="D1803" i="34"/>
  <c r="G1803" i="34"/>
  <c r="J1803" i="34"/>
  <c r="M1803" i="34"/>
  <c r="P1803" i="34"/>
  <c r="S1803" i="34"/>
  <c r="V1803" i="34"/>
  <c r="Y1803" i="34"/>
  <c r="D1804" i="34"/>
  <c r="G1804" i="34"/>
  <c r="J1804" i="34"/>
  <c r="M1804" i="34"/>
  <c r="P1804" i="34"/>
  <c r="S1804" i="34"/>
  <c r="V1804" i="34"/>
  <c r="Y1804" i="34"/>
  <c r="D1805" i="34"/>
  <c r="G1805" i="34"/>
  <c r="J1805" i="34"/>
  <c r="M1805" i="34"/>
  <c r="P1805" i="34"/>
  <c r="S1805" i="34"/>
  <c r="V1805" i="34"/>
  <c r="Y1805" i="34"/>
  <c r="D1806" i="34"/>
  <c r="G1806" i="34"/>
  <c r="J1806" i="34"/>
  <c r="M1806" i="34"/>
  <c r="P1806" i="34"/>
  <c r="S1806" i="34"/>
  <c r="V1806" i="34"/>
  <c r="Y1806" i="34"/>
  <c r="D1807" i="34"/>
  <c r="G1807" i="34"/>
  <c r="J1807" i="34"/>
  <c r="M1807" i="34"/>
  <c r="P1807" i="34"/>
  <c r="S1807" i="34"/>
  <c r="V1807" i="34"/>
  <c r="Y1807" i="34"/>
  <c r="D1808" i="34"/>
  <c r="G1808" i="34"/>
  <c r="J1808" i="34"/>
  <c r="M1808" i="34"/>
  <c r="P1808" i="34"/>
  <c r="S1808" i="34"/>
  <c r="V1808" i="34"/>
  <c r="Y1808" i="34"/>
  <c r="D1809" i="34"/>
  <c r="G1809" i="34"/>
  <c r="J1809" i="34"/>
  <c r="M1809" i="34"/>
  <c r="P1809" i="34"/>
  <c r="S1809" i="34"/>
  <c r="V1809" i="34"/>
  <c r="Y1809" i="34"/>
  <c r="D1810" i="34"/>
  <c r="G1810" i="34"/>
  <c r="J1810" i="34"/>
  <c r="M1810" i="34"/>
  <c r="P1810" i="34"/>
  <c r="S1810" i="34"/>
  <c r="V1810" i="34"/>
  <c r="Y1810" i="34"/>
  <c r="D1811" i="34"/>
  <c r="G1811" i="34"/>
  <c r="J1811" i="34"/>
  <c r="M1811" i="34"/>
  <c r="P1811" i="34"/>
  <c r="S1811" i="34"/>
  <c r="V1811" i="34"/>
  <c r="Y1811" i="34"/>
  <c r="D1812" i="34"/>
  <c r="G1812" i="34"/>
  <c r="J1812" i="34"/>
  <c r="M1812" i="34"/>
  <c r="P1812" i="34"/>
  <c r="S1812" i="34"/>
  <c r="V1812" i="34"/>
  <c r="Y1812" i="34"/>
  <c r="D1813" i="34"/>
  <c r="G1813" i="34"/>
  <c r="J1813" i="34"/>
  <c r="M1813" i="34"/>
  <c r="P1813" i="34"/>
  <c r="S1813" i="34"/>
  <c r="V1813" i="34"/>
  <c r="Y1813" i="34"/>
  <c r="D1814" i="34"/>
  <c r="G1814" i="34"/>
  <c r="J1814" i="34"/>
  <c r="M1814" i="34"/>
  <c r="P1814" i="34"/>
  <c r="S1814" i="34"/>
  <c r="V1814" i="34"/>
  <c r="Y1814" i="34"/>
  <c r="D1815" i="34"/>
  <c r="G1815" i="34"/>
  <c r="J1815" i="34"/>
  <c r="M1815" i="34"/>
  <c r="P1815" i="34"/>
  <c r="S1815" i="34"/>
  <c r="V1815" i="34"/>
  <c r="Y1815" i="34"/>
  <c r="D1816" i="34"/>
  <c r="G1816" i="34"/>
  <c r="J1816" i="34"/>
  <c r="M1816" i="34"/>
  <c r="P1816" i="34"/>
  <c r="S1816" i="34"/>
  <c r="V1816" i="34"/>
  <c r="Y1816" i="34"/>
  <c r="D1817" i="34"/>
  <c r="G1817" i="34"/>
  <c r="J1817" i="34"/>
  <c r="M1817" i="34"/>
  <c r="P1817" i="34"/>
  <c r="S1817" i="34"/>
  <c r="V1817" i="34"/>
  <c r="Y1817" i="34"/>
  <c r="D1818" i="34"/>
  <c r="G1818" i="34"/>
  <c r="J1818" i="34"/>
  <c r="M1818" i="34"/>
  <c r="P1818" i="34"/>
  <c r="S1818" i="34"/>
  <c r="V1818" i="34"/>
  <c r="Y1818" i="34"/>
  <c r="D1819" i="34"/>
  <c r="G1819" i="34"/>
  <c r="J1819" i="34"/>
  <c r="M1819" i="34"/>
  <c r="P1819" i="34"/>
  <c r="S1819" i="34"/>
  <c r="V1819" i="34"/>
  <c r="Y1819" i="34"/>
  <c r="D1820" i="34"/>
  <c r="G1820" i="34"/>
  <c r="J1820" i="34"/>
  <c r="M1820" i="34"/>
  <c r="P1820" i="34"/>
  <c r="S1820" i="34"/>
  <c r="V1820" i="34"/>
  <c r="Y1820" i="34"/>
  <c r="D1821" i="34"/>
  <c r="G1821" i="34"/>
  <c r="J1821" i="34"/>
  <c r="M1821" i="34"/>
  <c r="P1821" i="34"/>
  <c r="S1821" i="34"/>
  <c r="V1821" i="34"/>
  <c r="Y1821" i="34"/>
  <c r="D1822" i="34"/>
  <c r="G1822" i="34"/>
  <c r="J1822" i="34"/>
  <c r="M1822" i="34"/>
  <c r="P1822" i="34"/>
  <c r="S1822" i="34"/>
  <c r="V1822" i="34"/>
  <c r="Y1822" i="34"/>
  <c r="D1823" i="34"/>
  <c r="G1823" i="34"/>
  <c r="J1823" i="34"/>
  <c r="M1823" i="34"/>
  <c r="P1823" i="34"/>
  <c r="S1823" i="34"/>
  <c r="V1823" i="34"/>
  <c r="Y1823" i="34"/>
  <c r="D1824" i="34"/>
  <c r="G1824" i="34"/>
  <c r="J1824" i="34"/>
  <c r="M1824" i="34"/>
  <c r="P1824" i="34"/>
  <c r="S1824" i="34"/>
  <c r="V1824" i="34"/>
  <c r="Y1824" i="34"/>
  <c r="D1825" i="34"/>
  <c r="G1825" i="34"/>
  <c r="J1825" i="34"/>
  <c r="M1825" i="34"/>
  <c r="P1825" i="34"/>
  <c r="S1825" i="34"/>
  <c r="V1825" i="34"/>
  <c r="Y1825" i="34"/>
  <c r="D1826" i="34"/>
  <c r="G1826" i="34"/>
  <c r="J1826" i="34"/>
  <c r="M1826" i="34"/>
  <c r="P1826" i="34"/>
  <c r="S1826" i="34"/>
  <c r="V1826" i="34"/>
  <c r="Y1826" i="34"/>
  <c r="D1827" i="34"/>
  <c r="G1827" i="34"/>
  <c r="J1827" i="34"/>
  <c r="M1827" i="34"/>
  <c r="P1827" i="34"/>
  <c r="S1827" i="34"/>
  <c r="V1827" i="34"/>
  <c r="Y1827" i="34"/>
  <c r="D1828" i="34"/>
  <c r="G1828" i="34"/>
  <c r="J1828" i="34"/>
  <c r="M1828" i="34"/>
  <c r="P1828" i="34"/>
  <c r="S1828" i="34"/>
  <c r="V1828" i="34"/>
  <c r="Y1828" i="34"/>
  <c r="D1829" i="34"/>
  <c r="G1829" i="34"/>
  <c r="J1829" i="34"/>
  <c r="M1829" i="34"/>
  <c r="P1829" i="34"/>
  <c r="S1829" i="34"/>
  <c r="V1829" i="34"/>
  <c r="Y1829" i="34"/>
  <c r="D1830" i="34"/>
  <c r="G1830" i="34"/>
  <c r="J1830" i="34"/>
  <c r="M1830" i="34"/>
  <c r="P1830" i="34"/>
  <c r="S1830" i="34"/>
  <c r="V1830" i="34"/>
  <c r="Y1830" i="34"/>
  <c r="D1831" i="34"/>
  <c r="G1831" i="34"/>
  <c r="J1831" i="34"/>
  <c r="M1831" i="34"/>
  <c r="P1831" i="34"/>
  <c r="S1831" i="34"/>
  <c r="V1831" i="34"/>
  <c r="Y1831" i="34"/>
  <c r="D1832" i="34"/>
  <c r="G1832" i="34"/>
  <c r="J1832" i="34"/>
  <c r="M1832" i="34"/>
  <c r="P1832" i="34"/>
  <c r="S1832" i="34"/>
  <c r="V1832" i="34"/>
  <c r="Y1832" i="34"/>
  <c r="D1833" i="34"/>
  <c r="G1833" i="34"/>
  <c r="J1833" i="34"/>
  <c r="M1833" i="34"/>
  <c r="P1833" i="34"/>
  <c r="S1833" i="34"/>
  <c r="V1833" i="34"/>
  <c r="Y1833" i="34"/>
  <c r="D1834" i="34"/>
  <c r="G1834" i="34"/>
  <c r="J1834" i="34"/>
  <c r="M1834" i="34"/>
  <c r="P1834" i="34"/>
  <c r="S1834" i="34"/>
  <c r="V1834" i="34"/>
  <c r="Y1834" i="34"/>
  <c r="D1835" i="34"/>
  <c r="G1835" i="34"/>
  <c r="J1835" i="34"/>
  <c r="M1835" i="34"/>
  <c r="P1835" i="34"/>
  <c r="S1835" i="34"/>
  <c r="V1835" i="34"/>
  <c r="Y1835" i="34"/>
  <c r="D1836" i="34"/>
  <c r="G1836" i="34"/>
  <c r="J1836" i="34"/>
  <c r="M1836" i="34"/>
  <c r="P1836" i="34"/>
  <c r="S1836" i="34"/>
  <c r="V1836" i="34"/>
  <c r="Y1836" i="34"/>
  <c r="D1837" i="34"/>
  <c r="G1837" i="34"/>
  <c r="J1837" i="34"/>
  <c r="M1837" i="34"/>
  <c r="P1837" i="34"/>
  <c r="S1837" i="34"/>
  <c r="V1837" i="34"/>
  <c r="Y1837" i="34"/>
  <c r="D1838" i="34"/>
  <c r="G1838" i="34"/>
  <c r="J1838" i="34"/>
  <c r="M1838" i="34"/>
  <c r="P1838" i="34"/>
  <c r="S1838" i="34"/>
  <c r="V1838" i="34"/>
  <c r="Y1838" i="34"/>
  <c r="D1839" i="34"/>
  <c r="G1839" i="34"/>
  <c r="J1839" i="34"/>
  <c r="M1839" i="34"/>
  <c r="P1839" i="34"/>
  <c r="S1839" i="34"/>
  <c r="V1839" i="34"/>
  <c r="Y1839" i="34"/>
  <c r="D1840" i="34"/>
  <c r="G1840" i="34"/>
  <c r="J1840" i="34"/>
  <c r="M1840" i="34"/>
  <c r="P1840" i="34"/>
  <c r="S1840" i="34"/>
  <c r="V1840" i="34"/>
  <c r="Y1840" i="34"/>
  <c r="D1841" i="34"/>
  <c r="G1841" i="34"/>
  <c r="J1841" i="34"/>
  <c r="M1841" i="34"/>
  <c r="P1841" i="34"/>
  <c r="S1841" i="34"/>
  <c r="V1841" i="34"/>
  <c r="Y1841" i="34"/>
  <c r="D1842" i="34"/>
  <c r="G1842" i="34"/>
  <c r="J1842" i="34"/>
  <c r="M1842" i="34"/>
  <c r="P1842" i="34"/>
  <c r="S1842" i="34"/>
  <c r="V1842" i="34"/>
  <c r="Y1842" i="34"/>
  <c r="D1843" i="34"/>
  <c r="G1843" i="34"/>
  <c r="J1843" i="34"/>
  <c r="M1843" i="34"/>
  <c r="P1843" i="34"/>
  <c r="S1843" i="34"/>
  <c r="V1843" i="34"/>
  <c r="Y1843" i="34"/>
  <c r="D1844" i="34"/>
  <c r="G1844" i="34"/>
  <c r="J1844" i="34"/>
  <c r="M1844" i="34"/>
  <c r="P1844" i="34"/>
  <c r="S1844" i="34"/>
  <c r="V1844" i="34"/>
  <c r="Y1844" i="34"/>
  <c r="D1845" i="34"/>
  <c r="G1845" i="34"/>
  <c r="J1845" i="34"/>
  <c r="M1845" i="34"/>
  <c r="P1845" i="34"/>
  <c r="S1845" i="34"/>
  <c r="V1845" i="34"/>
  <c r="Y1845" i="34"/>
  <c r="D1846" i="34"/>
  <c r="G1846" i="34"/>
  <c r="J1846" i="34"/>
  <c r="M1846" i="34"/>
  <c r="P1846" i="34"/>
  <c r="S1846" i="34"/>
  <c r="V1846" i="34"/>
  <c r="Y1846" i="34"/>
  <c r="D1847" i="34"/>
  <c r="G1847" i="34"/>
  <c r="J1847" i="34"/>
  <c r="M1847" i="34"/>
  <c r="P1847" i="34"/>
  <c r="S1847" i="34"/>
  <c r="V1847" i="34"/>
  <c r="Y1847" i="34"/>
  <c r="D1848" i="34"/>
  <c r="G1848" i="34"/>
  <c r="J1848" i="34"/>
  <c r="M1848" i="34"/>
  <c r="P1848" i="34"/>
  <c r="S1848" i="34"/>
  <c r="V1848" i="34"/>
  <c r="Y1848" i="34"/>
  <c r="D1849" i="34"/>
  <c r="G1849" i="34"/>
  <c r="J1849" i="34"/>
  <c r="M1849" i="34"/>
  <c r="P1849" i="34"/>
  <c r="S1849" i="34"/>
  <c r="V1849" i="34"/>
  <c r="Y1849" i="34"/>
  <c r="D1850" i="34"/>
  <c r="G1850" i="34"/>
  <c r="J1850" i="34"/>
  <c r="M1850" i="34"/>
  <c r="P1850" i="34"/>
  <c r="S1850" i="34"/>
  <c r="V1850" i="34"/>
  <c r="Y1850" i="34"/>
  <c r="D1851" i="34"/>
  <c r="G1851" i="34"/>
  <c r="J1851" i="34"/>
  <c r="M1851" i="34"/>
  <c r="P1851" i="34"/>
  <c r="S1851" i="34"/>
  <c r="V1851" i="34"/>
  <c r="Y1851" i="34"/>
  <c r="D1852" i="34"/>
  <c r="G1852" i="34"/>
  <c r="J1852" i="34"/>
  <c r="M1852" i="34"/>
  <c r="P1852" i="34"/>
  <c r="S1852" i="34"/>
  <c r="V1852" i="34"/>
  <c r="Y1852" i="34"/>
  <c r="D1853" i="34"/>
  <c r="G1853" i="34"/>
  <c r="J1853" i="34"/>
  <c r="M1853" i="34"/>
  <c r="P1853" i="34"/>
  <c r="S1853" i="34"/>
  <c r="V1853" i="34"/>
  <c r="Y1853" i="34"/>
  <c r="D1854" i="34"/>
  <c r="G1854" i="34"/>
  <c r="J1854" i="34"/>
  <c r="M1854" i="34"/>
  <c r="P1854" i="34"/>
  <c r="S1854" i="34"/>
  <c r="V1854" i="34"/>
  <c r="Y1854" i="34"/>
  <c r="D1855" i="34"/>
  <c r="G1855" i="34"/>
  <c r="J1855" i="34"/>
  <c r="M1855" i="34"/>
  <c r="P1855" i="34"/>
  <c r="S1855" i="34"/>
  <c r="V1855" i="34"/>
  <c r="Y1855" i="34"/>
  <c r="D1856" i="34"/>
  <c r="G1856" i="34"/>
  <c r="J1856" i="34"/>
  <c r="M1856" i="34"/>
  <c r="P1856" i="34"/>
  <c r="S1856" i="34"/>
  <c r="V1856" i="34"/>
  <c r="Y1856" i="34"/>
  <c r="D1857" i="34"/>
  <c r="G1857" i="34"/>
  <c r="J1857" i="34"/>
  <c r="M1857" i="34"/>
  <c r="P1857" i="34"/>
  <c r="S1857" i="34"/>
  <c r="V1857" i="34"/>
  <c r="Y1857" i="34"/>
  <c r="D1858" i="34"/>
  <c r="G1858" i="34"/>
  <c r="J1858" i="34"/>
  <c r="M1858" i="34"/>
  <c r="P1858" i="34"/>
  <c r="S1858" i="34"/>
  <c r="V1858" i="34"/>
  <c r="Y1858" i="34"/>
  <c r="D1859" i="34"/>
  <c r="G1859" i="34"/>
  <c r="J1859" i="34"/>
  <c r="M1859" i="34"/>
  <c r="P1859" i="34"/>
  <c r="S1859" i="34"/>
  <c r="V1859" i="34"/>
  <c r="Y1859" i="34"/>
  <c r="D1860" i="34"/>
  <c r="G1860" i="34"/>
  <c r="J1860" i="34"/>
  <c r="M1860" i="34"/>
  <c r="P1860" i="34"/>
  <c r="S1860" i="34"/>
  <c r="V1860" i="34"/>
  <c r="Y1860" i="34"/>
  <c r="D1861" i="34"/>
  <c r="G1861" i="34"/>
  <c r="J1861" i="34"/>
  <c r="M1861" i="34"/>
  <c r="P1861" i="34"/>
  <c r="S1861" i="34"/>
  <c r="V1861" i="34"/>
  <c r="Y1861" i="34"/>
  <c r="D1862" i="34"/>
  <c r="G1862" i="34"/>
  <c r="J1862" i="34"/>
  <c r="M1862" i="34"/>
  <c r="P1862" i="34"/>
  <c r="S1862" i="34"/>
  <c r="V1862" i="34"/>
  <c r="Y1862" i="34"/>
  <c r="D1863" i="34"/>
  <c r="G1863" i="34"/>
  <c r="J1863" i="34"/>
  <c r="M1863" i="34"/>
  <c r="P1863" i="34"/>
  <c r="S1863" i="34"/>
  <c r="V1863" i="34"/>
  <c r="Y1863" i="34"/>
  <c r="D1864" i="34"/>
  <c r="G1864" i="34"/>
  <c r="J1864" i="34"/>
  <c r="M1864" i="34"/>
  <c r="P1864" i="34"/>
  <c r="S1864" i="34"/>
  <c r="V1864" i="34"/>
  <c r="Y1864" i="34"/>
  <c r="D1865" i="34"/>
  <c r="G1865" i="34"/>
  <c r="J1865" i="34"/>
  <c r="M1865" i="34"/>
  <c r="P1865" i="34"/>
  <c r="S1865" i="34"/>
  <c r="V1865" i="34"/>
  <c r="Y1865" i="34"/>
  <c r="D1866" i="34"/>
  <c r="G1866" i="34"/>
  <c r="J1866" i="34"/>
  <c r="M1866" i="34"/>
  <c r="P1866" i="34"/>
  <c r="S1866" i="34"/>
  <c r="V1866" i="34"/>
  <c r="Y1866" i="34"/>
  <c r="D1867" i="34"/>
  <c r="G1867" i="34"/>
  <c r="J1867" i="34"/>
  <c r="M1867" i="34"/>
  <c r="P1867" i="34"/>
  <c r="S1867" i="34"/>
  <c r="V1867" i="34"/>
  <c r="Y1867" i="34"/>
  <c r="D1868" i="34"/>
  <c r="G1868" i="34"/>
  <c r="J1868" i="34"/>
  <c r="M1868" i="34"/>
  <c r="P1868" i="34"/>
  <c r="S1868" i="34"/>
  <c r="V1868" i="34"/>
  <c r="Y1868" i="34"/>
  <c r="D1869" i="34"/>
  <c r="G1869" i="34"/>
  <c r="J1869" i="34"/>
  <c r="M1869" i="34"/>
  <c r="P1869" i="34"/>
  <c r="S1869" i="34"/>
  <c r="V1869" i="34"/>
  <c r="Y1869" i="34"/>
  <c r="D1870" i="34"/>
  <c r="G1870" i="34"/>
  <c r="J1870" i="34"/>
  <c r="M1870" i="34"/>
  <c r="P1870" i="34"/>
  <c r="S1870" i="34"/>
  <c r="V1870" i="34"/>
  <c r="Y1870" i="34"/>
  <c r="D1871" i="34"/>
  <c r="G1871" i="34"/>
  <c r="J1871" i="34"/>
  <c r="M1871" i="34"/>
  <c r="P1871" i="34"/>
  <c r="S1871" i="34"/>
  <c r="V1871" i="34"/>
  <c r="Y1871" i="34"/>
  <c r="D1872" i="34"/>
  <c r="G1872" i="34"/>
  <c r="J1872" i="34"/>
  <c r="M1872" i="34"/>
  <c r="P1872" i="34"/>
  <c r="S1872" i="34"/>
  <c r="V1872" i="34"/>
  <c r="Y1872" i="34"/>
  <c r="D1873" i="34"/>
  <c r="G1873" i="34"/>
  <c r="J1873" i="34"/>
  <c r="M1873" i="34"/>
  <c r="P1873" i="34"/>
  <c r="S1873" i="34"/>
  <c r="V1873" i="34"/>
  <c r="Y1873" i="34"/>
  <c r="D1874" i="34"/>
  <c r="G1874" i="34"/>
  <c r="J1874" i="34"/>
  <c r="M1874" i="34"/>
  <c r="P1874" i="34"/>
  <c r="S1874" i="34"/>
  <c r="V1874" i="34"/>
  <c r="Y1874" i="34"/>
  <c r="D1875" i="34"/>
  <c r="G1875" i="34"/>
  <c r="J1875" i="34"/>
  <c r="M1875" i="34"/>
  <c r="P1875" i="34"/>
  <c r="S1875" i="34"/>
  <c r="V1875" i="34"/>
  <c r="Y1875" i="34"/>
  <c r="D1876" i="34"/>
  <c r="G1876" i="34"/>
  <c r="J1876" i="34"/>
  <c r="M1876" i="34"/>
  <c r="P1876" i="34"/>
  <c r="S1876" i="34"/>
  <c r="V1876" i="34"/>
  <c r="Y1876" i="34"/>
  <c r="D1877" i="34"/>
  <c r="G1877" i="34"/>
  <c r="J1877" i="34"/>
  <c r="M1877" i="34"/>
  <c r="P1877" i="34"/>
  <c r="S1877" i="34"/>
  <c r="V1877" i="34"/>
  <c r="Y1877" i="34"/>
  <c r="D1878" i="34"/>
  <c r="G1878" i="34"/>
  <c r="J1878" i="34"/>
  <c r="M1878" i="34"/>
  <c r="P1878" i="34"/>
  <c r="S1878" i="34"/>
  <c r="V1878" i="34"/>
  <c r="Y1878" i="34"/>
  <c r="D1879" i="34"/>
  <c r="G1879" i="34"/>
  <c r="J1879" i="34"/>
  <c r="M1879" i="34"/>
  <c r="P1879" i="34"/>
  <c r="S1879" i="34"/>
  <c r="V1879" i="34"/>
  <c r="Y1879" i="34"/>
  <c r="D1880" i="34"/>
  <c r="G1880" i="34"/>
  <c r="J1880" i="34"/>
  <c r="M1880" i="34"/>
  <c r="P1880" i="34"/>
  <c r="S1880" i="34"/>
  <c r="V1880" i="34"/>
  <c r="Y1880" i="34"/>
  <c r="D1881" i="34"/>
  <c r="G1881" i="34"/>
  <c r="J1881" i="34"/>
  <c r="M1881" i="34"/>
  <c r="P1881" i="34"/>
  <c r="S1881" i="34"/>
  <c r="V1881" i="34"/>
  <c r="Y1881" i="34"/>
  <c r="D1882" i="34"/>
  <c r="G1882" i="34"/>
  <c r="J1882" i="34"/>
  <c r="M1882" i="34"/>
  <c r="P1882" i="34"/>
  <c r="S1882" i="34"/>
  <c r="V1882" i="34"/>
  <c r="Y1882" i="34"/>
  <c r="D1883" i="34"/>
  <c r="G1883" i="34"/>
  <c r="J1883" i="34"/>
  <c r="M1883" i="34"/>
  <c r="P1883" i="34"/>
  <c r="S1883" i="34"/>
  <c r="V1883" i="34"/>
  <c r="Y1883" i="34"/>
  <c r="D1884" i="34"/>
  <c r="G1884" i="34"/>
  <c r="J1884" i="34"/>
  <c r="M1884" i="34"/>
  <c r="P1884" i="34"/>
  <c r="S1884" i="34"/>
  <c r="V1884" i="34"/>
  <c r="Y1884" i="34"/>
  <c r="D1885" i="34"/>
  <c r="G1885" i="34"/>
  <c r="J1885" i="34"/>
  <c r="M1885" i="34"/>
  <c r="P1885" i="34"/>
  <c r="S1885" i="34"/>
  <c r="V1885" i="34"/>
  <c r="Y1885" i="34"/>
  <c r="D1886" i="34"/>
  <c r="G1886" i="34"/>
  <c r="J1886" i="34"/>
  <c r="M1886" i="34"/>
  <c r="P1886" i="34"/>
  <c r="S1886" i="34"/>
  <c r="V1886" i="34"/>
  <c r="Y1886" i="34"/>
  <c r="D1887" i="34"/>
  <c r="G1887" i="34"/>
  <c r="J1887" i="34"/>
  <c r="M1887" i="34"/>
  <c r="P1887" i="34"/>
  <c r="S1887" i="34"/>
  <c r="V1887" i="34"/>
  <c r="Y1887" i="34"/>
  <c r="D1888" i="34"/>
  <c r="G1888" i="34"/>
  <c r="J1888" i="34"/>
  <c r="M1888" i="34"/>
  <c r="P1888" i="34"/>
  <c r="S1888" i="34"/>
  <c r="V1888" i="34"/>
  <c r="Y1888" i="34"/>
  <c r="D1889" i="34"/>
  <c r="G1889" i="34"/>
  <c r="J1889" i="34"/>
  <c r="M1889" i="34"/>
  <c r="P1889" i="34"/>
  <c r="S1889" i="34"/>
  <c r="V1889" i="34"/>
  <c r="Y1889" i="34"/>
  <c r="D1890" i="34"/>
  <c r="G1890" i="34"/>
  <c r="J1890" i="34"/>
  <c r="M1890" i="34"/>
  <c r="P1890" i="34"/>
  <c r="S1890" i="34"/>
  <c r="V1890" i="34"/>
  <c r="Y1890" i="34"/>
  <c r="D1891" i="34"/>
  <c r="G1891" i="34"/>
  <c r="J1891" i="34"/>
  <c r="M1891" i="34"/>
  <c r="P1891" i="34"/>
  <c r="S1891" i="34"/>
  <c r="V1891" i="34"/>
  <c r="Y1891" i="34"/>
  <c r="D1892" i="34"/>
  <c r="G1892" i="34"/>
  <c r="J1892" i="34"/>
  <c r="M1892" i="34"/>
  <c r="P1892" i="34"/>
  <c r="S1892" i="34"/>
  <c r="V1892" i="34"/>
  <c r="Y1892" i="34"/>
  <c r="D1893" i="34"/>
  <c r="G1893" i="34"/>
  <c r="J1893" i="34"/>
  <c r="M1893" i="34"/>
  <c r="P1893" i="34"/>
  <c r="S1893" i="34"/>
  <c r="V1893" i="34"/>
  <c r="Y1893" i="34"/>
  <c r="D1894" i="34"/>
  <c r="G1894" i="34"/>
  <c r="J1894" i="34"/>
  <c r="M1894" i="34"/>
  <c r="P1894" i="34"/>
  <c r="S1894" i="34"/>
  <c r="V1894" i="34"/>
  <c r="Y1894" i="34"/>
  <c r="D1895" i="34"/>
  <c r="G1895" i="34"/>
  <c r="J1895" i="34"/>
  <c r="M1895" i="34"/>
  <c r="P1895" i="34"/>
  <c r="S1895" i="34"/>
  <c r="V1895" i="34"/>
  <c r="Y1895" i="34"/>
  <c r="D1896" i="34"/>
  <c r="G1896" i="34"/>
  <c r="J1896" i="34"/>
  <c r="M1896" i="34"/>
  <c r="P1896" i="34"/>
  <c r="S1896" i="34"/>
  <c r="V1896" i="34"/>
  <c r="Y1896" i="34"/>
  <c r="D1897" i="34"/>
  <c r="G1897" i="34"/>
  <c r="J1897" i="34"/>
  <c r="M1897" i="34"/>
  <c r="P1897" i="34"/>
  <c r="S1897" i="34"/>
  <c r="V1897" i="34"/>
  <c r="Y1897" i="34"/>
  <c r="D1898" i="34"/>
  <c r="G1898" i="34"/>
  <c r="J1898" i="34"/>
  <c r="M1898" i="34"/>
  <c r="P1898" i="34"/>
  <c r="S1898" i="34"/>
  <c r="V1898" i="34"/>
  <c r="Y1898" i="34"/>
  <c r="D1899" i="34"/>
  <c r="G1899" i="34"/>
  <c r="J1899" i="34"/>
  <c r="M1899" i="34"/>
  <c r="P1899" i="34"/>
  <c r="S1899" i="34"/>
  <c r="V1899" i="34"/>
  <c r="Y1899" i="34"/>
  <c r="D1900" i="34"/>
  <c r="G1900" i="34"/>
  <c r="J1900" i="34"/>
  <c r="M1900" i="34"/>
  <c r="P1900" i="34"/>
  <c r="S1900" i="34"/>
  <c r="V1900" i="34"/>
  <c r="Y1900" i="34"/>
  <c r="D1901" i="34"/>
  <c r="G1901" i="34"/>
  <c r="J1901" i="34"/>
  <c r="M1901" i="34"/>
  <c r="P1901" i="34"/>
  <c r="S1901" i="34"/>
  <c r="V1901" i="34"/>
  <c r="Y1901" i="34"/>
  <c r="D1902" i="34"/>
  <c r="G1902" i="34"/>
  <c r="J1902" i="34"/>
  <c r="M1902" i="34"/>
  <c r="P1902" i="34"/>
  <c r="S1902" i="34"/>
  <c r="V1902" i="34"/>
  <c r="Y1902" i="34"/>
  <c r="D1903" i="34"/>
  <c r="G1903" i="34"/>
  <c r="J1903" i="34"/>
  <c r="M1903" i="34"/>
  <c r="P1903" i="34"/>
  <c r="S1903" i="34"/>
  <c r="V1903" i="34"/>
  <c r="Y1903" i="34"/>
  <c r="D1904" i="34"/>
  <c r="G1904" i="34"/>
  <c r="J1904" i="34"/>
  <c r="M1904" i="34"/>
  <c r="P1904" i="34"/>
  <c r="S1904" i="34"/>
  <c r="V1904" i="34"/>
  <c r="Y1904" i="34"/>
  <c r="D1905" i="34"/>
  <c r="G1905" i="34"/>
  <c r="J1905" i="34"/>
  <c r="M1905" i="34"/>
  <c r="P1905" i="34"/>
  <c r="S1905" i="34"/>
  <c r="V1905" i="34"/>
  <c r="Y1905" i="34"/>
  <c r="D1906" i="34"/>
  <c r="G1906" i="34"/>
  <c r="J1906" i="34"/>
  <c r="M1906" i="34"/>
  <c r="P1906" i="34"/>
  <c r="S1906" i="34"/>
  <c r="V1906" i="34"/>
  <c r="Y1906" i="34"/>
  <c r="D1907" i="34"/>
  <c r="G1907" i="34"/>
  <c r="J1907" i="34"/>
  <c r="M1907" i="34"/>
  <c r="P1907" i="34"/>
  <c r="S1907" i="34"/>
  <c r="V1907" i="34"/>
  <c r="Y1907" i="34"/>
  <c r="D1908" i="34"/>
  <c r="G1908" i="34"/>
  <c r="J1908" i="34"/>
  <c r="M1908" i="34"/>
  <c r="P1908" i="34"/>
  <c r="S1908" i="34"/>
  <c r="V1908" i="34"/>
  <c r="Y1908" i="34"/>
  <c r="D1909" i="34"/>
  <c r="G1909" i="34"/>
  <c r="J1909" i="34"/>
  <c r="M1909" i="34"/>
  <c r="P1909" i="34"/>
  <c r="S1909" i="34"/>
  <c r="V1909" i="34"/>
  <c r="Y1909" i="34"/>
  <c r="D1910" i="34"/>
  <c r="G1910" i="34"/>
  <c r="J1910" i="34"/>
  <c r="M1910" i="34"/>
  <c r="P1910" i="34"/>
  <c r="S1910" i="34"/>
  <c r="V1910" i="34"/>
  <c r="Y1910" i="34"/>
  <c r="D1911" i="34"/>
  <c r="G1911" i="34"/>
  <c r="J1911" i="34"/>
  <c r="M1911" i="34"/>
  <c r="P1911" i="34"/>
  <c r="S1911" i="34"/>
  <c r="V1911" i="34"/>
  <c r="Y1911" i="34"/>
  <c r="D1912" i="34"/>
  <c r="G1912" i="34"/>
  <c r="J1912" i="34"/>
  <c r="M1912" i="34"/>
  <c r="P1912" i="34"/>
  <c r="S1912" i="34"/>
  <c r="V1912" i="34"/>
  <c r="Y1912" i="34"/>
  <c r="D1913" i="34"/>
  <c r="G1913" i="34"/>
  <c r="J1913" i="34"/>
  <c r="M1913" i="34"/>
  <c r="P1913" i="34"/>
  <c r="S1913" i="34"/>
  <c r="V1913" i="34"/>
  <c r="Y1913" i="34"/>
  <c r="D1914" i="34"/>
  <c r="G1914" i="34"/>
  <c r="J1914" i="34"/>
  <c r="M1914" i="34"/>
  <c r="P1914" i="34"/>
  <c r="S1914" i="34"/>
  <c r="V1914" i="34"/>
  <c r="Y1914" i="34"/>
  <c r="D1915" i="34"/>
  <c r="G1915" i="34"/>
  <c r="J1915" i="34"/>
  <c r="M1915" i="34"/>
  <c r="P1915" i="34"/>
  <c r="S1915" i="34"/>
  <c r="V1915" i="34"/>
  <c r="Y1915" i="34"/>
  <c r="D1916" i="34"/>
  <c r="G1916" i="34"/>
  <c r="J1916" i="34"/>
  <c r="M1916" i="34"/>
  <c r="P1916" i="34"/>
  <c r="S1916" i="34"/>
  <c r="V1916" i="34"/>
  <c r="Y1916" i="34"/>
  <c r="D1917" i="34"/>
  <c r="G1917" i="34"/>
  <c r="J1917" i="34"/>
  <c r="M1917" i="34"/>
  <c r="P1917" i="34"/>
  <c r="S1917" i="34"/>
  <c r="V1917" i="34"/>
  <c r="Y1917" i="34"/>
  <c r="D1918" i="34"/>
  <c r="G1918" i="34"/>
  <c r="J1918" i="34"/>
  <c r="M1918" i="34"/>
  <c r="P1918" i="34"/>
  <c r="S1918" i="34"/>
  <c r="V1918" i="34"/>
  <c r="Y1918" i="34"/>
  <c r="D1919" i="34"/>
  <c r="G1919" i="34"/>
  <c r="J1919" i="34"/>
  <c r="M1919" i="34"/>
  <c r="P1919" i="34"/>
  <c r="S1919" i="34"/>
  <c r="V1919" i="34"/>
  <c r="Y1919" i="34"/>
  <c r="D1920" i="34"/>
  <c r="G1920" i="34"/>
  <c r="J1920" i="34"/>
  <c r="M1920" i="34"/>
  <c r="P1920" i="34"/>
  <c r="S1920" i="34"/>
  <c r="V1920" i="34"/>
  <c r="Y1920" i="34"/>
  <c r="D1921" i="34"/>
  <c r="G1921" i="34"/>
  <c r="J1921" i="34"/>
  <c r="M1921" i="34"/>
  <c r="P1921" i="34"/>
  <c r="S1921" i="34"/>
  <c r="V1921" i="34"/>
  <c r="Y1921" i="34"/>
  <c r="D1922" i="34"/>
  <c r="G1922" i="34"/>
  <c r="J1922" i="34"/>
  <c r="M1922" i="34"/>
  <c r="P1922" i="34"/>
  <c r="S1922" i="34"/>
  <c r="V1922" i="34"/>
  <c r="Y1922" i="34"/>
  <c r="D1923" i="34"/>
  <c r="G1923" i="34"/>
  <c r="J1923" i="34"/>
  <c r="M1923" i="34"/>
  <c r="P1923" i="34"/>
  <c r="S1923" i="34"/>
  <c r="V1923" i="34"/>
  <c r="Y1923" i="34"/>
  <c r="D1924" i="34"/>
  <c r="G1924" i="34"/>
  <c r="J1924" i="34"/>
  <c r="M1924" i="34"/>
  <c r="P1924" i="34"/>
  <c r="S1924" i="34"/>
  <c r="V1924" i="34"/>
  <c r="Y1924" i="34"/>
  <c r="D1925" i="34"/>
  <c r="G1925" i="34"/>
  <c r="J1925" i="34"/>
  <c r="M1925" i="34"/>
  <c r="P1925" i="34"/>
  <c r="S1925" i="34"/>
  <c r="V1925" i="34"/>
  <c r="Y1925" i="34"/>
  <c r="D1926" i="34"/>
  <c r="G1926" i="34"/>
  <c r="J1926" i="34"/>
  <c r="M1926" i="34"/>
  <c r="P1926" i="34"/>
  <c r="S1926" i="34"/>
  <c r="V1926" i="34"/>
  <c r="Y1926" i="34"/>
  <c r="D1927" i="34"/>
  <c r="G1927" i="34"/>
  <c r="J1927" i="34"/>
  <c r="M1927" i="34"/>
  <c r="P1927" i="34"/>
  <c r="S1927" i="34"/>
  <c r="V1927" i="34"/>
  <c r="Y1927" i="34"/>
  <c r="D1928" i="34"/>
  <c r="G1928" i="34"/>
  <c r="J1928" i="34"/>
  <c r="M1928" i="34"/>
  <c r="P1928" i="34"/>
  <c r="S1928" i="34"/>
  <c r="V1928" i="34"/>
  <c r="Y1928" i="34"/>
  <c r="D1929" i="34"/>
  <c r="G1929" i="34"/>
  <c r="J1929" i="34"/>
  <c r="M1929" i="34"/>
  <c r="P1929" i="34"/>
  <c r="S1929" i="34"/>
  <c r="V1929" i="34"/>
  <c r="Y1929" i="34"/>
  <c r="D1930" i="34"/>
  <c r="G1930" i="34"/>
  <c r="J1930" i="34"/>
  <c r="M1930" i="34"/>
  <c r="P1930" i="34"/>
  <c r="S1930" i="34"/>
  <c r="V1930" i="34"/>
  <c r="Y1930" i="34"/>
  <c r="D1931" i="34"/>
  <c r="G1931" i="34"/>
  <c r="J1931" i="34"/>
  <c r="M1931" i="34"/>
  <c r="P1931" i="34"/>
  <c r="S1931" i="34"/>
  <c r="V1931" i="34"/>
  <c r="Y1931" i="34"/>
  <c r="D1932" i="34"/>
  <c r="G1932" i="34"/>
  <c r="J1932" i="34"/>
  <c r="M1932" i="34"/>
  <c r="P1932" i="34"/>
  <c r="S1932" i="34"/>
  <c r="V1932" i="34"/>
  <c r="Y1932" i="34"/>
  <c r="D1933" i="34"/>
  <c r="G1933" i="34"/>
  <c r="J1933" i="34"/>
  <c r="M1933" i="34"/>
  <c r="P1933" i="34"/>
  <c r="S1933" i="34"/>
  <c r="V1933" i="34"/>
  <c r="Y1933" i="34"/>
  <c r="D1934" i="34"/>
  <c r="G1934" i="34"/>
  <c r="J1934" i="34"/>
  <c r="M1934" i="34"/>
  <c r="P1934" i="34"/>
  <c r="S1934" i="34"/>
  <c r="V1934" i="34"/>
  <c r="Y1934" i="34"/>
  <c r="D1935" i="34"/>
  <c r="G1935" i="34"/>
  <c r="J1935" i="34"/>
  <c r="M1935" i="34"/>
  <c r="P1935" i="34"/>
  <c r="S1935" i="34"/>
  <c r="V1935" i="34"/>
  <c r="Y1935" i="34"/>
  <c r="D1936" i="34"/>
  <c r="G1936" i="34"/>
  <c r="J1936" i="34"/>
  <c r="M1936" i="34"/>
  <c r="P1936" i="34"/>
  <c r="S1936" i="34"/>
  <c r="V1936" i="34"/>
  <c r="Y1936" i="34"/>
  <c r="D1937" i="34"/>
  <c r="G1937" i="34"/>
  <c r="J1937" i="34"/>
  <c r="M1937" i="34"/>
  <c r="P1937" i="34"/>
  <c r="S1937" i="34"/>
  <c r="V1937" i="34"/>
  <c r="Y1937" i="34"/>
  <c r="D1938" i="34"/>
  <c r="G1938" i="34"/>
  <c r="J1938" i="34"/>
  <c r="M1938" i="34"/>
  <c r="P1938" i="34"/>
  <c r="S1938" i="34"/>
  <c r="V1938" i="34"/>
  <c r="Y1938" i="34"/>
  <c r="D1939" i="34"/>
  <c r="G1939" i="34"/>
  <c r="J1939" i="34"/>
  <c r="M1939" i="34"/>
  <c r="P1939" i="34"/>
  <c r="S1939" i="34"/>
  <c r="V1939" i="34"/>
  <c r="Y1939" i="34"/>
  <c r="D1940" i="34"/>
  <c r="G1940" i="34"/>
  <c r="J1940" i="34"/>
  <c r="M1940" i="34"/>
  <c r="P1940" i="34"/>
  <c r="S1940" i="34"/>
  <c r="V1940" i="34"/>
  <c r="Y1940" i="34"/>
  <c r="D1941" i="34"/>
  <c r="G1941" i="34"/>
  <c r="J1941" i="34"/>
  <c r="M1941" i="34"/>
  <c r="P1941" i="34"/>
  <c r="S1941" i="34"/>
  <c r="V1941" i="34"/>
  <c r="Y1941" i="34"/>
  <c r="D1942" i="34"/>
  <c r="G1942" i="34"/>
  <c r="J1942" i="34"/>
  <c r="M1942" i="34"/>
  <c r="P1942" i="34"/>
  <c r="S1942" i="34"/>
  <c r="V1942" i="34"/>
  <c r="Y1942" i="34"/>
  <c r="D1943" i="34"/>
  <c r="G1943" i="34"/>
  <c r="J1943" i="34"/>
  <c r="M1943" i="34"/>
  <c r="P1943" i="34"/>
  <c r="S1943" i="34"/>
  <c r="V1943" i="34"/>
  <c r="Y1943" i="34"/>
  <c r="D1944" i="34"/>
  <c r="G1944" i="34"/>
  <c r="J1944" i="34"/>
  <c r="M1944" i="34"/>
  <c r="P1944" i="34"/>
  <c r="S1944" i="34"/>
  <c r="V1944" i="34"/>
  <c r="Y1944" i="34"/>
  <c r="D1945" i="34"/>
  <c r="G1945" i="34"/>
  <c r="J1945" i="34"/>
  <c r="M1945" i="34"/>
  <c r="P1945" i="34"/>
  <c r="S1945" i="34"/>
  <c r="V1945" i="34"/>
  <c r="Y1945" i="34"/>
  <c r="D1946" i="34"/>
  <c r="G1946" i="34"/>
  <c r="J1946" i="34"/>
  <c r="M1946" i="34"/>
  <c r="P1946" i="34"/>
  <c r="S1946" i="34"/>
  <c r="V1946" i="34"/>
  <c r="Y1946" i="34"/>
  <c r="D1947" i="34"/>
  <c r="G1947" i="34"/>
  <c r="J1947" i="34"/>
  <c r="M1947" i="34"/>
  <c r="P1947" i="34"/>
  <c r="S1947" i="34"/>
  <c r="V1947" i="34"/>
  <c r="Y1947" i="34"/>
  <c r="D1948" i="34"/>
  <c r="G1948" i="34"/>
  <c r="J1948" i="34"/>
  <c r="M1948" i="34"/>
  <c r="P1948" i="34"/>
  <c r="S1948" i="34"/>
  <c r="V1948" i="34"/>
  <c r="Y1948" i="34"/>
  <c r="D1949" i="34"/>
  <c r="G1949" i="34"/>
  <c r="J1949" i="34"/>
  <c r="M1949" i="34"/>
  <c r="P1949" i="34"/>
  <c r="S1949" i="34"/>
  <c r="V1949" i="34"/>
  <c r="Y1949" i="34"/>
  <c r="D1950" i="34"/>
  <c r="G1950" i="34"/>
  <c r="J1950" i="34"/>
  <c r="M1950" i="34"/>
  <c r="P1950" i="34"/>
  <c r="S1950" i="34"/>
  <c r="V1950" i="34"/>
  <c r="Y1950" i="34"/>
  <c r="D1951" i="34"/>
  <c r="G1951" i="34"/>
  <c r="J1951" i="34"/>
  <c r="M1951" i="34"/>
  <c r="P1951" i="34"/>
  <c r="S1951" i="34"/>
  <c r="V1951" i="34"/>
  <c r="Y1951" i="34"/>
  <c r="D1952" i="34"/>
  <c r="G1952" i="34"/>
  <c r="J1952" i="34"/>
  <c r="M1952" i="34"/>
  <c r="P1952" i="34"/>
  <c r="S1952" i="34"/>
  <c r="V1952" i="34"/>
  <c r="Y1952" i="34"/>
  <c r="D1953" i="34"/>
  <c r="G1953" i="34"/>
  <c r="J1953" i="34"/>
  <c r="M1953" i="34"/>
  <c r="P1953" i="34"/>
  <c r="S1953" i="34"/>
  <c r="V1953" i="34"/>
  <c r="Y1953" i="34"/>
  <c r="D1954" i="34"/>
  <c r="G1954" i="34"/>
  <c r="J1954" i="34"/>
  <c r="M1954" i="34"/>
  <c r="P1954" i="34"/>
  <c r="S1954" i="34"/>
  <c r="V1954" i="34"/>
  <c r="Y1954" i="34"/>
  <c r="D1955" i="34"/>
  <c r="G1955" i="34"/>
  <c r="J1955" i="34"/>
  <c r="M1955" i="34"/>
  <c r="P1955" i="34"/>
  <c r="S1955" i="34"/>
  <c r="V1955" i="34"/>
  <c r="Y1955" i="34"/>
  <c r="D1956" i="34"/>
  <c r="G1956" i="34"/>
  <c r="J1956" i="34"/>
  <c r="M1956" i="34"/>
  <c r="P1956" i="34"/>
  <c r="S1956" i="34"/>
  <c r="V1956" i="34"/>
  <c r="Y1956" i="34"/>
  <c r="D1957" i="34"/>
  <c r="G1957" i="34"/>
  <c r="J1957" i="34"/>
  <c r="M1957" i="34"/>
  <c r="P1957" i="34"/>
  <c r="S1957" i="34"/>
  <c r="V1957" i="34"/>
  <c r="Y1957" i="34"/>
  <c r="D1958" i="34"/>
  <c r="G1958" i="34"/>
  <c r="J1958" i="34"/>
  <c r="M1958" i="34"/>
  <c r="P1958" i="34"/>
  <c r="S1958" i="34"/>
  <c r="V1958" i="34"/>
  <c r="Y1958" i="34"/>
  <c r="D1959" i="34"/>
  <c r="G1959" i="34"/>
  <c r="J1959" i="34"/>
  <c r="M1959" i="34"/>
  <c r="P1959" i="34"/>
  <c r="S1959" i="34"/>
  <c r="V1959" i="34"/>
  <c r="Y1959" i="34"/>
  <c r="D1960" i="34"/>
  <c r="G1960" i="34"/>
  <c r="J1960" i="34"/>
  <c r="M1960" i="34"/>
  <c r="P1960" i="34"/>
  <c r="S1960" i="34"/>
  <c r="V1960" i="34"/>
  <c r="Y1960" i="34"/>
  <c r="D1961" i="34"/>
  <c r="G1961" i="34"/>
  <c r="J1961" i="34"/>
  <c r="M1961" i="34"/>
  <c r="P1961" i="34"/>
  <c r="S1961" i="34"/>
  <c r="V1961" i="34"/>
  <c r="Y1961" i="34"/>
  <c r="D1962" i="34"/>
  <c r="G1962" i="34"/>
  <c r="J1962" i="34"/>
  <c r="M1962" i="34"/>
  <c r="P1962" i="34"/>
  <c r="S1962" i="34"/>
  <c r="V1962" i="34"/>
  <c r="Y1962" i="34"/>
  <c r="D1963" i="34"/>
  <c r="G1963" i="34"/>
  <c r="J1963" i="34"/>
  <c r="M1963" i="34"/>
  <c r="P1963" i="34"/>
  <c r="S1963" i="34"/>
  <c r="V1963" i="34"/>
  <c r="Y1963" i="34"/>
  <c r="D1964" i="34"/>
  <c r="G1964" i="34"/>
  <c r="J1964" i="34"/>
  <c r="M1964" i="34"/>
  <c r="P1964" i="34"/>
  <c r="S1964" i="34"/>
  <c r="V1964" i="34"/>
  <c r="Y1964" i="34"/>
  <c r="D1965" i="34"/>
  <c r="G1965" i="34"/>
  <c r="J1965" i="34"/>
  <c r="M1965" i="34"/>
  <c r="P1965" i="34"/>
  <c r="S1965" i="34"/>
  <c r="V1965" i="34"/>
  <c r="Y1965" i="34"/>
  <c r="D1966" i="34"/>
  <c r="G1966" i="34"/>
  <c r="J1966" i="34"/>
  <c r="M1966" i="34"/>
  <c r="P1966" i="34"/>
  <c r="S1966" i="34"/>
  <c r="V1966" i="34"/>
  <c r="Y1966" i="34"/>
  <c r="D1967" i="34"/>
  <c r="G1967" i="34"/>
  <c r="J1967" i="34"/>
  <c r="M1967" i="34"/>
  <c r="P1967" i="34"/>
  <c r="S1967" i="34"/>
  <c r="V1967" i="34"/>
  <c r="Y1967" i="34"/>
  <c r="D1968" i="34"/>
  <c r="G1968" i="34"/>
  <c r="J1968" i="34"/>
  <c r="M1968" i="34"/>
  <c r="P1968" i="34"/>
  <c r="S1968" i="34"/>
  <c r="V1968" i="34"/>
  <c r="Y1968" i="34"/>
  <c r="D1969" i="34"/>
  <c r="G1969" i="34"/>
  <c r="J1969" i="34"/>
  <c r="M1969" i="34"/>
  <c r="P1969" i="34"/>
  <c r="S1969" i="34"/>
  <c r="V1969" i="34"/>
  <c r="Y1969" i="34"/>
  <c r="D1970" i="34"/>
  <c r="G1970" i="34"/>
  <c r="J1970" i="34"/>
  <c r="M1970" i="34"/>
  <c r="P1970" i="34"/>
  <c r="S1970" i="34"/>
  <c r="V1970" i="34"/>
  <c r="Y1970" i="34"/>
  <c r="D1971" i="34"/>
  <c r="G1971" i="34"/>
  <c r="J1971" i="34"/>
  <c r="M1971" i="34"/>
  <c r="P1971" i="34"/>
  <c r="S1971" i="34"/>
  <c r="V1971" i="34"/>
  <c r="Y1971" i="34"/>
  <c r="D1972" i="34"/>
  <c r="G1972" i="34"/>
  <c r="J1972" i="34"/>
  <c r="M1972" i="34"/>
  <c r="P1972" i="34"/>
  <c r="S1972" i="34"/>
  <c r="V1972" i="34"/>
  <c r="Y1972" i="34"/>
  <c r="D1973" i="34"/>
  <c r="G1973" i="34"/>
  <c r="J1973" i="34"/>
  <c r="M1973" i="34"/>
  <c r="P1973" i="34"/>
  <c r="S1973" i="34"/>
  <c r="V1973" i="34"/>
  <c r="Y1973" i="34"/>
  <c r="D1974" i="34"/>
  <c r="G1974" i="34"/>
  <c r="J1974" i="34"/>
  <c r="M1974" i="34"/>
  <c r="P1974" i="34"/>
  <c r="S1974" i="34"/>
  <c r="V1974" i="34"/>
  <c r="Y1974" i="34"/>
  <c r="D1975" i="34"/>
  <c r="G1975" i="34"/>
  <c r="J1975" i="34"/>
  <c r="M1975" i="34"/>
  <c r="P1975" i="34"/>
  <c r="S1975" i="34"/>
  <c r="V1975" i="34"/>
  <c r="Y1975" i="34"/>
  <c r="D1976" i="34"/>
  <c r="G1976" i="34"/>
  <c r="J1976" i="34"/>
  <c r="M1976" i="34"/>
  <c r="P1976" i="34"/>
  <c r="S1976" i="34"/>
  <c r="V1976" i="34"/>
  <c r="Y1976" i="34"/>
  <c r="D1977" i="34"/>
  <c r="G1977" i="34"/>
  <c r="J1977" i="34"/>
  <c r="M1977" i="34"/>
  <c r="P1977" i="34"/>
  <c r="S1977" i="34"/>
  <c r="V1977" i="34"/>
  <c r="Y1977" i="34"/>
  <c r="D1978" i="34"/>
  <c r="G1978" i="34"/>
  <c r="J1978" i="34"/>
  <c r="M1978" i="34"/>
  <c r="P1978" i="34"/>
  <c r="S1978" i="34"/>
  <c r="V1978" i="34"/>
  <c r="Y1978" i="34"/>
  <c r="D1979" i="34"/>
  <c r="G1979" i="34"/>
  <c r="J1979" i="34"/>
  <c r="M1979" i="34"/>
  <c r="P1979" i="34"/>
  <c r="S1979" i="34"/>
  <c r="V1979" i="34"/>
  <c r="Y1979" i="34"/>
  <c r="D1980" i="34"/>
  <c r="G1980" i="34"/>
  <c r="J1980" i="34"/>
  <c r="M1980" i="34"/>
  <c r="P1980" i="34"/>
  <c r="S1980" i="34"/>
  <c r="V1980" i="34"/>
  <c r="Y1980" i="34"/>
  <c r="D1981" i="34"/>
  <c r="G1981" i="34"/>
  <c r="J1981" i="34"/>
  <c r="M1981" i="34"/>
  <c r="P1981" i="34"/>
  <c r="S1981" i="34"/>
  <c r="V1981" i="34"/>
  <c r="Y1981" i="34"/>
  <c r="D1982" i="34"/>
  <c r="G1982" i="34"/>
  <c r="J1982" i="34"/>
  <c r="M1982" i="34"/>
  <c r="P1982" i="34"/>
  <c r="S1982" i="34"/>
  <c r="V1982" i="34"/>
  <c r="Y1982" i="34"/>
  <c r="D1983" i="34"/>
  <c r="G1983" i="34"/>
  <c r="J1983" i="34"/>
  <c r="M1983" i="34"/>
  <c r="P1983" i="34"/>
  <c r="S1983" i="34"/>
  <c r="V1983" i="34"/>
  <c r="Y1983" i="34"/>
  <c r="D1984" i="34"/>
  <c r="G1984" i="34"/>
  <c r="J1984" i="34"/>
  <c r="M1984" i="34"/>
  <c r="P1984" i="34"/>
  <c r="S1984" i="34"/>
  <c r="V1984" i="34"/>
  <c r="Y1984" i="34"/>
  <c r="D1985" i="34"/>
  <c r="G1985" i="34"/>
  <c r="J1985" i="34"/>
  <c r="M1985" i="34"/>
  <c r="P1985" i="34"/>
  <c r="S1985" i="34"/>
  <c r="V1985" i="34"/>
  <c r="Y1985" i="34"/>
  <c r="D1986" i="34"/>
  <c r="G1986" i="34"/>
  <c r="J1986" i="34"/>
  <c r="M1986" i="34"/>
  <c r="P1986" i="34"/>
  <c r="S1986" i="34"/>
  <c r="V1986" i="34"/>
  <c r="Y1986" i="34"/>
  <c r="D1987" i="34"/>
  <c r="G1987" i="34"/>
  <c r="J1987" i="34"/>
  <c r="M1987" i="34"/>
  <c r="P1987" i="34"/>
  <c r="S1987" i="34"/>
  <c r="V1987" i="34"/>
  <c r="Y1987" i="34"/>
  <c r="D1988" i="34"/>
  <c r="G1988" i="34"/>
  <c r="J1988" i="34"/>
  <c r="M1988" i="34"/>
  <c r="P1988" i="34"/>
  <c r="S1988" i="34"/>
  <c r="V1988" i="34"/>
  <c r="Y1988" i="34"/>
  <c r="D1989" i="34"/>
  <c r="G1989" i="34"/>
  <c r="J1989" i="34"/>
  <c r="M1989" i="34"/>
  <c r="P1989" i="34"/>
  <c r="S1989" i="34"/>
  <c r="V1989" i="34"/>
  <c r="Y1989" i="34"/>
  <c r="D1990" i="34"/>
  <c r="G1990" i="34"/>
  <c r="J1990" i="34"/>
  <c r="M1990" i="34"/>
  <c r="P1990" i="34"/>
  <c r="S1990" i="34"/>
  <c r="V1990" i="34"/>
  <c r="Y1990" i="34"/>
  <c r="D1991" i="34"/>
  <c r="G1991" i="34"/>
  <c r="J1991" i="34"/>
  <c r="M1991" i="34"/>
  <c r="P1991" i="34"/>
  <c r="S1991" i="34"/>
  <c r="V1991" i="34"/>
  <c r="Y1991" i="34"/>
  <c r="D1992" i="34"/>
  <c r="G1992" i="34"/>
  <c r="J1992" i="34"/>
  <c r="M1992" i="34"/>
  <c r="P1992" i="34"/>
  <c r="S1992" i="34"/>
  <c r="V1992" i="34"/>
  <c r="Y1992" i="34"/>
  <c r="D1993" i="34"/>
  <c r="G1993" i="34"/>
  <c r="J1993" i="34"/>
  <c r="M1993" i="34"/>
  <c r="P1993" i="34"/>
  <c r="S1993" i="34"/>
  <c r="V1993" i="34"/>
  <c r="Y1993" i="34"/>
  <c r="D1994" i="34"/>
  <c r="G1994" i="34"/>
  <c r="J1994" i="34"/>
  <c r="M1994" i="34"/>
  <c r="P1994" i="34"/>
  <c r="S1994" i="34"/>
  <c r="V1994" i="34"/>
  <c r="Y1994" i="34"/>
  <c r="D1995" i="34"/>
  <c r="G1995" i="34"/>
  <c r="J1995" i="34"/>
  <c r="M1995" i="34"/>
  <c r="P1995" i="34"/>
  <c r="S1995" i="34"/>
  <c r="V1995" i="34"/>
  <c r="Y1995" i="34"/>
  <c r="D1996" i="34"/>
  <c r="G1996" i="34"/>
  <c r="J1996" i="34"/>
  <c r="M1996" i="34"/>
  <c r="P1996" i="34"/>
  <c r="S1996" i="34"/>
  <c r="V1996" i="34"/>
  <c r="Y1996" i="34"/>
  <c r="D1997" i="34"/>
  <c r="G1997" i="34"/>
  <c r="J1997" i="34"/>
  <c r="M1997" i="34"/>
  <c r="P1997" i="34"/>
  <c r="S1997" i="34"/>
  <c r="V1997" i="34"/>
  <c r="Y1997" i="34"/>
  <c r="D1998" i="34"/>
  <c r="G1998" i="34"/>
  <c r="J1998" i="34"/>
  <c r="M1998" i="34"/>
  <c r="P1998" i="34"/>
  <c r="S1998" i="34"/>
  <c r="V1998" i="34"/>
  <c r="Y1998" i="34"/>
  <c r="D1999" i="34"/>
  <c r="G1999" i="34"/>
  <c r="J1999" i="34"/>
  <c r="M1999" i="34"/>
  <c r="P1999" i="34"/>
  <c r="S1999" i="34"/>
  <c r="V1999" i="34"/>
  <c r="Y1999" i="34"/>
  <c r="D2000" i="34"/>
  <c r="G2000" i="34"/>
  <c r="J2000" i="34"/>
  <c r="M2000" i="34"/>
  <c r="P2000" i="34"/>
  <c r="S2000" i="34"/>
  <c r="V2000" i="34"/>
  <c r="Y2000" i="34"/>
  <c r="D2001" i="34"/>
  <c r="G2001" i="34"/>
  <c r="J2001" i="34"/>
  <c r="M2001" i="34"/>
  <c r="P2001" i="34"/>
  <c r="S2001" i="34"/>
  <c r="V2001" i="34"/>
  <c r="Y2001" i="34"/>
  <c r="D2002" i="34"/>
  <c r="G2002" i="34"/>
  <c r="J2002" i="34"/>
  <c r="M2002" i="34"/>
  <c r="P2002" i="34"/>
  <c r="S2002" i="34"/>
  <c r="V2002" i="34"/>
  <c r="Y2002" i="34"/>
  <c r="D2003" i="34"/>
  <c r="G2003" i="34"/>
  <c r="J2003" i="34"/>
  <c r="M2003" i="34"/>
  <c r="P2003" i="34"/>
  <c r="S2003" i="34"/>
  <c r="V2003" i="34"/>
  <c r="Y2003" i="34"/>
  <c r="D2004" i="34"/>
  <c r="G2004" i="34"/>
  <c r="J2004" i="34"/>
  <c r="M2004" i="34"/>
  <c r="P2004" i="34"/>
  <c r="S2004" i="34"/>
  <c r="V2004" i="34"/>
  <c r="Y2004" i="34"/>
  <c r="D2005" i="34"/>
  <c r="G2005" i="34"/>
  <c r="J2005" i="34"/>
  <c r="M2005" i="34"/>
  <c r="P2005" i="34"/>
  <c r="S2005" i="34"/>
  <c r="V2005" i="34"/>
  <c r="Y2005" i="34"/>
  <c r="D2006" i="34"/>
  <c r="G2006" i="34"/>
  <c r="J2006" i="34"/>
  <c r="M2006" i="34"/>
  <c r="P2006" i="34"/>
  <c r="S2006" i="34"/>
  <c r="V2006" i="34"/>
  <c r="Y2006" i="34"/>
  <c r="D2007" i="34"/>
  <c r="G2007" i="34"/>
  <c r="J2007" i="34"/>
  <c r="M2007" i="34"/>
  <c r="P2007" i="34"/>
  <c r="S2007" i="34"/>
  <c r="V2007" i="34"/>
  <c r="Y2007" i="34"/>
  <c r="D2008" i="34"/>
  <c r="G2008" i="34"/>
  <c r="J2008" i="34"/>
  <c r="M2008" i="34"/>
  <c r="P2008" i="34"/>
  <c r="S2008" i="34"/>
  <c r="V2008" i="34"/>
  <c r="Y2008" i="34"/>
  <c r="D2009" i="34"/>
  <c r="G2009" i="34"/>
  <c r="J2009" i="34"/>
  <c r="M2009" i="34"/>
  <c r="P2009" i="34"/>
  <c r="S2009" i="34"/>
  <c r="V2009" i="34"/>
  <c r="Y2009" i="34"/>
  <c r="D2010" i="34"/>
  <c r="G2010" i="34"/>
  <c r="J2010" i="34"/>
  <c r="M2010" i="34"/>
  <c r="P2010" i="34"/>
  <c r="S2010" i="34"/>
  <c r="V2010" i="34"/>
  <c r="Y2010" i="34"/>
  <c r="D2011" i="34"/>
  <c r="G2011" i="34"/>
  <c r="J2011" i="34"/>
  <c r="M2011" i="34"/>
  <c r="P2011" i="34"/>
  <c r="S2011" i="34"/>
  <c r="V2011" i="34"/>
  <c r="Y2011" i="34"/>
  <c r="D2012" i="34"/>
  <c r="G2012" i="34"/>
  <c r="J2012" i="34"/>
  <c r="M2012" i="34"/>
  <c r="P2012" i="34"/>
  <c r="S2012" i="34"/>
  <c r="V2012" i="34"/>
  <c r="Y2012" i="34"/>
  <c r="D2013" i="34"/>
  <c r="G2013" i="34"/>
  <c r="J2013" i="34"/>
  <c r="M2013" i="34"/>
  <c r="P2013" i="34"/>
  <c r="S2013" i="34"/>
  <c r="V2013" i="34"/>
  <c r="Y2013" i="34"/>
  <c r="D2014" i="34"/>
  <c r="G2014" i="34"/>
  <c r="J2014" i="34"/>
  <c r="M2014" i="34"/>
  <c r="P2014" i="34"/>
  <c r="S2014" i="34"/>
  <c r="V2014" i="34"/>
  <c r="Y2014" i="34"/>
  <c r="D2015" i="34"/>
  <c r="G2015" i="34"/>
  <c r="J2015" i="34"/>
  <c r="M2015" i="34"/>
  <c r="P2015" i="34"/>
  <c r="S2015" i="34"/>
  <c r="V2015" i="34"/>
  <c r="Y2015" i="34"/>
  <c r="D2016" i="34"/>
  <c r="G2016" i="34"/>
  <c r="J2016" i="34"/>
  <c r="M2016" i="34"/>
  <c r="P2016" i="34"/>
  <c r="S2016" i="34"/>
  <c r="V2016" i="34"/>
  <c r="Y2016" i="34"/>
  <c r="D2017" i="34"/>
  <c r="G2017" i="34"/>
  <c r="J2017" i="34"/>
  <c r="M2017" i="34"/>
  <c r="P2017" i="34"/>
  <c r="S2017" i="34"/>
  <c r="V2017" i="34"/>
  <c r="Y2017" i="34"/>
  <c r="D2018" i="34"/>
  <c r="G2018" i="34"/>
  <c r="J2018" i="34"/>
  <c r="M2018" i="34"/>
  <c r="P2018" i="34"/>
  <c r="S2018" i="34"/>
  <c r="V2018" i="34"/>
  <c r="Y2018" i="34"/>
  <c r="D2019" i="34"/>
  <c r="G2019" i="34"/>
  <c r="J2019" i="34"/>
  <c r="M2019" i="34"/>
  <c r="P2019" i="34"/>
  <c r="S2019" i="34"/>
  <c r="V2019" i="34"/>
  <c r="Y2019" i="34"/>
  <c r="D2020" i="34"/>
  <c r="G2020" i="34"/>
  <c r="J2020" i="34"/>
  <c r="M2020" i="34"/>
  <c r="P2020" i="34"/>
  <c r="S2020" i="34"/>
  <c r="V2020" i="34"/>
  <c r="Y2020" i="34"/>
  <c r="D2021" i="34"/>
  <c r="G2021" i="34"/>
  <c r="J2021" i="34"/>
  <c r="M2021" i="34"/>
  <c r="P2021" i="34"/>
  <c r="S2021" i="34"/>
  <c r="V2021" i="34"/>
  <c r="Y2021" i="34"/>
  <c r="D2022" i="34"/>
  <c r="G2022" i="34"/>
  <c r="J2022" i="34"/>
  <c r="M2022" i="34"/>
  <c r="P2022" i="34"/>
  <c r="S2022" i="34"/>
  <c r="V2022" i="34"/>
  <c r="Y2022" i="34"/>
  <c r="D2023" i="34"/>
  <c r="G2023" i="34"/>
  <c r="J2023" i="34"/>
  <c r="M2023" i="34"/>
  <c r="P2023" i="34"/>
  <c r="S2023" i="34"/>
  <c r="V2023" i="34"/>
  <c r="Y2023" i="34"/>
  <c r="D2024" i="34"/>
  <c r="G2024" i="34"/>
  <c r="J2024" i="34"/>
  <c r="M2024" i="34"/>
  <c r="P2024" i="34"/>
  <c r="S2024" i="34"/>
  <c r="V2024" i="34"/>
  <c r="Y2024" i="34"/>
  <c r="D2025" i="34"/>
  <c r="G2025" i="34"/>
  <c r="J2025" i="34"/>
  <c r="M2025" i="34"/>
  <c r="P2025" i="34"/>
  <c r="S2025" i="34"/>
  <c r="V2025" i="34"/>
  <c r="Y2025" i="34"/>
  <c r="D2026" i="34"/>
  <c r="G2026" i="34"/>
  <c r="J2026" i="34"/>
  <c r="M2026" i="34"/>
  <c r="P2026" i="34"/>
  <c r="S2026" i="34"/>
  <c r="V2026" i="34"/>
  <c r="Y2026" i="34"/>
  <c r="D2027" i="34"/>
  <c r="G2027" i="34"/>
  <c r="J2027" i="34"/>
  <c r="M2027" i="34"/>
  <c r="P2027" i="34"/>
  <c r="S2027" i="34"/>
  <c r="V2027" i="34"/>
  <c r="Y2027" i="34"/>
  <c r="D2028" i="34"/>
  <c r="G2028" i="34"/>
  <c r="J2028" i="34"/>
  <c r="M2028" i="34"/>
  <c r="P2028" i="34"/>
  <c r="S2028" i="34"/>
  <c r="V2028" i="34"/>
  <c r="Y2028" i="34"/>
  <c r="D2029" i="34"/>
  <c r="G2029" i="34"/>
  <c r="J2029" i="34"/>
  <c r="M2029" i="34"/>
  <c r="P2029" i="34"/>
  <c r="S2029" i="34"/>
  <c r="V2029" i="34"/>
  <c r="Y2029" i="34"/>
  <c r="D2030" i="34"/>
  <c r="G2030" i="34"/>
  <c r="J2030" i="34"/>
  <c r="M2030" i="34"/>
  <c r="P2030" i="34"/>
  <c r="S2030" i="34"/>
  <c r="V2030" i="34"/>
  <c r="Y2030" i="34"/>
  <c r="D2031" i="34"/>
  <c r="G2031" i="34"/>
  <c r="J2031" i="34"/>
  <c r="M2031" i="34"/>
  <c r="P2031" i="34"/>
  <c r="S2031" i="34"/>
  <c r="V2031" i="34"/>
  <c r="Y2031" i="34"/>
  <c r="D2032" i="34"/>
  <c r="G2032" i="34"/>
  <c r="J2032" i="34"/>
  <c r="M2032" i="34"/>
  <c r="P2032" i="34"/>
  <c r="S2032" i="34"/>
  <c r="V2032" i="34"/>
  <c r="Y2032" i="34"/>
  <c r="D2033" i="34"/>
  <c r="G2033" i="34"/>
  <c r="J2033" i="34"/>
  <c r="M2033" i="34"/>
  <c r="P2033" i="34"/>
  <c r="S2033" i="34"/>
  <c r="V2033" i="34"/>
  <c r="Y2033" i="34"/>
  <c r="D2034" i="34"/>
  <c r="G2034" i="34"/>
  <c r="J2034" i="34"/>
  <c r="M2034" i="34"/>
  <c r="P2034" i="34"/>
  <c r="S2034" i="34"/>
  <c r="V2034" i="34"/>
  <c r="Y2034" i="34"/>
  <c r="D2035" i="34"/>
  <c r="G2035" i="34"/>
  <c r="J2035" i="34"/>
  <c r="M2035" i="34"/>
  <c r="P2035" i="34"/>
  <c r="S2035" i="34"/>
  <c r="V2035" i="34"/>
  <c r="Y2035" i="34"/>
  <c r="D2036" i="34"/>
  <c r="G2036" i="34"/>
  <c r="J2036" i="34"/>
  <c r="M2036" i="34"/>
  <c r="P2036" i="34"/>
  <c r="S2036" i="34"/>
  <c r="V2036" i="34"/>
  <c r="Y2036" i="34"/>
  <c r="D2037" i="34"/>
  <c r="G2037" i="34"/>
  <c r="J2037" i="34"/>
  <c r="M2037" i="34"/>
  <c r="P2037" i="34"/>
  <c r="S2037" i="34"/>
  <c r="V2037" i="34"/>
  <c r="Y2037" i="34"/>
  <c r="D2038" i="34"/>
  <c r="G2038" i="34"/>
  <c r="J2038" i="34"/>
  <c r="M2038" i="34"/>
  <c r="P2038" i="34"/>
  <c r="S2038" i="34"/>
  <c r="V2038" i="34"/>
  <c r="Y2038" i="34"/>
  <c r="D2039" i="34"/>
  <c r="G2039" i="34"/>
  <c r="J2039" i="34"/>
  <c r="M2039" i="34"/>
  <c r="P2039" i="34"/>
  <c r="S2039" i="34"/>
  <c r="V2039" i="34"/>
  <c r="Y2039" i="34"/>
  <c r="D2040" i="34"/>
  <c r="G2040" i="34"/>
  <c r="J2040" i="34"/>
  <c r="M2040" i="34"/>
  <c r="P2040" i="34"/>
  <c r="S2040" i="34"/>
  <c r="V2040" i="34"/>
  <c r="Y2040" i="34"/>
  <c r="D2041" i="34"/>
  <c r="G2041" i="34"/>
  <c r="J2041" i="34"/>
  <c r="M2041" i="34"/>
  <c r="P2041" i="34"/>
  <c r="S2041" i="34"/>
  <c r="V2041" i="34"/>
  <c r="Y2041" i="34"/>
  <c r="D2042" i="34"/>
  <c r="G2042" i="34"/>
  <c r="J2042" i="34"/>
  <c r="M2042" i="34"/>
  <c r="P2042" i="34"/>
  <c r="S2042" i="34"/>
  <c r="V2042" i="34"/>
  <c r="Y2042" i="34"/>
  <c r="D2043" i="34"/>
  <c r="G2043" i="34"/>
  <c r="J2043" i="34"/>
  <c r="M2043" i="34"/>
  <c r="P2043" i="34"/>
  <c r="S2043" i="34"/>
  <c r="V2043" i="34"/>
  <c r="Y2043" i="34"/>
  <c r="D2044" i="34"/>
  <c r="G2044" i="34"/>
  <c r="J2044" i="34"/>
  <c r="M2044" i="34"/>
  <c r="P2044" i="34"/>
  <c r="S2044" i="34"/>
  <c r="V2044" i="34"/>
  <c r="Y2044" i="34"/>
  <c r="D2045" i="34"/>
  <c r="G2045" i="34"/>
  <c r="J2045" i="34"/>
  <c r="M2045" i="34"/>
  <c r="P2045" i="34"/>
  <c r="S2045" i="34"/>
  <c r="V2045" i="34"/>
  <c r="Y2045" i="34"/>
  <c r="D2046" i="34"/>
  <c r="G2046" i="34"/>
  <c r="J2046" i="34"/>
  <c r="M2046" i="34"/>
  <c r="P2046" i="34"/>
  <c r="S2046" i="34"/>
  <c r="V2046" i="34"/>
  <c r="Y2046" i="34"/>
  <c r="D2047" i="34"/>
  <c r="G2047" i="34"/>
  <c r="J2047" i="34"/>
  <c r="M2047" i="34"/>
  <c r="P2047" i="34"/>
  <c r="S2047" i="34"/>
  <c r="V2047" i="34"/>
  <c r="Y2047" i="34"/>
  <c r="D2048" i="34"/>
  <c r="G2048" i="34"/>
  <c r="J2048" i="34"/>
  <c r="M2048" i="34"/>
  <c r="P2048" i="34"/>
  <c r="S2048" i="34"/>
  <c r="V2048" i="34"/>
  <c r="Y2048" i="34"/>
  <c r="D2049" i="34"/>
  <c r="G2049" i="34"/>
  <c r="J2049" i="34"/>
  <c r="M2049" i="34"/>
  <c r="P2049" i="34"/>
  <c r="S2049" i="34"/>
  <c r="V2049" i="34"/>
  <c r="Y2049" i="34"/>
  <c r="D2050" i="34"/>
  <c r="G2050" i="34"/>
  <c r="J2050" i="34"/>
  <c r="M2050" i="34"/>
  <c r="P2050" i="34"/>
  <c r="S2050" i="34"/>
  <c r="V2050" i="34"/>
  <c r="Y2050" i="34"/>
  <c r="D2051" i="34"/>
  <c r="G2051" i="34"/>
  <c r="J2051" i="34"/>
  <c r="M2051" i="34"/>
  <c r="P2051" i="34"/>
  <c r="S2051" i="34"/>
  <c r="V2051" i="34"/>
  <c r="Y2051" i="34"/>
  <c r="D2052" i="34"/>
  <c r="G2052" i="34"/>
  <c r="J2052" i="34"/>
  <c r="M2052" i="34"/>
  <c r="P2052" i="34"/>
  <c r="S2052" i="34"/>
  <c r="V2052" i="34"/>
  <c r="Y2052" i="34"/>
  <c r="D2053" i="34"/>
  <c r="G2053" i="34"/>
  <c r="J2053" i="34"/>
  <c r="M2053" i="34"/>
  <c r="P2053" i="34"/>
  <c r="S2053" i="34"/>
  <c r="V2053" i="34"/>
  <c r="Y2053" i="34"/>
  <c r="D2054" i="34"/>
  <c r="G2054" i="34"/>
  <c r="J2054" i="34"/>
  <c r="M2054" i="34"/>
  <c r="P2054" i="34"/>
  <c r="S2054" i="34"/>
  <c r="V2054" i="34"/>
  <c r="Y2054" i="34"/>
  <c r="D2055" i="34"/>
  <c r="G2055" i="34"/>
  <c r="J2055" i="34"/>
  <c r="M2055" i="34"/>
  <c r="P2055" i="34"/>
  <c r="S2055" i="34"/>
  <c r="V2055" i="34"/>
  <c r="Y2055" i="34"/>
  <c r="D2056" i="34"/>
  <c r="G2056" i="34"/>
  <c r="J2056" i="34"/>
  <c r="M2056" i="34"/>
  <c r="P2056" i="34"/>
  <c r="S2056" i="34"/>
  <c r="V2056" i="34"/>
  <c r="Y2056" i="34"/>
  <c r="D2057" i="34"/>
  <c r="G2057" i="34"/>
  <c r="J2057" i="34"/>
  <c r="M2057" i="34"/>
  <c r="P2057" i="34"/>
  <c r="S2057" i="34"/>
  <c r="V2057" i="34"/>
  <c r="Y2057" i="34"/>
  <c r="D2058" i="34"/>
  <c r="G2058" i="34"/>
  <c r="J2058" i="34"/>
  <c r="M2058" i="34"/>
  <c r="P2058" i="34"/>
  <c r="S2058" i="34"/>
  <c r="V2058" i="34"/>
  <c r="Y2058" i="34"/>
  <c r="D2059" i="34"/>
  <c r="G2059" i="34"/>
  <c r="J2059" i="34"/>
  <c r="M2059" i="34"/>
  <c r="P2059" i="34"/>
  <c r="S2059" i="34"/>
  <c r="V2059" i="34"/>
  <c r="Y2059" i="34"/>
  <c r="D2060" i="34"/>
  <c r="G2060" i="34"/>
  <c r="J2060" i="34"/>
  <c r="M2060" i="34"/>
  <c r="P2060" i="34"/>
  <c r="S2060" i="34"/>
  <c r="V2060" i="34"/>
  <c r="Y2060" i="34"/>
  <c r="D2061" i="34"/>
  <c r="G2061" i="34"/>
  <c r="J2061" i="34"/>
  <c r="M2061" i="34"/>
  <c r="P2061" i="34"/>
  <c r="S2061" i="34"/>
  <c r="V2061" i="34"/>
  <c r="Y2061" i="34"/>
  <c r="D2062" i="34"/>
  <c r="G2062" i="34"/>
  <c r="J2062" i="34"/>
  <c r="M2062" i="34"/>
  <c r="P2062" i="34"/>
  <c r="S2062" i="34"/>
  <c r="V2062" i="34"/>
  <c r="Y2062" i="34"/>
  <c r="D2063" i="34"/>
  <c r="G2063" i="34"/>
  <c r="J2063" i="34"/>
  <c r="M2063" i="34"/>
  <c r="P2063" i="34"/>
  <c r="S2063" i="34"/>
  <c r="V2063" i="34"/>
  <c r="Y2063" i="34"/>
  <c r="D2064" i="34"/>
  <c r="G2064" i="34"/>
  <c r="J2064" i="34"/>
  <c r="M2064" i="34"/>
  <c r="P2064" i="34"/>
  <c r="S2064" i="34"/>
  <c r="V2064" i="34"/>
  <c r="Y2064" i="34"/>
  <c r="D2065" i="34"/>
  <c r="G2065" i="34"/>
  <c r="J2065" i="34"/>
  <c r="M2065" i="34"/>
  <c r="P2065" i="34"/>
  <c r="S2065" i="34"/>
  <c r="V2065" i="34"/>
  <c r="Y2065" i="34"/>
  <c r="D2066" i="34"/>
  <c r="G2066" i="34"/>
  <c r="J2066" i="34"/>
  <c r="M2066" i="34"/>
  <c r="P2066" i="34"/>
  <c r="S2066" i="34"/>
  <c r="V2066" i="34"/>
  <c r="Y2066" i="34"/>
  <c r="D2067" i="34"/>
  <c r="G2067" i="34"/>
  <c r="J2067" i="34"/>
  <c r="M2067" i="34"/>
  <c r="P2067" i="34"/>
  <c r="S2067" i="34"/>
  <c r="V2067" i="34"/>
  <c r="Y2067" i="34"/>
  <c r="D2068" i="34"/>
  <c r="G2068" i="34"/>
  <c r="J2068" i="34"/>
  <c r="M2068" i="34"/>
  <c r="P2068" i="34"/>
  <c r="S2068" i="34"/>
  <c r="V2068" i="34"/>
  <c r="Y2068" i="34"/>
  <c r="D2069" i="34"/>
  <c r="G2069" i="34"/>
  <c r="J2069" i="34"/>
  <c r="M2069" i="34"/>
  <c r="P2069" i="34"/>
  <c r="S2069" i="34"/>
  <c r="V2069" i="34"/>
  <c r="Y2069" i="34"/>
  <c r="D2070" i="34"/>
  <c r="G2070" i="34"/>
  <c r="J2070" i="34"/>
  <c r="M2070" i="34"/>
  <c r="P2070" i="34"/>
  <c r="S2070" i="34"/>
  <c r="V2070" i="34"/>
  <c r="Y2070" i="34"/>
  <c r="D2071" i="34"/>
  <c r="G2071" i="34"/>
  <c r="J2071" i="34"/>
  <c r="M2071" i="34"/>
  <c r="P2071" i="34"/>
  <c r="S2071" i="34"/>
  <c r="V2071" i="34"/>
  <c r="Y2071" i="34"/>
  <c r="D2072" i="34"/>
  <c r="G2072" i="34"/>
  <c r="J2072" i="34"/>
  <c r="M2072" i="34"/>
  <c r="P2072" i="34"/>
  <c r="S2072" i="34"/>
  <c r="V2072" i="34"/>
  <c r="Y2072" i="34"/>
  <c r="D2073" i="34"/>
  <c r="G2073" i="34"/>
  <c r="J2073" i="34"/>
  <c r="M2073" i="34"/>
  <c r="P2073" i="34"/>
  <c r="S2073" i="34"/>
  <c r="V2073" i="34"/>
  <c r="Y2073" i="34"/>
  <c r="D2074" i="34"/>
  <c r="G2074" i="34"/>
  <c r="J2074" i="34"/>
  <c r="M2074" i="34"/>
  <c r="P2074" i="34"/>
  <c r="S2074" i="34"/>
  <c r="V2074" i="34"/>
  <c r="Y2074" i="34"/>
  <c r="D2075" i="34"/>
  <c r="G2075" i="34"/>
  <c r="J2075" i="34"/>
  <c r="M2075" i="34"/>
  <c r="P2075" i="34"/>
  <c r="S2075" i="34"/>
  <c r="V2075" i="34"/>
  <c r="Y2075" i="34"/>
  <c r="D2076" i="34"/>
  <c r="G2076" i="34"/>
  <c r="J2076" i="34"/>
  <c r="M2076" i="34"/>
  <c r="P2076" i="34"/>
  <c r="S2076" i="34"/>
  <c r="V2076" i="34"/>
  <c r="Y2076" i="34"/>
  <c r="D2077" i="34"/>
  <c r="G2077" i="34"/>
  <c r="J2077" i="34"/>
  <c r="M2077" i="34"/>
  <c r="P2077" i="34"/>
  <c r="S2077" i="34"/>
  <c r="V2077" i="34"/>
  <c r="Y2077" i="34"/>
  <c r="D2078" i="34"/>
  <c r="G2078" i="34"/>
  <c r="J2078" i="34"/>
  <c r="M2078" i="34"/>
  <c r="P2078" i="34"/>
  <c r="S2078" i="34"/>
  <c r="V2078" i="34"/>
  <c r="Y2078" i="34"/>
  <c r="D2079" i="34"/>
  <c r="G2079" i="34"/>
  <c r="J2079" i="34"/>
  <c r="M2079" i="34"/>
  <c r="P2079" i="34"/>
  <c r="S2079" i="34"/>
  <c r="V2079" i="34"/>
  <c r="Y2079" i="34"/>
  <c r="D2080" i="34"/>
  <c r="G2080" i="34"/>
  <c r="J2080" i="34"/>
  <c r="M2080" i="34"/>
  <c r="P2080" i="34"/>
  <c r="S2080" i="34"/>
  <c r="V2080" i="34"/>
  <c r="Y2080" i="34"/>
  <c r="D2081" i="34"/>
  <c r="G2081" i="34"/>
  <c r="J2081" i="34"/>
  <c r="M2081" i="34"/>
  <c r="P2081" i="34"/>
  <c r="S2081" i="34"/>
  <c r="V2081" i="34"/>
  <c r="Y2081" i="34"/>
  <c r="D2082" i="34"/>
  <c r="G2082" i="34"/>
  <c r="J2082" i="34"/>
  <c r="M2082" i="34"/>
  <c r="P2082" i="34"/>
  <c r="S2082" i="34"/>
  <c r="V2082" i="34"/>
  <c r="Y2082" i="34"/>
  <c r="D2083" i="34"/>
  <c r="G2083" i="34"/>
  <c r="J2083" i="34"/>
  <c r="M2083" i="34"/>
  <c r="P2083" i="34"/>
  <c r="S2083" i="34"/>
  <c r="V2083" i="34"/>
  <c r="Y2083" i="34"/>
  <c r="D2084" i="34"/>
  <c r="G2084" i="34"/>
  <c r="J2084" i="34"/>
  <c r="M2084" i="34"/>
  <c r="P2084" i="34"/>
  <c r="S2084" i="34"/>
  <c r="V2084" i="34"/>
  <c r="Y2084" i="34"/>
  <c r="D2085" i="34"/>
  <c r="G2085" i="34"/>
  <c r="J2085" i="34"/>
  <c r="M2085" i="34"/>
  <c r="P2085" i="34"/>
  <c r="S2085" i="34"/>
  <c r="V2085" i="34"/>
  <c r="Y2085" i="34"/>
  <c r="D2086" i="34"/>
  <c r="G2086" i="34"/>
  <c r="J2086" i="34"/>
  <c r="M2086" i="34"/>
  <c r="P2086" i="34"/>
  <c r="S2086" i="34"/>
  <c r="V2086" i="34"/>
  <c r="Y2086" i="34"/>
  <c r="D2087" i="34"/>
  <c r="G2087" i="34"/>
  <c r="J2087" i="34"/>
  <c r="M2087" i="34"/>
  <c r="P2087" i="34"/>
  <c r="S2087" i="34"/>
  <c r="V2087" i="34"/>
  <c r="Y2087" i="34"/>
  <c r="D2088" i="34"/>
  <c r="G2088" i="34"/>
  <c r="J2088" i="34"/>
  <c r="M2088" i="34"/>
  <c r="P2088" i="34"/>
  <c r="S2088" i="34"/>
  <c r="V2088" i="34"/>
  <c r="Y2088" i="34"/>
  <c r="D2089" i="34"/>
  <c r="G2089" i="34"/>
  <c r="J2089" i="34"/>
  <c r="M2089" i="34"/>
  <c r="P2089" i="34"/>
  <c r="S2089" i="34"/>
  <c r="V2089" i="34"/>
  <c r="Y2089" i="34"/>
  <c r="D2090" i="34"/>
  <c r="G2090" i="34"/>
  <c r="J2090" i="34"/>
  <c r="M2090" i="34"/>
  <c r="P2090" i="34"/>
  <c r="S2090" i="34"/>
  <c r="V2090" i="34"/>
  <c r="Y2090" i="34"/>
  <c r="D2091" i="34"/>
  <c r="G2091" i="34"/>
  <c r="J2091" i="34"/>
  <c r="M2091" i="34"/>
  <c r="P2091" i="34"/>
  <c r="S2091" i="34"/>
  <c r="V2091" i="34"/>
  <c r="Y2091" i="34"/>
  <c r="D2092" i="34"/>
  <c r="G2092" i="34"/>
  <c r="J2092" i="34"/>
  <c r="M2092" i="34"/>
  <c r="P2092" i="34"/>
  <c r="S2092" i="34"/>
  <c r="V2092" i="34"/>
  <c r="Y2092" i="34"/>
  <c r="D2093" i="34"/>
  <c r="G2093" i="34"/>
  <c r="J2093" i="34"/>
  <c r="M2093" i="34"/>
  <c r="P2093" i="34"/>
  <c r="S2093" i="34"/>
  <c r="V2093" i="34"/>
  <c r="Y2093" i="34"/>
  <c r="D2094" i="34"/>
  <c r="G2094" i="34"/>
  <c r="J2094" i="34"/>
  <c r="M2094" i="34"/>
  <c r="P2094" i="34"/>
  <c r="S2094" i="34"/>
  <c r="V2094" i="34"/>
  <c r="Y2094" i="34"/>
  <c r="D2095" i="34"/>
  <c r="G2095" i="34"/>
  <c r="J2095" i="34"/>
  <c r="M2095" i="34"/>
  <c r="P2095" i="34"/>
  <c r="S2095" i="34"/>
  <c r="V2095" i="34"/>
  <c r="Y2095" i="34"/>
  <c r="D2096" i="34"/>
  <c r="G2096" i="34"/>
  <c r="J2096" i="34"/>
  <c r="M2096" i="34"/>
  <c r="P2096" i="34"/>
  <c r="S2096" i="34"/>
  <c r="V2096" i="34"/>
  <c r="Y2096" i="34"/>
  <c r="D2097" i="34"/>
  <c r="G2097" i="34"/>
  <c r="J2097" i="34"/>
  <c r="M2097" i="34"/>
  <c r="P2097" i="34"/>
  <c r="S2097" i="34"/>
  <c r="V2097" i="34"/>
  <c r="Y2097" i="34"/>
  <c r="D2098" i="34"/>
  <c r="G2098" i="34"/>
  <c r="J2098" i="34"/>
  <c r="M2098" i="34"/>
  <c r="P2098" i="34"/>
  <c r="S2098" i="34"/>
  <c r="V2098" i="34"/>
  <c r="Y2098" i="34"/>
  <c r="D2099" i="34"/>
  <c r="G2099" i="34"/>
  <c r="J2099" i="34"/>
  <c r="M2099" i="34"/>
  <c r="P2099" i="34"/>
  <c r="S2099" i="34"/>
  <c r="V2099" i="34"/>
  <c r="Y2099" i="34"/>
  <c r="D2100" i="34"/>
  <c r="G2100" i="34"/>
  <c r="J2100" i="34"/>
  <c r="M2100" i="34"/>
  <c r="P2100" i="34"/>
  <c r="S2100" i="34"/>
  <c r="V2100" i="34"/>
  <c r="Y2100" i="34"/>
  <c r="D2101" i="34"/>
  <c r="G2101" i="34"/>
  <c r="J2101" i="34"/>
  <c r="M2101" i="34"/>
  <c r="P2101" i="34"/>
  <c r="S2101" i="34"/>
  <c r="V2101" i="34"/>
  <c r="Y2101" i="34"/>
  <c r="D2102" i="34"/>
  <c r="G2102" i="34"/>
  <c r="J2102" i="34"/>
  <c r="M2102" i="34"/>
  <c r="P2102" i="34"/>
  <c r="S2102" i="34"/>
  <c r="V2102" i="34"/>
  <c r="Y2102" i="34"/>
  <c r="D2103" i="34"/>
  <c r="G2103" i="34"/>
  <c r="J2103" i="34"/>
  <c r="M2103" i="34"/>
  <c r="P2103" i="34"/>
  <c r="S2103" i="34"/>
  <c r="V2103" i="34"/>
  <c r="Y2103" i="34"/>
  <c r="D2104" i="34"/>
  <c r="G2104" i="34"/>
  <c r="J2104" i="34"/>
  <c r="M2104" i="34"/>
  <c r="P2104" i="34"/>
  <c r="S2104" i="34"/>
  <c r="V2104" i="34"/>
  <c r="Y2104" i="34"/>
  <c r="D2105" i="34"/>
  <c r="G2105" i="34"/>
  <c r="J2105" i="34"/>
  <c r="M2105" i="34"/>
  <c r="P2105" i="34"/>
  <c r="S2105" i="34"/>
  <c r="V2105" i="34"/>
  <c r="Y2105" i="34"/>
  <c r="D2106" i="34"/>
  <c r="G2106" i="34"/>
  <c r="J2106" i="34"/>
  <c r="M2106" i="34"/>
  <c r="P2106" i="34"/>
  <c r="S2106" i="34"/>
  <c r="V2106" i="34"/>
  <c r="Y2106" i="34"/>
  <c r="D2107" i="34"/>
  <c r="G2107" i="34"/>
  <c r="J2107" i="34"/>
  <c r="M2107" i="34"/>
  <c r="P2107" i="34"/>
  <c r="S2107" i="34"/>
  <c r="V2107" i="34"/>
  <c r="Y2107" i="34"/>
  <c r="D2108" i="34"/>
  <c r="G2108" i="34"/>
  <c r="J2108" i="34"/>
  <c r="M2108" i="34"/>
  <c r="P2108" i="34"/>
  <c r="S2108" i="34"/>
  <c r="V2108" i="34"/>
  <c r="Y2108" i="34"/>
  <c r="D2109" i="34"/>
  <c r="G2109" i="34"/>
  <c r="J2109" i="34"/>
  <c r="M2109" i="34"/>
  <c r="P2109" i="34"/>
  <c r="S2109" i="34"/>
  <c r="V2109" i="34"/>
  <c r="Y2109" i="34"/>
  <c r="D2110" i="34"/>
  <c r="G2110" i="34"/>
  <c r="J2110" i="34"/>
  <c r="M2110" i="34"/>
  <c r="P2110" i="34"/>
  <c r="S2110" i="34"/>
  <c r="V2110" i="34"/>
  <c r="Y2110" i="34"/>
  <c r="D2111" i="34"/>
  <c r="G2111" i="34"/>
  <c r="J2111" i="34"/>
  <c r="M2111" i="34"/>
  <c r="P2111" i="34"/>
  <c r="S2111" i="34"/>
  <c r="V2111" i="34"/>
  <c r="Y2111" i="34"/>
  <c r="D2112" i="34"/>
  <c r="G2112" i="34"/>
  <c r="J2112" i="34"/>
  <c r="M2112" i="34"/>
  <c r="P2112" i="34"/>
  <c r="S2112" i="34"/>
  <c r="V2112" i="34"/>
  <c r="Y2112" i="34"/>
  <c r="D2113" i="34"/>
  <c r="G2113" i="34"/>
  <c r="J2113" i="34"/>
  <c r="M2113" i="34"/>
  <c r="P2113" i="34"/>
  <c r="S2113" i="34"/>
  <c r="V2113" i="34"/>
  <c r="Y2113" i="34"/>
  <c r="D2114" i="34"/>
  <c r="G2114" i="34"/>
  <c r="J2114" i="34"/>
  <c r="M2114" i="34"/>
  <c r="P2114" i="34"/>
  <c r="S2114" i="34"/>
  <c r="V2114" i="34"/>
  <c r="Y2114" i="34"/>
  <c r="D2115" i="34"/>
  <c r="G2115" i="34"/>
  <c r="J2115" i="34"/>
  <c r="M2115" i="34"/>
  <c r="P2115" i="34"/>
  <c r="S2115" i="34"/>
  <c r="V2115" i="34"/>
  <c r="Y2115" i="34"/>
  <c r="D2116" i="34"/>
  <c r="G2116" i="34"/>
  <c r="J2116" i="34"/>
  <c r="M2116" i="34"/>
  <c r="P2116" i="34"/>
  <c r="S2116" i="34"/>
  <c r="V2116" i="34"/>
  <c r="Y2116" i="34"/>
  <c r="D2117" i="34"/>
  <c r="G2117" i="34"/>
  <c r="J2117" i="34"/>
  <c r="M2117" i="34"/>
  <c r="P2117" i="34"/>
  <c r="S2117" i="34"/>
  <c r="V2117" i="34"/>
  <c r="Y2117" i="34"/>
  <c r="D2118" i="34"/>
  <c r="G2118" i="34"/>
  <c r="J2118" i="34"/>
  <c r="M2118" i="34"/>
  <c r="P2118" i="34"/>
  <c r="S2118" i="34"/>
  <c r="V2118" i="34"/>
  <c r="Y2118" i="34"/>
  <c r="D2119" i="34"/>
  <c r="G2119" i="34"/>
  <c r="J2119" i="34"/>
  <c r="M2119" i="34"/>
  <c r="P2119" i="34"/>
  <c r="S2119" i="34"/>
  <c r="V2119" i="34"/>
  <c r="Y2119" i="34"/>
  <c r="D2120" i="34"/>
  <c r="G2120" i="34"/>
  <c r="J2120" i="34"/>
  <c r="M2120" i="34"/>
  <c r="P2120" i="34"/>
  <c r="S2120" i="34"/>
  <c r="V2120" i="34"/>
  <c r="Y2120" i="34"/>
  <c r="D2121" i="34"/>
  <c r="G2121" i="34"/>
  <c r="J2121" i="34"/>
  <c r="M2121" i="34"/>
  <c r="P2121" i="34"/>
  <c r="S2121" i="34"/>
  <c r="V2121" i="34"/>
  <c r="Y2121" i="34"/>
  <c r="D2122" i="34"/>
  <c r="G2122" i="34"/>
  <c r="J2122" i="34"/>
  <c r="M2122" i="34"/>
  <c r="P2122" i="34"/>
  <c r="S2122" i="34"/>
  <c r="V2122" i="34"/>
  <c r="Y2122" i="34"/>
  <c r="D2123" i="34"/>
  <c r="G2123" i="34"/>
  <c r="J2123" i="34"/>
  <c r="M2123" i="34"/>
  <c r="P2123" i="34"/>
  <c r="S2123" i="34"/>
  <c r="V2123" i="34"/>
  <c r="Y2123" i="34"/>
  <c r="D2124" i="34"/>
  <c r="G2124" i="34"/>
  <c r="J2124" i="34"/>
  <c r="M2124" i="34"/>
  <c r="P2124" i="34"/>
  <c r="S2124" i="34"/>
  <c r="V2124" i="34"/>
  <c r="Y2124" i="34"/>
  <c r="D2125" i="34"/>
  <c r="G2125" i="34"/>
  <c r="J2125" i="34"/>
  <c r="M2125" i="34"/>
  <c r="P2125" i="34"/>
  <c r="S2125" i="34"/>
  <c r="V2125" i="34"/>
  <c r="Y2125" i="34"/>
  <c r="D2126" i="34"/>
  <c r="G2126" i="34"/>
  <c r="J2126" i="34"/>
  <c r="M2126" i="34"/>
  <c r="P2126" i="34"/>
  <c r="S2126" i="34"/>
  <c r="V2126" i="34"/>
  <c r="Y2126" i="34"/>
  <c r="D2127" i="34"/>
  <c r="G2127" i="34"/>
  <c r="J2127" i="34"/>
  <c r="M2127" i="34"/>
  <c r="P2127" i="34"/>
  <c r="S2127" i="34"/>
  <c r="V2127" i="34"/>
  <c r="Y2127" i="34"/>
  <c r="D2128" i="34"/>
  <c r="G2128" i="34"/>
  <c r="J2128" i="34"/>
  <c r="M2128" i="34"/>
  <c r="P2128" i="34"/>
  <c r="S2128" i="34"/>
  <c r="V2128" i="34"/>
  <c r="Y2128" i="34"/>
  <c r="D2129" i="34"/>
  <c r="G2129" i="34"/>
  <c r="J2129" i="34"/>
  <c r="M2129" i="34"/>
  <c r="P2129" i="34"/>
  <c r="S2129" i="34"/>
  <c r="V2129" i="34"/>
  <c r="Y2129" i="34"/>
  <c r="D2130" i="34"/>
  <c r="G2130" i="34"/>
  <c r="J2130" i="34"/>
  <c r="M2130" i="34"/>
  <c r="P2130" i="34"/>
  <c r="S2130" i="34"/>
  <c r="V2130" i="34"/>
  <c r="Y2130" i="34"/>
  <c r="D2131" i="34"/>
  <c r="G2131" i="34"/>
  <c r="J2131" i="34"/>
  <c r="M2131" i="34"/>
  <c r="P2131" i="34"/>
  <c r="S2131" i="34"/>
  <c r="V2131" i="34"/>
  <c r="Y2131" i="34"/>
  <c r="D2132" i="34"/>
  <c r="G2132" i="34"/>
  <c r="J2132" i="34"/>
  <c r="M2132" i="34"/>
  <c r="P2132" i="34"/>
  <c r="S2132" i="34"/>
  <c r="V2132" i="34"/>
  <c r="Y2132" i="34"/>
  <c r="D2133" i="34"/>
  <c r="G2133" i="34"/>
  <c r="J2133" i="34"/>
  <c r="M2133" i="34"/>
  <c r="P2133" i="34"/>
  <c r="S2133" i="34"/>
  <c r="V2133" i="34"/>
  <c r="Y2133" i="34"/>
  <c r="D2134" i="34"/>
  <c r="G2134" i="34"/>
  <c r="J2134" i="34"/>
  <c r="M2134" i="34"/>
  <c r="P2134" i="34"/>
  <c r="S2134" i="34"/>
  <c r="V2134" i="34"/>
  <c r="Y2134" i="34"/>
  <c r="D2135" i="34"/>
  <c r="G2135" i="34"/>
  <c r="J2135" i="34"/>
  <c r="M2135" i="34"/>
  <c r="P2135" i="34"/>
  <c r="S2135" i="34"/>
  <c r="V2135" i="34"/>
  <c r="Y2135" i="34"/>
  <c r="D2136" i="34"/>
  <c r="G2136" i="34"/>
  <c r="J2136" i="34"/>
  <c r="M2136" i="34"/>
  <c r="P2136" i="34"/>
  <c r="S2136" i="34"/>
  <c r="V2136" i="34"/>
  <c r="Y2136" i="34"/>
  <c r="D2137" i="34"/>
  <c r="G2137" i="34"/>
  <c r="J2137" i="34"/>
  <c r="M2137" i="34"/>
  <c r="P2137" i="34"/>
  <c r="S2137" i="34"/>
  <c r="V2137" i="34"/>
  <c r="Y2137" i="34"/>
  <c r="D2138" i="34"/>
  <c r="G2138" i="34"/>
  <c r="J2138" i="34"/>
  <c r="M2138" i="34"/>
  <c r="P2138" i="34"/>
  <c r="S2138" i="34"/>
  <c r="V2138" i="34"/>
  <c r="Y2138" i="34"/>
  <c r="D2139" i="34"/>
  <c r="G2139" i="34"/>
  <c r="J2139" i="34"/>
  <c r="M2139" i="34"/>
  <c r="P2139" i="34"/>
  <c r="S2139" i="34"/>
  <c r="V2139" i="34"/>
  <c r="Y2139" i="34"/>
  <c r="D2140" i="34"/>
  <c r="G2140" i="34"/>
  <c r="J2140" i="34"/>
  <c r="M2140" i="34"/>
  <c r="P2140" i="34"/>
  <c r="S2140" i="34"/>
  <c r="V2140" i="34"/>
  <c r="Y2140" i="34"/>
  <c r="D2141" i="34"/>
  <c r="G2141" i="34"/>
  <c r="J2141" i="34"/>
  <c r="M2141" i="34"/>
  <c r="P2141" i="34"/>
  <c r="S2141" i="34"/>
  <c r="V2141" i="34"/>
  <c r="Y2141" i="34"/>
  <c r="D2142" i="34"/>
  <c r="G2142" i="34"/>
  <c r="J2142" i="34"/>
  <c r="M2142" i="34"/>
  <c r="P2142" i="34"/>
  <c r="S2142" i="34"/>
  <c r="V2142" i="34"/>
  <c r="Y2142" i="34"/>
  <c r="D2143" i="34"/>
  <c r="G2143" i="34"/>
  <c r="J2143" i="34"/>
  <c r="M2143" i="34"/>
  <c r="P2143" i="34"/>
  <c r="S2143" i="34"/>
  <c r="V2143" i="34"/>
  <c r="Y2143" i="34"/>
  <c r="D2144" i="34"/>
  <c r="G2144" i="34"/>
  <c r="J2144" i="34"/>
  <c r="M2144" i="34"/>
  <c r="P2144" i="34"/>
  <c r="S2144" i="34"/>
  <c r="V2144" i="34"/>
  <c r="Y2144" i="34"/>
  <c r="D2145" i="34"/>
  <c r="G2145" i="34"/>
  <c r="J2145" i="34"/>
  <c r="M2145" i="34"/>
  <c r="P2145" i="34"/>
  <c r="S2145" i="34"/>
  <c r="V2145" i="34"/>
  <c r="Y2145" i="34"/>
  <c r="D2146" i="34"/>
  <c r="G2146" i="34"/>
  <c r="J2146" i="34"/>
  <c r="M2146" i="34"/>
  <c r="P2146" i="34"/>
  <c r="S2146" i="34"/>
  <c r="V2146" i="34"/>
  <c r="Y2146" i="34"/>
  <c r="D2147" i="34"/>
  <c r="G2147" i="34"/>
  <c r="J2147" i="34"/>
  <c r="M2147" i="34"/>
  <c r="P2147" i="34"/>
  <c r="S2147" i="34"/>
  <c r="V2147" i="34"/>
  <c r="Y2147" i="34"/>
  <c r="D2148" i="34"/>
  <c r="G2148" i="34"/>
  <c r="J2148" i="34"/>
  <c r="M2148" i="34"/>
  <c r="P2148" i="34"/>
  <c r="S2148" i="34"/>
  <c r="V2148" i="34"/>
  <c r="Y2148" i="34"/>
  <c r="D2149" i="34"/>
  <c r="G2149" i="34"/>
  <c r="J2149" i="34"/>
  <c r="M2149" i="34"/>
  <c r="P2149" i="34"/>
  <c r="S2149" i="34"/>
  <c r="V2149" i="34"/>
  <c r="Y2149" i="34"/>
  <c r="D2150" i="34"/>
  <c r="G2150" i="34"/>
  <c r="J2150" i="34"/>
  <c r="M2150" i="34"/>
  <c r="P2150" i="34"/>
  <c r="S2150" i="34"/>
  <c r="V2150" i="34"/>
  <c r="Y2150" i="34"/>
  <c r="D2151" i="34"/>
  <c r="G2151" i="34"/>
  <c r="J2151" i="34"/>
  <c r="M2151" i="34"/>
  <c r="P2151" i="34"/>
  <c r="S2151" i="34"/>
  <c r="V2151" i="34"/>
  <c r="Y2151" i="34"/>
  <c r="D2152" i="34"/>
  <c r="G2152" i="34"/>
  <c r="J2152" i="34"/>
  <c r="M2152" i="34"/>
  <c r="P2152" i="34"/>
  <c r="S2152" i="34"/>
  <c r="V2152" i="34"/>
  <c r="Y2152" i="34"/>
  <c r="D2153" i="34"/>
  <c r="G2153" i="34"/>
  <c r="J2153" i="34"/>
  <c r="M2153" i="34"/>
  <c r="P2153" i="34"/>
  <c r="S2153" i="34"/>
  <c r="V2153" i="34"/>
  <c r="Y2153" i="34"/>
  <c r="D2154" i="34"/>
  <c r="G2154" i="34"/>
  <c r="J2154" i="34"/>
  <c r="M2154" i="34"/>
  <c r="P2154" i="34"/>
  <c r="S2154" i="34"/>
  <c r="V2154" i="34"/>
  <c r="Y2154" i="34"/>
  <c r="D2155" i="34"/>
  <c r="G2155" i="34"/>
  <c r="J2155" i="34"/>
  <c r="M2155" i="34"/>
  <c r="P2155" i="34"/>
  <c r="S2155" i="34"/>
  <c r="V2155" i="34"/>
  <c r="Y2155" i="34"/>
  <c r="D2156" i="34"/>
  <c r="G2156" i="34"/>
  <c r="J2156" i="34"/>
  <c r="M2156" i="34"/>
  <c r="P2156" i="34"/>
  <c r="S2156" i="34"/>
  <c r="V2156" i="34"/>
  <c r="Y2156" i="34"/>
  <c r="D2157" i="34"/>
  <c r="G2157" i="34"/>
  <c r="J2157" i="34"/>
  <c r="M2157" i="34"/>
  <c r="P2157" i="34"/>
  <c r="S2157" i="34"/>
  <c r="V2157" i="34"/>
  <c r="Y2157" i="34"/>
  <c r="D2158" i="34"/>
  <c r="G2158" i="34"/>
  <c r="J2158" i="34"/>
  <c r="M2158" i="34"/>
  <c r="P2158" i="34"/>
  <c r="S2158" i="34"/>
  <c r="V2158" i="34"/>
  <c r="Y2158" i="34"/>
  <c r="D2159" i="34"/>
  <c r="G2159" i="34"/>
  <c r="J2159" i="34"/>
  <c r="M2159" i="34"/>
  <c r="P2159" i="34"/>
  <c r="S2159" i="34"/>
  <c r="V2159" i="34"/>
  <c r="Y2159" i="34"/>
  <c r="D2160" i="34"/>
  <c r="G2160" i="34"/>
  <c r="J2160" i="34"/>
  <c r="M2160" i="34"/>
  <c r="P2160" i="34"/>
  <c r="S2160" i="34"/>
  <c r="V2160" i="34"/>
  <c r="Y2160" i="34"/>
  <c r="D2161" i="34"/>
  <c r="G2161" i="34"/>
  <c r="J2161" i="34"/>
  <c r="M2161" i="34"/>
  <c r="P2161" i="34"/>
  <c r="S2161" i="34"/>
  <c r="V2161" i="34"/>
  <c r="Y2161" i="34"/>
  <c r="D2162" i="34"/>
  <c r="G2162" i="34"/>
  <c r="J2162" i="34"/>
  <c r="M2162" i="34"/>
  <c r="P2162" i="34"/>
  <c r="S2162" i="34"/>
  <c r="V2162" i="34"/>
  <c r="Y2162" i="34"/>
  <c r="D2163" i="34"/>
  <c r="G2163" i="34"/>
  <c r="J2163" i="34"/>
  <c r="M2163" i="34"/>
  <c r="P2163" i="34"/>
  <c r="S2163" i="34"/>
  <c r="V2163" i="34"/>
  <c r="Y2163" i="34"/>
  <c r="D2164" i="34"/>
  <c r="G2164" i="34"/>
  <c r="J2164" i="34"/>
  <c r="M2164" i="34"/>
  <c r="P2164" i="34"/>
  <c r="S2164" i="34"/>
  <c r="V2164" i="34"/>
  <c r="Y2164" i="34"/>
  <c r="D2165" i="34"/>
  <c r="G2165" i="34"/>
  <c r="J2165" i="34"/>
  <c r="M2165" i="34"/>
  <c r="P2165" i="34"/>
  <c r="S2165" i="34"/>
  <c r="V2165" i="34"/>
  <c r="Y2165" i="34"/>
  <c r="D2166" i="34"/>
  <c r="G2166" i="34"/>
  <c r="J2166" i="34"/>
  <c r="M2166" i="34"/>
  <c r="P2166" i="34"/>
  <c r="S2166" i="34"/>
  <c r="V2166" i="34"/>
  <c r="Y2166" i="34"/>
  <c r="D2167" i="34"/>
  <c r="G2167" i="34"/>
  <c r="J2167" i="34"/>
  <c r="M2167" i="34"/>
  <c r="P2167" i="34"/>
  <c r="S2167" i="34"/>
  <c r="V2167" i="34"/>
  <c r="Y2167" i="34"/>
  <c r="D2168" i="34"/>
  <c r="G2168" i="34"/>
  <c r="J2168" i="34"/>
  <c r="M2168" i="34"/>
  <c r="P2168" i="34"/>
  <c r="S2168" i="34"/>
  <c r="V2168" i="34"/>
  <c r="Y2168" i="34"/>
  <c r="D2169" i="34"/>
  <c r="G2169" i="34"/>
  <c r="J2169" i="34"/>
  <c r="M2169" i="34"/>
  <c r="P2169" i="34"/>
  <c r="S2169" i="34"/>
  <c r="V2169" i="34"/>
  <c r="Y2169" i="34"/>
  <c r="D2170" i="34"/>
  <c r="G2170" i="34"/>
  <c r="J2170" i="34"/>
  <c r="M2170" i="34"/>
  <c r="P2170" i="34"/>
  <c r="S2170" i="34"/>
  <c r="V2170" i="34"/>
  <c r="Y2170" i="34"/>
  <c r="D2171" i="34"/>
  <c r="G2171" i="34"/>
  <c r="J2171" i="34"/>
  <c r="M2171" i="34"/>
  <c r="P2171" i="34"/>
  <c r="S2171" i="34"/>
  <c r="V2171" i="34"/>
  <c r="Y2171" i="34"/>
  <c r="D2172" i="34"/>
  <c r="G2172" i="34"/>
  <c r="J2172" i="34"/>
  <c r="M2172" i="34"/>
  <c r="P2172" i="34"/>
  <c r="S2172" i="34"/>
  <c r="V2172" i="34"/>
  <c r="Y2172" i="34"/>
  <c r="D2173" i="34"/>
  <c r="G2173" i="34"/>
  <c r="J2173" i="34"/>
  <c r="M2173" i="34"/>
  <c r="P2173" i="34"/>
  <c r="S2173" i="34"/>
  <c r="V2173" i="34"/>
  <c r="Y2173" i="34"/>
  <c r="D2174" i="34"/>
  <c r="G2174" i="34"/>
  <c r="J2174" i="34"/>
  <c r="M2174" i="34"/>
  <c r="P2174" i="34"/>
  <c r="S2174" i="34"/>
  <c r="V2174" i="34"/>
  <c r="Y2174" i="34"/>
  <c r="D2175" i="34"/>
  <c r="G2175" i="34"/>
  <c r="J2175" i="34"/>
  <c r="M2175" i="34"/>
  <c r="P2175" i="34"/>
  <c r="S2175" i="34"/>
  <c r="V2175" i="34"/>
  <c r="Y2175" i="34"/>
  <c r="D2176" i="34"/>
  <c r="G2176" i="34"/>
  <c r="J2176" i="34"/>
  <c r="M2176" i="34"/>
  <c r="P2176" i="34"/>
  <c r="S2176" i="34"/>
  <c r="V2176" i="34"/>
  <c r="Y2176" i="34"/>
  <c r="D2177" i="34"/>
  <c r="G2177" i="34"/>
  <c r="J2177" i="34"/>
  <c r="M2177" i="34"/>
  <c r="P2177" i="34"/>
  <c r="S2177" i="34"/>
  <c r="V2177" i="34"/>
  <c r="Y2177" i="34"/>
  <c r="D2178" i="34"/>
  <c r="G2178" i="34"/>
  <c r="J2178" i="34"/>
  <c r="M2178" i="34"/>
  <c r="P2178" i="34"/>
  <c r="S2178" i="34"/>
  <c r="V2178" i="34"/>
  <c r="Y2178" i="34"/>
  <c r="D2179" i="34"/>
  <c r="G2179" i="34"/>
  <c r="J2179" i="34"/>
  <c r="M2179" i="34"/>
  <c r="P2179" i="34"/>
  <c r="S2179" i="34"/>
  <c r="V2179" i="34"/>
  <c r="Y2179" i="34"/>
  <c r="D2180" i="34"/>
  <c r="G2180" i="34"/>
  <c r="J2180" i="34"/>
  <c r="M2180" i="34"/>
  <c r="P2180" i="34"/>
  <c r="S2180" i="34"/>
  <c r="V2180" i="34"/>
  <c r="Y2180" i="34"/>
  <c r="D2181" i="34"/>
  <c r="G2181" i="34"/>
  <c r="J2181" i="34"/>
  <c r="M2181" i="34"/>
  <c r="P2181" i="34"/>
  <c r="S2181" i="34"/>
  <c r="V2181" i="34"/>
  <c r="Y2181" i="34"/>
  <c r="D2182" i="34"/>
  <c r="G2182" i="34"/>
  <c r="J2182" i="34"/>
  <c r="M2182" i="34"/>
  <c r="P2182" i="34"/>
  <c r="S2182" i="34"/>
  <c r="V2182" i="34"/>
  <c r="Y2182" i="34"/>
  <c r="D2183" i="34"/>
  <c r="G2183" i="34"/>
  <c r="J2183" i="34"/>
  <c r="M2183" i="34"/>
  <c r="P2183" i="34"/>
  <c r="S2183" i="34"/>
  <c r="V2183" i="34"/>
  <c r="Y2183" i="34"/>
  <c r="D2184" i="34"/>
  <c r="G2184" i="34"/>
  <c r="J2184" i="34"/>
  <c r="M2184" i="34"/>
  <c r="P2184" i="34"/>
  <c r="S2184" i="34"/>
  <c r="V2184" i="34"/>
  <c r="Y2184" i="34"/>
  <c r="D2185" i="34"/>
  <c r="G2185" i="34"/>
  <c r="J2185" i="34"/>
  <c r="M2185" i="34"/>
  <c r="P2185" i="34"/>
  <c r="S2185" i="34"/>
  <c r="V2185" i="34"/>
  <c r="Y2185" i="34"/>
  <c r="D2186" i="34"/>
  <c r="G2186" i="34"/>
  <c r="J2186" i="34"/>
  <c r="M2186" i="34"/>
  <c r="P2186" i="34"/>
  <c r="S2186" i="34"/>
  <c r="V2186" i="34"/>
  <c r="Y2186" i="34"/>
  <c r="D2187" i="34"/>
  <c r="G2187" i="34"/>
  <c r="J2187" i="34"/>
  <c r="M2187" i="34"/>
  <c r="P2187" i="34"/>
  <c r="S2187" i="34"/>
  <c r="V2187" i="34"/>
  <c r="Y2187" i="34"/>
  <c r="D2188" i="34"/>
  <c r="G2188" i="34"/>
  <c r="J2188" i="34"/>
  <c r="M2188" i="34"/>
  <c r="P2188" i="34"/>
  <c r="S2188" i="34"/>
  <c r="V2188" i="34"/>
  <c r="Y2188" i="34"/>
  <c r="D2189" i="34"/>
  <c r="G2189" i="34"/>
  <c r="J2189" i="34"/>
  <c r="M2189" i="34"/>
  <c r="P2189" i="34"/>
  <c r="S2189" i="34"/>
  <c r="V2189" i="34"/>
  <c r="Y2189" i="34"/>
  <c r="D2190" i="34"/>
  <c r="G2190" i="34"/>
  <c r="J2190" i="34"/>
  <c r="M2190" i="34"/>
  <c r="P2190" i="34"/>
  <c r="S2190" i="34"/>
  <c r="V2190" i="34"/>
  <c r="Y2190" i="34"/>
  <c r="D2191" i="34"/>
  <c r="G2191" i="34"/>
  <c r="J2191" i="34"/>
  <c r="M2191" i="34"/>
  <c r="P2191" i="34"/>
  <c r="S2191" i="34"/>
  <c r="V2191" i="34"/>
  <c r="Y2191" i="34"/>
  <c r="D2192" i="34"/>
  <c r="G2192" i="34"/>
  <c r="J2192" i="34"/>
  <c r="M2192" i="34"/>
  <c r="P2192" i="34"/>
  <c r="S2192" i="34"/>
  <c r="V2192" i="34"/>
  <c r="Y2192" i="34"/>
  <c r="D2193" i="34"/>
  <c r="G2193" i="34"/>
  <c r="J2193" i="34"/>
  <c r="M2193" i="34"/>
  <c r="P2193" i="34"/>
  <c r="S2193" i="34"/>
  <c r="V2193" i="34"/>
  <c r="Y2193" i="34"/>
  <c r="D2194" i="34"/>
  <c r="G2194" i="34"/>
  <c r="J2194" i="34"/>
  <c r="M2194" i="34"/>
  <c r="P2194" i="34"/>
  <c r="S2194" i="34"/>
  <c r="V2194" i="34"/>
  <c r="Y2194" i="34"/>
  <c r="M1279" i="34"/>
  <c r="M1280" i="34"/>
  <c r="M1281" i="34"/>
  <c r="M1282" i="34"/>
  <c r="M1283" i="34"/>
  <c r="M1284" i="34"/>
  <c r="M1285" i="34"/>
  <c r="M1286" i="34"/>
  <c r="M1287" i="34"/>
  <c r="M1288" i="34"/>
  <c r="M1289" i="34"/>
  <c r="M1290" i="34"/>
  <c r="M1291" i="34"/>
  <c r="M1292" i="34"/>
  <c r="M1293" i="34"/>
  <c r="M1294" i="34"/>
  <c r="M1295" i="34"/>
  <c r="M1296" i="34"/>
  <c r="M1297" i="34"/>
  <c r="M1298" i="34"/>
  <c r="M1299" i="34"/>
  <c r="M1300" i="34"/>
  <c r="M1301" i="34"/>
  <c r="M1302" i="34"/>
  <c r="M1303" i="34"/>
  <c r="M1304" i="34"/>
  <c r="M1305" i="34"/>
  <c r="M1306" i="34"/>
  <c r="M1307" i="34"/>
  <c r="M1308" i="34"/>
  <c r="M1309" i="34"/>
  <c r="M1310" i="34"/>
  <c r="M1311" i="34"/>
  <c r="M1312" i="34"/>
  <c r="M1313" i="34"/>
  <c r="M1314" i="34"/>
  <c r="M1315" i="34"/>
  <c r="M1316" i="34"/>
  <c r="M1317" i="34"/>
  <c r="M1318" i="34"/>
  <c r="M1319" i="34"/>
  <c r="M1320" i="34"/>
  <c r="M1321" i="34"/>
  <c r="M1322" i="34"/>
  <c r="M1323" i="34"/>
  <c r="M1324" i="34"/>
  <c r="M1325" i="34"/>
  <c r="M1326" i="34"/>
  <c r="M1327" i="34"/>
  <c r="M1328" i="34"/>
  <c r="M1329" i="34"/>
  <c r="M1330" i="34"/>
  <c r="M1331" i="34"/>
  <c r="M1332" i="34"/>
  <c r="M1333" i="34"/>
  <c r="D1199" i="34"/>
  <c r="D1200" i="34"/>
  <c r="D1201" i="34"/>
  <c r="D1202" i="34"/>
  <c r="D1203" i="34"/>
  <c r="D1204" i="34"/>
  <c r="D1205" i="34"/>
  <c r="D1206" i="34"/>
  <c r="D1207" i="34"/>
  <c r="D1208" i="34"/>
  <c r="D1209" i="34"/>
  <c r="D1210" i="34"/>
  <c r="D1211" i="34"/>
  <c r="D1212" i="34"/>
  <c r="D1213" i="34"/>
  <c r="D1214" i="34"/>
  <c r="D1215" i="34"/>
  <c r="D1216" i="34"/>
  <c r="D1217" i="34"/>
  <c r="D1218" i="34"/>
  <c r="D1219" i="34"/>
  <c r="D1220" i="34"/>
  <c r="D1221" i="34"/>
  <c r="D1222" i="34"/>
  <c r="D1223" i="34"/>
  <c r="D1224" i="34"/>
  <c r="D1225" i="34"/>
  <c r="D1226" i="34"/>
  <c r="D1227" i="34"/>
  <c r="D1228" i="34"/>
  <c r="D1229" i="34"/>
  <c r="D1230" i="34"/>
  <c r="D1231" i="34"/>
  <c r="D1232" i="34"/>
  <c r="D1233" i="34"/>
  <c r="D1234" i="34"/>
  <c r="D1235" i="34"/>
  <c r="D1236" i="34"/>
  <c r="D1237" i="34"/>
  <c r="D1238" i="34"/>
  <c r="D1239" i="34"/>
  <c r="D1240" i="34"/>
  <c r="D1241" i="34"/>
  <c r="D1242" i="34"/>
  <c r="D1243" i="34"/>
  <c r="D1244" i="34"/>
  <c r="D1245" i="34"/>
  <c r="D1246" i="34"/>
  <c r="D1247" i="34"/>
  <c r="D1248" i="34"/>
  <c r="D1249" i="34"/>
  <c r="D1250" i="34"/>
  <c r="D1251" i="34"/>
  <c r="D1252" i="34"/>
  <c r="D1253" i="34"/>
  <c r="D1254" i="34"/>
  <c r="D1255" i="34"/>
  <c r="D1256" i="34"/>
  <c r="D1257" i="34"/>
  <c r="D1258" i="34"/>
  <c r="D1259" i="34"/>
  <c r="D1260" i="34"/>
  <c r="D1261" i="34"/>
  <c r="D1262" i="34"/>
  <c r="D1263" i="34"/>
  <c r="D1264" i="34"/>
  <c r="D1265" i="34"/>
  <c r="D1266" i="34"/>
  <c r="D1267" i="34"/>
  <c r="D1268" i="34"/>
  <c r="D1269" i="34"/>
  <c r="D1270" i="34"/>
  <c r="B34" i="33" s="1"/>
  <c r="D1271" i="34"/>
  <c r="D1272" i="34"/>
  <c r="D1273" i="34"/>
  <c r="D1274" i="34"/>
  <c r="D1275" i="34"/>
  <c r="D1276" i="34"/>
  <c r="D1277" i="34"/>
  <c r="D1278" i="34"/>
  <c r="D1279" i="34"/>
  <c r="D1280" i="34"/>
  <c r="D1281" i="34"/>
  <c r="D1282" i="34"/>
  <c r="J1196" i="34"/>
  <c r="J1197" i="34"/>
  <c r="J1198" i="34"/>
  <c r="J1199" i="34"/>
  <c r="J1200" i="34"/>
  <c r="J1201" i="34"/>
  <c r="J1202" i="34"/>
  <c r="J1203" i="34"/>
  <c r="J1204" i="34"/>
  <c r="J1205" i="34"/>
  <c r="J1206" i="34"/>
  <c r="J1207" i="34"/>
  <c r="J1208" i="34"/>
  <c r="J1209" i="34"/>
  <c r="J1210" i="34"/>
  <c r="J1211" i="34"/>
  <c r="J1212" i="34"/>
  <c r="J1213" i="34"/>
  <c r="J1214" i="34"/>
  <c r="J1215" i="34"/>
  <c r="J1216" i="34"/>
  <c r="J1217" i="34"/>
  <c r="J1218" i="34"/>
  <c r="J1219" i="34"/>
  <c r="J1220" i="34"/>
  <c r="J1221" i="34"/>
  <c r="J1222" i="34"/>
  <c r="J1223" i="34"/>
  <c r="J1224" i="34"/>
  <c r="J1225" i="34"/>
  <c r="J1226" i="34"/>
  <c r="J1227" i="34"/>
  <c r="J1228" i="34"/>
  <c r="J1229" i="34"/>
  <c r="J1230" i="34"/>
  <c r="J1231" i="34"/>
  <c r="J1232" i="34"/>
  <c r="J1233" i="34"/>
  <c r="J1234" i="34"/>
  <c r="J1235" i="34"/>
  <c r="J1236" i="34"/>
  <c r="J1237" i="34"/>
  <c r="J1238" i="34"/>
  <c r="J1239" i="34"/>
  <c r="J1240" i="34"/>
  <c r="J1241" i="34"/>
  <c r="J1242" i="34"/>
  <c r="J1243" i="34"/>
  <c r="J1244" i="34"/>
  <c r="J1245" i="34"/>
  <c r="J1246" i="34"/>
  <c r="J1247" i="34"/>
  <c r="J1248" i="34"/>
  <c r="J1249" i="34"/>
  <c r="J1250" i="34"/>
  <c r="J1251" i="34"/>
  <c r="J1252" i="34"/>
  <c r="J1253" i="34"/>
  <c r="J1254" i="34"/>
  <c r="J1255" i="34"/>
  <c r="J1256" i="34"/>
  <c r="J1257" i="34"/>
  <c r="J1258" i="34"/>
  <c r="J1259" i="34"/>
  <c r="J1260" i="34"/>
  <c r="J1261" i="34"/>
  <c r="J1262" i="34"/>
  <c r="J1263" i="34"/>
  <c r="J1264" i="34"/>
  <c r="J1265" i="34"/>
  <c r="J1266" i="34"/>
  <c r="J1267" i="34"/>
  <c r="J1268" i="34"/>
  <c r="J1269" i="34"/>
  <c r="J1270" i="34"/>
  <c r="J1271" i="34"/>
  <c r="J1272" i="34"/>
  <c r="J1273" i="34"/>
  <c r="J1274" i="34"/>
  <c r="J1275" i="34"/>
  <c r="J1276" i="34"/>
  <c r="J1277" i="34"/>
  <c r="J1278" i="34"/>
  <c r="S675" i="34"/>
  <c r="S676" i="34"/>
  <c r="S677" i="34"/>
  <c r="S678" i="34"/>
  <c r="S679" i="34"/>
  <c r="S680" i="34"/>
  <c r="S681" i="34"/>
  <c r="S682" i="34"/>
  <c r="S683" i="34"/>
  <c r="S684" i="34"/>
  <c r="S685" i="34"/>
  <c r="S686" i="34"/>
  <c r="S687" i="34"/>
  <c r="S688" i="34"/>
  <c r="S689" i="34"/>
  <c r="S690" i="34"/>
  <c r="S691" i="34"/>
  <c r="S692" i="34"/>
  <c r="S693" i="34"/>
  <c r="S694" i="34"/>
  <c r="S695" i="34"/>
  <c r="S696" i="34"/>
  <c r="S697" i="34"/>
  <c r="S698" i="34"/>
  <c r="S699" i="34"/>
  <c r="S700" i="34"/>
  <c r="S701" i="34"/>
  <c r="S702" i="34"/>
  <c r="S703" i="34"/>
  <c r="S704" i="34"/>
  <c r="S705" i="34"/>
  <c r="S706" i="34"/>
  <c r="S707" i="34"/>
  <c r="S708" i="34"/>
  <c r="S709" i="34"/>
  <c r="S710" i="34"/>
  <c r="S711" i="34"/>
  <c r="S712" i="34"/>
  <c r="S713" i="34"/>
  <c r="S714" i="34"/>
  <c r="S715" i="34"/>
  <c r="S716" i="34"/>
  <c r="S717" i="34"/>
  <c r="S718" i="34"/>
  <c r="S719" i="34"/>
  <c r="S720" i="34"/>
  <c r="S721" i="34"/>
  <c r="S722" i="34"/>
  <c r="S723" i="34"/>
  <c r="S724" i="34"/>
  <c r="S725" i="34"/>
  <c r="S726" i="34"/>
  <c r="S727" i="34"/>
  <c r="S728" i="34"/>
  <c r="S729" i="34"/>
  <c r="S730" i="34"/>
  <c r="S731" i="34"/>
  <c r="S732" i="34"/>
  <c r="S733" i="34"/>
  <c r="S734" i="34"/>
  <c r="S735" i="34"/>
  <c r="S736" i="34"/>
  <c r="S737" i="34"/>
  <c r="S738" i="34"/>
  <c r="S739" i="34"/>
  <c r="S740" i="34"/>
  <c r="S741" i="34"/>
  <c r="S742" i="34"/>
  <c r="S743" i="34"/>
  <c r="S744" i="34"/>
  <c r="S745" i="34"/>
  <c r="S746" i="34"/>
  <c r="S747" i="34"/>
  <c r="S748" i="34"/>
  <c r="S749" i="34"/>
  <c r="S750" i="34"/>
  <c r="S751" i="34"/>
  <c r="S752" i="34"/>
  <c r="S753" i="34"/>
  <c r="S754" i="34"/>
  <c r="S755" i="34"/>
  <c r="S756" i="34"/>
  <c r="S757" i="34"/>
  <c r="S758" i="34"/>
  <c r="S759" i="34"/>
  <c r="S760" i="34"/>
  <c r="S761" i="34"/>
  <c r="S762" i="34"/>
  <c r="S763" i="34"/>
  <c r="S764" i="34"/>
  <c r="S765" i="34"/>
  <c r="S766" i="34"/>
  <c r="S767" i="34"/>
  <c r="S768" i="34"/>
  <c r="S769" i="34"/>
  <c r="S770" i="34"/>
  <c r="S771" i="34"/>
  <c r="S772" i="34"/>
  <c r="S773" i="34"/>
  <c r="S774" i="34"/>
  <c r="S775" i="34"/>
  <c r="S776" i="34"/>
  <c r="S777" i="34"/>
  <c r="S778" i="34"/>
  <c r="S779" i="34"/>
  <c r="S780" i="34"/>
  <c r="S781" i="34"/>
  <c r="S782" i="34"/>
  <c r="S783" i="34"/>
  <c r="S784" i="34"/>
  <c r="S785" i="34"/>
  <c r="S786" i="34"/>
  <c r="S787" i="34"/>
  <c r="S788" i="34"/>
  <c r="S789" i="34"/>
  <c r="S790" i="34"/>
  <c r="S791" i="34"/>
  <c r="S792" i="34"/>
  <c r="S793" i="34"/>
  <c r="S794" i="34"/>
  <c r="S795" i="34"/>
  <c r="S796" i="34"/>
  <c r="S797" i="34"/>
  <c r="S798" i="34"/>
  <c r="S799" i="34"/>
  <c r="S800" i="34"/>
  <c r="S801" i="34"/>
  <c r="S802" i="34"/>
  <c r="S803" i="34"/>
  <c r="S804" i="34"/>
  <c r="S805" i="34"/>
  <c r="S806" i="34"/>
  <c r="S807" i="34"/>
  <c r="S808" i="34"/>
  <c r="S809" i="34"/>
  <c r="S810" i="34"/>
  <c r="S811" i="34"/>
  <c r="S812" i="34"/>
  <c r="S813" i="34"/>
  <c r="S814" i="34"/>
  <c r="S815" i="34"/>
  <c r="S816" i="34"/>
  <c r="S817" i="34"/>
  <c r="S818" i="34"/>
  <c r="S819" i="34"/>
  <c r="S820" i="34"/>
  <c r="S821" i="34"/>
  <c r="S822" i="34"/>
  <c r="S823" i="34"/>
  <c r="S824" i="34"/>
  <c r="S825" i="34"/>
  <c r="S826" i="34"/>
  <c r="S827" i="34"/>
  <c r="S828" i="34"/>
  <c r="S829" i="34"/>
  <c r="S830" i="34"/>
  <c r="S831" i="34"/>
  <c r="S832" i="34"/>
  <c r="S833" i="34"/>
  <c r="S834" i="34"/>
  <c r="S835" i="34"/>
  <c r="S836" i="34"/>
  <c r="S837" i="34"/>
  <c r="S838" i="34"/>
  <c r="S839" i="34"/>
  <c r="S840" i="34"/>
  <c r="S841" i="34"/>
  <c r="S842" i="34"/>
  <c r="S843" i="34"/>
  <c r="S844" i="34"/>
  <c r="S845" i="34"/>
  <c r="S846" i="34"/>
  <c r="S847" i="34"/>
  <c r="S848" i="34"/>
  <c r="S849" i="34"/>
  <c r="S850" i="34"/>
  <c r="S851" i="34"/>
  <c r="S852" i="34"/>
  <c r="S853" i="34"/>
  <c r="S854" i="34"/>
  <c r="S855" i="34"/>
  <c r="S856" i="34"/>
  <c r="S857" i="34"/>
  <c r="S858" i="34"/>
  <c r="S859" i="34"/>
  <c r="S860" i="34"/>
  <c r="S861" i="34"/>
  <c r="S862" i="34"/>
  <c r="S863" i="34"/>
  <c r="S864" i="34"/>
  <c r="S865" i="34"/>
  <c r="S866" i="34"/>
  <c r="S867" i="34"/>
  <c r="S868" i="34"/>
  <c r="S869" i="34"/>
  <c r="S870" i="34"/>
  <c r="S871" i="34"/>
  <c r="S872" i="34"/>
  <c r="S873" i="34"/>
  <c r="S874" i="34"/>
  <c r="S875" i="34"/>
  <c r="S876" i="34"/>
  <c r="S877" i="34"/>
  <c r="S878" i="34"/>
  <c r="S879" i="34"/>
  <c r="S880" i="34"/>
  <c r="S881" i="34"/>
  <c r="S882" i="34"/>
  <c r="S883" i="34"/>
  <c r="S884" i="34"/>
  <c r="S885" i="34"/>
  <c r="S886" i="34"/>
  <c r="S887" i="34"/>
  <c r="S888" i="34"/>
  <c r="S889" i="34"/>
  <c r="S890" i="34"/>
  <c r="S891" i="34"/>
  <c r="S892" i="34"/>
  <c r="S893" i="34"/>
  <c r="S894" i="34"/>
  <c r="S895" i="34"/>
  <c r="S896" i="34"/>
  <c r="S897" i="34"/>
  <c r="S898" i="34"/>
  <c r="S899" i="34"/>
  <c r="S900" i="34"/>
  <c r="S901" i="34"/>
  <c r="S902" i="34"/>
  <c r="S903" i="34"/>
  <c r="S904" i="34"/>
  <c r="S905" i="34"/>
  <c r="S906" i="34"/>
  <c r="S907" i="34"/>
  <c r="S908" i="34"/>
  <c r="S909" i="34"/>
  <c r="S910" i="34"/>
  <c r="S911" i="34"/>
  <c r="S912" i="34"/>
  <c r="S913" i="34"/>
  <c r="S914" i="34"/>
  <c r="S915" i="34"/>
  <c r="S916" i="34"/>
  <c r="S917" i="34"/>
  <c r="S918" i="34"/>
  <c r="S919" i="34"/>
  <c r="S920" i="34"/>
  <c r="S921" i="34"/>
  <c r="S922" i="34"/>
  <c r="S923" i="34"/>
  <c r="S924" i="34"/>
  <c r="S925" i="34"/>
  <c r="S926" i="34"/>
  <c r="S927" i="34"/>
  <c r="S928" i="34"/>
  <c r="S929" i="34"/>
  <c r="S930" i="34"/>
  <c r="S931" i="34"/>
  <c r="S932" i="34"/>
  <c r="S933" i="34"/>
  <c r="S934" i="34"/>
  <c r="S935" i="34"/>
  <c r="S936" i="34"/>
  <c r="S937" i="34"/>
  <c r="S938" i="34"/>
  <c r="S939" i="34"/>
  <c r="S940" i="34"/>
  <c r="S941" i="34"/>
  <c r="S942" i="34"/>
  <c r="S943" i="34"/>
  <c r="S944" i="34"/>
  <c r="S945" i="34"/>
  <c r="S946" i="34"/>
  <c r="S947" i="34"/>
  <c r="S948" i="34"/>
  <c r="S949" i="34"/>
  <c r="S950" i="34"/>
  <c r="S951" i="34"/>
  <c r="S952" i="34"/>
  <c r="S953" i="34"/>
  <c r="S954" i="34"/>
  <c r="S955" i="34"/>
  <c r="S956" i="34"/>
  <c r="S957" i="34"/>
  <c r="S958" i="34"/>
  <c r="S959" i="34"/>
  <c r="S960" i="34"/>
  <c r="S961" i="34"/>
  <c r="S962" i="34"/>
  <c r="S963" i="34"/>
  <c r="S964" i="34"/>
  <c r="S965" i="34"/>
  <c r="S966" i="34"/>
  <c r="S967" i="34"/>
  <c r="S968" i="34"/>
  <c r="S969" i="34"/>
  <c r="S970" i="34"/>
  <c r="S971" i="34"/>
  <c r="S972" i="34"/>
  <c r="S973" i="34"/>
  <c r="S974" i="34"/>
  <c r="S975" i="34"/>
  <c r="S976" i="34"/>
  <c r="S977" i="34"/>
  <c r="S978" i="34"/>
  <c r="S979" i="34"/>
  <c r="S980" i="34"/>
  <c r="S981" i="34"/>
  <c r="S982" i="34"/>
  <c r="S983" i="34"/>
  <c r="S984" i="34"/>
  <c r="S985" i="34"/>
  <c r="S986" i="34"/>
  <c r="S987" i="34"/>
  <c r="S988" i="34"/>
  <c r="S989" i="34"/>
  <c r="S990" i="34"/>
  <c r="S991" i="34"/>
  <c r="S992" i="34"/>
  <c r="S993" i="34"/>
  <c r="S994" i="34"/>
  <c r="S995" i="34"/>
  <c r="S996" i="34"/>
  <c r="S997" i="34"/>
  <c r="S998" i="34"/>
  <c r="S999" i="34"/>
  <c r="S1000" i="34"/>
  <c r="S1001" i="34"/>
  <c r="S1002" i="34"/>
  <c r="S1003" i="34"/>
  <c r="S1004" i="34"/>
  <c r="S1005" i="34"/>
  <c r="S1006" i="34"/>
  <c r="S1007" i="34"/>
  <c r="S1008" i="34"/>
  <c r="S1009" i="34"/>
  <c r="S1010" i="34"/>
  <c r="S1011" i="34"/>
  <c r="S1012" i="34"/>
  <c r="S1013" i="34"/>
  <c r="S1014" i="34"/>
  <c r="S1015" i="34"/>
  <c r="S1016" i="34"/>
  <c r="S1017" i="34"/>
  <c r="S1018" i="34"/>
  <c r="S1019" i="34"/>
  <c r="S1020" i="34"/>
  <c r="S1021" i="34"/>
  <c r="S1022" i="34"/>
  <c r="S1023" i="34"/>
  <c r="S1024" i="34"/>
  <c r="S1025" i="34"/>
  <c r="S1026" i="34"/>
  <c r="S1027" i="34"/>
  <c r="S1028" i="34"/>
  <c r="S1029" i="34"/>
  <c r="S1030" i="34"/>
  <c r="S1031" i="34"/>
  <c r="S1032" i="34"/>
  <c r="S1033" i="34"/>
  <c r="S1034" i="34"/>
  <c r="S1035" i="34"/>
  <c r="S1036" i="34"/>
  <c r="S1037" i="34"/>
  <c r="S1038" i="34"/>
  <c r="S1039" i="34"/>
  <c r="S1040" i="34"/>
  <c r="S1041" i="34"/>
  <c r="S1042" i="34"/>
  <c r="S1043" i="34"/>
  <c r="S1044" i="34"/>
  <c r="S1045" i="34"/>
  <c r="S1046" i="34"/>
  <c r="S1047" i="34"/>
  <c r="S1048" i="34"/>
  <c r="S1049" i="34"/>
  <c r="S1050" i="34"/>
  <c r="S1051" i="34"/>
  <c r="S1052" i="34"/>
  <c r="S1053" i="34"/>
  <c r="S1054" i="34"/>
  <c r="S1055" i="34"/>
  <c r="S1056" i="34"/>
  <c r="S1057" i="34"/>
  <c r="S1058" i="34"/>
  <c r="S1059" i="34"/>
  <c r="S1060" i="34"/>
  <c r="S1061" i="34"/>
  <c r="S1062" i="34"/>
  <c r="S1063" i="34"/>
  <c r="S1064" i="34"/>
  <c r="S1065" i="34"/>
  <c r="S1066" i="34"/>
  <c r="S1067" i="34"/>
  <c r="S1068" i="34"/>
  <c r="S1069" i="34"/>
  <c r="S1070" i="34"/>
  <c r="S1071" i="34"/>
  <c r="S1072" i="34"/>
  <c r="S1073" i="34"/>
  <c r="S1074" i="34"/>
  <c r="S1075" i="34"/>
  <c r="S1076" i="34"/>
  <c r="S1077" i="34"/>
  <c r="S1078" i="34"/>
  <c r="S1079" i="34"/>
  <c r="S1080" i="34"/>
  <c r="S1081" i="34"/>
  <c r="S1082" i="34"/>
  <c r="S1083" i="34"/>
  <c r="S1084" i="34"/>
  <c r="S1085" i="34"/>
  <c r="S1086" i="34"/>
  <c r="S1087" i="34"/>
  <c r="S1088" i="34"/>
  <c r="S1089" i="34"/>
  <c r="S1090" i="34"/>
  <c r="S1091" i="34"/>
  <c r="S1092" i="34"/>
  <c r="S1093" i="34"/>
  <c r="S1094" i="34"/>
  <c r="S1095" i="34"/>
  <c r="S1096" i="34"/>
  <c r="S1097" i="34"/>
  <c r="S1098" i="34"/>
  <c r="S1099" i="34"/>
  <c r="S1100" i="34"/>
  <c r="S1101" i="34"/>
  <c r="S1102" i="34"/>
  <c r="S1103" i="34"/>
  <c r="S1104" i="34"/>
  <c r="S1105" i="34"/>
  <c r="S1106" i="34"/>
  <c r="S1107" i="34"/>
  <c r="S1108" i="34"/>
  <c r="S1109" i="34"/>
  <c r="S1110" i="34"/>
  <c r="S1111" i="34"/>
  <c r="S1112" i="34"/>
  <c r="S1113" i="34"/>
  <c r="S1114" i="34"/>
  <c r="S1115" i="34"/>
  <c r="S1116" i="34"/>
  <c r="S1117" i="34"/>
  <c r="S1118" i="34"/>
  <c r="S1119" i="34"/>
  <c r="S1120" i="34"/>
  <c r="S1121" i="34"/>
  <c r="S1122" i="34"/>
  <c r="S1123" i="34"/>
  <c r="S1124" i="34"/>
  <c r="S1125" i="34"/>
  <c r="S1126" i="34"/>
  <c r="S1127" i="34"/>
  <c r="S1128" i="34"/>
  <c r="S1129" i="34"/>
  <c r="S1130" i="34"/>
  <c r="S1131" i="34"/>
  <c r="S1132" i="34"/>
  <c r="S1133" i="34"/>
  <c r="S1134" i="34"/>
  <c r="S1135" i="34"/>
  <c r="S1136" i="34"/>
  <c r="S1137" i="34"/>
  <c r="S1138" i="34"/>
  <c r="S1139" i="34"/>
  <c r="S1140" i="34"/>
  <c r="S1141" i="34"/>
  <c r="S1142" i="34"/>
  <c r="S1143" i="34"/>
  <c r="S1144" i="34"/>
  <c r="S1145" i="34"/>
  <c r="S1146" i="34"/>
  <c r="S1147" i="34"/>
  <c r="S1148" i="34"/>
  <c r="S1149" i="34"/>
  <c r="S1150" i="34"/>
  <c r="S1151" i="34"/>
  <c r="S1152" i="34"/>
  <c r="S1153" i="34"/>
  <c r="S1154" i="34"/>
  <c r="S1155" i="34"/>
  <c r="S1156" i="34"/>
  <c r="S1157" i="34"/>
  <c r="S1158" i="34"/>
  <c r="S1159" i="34"/>
  <c r="S1160" i="34"/>
  <c r="S1161" i="34"/>
  <c r="S1162" i="34"/>
  <c r="S1163" i="34"/>
  <c r="S1164" i="34"/>
  <c r="S1165" i="34"/>
  <c r="S1166" i="34"/>
  <c r="S1167" i="34"/>
  <c r="S1168" i="34"/>
  <c r="S1169" i="34"/>
  <c r="S1170" i="34"/>
  <c r="S1171" i="34"/>
  <c r="S1172" i="34"/>
  <c r="S1173" i="34"/>
  <c r="S1174" i="34"/>
  <c r="S1175" i="34"/>
  <c r="S1176" i="34"/>
  <c r="S1177" i="34"/>
  <c r="S1178" i="34"/>
  <c r="S1179" i="34"/>
  <c r="S1180" i="34"/>
  <c r="S1181" i="34"/>
  <c r="S1182" i="34"/>
  <c r="S1183" i="34"/>
  <c r="S1184" i="34"/>
  <c r="S1185" i="34"/>
  <c r="S1186" i="34"/>
  <c r="S1187" i="34"/>
  <c r="S1188" i="34"/>
  <c r="S1189" i="34"/>
  <c r="S1190" i="34"/>
  <c r="S1191" i="34"/>
  <c r="S1192" i="34"/>
  <c r="S1193" i="34"/>
  <c r="S1194" i="34"/>
  <c r="S1195" i="34"/>
  <c r="S1196" i="34"/>
  <c r="S1197" i="34"/>
  <c r="S1198" i="34"/>
  <c r="S1199" i="34"/>
  <c r="S1200" i="34"/>
  <c r="S1201" i="34"/>
  <c r="S1202" i="34"/>
  <c r="S1203" i="34"/>
  <c r="S1204" i="34"/>
  <c r="S1205" i="34"/>
  <c r="S1206" i="34"/>
  <c r="S1207" i="34"/>
  <c r="S1208" i="34"/>
  <c r="S1209" i="34"/>
  <c r="S1210" i="34"/>
  <c r="S1211" i="34"/>
  <c r="S1212" i="34"/>
  <c r="S1213" i="34"/>
  <c r="S1214" i="34"/>
  <c r="S1215" i="34"/>
  <c r="S1216" i="34"/>
  <c r="S1217" i="34"/>
  <c r="S1218" i="34"/>
  <c r="S1219" i="34"/>
  <c r="S1220" i="34"/>
  <c r="S1221" i="34"/>
  <c r="S1222" i="34"/>
  <c r="S1223" i="34"/>
  <c r="S1224" i="34"/>
  <c r="S1225" i="34"/>
  <c r="S1226" i="34"/>
  <c r="S1227" i="34"/>
  <c r="S1228" i="34"/>
  <c r="S1229" i="34"/>
  <c r="S1230" i="34"/>
  <c r="S1231" i="34"/>
  <c r="S1232" i="34"/>
  <c r="S1233" i="34"/>
  <c r="S1234" i="34"/>
  <c r="S1235" i="34"/>
  <c r="S1236" i="34"/>
  <c r="S1237" i="34"/>
  <c r="S1238" i="34"/>
  <c r="S1239" i="34"/>
  <c r="S1240" i="34"/>
  <c r="S1241" i="34"/>
  <c r="S1242" i="34"/>
  <c r="S1243" i="34"/>
  <c r="S1244" i="34"/>
  <c r="S1245" i="34"/>
  <c r="S1246" i="34"/>
  <c r="S1247" i="34"/>
  <c r="S1248" i="34"/>
  <c r="S1249" i="34"/>
  <c r="S1250" i="34"/>
  <c r="S1251" i="34"/>
  <c r="S1252" i="34"/>
  <c r="S1253" i="34"/>
  <c r="S1254" i="34"/>
  <c r="S1255" i="34"/>
  <c r="S1256" i="34"/>
  <c r="S1257" i="34"/>
  <c r="S1258" i="34"/>
  <c r="S1259" i="34"/>
  <c r="S1260" i="34"/>
  <c r="S1261" i="34"/>
  <c r="S1262" i="34"/>
  <c r="S1263" i="34"/>
  <c r="S1264" i="34"/>
  <c r="S1265" i="34"/>
  <c r="S1266" i="34"/>
  <c r="S1267" i="34"/>
  <c r="S1268" i="34"/>
  <c r="S1269" i="34"/>
  <c r="S1270" i="34"/>
  <c r="S1271" i="34"/>
  <c r="S1272" i="34"/>
  <c r="S1273" i="34"/>
  <c r="S1274" i="34"/>
  <c r="S1275" i="34"/>
  <c r="S1276" i="34"/>
  <c r="S1277" i="34"/>
  <c r="S1278" i="34"/>
  <c r="S1279" i="34"/>
  <c r="S1280" i="34"/>
  <c r="S1281" i="34"/>
  <c r="S1282" i="34"/>
  <c r="S1283" i="34"/>
  <c r="S1284" i="34"/>
  <c r="S1285" i="34"/>
  <c r="S1286" i="34"/>
  <c r="S1287" i="34"/>
  <c r="S1288" i="34"/>
  <c r="S1289" i="34"/>
  <c r="S1290" i="34"/>
  <c r="S1291" i="34"/>
  <c r="S1292" i="34"/>
  <c r="S1293" i="34"/>
  <c r="S1294" i="34"/>
  <c r="S1295" i="34"/>
  <c r="S1296" i="34"/>
  <c r="S1297" i="34"/>
  <c r="S1298" i="34"/>
  <c r="S1299" i="34"/>
  <c r="S1300" i="34"/>
  <c r="S1301" i="34"/>
  <c r="S1302" i="34"/>
  <c r="S1303" i="34"/>
  <c r="S1304" i="34"/>
  <c r="S1305" i="34"/>
  <c r="S1306" i="34"/>
  <c r="S1307" i="34"/>
  <c r="S1308" i="34"/>
  <c r="S1309" i="34"/>
  <c r="S1310" i="34"/>
  <c r="S1311" i="34"/>
  <c r="S1312" i="34"/>
  <c r="S1313" i="34"/>
  <c r="S1314" i="34"/>
  <c r="S1315" i="34"/>
  <c r="S1316" i="34"/>
  <c r="S1317" i="34"/>
  <c r="S1318" i="34"/>
  <c r="S1319" i="34"/>
  <c r="S1320" i="34"/>
  <c r="S1321" i="34"/>
  <c r="S1322" i="34"/>
  <c r="S1323" i="34"/>
  <c r="S1324" i="34"/>
  <c r="S1325" i="34"/>
  <c r="S1326" i="34"/>
  <c r="S1327" i="34"/>
  <c r="S1328" i="34"/>
  <c r="S1329" i="34"/>
  <c r="S1330" i="34"/>
  <c r="S1331" i="34"/>
  <c r="S1332" i="34"/>
  <c r="S1333" i="34"/>
  <c r="S1334" i="34"/>
  <c r="S1335" i="34"/>
  <c r="S1336" i="34"/>
  <c r="S1337" i="34"/>
  <c r="S1338" i="34"/>
  <c r="S1339" i="34"/>
  <c r="S1340" i="34"/>
  <c r="S1341" i="34"/>
  <c r="S1342" i="34"/>
  <c r="S1343" i="34"/>
  <c r="S1344" i="34"/>
  <c r="S1345" i="34"/>
  <c r="S1346" i="34"/>
  <c r="S1347" i="34"/>
  <c r="S1348" i="34"/>
  <c r="S1349" i="34"/>
  <c r="S1350" i="34"/>
  <c r="S1351" i="34"/>
  <c r="S1352" i="34"/>
  <c r="S1353" i="34"/>
  <c r="S1354" i="34"/>
  <c r="S1355" i="34"/>
  <c r="S1356" i="34"/>
  <c r="S1357" i="34"/>
  <c r="S1358" i="34"/>
  <c r="S1359" i="34"/>
  <c r="S1360" i="34"/>
  <c r="S1361" i="34"/>
  <c r="S1362" i="34"/>
  <c r="S1363" i="34"/>
  <c r="S1364" i="34"/>
  <c r="S1365" i="34"/>
  <c r="S1366" i="34"/>
  <c r="S1367" i="34"/>
  <c r="S1368" i="34"/>
  <c r="S1369" i="34"/>
  <c r="S1370" i="34"/>
  <c r="S1371" i="34"/>
  <c r="S1372" i="34"/>
  <c r="S1373" i="34"/>
  <c r="S1374" i="34"/>
  <c r="S1375" i="34"/>
  <c r="S1376" i="34"/>
  <c r="S1377" i="34"/>
  <c r="S1378" i="34"/>
  <c r="S1379" i="34"/>
  <c r="S1380" i="34"/>
  <c r="S1381" i="34"/>
  <c r="S1382" i="34"/>
  <c r="S1383" i="34"/>
  <c r="S1384" i="34"/>
  <c r="S1385" i="34"/>
  <c r="S1386" i="34"/>
  <c r="S1387" i="34"/>
  <c r="S1388" i="34"/>
  <c r="S1389" i="34"/>
  <c r="S1390" i="34"/>
  <c r="S1391" i="34"/>
  <c r="S1392" i="34"/>
  <c r="S1393" i="34"/>
  <c r="S1394" i="34"/>
  <c r="S1395" i="34"/>
  <c r="S1396" i="34"/>
  <c r="S1397" i="34"/>
  <c r="S1398" i="34"/>
  <c r="S1399" i="34"/>
  <c r="S1400" i="34"/>
  <c r="S1401" i="34"/>
  <c r="S1402" i="34"/>
  <c r="S1403" i="34"/>
  <c r="S1404" i="34"/>
  <c r="S1405" i="34"/>
  <c r="S1406" i="34"/>
  <c r="S1407" i="34"/>
  <c r="S1408" i="34"/>
  <c r="S1409" i="34"/>
  <c r="S1410" i="34"/>
  <c r="S1411" i="34"/>
  <c r="S1412" i="34"/>
  <c r="S1413" i="34"/>
  <c r="S1414" i="34"/>
  <c r="S1415" i="34"/>
  <c r="S1416" i="34"/>
  <c r="S1417" i="34"/>
  <c r="S1418" i="34"/>
  <c r="S1419" i="34"/>
  <c r="S1420" i="34"/>
  <c r="S1421" i="34"/>
  <c r="S1422" i="34"/>
  <c r="S1423" i="34"/>
  <c r="S1424" i="34"/>
  <c r="S1425" i="34"/>
  <c r="S1426" i="34"/>
  <c r="S1427" i="34"/>
  <c r="S1428" i="34"/>
  <c r="S1429" i="34"/>
  <c r="S1430" i="34"/>
  <c r="S1431" i="34"/>
  <c r="S1432" i="34"/>
  <c r="S1433" i="34"/>
  <c r="S1434" i="34"/>
  <c r="S1435" i="34"/>
  <c r="S1436" i="34"/>
  <c r="S1437" i="34"/>
  <c r="S1438" i="34"/>
  <c r="S1439" i="34"/>
  <c r="S1440" i="34"/>
  <c r="S1441" i="34"/>
  <c r="S1442" i="34"/>
  <c r="S1443" i="34"/>
  <c r="S1444" i="34"/>
  <c r="S1445" i="34"/>
  <c r="S1446" i="34"/>
  <c r="S1447" i="34"/>
  <c r="S1448" i="34"/>
  <c r="S1449" i="34"/>
  <c r="S1450" i="34"/>
  <c r="S1451" i="34"/>
  <c r="S1452" i="34"/>
  <c r="S1453" i="34"/>
  <c r="S1454" i="34"/>
  <c r="S1455" i="34"/>
  <c r="S1456" i="34"/>
  <c r="S1457" i="34"/>
  <c r="S1458" i="34"/>
  <c r="S1459" i="34"/>
  <c r="S1460" i="34"/>
  <c r="S1461" i="34"/>
  <c r="S1462" i="34"/>
  <c r="S1463" i="34"/>
  <c r="S1464" i="34"/>
  <c r="S1465" i="34"/>
  <c r="S1466" i="34"/>
  <c r="S1467" i="34"/>
  <c r="S1468" i="34"/>
  <c r="S1469" i="34"/>
  <c r="S1470" i="34"/>
  <c r="S1471" i="34"/>
  <c r="S1472" i="34"/>
  <c r="S1473" i="34"/>
  <c r="S1474" i="34"/>
  <c r="S1475" i="34"/>
  <c r="S1476" i="34"/>
  <c r="S1477" i="34"/>
  <c r="S1478" i="34"/>
  <c r="S1479" i="34"/>
  <c r="S1480" i="34"/>
  <c r="S1481" i="34"/>
  <c r="S1482" i="34"/>
  <c r="S1483" i="34"/>
  <c r="S1484" i="34"/>
  <c r="S1485" i="34"/>
  <c r="S1486" i="34"/>
  <c r="S1487" i="34"/>
  <c r="S1488" i="34"/>
  <c r="S1489" i="34"/>
  <c r="D6" i="35" l="1"/>
  <c r="D6" i="36"/>
  <c r="D6" i="37"/>
  <c r="D6" i="38"/>
  <c r="D6" i="39"/>
  <c r="D6" i="40"/>
  <c r="Y677" i="34"/>
  <c r="V677" i="34" s="1"/>
  <c r="Y678" i="34"/>
  <c r="V678" i="34" s="1"/>
  <c r="Y679" i="34"/>
  <c r="V679" i="34" s="1"/>
  <c r="Y680" i="34"/>
  <c r="V680" i="34" s="1"/>
  <c r="Y681" i="34"/>
  <c r="V681" i="34" s="1"/>
  <c r="Y682" i="34"/>
  <c r="V682" i="34" s="1"/>
  <c r="Y683" i="34"/>
  <c r="V683" i="34" s="1"/>
  <c r="Y684" i="34"/>
  <c r="V684" i="34" s="1"/>
  <c r="Y685" i="34"/>
  <c r="V685" i="34" s="1"/>
  <c r="Y686" i="34"/>
  <c r="V686" i="34" s="1"/>
  <c r="Y687" i="34"/>
  <c r="V687" i="34" s="1"/>
  <c r="Y688" i="34"/>
  <c r="V688" i="34" s="1"/>
  <c r="Y689" i="34"/>
  <c r="V689" i="34" s="1"/>
  <c r="Y690" i="34"/>
  <c r="V690" i="34" s="1"/>
  <c r="Y691" i="34"/>
  <c r="V691" i="34" s="1"/>
  <c r="Y692" i="34"/>
  <c r="V692" i="34" s="1"/>
  <c r="Y693" i="34"/>
  <c r="V693" i="34" s="1"/>
  <c r="Y694" i="34"/>
  <c r="V694" i="34" s="1"/>
  <c r="Y695" i="34"/>
  <c r="V695" i="34" s="1"/>
  <c r="Y696" i="34"/>
  <c r="V696" i="34" s="1"/>
  <c r="Y697" i="34"/>
  <c r="V697" i="34" s="1"/>
  <c r="Y698" i="34"/>
  <c r="V698" i="34" s="1"/>
  <c r="Y699" i="34"/>
  <c r="V699" i="34" s="1"/>
  <c r="Y700" i="34"/>
  <c r="V700" i="34" s="1"/>
  <c r="Y701" i="34"/>
  <c r="V701" i="34" s="1"/>
  <c r="Y702" i="34"/>
  <c r="V702" i="34" s="1"/>
  <c r="Y703" i="34"/>
  <c r="V703" i="34" s="1"/>
  <c r="Y704" i="34"/>
  <c r="V704" i="34" s="1"/>
  <c r="Y705" i="34"/>
  <c r="V705" i="34" s="1"/>
  <c r="Y706" i="34"/>
  <c r="V706" i="34" s="1"/>
  <c r="Y707" i="34"/>
  <c r="V707" i="34" s="1"/>
  <c r="Y708" i="34"/>
  <c r="V708" i="34" s="1"/>
  <c r="Y709" i="34"/>
  <c r="V709" i="34" s="1"/>
  <c r="Y710" i="34"/>
  <c r="V710" i="34" s="1"/>
  <c r="Y711" i="34"/>
  <c r="V711" i="34" s="1"/>
  <c r="Y712" i="34"/>
  <c r="V712" i="34" s="1"/>
  <c r="Y713" i="34"/>
  <c r="V713" i="34" s="1"/>
  <c r="Y714" i="34"/>
  <c r="V714" i="34" s="1"/>
  <c r="Y715" i="34"/>
  <c r="V715" i="34" s="1"/>
  <c r="Y716" i="34"/>
  <c r="V716" i="34" s="1"/>
  <c r="Y717" i="34"/>
  <c r="V717" i="34" s="1"/>
  <c r="Y718" i="34"/>
  <c r="V718" i="34" s="1"/>
  <c r="Y719" i="34"/>
  <c r="V719" i="34" s="1"/>
  <c r="Y720" i="34"/>
  <c r="V720" i="34" s="1"/>
  <c r="Y721" i="34"/>
  <c r="V721" i="34" s="1"/>
  <c r="T14" i="33" s="1"/>
  <c r="I49" i="33" s="1"/>
  <c r="D30" i="40" s="1"/>
  <c r="Y722" i="34"/>
  <c r="V722" i="34" s="1"/>
  <c r="Y723" i="34"/>
  <c r="V723" i="34" s="1"/>
  <c r="Y724" i="34"/>
  <c r="V724" i="34" s="1"/>
  <c r="Y725" i="34"/>
  <c r="V725" i="34" s="1"/>
  <c r="Y726" i="34"/>
  <c r="V726" i="34" s="1"/>
  <c r="Y727" i="34"/>
  <c r="V727" i="34" s="1"/>
  <c r="Y728" i="34"/>
  <c r="V728" i="34" s="1"/>
  <c r="Y729" i="34"/>
  <c r="V729" i="34" s="1"/>
  <c r="Y730" i="34"/>
  <c r="V730" i="34" s="1"/>
  <c r="Y731" i="34"/>
  <c r="V731" i="34" s="1"/>
  <c r="Y732" i="34"/>
  <c r="V732" i="34" s="1"/>
  <c r="Y733" i="34"/>
  <c r="V733" i="34" s="1"/>
  <c r="Y734" i="34"/>
  <c r="V734" i="34" s="1"/>
  <c r="Y735" i="34"/>
  <c r="V735" i="34" s="1"/>
  <c r="Y736" i="34"/>
  <c r="V736" i="34" s="1"/>
  <c r="Y737" i="34"/>
  <c r="V737" i="34" s="1"/>
  <c r="Y738" i="34"/>
  <c r="V738" i="34" s="1"/>
  <c r="Y739" i="34"/>
  <c r="V739" i="34" s="1"/>
  <c r="Y740" i="34"/>
  <c r="V740" i="34" s="1"/>
  <c r="Y741" i="34"/>
  <c r="V741" i="34" s="1"/>
  <c r="Y742" i="34"/>
  <c r="V742" i="34" s="1"/>
  <c r="Y743" i="34"/>
  <c r="V743" i="34" s="1"/>
  <c r="Y744" i="34"/>
  <c r="V744" i="34" s="1"/>
  <c r="Y745" i="34"/>
  <c r="V745" i="34" s="1"/>
  <c r="Y746" i="34"/>
  <c r="V746" i="34" s="1"/>
  <c r="Y747" i="34"/>
  <c r="V747" i="34" s="1"/>
  <c r="Y748" i="34"/>
  <c r="V748" i="34" s="1"/>
  <c r="Y749" i="34"/>
  <c r="V749" i="34" s="1"/>
  <c r="Y750" i="34"/>
  <c r="V750" i="34" s="1"/>
  <c r="Y751" i="34"/>
  <c r="V751" i="34" s="1"/>
  <c r="Y752" i="34"/>
  <c r="V752" i="34" s="1"/>
  <c r="Y753" i="34"/>
  <c r="V753" i="34" s="1"/>
  <c r="Y754" i="34"/>
  <c r="V754" i="34" s="1"/>
  <c r="Y755" i="34"/>
  <c r="V755" i="34" s="1"/>
  <c r="Y756" i="34"/>
  <c r="V756" i="34" s="1"/>
  <c r="Y757" i="34"/>
  <c r="V757" i="34" s="1"/>
  <c r="Y758" i="34"/>
  <c r="V758" i="34" s="1"/>
  <c r="Y759" i="34"/>
  <c r="V759" i="34" s="1"/>
  <c r="Y760" i="34"/>
  <c r="V760" i="34" s="1"/>
  <c r="Y761" i="34"/>
  <c r="V761" i="34" s="1"/>
  <c r="Y762" i="34"/>
  <c r="V762" i="34" s="1"/>
  <c r="Y763" i="34"/>
  <c r="V763" i="34" s="1"/>
  <c r="Y764" i="34"/>
  <c r="V764" i="34" s="1"/>
  <c r="Y765" i="34"/>
  <c r="V765" i="34" s="1"/>
  <c r="Y766" i="34"/>
  <c r="V766" i="34" s="1"/>
  <c r="Y767" i="34"/>
  <c r="V767" i="34" s="1"/>
  <c r="Y768" i="34"/>
  <c r="V768" i="34" s="1"/>
  <c r="Y769" i="34"/>
  <c r="V769" i="34" s="1"/>
  <c r="Y770" i="34"/>
  <c r="V770" i="34" s="1"/>
  <c r="Y771" i="34"/>
  <c r="V771" i="34" s="1"/>
  <c r="Y772" i="34"/>
  <c r="V772" i="34" s="1"/>
  <c r="Y773" i="34"/>
  <c r="V773" i="34" s="1"/>
  <c r="Y774" i="34"/>
  <c r="V774" i="34" s="1"/>
  <c r="Y775" i="34"/>
  <c r="V775" i="34" s="1"/>
  <c r="Y776" i="34"/>
  <c r="V776" i="34" s="1"/>
  <c r="Y777" i="34"/>
  <c r="V777" i="34" s="1"/>
  <c r="Y778" i="34"/>
  <c r="V778" i="34" s="1"/>
  <c r="Y779" i="34"/>
  <c r="V779" i="34" s="1"/>
  <c r="Y780" i="34"/>
  <c r="V780" i="34" s="1"/>
  <c r="Y781" i="34"/>
  <c r="V781" i="34" s="1"/>
  <c r="Y782" i="34"/>
  <c r="V782" i="34" s="1"/>
  <c r="Y783" i="34"/>
  <c r="V783" i="34" s="1"/>
  <c r="Y784" i="34"/>
  <c r="V784" i="34" s="1"/>
  <c r="Y785" i="34"/>
  <c r="V785" i="34" s="1"/>
  <c r="Y786" i="34"/>
  <c r="V786" i="34" s="1"/>
  <c r="Y787" i="34"/>
  <c r="V787" i="34" s="1"/>
  <c r="Y788" i="34"/>
  <c r="V788" i="34" s="1"/>
  <c r="Y789" i="34"/>
  <c r="V789" i="34" s="1"/>
  <c r="Y790" i="34"/>
  <c r="V790" i="34" s="1"/>
  <c r="Y791" i="34"/>
  <c r="V791" i="34" s="1"/>
  <c r="Y792" i="34"/>
  <c r="V792" i="34" s="1"/>
  <c r="Y793" i="34"/>
  <c r="V793" i="34" s="1"/>
  <c r="Y794" i="34"/>
  <c r="V794" i="34" s="1"/>
  <c r="Y795" i="34"/>
  <c r="V795" i="34" s="1"/>
  <c r="Y796" i="34"/>
  <c r="V796" i="34" s="1"/>
  <c r="Y797" i="34"/>
  <c r="V797" i="34" s="1"/>
  <c r="Y798" i="34"/>
  <c r="V798" i="34" s="1"/>
  <c r="Y799" i="34"/>
  <c r="V799" i="34" s="1"/>
  <c r="Y800" i="34"/>
  <c r="V800" i="34" s="1"/>
  <c r="Y801" i="34"/>
  <c r="V801" i="34" s="1"/>
  <c r="Y802" i="34"/>
  <c r="V802" i="34" s="1"/>
  <c r="Y803" i="34"/>
  <c r="V803" i="34" s="1"/>
  <c r="Y804" i="34"/>
  <c r="V804" i="34" s="1"/>
  <c r="Y805" i="34"/>
  <c r="V805" i="34" s="1"/>
  <c r="Y806" i="34"/>
  <c r="V806" i="34" s="1"/>
  <c r="Y807" i="34"/>
  <c r="V807" i="34" s="1"/>
  <c r="Y808" i="34"/>
  <c r="V808" i="34" s="1"/>
  <c r="Y809" i="34"/>
  <c r="V809" i="34" s="1"/>
  <c r="Y810" i="34"/>
  <c r="V810" i="34" s="1"/>
  <c r="Y811" i="34"/>
  <c r="V811" i="34" s="1"/>
  <c r="Y812" i="34"/>
  <c r="V812" i="34" s="1"/>
  <c r="Y813" i="34"/>
  <c r="V813" i="34" s="1"/>
  <c r="Y814" i="34"/>
  <c r="V814" i="34" s="1"/>
  <c r="Y815" i="34"/>
  <c r="V815" i="34" s="1"/>
  <c r="Y816" i="34"/>
  <c r="V816" i="34" s="1"/>
  <c r="Y817" i="34"/>
  <c r="V817" i="34" s="1"/>
  <c r="Y818" i="34"/>
  <c r="V818" i="34" s="1"/>
  <c r="Y819" i="34"/>
  <c r="V819" i="34" s="1"/>
  <c r="Y820" i="34"/>
  <c r="V820" i="34" s="1"/>
  <c r="Y821" i="34"/>
  <c r="V821" i="34" s="1"/>
  <c r="Y822" i="34"/>
  <c r="V822" i="34" s="1"/>
  <c r="Y823" i="34"/>
  <c r="V823" i="34" s="1"/>
  <c r="Y824" i="34"/>
  <c r="V824" i="34" s="1"/>
  <c r="Y825" i="34"/>
  <c r="V825" i="34" s="1"/>
  <c r="Y826" i="34"/>
  <c r="V826" i="34" s="1"/>
  <c r="Y827" i="34"/>
  <c r="V827" i="34" s="1"/>
  <c r="Y828" i="34"/>
  <c r="V828" i="34" s="1"/>
  <c r="Y829" i="34"/>
  <c r="V829" i="34" s="1"/>
  <c r="Y830" i="34"/>
  <c r="V830" i="34" s="1"/>
  <c r="Y831" i="34"/>
  <c r="V831" i="34" s="1"/>
  <c r="Y832" i="34"/>
  <c r="V832" i="34" s="1"/>
  <c r="Y833" i="34"/>
  <c r="V833" i="34" s="1"/>
  <c r="Y834" i="34"/>
  <c r="V834" i="34" s="1"/>
  <c r="Y835" i="34"/>
  <c r="V835" i="34" s="1"/>
  <c r="Y836" i="34"/>
  <c r="V836" i="34" s="1"/>
  <c r="Y837" i="34"/>
  <c r="V837" i="34" s="1"/>
  <c r="Y838" i="34"/>
  <c r="V838" i="34" s="1"/>
  <c r="Y839" i="34"/>
  <c r="V839" i="34" s="1"/>
  <c r="Y840" i="34"/>
  <c r="V840" i="34" s="1"/>
  <c r="Y841" i="34"/>
  <c r="V841" i="34" s="1"/>
  <c r="Y842" i="34"/>
  <c r="V842" i="34" s="1"/>
  <c r="Y843" i="34"/>
  <c r="V843" i="34" s="1"/>
  <c r="Y844" i="34"/>
  <c r="V844" i="34" s="1"/>
  <c r="Y845" i="34"/>
  <c r="V845" i="34" s="1"/>
  <c r="Y846" i="34"/>
  <c r="V846" i="34" s="1"/>
  <c r="Y847" i="34"/>
  <c r="V847" i="34" s="1"/>
  <c r="Y848" i="34"/>
  <c r="V848" i="34" s="1"/>
  <c r="Y849" i="34"/>
  <c r="V849" i="34" s="1"/>
  <c r="Y850" i="34"/>
  <c r="V850" i="34" s="1"/>
  <c r="Y851" i="34"/>
  <c r="V851" i="34" s="1"/>
  <c r="Y852" i="34"/>
  <c r="V852" i="34" s="1"/>
  <c r="Y853" i="34"/>
  <c r="V853" i="34" s="1"/>
  <c r="Y854" i="34"/>
  <c r="V854" i="34" s="1"/>
  <c r="Y855" i="34"/>
  <c r="V855" i="34" s="1"/>
  <c r="Y856" i="34"/>
  <c r="V856" i="34" s="1"/>
  <c r="Y857" i="34"/>
  <c r="V857" i="34" s="1"/>
  <c r="Y858" i="34"/>
  <c r="V858" i="34" s="1"/>
  <c r="Y859" i="34"/>
  <c r="V859" i="34" s="1"/>
  <c r="Y860" i="34"/>
  <c r="V860" i="34" s="1"/>
  <c r="Y861" i="34"/>
  <c r="V861" i="34" s="1"/>
  <c r="Y862" i="34"/>
  <c r="V862" i="34" s="1"/>
  <c r="Y863" i="34"/>
  <c r="V863" i="34" s="1"/>
  <c r="Y864" i="34"/>
  <c r="V864" i="34" s="1"/>
  <c r="Y865" i="34"/>
  <c r="V865" i="34" s="1"/>
  <c r="Y866" i="34"/>
  <c r="V866" i="34" s="1"/>
  <c r="Y867" i="34"/>
  <c r="V867" i="34" s="1"/>
  <c r="Y868" i="34"/>
  <c r="V868" i="34" s="1"/>
  <c r="Y869" i="34"/>
  <c r="V869" i="34" s="1"/>
  <c r="Y870" i="34"/>
  <c r="V870" i="34" s="1"/>
  <c r="Y871" i="34"/>
  <c r="V871" i="34" s="1"/>
  <c r="Y872" i="34"/>
  <c r="V872" i="34" s="1"/>
  <c r="Y873" i="34"/>
  <c r="V873" i="34" s="1"/>
  <c r="Y874" i="34"/>
  <c r="V874" i="34" s="1"/>
  <c r="Y875" i="34"/>
  <c r="V875" i="34" s="1"/>
  <c r="Y876" i="34"/>
  <c r="V876" i="34" s="1"/>
  <c r="Y877" i="34"/>
  <c r="V877" i="34" s="1"/>
  <c r="Y878" i="34"/>
  <c r="V878" i="34" s="1"/>
  <c r="Y879" i="34"/>
  <c r="V879" i="34" s="1"/>
  <c r="Y880" i="34"/>
  <c r="V880" i="34" s="1"/>
  <c r="Y881" i="34"/>
  <c r="V881" i="34" s="1"/>
  <c r="Y882" i="34"/>
  <c r="V882" i="34" s="1"/>
  <c r="Y883" i="34"/>
  <c r="V883" i="34" s="1"/>
  <c r="Y884" i="34"/>
  <c r="V884" i="34" s="1"/>
  <c r="Y885" i="34"/>
  <c r="V885" i="34" s="1"/>
  <c r="Y886" i="34"/>
  <c r="V886" i="34" s="1"/>
  <c r="Y887" i="34"/>
  <c r="V887" i="34" s="1"/>
  <c r="Y888" i="34"/>
  <c r="V888" i="34" s="1"/>
  <c r="Y889" i="34"/>
  <c r="V889" i="34" s="1"/>
  <c r="Y890" i="34"/>
  <c r="V890" i="34" s="1"/>
  <c r="Y891" i="34"/>
  <c r="V891" i="34" s="1"/>
  <c r="Y892" i="34"/>
  <c r="V892" i="34" s="1"/>
  <c r="Y893" i="34"/>
  <c r="V893" i="34" s="1"/>
  <c r="Y894" i="34"/>
  <c r="V894" i="34" s="1"/>
  <c r="Y895" i="34"/>
  <c r="V895" i="34" s="1"/>
  <c r="Y896" i="34"/>
  <c r="V896" i="34" s="1"/>
  <c r="Y897" i="34"/>
  <c r="V897" i="34" s="1"/>
  <c r="Y898" i="34"/>
  <c r="V898" i="34" s="1"/>
  <c r="Y899" i="34"/>
  <c r="V899" i="34" s="1"/>
  <c r="Y900" i="34"/>
  <c r="V900" i="34" s="1"/>
  <c r="Y901" i="34"/>
  <c r="V901" i="34" s="1"/>
  <c r="Y902" i="34"/>
  <c r="V902" i="34" s="1"/>
  <c r="Y903" i="34"/>
  <c r="V903" i="34" s="1"/>
  <c r="Y904" i="34"/>
  <c r="V904" i="34" s="1"/>
  <c r="Y905" i="34"/>
  <c r="V905" i="34" s="1"/>
  <c r="Y906" i="34"/>
  <c r="V906" i="34" s="1"/>
  <c r="Y907" i="34"/>
  <c r="V907" i="34" s="1"/>
  <c r="Y908" i="34"/>
  <c r="V908" i="34" s="1"/>
  <c r="Y909" i="34"/>
  <c r="V909" i="34" s="1"/>
  <c r="Y910" i="34"/>
  <c r="V910" i="34" s="1"/>
  <c r="Y911" i="34"/>
  <c r="V911" i="34" s="1"/>
  <c r="Y912" i="34"/>
  <c r="V912" i="34" s="1"/>
  <c r="Y913" i="34"/>
  <c r="V913" i="34" s="1"/>
  <c r="Y914" i="34"/>
  <c r="V914" i="34" s="1"/>
  <c r="Y915" i="34"/>
  <c r="V915" i="34" s="1"/>
  <c r="Y916" i="34"/>
  <c r="V916" i="34" s="1"/>
  <c r="Y917" i="34"/>
  <c r="V917" i="34" s="1"/>
  <c r="Y918" i="34"/>
  <c r="V918" i="34" s="1"/>
  <c r="Y919" i="34"/>
  <c r="V919" i="34" s="1"/>
  <c r="Y920" i="34"/>
  <c r="V920" i="34" s="1"/>
  <c r="Y921" i="34"/>
  <c r="V921" i="34" s="1"/>
  <c r="Y922" i="34"/>
  <c r="V922" i="34" s="1"/>
  <c r="Y923" i="34"/>
  <c r="V923" i="34" s="1"/>
  <c r="Y924" i="34"/>
  <c r="V924" i="34" s="1"/>
  <c r="Y925" i="34"/>
  <c r="V925" i="34" s="1"/>
  <c r="Y926" i="34"/>
  <c r="V926" i="34" s="1"/>
  <c r="Y927" i="34"/>
  <c r="V927" i="34" s="1"/>
  <c r="Y928" i="34"/>
  <c r="V928" i="34" s="1"/>
  <c r="Y929" i="34"/>
  <c r="V929" i="34" s="1"/>
  <c r="Y930" i="34"/>
  <c r="V930" i="34" s="1"/>
  <c r="Y931" i="34"/>
  <c r="V931" i="34" s="1"/>
  <c r="Y932" i="34"/>
  <c r="V932" i="34" s="1"/>
  <c r="Y933" i="34"/>
  <c r="V933" i="34" s="1"/>
  <c r="Y934" i="34"/>
  <c r="V934" i="34" s="1"/>
  <c r="Y935" i="34"/>
  <c r="V935" i="34" s="1"/>
  <c r="Y936" i="34"/>
  <c r="V936" i="34" s="1"/>
  <c r="Y937" i="34"/>
  <c r="V937" i="34" s="1"/>
  <c r="Y938" i="34"/>
  <c r="V938" i="34" s="1"/>
  <c r="Y939" i="34"/>
  <c r="V939" i="34" s="1"/>
  <c r="Y940" i="34"/>
  <c r="V940" i="34" s="1"/>
  <c r="Y941" i="34"/>
  <c r="V941" i="34" s="1"/>
  <c r="Y942" i="34"/>
  <c r="V942" i="34" s="1"/>
  <c r="Y943" i="34"/>
  <c r="V943" i="34" s="1"/>
  <c r="Y944" i="34"/>
  <c r="V944" i="34" s="1"/>
  <c r="Y945" i="34"/>
  <c r="V945" i="34" s="1"/>
  <c r="Y946" i="34"/>
  <c r="V946" i="34" s="1"/>
  <c r="Y947" i="34"/>
  <c r="V947" i="34" s="1"/>
  <c r="Y948" i="34"/>
  <c r="V948" i="34" s="1"/>
  <c r="Y949" i="34"/>
  <c r="V949" i="34" s="1"/>
  <c r="Y950" i="34"/>
  <c r="V950" i="34" s="1"/>
  <c r="Y951" i="34"/>
  <c r="V951" i="34" s="1"/>
  <c r="Y952" i="34"/>
  <c r="V952" i="34" s="1"/>
  <c r="Y953" i="34"/>
  <c r="V953" i="34" s="1"/>
  <c r="Y954" i="34"/>
  <c r="V954" i="34" s="1"/>
  <c r="Y955" i="34"/>
  <c r="V955" i="34" s="1"/>
  <c r="Y956" i="34"/>
  <c r="V956" i="34" s="1"/>
  <c r="Y957" i="34"/>
  <c r="V957" i="34" s="1"/>
  <c r="Y958" i="34"/>
  <c r="V958" i="34" s="1"/>
  <c r="Y959" i="34"/>
  <c r="V959" i="34" s="1"/>
  <c r="Y960" i="34"/>
  <c r="V960" i="34" s="1"/>
  <c r="Y961" i="34"/>
  <c r="V961" i="34" s="1"/>
  <c r="Y962" i="34"/>
  <c r="V962" i="34" s="1"/>
  <c r="T15" i="33" s="1"/>
  <c r="I50" i="33" s="1"/>
  <c r="D31" i="40" s="1"/>
  <c r="Y963" i="34"/>
  <c r="V963" i="34" s="1"/>
  <c r="Y964" i="34"/>
  <c r="V964" i="34" s="1"/>
  <c r="Y965" i="34"/>
  <c r="V965" i="34" s="1"/>
  <c r="Y966" i="34"/>
  <c r="V966" i="34" s="1"/>
  <c r="Y967" i="34"/>
  <c r="V967" i="34" s="1"/>
  <c r="Y968" i="34"/>
  <c r="V968" i="34" s="1"/>
  <c r="Y969" i="34"/>
  <c r="V969" i="34" s="1"/>
  <c r="Y970" i="34"/>
  <c r="V970" i="34" s="1"/>
  <c r="Y971" i="34"/>
  <c r="V971" i="34" s="1"/>
  <c r="Y972" i="34"/>
  <c r="V972" i="34" s="1"/>
  <c r="T16" i="33" s="1"/>
  <c r="I51" i="33" s="1"/>
  <c r="D32" i="40" s="1"/>
  <c r="Y973" i="34"/>
  <c r="V973" i="34" s="1"/>
  <c r="Y974" i="34"/>
  <c r="V974" i="34" s="1"/>
  <c r="Y975" i="34"/>
  <c r="V975" i="34" s="1"/>
  <c r="Y976" i="34"/>
  <c r="V976" i="34" s="1"/>
  <c r="Y977" i="34"/>
  <c r="V977" i="34" s="1"/>
  <c r="Y978" i="34"/>
  <c r="V978" i="34" s="1"/>
  <c r="Y979" i="34"/>
  <c r="V979" i="34" s="1"/>
  <c r="Y980" i="34"/>
  <c r="V980" i="34" s="1"/>
  <c r="Y981" i="34"/>
  <c r="V981" i="34" s="1"/>
  <c r="Y982" i="34"/>
  <c r="V982" i="34" s="1"/>
  <c r="Y983" i="34"/>
  <c r="V983" i="34" s="1"/>
  <c r="T17" i="33" s="1"/>
  <c r="I52" i="33" s="1"/>
  <c r="D33" i="40" s="1"/>
  <c r="Y984" i="34"/>
  <c r="V984" i="34" s="1"/>
  <c r="Y985" i="34"/>
  <c r="V985" i="34" s="1"/>
  <c r="Y986" i="34"/>
  <c r="V986" i="34" s="1"/>
  <c r="Y987" i="34"/>
  <c r="V987" i="34" s="1"/>
  <c r="Y988" i="34"/>
  <c r="V988" i="34" s="1"/>
  <c r="Y989" i="34"/>
  <c r="V989" i="34" s="1"/>
  <c r="Y990" i="34"/>
  <c r="V990" i="34" s="1"/>
  <c r="Y991" i="34"/>
  <c r="V991" i="34" s="1"/>
  <c r="Y992" i="34"/>
  <c r="V992" i="34" s="1"/>
  <c r="Y993" i="34"/>
  <c r="V993" i="34" s="1"/>
  <c r="Y994" i="34"/>
  <c r="V994" i="34" s="1"/>
  <c r="Y995" i="34"/>
  <c r="V995" i="34" s="1"/>
  <c r="Y996" i="34"/>
  <c r="V996" i="34" s="1"/>
  <c r="T18" i="33" s="1"/>
  <c r="I53" i="33" s="1"/>
  <c r="D34" i="40" s="1"/>
  <c r="Y997" i="34"/>
  <c r="V997" i="34" s="1"/>
  <c r="Y998" i="34"/>
  <c r="V998" i="34" s="1"/>
  <c r="Y999" i="34"/>
  <c r="V999" i="34" s="1"/>
  <c r="Y1000" i="34"/>
  <c r="V1000" i="34" s="1"/>
  <c r="Y1001" i="34"/>
  <c r="V1001" i="34" s="1"/>
  <c r="Y1002" i="34"/>
  <c r="V1002" i="34" s="1"/>
  <c r="Y1003" i="34"/>
  <c r="V1003" i="34" s="1"/>
  <c r="Y1004" i="34"/>
  <c r="V1004" i="34" s="1"/>
  <c r="Y1005" i="34"/>
  <c r="V1005" i="34" s="1"/>
  <c r="Y1006" i="34"/>
  <c r="V1006" i="34" s="1"/>
  <c r="Y1007" i="34"/>
  <c r="V1007" i="34" s="1"/>
  <c r="Y1008" i="34"/>
  <c r="V1008" i="34" s="1"/>
  <c r="Y1009" i="34"/>
  <c r="V1009" i="34" s="1"/>
  <c r="Y1010" i="34"/>
  <c r="V1010" i="34" s="1"/>
  <c r="Y1011" i="34"/>
  <c r="V1011" i="34" s="1"/>
  <c r="T19" i="33" s="1"/>
  <c r="I54" i="33" s="1"/>
  <c r="D35" i="40" s="1"/>
  <c r="Y1012" i="34"/>
  <c r="V1012" i="34" s="1"/>
  <c r="Y1013" i="34"/>
  <c r="V1013" i="34" s="1"/>
  <c r="Y1014" i="34"/>
  <c r="V1014" i="34" s="1"/>
  <c r="Y1015" i="34"/>
  <c r="V1015" i="34" s="1"/>
  <c r="Y1016" i="34"/>
  <c r="V1016" i="34" s="1"/>
  <c r="Y1017" i="34"/>
  <c r="V1017" i="34" s="1"/>
  <c r="Y1018" i="34"/>
  <c r="V1018" i="34" s="1"/>
  <c r="Y1019" i="34"/>
  <c r="V1019" i="34" s="1"/>
  <c r="Y1020" i="34"/>
  <c r="V1020" i="34" s="1"/>
  <c r="Y1021" i="34"/>
  <c r="V1021" i="34" s="1"/>
  <c r="Y1022" i="34"/>
  <c r="V1022" i="34" s="1"/>
  <c r="Y1023" i="34"/>
  <c r="V1023" i="34" s="1"/>
  <c r="Y1024" i="34"/>
  <c r="V1024" i="34" s="1"/>
  <c r="Y1025" i="34"/>
  <c r="V1025" i="34" s="1"/>
  <c r="Y1026" i="34"/>
  <c r="V1026" i="34" s="1"/>
  <c r="Y1027" i="34"/>
  <c r="V1027" i="34" s="1"/>
  <c r="Y1028" i="34"/>
  <c r="V1028" i="34" s="1"/>
  <c r="T20" i="33" s="1"/>
  <c r="I55" i="33" s="1"/>
  <c r="D36" i="40" s="1"/>
  <c r="Y1029" i="34"/>
  <c r="V1029" i="34" s="1"/>
  <c r="Y1030" i="34"/>
  <c r="V1030" i="34" s="1"/>
  <c r="Y1031" i="34"/>
  <c r="V1031" i="34" s="1"/>
  <c r="Y1032" i="34"/>
  <c r="V1032" i="34" s="1"/>
  <c r="Y1033" i="34"/>
  <c r="V1033" i="34" s="1"/>
  <c r="Y1034" i="34"/>
  <c r="V1034" i="34" s="1"/>
  <c r="Y1035" i="34"/>
  <c r="V1035" i="34" s="1"/>
  <c r="Y1036" i="34"/>
  <c r="V1036" i="34" s="1"/>
  <c r="Y1037" i="34"/>
  <c r="V1037" i="34" s="1"/>
  <c r="Y1038" i="34"/>
  <c r="V1038" i="34" s="1"/>
  <c r="Y1039" i="34"/>
  <c r="V1039" i="34" s="1"/>
  <c r="Y1040" i="34"/>
  <c r="V1040" i="34" s="1"/>
  <c r="Y1041" i="34"/>
  <c r="V1041" i="34" s="1"/>
  <c r="Y1042" i="34"/>
  <c r="V1042" i="34" s="1"/>
  <c r="Y1043" i="34"/>
  <c r="V1043" i="34" s="1"/>
  <c r="Y1044" i="34"/>
  <c r="V1044" i="34" s="1"/>
  <c r="Y1045" i="34"/>
  <c r="V1045" i="34" s="1"/>
  <c r="Y1046" i="34"/>
  <c r="V1046" i="34" s="1"/>
  <c r="Y1047" i="34"/>
  <c r="V1047" i="34" s="1"/>
  <c r="T21" i="33" s="1"/>
  <c r="I56" i="33" s="1"/>
  <c r="D37" i="40" s="1"/>
  <c r="Y1048" i="34"/>
  <c r="V1048" i="34" s="1"/>
  <c r="Y1049" i="34"/>
  <c r="V1049" i="34" s="1"/>
  <c r="Y1050" i="34"/>
  <c r="V1050" i="34" s="1"/>
  <c r="Y1051" i="34"/>
  <c r="V1051" i="34" s="1"/>
  <c r="Y1052" i="34"/>
  <c r="V1052" i="34" s="1"/>
  <c r="Y1053" i="34"/>
  <c r="V1053" i="34" s="1"/>
  <c r="Y1054" i="34"/>
  <c r="V1054" i="34" s="1"/>
  <c r="Y1055" i="34"/>
  <c r="V1055" i="34" s="1"/>
  <c r="Y1056" i="34"/>
  <c r="V1056" i="34" s="1"/>
  <c r="Y1057" i="34"/>
  <c r="V1057" i="34" s="1"/>
  <c r="Y1058" i="34"/>
  <c r="V1058" i="34" s="1"/>
  <c r="Y1059" i="34"/>
  <c r="V1059" i="34" s="1"/>
  <c r="Y1060" i="34"/>
  <c r="V1060" i="34" s="1"/>
  <c r="Y1061" i="34"/>
  <c r="V1061" i="34" s="1"/>
  <c r="Y1062" i="34"/>
  <c r="V1062" i="34" s="1"/>
  <c r="Y1063" i="34"/>
  <c r="V1063" i="34" s="1"/>
  <c r="Y1064" i="34"/>
  <c r="V1064" i="34" s="1"/>
  <c r="Y1065" i="34"/>
  <c r="V1065" i="34" s="1"/>
  <c r="Y1066" i="34"/>
  <c r="V1066" i="34" s="1"/>
  <c r="Y1067" i="34"/>
  <c r="V1067" i="34" s="1"/>
  <c r="T22" i="33" s="1"/>
  <c r="I57" i="33" s="1"/>
  <c r="D38" i="40" s="1"/>
  <c r="Y1068" i="34"/>
  <c r="V1068" i="34" s="1"/>
  <c r="Y1069" i="34"/>
  <c r="V1069" i="34" s="1"/>
  <c r="Y1070" i="34"/>
  <c r="V1070" i="34" s="1"/>
  <c r="Y1071" i="34"/>
  <c r="V1071" i="34" s="1"/>
  <c r="Y1072" i="34"/>
  <c r="V1072" i="34" s="1"/>
  <c r="Y1073" i="34"/>
  <c r="V1073" i="34" s="1"/>
  <c r="Y1074" i="34"/>
  <c r="V1074" i="34" s="1"/>
  <c r="Y1075" i="34"/>
  <c r="V1075" i="34" s="1"/>
  <c r="Y1076" i="34"/>
  <c r="V1076" i="34" s="1"/>
  <c r="Y1077" i="34"/>
  <c r="V1077" i="34" s="1"/>
  <c r="Y1078" i="34"/>
  <c r="V1078" i="34" s="1"/>
  <c r="Y1079" i="34"/>
  <c r="V1079" i="34" s="1"/>
  <c r="Y1080" i="34"/>
  <c r="V1080" i="34" s="1"/>
  <c r="Y1081" i="34"/>
  <c r="V1081" i="34" s="1"/>
  <c r="Y1082" i="34"/>
  <c r="V1082" i="34" s="1"/>
  <c r="Y1083" i="34"/>
  <c r="V1083" i="34" s="1"/>
  <c r="Y1084" i="34"/>
  <c r="V1084" i="34" s="1"/>
  <c r="Y1085" i="34"/>
  <c r="V1085" i="34" s="1"/>
  <c r="Y1086" i="34"/>
  <c r="V1086" i="34" s="1"/>
  <c r="Y1087" i="34"/>
  <c r="V1087" i="34" s="1"/>
  <c r="Y1088" i="34"/>
  <c r="V1088" i="34" s="1"/>
  <c r="Y1089" i="34"/>
  <c r="V1089" i="34" s="1"/>
  <c r="Y1090" i="34"/>
  <c r="V1090" i="34" s="1"/>
  <c r="Y1091" i="34"/>
  <c r="V1091" i="34" s="1"/>
  <c r="T23" i="33" s="1"/>
  <c r="I58" i="33" s="1"/>
  <c r="D39" i="40" s="1"/>
  <c r="Y1092" i="34"/>
  <c r="V1092" i="34" s="1"/>
  <c r="Y1093" i="34"/>
  <c r="V1093" i="34" s="1"/>
  <c r="Y1094" i="34"/>
  <c r="V1094" i="34" s="1"/>
  <c r="Y1095" i="34"/>
  <c r="V1095" i="34" s="1"/>
  <c r="Y1096" i="34"/>
  <c r="V1096" i="34" s="1"/>
  <c r="Y1097" i="34"/>
  <c r="V1097" i="34" s="1"/>
  <c r="Y1098" i="34"/>
  <c r="V1098" i="34" s="1"/>
  <c r="Y1099" i="34"/>
  <c r="V1099" i="34" s="1"/>
  <c r="Y1100" i="34"/>
  <c r="V1100" i="34" s="1"/>
  <c r="Y1101" i="34"/>
  <c r="V1101" i="34" s="1"/>
  <c r="Y1102" i="34"/>
  <c r="V1102" i="34" s="1"/>
  <c r="Y1103" i="34"/>
  <c r="V1103" i="34" s="1"/>
  <c r="Y1104" i="34"/>
  <c r="V1104" i="34" s="1"/>
  <c r="Y1105" i="34"/>
  <c r="V1105" i="34" s="1"/>
  <c r="Y1106" i="34"/>
  <c r="V1106" i="34" s="1"/>
  <c r="Y1107" i="34"/>
  <c r="V1107" i="34" s="1"/>
  <c r="Y1108" i="34"/>
  <c r="V1108" i="34" s="1"/>
  <c r="Y1109" i="34"/>
  <c r="V1109" i="34" s="1"/>
  <c r="Y1110" i="34"/>
  <c r="V1110" i="34" s="1"/>
  <c r="Y1111" i="34"/>
  <c r="V1111" i="34" s="1"/>
  <c r="Y1112" i="34"/>
  <c r="V1112" i="34" s="1"/>
  <c r="Y1113" i="34"/>
  <c r="V1113" i="34" s="1"/>
  <c r="Y1114" i="34"/>
  <c r="V1114" i="34" s="1"/>
  <c r="Y1115" i="34"/>
  <c r="V1115" i="34" s="1"/>
  <c r="Y1116" i="34"/>
  <c r="V1116" i="34" s="1"/>
  <c r="T24" i="33" s="1"/>
  <c r="I59" i="33" s="1"/>
  <c r="D40" i="40" s="1"/>
  <c r="Y1117" i="34"/>
  <c r="V1117" i="34" s="1"/>
  <c r="Y1118" i="34"/>
  <c r="V1118" i="34" s="1"/>
  <c r="Y1119" i="34"/>
  <c r="V1119" i="34" s="1"/>
  <c r="Y1120" i="34"/>
  <c r="V1120" i="34" s="1"/>
  <c r="Y1121" i="34"/>
  <c r="V1121" i="34" s="1"/>
  <c r="Y1122" i="34"/>
  <c r="V1122" i="34" s="1"/>
  <c r="Y1123" i="34"/>
  <c r="V1123" i="34" s="1"/>
  <c r="Y1124" i="34"/>
  <c r="V1124" i="34" s="1"/>
  <c r="Y1125" i="34"/>
  <c r="V1125" i="34" s="1"/>
  <c r="Y1126" i="34"/>
  <c r="V1126" i="34" s="1"/>
  <c r="Y1127" i="34"/>
  <c r="V1127" i="34" s="1"/>
  <c r="Y1128" i="34"/>
  <c r="V1128" i="34" s="1"/>
  <c r="Y1129" i="34"/>
  <c r="V1129" i="34" s="1"/>
  <c r="Y1130" i="34"/>
  <c r="V1130" i="34" s="1"/>
  <c r="Y1131" i="34"/>
  <c r="V1131" i="34" s="1"/>
  <c r="T25" i="33" s="1"/>
  <c r="I60" i="33" s="1"/>
  <c r="D41" i="40" s="1"/>
  <c r="Y1132" i="34"/>
  <c r="V1132" i="34" s="1"/>
  <c r="Y1133" i="34"/>
  <c r="V1133" i="34" s="1"/>
  <c r="Y1134" i="34"/>
  <c r="V1134" i="34" s="1"/>
  <c r="Y1135" i="34"/>
  <c r="V1135" i="34" s="1"/>
  <c r="Y1136" i="34"/>
  <c r="V1136" i="34" s="1"/>
  <c r="Y1137" i="34"/>
  <c r="V1137" i="34" s="1"/>
  <c r="T26" i="33" s="1"/>
  <c r="I61" i="33" s="1"/>
  <c r="D42" i="40" s="1"/>
  <c r="Y1138" i="34"/>
  <c r="V1138" i="34" s="1"/>
  <c r="Y1139" i="34"/>
  <c r="V1139" i="34" s="1"/>
  <c r="Y1140" i="34"/>
  <c r="V1140" i="34" s="1"/>
  <c r="Y1141" i="34"/>
  <c r="V1141" i="34" s="1"/>
  <c r="Y1142" i="34"/>
  <c r="V1142" i="34" s="1"/>
  <c r="Y1143" i="34"/>
  <c r="V1143" i="34" s="1"/>
  <c r="T27" i="33" s="1"/>
  <c r="I62" i="33" s="1"/>
  <c r="D43" i="40" s="1"/>
  <c r="Y1144" i="34"/>
  <c r="V1144" i="34" s="1"/>
  <c r="Y1145" i="34"/>
  <c r="V1145" i="34" s="1"/>
  <c r="Y1146" i="34"/>
  <c r="V1146" i="34" s="1"/>
  <c r="Y1147" i="34"/>
  <c r="V1147" i="34" s="1"/>
  <c r="Y1148" i="34"/>
  <c r="V1148" i="34" s="1"/>
  <c r="Y1149" i="34"/>
  <c r="V1149" i="34" s="1"/>
  <c r="T28" i="33" s="1"/>
  <c r="I63" i="33" s="1"/>
  <c r="D44" i="40" s="1"/>
  <c r="Y1150" i="34"/>
  <c r="V1150" i="34" s="1"/>
  <c r="Y1151" i="34"/>
  <c r="V1151" i="34" s="1"/>
  <c r="Y1152" i="34"/>
  <c r="V1152" i="34" s="1"/>
  <c r="Y1153" i="34"/>
  <c r="V1153" i="34" s="1"/>
  <c r="Y1154" i="34"/>
  <c r="V1154" i="34" s="1"/>
  <c r="Y1155" i="34"/>
  <c r="V1155" i="34" s="1"/>
  <c r="Y1156" i="34"/>
  <c r="V1156" i="34" s="1"/>
  <c r="T29" i="33" s="1"/>
  <c r="I64" i="33" s="1"/>
  <c r="D45" i="40" s="1"/>
  <c r="Y1157" i="34"/>
  <c r="V1157" i="34" s="1"/>
  <c r="Y1158" i="34"/>
  <c r="V1158" i="34" s="1"/>
  <c r="Y1159" i="34"/>
  <c r="V1159" i="34" s="1"/>
  <c r="Y1160" i="34"/>
  <c r="V1160" i="34" s="1"/>
  <c r="Y1161" i="34"/>
  <c r="V1161" i="34" s="1"/>
  <c r="Y1162" i="34"/>
  <c r="V1162" i="34" s="1"/>
  <c r="Y1163" i="34"/>
  <c r="V1163" i="34" s="1"/>
  <c r="Y1164" i="34"/>
  <c r="V1164" i="34" s="1"/>
  <c r="T30" i="33" s="1"/>
  <c r="I65" i="33" s="1"/>
  <c r="D46" i="40" s="1"/>
  <c r="Y1165" i="34"/>
  <c r="V1165" i="34" s="1"/>
  <c r="Y1166" i="34"/>
  <c r="V1166" i="34" s="1"/>
  <c r="Y1167" i="34"/>
  <c r="V1167" i="34" s="1"/>
  <c r="Y1168" i="34"/>
  <c r="V1168" i="34" s="1"/>
  <c r="Y1169" i="34"/>
  <c r="V1169" i="34" s="1"/>
  <c r="Y1170" i="34"/>
  <c r="V1170" i="34" s="1"/>
  <c r="Y1171" i="34"/>
  <c r="V1171" i="34" s="1"/>
  <c r="Y1172" i="34"/>
  <c r="V1172" i="34" s="1"/>
  <c r="T31" i="33" s="1"/>
  <c r="I66" i="33" s="1"/>
  <c r="D47" i="40" s="1"/>
  <c r="Y1173" i="34"/>
  <c r="V1173" i="34" s="1"/>
  <c r="Y1174" i="34"/>
  <c r="V1174" i="34" s="1"/>
  <c r="Y1175" i="34"/>
  <c r="V1175" i="34" s="1"/>
  <c r="Y1176" i="34"/>
  <c r="V1176" i="34" s="1"/>
  <c r="Y1177" i="34"/>
  <c r="V1177" i="34" s="1"/>
  <c r="Y1178" i="34"/>
  <c r="V1178" i="34" s="1"/>
  <c r="Y1179" i="34"/>
  <c r="V1179" i="34" s="1"/>
  <c r="Y1180" i="34"/>
  <c r="V1180" i="34" s="1"/>
  <c r="T32" i="33" s="1"/>
  <c r="I67" i="33" s="1"/>
  <c r="D48" i="40" s="1"/>
  <c r="Y1181" i="34"/>
  <c r="V1181" i="34" s="1"/>
  <c r="Y1182" i="34"/>
  <c r="V1182" i="34" s="1"/>
  <c r="Y1183" i="34"/>
  <c r="V1183" i="34" s="1"/>
  <c r="Y1184" i="34"/>
  <c r="V1184" i="34" s="1"/>
  <c r="Y1185" i="34"/>
  <c r="V1185" i="34" s="1"/>
  <c r="Y1186" i="34"/>
  <c r="V1186" i="34" s="1"/>
  <c r="Y1187" i="34"/>
  <c r="V1187" i="34" s="1"/>
  <c r="Y1188" i="34"/>
  <c r="V1188" i="34" s="1"/>
  <c r="T33" i="33" s="1"/>
  <c r="I68" i="33" s="1"/>
  <c r="D49" i="40" s="1"/>
  <c r="Y1189" i="34"/>
  <c r="V1189" i="34" s="1"/>
  <c r="Y1190" i="34"/>
  <c r="V1190" i="34" s="1"/>
  <c r="Y1191" i="34"/>
  <c r="V1191" i="34" s="1"/>
  <c r="Y1192" i="34"/>
  <c r="V1192" i="34" s="1"/>
  <c r="Y1193" i="34"/>
  <c r="V1193" i="34" s="1"/>
  <c r="Y1194" i="34"/>
  <c r="V1194" i="34" s="1"/>
  <c r="Y1195" i="34"/>
  <c r="V1195" i="34" s="1"/>
  <c r="Y1196" i="34"/>
  <c r="V1196" i="34" s="1"/>
  <c r="Y1197" i="34"/>
  <c r="V1197" i="34" s="1"/>
  <c r="Y1198" i="34"/>
  <c r="V1198" i="34" s="1"/>
  <c r="Y1199" i="34"/>
  <c r="V1199" i="34" s="1"/>
  <c r="Y1200" i="34"/>
  <c r="V1200" i="34" s="1"/>
  <c r="Y1201" i="34"/>
  <c r="V1201" i="34" s="1"/>
  <c r="Y1202" i="34"/>
  <c r="V1202" i="34" s="1"/>
  <c r="Y1203" i="34"/>
  <c r="V1203" i="34" s="1"/>
  <c r="Y1204" i="34"/>
  <c r="V1204" i="34" s="1"/>
  <c r="Y1205" i="34"/>
  <c r="V1205" i="34" s="1"/>
  <c r="Y1206" i="34"/>
  <c r="V1206" i="34" s="1"/>
  <c r="Y1207" i="34"/>
  <c r="V1207" i="34" s="1"/>
  <c r="Y1208" i="34"/>
  <c r="V1208" i="34" s="1"/>
  <c r="Y1209" i="34"/>
  <c r="V1209" i="34" s="1"/>
  <c r="Y1210" i="34"/>
  <c r="V1210" i="34" s="1"/>
  <c r="Y1211" i="34"/>
  <c r="V1211" i="34" s="1"/>
  <c r="Y1212" i="34"/>
  <c r="V1212" i="34" s="1"/>
  <c r="Y1213" i="34"/>
  <c r="V1213" i="34" s="1"/>
  <c r="Y1214" i="34"/>
  <c r="V1214" i="34" s="1"/>
  <c r="Y1215" i="34"/>
  <c r="V1215" i="34" s="1"/>
  <c r="Y1216" i="34"/>
  <c r="V1216" i="34" s="1"/>
  <c r="Y1217" i="34"/>
  <c r="V1217" i="34" s="1"/>
  <c r="Y1218" i="34"/>
  <c r="V1218" i="34" s="1"/>
  <c r="Y1219" i="34"/>
  <c r="V1219" i="34" s="1"/>
  <c r="Y1220" i="34"/>
  <c r="V1220" i="34" s="1"/>
  <c r="Y1221" i="34"/>
  <c r="V1221" i="34" s="1"/>
  <c r="Y1222" i="34"/>
  <c r="V1222" i="34" s="1"/>
  <c r="Y1223" i="34"/>
  <c r="V1223" i="34" s="1"/>
  <c r="Y1224" i="34"/>
  <c r="V1224" i="34" s="1"/>
  <c r="Y1225" i="34"/>
  <c r="V1225" i="34" s="1"/>
  <c r="Y1226" i="34"/>
  <c r="V1226" i="34" s="1"/>
  <c r="Y1227" i="34"/>
  <c r="V1227" i="34" s="1"/>
  <c r="Y1228" i="34"/>
  <c r="V1228" i="34" s="1"/>
  <c r="Y1229" i="34"/>
  <c r="V1229" i="34" s="1"/>
  <c r="Y1230" i="34"/>
  <c r="V1230" i="34" s="1"/>
  <c r="Y1231" i="34"/>
  <c r="V1231" i="34" s="1"/>
  <c r="Y1232" i="34"/>
  <c r="V1232" i="34" s="1"/>
  <c r="Y1233" i="34"/>
  <c r="V1233" i="34" s="1"/>
  <c r="Y1234" i="34"/>
  <c r="V1234" i="34" s="1"/>
  <c r="Y1235" i="34"/>
  <c r="V1235" i="34" s="1"/>
  <c r="Y1236" i="34"/>
  <c r="V1236" i="34" s="1"/>
  <c r="Y1237" i="34"/>
  <c r="V1237" i="34" s="1"/>
  <c r="Y1238" i="34"/>
  <c r="V1238" i="34" s="1"/>
  <c r="Y1239" i="34"/>
  <c r="V1239" i="34" s="1"/>
  <c r="Y1240" i="34"/>
  <c r="V1240" i="34" s="1"/>
  <c r="Y1241" i="34"/>
  <c r="V1241" i="34" s="1"/>
  <c r="Y1242" i="34"/>
  <c r="V1242" i="34" s="1"/>
  <c r="Y1243" i="34"/>
  <c r="V1243" i="34" s="1"/>
  <c r="Y1244" i="34"/>
  <c r="V1244" i="34" s="1"/>
  <c r="Y1245" i="34"/>
  <c r="V1245" i="34" s="1"/>
  <c r="Y1246" i="34"/>
  <c r="V1246" i="34" s="1"/>
  <c r="Y1247" i="34"/>
  <c r="V1247" i="34" s="1"/>
  <c r="Y1248" i="34"/>
  <c r="V1248" i="34" s="1"/>
  <c r="Y1249" i="34"/>
  <c r="V1249" i="34" s="1"/>
  <c r="Y1250" i="34"/>
  <c r="V1250" i="34" s="1"/>
  <c r="Y1251" i="34"/>
  <c r="V1251" i="34" s="1"/>
  <c r="Y1252" i="34"/>
  <c r="V1252" i="34" s="1"/>
  <c r="Y1253" i="34"/>
  <c r="V1253" i="34" s="1"/>
  <c r="Y1254" i="34"/>
  <c r="V1254" i="34" s="1"/>
  <c r="Y1255" i="34"/>
  <c r="V1255" i="34" s="1"/>
  <c r="Y1256" i="34"/>
  <c r="V1256" i="34" s="1"/>
  <c r="Y1257" i="34"/>
  <c r="V1257" i="34" s="1"/>
  <c r="Y1258" i="34"/>
  <c r="V1258" i="34" s="1"/>
  <c r="Y1259" i="34"/>
  <c r="V1259" i="34" s="1"/>
  <c r="Y1260" i="34"/>
  <c r="V1260" i="34" s="1"/>
  <c r="Y1261" i="34"/>
  <c r="V1261" i="34" s="1"/>
  <c r="Y1262" i="34"/>
  <c r="V1262" i="34" s="1"/>
  <c r="Y1263" i="34"/>
  <c r="V1263" i="34" s="1"/>
  <c r="Y1264" i="34"/>
  <c r="V1264" i="34" s="1"/>
  <c r="Y1265" i="34"/>
  <c r="V1265" i="34" s="1"/>
  <c r="Y1266" i="34"/>
  <c r="V1266" i="34" s="1"/>
  <c r="Y1267" i="34"/>
  <c r="V1267" i="34" s="1"/>
  <c r="Y1268" i="34"/>
  <c r="V1268" i="34" s="1"/>
  <c r="Y1269" i="34"/>
  <c r="V1269" i="34" s="1"/>
  <c r="Y1270" i="34"/>
  <c r="V1270" i="34" s="1"/>
  <c r="T34" i="33" s="1"/>
  <c r="I69" i="33" s="1"/>
  <c r="Y1271" i="34"/>
  <c r="V1271" i="34" s="1"/>
  <c r="Y1272" i="34"/>
  <c r="V1272" i="34" s="1"/>
  <c r="Y1273" i="34"/>
  <c r="V1273" i="34" s="1"/>
  <c r="Y1274" i="34"/>
  <c r="V1274" i="34" s="1"/>
  <c r="Y1275" i="34"/>
  <c r="V1275" i="34" s="1"/>
  <c r="Y1276" i="34"/>
  <c r="V1276" i="34" s="1"/>
  <c r="Y1277" i="34"/>
  <c r="V1277" i="34" s="1"/>
  <c r="Y1278" i="34"/>
  <c r="V1278" i="34" s="1"/>
  <c r="Y1279" i="34"/>
  <c r="V1279" i="34" s="1"/>
  <c r="Y1280" i="34"/>
  <c r="V1280" i="34" s="1"/>
  <c r="Y1281" i="34"/>
  <c r="V1281" i="34" s="1"/>
  <c r="Y1282" i="34"/>
  <c r="V1282" i="34" s="1"/>
  <c r="Y1283" i="34"/>
  <c r="V1283" i="34" s="1"/>
  <c r="Y1284" i="34"/>
  <c r="V1284" i="34" s="1"/>
  <c r="Y1285" i="34"/>
  <c r="V1285" i="34" s="1"/>
  <c r="Y1286" i="34"/>
  <c r="V1286" i="34" s="1"/>
  <c r="Y1287" i="34"/>
  <c r="V1287" i="34" s="1"/>
  <c r="Y1288" i="34"/>
  <c r="V1288" i="34" s="1"/>
  <c r="Y1289" i="34"/>
  <c r="V1289" i="34" s="1"/>
  <c r="Y1290" i="34"/>
  <c r="V1290" i="34" s="1"/>
  <c r="Y1291" i="34"/>
  <c r="V1291" i="34" s="1"/>
  <c r="Y1292" i="34"/>
  <c r="V1292" i="34" s="1"/>
  <c r="Y1293" i="34"/>
  <c r="V1293" i="34" s="1"/>
  <c r="Y1294" i="34"/>
  <c r="V1294" i="34" s="1"/>
  <c r="Y1295" i="34"/>
  <c r="V1295" i="34" s="1"/>
  <c r="Y1296" i="34"/>
  <c r="V1296" i="34" s="1"/>
  <c r="Y1297" i="34"/>
  <c r="V1297" i="34" s="1"/>
  <c r="Y1298" i="34"/>
  <c r="V1298" i="34" s="1"/>
  <c r="Y1299" i="34"/>
  <c r="V1299" i="34" s="1"/>
  <c r="Y1300" i="34"/>
  <c r="V1300" i="34" s="1"/>
  <c r="Y1301" i="34"/>
  <c r="V1301" i="34" s="1"/>
  <c r="Y1302" i="34"/>
  <c r="V1302" i="34" s="1"/>
  <c r="Y1303" i="34"/>
  <c r="V1303" i="34" s="1"/>
  <c r="Y1304" i="34"/>
  <c r="V1304" i="34" s="1"/>
  <c r="Y1305" i="34"/>
  <c r="V1305" i="34" s="1"/>
  <c r="Y1306" i="34"/>
  <c r="V1306" i="34" s="1"/>
  <c r="Y1307" i="34"/>
  <c r="V1307" i="34" s="1"/>
  <c r="Y1308" i="34"/>
  <c r="V1308" i="34" s="1"/>
  <c r="Y1309" i="34"/>
  <c r="V1309" i="34" s="1"/>
  <c r="Y1310" i="34"/>
  <c r="V1310" i="34" s="1"/>
  <c r="Y1311" i="34"/>
  <c r="V1311" i="34" s="1"/>
  <c r="Y1312" i="34"/>
  <c r="V1312" i="34" s="1"/>
  <c r="Y1313" i="34"/>
  <c r="V1313" i="34" s="1"/>
  <c r="Y1314" i="34"/>
  <c r="V1314" i="34" s="1"/>
  <c r="Y1315" i="34"/>
  <c r="V1315" i="34" s="1"/>
  <c r="Y1316" i="34"/>
  <c r="V1316" i="34" s="1"/>
  <c r="Y1317" i="34"/>
  <c r="V1317" i="34" s="1"/>
  <c r="Y1318" i="34"/>
  <c r="V1318" i="34" s="1"/>
  <c r="Y1319" i="34"/>
  <c r="V1319" i="34" s="1"/>
  <c r="Y1320" i="34"/>
  <c r="V1320" i="34" s="1"/>
  <c r="Y1321" i="34"/>
  <c r="V1321" i="34" s="1"/>
  <c r="Y1322" i="34"/>
  <c r="V1322" i="34" s="1"/>
  <c r="Y1323" i="34"/>
  <c r="V1323" i="34" s="1"/>
  <c r="Y1324" i="34"/>
  <c r="V1324" i="34" s="1"/>
  <c r="Y1325" i="34"/>
  <c r="V1325" i="34" s="1"/>
  <c r="Y1326" i="34"/>
  <c r="V1326" i="34" s="1"/>
  <c r="Y1327" i="34"/>
  <c r="V1327" i="34" s="1"/>
  <c r="Y1328" i="34"/>
  <c r="V1328" i="34" s="1"/>
  <c r="Y1329" i="34"/>
  <c r="Y1330" i="34"/>
  <c r="Y1331" i="34"/>
  <c r="Y1332" i="34"/>
  <c r="Y1333" i="34"/>
  <c r="Y1334" i="34"/>
  <c r="Y1335" i="34"/>
  <c r="Y1336" i="34"/>
  <c r="Y1337" i="34"/>
  <c r="Y1338" i="34"/>
  <c r="Y1339" i="34"/>
  <c r="Y1340" i="34"/>
  <c r="Y1341" i="34"/>
  <c r="Y1342" i="34"/>
  <c r="Y1343" i="34"/>
  <c r="Y1344" i="34"/>
  <c r="Y1345" i="34"/>
  <c r="Y1346" i="34"/>
  <c r="Y1347" i="34"/>
  <c r="Y1348" i="34"/>
  <c r="Y1349" i="34"/>
  <c r="Y1350" i="34"/>
  <c r="Y1351" i="34"/>
  <c r="Y1352" i="34"/>
  <c r="Y1353" i="34"/>
  <c r="Y1354" i="34"/>
  <c r="Y1355" i="34"/>
  <c r="Y1356" i="34"/>
  <c r="Y1357" i="34"/>
  <c r="Y1358" i="34"/>
  <c r="Y1359" i="34"/>
  <c r="Y1360" i="34"/>
  <c r="Y1361" i="34"/>
  <c r="Y1362" i="34"/>
  <c r="Y1363" i="34"/>
  <c r="Y1364" i="34"/>
  <c r="Y1365" i="34"/>
  <c r="Y1366" i="34"/>
  <c r="Y1367" i="34"/>
  <c r="Y1368" i="34"/>
  <c r="Y1369" i="34"/>
  <c r="Y1370" i="34"/>
  <c r="Y1371" i="34"/>
  <c r="Y1372" i="34"/>
  <c r="Y1373" i="34"/>
  <c r="Y1374" i="34"/>
  <c r="Y1375" i="34"/>
  <c r="Y1376" i="34"/>
  <c r="Y1377" i="34"/>
  <c r="Y1378" i="34"/>
  <c r="Y1379" i="34"/>
  <c r="Y1380" i="34"/>
  <c r="Y1381" i="34"/>
  <c r="Y1382" i="34"/>
  <c r="Y1383" i="34"/>
  <c r="Y1384" i="34"/>
  <c r="Y1385" i="34"/>
  <c r="Y1386" i="34"/>
  <c r="Y1387" i="34"/>
  <c r="Y1388" i="34"/>
  <c r="Y1389" i="34"/>
  <c r="Y1390" i="34"/>
  <c r="Y1391" i="34"/>
  <c r="Y1392" i="34"/>
  <c r="Y1393" i="34"/>
  <c r="Y1394" i="34"/>
  <c r="Y1395" i="34"/>
  <c r="Y1396" i="34"/>
  <c r="Y1397" i="34"/>
  <c r="Y1398" i="34"/>
  <c r="Y1399" i="34"/>
  <c r="Y1400" i="34"/>
  <c r="Y1401" i="34"/>
  <c r="Y1402" i="34"/>
  <c r="Y1403" i="34"/>
  <c r="Y1404" i="34"/>
  <c r="Y1405" i="34"/>
  <c r="Y1406" i="34"/>
  <c r="Y1407" i="34"/>
  <c r="Y1408" i="34"/>
  <c r="Y1409" i="34"/>
  <c r="Y1410" i="34"/>
  <c r="Y1411" i="34"/>
  <c r="Y1412" i="34"/>
  <c r="Y1413" i="34"/>
  <c r="Y1414" i="34"/>
  <c r="Y1415" i="34"/>
  <c r="Y1416" i="34"/>
  <c r="Y1417" i="34"/>
  <c r="Y1418" i="34"/>
  <c r="Y1419" i="34"/>
  <c r="Y1420" i="34"/>
  <c r="Y1421" i="34"/>
  <c r="Y1422" i="34"/>
  <c r="Y1423" i="34"/>
  <c r="Y1424" i="34"/>
  <c r="Y1425" i="34"/>
  <c r="Y1426" i="34"/>
  <c r="Y1427" i="34"/>
  <c r="Y1428" i="34"/>
  <c r="Y1429" i="34"/>
  <c r="Y1430" i="34"/>
  <c r="Y1431" i="34"/>
  <c r="Y1432" i="34"/>
  <c r="Y1433" i="34"/>
  <c r="Y1434" i="34"/>
  <c r="Y1435" i="34"/>
  <c r="Y1436" i="34"/>
  <c r="Y1437" i="34"/>
  <c r="Y1438" i="34"/>
  <c r="Y1439" i="34"/>
  <c r="Y1440" i="34"/>
  <c r="Y1441" i="34"/>
  <c r="Y1442" i="34"/>
  <c r="Y1443" i="34"/>
  <c r="Y1444" i="34"/>
  <c r="Y1445" i="34"/>
  <c r="Y1446" i="34"/>
  <c r="Y1447" i="34"/>
  <c r="Y1448" i="34"/>
  <c r="Y1449" i="34"/>
  <c r="Y1450" i="34"/>
  <c r="Y1451" i="34"/>
  <c r="Y1452" i="34"/>
  <c r="Y1453" i="34"/>
  <c r="Y1454" i="34"/>
  <c r="Y1455" i="34"/>
  <c r="Y1456" i="34"/>
  <c r="Y1457" i="34"/>
  <c r="Y1458" i="34"/>
  <c r="Y1459" i="34"/>
  <c r="Y1460" i="34"/>
  <c r="Y1461" i="34"/>
  <c r="Y1462" i="34"/>
  <c r="Y1463" i="34"/>
  <c r="Y1464" i="34"/>
  <c r="Y1465" i="34"/>
  <c r="Y1466" i="34"/>
  <c r="Y1467" i="34"/>
  <c r="Y1468" i="34"/>
  <c r="Y1469" i="34"/>
  <c r="Y1470" i="34"/>
  <c r="Y1471" i="34"/>
  <c r="Y1472" i="34"/>
  <c r="Y1473" i="34"/>
  <c r="Y1474" i="34"/>
  <c r="Y1475" i="34"/>
  <c r="Y1476" i="34"/>
  <c r="Y1477" i="34"/>
  <c r="Y1478" i="34"/>
  <c r="Y1479" i="34"/>
  <c r="Y1480" i="34"/>
  <c r="Y1481" i="34"/>
  <c r="Y1482" i="34"/>
  <c r="Y1483" i="34"/>
  <c r="Y1484" i="34"/>
  <c r="Y1485" i="34"/>
  <c r="Y1486" i="34"/>
  <c r="Y1487" i="34"/>
  <c r="Y1488" i="34"/>
  <c r="Y1489" i="34"/>
  <c r="V1329" i="34"/>
  <c r="V1330" i="34"/>
  <c r="V1331" i="34"/>
  <c r="V1332" i="34"/>
  <c r="V1333" i="34"/>
  <c r="V1334" i="34"/>
  <c r="V1335" i="34"/>
  <c r="V1336" i="34"/>
  <c r="V1337" i="34"/>
  <c r="V1338" i="34"/>
  <c r="V1339" i="34"/>
  <c r="V1340" i="34"/>
  <c r="V1341" i="34"/>
  <c r="V1342" i="34"/>
  <c r="V1343" i="34"/>
  <c r="V1344" i="34"/>
  <c r="V1345" i="34"/>
  <c r="V1346" i="34"/>
  <c r="V1347" i="34"/>
  <c r="V1348" i="34"/>
  <c r="V1349" i="34"/>
  <c r="V1350" i="34"/>
  <c r="V1351" i="34"/>
  <c r="V1352" i="34"/>
  <c r="V1353" i="34"/>
  <c r="V1354" i="34"/>
  <c r="V1355" i="34"/>
  <c r="V1356" i="34"/>
  <c r="V1357" i="34"/>
  <c r="V1358" i="34"/>
  <c r="V1359" i="34"/>
  <c r="V1360" i="34"/>
  <c r="V1361" i="34"/>
  <c r="V1362" i="34"/>
  <c r="V1363" i="34"/>
  <c r="V1364" i="34"/>
  <c r="V1365" i="34"/>
  <c r="V1366" i="34"/>
  <c r="V1367" i="34"/>
  <c r="V1368" i="34"/>
  <c r="V1369" i="34"/>
  <c r="V1370" i="34"/>
  <c r="V1371" i="34"/>
  <c r="V1372" i="34"/>
  <c r="V1373" i="34"/>
  <c r="V1374" i="34"/>
  <c r="V1375" i="34"/>
  <c r="V1376" i="34"/>
  <c r="V1377" i="34"/>
  <c r="V1378" i="34"/>
  <c r="V1379" i="34"/>
  <c r="V1380" i="34"/>
  <c r="V1381" i="34"/>
  <c r="V1382" i="34"/>
  <c r="V1383" i="34"/>
  <c r="V1384" i="34"/>
  <c r="V1385" i="34"/>
  <c r="V1386" i="34"/>
  <c r="V1387" i="34"/>
  <c r="V1388" i="34"/>
  <c r="V1389" i="34"/>
  <c r="V1390" i="34"/>
  <c r="V1391" i="34"/>
  <c r="V1392" i="34"/>
  <c r="V1393" i="34"/>
  <c r="V1394" i="34"/>
  <c r="V1395" i="34"/>
  <c r="V1396" i="34"/>
  <c r="V1397" i="34"/>
  <c r="V1398" i="34"/>
  <c r="V1399" i="34"/>
  <c r="V1400" i="34"/>
  <c r="V1401" i="34"/>
  <c r="V1402" i="34"/>
  <c r="V1403" i="34"/>
  <c r="V1404" i="34"/>
  <c r="V1405" i="34"/>
  <c r="V1406" i="34"/>
  <c r="V1407" i="34"/>
  <c r="V1408" i="34"/>
  <c r="V1409" i="34"/>
  <c r="V1410" i="34"/>
  <c r="V1411" i="34"/>
  <c r="V1412" i="34"/>
  <c r="V1413" i="34"/>
  <c r="V1414" i="34"/>
  <c r="V1415" i="34"/>
  <c r="V1416" i="34"/>
  <c r="V1417" i="34"/>
  <c r="V1418" i="34"/>
  <c r="V1419" i="34"/>
  <c r="V1420" i="34"/>
  <c r="V1421" i="34"/>
  <c r="V1422" i="34"/>
  <c r="V1423" i="34"/>
  <c r="V1424" i="34"/>
  <c r="V1425" i="34"/>
  <c r="V1426" i="34"/>
  <c r="V1427" i="34"/>
  <c r="V1428" i="34"/>
  <c r="V1429" i="34"/>
  <c r="V1430" i="34"/>
  <c r="V1431" i="34"/>
  <c r="V1432" i="34"/>
  <c r="V1433" i="34"/>
  <c r="V1434" i="34"/>
  <c r="V1435" i="34"/>
  <c r="V1436" i="34"/>
  <c r="V1437" i="34"/>
  <c r="V1438" i="34"/>
  <c r="V1439" i="34"/>
  <c r="V1440" i="34"/>
  <c r="V1441" i="34"/>
  <c r="V1442" i="34"/>
  <c r="V1443" i="34"/>
  <c r="V1444" i="34"/>
  <c r="V1445" i="34"/>
  <c r="V1446" i="34"/>
  <c r="V1447" i="34"/>
  <c r="V1448" i="34"/>
  <c r="V1449" i="34"/>
  <c r="V1450" i="34"/>
  <c r="V1451" i="34"/>
  <c r="V1452" i="34"/>
  <c r="V1453" i="34"/>
  <c r="V1454" i="34"/>
  <c r="V1455" i="34"/>
  <c r="V1456" i="34"/>
  <c r="V1457" i="34"/>
  <c r="V1458" i="34"/>
  <c r="V1459" i="34"/>
  <c r="V1460" i="34"/>
  <c r="V1461" i="34"/>
  <c r="V1462" i="34"/>
  <c r="V1463" i="34"/>
  <c r="V1464" i="34"/>
  <c r="V1465" i="34"/>
  <c r="V1466" i="34"/>
  <c r="V1467" i="34"/>
  <c r="V1468" i="34"/>
  <c r="V1469" i="34"/>
  <c r="V1470" i="34"/>
  <c r="V1471" i="34"/>
  <c r="V1472" i="34"/>
  <c r="V1473" i="34"/>
  <c r="V1474" i="34"/>
  <c r="V1475" i="34"/>
  <c r="V1476" i="34"/>
  <c r="V1477" i="34"/>
  <c r="V1478" i="34"/>
  <c r="V1479" i="34"/>
  <c r="V1480" i="34"/>
  <c r="V1481" i="34"/>
  <c r="V1482" i="34"/>
  <c r="V1483" i="34"/>
  <c r="V1484" i="34"/>
  <c r="V1485" i="34"/>
  <c r="V1486" i="34"/>
  <c r="V1487" i="34"/>
  <c r="V1488" i="34"/>
  <c r="V1489" i="34"/>
  <c r="P677" i="34"/>
  <c r="P678" i="34"/>
  <c r="P679" i="34"/>
  <c r="P680" i="34"/>
  <c r="P681" i="34"/>
  <c r="P682" i="34"/>
  <c r="P683" i="34"/>
  <c r="P684" i="34"/>
  <c r="P685" i="34"/>
  <c r="P686" i="34"/>
  <c r="P687" i="34"/>
  <c r="P688" i="34"/>
  <c r="P689" i="34"/>
  <c r="P690" i="34"/>
  <c r="P691" i="34"/>
  <c r="P692" i="34"/>
  <c r="P693" i="34"/>
  <c r="P694" i="34"/>
  <c r="P695" i="34"/>
  <c r="P696" i="34"/>
  <c r="P697" i="34"/>
  <c r="P698" i="34"/>
  <c r="P699" i="34"/>
  <c r="P700" i="34"/>
  <c r="P701" i="34"/>
  <c r="P702" i="34"/>
  <c r="P703" i="34"/>
  <c r="P704" i="34"/>
  <c r="P705" i="34"/>
  <c r="P706" i="34"/>
  <c r="P707" i="34"/>
  <c r="P708" i="34"/>
  <c r="P709" i="34"/>
  <c r="P710" i="34"/>
  <c r="P711" i="34"/>
  <c r="P712" i="34"/>
  <c r="P713" i="34"/>
  <c r="P714" i="34"/>
  <c r="P715" i="34"/>
  <c r="P716" i="34"/>
  <c r="P717" i="34"/>
  <c r="P718" i="34"/>
  <c r="P719" i="34"/>
  <c r="P720" i="34"/>
  <c r="P721" i="34"/>
  <c r="P722" i="34"/>
  <c r="P723" i="34"/>
  <c r="P724" i="34"/>
  <c r="P725" i="34"/>
  <c r="P726" i="34"/>
  <c r="P727" i="34"/>
  <c r="P728" i="34"/>
  <c r="P729" i="34"/>
  <c r="P730" i="34"/>
  <c r="P731" i="34"/>
  <c r="P732" i="34"/>
  <c r="P733" i="34"/>
  <c r="P734" i="34"/>
  <c r="P735" i="34"/>
  <c r="P736" i="34"/>
  <c r="P737" i="34"/>
  <c r="P738" i="34"/>
  <c r="P739" i="34"/>
  <c r="P740" i="34"/>
  <c r="P741" i="34"/>
  <c r="P742" i="34"/>
  <c r="P743" i="34"/>
  <c r="P744" i="34"/>
  <c r="P745" i="34"/>
  <c r="P746" i="34"/>
  <c r="P747" i="34"/>
  <c r="P748" i="34"/>
  <c r="P749" i="34"/>
  <c r="P750" i="34"/>
  <c r="P751" i="34"/>
  <c r="P752" i="34"/>
  <c r="P753" i="34"/>
  <c r="P754" i="34"/>
  <c r="P755" i="34"/>
  <c r="P756" i="34"/>
  <c r="P757" i="34"/>
  <c r="P758" i="34"/>
  <c r="P759" i="34"/>
  <c r="P760" i="34"/>
  <c r="P761" i="34"/>
  <c r="P762" i="34"/>
  <c r="P763" i="34"/>
  <c r="P764" i="34"/>
  <c r="P765" i="34"/>
  <c r="P766" i="34"/>
  <c r="P767" i="34"/>
  <c r="P768" i="34"/>
  <c r="P769" i="34"/>
  <c r="P770" i="34"/>
  <c r="P771" i="34"/>
  <c r="P772" i="34"/>
  <c r="P773" i="34"/>
  <c r="P774" i="34"/>
  <c r="P775" i="34"/>
  <c r="P776" i="34"/>
  <c r="P777" i="34"/>
  <c r="P778" i="34"/>
  <c r="P779" i="34"/>
  <c r="P780" i="34"/>
  <c r="P781" i="34"/>
  <c r="P782" i="34"/>
  <c r="P783" i="34"/>
  <c r="P784" i="34"/>
  <c r="P785" i="34"/>
  <c r="P786" i="34"/>
  <c r="P787" i="34"/>
  <c r="P788" i="34"/>
  <c r="P789" i="34"/>
  <c r="P790" i="34"/>
  <c r="P791" i="34"/>
  <c r="P792" i="34"/>
  <c r="P793" i="34"/>
  <c r="P794" i="34"/>
  <c r="P795" i="34"/>
  <c r="P796" i="34"/>
  <c r="P797" i="34"/>
  <c r="P798" i="34"/>
  <c r="P799" i="34"/>
  <c r="P800" i="34"/>
  <c r="P801" i="34"/>
  <c r="P802" i="34"/>
  <c r="P803" i="34"/>
  <c r="P804" i="34"/>
  <c r="P805" i="34"/>
  <c r="P806" i="34"/>
  <c r="P807" i="34"/>
  <c r="P808" i="34"/>
  <c r="P809" i="34"/>
  <c r="P810" i="34"/>
  <c r="P811" i="34"/>
  <c r="P812" i="34"/>
  <c r="P813" i="34"/>
  <c r="P814" i="34"/>
  <c r="P815" i="34"/>
  <c r="P816" i="34"/>
  <c r="P817" i="34"/>
  <c r="P818" i="34"/>
  <c r="P819" i="34"/>
  <c r="P820" i="34"/>
  <c r="P821" i="34"/>
  <c r="P822" i="34"/>
  <c r="P823" i="34"/>
  <c r="P824" i="34"/>
  <c r="P825" i="34"/>
  <c r="P826" i="34"/>
  <c r="P827" i="34"/>
  <c r="P828" i="34"/>
  <c r="P829" i="34"/>
  <c r="P830" i="34"/>
  <c r="P831" i="34"/>
  <c r="P832" i="34"/>
  <c r="P833" i="34"/>
  <c r="P834" i="34"/>
  <c r="P835" i="34"/>
  <c r="P836" i="34"/>
  <c r="P837" i="34"/>
  <c r="P838" i="34"/>
  <c r="P839" i="34"/>
  <c r="P840" i="34"/>
  <c r="P841" i="34"/>
  <c r="P842" i="34"/>
  <c r="P843" i="34"/>
  <c r="P844" i="34"/>
  <c r="P845" i="34"/>
  <c r="P846" i="34"/>
  <c r="P847" i="34"/>
  <c r="P848" i="34"/>
  <c r="P849" i="34"/>
  <c r="P850" i="34"/>
  <c r="P851" i="34"/>
  <c r="P852" i="34"/>
  <c r="P853" i="34"/>
  <c r="P854" i="34"/>
  <c r="P855" i="34"/>
  <c r="P856" i="34"/>
  <c r="P857" i="34"/>
  <c r="P858" i="34"/>
  <c r="P859" i="34"/>
  <c r="P860" i="34"/>
  <c r="P861" i="34"/>
  <c r="P862" i="34"/>
  <c r="P863" i="34"/>
  <c r="P864" i="34"/>
  <c r="P865" i="34"/>
  <c r="P866" i="34"/>
  <c r="P867" i="34"/>
  <c r="P868" i="34"/>
  <c r="P869" i="34"/>
  <c r="P870" i="34"/>
  <c r="P871" i="34"/>
  <c r="P872" i="34"/>
  <c r="P873" i="34"/>
  <c r="P874" i="34"/>
  <c r="P875" i="34"/>
  <c r="P876" i="34"/>
  <c r="P877" i="34"/>
  <c r="P878" i="34"/>
  <c r="P879" i="34"/>
  <c r="P880" i="34"/>
  <c r="P881" i="34"/>
  <c r="P882" i="34"/>
  <c r="P883" i="34"/>
  <c r="P884" i="34"/>
  <c r="P885" i="34"/>
  <c r="P886" i="34"/>
  <c r="P887" i="34"/>
  <c r="P888" i="34"/>
  <c r="P889" i="34"/>
  <c r="P890" i="34"/>
  <c r="P891" i="34"/>
  <c r="P892" i="34"/>
  <c r="P893" i="34"/>
  <c r="P894" i="34"/>
  <c r="P895" i="34"/>
  <c r="P896" i="34"/>
  <c r="P897" i="34"/>
  <c r="P898" i="34"/>
  <c r="P899" i="34"/>
  <c r="P900" i="34"/>
  <c r="P901" i="34"/>
  <c r="P902" i="34"/>
  <c r="P903" i="34"/>
  <c r="P904" i="34"/>
  <c r="P905" i="34"/>
  <c r="P906" i="34"/>
  <c r="P907" i="34"/>
  <c r="P908" i="34"/>
  <c r="P909" i="34"/>
  <c r="P910" i="34"/>
  <c r="P911" i="34"/>
  <c r="P912" i="34"/>
  <c r="P913" i="34"/>
  <c r="P914" i="34"/>
  <c r="P915" i="34"/>
  <c r="P916" i="34"/>
  <c r="P917" i="34"/>
  <c r="P918" i="34"/>
  <c r="P919" i="34"/>
  <c r="P920" i="34"/>
  <c r="P921" i="34"/>
  <c r="P922" i="34"/>
  <c r="P923" i="34"/>
  <c r="P924" i="34"/>
  <c r="P925" i="34"/>
  <c r="P926" i="34"/>
  <c r="P927" i="34"/>
  <c r="P928" i="34"/>
  <c r="P929" i="34"/>
  <c r="P930" i="34"/>
  <c r="P931" i="34"/>
  <c r="P932" i="34"/>
  <c r="P933" i="34"/>
  <c r="P934" i="34"/>
  <c r="P935" i="34"/>
  <c r="P936" i="34"/>
  <c r="P937" i="34"/>
  <c r="P938" i="34"/>
  <c r="P939" i="34"/>
  <c r="P940" i="34"/>
  <c r="P941" i="34"/>
  <c r="P942" i="34"/>
  <c r="P943" i="34"/>
  <c r="P944" i="34"/>
  <c r="P945" i="34"/>
  <c r="P946" i="34"/>
  <c r="P947" i="34"/>
  <c r="P948" i="34"/>
  <c r="P949" i="34"/>
  <c r="P950" i="34"/>
  <c r="P951" i="34"/>
  <c r="P952" i="34"/>
  <c r="P953" i="34"/>
  <c r="P954" i="34"/>
  <c r="P955" i="34"/>
  <c r="P956" i="34"/>
  <c r="P957" i="34"/>
  <c r="P958" i="34"/>
  <c r="P959" i="34"/>
  <c r="P960" i="34"/>
  <c r="P961" i="34"/>
  <c r="P962" i="34"/>
  <c r="P963" i="34"/>
  <c r="P964" i="34"/>
  <c r="P965" i="34"/>
  <c r="P966" i="34"/>
  <c r="P967" i="34"/>
  <c r="P968" i="34"/>
  <c r="P969" i="34"/>
  <c r="P970" i="34"/>
  <c r="P971" i="34"/>
  <c r="P972" i="34"/>
  <c r="P973" i="34"/>
  <c r="P974" i="34"/>
  <c r="P975" i="34"/>
  <c r="P976" i="34"/>
  <c r="P977" i="34"/>
  <c r="P978" i="34"/>
  <c r="P979" i="34"/>
  <c r="P980" i="34"/>
  <c r="P981" i="34"/>
  <c r="P982" i="34"/>
  <c r="P983" i="34"/>
  <c r="P984" i="34"/>
  <c r="P985" i="34"/>
  <c r="P986" i="34"/>
  <c r="P987" i="34"/>
  <c r="P988" i="34"/>
  <c r="P989" i="34"/>
  <c r="P990" i="34"/>
  <c r="P991" i="34"/>
  <c r="P992" i="34"/>
  <c r="P993" i="34"/>
  <c r="P994" i="34"/>
  <c r="P995" i="34"/>
  <c r="P996" i="34"/>
  <c r="P997" i="34"/>
  <c r="P998" i="34"/>
  <c r="P999" i="34"/>
  <c r="P1000" i="34"/>
  <c r="P1001" i="34"/>
  <c r="P1002" i="34"/>
  <c r="P1003" i="34"/>
  <c r="P1004" i="34"/>
  <c r="P1005" i="34"/>
  <c r="P1006" i="34"/>
  <c r="P1007" i="34"/>
  <c r="P1008" i="34"/>
  <c r="P1009" i="34"/>
  <c r="P1010" i="34"/>
  <c r="P1011" i="34"/>
  <c r="P1012" i="34"/>
  <c r="P1013" i="34"/>
  <c r="P1014" i="34"/>
  <c r="P1015" i="34"/>
  <c r="P1016" i="34"/>
  <c r="P1017" i="34"/>
  <c r="P1018" i="34"/>
  <c r="P1019" i="34"/>
  <c r="P1020" i="34"/>
  <c r="P1021" i="34"/>
  <c r="P1022" i="34"/>
  <c r="P1023" i="34"/>
  <c r="P1024" i="34"/>
  <c r="P1025" i="34"/>
  <c r="P1026" i="34"/>
  <c r="P1027" i="34"/>
  <c r="P1028" i="34"/>
  <c r="P1029" i="34"/>
  <c r="P1030" i="34"/>
  <c r="P1031" i="34"/>
  <c r="P1032" i="34"/>
  <c r="P1033" i="34"/>
  <c r="P1034" i="34"/>
  <c r="P1035" i="34"/>
  <c r="P1036" i="34"/>
  <c r="P1037" i="34"/>
  <c r="P1038" i="34"/>
  <c r="P1039" i="34"/>
  <c r="P1040" i="34"/>
  <c r="P1041" i="34"/>
  <c r="P1042" i="34"/>
  <c r="P1043" i="34"/>
  <c r="P1044" i="34"/>
  <c r="P1045" i="34"/>
  <c r="P1046" i="34"/>
  <c r="P1047" i="34"/>
  <c r="P1048" i="34"/>
  <c r="P1049" i="34"/>
  <c r="P1050" i="34"/>
  <c r="P1051" i="34"/>
  <c r="P1052" i="34"/>
  <c r="P1053" i="34"/>
  <c r="P1054" i="34"/>
  <c r="P1055" i="34"/>
  <c r="P1056" i="34"/>
  <c r="P1057" i="34"/>
  <c r="P1058" i="34"/>
  <c r="P1059" i="34"/>
  <c r="P1060" i="34"/>
  <c r="P1061" i="34"/>
  <c r="P1062" i="34"/>
  <c r="P1063" i="34"/>
  <c r="P1064" i="34"/>
  <c r="P1065" i="34"/>
  <c r="P1066" i="34"/>
  <c r="P1067" i="34"/>
  <c r="P1068" i="34"/>
  <c r="P1069" i="34"/>
  <c r="P1070" i="34"/>
  <c r="P1071" i="34"/>
  <c r="P1072" i="34"/>
  <c r="P1073" i="34"/>
  <c r="P1074" i="34"/>
  <c r="P1075" i="34"/>
  <c r="P1076" i="34"/>
  <c r="P1077" i="34"/>
  <c r="P1078" i="34"/>
  <c r="P1079" i="34"/>
  <c r="P1080" i="34"/>
  <c r="P1081" i="34"/>
  <c r="P1082" i="34"/>
  <c r="P1083" i="34"/>
  <c r="P1084" i="34"/>
  <c r="P1085" i="34"/>
  <c r="P1086" i="34"/>
  <c r="P1087" i="34"/>
  <c r="P1088" i="34"/>
  <c r="P1089" i="34"/>
  <c r="P1090" i="34"/>
  <c r="P1091" i="34"/>
  <c r="P1092" i="34"/>
  <c r="P1093" i="34"/>
  <c r="P1094" i="34"/>
  <c r="P1095" i="34"/>
  <c r="P1096" i="34"/>
  <c r="P1097" i="34"/>
  <c r="P1098" i="34"/>
  <c r="P1099" i="34"/>
  <c r="P1100" i="34"/>
  <c r="P1101" i="34"/>
  <c r="P1102" i="34"/>
  <c r="P1103" i="34"/>
  <c r="P1104" i="34"/>
  <c r="P1105" i="34"/>
  <c r="P1106" i="34"/>
  <c r="P1107" i="34"/>
  <c r="P1108" i="34"/>
  <c r="P1109" i="34"/>
  <c r="P1110" i="34"/>
  <c r="P1111" i="34"/>
  <c r="P1112" i="34"/>
  <c r="P1113" i="34"/>
  <c r="P1114" i="34"/>
  <c r="P1115" i="34"/>
  <c r="P1116" i="34"/>
  <c r="P1117" i="34"/>
  <c r="P1118" i="34"/>
  <c r="P1119" i="34"/>
  <c r="P1120" i="34"/>
  <c r="P1121" i="34"/>
  <c r="P1122" i="34"/>
  <c r="P1123" i="34"/>
  <c r="P1124" i="34"/>
  <c r="P1125" i="34"/>
  <c r="P1126" i="34"/>
  <c r="P1127" i="34"/>
  <c r="P1128" i="34"/>
  <c r="P1129" i="34"/>
  <c r="P1130" i="34"/>
  <c r="P1131" i="34"/>
  <c r="P1132" i="34"/>
  <c r="P1133" i="34"/>
  <c r="P1134" i="34"/>
  <c r="P1135" i="34"/>
  <c r="P1136" i="34"/>
  <c r="P1137" i="34"/>
  <c r="P1138" i="34"/>
  <c r="P1139" i="34"/>
  <c r="P1140" i="34"/>
  <c r="P1141" i="34"/>
  <c r="P1142" i="34"/>
  <c r="P1143" i="34"/>
  <c r="P1144" i="34"/>
  <c r="P1145" i="34"/>
  <c r="P1146" i="34"/>
  <c r="P1147" i="34"/>
  <c r="P1148" i="34"/>
  <c r="P1149" i="34"/>
  <c r="P1150" i="34"/>
  <c r="P1151" i="34"/>
  <c r="P1152" i="34"/>
  <c r="P1153" i="34"/>
  <c r="P1154" i="34"/>
  <c r="P1155" i="34"/>
  <c r="P1156" i="34"/>
  <c r="P1157" i="34"/>
  <c r="P1158" i="34"/>
  <c r="P1159" i="34"/>
  <c r="P1160" i="34"/>
  <c r="P1161" i="34"/>
  <c r="P1162" i="34"/>
  <c r="P1163" i="34"/>
  <c r="P1164" i="34"/>
  <c r="P1165" i="34"/>
  <c r="P1166" i="34"/>
  <c r="P1167" i="34"/>
  <c r="P1168" i="34"/>
  <c r="P1169" i="34"/>
  <c r="P1170" i="34"/>
  <c r="P1171" i="34"/>
  <c r="P1172" i="34"/>
  <c r="P1173" i="34"/>
  <c r="P1174" i="34"/>
  <c r="P1175" i="34"/>
  <c r="P1176" i="34"/>
  <c r="P1177" i="34"/>
  <c r="P1178" i="34"/>
  <c r="P1179" i="34"/>
  <c r="P1180" i="34"/>
  <c r="P1181" i="34"/>
  <c r="P1182" i="34"/>
  <c r="P1183" i="34"/>
  <c r="P1184" i="34"/>
  <c r="P1185" i="34"/>
  <c r="P1186" i="34"/>
  <c r="P1187" i="34"/>
  <c r="P1188" i="34"/>
  <c r="P1189" i="34"/>
  <c r="P1190" i="34"/>
  <c r="P1191" i="34"/>
  <c r="P1192" i="34"/>
  <c r="P1193" i="34"/>
  <c r="P1194" i="34"/>
  <c r="P1195" i="34"/>
  <c r="P1196" i="34"/>
  <c r="P1197" i="34"/>
  <c r="P1198" i="34"/>
  <c r="P1199" i="34"/>
  <c r="P1200" i="34"/>
  <c r="P1201" i="34"/>
  <c r="P1202" i="34"/>
  <c r="P1203" i="34"/>
  <c r="P1204" i="34"/>
  <c r="P1205" i="34"/>
  <c r="P1206" i="34"/>
  <c r="P1207" i="34"/>
  <c r="P1208" i="34"/>
  <c r="P1209" i="34"/>
  <c r="P1210" i="34"/>
  <c r="P1211" i="34"/>
  <c r="P1212" i="34"/>
  <c r="P1213" i="34"/>
  <c r="P1214" i="34"/>
  <c r="P1215" i="34"/>
  <c r="P1216" i="34"/>
  <c r="P1217" i="34"/>
  <c r="P1218" i="34"/>
  <c r="P1219" i="34"/>
  <c r="P1220" i="34"/>
  <c r="P1221" i="34"/>
  <c r="P1222" i="34"/>
  <c r="P1223" i="34"/>
  <c r="P1224" i="34"/>
  <c r="P1225" i="34"/>
  <c r="P1226" i="34"/>
  <c r="P1227" i="34"/>
  <c r="P1228" i="34"/>
  <c r="P1229" i="34"/>
  <c r="P1230" i="34"/>
  <c r="P1231" i="34"/>
  <c r="P1232" i="34"/>
  <c r="P1233" i="34"/>
  <c r="P1234" i="34"/>
  <c r="P1235" i="34"/>
  <c r="P1236" i="34"/>
  <c r="P1237" i="34"/>
  <c r="P1238" i="34"/>
  <c r="P1239" i="34"/>
  <c r="P1240" i="34"/>
  <c r="P1241" i="34"/>
  <c r="P1242" i="34"/>
  <c r="P1243" i="34"/>
  <c r="P1244" i="34"/>
  <c r="P1245" i="34"/>
  <c r="P1246" i="34"/>
  <c r="P1247" i="34"/>
  <c r="P1248" i="34"/>
  <c r="P1249" i="34"/>
  <c r="P1250" i="34"/>
  <c r="P1251" i="34"/>
  <c r="P1252" i="34"/>
  <c r="P1253" i="34"/>
  <c r="P1254" i="34"/>
  <c r="P1255" i="34"/>
  <c r="P1256" i="34"/>
  <c r="P1257" i="34"/>
  <c r="P1258" i="34"/>
  <c r="P1259" i="34"/>
  <c r="P1260" i="34"/>
  <c r="P1261" i="34"/>
  <c r="P1262" i="34"/>
  <c r="P1263" i="34"/>
  <c r="P1264" i="34"/>
  <c r="P1265" i="34"/>
  <c r="P1266" i="34"/>
  <c r="P1267" i="34"/>
  <c r="P1268" i="34"/>
  <c r="P1269" i="34"/>
  <c r="P1270" i="34"/>
  <c r="P1271" i="34"/>
  <c r="P1272" i="34"/>
  <c r="P1273" i="34"/>
  <c r="P1274" i="34"/>
  <c r="P1275" i="34"/>
  <c r="P1276" i="34"/>
  <c r="P1277" i="34"/>
  <c r="P1278" i="34"/>
  <c r="P1279" i="34"/>
  <c r="P1280" i="34"/>
  <c r="P1281" i="34"/>
  <c r="P1282" i="34"/>
  <c r="P1283" i="34"/>
  <c r="P1284" i="34"/>
  <c r="P1285" i="34"/>
  <c r="P1286" i="34"/>
  <c r="P1287" i="34"/>
  <c r="P1288" i="34"/>
  <c r="P1289" i="34"/>
  <c r="P1290" i="34"/>
  <c r="P1291" i="34"/>
  <c r="P1292" i="34"/>
  <c r="P1293" i="34"/>
  <c r="P1294" i="34"/>
  <c r="P1295" i="34"/>
  <c r="P1296" i="34"/>
  <c r="P1297" i="34"/>
  <c r="P1298" i="34"/>
  <c r="P1299" i="34"/>
  <c r="P1300" i="34"/>
  <c r="P1301" i="34"/>
  <c r="P1302" i="34"/>
  <c r="P1303" i="34"/>
  <c r="P1304" i="34"/>
  <c r="P1305" i="34"/>
  <c r="P1306" i="34"/>
  <c r="P1307" i="34"/>
  <c r="P1308" i="34"/>
  <c r="P1309" i="34"/>
  <c r="P1310" i="34"/>
  <c r="P1311" i="34"/>
  <c r="P1312" i="34"/>
  <c r="P1313" i="34"/>
  <c r="P1314" i="34"/>
  <c r="P1315" i="34"/>
  <c r="P1316" i="34"/>
  <c r="P1317" i="34"/>
  <c r="P1318" i="34"/>
  <c r="P1319" i="34"/>
  <c r="P1320" i="34"/>
  <c r="P1321" i="34"/>
  <c r="P1322" i="34"/>
  <c r="P1323" i="34"/>
  <c r="P1324" i="34"/>
  <c r="P1325" i="34"/>
  <c r="P1326" i="34"/>
  <c r="P1327" i="34"/>
  <c r="P1328" i="34"/>
  <c r="P1329" i="34"/>
  <c r="P1330" i="34"/>
  <c r="P1331" i="34"/>
  <c r="P1332" i="34"/>
  <c r="P1333" i="34"/>
  <c r="P1334" i="34"/>
  <c r="P1335" i="34"/>
  <c r="P1336" i="34"/>
  <c r="P1337" i="34"/>
  <c r="P1338" i="34"/>
  <c r="P1339" i="34"/>
  <c r="P1340" i="34"/>
  <c r="P1341" i="34"/>
  <c r="P1342" i="34"/>
  <c r="P1343" i="34"/>
  <c r="P1344" i="34"/>
  <c r="P1345" i="34"/>
  <c r="P1346" i="34"/>
  <c r="P1347" i="34"/>
  <c r="P1348" i="34"/>
  <c r="P1349" i="34"/>
  <c r="P1350" i="34"/>
  <c r="P1351" i="34"/>
  <c r="P1352" i="34"/>
  <c r="P1353" i="34"/>
  <c r="P1354" i="34"/>
  <c r="P1355" i="34"/>
  <c r="P1356" i="34"/>
  <c r="P1357" i="34"/>
  <c r="P1358" i="34"/>
  <c r="P1359" i="34"/>
  <c r="P1360" i="34"/>
  <c r="P1361" i="34"/>
  <c r="P1362" i="34"/>
  <c r="P1363" i="34"/>
  <c r="P1364" i="34"/>
  <c r="P1365" i="34"/>
  <c r="P1366" i="34"/>
  <c r="P1367" i="34"/>
  <c r="P1368" i="34"/>
  <c r="P1369" i="34"/>
  <c r="P1370" i="34"/>
  <c r="P1371" i="34"/>
  <c r="P1372" i="34"/>
  <c r="P1373" i="34"/>
  <c r="P1374" i="34"/>
  <c r="P1375" i="34"/>
  <c r="P1376" i="34"/>
  <c r="P1377" i="34"/>
  <c r="P1378" i="34"/>
  <c r="P1379" i="34"/>
  <c r="P1380" i="34"/>
  <c r="P1381" i="34"/>
  <c r="P1382" i="34"/>
  <c r="P1383" i="34"/>
  <c r="P1384" i="34"/>
  <c r="P1385" i="34"/>
  <c r="P1386" i="34"/>
  <c r="P1387" i="34"/>
  <c r="P1388" i="34"/>
  <c r="P1389" i="34"/>
  <c r="P1390" i="34"/>
  <c r="P1391" i="34"/>
  <c r="P1392" i="34"/>
  <c r="P1393" i="34"/>
  <c r="P1394" i="34"/>
  <c r="P1395" i="34"/>
  <c r="P1396" i="34"/>
  <c r="P1397" i="34"/>
  <c r="P1398" i="34"/>
  <c r="P1399" i="34"/>
  <c r="P1400" i="34"/>
  <c r="P1401" i="34"/>
  <c r="P1402" i="34"/>
  <c r="P1403" i="34"/>
  <c r="P1404" i="34"/>
  <c r="P1405" i="34"/>
  <c r="P1406" i="34"/>
  <c r="P1407" i="34"/>
  <c r="P1408" i="34"/>
  <c r="P1409" i="34"/>
  <c r="P1410" i="34"/>
  <c r="P1411" i="34"/>
  <c r="P1412" i="34"/>
  <c r="P1413" i="34"/>
  <c r="P1414" i="34"/>
  <c r="P1415" i="34"/>
  <c r="P1416" i="34"/>
  <c r="P1417" i="34"/>
  <c r="P1418" i="34"/>
  <c r="P1419" i="34"/>
  <c r="P1420" i="34"/>
  <c r="P1421" i="34"/>
  <c r="P1422" i="34"/>
  <c r="P1423" i="34"/>
  <c r="P1424" i="34"/>
  <c r="P1425" i="34"/>
  <c r="P1426" i="34"/>
  <c r="P1427" i="34"/>
  <c r="P1428" i="34"/>
  <c r="P1429" i="34"/>
  <c r="P1430" i="34"/>
  <c r="P1431" i="34"/>
  <c r="P1432" i="34"/>
  <c r="P1433" i="34"/>
  <c r="P1434" i="34"/>
  <c r="P1435" i="34"/>
  <c r="P1436" i="34"/>
  <c r="P1437" i="34"/>
  <c r="P1438" i="34"/>
  <c r="P1439" i="34"/>
  <c r="P1440" i="34"/>
  <c r="P1441" i="34"/>
  <c r="P1442" i="34"/>
  <c r="P1443" i="34"/>
  <c r="P1444" i="34"/>
  <c r="P1445" i="34"/>
  <c r="P1446" i="34"/>
  <c r="P1447" i="34"/>
  <c r="P1448" i="34"/>
  <c r="P1449" i="34"/>
  <c r="P1450" i="34"/>
  <c r="P1451" i="34"/>
  <c r="P1452" i="34"/>
  <c r="P1453" i="34"/>
  <c r="P1454" i="34"/>
  <c r="P1455" i="34"/>
  <c r="P1456" i="34"/>
  <c r="P1457" i="34"/>
  <c r="P1458" i="34"/>
  <c r="P1459" i="34"/>
  <c r="P1460" i="34"/>
  <c r="P1461" i="34"/>
  <c r="P1462" i="34"/>
  <c r="P1463" i="34"/>
  <c r="P1464" i="34"/>
  <c r="P1465" i="34"/>
  <c r="P1466" i="34"/>
  <c r="P1467" i="34"/>
  <c r="P1468" i="34"/>
  <c r="P1469" i="34"/>
  <c r="P1470" i="34"/>
  <c r="P1471" i="34"/>
  <c r="P1472" i="34"/>
  <c r="P1473" i="34"/>
  <c r="P1474" i="34"/>
  <c r="P1475" i="34"/>
  <c r="P1476" i="34"/>
  <c r="P1477" i="34"/>
  <c r="P1478" i="34"/>
  <c r="P1479" i="34"/>
  <c r="P1480" i="34"/>
  <c r="P1481" i="34"/>
  <c r="P1482" i="34"/>
  <c r="P1483" i="34"/>
  <c r="P1484" i="34"/>
  <c r="P1485" i="34"/>
  <c r="P1486" i="34"/>
  <c r="P1487" i="34"/>
  <c r="P1488" i="34"/>
  <c r="P1489" i="34"/>
  <c r="M677" i="34"/>
  <c r="M678" i="34"/>
  <c r="M679" i="34"/>
  <c r="M680" i="34"/>
  <c r="M681" i="34"/>
  <c r="M682" i="34"/>
  <c r="M683" i="34"/>
  <c r="M684" i="34"/>
  <c r="M685" i="34"/>
  <c r="M686" i="34"/>
  <c r="M687" i="34"/>
  <c r="M688" i="34"/>
  <c r="M689" i="34"/>
  <c r="M690" i="34"/>
  <c r="M691" i="34"/>
  <c r="M692" i="34"/>
  <c r="M693" i="34"/>
  <c r="M694" i="34"/>
  <c r="M695" i="34"/>
  <c r="M696" i="34"/>
  <c r="M697" i="34"/>
  <c r="M698" i="34"/>
  <c r="M699" i="34"/>
  <c r="M700" i="34"/>
  <c r="M701" i="34"/>
  <c r="M702" i="34"/>
  <c r="M703" i="34"/>
  <c r="M704" i="34"/>
  <c r="M705" i="34"/>
  <c r="M706" i="34"/>
  <c r="M707" i="34"/>
  <c r="M708" i="34"/>
  <c r="M709" i="34"/>
  <c r="M710" i="34"/>
  <c r="M711" i="34"/>
  <c r="M712" i="34"/>
  <c r="M713" i="34"/>
  <c r="M714" i="34"/>
  <c r="M715" i="34"/>
  <c r="M716" i="34"/>
  <c r="M717" i="34"/>
  <c r="M718" i="34"/>
  <c r="M719" i="34"/>
  <c r="M720" i="34"/>
  <c r="M721" i="34"/>
  <c r="K14" i="33" s="1"/>
  <c r="M722" i="34"/>
  <c r="M723" i="34"/>
  <c r="M724" i="34"/>
  <c r="M725" i="34"/>
  <c r="M726" i="34"/>
  <c r="M727" i="34"/>
  <c r="M728" i="34"/>
  <c r="M729" i="34"/>
  <c r="M730" i="34"/>
  <c r="M731" i="34"/>
  <c r="M732" i="34"/>
  <c r="M733" i="34"/>
  <c r="M734" i="34"/>
  <c r="M735" i="34"/>
  <c r="M736" i="34"/>
  <c r="M737" i="34"/>
  <c r="M738" i="34"/>
  <c r="M739" i="34"/>
  <c r="M740" i="34"/>
  <c r="M741" i="34"/>
  <c r="M742" i="34"/>
  <c r="M743" i="34"/>
  <c r="M744" i="34"/>
  <c r="M745" i="34"/>
  <c r="M746" i="34"/>
  <c r="M747" i="34"/>
  <c r="M748" i="34"/>
  <c r="M749" i="34"/>
  <c r="M750" i="34"/>
  <c r="M751" i="34"/>
  <c r="M752" i="34"/>
  <c r="M753" i="34"/>
  <c r="M754" i="34"/>
  <c r="M755" i="34"/>
  <c r="M756" i="34"/>
  <c r="M757" i="34"/>
  <c r="M758" i="34"/>
  <c r="M759" i="34"/>
  <c r="M760" i="34"/>
  <c r="M761" i="34"/>
  <c r="M762" i="34"/>
  <c r="M763" i="34"/>
  <c r="M764" i="34"/>
  <c r="M765" i="34"/>
  <c r="M766" i="34"/>
  <c r="M767" i="34"/>
  <c r="M768" i="34"/>
  <c r="M769" i="34"/>
  <c r="M770" i="34"/>
  <c r="M771" i="34"/>
  <c r="M772" i="34"/>
  <c r="M773" i="34"/>
  <c r="M774" i="34"/>
  <c r="M775" i="34"/>
  <c r="M776" i="34"/>
  <c r="M777" i="34"/>
  <c r="M778" i="34"/>
  <c r="M779" i="34"/>
  <c r="M780" i="34"/>
  <c r="M781" i="34"/>
  <c r="M782" i="34"/>
  <c r="M783" i="34"/>
  <c r="M784" i="34"/>
  <c r="M785" i="34"/>
  <c r="M786" i="34"/>
  <c r="M787" i="34"/>
  <c r="M788" i="34"/>
  <c r="M789" i="34"/>
  <c r="M790" i="34"/>
  <c r="M791" i="34"/>
  <c r="M792" i="34"/>
  <c r="M793" i="34"/>
  <c r="M794" i="34"/>
  <c r="M795" i="34"/>
  <c r="M796" i="34"/>
  <c r="M797" i="34"/>
  <c r="M798" i="34"/>
  <c r="M799" i="34"/>
  <c r="M800" i="34"/>
  <c r="M801" i="34"/>
  <c r="M802" i="34"/>
  <c r="M803" i="34"/>
  <c r="M804" i="34"/>
  <c r="M805" i="34"/>
  <c r="M806" i="34"/>
  <c r="M807" i="34"/>
  <c r="M808" i="34"/>
  <c r="M809" i="34"/>
  <c r="M810" i="34"/>
  <c r="M811" i="34"/>
  <c r="M812" i="34"/>
  <c r="M813" i="34"/>
  <c r="M814" i="34"/>
  <c r="M815" i="34"/>
  <c r="M816" i="34"/>
  <c r="M817" i="34"/>
  <c r="M818" i="34"/>
  <c r="M819" i="34"/>
  <c r="M820" i="34"/>
  <c r="M821" i="34"/>
  <c r="M822" i="34"/>
  <c r="M823" i="34"/>
  <c r="M824" i="34"/>
  <c r="M825" i="34"/>
  <c r="M826" i="34"/>
  <c r="M827" i="34"/>
  <c r="M828" i="34"/>
  <c r="M829" i="34"/>
  <c r="M830" i="34"/>
  <c r="M831" i="34"/>
  <c r="M832" i="34"/>
  <c r="M833" i="34"/>
  <c r="M834" i="34"/>
  <c r="M835" i="34"/>
  <c r="M836" i="34"/>
  <c r="M837" i="34"/>
  <c r="M838" i="34"/>
  <c r="M839" i="34"/>
  <c r="M840" i="34"/>
  <c r="M841" i="34"/>
  <c r="M842" i="34"/>
  <c r="M843" i="34"/>
  <c r="M844" i="34"/>
  <c r="M845" i="34"/>
  <c r="M846" i="34"/>
  <c r="M847" i="34"/>
  <c r="M848" i="34"/>
  <c r="M849" i="34"/>
  <c r="M850" i="34"/>
  <c r="M851" i="34"/>
  <c r="M852" i="34"/>
  <c r="M853" i="34"/>
  <c r="M854" i="34"/>
  <c r="M855" i="34"/>
  <c r="M856" i="34"/>
  <c r="M857" i="34"/>
  <c r="M858" i="34"/>
  <c r="M859" i="34"/>
  <c r="M860" i="34"/>
  <c r="M861" i="34"/>
  <c r="M862" i="34"/>
  <c r="M863" i="34"/>
  <c r="M864" i="34"/>
  <c r="M865" i="34"/>
  <c r="M866" i="34"/>
  <c r="M867" i="34"/>
  <c r="M868" i="34"/>
  <c r="M869" i="34"/>
  <c r="M870" i="34"/>
  <c r="M871" i="34"/>
  <c r="M872" i="34"/>
  <c r="M873" i="34"/>
  <c r="M874" i="34"/>
  <c r="M875" i="34"/>
  <c r="M876" i="34"/>
  <c r="M877" i="34"/>
  <c r="M878" i="34"/>
  <c r="M879" i="34"/>
  <c r="M880" i="34"/>
  <c r="M881" i="34"/>
  <c r="M882" i="34"/>
  <c r="M883" i="34"/>
  <c r="M884" i="34"/>
  <c r="M885" i="34"/>
  <c r="M886" i="34"/>
  <c r="M887" i="34"/>
  <c r="M888" i="34"/>
  <c r="M889" i="34"/>
  <c r="M890" i="34"/>
  <c r="M891" i="34"/>
  <c r="M892" i="34"/>
  <c r="M893" i="34"/>
  <c r="M894" i="34"/>
  <c r="M895" i="34"/>
  <c r="M896" i="34"/>
  <c r="M897" i="34"/>
  <c r="M898" i="34"/>
  <c r="M899" i="34"/>
  <c r="M900" i="34"/>
  <c r="M901" i="34"/>
  <c r="M902" i="34"/>
  <c r="M903" i="34"/>
  <c r="M904" i="34"/>
  <c r="M905" i="34"/>
  <c r="M906" i="34"/>
  <c r="M907" i="34"/>
  <c r="M908" i="34"/>
  <c r="M909" i="34"/>
  <c r="M910" i="34"/>
  <c r="M911" i="34"/>
  <c r="M912" i="34"/>
  <c r="M913" i="34"/>
  <c r="M914" i="34"/>
  <c r="M915" i="34"/>
  <c r="M916" i="34"/>
  <c r="M917" i="34"/>
  <c r="M918" i="34"/>
  <c r="M919" i="34"/>
  <c r="M920" i="34"/>
  <c r="M921" i="34"/>
  <c r="M922" i="34"/>
  <c r="M923" i="34"/>
  <c r="M924" i="34"/>
  <c r="M925" i="34"/>
  <c r="M926" i="34"/>
  <c r="M927" i="34"/>
  <c r="M928" i="34"/>
  <c r="M929" i="34"/>
  <c r="M930" i="34"/>
  <c r="M931" i="34"/>
  <c r="M932" i="34"/>
  <c r="M933" i="34"/>
  <c r="M934" i="34"/>
  <c r="M935" i="34"/>
  <c r="M936" i="34"/>
  <c r="M937" i="34"/>
  <c r="M938" i="34"/>
  <c r="M939" i="34"/>
  <c r="M940" i="34"/>
  <c r="M941" i="34"/>
  <c r="M942" i="34"/>
  <c r="M943" i="34"/>
  <c r="M944" i="34"/>
  <c r="M945" i="34"/>
  <c r="M946" i="34"/>
  <c r="M947" i="34"/>
  <c r="M948" i="34"/>
  <c r="M949" i="34"/>
  <c r="M950" i="34"/>
  <c r="M951" i="34"/>
  <c r="M952" i="34"/>
  <c r="M953" i="34"/>
  <c r="M954" i="34"/>
  <c r="M955" i="34"/>
  <c r="M956" i="34"/>
  <c r="M957" i="34"/>
  <c r="M958" i="34"/>
  <c r="M959" i="34"/>
  <c r="M960" i="34"/>
  <c r="M961" i="34"/>
  <c r="M962" i="34"/>
  <c r="K15" i="33" s="1"/>
  <c r="M963" i="34"/>
  <c r="M964" i="34"/>
  <c r="M965" i="34"/>
  <c r="M966" i="34"/>
  <c r="M967" i="34"/>
  <c r="M968" i="34"/>
  <c r="M969" i="34"/>
  <c r="M970" i="34"/>
  <c r="M971" i="34"/>
  <c r="M972" i="34"/>
  <c r="K16" i="33" s="1"/>
  <c r="M973" i="34"/>
  <c r="M974" i="34"/>
  <c r="M975" i="34"/>
  <c r="M976" i="34"/>
  <c r="M977" i="34"/>
  <c r="M978" i="34"/>
  <c r="M979" i="34"/>
  <c r="M980" i="34"/>
  <c r="M981" i="34"/>
  <c r="M982" i="34"/>
  <c r="M983" i="34"/>
  <c r="K17" i="33" s="1"/>
  <c r="M984" i="34"/>
  <c r="M985" i="34"/>
  <c r="M986" i="34"/>
  <c r="M987" i="34"/>
  <c r="M988" i="34"/>
  <c r="M989" i="34"/>
  <c r="M990" i="34"/>
  <c r="M991" i="34"/>
  <c r="M992" i="34"/>
  <c r="M993" i="34"/>
  <c r="M994" i="34"/>
  <c r="M995" i="34"/>
  <c r="M996" i="34"/>
  <c r="K18" i="33" s="1"/>
  <c r="M997" i="34"/>
  <c r="M998" i="34"/>
  <c r="M999" i="34"/>
  <c r="M1000" i="34"/>
  <c r="M1001" i="34"/>
  <c r="M1002" i="34"/>
  <c r="M1003" i="34"/>
  <c r="M1004" i="34"/>
  <c r="M1005" i="34"/>
  <c r="M1006" i="34"/>
  <c r="M1007" i="34"/>
  <c r="M1008" i="34"/>
  <c r="M1009" i="34"/>
  <c r="M1010" i="34"/>
  <c r="M1011" i="34"/>
  <c r="K19" i="33" s="1"/>
  <c r="M1012" i="34"/>
  <c r="M1013" i="34"/>
  <c r="M1014" i="34"/>
  <c r="M1015" i="34"/>
  <c r="M1016" i="34"/>
  <c r="M1017" i="34"/>
  <c r="M1018" i="34"/>
  <c r="M1019" i="34"/>
  <c r="M1020" i="34"/>
  <c r="M1021" i="34"/>
  <c r="M1022" i="34"/>
  <c r="M1023" i="34"/>
  <c r="M1024" i="34"/>
  <c r="M1025" i="34"/>
  <c r="M1026" i="34"/>
  <c r="M1027" i="34"/>
  <c r="M1028" i="34"/>
  <c r="K20" i="33" s="1"/>
  <c r="M1029" i="34"/>
  <c r="M1030" i="34"/>
  <c r="M1031" i="34"/>
  <c r="M1032" i="34"/>
  <c r="M1033" i="34"/>
  <c r="M1034" i="34"/>
  <c r="M1035" i="34"/>
  <c r="M1036" i="34"/>
  <c r="M1037" i="34"/>
  <c r="M1038" i="34"/>
  <c r="M1039" i="34"/>
  <c r="M1040" i="34"/>
  <c r="M1041" i="34"/>
  <c r="M1042" i="34"/>
  <c r="M1043" i="34"/>
  <c r="M1044" i="34"/>
  <c r="M1045" i="34"/>
  <c r="M1046" i="34"/>
  <c r="M1047" i="34"/>
  <c r="K21" i="33" s="1"/>
  <c r="M1048" i="34"/>
  <c r="M1049" i="34"/>
  <c r="M1050" i="34"/>
  <c r="M1051" i="34"/>
  <c r="M1052" i="34"/>
  <c r="M1053" i="34"/>
  <c r="M1054" i="34"/>
  <c r="M1055" i="34"/>
  <c r="M1056" i="34"/>
  <c r="M1057" i="34"/>
  <c r="M1058" i="34"/>
  <c r="M1059" i="34"/>
  <c r="M1060" i="34"/>
  <c r="M1061" i="34"/>
  <c r="M1062" i="34"/>
  <c r="M1063" i="34"/>
  <c r="M1064" i="34"/>
  <c r="M1065" i="34"/>
  <c r="M1066" i="34"/>
  <c r="M1067" i="34"/>
  <c r="K22" i="33" s="1"/>
  <c r="M1068" i="34"/>
  <c r="M1069" i="34"/>
  <c r="M1070" i="34"/>
  <c r="M1071" i="34"/>
  <c r="M1072" i="34"/>
  <c r="M1073" i="34"/>
  <c r="M1074" i="34"/>
  <c r="M1075" i="34"/>
  <c r="M1076" i="34"/>
  <c r="M1077" i="34"/>
  <c r="M1078" i="34"/>
  <c r="M1079" i="34"/>
  <c r="M1080" i="34"/>
  <c r="M1081" i="34"/>
  <c r="M1082" i="34"/>
  <c r="M1083" i="34"/>
  <c r="M1084" i="34"/>
  <c r="M1085" i="34"/>
  <c r="M1086" i="34"/>
  <c r="M1087" i="34"/>
  <c r="M1088" i="34"/>
  <c r="M1089" i="34"/>
  <c r="M1090" i="34"/>
  <c r="M1091" i="34"/>
  <c r="K23" i="33" s="1"/>
  <c r="M1092" i="34"/>
  <c r="M1093" i="34"/>
  <c r="M1094" i="34"/>
  <c r="M1095" i="34"/>
  <c r="M1096" i="34"/>
  <c r="M1097" i="34"/>
  <c r="M1098" i="34"/>
  <c r="M1099" i="34"/>
  <c r="M1100" i="34"/>
  <c r="M1101" i="34"/>
  <c r="M1102" i="34"/>
  <c r="M1103" i="34"/>
  <c r="M1104" i="34"/>
  <c r="M1105" i="34"/>
  <c r="M1106" i="34"/>
  <c r="M1107" i="34"/>
  <c r="M1108" i="34"/>
  <c r="M1109" i="34"/>
  <c r="M1110" i="34"/>
  <c r="M1111" i="34"/>
  <c r="M1112" i="34"/>
  <c r="M1113" i="34"/>
  <c r="M1114" i="34"/>
  <c r="M1115" i="34"/>
  <c r="M1116" i="34"/>
  <c r="K24" i="33" s="1"/>
  <c r="M1117" i="34"/>
  <c r="M1118" i="34"/>
  <c r="M1119" i="34"/>
  <c r="M1120" i="34"/>
  <c r="M1121" i="34"/>
  <c r="M1122" i="34"/>
  <c r="M1123" i="34"/>
  <c r="M1124" i="34"/>
  <c r="M1125" i="34"/>
  <c r="M1126" i="34"/>
  <c r="M1127" i="34"/>
  <c r="M1128" i="34"/>
  <c r="M1129" i="34"/>
  <c r="M1130" i="34"/>
  <c r="M1131" i="34"/>
  <c r="K25" i="33" s="1"/>
  <c r="M1132" i="34"/>
  <c r="M1133" i="34"/>
  <c r="M1134" i="34"/>
  <c r="M1135" i="34"/>
  <c r="M1136" i="34"/>
  <c r="M1137" i="34"/>
  <c r="K26" i="33" s="1"/>
  <c r="M1138" i="34"/>
  <c r="M1139" i="34"/>
  <c r="M1140" i="34"/>
  <c r="M1141" i="34"/>
  <c r="M1142" i="34"/>
  <c r="M1143" i="34"/>
  <c r="K27" i="33" s="1"/>
  <c r="M1144" i="34"/>
  <c r="M1145" i="34"/>
  <c r="M1146" i="34"/>
  <c r="M1147" i="34"/>
  <c r="M1148" i="34"/>
  <c r="M1149" i="34"/>
  <c r="K28" i="33" s="1"/>
  <c r="M1150" i="34"/>
  <c r="M1151" i="34"/>
  <c r="M1152" i="34"/>
  <c r="M1153" i="34"/>
  <c r="M1154" i="34"/>
  <c r="M1155" i="34"/>
  <c r="M1156" i="34"/>
  <c r="K29" i="33" s="1"/>
  <c r="M1157" i="34"/>
  <c r="M1158" i="34"/>
  <c r="M1159" i="34"/>
  <c r="M1160" i="34"/>
  <c r="M1161" i="34"/>
  <c r="M1162" i="34"/>
  <c r="M1163" i="34"/>
  <c r="M1164" i="34"/>
  <c r="K30" i="33" s="1"/>
  <c r="M1165" i="34"/>
  <c r="M1166" i="34"/>
  <c r="M1167" i="34"/>
  <c r="M1168" i="34"/>
  <c r="M1169" i="34"/>
  <c r="M1170" i="34"/>
  <c r="M1171" i="34"/>
  <c r="M1172" i="34"/>
  <c r="K31" i="33" s="1"/>
  <c r="M1173" i="34"/>
  <c r="M1174" i="34"/>
  <c r="M1175" i="34"/>
  <c r="M1176" i="34"/>
  <c r="M1177" i="34"/>
  <c r="M1178" i="34"/>
  <c r="M1179" i="34"/>
  <c r="M1180" i="34"/>
  <c r="K32" i="33" s="1"/>
  <c r="M1181" i="34"/>
  <c r="M1182" i="34"/>
  <c r="M1183" i="34"/>
  <c r="M1184" i="34"/>
  <c r="M1185" i="34"/>
  <c r="M1186" i="34"/>
  <c r="M1187" i="34"/>
  <c r="M1188" i="34"/>
  <c r="K33" i="33" s="1"/>
  <c r="M1189" i="34"/>
  <c r="M1190" i="34"/>
  <c r="M1191" i="34"/>
  <c r="M1192" i="34"/>
  <c r="M1193" i="34"/>
  <c r="M1194" i="34"/>
  <c r="M1195" i="34"/>
  <c r="M1196" i="34"/>
  <c r="M1197" i="34"/>
  <c r="M1198" i="34"/>
  <c r="M1199" i="34"/>
  <c r="M1200" i="34"/>
  <c r="M1201" i="34"/>
  <c r="M1202" i="34"/>
  <c r="M1203" i="34"/>
  <c r="M1204" i="34"/>
  <c r="M1205" i="34"/>
  <c r="M1206" i="34"/>
  <c r="M1207" i="34"/>
  <c r="M1208" i="34"/>
  <c r="M1209" i="34"/>
  <c r="M1210" i="34"/>
  <c r="M1211" i="34"/>
  <c r="M1212" i="34"/>
  <c r="M1213" i="34"/>
  <c r="M1214" i="34"/>
  <c r="M1215" i="34"/>
  <c r="M1216" i="34"/>
  <c r="M1217" i="34"/>
  <c r="M1218" i="34"/>
  <c r="M1219" i="34"/>
  <c r="M1220" i="34"/>
  <c r="M1221" i="34"/>
  <c r="M1222" i="34"/>
  <c r="M1223" i="34"/>
  <c r="M1224" i="34"/>
  <c r="M1225" i="34"/>
  <c r="M1226" i="34"/>
  <c r="M1227" i="34"/>
  <c r="M1228" i="34"/>
  <c r="M1229" i="34"/>
  <c r="M1230" i="34"/>
  <c r="M1231" i="34"/>
  <c r="M1232" i="34"/>
  <c r="M1233" i="34"/>
  <c r="M1234" i="34"/>
  <c r="M1235" i="34"/>
  <c r="M1236" i="34"/>
  <c r="M1237" i="34"/>
  <c r="M1238" i="34"/>
  <c r="M1239" i="34"/>
  <c r="M1240" i="34"/>
  <c r="M1241" i="34"/>
  <c r="M1242" i="34"/>
  <c r="M1243" i="34"/>
  <c r="M1244" i="34"/>
  <c r="M1245" i="34"/>
  <c r="M1246" i="34"/>
  <c r="M1247" i="34"/>
  <c r="M1248" i="34"/>
  <c r="M1249" i="34"/>
  <c r="M1250" i="34"/>
  <c r="M1251" i="34"/>
  <c r="M1252" i="34"/>
  <c r="M1253" i="34"/>
  <c r="M1254" i="34"/>
  <c r="M1255" i="34"/>
  <c r="M1256" i="34"/>
  <c r="M1257" i="34"/>
  <c r="M1258" i="34"/>
  <c r="M1259" i="34"/>
  <c r="M1260" i="34"/>
  <c r="M1261" i="34"/>
  <c r="M1262" i="34"/>
  <c r="M1263" i="34"/>
  <c r="M1264" i="34"/>
  <c r="M1265" i="34"/>
  <c r="M1266" i="34"/>
  <c r="M1267" i="34"/>
  <c r="M1268" i="34"/>
  <c r="M1269" i="34"/>
  <c r="M1270" i="34"/>
  <c r="K34" i="33" s="1"/>
  <c r="M1271" i="34"/>
  <c r="M1272" i="34"/>
  <c r="M1273" i="34"/>
  <c r="M1274" i="34"/>
  <c r="M1275" i="34"/>
  <c r="M1276" i="34"/>
  <c r="M1277" i="34"/>
  <c r="M1278" i="34"/>
  <c r="M1334" i="34"/>
  <c r="M1335" i="34"/>
  <c r="M1336" i="34"/>
  <c r="M1337" i="34"/>
  <c r="M1338" i="34"/>
  <c r="M1339" i="34"/>
  <c r="M1340" i="34"/>
  <c r="M1341" i="34"/>
  <c r="M1342" i="34"/>
  <c r="M1343" i="34"/>
  <c r="M1344" i="34"/>
  <c r="M1345" i="34"/>
  <c r="M1346" i="34"/>
  <c r="M1347" i="34"/>
  <c r="M1348" i="34"/>
  <c r="M1349" i="34"/>
  <c r="M1350" i="34"/>
  <c r="M1351" i="34"/>
  <c r="M1352" i="34"/>
  <c r="M1353" i="34"/>
  <c r="M1354" i="34"/>
  <c r="M1355" i="34"/>
  <c r="M1356" i="34"/>
  <c r="M1357" i="34"/>
  <c r="M1358" i="34"/>
  <c r="M1359" i="34"/>
  <c r="M1360" i="34"/>
  <c r="M1361" i="34"/>
  <c r="M1362" i="34"/>
  <c r="M1363" i="34"/>
  <c r="M1364" i="34"/>
  <c r="M1365" i="34"/>
  <c r="M1366" i="34"/>
  <c r="M1367" i="34"/>
  <c r="M1368" i="34"/>
  <c r="M1369" i="34"/>
  <c r="M1370" i="34"/>
  <c r="M1371" i="34"/>
  <c r="M1372" i="34"/>
  <c r="M1373" i="34"/>
  <c r="M1374" i="34"/>
  <c r="M1375" i="34"/>
  <c r="M1376" i="34"/>
  <c r="M1377" i="34"/>
  <c r="M1378" i="34"/>
  <c r="M1379" i="34"/>
  <c r="M1380" i="34"/>
  <c r="M1381" i="34"/>
  <c r="M1382" i="34"/>
  <c r="M1383" i="34"/>
  <c r="M1384" i="34"/>
  <c r="M1385" i="34"/>
  <c r="M1386" i="34"/>
  <c r="M1387" i="34"/>
  <c r="M1388" i="34"/>
  <c r="M1389" i="34"/>
  <c r="M1390" i="34"/>
  <c r="M1391" i="34"/>
  <c r="M1392" i="34"/>
  <c r="M1393" i="34"/>
  <c r="M1394" i="34"/>
  <c r="M1395" i="34"/>
  <c r="M1396" i="34"/>
  <c r="M1397" i="34"/>
  <c r="M1398" i="34"/>
  <c r="M1399" i="34"/>
  <c r="M1400" i="34"/>
  <c r="M1401" i="34"/>
  <c r="M1402" i="34"/>
  <c r="M1403" i="34"/>
  <c r="M1404" i="34"/>
  <c r="M1405" i="34"/>
  <c r="M1406" i="34"/>
  <c r="M1407" i="34"/>
  <c r="M1408" i="34"/>
  <c r="M1409" i="34"/>
  <c r="M1410" i="34"/>
  <c r="M1411" i="34"/>
  <c r="M1412" i="34"/>
  <c r="M1413" i="34"/>
  <c r="M1414" i="34"/>
  <c r="M1415" i="34"/>
  <c r="M1416" i="34"/>
  <c r="M1417" i="34"/>
  <c r="M1418" i="34"/>
  <c r="M1419" i="34"/>
  <c r="M1420" i="34"/>
  <c r="M1421" i="34"/>
  <c r="M1422" i="34"/>
  <c r="M1423" i="34"/>
  <c r="M1424" i="34"/>
  <c r="M1425" i="34"/>
  <c r="M1426" i="34"/>
  <c r="M1427" i="34"/>
  <c r="M1428" i="34"/>
  <c r="M1429" i="34"/>
  <c r="M1430" i="34"/>
  <c r="M1431" i="34"/>
  <c r="M1432" i="34"/>
  <c r="M1433" i="34"/>
  <c r="M1434" i="34"/>
  <c r="M1435" i="34"/>
  <c r="M1436" i="34"/>
  <c r="M1437" i="34"/>
  <c r="M1438" i="34"/>
  <c r="M1439" i="34"/>
  <c r="M1440" i="34"/>
  <c r="M1441" i="34"/>
  <c r="M1442" i="34"/>
  <c r="M1443" i="34"/>
  <c r="M1444" i="34"/>
  <c r="M1445" i="34"/>
  <c r="M1446" i="34"/>
  <c r="M1447" i="34"/>
  <c r="M1448" i="34"/>
  <c r="M1449" i="34"/>
  <c r="M1450" i="34"/>
  <c r="M1451" i="34"/>
  <c r="M1452" i="34"/>
  <c r="M1453" i="34"/>
  <c r="M1454" i="34"/>
  <c r="M1455" i="34"/>
  <c r="M1456" i="34"/>
  <c r="M1457" i="34"/>
  <c r="M1458" i="34"/>
  <c r="M1459" i="34"/>
  <c r="M1460" i="34"/>
  <c r="M1461" i="34"/>
  <c r="M1462" i="34"/>
  <c r="M1463" i="34"/>
  <c r="M1464" i="34"/>
  <c r="M1465" i="34"/>
  <c r="M1466" i="34"/>
  <c r="M1467" i="34"/>
  <c r="M1468" i="34"/>
  <c r="M1469" i="34"/>
  <c r="M1470" i="34"/>
  <c r="M1471" i="34"/>
  <c r="M1472" i="34"/>
  <c r="M1473" i="34"/>
  <c r="M1474" i="34"/>
  <c r="M1475" i="34"/>
  <c r="M1476" i="34"/>
  <c r="M1477" i="34"/>
  <c r="M1478" i="34"/>
  <c r="M1479" i="34"/>
  <c r="M1480" i="34"/>
  <c r="M1481" i="34"/>
  <c r="M1482" i="34"/>
  <c r="M1483" i="34"/>
  <c r="M1484" i="34"/>
  <c r="M1485" i="34"/>
  <c r="M1486" i="34"/>
  <c r="M1487" i="34"/>
  <c r="M1488" i="34"/>
  <c r="M1489" i="34"/>
  <c r="J678" i="34"/>
  <c r="J679" i="34"/>
  <c r="J680" i="34"/>
  <c r="J681" i="34"/>
  <c r="J682" i="34"/>
  <c r="J683" i="34"/>
  <c r="J684" i="34"/>
  <c r="J685" i="34"/>
  <c r="J686" i="34"/>
  <c r="J687" i="34"/>
  <c r="J688" i="34"/>
  <c r="J689" i="34"/>
  <c r="J690" i="34"/>
  <c r="J691" i="34"/>
  <c r="J692" i="34"/>
  <c r="J693" i="34"/>
  <c r="J694" i="34"/>
  <c r="J695" i="34"/>
  <c r="J696" i="34"/>
  <c r="J697" i="34"/>
  <c r="J698" i="34"/>
  <c r="J699" i="34"/>
  <c r="J700" i="34"/>
  <c r="J701" i="34"/>
  <c r="J702" i="34"/>
  <c r="J703" i="34"/>
  <c r="J704" i="34"/>
  <c r="J705" i="34"/>
  <c r="J706" i="34"/>
  <c r="J707" i="34"/>
  <c r="J708" i="34"/>
  <c r="J709" i="34"/>
  <c r="J710" i="34"/>
  <c r="J711" i="34"/>
  <c r="J712" i="34"/>
  <c r="J713" i="34"/>
  <c r="J714" i="34"/>
  <c r="J715" i="34"/>
  <c r="J716" i="34"/>
  <c r="J717" i="34"/>
  <c r="J718" i="34"/>
  <c r="J719" i="34"/>
  <c r="J720" i="34"/>
  <c r="J721" i="34"/>
  <c r="H14" i="33" s="1"/>
  <c r="J722" i="34"/>
  <c r="J723" i="34"/>
  <c r="J724" i="34"/>
  <c r="J725" i="34"/>
  <c r="J726" i="34"/>
  <c r="J727" i="34"/>
  <c r="J728" i="34"/>
  <c r="J729" i="34"/>
  <c r="J730" i="34"/>
  <c r="J731" i="34"/>
  <c r="J732" i="34"/>
  <c r="J733" i="34"/>
  <c r="J734" i="34"/>
  <c r="J735" i="34"/>
  <c r="J736" i="34"/>
  <c r="J737" i="34"/>
  <c r="J738" i="34"/>
  <c r="J739" i="34"/>
  <c r="J740" i="34"/>
  <c r="J741" i="34"/>
  <c r="J742" i="34"/>
  <c r="J743" i="34"/>
  <c r="J744" i="34"/>
  <c r="J745" i="34"/>
  <c r="J746" i="34"/>
  <c r="J747" i="34"/>
  <c r="J748" i="34"/>
  <c r="J749" i="34"/>
  <c r="J750" i="34"/>
  <c r="J751" i="34"/>
  <c r="J752" i="34"/>
  <c r="J753" i="34"/>
  <c r="J754" i="34"/>
  <c r="J755" i="34"/>
  <c r="J756" i="34"/>
  <c r="J757" i="34"/>
  <c r="J758" i="34"/>
  <c r="J759" i="34"/>
  <c r="J760" i="34"/>
  <c r="J761" i="34"/>
  <c r="J762" i="34"/>
  <c r="J763" i="34"/>
  <c r="J764" i="34"/>
  <c r="J765" i="34"/>
  <c r="J766" i="34"/>
  <c r="J767" i="34"/>
  <c r="J768" i="34"/>
  <c r="J769" i="34"/>
  <c r="J770" i="34"/>
  <c r="J771" i="34"/>
  <c r="J772" i="34"/>
  <c r="J773" i="34"/>
  <c r="J774" i="34"/>
  <c r="J775" i="34"/>
  <c r="J776" i="34"/>
  <c r="J777" i="34"/>
  <c r="J778" i="34"/>
  <c r="J779" i="34"/>
  <c r="J780" i="34"/>
  <c r="J781" i="34"/>
  <c r="J782" i="34"/>
  <c r="J783" i="34"/>
  <c r="J784" i="34"/>
  <c r="J785" i="34"/>
  <c r="J786" i="34"/>
  <c r="J787" i="34"/>
  <c r="J788" i="34"/>
  <c r="J789" i="34"/>
  <c r="J790" i="34"/>
  <c r="J791" i="34"/>
  <c r="J792" i="34"/>
  <c r="J793" i="34"/>
  <c r="J794" i="34"/>
  <c r="J795" i="34"/>
  <c r="J796" i="34"/>
  <c r="J797" i="34"/>
  <c r="J798" i="34"/>
  <c r="J799" i="34"/>
  <c r="J800" i="34"/>
  <c r="J801" i="34"/>
  <c r="J802" i="34"/>
  <c r="J803" i="34"/>
  <c r="J804" i="34"/>
  <c r="J805" i="34"/>
  <c r="J806" i="34"/>
  <c r="J807" i="34"/>
  <c r="J808" i="34"/>
  <c r="J809" i="34"/>
  <c r="J810" i="34"/>
  <c r="J811" i="34"/>
  <c r="J812" i="34"/>
  <c r="J813" i="34"/>
  <c r="J814" i="34"/>
  <c r="J815" i="34"/>
  <c r="J816" i="34"/>
  <c r="J817" i="34"/>
  <c r="J818" i="34"/>
  <c r="J819" i="34"/>
  <c r="J820" i="34"/>
  <c r="J821" i="34"/>
  <c r="J822" i="34"/>
  <c r="J823" i="34"/>
  <c r="J824" i="34"/>
  <c r="J825" i="34"/>
  <c r="J826" i="34"/>
  <c r="J827" i="34"/>
  <c r="J828" i="34"/>
  <c r="J829" i="34"/>
  <c r="J830" i="34"/>
  <c r="J831" i="34"/>
  <c r="J832" i="34"/>
  <c r="J833" i="34"/>
  <c r="J834" i="34"/>
  <c r="J835" i="34"/>
  <c r="J836" i="34"/>
  <c r="J837" i="34"/>
  <c r="J838" i="34"/>
  <c r="J839" i="34"/>
  <c r="J840" i="34"/>
  <c r="J841" i="34"/>
  <c r="J842" i="34"/>
  <c r="J843" i="34"/>
  <c r="J844" i="34"/>
  <c r="J845" i="34"/>
  <c r="J846" i="34"/>
  <c r="J847" i="34"/>
  <c r="J848" i="34"/>
  <c r="J849" i="34"/>
  <c r="J850" i="34"/>
  <c r="J851" i="34"/>
  <c r="J852" i="34"/>
  <c r="J853" i="34"/>
  <c r="J854" i="34"/>
  <c r="J855" i="34"/>
  <c r="J856" i="34"/>
  <c r="J857" i="34"/>
  <c r="J858" i="34"/>
  <c r="J859" i="34"/>
  <c r="J860" i="34"/>
  <c r="J861" i="34"/>
  <c r="J862" i="34"/>
  <c r="J863" i="34"/>
  <c r="J864" i="34"/>
  <c r="J865" i="34"/>
  <c r="J866" i="34"/>
  <c r="J867" i="34"/>
  <c r="J868" i="34"/>
  <c r="J869" i="34"/>
  <c r="J870" i="34"/>
  <c r="J871" i="34"/>
  <c r="J872" i="34"/>
  <c r="J873" i="34"/>
  <c r="J874" i="34"/>
  <c r="J875" i="34"/>
  <c r="J876" i="34"/>
  <c r="J877" i="34"/>
  <c r="J878" i="34"/>
  <c r="J879" i="34"/>
  <c r="J880" i="34"/>
  <c r="J881" i="34"/>
  <c r="J882" i="34"/>
  <c r="J883" i="34"/>
  <c r="J884" i="34"/>
  <c r="J885" i="34"/>
  <c r="J886" i="34"/>
  <c r="J887" i="34"/>
  <c r="J888" i="34"/>
  <c r="J889" i="34"/>
  <c r="J890" i="34"/>
  <c r="J891" i="34"/>
  <c r="J892" i="34"/>
  <c r="J893" i="34"/>
  <c r="J894" i="34"/>
  <c r="J895" i="34"/>
  <c r="J896" i="34"/>
  <c r="J897" i="34"/>
  <c r="J898" i="34"/>
  <c r="J899" i="34"/>
  <c r="J900" i="34"/>
  <c r="J901" i="34"/>
  <c r="J902" i="34"/>
  <c r="J903" i="34"/>
  <c r="J904" i="34"/>
  <c r="J905" i="34"/>
  <c r="J906" i="34"/>
  <c r="J907" i="34"/>
  <c r="J908" i="34"/>
  <c r="J909" i="34"/>
  <c r="J910" i="34"/>
  <c r="J911" i="34"/>
  <c r="J912" i="34"/>
  <c r="J913" i="34"/>
  <c r="J914" i="34"/>
  <c r="J915" i="34"/>
  <c r="J916" i="34"/>
  <c r="J917" i="34"/>
  <c r="J918" i="34"/>
  <c r="J919" i="34"/>
  <c r="J920" i="34"/>
  <c r="J921" i="34"/>
  <c r="J922" i="34"/>
  <c r="J923" i="34"/>
  <c r="J924" i="34"/>
  <c r="J925" i="34"/>
  <c r="J926" i="34"/>
  <c r="J927" i="34"/>
  <c r="J928" i="34"/>
  <c r="J929" i="34"/>
  <c r="J930" i="34"/>
  <c r="J931" i="34"/>
  <c r="J932" i="34"/>
  <c r="J933" i="34"/>
  <c r="J934" i="34"/>
  <c r="J935" i="34"/>
  <c r="J936" i="34"/>
  <c r="J937" i="34"/>
  <c r="J938" i="34"/>
  <c r="J939" i="34"/>
  <c r="J940" i="34"/>
  <c r="J941" i="34"/>
  <c r="J942" i="34"/>
  <c r="J943" i="34"/>
  <c r="J944" i="34"/>
  <c r="J945" i="34"/>
  <c r="J946" i="34"/>
  <c r="J947" i="34"/>
  <c r="J948" i="34"/>
  <c r="J949" i="34"/>
  <c r="J950" i="34"/>
  <c r="J951" i="34"/>
  <c r="J952" i="34"/>
  <c r="J953" i="34"/>
  <c r="J954" i="34"/>
  <c r="J955" i="34"/>
  <c r="J956" i="34"/>
  <c r="J957" i="34"/>
  <c r="J958" i="34"/>
  <c r="J959" i="34"/>
  <c r="J960" i="34"/>
  <c r="J961" i="34"/>
  <c r="J962" i="34"/>
  <c r="H15" i="33" s="1"/>
  <c r="J963" i="34"/>
  <c r="J964" i="34"/>
  <c r="J965" i="34"/>
  <c r="J966" i="34"/>
  <c r="J967" i="34"/>
  <c r="J968" i="34"/>
  <c r="J969" i="34"/>
  <c r="J970" i="34"/>
  <c r="J971" i="34"/>
  <c r="J972" i="34"/>
  <c r="H16" i="33" s="1"/>
  <c r="J973" i="34"/>
  <c r="J974" i="34"/>
  <c r="J975" i="34"/>
  <c r="J976" i="34"/>
  <c r="J977" i="34"/>
  <c r="J978" i="34"/>
  <c r="J979" i="34"/>
  <c r="J980" i="34"/>
  <c r="J981" i="34"/>
  <c r="J982" i="34"/>
  <c r="J983" i="34"/>
  <c r="H17" i="33" s="1"/>
  <c r="J984" i="34"/>
  <c r="J985" i="34"/>
  <c r="J986" i="34"/>
  <c r="J987" i="34"/>
  <c r="J988" i="34"/>
  <c r="J989" i="34"/>
  <c r="J990" i="34"/>
  <c r="J991" i="34"/>
  <c r="J992" i="34"/>
  <c r="J993" i="34"/>
  <c r="J994" i="34"/>
  <c r="J995" i="34"/>
  <c r="J996" i="34"/>
  <c r="H18" i="33" s="1"/>
  <c r="J997" i="34"/>
  <c r="J998" i="34"/>
  <c r="J999" i="34"/>
  <c r="J1000" i="34"/>
  <c r="J1001" i="34"/>
  <c r="J1002" i="34"/>
  <c r="J1003" i="34"/>
  <c r="J1004" i="34"/>
  <c r="J1005" i="34"/>
  <c r="J1006" i="34"/>
  <c r="J1007" i="34"/>
  <c r="J1008" i="34"/>
  <c r="J1009" i="34"/>
  <c r="J1010" i="34"/>
  <c r="J1011" i="34"/>
  <c r="H19" i="33" s="1"/>
  <c r="J1012" i="34"/>
  <c r="J1013" i="34"/>
  <c r="J1014" i="34"/>
  <c r="J1015" i="34"/>
  <c r="J1016" i="34"/>
  <c r="J1017" i="34"/>
  <c r="J1018" i="34"/>
  <c r="J1019" i="34"/>
  <c r="J1020" i="34"/>
  <c r="J1021" i="34"/>
  <c r="J1022" i="34"/>
  <c r="J1023" i="34"/>
  <c r="J1024" i="34"/>
  <c r="J1025" i="34"/>
  <c r="J1026" i="34"/>
  <c r="J1027" i="34"/>
  <c r="J1028" i="34"/>
  <c r="H20" i="33" s="1"/>
  <c r="J1029" i="34"/>
  <c r="J1030" i="34"/>
  <c r="J1031" i="34"/>
  <c r="J1032" i="34"/>
  <c r="J1033" i="34"/>
  <c r="J1034" i="34"/>
  <c r="J1035" i="34"/>
  <c r="J1036" i="34"/>
  <c r="J1037" i="34"/>
  <c r="J1038" i="34"/>
  <c r="J1039" i="34"/>
  <c r="J1040" i="34"/>
  <c r="J1041" i="34"/>
  <c r="J1042" i="34"/>
  <c r="J1043" i="34"/>
  <c r="J1044" i="34"/>
  <c r="J1045" i="34"/>
  <c r="J1046" i="34"/>
  <c r="J1047" i="34"/>
  <c r="H21" i="33" s="1"/>
  <c r="J1048" i="34"/>
  <c r="J1049" i="34"/>
  <c r="J1050" i="34"/>
  <c r="J1051" i="34"/>
  <c r="J1052" i="34"/>
  <c r="J1053" i="34"/>
  <c r="J1054" i="34"/>
  <c r="J1055" i="34"/>
  <c r="J1056" i="34"/>
  <c r="J1057" i="34"/>
  <c r="J1058" i="34"/>
  <c r="J1059" i="34"/>
  <c r="J1060" i="34"/>
  <c r="J1061" i="34"/>
  <c r="J1062" i="34"/>
  <c r="J1063" i="34"/>
  <c r="J1064" i="34"/>
  <c r="J1065" i="34"/>
  <c r="J1066" i="34"/>
  <c r="J1067" i="34"/>
  <c r="H22" i="33" s="1"/>
  <c r="J1068" i="34"/>
  <c r="J1069" i="34"/>
  <c r="J1070" i="34"/>
  <c r="J1071" i="34"/>
  <c r="J1072" i="34"/>
  <c r="J1073" i="34"/>
  <c r="J1074" i="34"/>
  <c r="J1075" i="34"/>
  <c r="J1076" i="34"/>
  <c r="J1077" i="34"/>
  <c r="J1078" i="34"/>
  <c r="J1079" i="34"/>
  <c r="J1080" i="34"/>
  <c r="J1081" i="34"/>
  <c r="J1082" i="34"/>
  <c r="J1083" i="34"/>
  <c r="J1084" i="34"/>
  <c r="J1085" i="34"/>
  <c r="J1086" i="34"/>
  <c r="J1087" i="34"/>
  <c r="J1088" i="34"/>
  <c r="J1089" i="34"/>
  <c r="J1090" i="34"/>
  <c r="J1091" i="34"/>
  <c r="H23" i="33" s="1"/>
  <c r="J1092" i="34"/>
  <c r="J1093" i="34"/>
  <c r="J1094" i="34"/>
  <c r="J1095" i="34"/>
  <c r="J1096" i="34"/>
  <c r="J1097" i="34"/>
  <c r="J1098" i="34"/>
  <c r="J1099" i="34"/>
  <c r="J1100" i="34"/>
  <c r="J1101" i="34"/>
  <c r="J1102" i="34"/>
  <c r="J1103" i="34"/>
  <c r="J1104" i="34"/>
  <c r="J1105" i="34"/>
  <c r="J1106" i="34"/>
  <c r="J1107" i="34"/>
  <c r="J1108" i="34"/>
  <c r="J1109" i="34"/>
  <c r="J1110" i="34"/>
  <c r="J1111" i="34"/>
  <c r="J1112" i="34"/>
  <c r="J1113" i="34"/>
  <c r="J1114" i="34"/>
  <c r="J1115" i="34"/>
  <c r="J1116" i="34"/>
  <c r="H24" i="33" s="1"/>
  <c r="J1117" i="34"/>
  <c r="J1118" i="34"/>
  <c r="J1119" i="34"/>
  <c r="J1120" i="34"/>
  <c r="J1121" i="34"/>
  <c r="J1122" i="34"/>
  <c r="J1123" i="34"/>
  <c r="J1124" i="34"/>
  <c r="J1125" i="34"/>
  <c r="J1126" i="34"/>
  <c r="J1127" i="34"/>
  <c r="J1128" i="34"/>
  <c r="J1129" i="34"/>
  <c r="J1130" i="34"/>
  <c r="J1131" i="34"/>
  <c r="H25" i="33" s="1"/>
  <c r="J1132" i="34"/>
  <c r="J1133" i="34"/>
  <c r="J1134" i="34"/>
  <c r="J1135" i="34"/>
  <c r="J1136" i="34"/>
  <c r="J1137" i="34"/>
  <c r="H26" i="33" s="1"/>
  <c r="J1138" i="34"/>
  <c r="J1139" i="34"/>
  <c r="J1140" i="34"/>
  <c r="J1141" i="34"/>
  <c r="J1142" i="34"/>
  <c r="J1143" i="34"/>
  <c r="H27" i="33" s="1"/>
  <c r="J1144" i="34"/>
  <c r="J1145" i="34"/>
  <c r="J1146" i="34"/>
  <c r="J1147" i="34"/>
  <c r="J1148" i="34"/>
  <c r="J1149" i="34"/>
  <c r="H28" i="33" s="1"/>
  <c r="J1150" i="34"/>
  <c r="J1151" i="34"/>
  <c r="J1152" i="34"/>
  <c r="J1153" i="34"/>
  <c r="J1154" i="34"/>
  <c r="J1155" i="34"/>
  <c r="J1156" i="34"/>
  <c r="H29" i="33" s="1"/>
  <c r="J1157" i="34"/>
  <c r="J1158" i="34"/>
  <c r="J1159" i="34"/>
  <c r="J1160" i="34"/>
  <c r="J1161" i="34"/>
  <c r="J1162" i="34"/>
  <c r="J1163" i="34"/>
  <c r="J1164" i="34"/>
  <c r="H30" i="33" s="1"/>
  <c r="J1165" i="34"/>
  <c r="J1166" i="34"/>
  <c r="J1167" i="34"/>
  <c r="J1168" i="34"/>
  <c r="J1169" i="34"/>
  <c r="J1170" i="34"/>
  <c r="J1171" i="34"/>
  <c r="J1172" i="34"/>
  <c r="H31" i="33" s="1"/>
  <c r="J1173" i="34"/>
  <c r="J1174" i="34"/>
  <c r="J1175" i="34"/>
  <c r="J1176" i="34"/>
  <c r="J1177" i="34"/>
  <c r="J1178" i="34"/>
  <c r="J1179" i="34"/>
  <c r="J1180" i="34"/>
  <c r="H32" i="33" s="1"/>
  <c r="J1181" i="34"/>
  <c r="J1182" i="34"/>
  <c r="J1183" i="34"/>
  <c r="J1184" i="34"/>
  <c r="J1185" i="34"/>
  <c r="J1186" i="34"/>
  <c r="J1187" i="34"/>
  <c r="J1188" i="34"/>
  <c r="H33" i="33" s="1"/>
  <c r="J1189" i="34"/>
  <c r="J1190" i="34"/>
  <c r="J1191" i="34"/>
  <c r="J1192" i="34"/>
  <c r="J1193" i="34"/>
  <c r="J1194" i="34"/>
  <c r="J1195" i="34"/>
  <c r="J1279" i="34"/>
  <c r="J1280" i="34"/>
  <c r="J1281" i="34"/>
  <c r="J1282" i="34"/>
  <c r="J1283" i="34"/>
  <c r="J1284" i="34"/>
  <c r="J1285" i="34"/>
  <c r="J1286" i="34"/>
  <c r="J1287" i="34"/>
  <c r="J1288" i="34"/>
  <c r="J1289" i="34"/>
  <c r="J1290" i="34"/>
  <c r="J1291" i="34"/>
  <c r="J1292" i="34"/>
  <c r="J1293" i="34"/>
  <c r="J1294" i="34"/>
  <c r="J1295" i="34"/>
  <c r="J1296" i="34"/>
  <c r="J1297" i="34"/>
  <c r="J1298" i="34"/>
  <c r="J1299" i="34"/>
  <c r="J1300" i="34"/>
  <c r="J1301" i="34"/>
  <c r="J1302" i="34"/>
  <c r="J1303" i="34"/>
  <c r="J1304" i="34"/>
  <c r="J1305" i="34"/>
  <c r="J1306" i="34"/>
  <c r="J1307" i="34"/>
  <c r="J1308" i="34"/>
  <c r="J1309" i="34"/>
  <c r="J1310" i="34"/>
  <c r="J1311" i="34"/>
  <c r="J1312" i="34"/>
  <c r="J1313" i="34"/>
  <c r="J1314" i="34"/>
  <c r="J1315" i="34"/>
  <c r="J1316" i="34"/>
  <c r="J1317" i="34"/>
  <c r="J1318" i="34"/>
  <c r="J1319" i="34"/>
  <c r="J1320" i="34"/>
  <c r="J1321" i="34"/>
  <c r="J1322" i="34"/>
  <c r="J1323" i="34"/>
  <c r="J1324" i="34"/>
  <c r="J1325" i="34"/>
  <c r="J1326" i="34"/>
  <c r="J1327" i="34"/>
  <c r="J1328" i="34"/>
  <c r="J1329" i="34"/>
  <c r="J1330" i="34"/>
  <c r="J1331" i="34"/>
  <c r="J1332" i="34"/>
  <c r="J1333" i="34"/>
  <c r="J1334" i="34"/>
  <c r="J1335" i="34"/>
  <c r="J1336" i="34"/>
  <c r="J1337" i="34"/>
  <c r="J1338" i="34"/>
  <c r="J1339" i="34"/>
  <c r="J1340" i="34"/>
  <c r="J1341" i="34"/>
  <c r="J1342" i="34"/>
  <c r="J1343" i="34"/>
  <c r="J1344" i="34"/>
  <c r="J1345" i="34"/>
  <c r="J1346" i="34"/>
  <c r="J1347" i="34"/>
  <c r="J1348" i="34"/>
  <c r="J1349" i="34"/>
  <c r="J1350" i="34"/>
  <c r="J1351" i="34"/>
  <c r="J1352" i="34"/>
  <c r="J1353" i="34"/>
  <c r="J1354" i="34"/>
  <c r="J1355" i="34"/>
  <c r="J1356" i="34"/>
  <c r="J1357" i="34"/>
  <c r="J1358" i="34"/>
  <c r="J1359" i="34"/>
  <c r="J1360" i="34"/>
  <c r="J1361" i="34"/>
  <c r="J1362" i="34"/>
  <c r="J1363" i="34"/>
  <c r="J1364" i="34"/>
  <c r="J1365" i="34"/>
  <c r="J1366" i="34"/>
  <c r="J1367" i="34"/>
  <c r="J1368" i="34"/>
  <c r="J1369" i="34"/>
  <c r="J1370" i="34"/>
  <c r="J1371" i="34"/>
  <c r="J1372" i="34"/>
  <c r="J1373" i="34"/>
  <c r="J1374" i="34"/>
  <c r="J1375" i="34"/>
  <c r="J1376" i="34"/>
  <c r="J1377" i="34"/>
  <c r="J1378" i="34"/>
  <c r="J1379" i="34"/>
  <c r="J1380" i="34"/>
  <c r="J1381" i="34"/>
  <c r="J1382" i="34"/>
  <c r="J1383" i="34"/>
  <c r="J1384" i="34"/>
  <c r="J1385" i="34"/>
  <c r="J1386" i="34"/>
  <c r="J1387" i="34"/>
  <c r="J1388" i="34"/>
  <c r="J1389" i="34"/>
  <c r="J1390" i="34"/>
  <c r="J1391" i="34"/>
  <c r="J1392" i="34"/>
  <c r="J1393" i="34"/>
  <c r="J1394" i="34"/>
  <c r="J1395" i="34"/>
  <c r="J1396" i="34"/>
  <c r="J1397" i="34"/>
  <c r="J1398" i="34"/>
  <c r="J1399" i="34"/>
  <c r="J1400" i="34"/>
  <c r="J1401" i="34"/>
  <c r="J1402" i="34"/>
  <c r="J1403" i="34"/>
  <c r="J1404" i="34"/>
  <c r="J1405" i="34"/>
  <c r="J1406" i="34"/>
  <c r="J1407" i="34"/>
  <c r="J1408" i="34"/>
  <c r="J1409" i="34"/>
  <c r="J1410" i="34"/>
  <c r="J1411" i="34"/>
  <c r="J1412" i="34"/>
  <c r="J1413" i="34"/>
  <c r="J1414" i="34"/>
  <c r="J1415" i="34"/>
  <c r="J1416" i="34"/>
  <c r="J1417" i="34"/>
  <c r="J1418" i="34"/>
  <c r="J1419" i="34"/>
  <c r="J1420" i="34"/>
  <c r="J1421" i="34"/>
  <c r="J1422" i="34"/>
  <c r="J1423" i="34"/>
  <c r="J1424" i="34"/>
  <c r="J1425" i="34"/>
  <c r="J1426" i="34"/>
  <c r="J1427" i="34"/>
  <c r="J1428" i="34"/>
  <c r="J1429" i="34"/>
  <c r="J1430" i="34"/>
  <c r="J1431" i="34"/>
  <c r="J1432" i="34"/>
  <c r="J1433" i="34"/>
  <c r="J1434" i="34"/>
  <c r="J1435" i="34"/>
  <c r="J1436" i="34"/>
  <c r="J1437" i="34"/>
  <c r="J1438" i="34"/>
  <c r="J1439" i="34"/>
  <c r="J1440" i="34"/>
  <c r="J1441" i="34"/>
  <c r="J1442" i="34"/>
  <c r="J1443" i="34"/>
  <c r="J1444" i="34"/>
  <c r="J1445" i="34"/>
  <c r="J1446" i="34"/>
  <c r="J1447" i="34"/>
  <c r="J1448" i="34"/>
  <c r="J1449" i="34"/>
  <c r="J1450" i="34"/>
  <c r="J1451" i="34"/>
  <c r="J1452" i="34"/>
  <c r="J1453" i="34"/>
  <c r="J1454" i="34"/>
  <c r="J1455" i="34"/>
  <c r="J1456" i="34"/>
  <c r="J1457" i="34"/>
  <c r="J1458" i="34"/>
  <c r="J1459" i="34"/>
  <c r="J1460" i="34"/>
  <c r="J1461" i="34"/>
  <c r="J1462" i="34"/>
  <c r="J1463" i="34"/>
  <c r="J1464" i="34"/>
  <c r="J1465" i="34"/>
  <c r="J1466" i="34"/>
  <c r="J1467" i="34"/>
  <c r="J1468" i="34"/>
  <c r="J1469" i="34"/>
  <c r="J1470" i="34"/>
  <c r="J1471" i="34"/>
  <c r="J1472" i="34"/>
  <c r="J1473" i="34"/>
  <c r="J1474" i="34"/>
  <c r="J1475" i="34"/>
  <c r="J1476" i="34"/>
  <c r="J1477" i="34"/>
  <c r="J1478" i="34"/>
  <c r="J1479" i="34"/>
  <c r="J1480" i="34"/>
  <c r="J1481" i="34"/>
  <c r="J1482" i="34"/>
  <c r="J1483" i="34"/>
  <c r="J1484" i="34"/>
  <c r="J1485" i="34"/>
  <c r="J1486" i="34"/>
  <c r="J1487" i="34"/>
  <c r="J1488" i="34"/>
  <c r="J1489" i="34"/>
  <c r="J677" i="34"/>
  <c r="G677" i="34"/>
  <c r="G678" i="34"/>
  <c r="G679" i="34"/>
  <c r="G680" i="34"/>
  <c r="G681" i="34"/>
  <c r="G682" i="34"/>
  <c r="G683" i="34"/>
  <c r="G684" i="34"/>
  <c r="G685" i="34"/>
  <c r="G686" i="34"/>
  <c r="G687" i="34"/>
  <c r="G688" i="34"/>
  <c r="G689" i="34"/>
  <c r="G690" i="34"/>
  <c r="G691" i="34"/>
  <c r="G692" i="34"/>
  <c r="G693" i="34"/>
  <c r="G694" i="34"/>
  <c r="G695" i="34"/>
  <c r="G696" i="34"/>
  <c r="G697" i="34"/>
  <c r="G698" i="34"/>
  <c r="G699" i="34"/>
  <c r="G700" i="34"/>
  <c r="G701" i="34"/>
  <c r="G702" i="34"/>
  <c r="G703" i="34"/>
  <c r="G704" i="34"/>
  <c r="G705" i="34"/>
  <c r="G706" i="34"/>
  <c r="G707" i="34"/>
  <c r="G708" i="34"/>
  <c r="G709" i="34"/>
  <c r="G710" i="34"/>
  <c r="G711" i="34"/>
  <c r="G712" i="34"/>
  <c r="G713" i="34"/>
  <c r="G714" i="34"/>
  <c r="G715" i="34"/>
  <c r="G716" i="34"/>
  <c r="G717" i="34"/>
  <c r="G718" i="34"/>
  <c r="G719" i="34"/>
  <c r="G720" i="34"/>
  <c r="G721" i="34"/>
  <c r="G722" i="34"/>
  <c r="G723" i="34"/>
  <c r="G724" i="34"/>
  <c r="G725" i="34"/>
  <c r="G726" i="34"/>
  <c r="G727" i="34"/>
  <c r="G728" i="34"/>
  <c r="G729" i="34"/>
  <c r="G730" i="34"/>
  <c r="G731" i="34"/>
  <c r="G732" i="34"/>
  <c r="G733" i="34"/>
  <c r="G734" i="34"/>
  <c r="G735" i="34"/>
  <c r="G736" i="34"/>
  <c r="G737" i="34"/>
  <c r="G738" i="34"/>
  <c r="G739" i="34"/>
  <c r="G740" i="34"/>
  <c r="G741" i="34"/>
  <c r="G742" i="34"/>
  <c r="G743" i="34"/>
  <c r="G744" i="34"/>
  <c r="G745" i="34"/>
  <c r="G746" i="34"/>
  <c r="G747" i="34"/>
  <c r="G748" i="34"/>
  <c r="G749" i="34"/>
  <c r="G750" i="34"/>
  <c r="G751" i="34"/>
  <c r="G752" i="34"/>
  <c r="G753" i="34"/>
  <c r="G754" i="34"/>
  <c r="G755" i="34"/>
  <c r="G756" i="34"/>
  <c r="G757" i="34"/>
  <c r="G758" i="34"/>
  <c r="G759" i="34"/>
  <c r="G760" i="34"/>
  <c r="G761" i="34"/>
  <c r="G762" i="34"/>
  <c r="G763" i="34"/>
  <c r="G764" i="34"/>
  <c r="G765" i="34"/>
  <c r="G766" i="34"/>
  <c r="G767" i="34"/>
  <c r="G768" i="34"/>
  <c r="G769" i="34"/>
  <c r="G770" i="34"/>
  <c r="G771" i="34"/>
  <c r="G772" i="34"/>
  <c r="G773" i="34"/>
  <c r="G774" i="34"/>
  <c r="G775" i="34"/>
  <c r="G776" i="34"/>
  <c r="G777" i="34"/>
  <c r="G778" i="34"/>
  <c r="G779" i="34"/>
  <c r="G780" i="34"/>
  <c r="G781" i="34"/>
  <c r="G782" i="34"/>
  <c r="G783" i="34"/>
  <c r="G784" i="34"/>
  <c r="G785" i="34"/>
  <c r="G786" i="34"/>
  <c r="G787" i="34"/>
  <c r="G788" i="34"/>
  <c r="G789" i="34"/>
  <c r="G790" i="34"/>
  <c r="G791" i="34"/>
  <c r="G792" i="34"/>
  <c r="G793" i="34"/>
  <c r="G794" i="34"/>
  <c r="G795" i="34"/>
  <c r="G796" i="34"/>
  <c r="G797" i="34"/>
  <c r="G798" i="34"/>
  <c r="G799" i="34"/>
  <c r="G800" i="34"/>
  <c r="G801" i="34"/>
  <c r="G802" i="34"/>
  <c r="G803" i="34"/>
  <c r="G804" i="34"/>
  <c r="G805" i="34"/>
  <c r="G806" i="34"/>
  <c r="G807" i="34"/>
  <c r="G808" i="34"/>
  <c r="G809" i="34"/>
  <c r="G810" i="34"/>
  <c r="G811" i="34"/>
  <c r="G812" i="34"/>
  <c r="G813" i="34"/>
  <c r="G814" i="34"/>
  <c r="G815" i="34"/>
  <c r="G816" i="34"/>
  <c r="G817" i="34"/>
  <c r="G818" i="34"/>
  <c r="G819" i="34"/>
  <c r="G820" i="34"/>
  <c r="G821" i="34"/>
  <c r="G822" i="34"/>
  <c r="G823" i="34"/>
  <c r="G824" i="34"/>
  <c r="G825" i="34"/>
  <c r="G826" i="34"/>
  <c r="G827" i="34"/>
  <c r="G828" i="34"/>
  <c r="G829" i="34"/>
  <c r="G830" i="34"/>
  <c r="G831" i="34"/>
  <c r="G832" i="34"/>
  <c r="G833" i="34"/>
  <c r="G834" i="34"/>
  <c r="G835" i="34"/>
  <c r="G836" i="34"/>
  <c r="G837" i="34"/>
  <c r="G838" i="34"/>
  <c r="G839" i="34"/>
  <c r="G840" i="34"/>
  <c r="G841" i="34"/>
  <c r="G842" i="34"/>
  <c r="G843" i="34"/>
  <c r="G844" i="34"/>
  <c r="G845" i="34"/>
  <c r="G846" i="34"/>
  <c r="G847" i="34"/>
  <c r="G848" i="34"/>
  <c r="G849" i="34"/>
  <c r="G850" i="34"/>
  <c r="G851" i="34"/>
  <c r="G852" i="34"/>
  <c r="G853" i="34"/>
  <c r="G854" i="34"/>
  <c r="G855" i="34"/>
  <c r="G856" i="34"/>
  <c r="G857" i="34"/>
  <c r="G858" i="34"/>
  <c r="G859" i="34"/>
  <c r="G860" i="34"/>
  <c r="G861" i="34"/>
  <c r="G862" i="34"/>
  <c r="G863" i="34"/>
  <c r="G864" i="34"/>
  <c r="G865" i="34"/>
  <c r="G866" i="34"/>
  <c r="G867" i="34"/>
  <c r="G868" i="34"/>
  <c r="G869" i="34"/>
  <c r="G870" i="34"/>
  <c r="G871" i="34"/>
  <c r="G872" i="34"/>
  <c r="G873" i="34"/>
  <c r="G874" i="34"/>
  <c r="G875" i="34"/>
  <c r="G876" i="34"/>
  <c r="G877" i="34"/>
  <c r="G878" i="34"/>
  <c r="G879" i="34"/>
  <c r="G880" i="34"/>
  <c r="G881" i="34"/>
  <c r="G882" i="34"/>
  <c r="G883" i="34"/>
  <c r="G884" i="34"/>
  <c r="G885" i="34"/>
  <c r="G886" i="34"/>
  <c r="G887" i="34"/>
  <c r="G888" i="34"/>
  <c r="G889" i="34"/>
  <c r="G890" i="34"/>
  <c r="G891" i="34"/>
  <c r="G892" i="34"/>
  <c r="G893" i="34"/>
  <c r="G894" i="34"/>
  <c r="G895" i="34"/>
  <c r="G896" i="34"/>
  <c r="G897" i="34"/>
  <c r="G898" i="34"/>
  <c r="G899" i="34"/>
  <c r="G900" i="34"/>
  <c r="G901" i="34"/>
  <c r="G902" i="34"/>
  <c r="G903" i="34"/>
  <c r="G904" i="34"/>
  <c r="G905" i="34"/>
  <c r="G906" i="34"/>
  <c r="G907" i="34"/>
  <c r="G908" i="34"/>
  <c r="G909" i="34"/>
  <c r="G910" i="34"/>
  <c r="G911" i="34"/>
  <c r="G912" i="34"/>
  <c r="G913" i="34"/>
  <c r="G914" i="34"/>
  <c r="G915" i="34"/>
  <c r="G916" i="34"/>
  <c r="G917" i="34"/>
  <c r="G918" i="34"/>
  <c r="G919" i="34"/>
  <c r="G920" i="34"/>
  <c r="G921" i="34"/>
  <c r="G922" i="34"/>
  <c r="G923" i="34"/>
  <c r="G924" i="34"/>
  <c r="G925" i="34"/>
  <c r="G926" i="34"/>
  <c r="G927" i="34"/>
  <c r="G928" i="34"/>
  <c r="G929" i="34"/>
  <c r="G930" i="34"/>
  <c r="G931" i="34"/>
  <c r="G932" i="34"/>
  <c r="G933" i="34"/>
  <c r="G934" i="34"/>
  <c r="G935" i="34"/>
  <c r="G936" i="34"/>
  <c r="G937" i="34"/>
  <c r="G938" i="34"/>
  <c r="G939" i="34"/>
  <c r="G940" i="34"/>
  <c r="G941" i="34"/>
  <c r="G942" i="34"/>
  <c r="G943" i="34"/>
  <c r="G944" i="34"/>
  <c r="G945" i="34"/>
  <c r="G946" i="34"/>
  <c r="G947" i="34"/>
  <c r="G948" i="34"/>
  <c r="G949" i="34"/>
  <c r="G950" i="34"/>
  <c r="G951" i="34"/>
  <c r="G952" i="34"/>
  <c r="G953" i="34"/>
  <c r="G954" i="34"/>
  <c r="G955" i="34"/>
  <c r="G956" i="34"/>
  <c r="G957" i="34"/>
  <c r="G958" i="34"/>
  <c r="G959" i="34"/>
  <c r="G960" i="34"/>
  <c r="G961" i="34"/>
  <c r="G962" i="34"/>
  <c r="G963" i="34"/>
  <c r="G964" i="34"/>
  <c r="G965" i="34"/>
  <c r="G966" i="34"/>
  <c r="G967" i="34"/>
  <c r="G968" i="34"/>
  <c r="G969" i="34"/>
  <c r="G970" i="34"/>
  <c r="G971" i="34"/>
  <c r="G972" i="34"/>
  <c r="G973" i="34"/>
  <c r="G974" i="34"/>
  <c r="G975" i="34"/>
  <c r="G976" i="34"/>
  <c r="G977" i="34"/>
  <c r="G978" i="34"/>
  <c r="G979" i="34"/>
  <c r="G980" i="34"/>
  <c r="G981" i="34"/>
  <c r="G982" i="34"/>
  <c r="G983" i="34"/>
  <c r="G984" i="34"/>
  <c r="G985" i="34"/>
  <c r="G986" i="34"/>
  <c r="G987" i="34"/>
  <c r="G988" i="34"/>
  <c r="G989" i="34"/>
  <c r="G990" i="34"/>
  <c r="G991" i="34"/>
  <c r="G992" i="34"/>
  <c r="G993" i="34"/>
  <c r="G994" i="34"/>
  <c r="G995" i="34"/>
  <c r="G996" i="34"/>
  <c r="G997" i="34"/>
  <c r="G998" i="34"/>
  <c r="G999" i="34"/>
  <c r="G1000" i="34"/>
  <c r="G1001" i="34"/>
  <c r="G1002" i="34"/>
  <c r="G1003" i="34"/>
  <c r="G1004" i="34"/>
  <c r="G1005" i="34"/>
  <c r="G1006" i="34"/>
  <c r="G1007" i="34"/>
  <c r="G1008" i="34"/>
  <c r="G1009" i="34"/>
  <c r="G1010" i="34"/>
  <c r="G1011" i="34"/>
  <c r="G1012" i="34"/>
  <c r="G1013" i="34"/>
  <c r="G1014" i="34"/>
  <c r="G1015" i="34"/>
  <c r="G1016" i="34"/>
  <c r="G1017" i="34"/>
  <c r="G1018" i="34"/>
  <c r="G1019" i="34"/>
  <c r="G1020" i="34"/>
  <c r="G1021" i="34"/>
  <c r="G1022" i="34"/>
  <c r="G1023" i="34"/>
  <c r="G1024" i="34"/>
  <c r="G1025" i="34"/>
  <c r="G1026" i="34"/>
  <c r="G1027" i="34"/>
  <c r="G1028" i="34"/>
  <c r="G1029" i="34"/>
  <c r="G1030" i="34"/>
  <c r="G1031" i="34"/>
  <c r="G1032" i="34"/>
  <c r="G1033" i="34"/>
  <c r="G1034" i="34"/>
  <c r="G1035" i="34"/>
  <c r="G1036" i="34"/>
  <c r="G1037" i="34"/>
  <c r="G1038" i="34"/>
  <c r="G1039" i="34"/>
  <c r="G1040" i="34"/>
  <c r="G1041" i="34"/>
  <c r="G1042" i="34"/>
  <c r="G1043" i="34"/>
  <c r="G1044" i="34"/>
  <c r="G1045" i="34"/>
  <c r="G1046" i="34"/>
  <c r="G1047" i="34"/>
  <c r="G1048" i="34"/>
  <c r="G1049" i="34"/>
  <c r="G1050" i="34"/>
  <c r="G1051" i="34"/>
  <c r="G1052" i="34"/>
  <c r="G1053" i="34"/>
  <c r="G1054" i="34"/>
  <c r="G1055" i="34"/>
  <c r="G1056" i="34"/>
  <c r="G1057" i="34"/>
  <c r="G1058" i="34"/>
  <c r="G1059" i="34"/>
  <c r="G1060" i="34"/>
  <c r="G1061" i="34"/>
  <c r="G1062" i="34"/>
  <c r="G1063" i="34"/>
  <c r="G1064" i="34"/>
  <c r="G1065" i="34"/>
  <c r="G1066" i="34"/>
  <c r="G1067" i="34"/>
  <c r="G1068" i="34"/>
  <c r="G1069" i="34"/>
  <c r="G1070" i="34"/>
  <c r="G1071" i="34"/>
  <c r="G1072" i="34"/>
  <c r="G1073" i="34"/>
  <c r="G1074" i="34"/>
  <c r="G1075" i="34"/>
  <c r="G1076" i="34"/>
  <c r="G1077" i="34"/>
  <c r="G1078" i="34"/>
  <c r="G1079" i="34"/>
  <c r="G1080" i="34"/>
  <c r="G1081" i="34"/>
  <c r="G1082" i="34"/>
  <c r="G1083" i="34"/>
  <c r="G1084" i="34"/>
  <c r="G1085" i="34"/>
  <c r="G1086" i="34"/>
  <c r="G1087" i="34"/>
  <c r="G1088" i="34"/>
  <c r="G1089" i="34"/>
  <c r="G1090" i="34"/>
  <c r="G1091" i="34"/>
  <c r="G1092" i="34"/>
  <c r="G1093" i="34"/>
  <c r="G1094" i="34"/>
  <c r="G1095" i="34"/>
  <c r="G1096" i="34"/>
  <c r="G1097" i="34"/>
  <c r="G1098" i="34"/>
  <c r="G1099" i="34"/>
  <c r="G1100" i="34"/>
  <c r="G1101" i="34"/>
  <c r="G1102" i="34"/>
  <c r="G1103" i="34"/>
  <c r="G1104" i="34"/>
  <c r="G1105" i="34"/>
  <c r="G1106" i="34"/>
  <c r="G1107" i="34"/>
  <c r="G1108" i="34"/>
  <c r="G1109" i="34"/>
  <c r="G1110" i="34"/>
  <c r="G1111" i="34"/>
  <c r="G1112" i="34"/>
  <c r="G1113" i="34"/>
  <c r="G1114" i="34"/>
  <c r="G1115" i="34"/>
  <c r="G1116" i="34"/>
  <c r="G1117" i="34"/>
  <c r="G1118" i="34"/>
  <c r="G1119" i="34"/>
  <c r="G1120" i="34"/>
  <c r="G1121" i="34"/>
  <c r="G1122" i="34"/>
  <c r="G1123" i="34"/>
  <c r="G1124" i="34"/>
  <c r="G1125" i="34"/>
  <c r="G1126" i="34"/>
  <c r="G1127" i="34"/>
  <c r="G1128" i="34"/>
  <c r="G1129" i="34"/>
  <c r="G1130" i="34"/>
  <c r="G1131" i="34"/>
  <c r="G1132" i="34"/>
  <c r="G1133" i="34"/>
  <c r="G1134" i="34"/>
  <c r="G1135" i="34"/>
  <c r="G1136" i="34"/>
  <c r="G1137" i="34"/>
  <c r="G1138" i="34"/>
  <c r="G1139" i="34"/>
  <c r="G1140" i="34"/>
  <c r="G1141" i="34"/>
  <c r="G1142" i="34"/>
  <c r="G1143" i="34"/>
  <c r="G1144" i="34"/>
  <c r="G1145" i="34"/>
  <c r="G1146" i="34"/>
  <c r="G1147" i="34"/>
  <c r="G1148" i="34"/>
  <c r="G1149" i="34"/>
  <c r="G1150" i="34"/>
  <c r="G1151" i="34"/>
  <c r="G1152" i="34"/>
  <c r="G1153" i="34"/>
  <c r="G1154" i="34"/>
  <c r="G1155" i="34"/>
  <c r="G1156" i="34"/>
  <c r="G1157" i="34"/>
  <c r="G1158" i="34"/>
  <c r="G1159" i="34"/>
  <c r="G1160" i="34"/>
  <c r="G1161" i="34"/>
  <c r="G1162" i="34"/>
  <c r="G1163" i="34"/>
  <c r="G1164" i="34"/>
  <c r="G1165" i="34"/>
  <c r="G1166" i="34"/>
  <c r="G1167" i="34"/>
  <c r="G1168" i="34"/>
  <c r="G1169" i="34"/>
  <c r="G1170" i="34"/>
  <c r="G1171" i="34"/>
  <c r="G1172" i="34"/>
  <c r="G1173" i="34"/>
  <c r="G1174" i="34"/>
  <c r="G1175" i="34"/>
  <c r="G1176" i="34"/>
  <c r="G1177" i="34"/>
  <c r="G1178" i="34"/>
  <c r="G1179" i="34"/>
  <c r="G1180" i="34"/>
  <c r="G1181" i="34"/>
  <c r="G1182" i="34"/>
  <c r="G1183" i="34"/>
  <c r="G1184" i="34"/>
  <c r="G1185" i="34"/>
  <c r="G1186" i="34"/>
  <c r="G1187" i="34"/>
  <c r="G1188" i="34"/>
  <c r="G1189" i="34"/>
  <c r="G1190" i="34"/>
  <c r="G1191" i="34"/>
  <c r="G1192" i="34"/>
  <c r="G1193" i="34"/>
  <c r="G1194" i="34"/>
  <c r="G1195" i="34"/>
  <c r="G1196" i="34"/>
  <c r="G1197" i="34"/>
  <c r="G1198" i="34"/>
  <c r="G1199" i="34"/>
  <c r="G1200" i="34"/>
  <c r="G1201" i="34"/>
  <c r="G1202" i="34"/>
  <c r="G1203" i="34"/>
  <c r="G1204" i="34"/>
  <c r="G1205" i="34"/>
  <c r="G1206" i="34"/>
  <c r="G1207" i="34"/>
  <c r="G1208" i="34"/>
  <c r="G1209" i="34"/>
  <c r="G1210" i="34"/>
  <c r="G1211" i="34"/>
  <c r="G1212" i="34"/>
  <c r="G1213" i="34"/>
  <c r="G1214" i="34"/>
  <c r="G1215" i="34"/>
  <c r="G1216" i="34"/>
  <c r="G1217" i="34"/>
  <c r="G1218" i="34"/>
  <c r="G1219" i="34"/>
  <c r="G1220" i="34"/>
  <c r="G1221" i="34"/>
  <c r="G1222" i="34"/>
  <c r="G1223" i="34"/>
  <c r="G1224" i="34"/>
  <c r="G1225" i="34"/>
  <c r="G1226" i="34"/>
  <c r="G1227" i="34"/>
  <c r="G1228" i="34"/>
  <c r="G1229" i="34"/>
  <c r="G1230" i="34"/>
  <c r="G1231" i="34"/>
  <c r="G1232" i="34"/>
  <c r="G1233" i="34"/>
  <c r="G1234" i="34"/>
  <c r="G1235" i="34"/>
  <c r="G1236" i="34"/>
  <c r="G1237" i="34"/>
  <c r="G1238" i="34"/>
  <c r="G1239" i="34"/>
  <c r="G1240" i="34"/>
  <c r="G1241" i="34"/>
  <c r="G1242" i="34"/>
  <c r="G1243" i="34"/>
  <c r="G1244" i="34"/>
  <c r="G1245" i="34"/>
  <c r="G1246" i="34"/>
  <c r="G1247" i="34"/>
  <c r="G1248" i="34"/>
  <c r="G1249" i="34"/>
  <c r="G1250" i="34"/>
  <c r="G1251" i="34"/>
  <c r="G1252" i="34"/>
  <c r="G1253" i="34"/>
  <c r="G1254" i="34"/>
  <c r="G1255" i="34"/>
  <c r="G1256" i="34"/>
  <c r="G1257" i="34"/>
  <c r="G1258" i="34"/>
  <c r="G1259" i="34"/>
  <c r="G1260" i="34"/>
  <c r="G1261" i="34"/>
  <c r="G1262" i="34"/>
  <c r="G1263" i="34"/>
  <c r="G1264" i="34"/>
  <c r="G1265" i="34"/>
  <c r="G1266" i="34"/>
  <c r="G1267" i="34"/>
  <c r="G1268" i="34"/>
  <c r="G1269" i="34"/>
  <c r="G1270" i="34"/>
  <c r="G1271" i="34"/>
  <c r="G1272" i="34"/>
  <c r="G1273" i="34"/>
  <c r="G1274" i="34"/>
  <c r="G1275" i="34"/>
  <c r="G1276" i="34"/>
  <c r="G1277" i="34"/>
  <c r="G1278" i="34"/>
  <c r="G1279" i="34"/>
  <c r="G1280" i="34"/>
  <c r="G1281" i="34"/>
  <c r="G1282" i="34"/>
  <c r="G1283" i="34"/>
  <c r="G1284" i="34"/>
  <c r="G1285" i="34"/>
  <c r="G1286" i="34"/>
  <c r="G1287" i="34"/>
  <c r="G1288" i="34"/>
  <c r="G1289" i="34"/>
  <c r="G1290" i="34"/>
  <c r="G1291" i="34"/>
  <c r="G1292" i="34"/>
  <c r="G1293" i="34"/>
  <c r="G1294" i="34"/>
  <c r="G1295" i="34"/>
  <c r="G1296" i="34"/>
  <c r="G1297" i="34"/>
  <c r="G1298" i="34"/>
  <c r="G1299" i="34"/>
  <c r="G1300" i="34"/>
  <c r="G1301" i="34"/>
  <c r="G1302" i="34"/>
  <c r="G1303" i="34"/>
  <c r="G1304" i="34"/>
  <c r="G1305" i="34"/>
  <c r="G1306" i="34"/>
  <c r="G1307" i="34"/>
  <c r="G1308" i="34"/>
  <c r="G1309" i="34"/>
  <c r="G1310" i="34"/>
  <c r="G1311" i="34"/>
  <c r="G1312" i="34"/>
  <c r="G1313" i="34"/>
  <c r="G1314" i="34"/>
  <c r="G1315" i="34"/>
  <c r="G1316" i="34"/>
  <c r="G1317" i="34"/>
  <c r="G1318" i="34"/>
  <c r="G1319" i="34"/>
  <c r="G1320" i="34"/>
  <c r="G1321" i="34"/>
  <c r="G1322" i="34"/>
  <c r="G1323" i="34"/>
  <c r="G1324" i="34"/>
  <c r="G1325" i="34"/>
  <c r="G1326" i="34"/>
  <c r="G1327" i="34"/>
  <c r="G1328" i="34"/>
  <c r="G1329" i="34"/>
  <c r="G1330" i="34"/>
  <c r="G1331" i="34"/>
  <c r="G1332" i="34"/>
  <c r="G1333" i="34"/>
  <c r="G1334" i="34"/>
  <c r="G1335" i="34"/>
  <c r="G1336" i="34"/>
  <c r="G1337" i="34"/>
  <c r="G1338" i="34"/>
  <c r="G1339" i="34"/>
  <c r="G1340" i="34"/>
  <c r="G1341" i="34"/>
  <c r="G1342" i="34"/>
  <c r="G1343" i="34"/>
  <c r="G1344" i="34"/>
  <c r="G1345" i="34"/>
  <c r="G1346" i="34"/>
  <c r="G1347" i="34"/>
  <c r="G1348" i="34"/>
  <c r="G1349" i="34"/>
  <c r="G1350" i="34"/>
  <c r="G1351" i="34"/>
  <c r="G1352" i="34"/>
  <c r="G1353" i="34"/>
  <c r="G1354" i="34"/>
  <c r="G1355" i="34"/>
  <c r="G1356" i="34"/>
  <c r="G1357" i="34"/>
  <c r="G1358" i="34"/>
  <c r="G1359" i="34"/>
  <c r="G1360" i="34"/>
  <c r="G1361" i="34"/>
  <c r="G1362" i="34"/>
  <c r="G1363" i="34"/>
  <c r="G1364" i="34"/>
  <c r="G1365" i="34"/>
  <c r="G1366" i="34"/>
  <c r="G1367" i="34"/>
  <c r="G1368" i="34"/>
  <c r="G1369" i="34"/>
  <c r="G1370" i="34"/>
  <c r="G1371" i="34"/>
  <c r="G1372" i="34"/>
  <c r="G1373" i="34"/>
  <c r="G1374" i="34"/>
  <c r="G1375" i="34"/>
  <c r="G1376" i="34"/>
  <c r="G1377" i="34"/>
  <c r="G1378" i="34"/>
  <c r="G1379" i="34"/>
  <c r="G1380" i="34"/>
  <c r="G1381" i="34"/>
  <c r="G1382" i="34"/>
  <c r="G1383" i="34"/>
  <c r="G1384" i="34"/>
  <c r="G1385" i="34"/>
  <c r="G1386" i="34"/>
  <c r="G1387" i="34"/>
  <c r="G1388" i="34"/>
  <c r="G1389" i="34"/>
  <c r="G1390" i="34"/>
  <c r="G1391" i="34"/>
  <c r="G1392" i="34"/>
  <c r="G1393" i="34"/>
  <c r="G1394" i="34"/>
  <c r="G1395" i="34"/>
  <c r="G1396" i="34"/>
  <c r="G1397" i="34"/>
  <c r="G1398" i="34"/>
  <c r="G1399" i="34"/>
  <c r="G1400" i="34"/>
  <c r="G1401" i="34"/>
  <c r="G1402" i="34"/>
  <c r="G1403" i="34"/>
  <c r="G1404" i="34"/>
  <c r="G1405" i="34"/>
  <c r="G1406" i="34"/>
  <c r="G1407" i="34"/>
  <c r="G1408" i="34"/>
  <c r="G1409" i="34"/>
  <c r="G1410" i="34"/>
  <c r="G1411" i="34"/>
  <c r="G1412" i="34"/>
  <c r="G1413" i="34"/>
  <c r="G1414" i="34"/>
  <c r="G1415" i="34"/>
  <c r="G1416" i="34"/>
  <c r="G1417" i="34"/>
  <c r="G1418" i="34"/>
  <c r="G1419" i="34"/>
  <c r="G1420" i="34"/>
  <c r="G1421" i="34"/>
  <c r="G1422" i="34"/>
  <c r="G1423" i="34"/>
  <c r="G1424" i="34"/>
  <c r="G1425" i="34"/>
  <c r="G1426" i="34"/>
  <c r="G1427" i="34"/>
  <c r="G1428" i="34"/>
  <c r="G1429" i="34"/>
  <c r="G1430" i="34"/>
  <c r="G1431" i="34"/>
  <c r="G1432" i="34"/>
  <c r="G1433" i="34"/>
  <c r="G1434" i="34"/>
  <c r="G1435" i="34"/>
  <c r="G1436" i="34"/>
  <c r="G1437" i="34"/>
  <c r="G1438" i="34"/>
  <c r="G1439" i="34"/>
  <c r="G1440" i="34"/>
  <c r="G1441" i="34"/>
  <c r="G1442" i="34"/>
  <c r="G1443" i="34"/>
  <c r="G1444" i="34"/>
  <c r="G1445" i="34"/>
  <c r="G1446" i="34"/>
  <c r="G1447" i="34"/>
  <c r="G1448" i="34"/>
  <c r="G1449" i="34"/>
  <c r="G1450" i="34"/>
  <c r="G1451" i="34"/>
  <c r="G1452" i="34"/>
  <c r="G1453" i="34"/>
  <c r="G1454" i="34"/>
  <c r="G1455" i="34"/>
  <c r="G1456" i="34"/>
  <c r="G1457" i="34"/>
  <c r="G1458" i="34"/>
  <c r="G1459" i="34"/>
  <c r="G1460" i="34"/>
  <c r="G1461" i="34"/>
  <c r="G1462" i="34"/>
  <c r="G1463" i="34"/>
  <c r="G1464" i="34"/>
  <c r="G1465" i="34"/>
  <c r="G1466" i="34"/>
  <c r="G1467" i="34"/>
  <c r="G1468" i="34"/>
  <c r="G1469" i="34"/>
  <c r="G1470" i="34"/>
  <c r="G1471" i="34"/>
  <c r="G1472" i="34"/>
  <c r="G1473" i="34"/>
  <c r="G1474" i="34"/>
  <c r="G1475" i="34"/>
  <c r="G1476" i="34"/>
  <c r="G1477" i="34"/>
  <c r="G1478" i="34"/>
  <c r="G1479" i="34"/>
  <c r="G1480" i="34"/>
  <c r="G1481" i="34"/>
  <c r="G1482" i="34"/>
  <c r="G1483" i="34"/>
  <c r="G1484" i="34"/>
  <c r="G1485" i="34"/>
  <c r="G1486" i="34"/>
  <c r="G1487" i="34"/>
  <c r="G1488" i="34"/>
  <c r="G1489" i="34"/>
  <c r="D677" i="34"/>
  <c r="D678" i="34"/>
  <c r="D679" i="34"/>
  <c r="D680" i="34"/>
  <c r="D681" i="34"/>
  <c r="D682" i="34"/>
  <c r="D683" i="34"/>
  <c r="D684" i="34"/>
  <c r="D685" i="34"/>
  <c r="D686" i="34"/>
  <c r="D687" i="34"/>
  <c r="D688" i="34"/>
  <c r="D689" i="34"/>
  <c r="D690" i="34"/>
  <c r="D691" i="34"/>
  <c r="D692" i="34"/>
  <c r="D693" i="34"/>
  <c r="D694" i="34"/>
  <c r="D695" i="34"/>
  <c r="D696" i="34"/>
  <c r="D697" i="34"/>
  <c r="D698" i="34"/>
  <c r="D699" i="34"/>
  <c r="D700" i="34"/>
  <c r="D701" i="34"/>
  <c r="D702" i="34"/>
  <c r="D703" i="34"/>
  <c r="D704" i="34"/>
  <c r="D705" i="34"/>
  <c r="D706" i="34"/>
  <c r="D707" i="34"/>
  <c r="D708" i="34"/>
  <c r="D709" i="34"/>
  <c r="D710" i="34"/>
  <c r="D711" i="34"/>
  <c r="D712" i="34"/>
  <c r="D713" i="34"/>
  <c r="D714" i="34"/>
  <c r="D715" i="34"/>
  <c r="D716" i="34"/>
  <c r="D717" i="34"/>
  <c r="D718" i="34"/>
  <c r="D719" i="34"/>
  <c r="D720" i="34"/>
  <c r="D721" i="34"/>
  <c r="B14" i="33" s="1"/>
  <c r="D722" i="34"/>
  <c r="D723" i="34"/>
  <c r="D724" i="34"/>
  <c r="D725" i="34"/>
  <c r="D726" i="34"/>
  <c r="D727" i="34"/>
  <c r="D728" i="34"/>
  <c r="D729" i="34"/>
  <c r="D730" i="34"/>
  <c r="D731" i="34"/>
  <c r="D732" i="34"/>
  <c r="D733" i="34"/>
  <c r="D734" i="34"/>
  <c r="D735" i="34"/>
  <c r="D736" i="34"/>
  <c r="D737" i="34"/>
  <c r="D738" i="34"/>
  <c r="D739" i="34"/>
  <c r="D740" i="34"/>
  <c r="D741" i="34"/>
  <c r="D742" i="34"/>
  <c r="D743" i="34"/>
  <c r="D744" i="34"/>
  <c r="D745" i="34"/>
  <c r="D746" i="34"/>
  <c r="D747" i="34"/>
  <c r="D748" i="34"/>
  <c r="D749" i="34"/>
  <c r="D750" i="34"/>
  <c r="D751" i="34"/>
  <c r="D752" i="34"/>
  <c r="D753" i="34"/>
  <c r="D754" i="34"/>
  <c r="D755" i="34"/>
  <c r="D756" i="34"/>
  <c r="D757" i="34"/>
  <c r="D758" i="34"/>
  <c r="D759" i="34"/>
  <c r="D760" i="34"/>
  <c r="D761" i="34"/>
  <c r="D762" i="34"/>
  <c r="D763" i="34"/>
  <c r="D764" i="34"/>
  <c r="D765" i="34"/>
  <c r="D766" i="34"/>
  <c r="D767" i="34"/>
  <c r="D768" i="34"/>
  <c r="D769" i="34"/>
  <c r="D770" i="34"/>
  <c r="D771" i="34"/>
  <c r="D772" i="34"/>
  <c r="D773" i="34"/>
  <c r="D774" i="34"/>
  <c r="D775" i="34"/>
  <c r="D776" i="34"/>
  <c r="D777" i="34"/>
  <c r="D778" i="34"/>
  <c r="D779" i="34"/>
  <c r="D780" i="34"/>
  <c r="D781" i="34"/>
  <c r="D782" i="34"/>
  <c r="D783" i="34"/>
  <c r="D784" i="34"/>
  <c r="D785" i="34"/>
  <c r="D786" i="34"/>
  <c r="D787" i="34"/>
  <c r="D788" i="34"/>
  <c r="D789" i="34"/>
  <c r="D790" i="34"/>
  <c r="D791" i="34"/>
  <c r="D792" i="34"/>
  <c r="D793" i="34"/>
  <c r="D794" i="34"/>
  <c r="D795" i="34"/>
  <c r="D796" i="34"/>
  <c r="D797" i="34"/>
  <c r="D798" i="34"/>
  <c r="D799" i="34"/>
  <c r="D800" i="34"/>
  <c r="D801" i="34"/>
  <c r="D802" i="34"/>
  <c r="D803" i="34"/>
  <c r="D804" i="34"/>
  <c r="D805" i="34"/>
  <c r="D806" i="34"/>
  <c r="D807" i="34"/>
  <c r="D808" i="34"/>
  <c r="D809" i="34"/>
  <c r="D810" i="34"/>
  <c r="D811" i="34"/>
  <c r="D812" i="34"/>
  <c r="D813" i="34"/>
  <c r="D814" i="34"/>
  <c r="D815" i="34"/>
  <c r="D816" i="34"/>
  <c r="D817" i="34"/>
  <c r="D818" i="34"/>
  <c r="D819" i="34"/>
  <c r="D820" i="34"/>
  <c r="D821" i="34"/>
  <c r="D822" i="34"/>
  <c r="D823" i="34"/>
  <c r="D824" i="34"/>
  <c r="D825" i="34"/>
  <c r="D826" i="34"/>
  <c r="D827" i="34"/>
  <c r="D828" i="34"/>
  <c r="D829" i="34"/>
  <c r="D830" i="34"/>
  <c r="D831" i="34"/>
  <c r="D832" i="34"/>
  <c r="D833" i="34"/>
  <c r="D834" i="34"/>
  <c r="D835" i="34"/>
  <c r="D836" i="34"/>
  <c r="D837" i="34"/>
  <c r="D838" i="34"/>
  <c r="D839" i="34"/>
  <c r="D840" i="34"/>
  <c r="D841" i="34"/>
  <c r="D842" i="34"/>
  <c r="D843" i="34"/>
  <c r="D844" i="34"/>
  <c r="D845" i="34"/>
  <c r="D846" i="34"/>
  <c r="D847" i="34"/>
  <c r="D848" i="34"/>
  <c r="D849" i="34"/>
  <c r="D850" i="34"/>
  <c r="D851" i="34"/>
  <c r="D852" i="34"/>
  <c r="D853" i="34"/>
  <c r="D854" i="34"/>
  <c r="D855" i="34"/>
  <c r="D856" i="34"/>
  <c r="D857" i="34"/>
  <c r="D858" i="34"/>
  <c r="D859" i="34"/>
  <c r="D860" i="34"/>
  <c r="D861" i="34"/>
  <c r="D862" i="34"/>
  <c r="D863" i="34"/>
  <c r="D864" i="34"/>
  <c r="D865" i="34"/>
  <c r="D866" i="34"/>
  <c r="D867" i="34"/>
  <c r="D868" i="34"/>
  <c r="D869" i="34"/>
  <c r="D870" i="34"/>
  <c r="D871" i="34"/>
  <c r="D872" i="34"/>
  <c r="D873" i="34"/>
  <c r="D874" i="34"/>
  <c r="D875" i="34"/>
  <c r="D876" i="34"/>
  <c r="D877" i="34"/>
  <c r="D878" i="34"/>
  <c r="D879" i="34"/>
  <c r="D880" i="34"/>
  <c r="D881" i="34"/>
  <c r="D882" i="34"/>
  <c r="D883" i="34"/>
  <c r="D884" i="34"/>
  <c r="D885" i="34"/>
  <c r="D886" i="34"/>
  <c r="D887" i="34"/>
  <c r="D888" i="34"/>
  <c r="D889" i="34"/>
  <c r="D890" i="34"/>
  <c r="D891" i="34"/>
  <c r="D892" i="34"/>
  <c r="D893" i="34"/>
  <c r="D894" i="34"/>
  <c r="D895" i="34"/>
  <c r="D896" i="34"/>
  <c r="D897" i="34"/>
  <c r="D898" i="34"/>
  <c r="D899" i="34"/>
  <c r="D900" i="34"/>
  <c r="D901" i="34"/>
  <c r="D902" i="34"/>
  <c r="D903" i="34"/>
  <c r="D904" i="34"/>
  <c r="D905" i="34"/>
  <c r="D906" i="34"/>
  <c r="D907" i="34"/>
  <c r="D908" i="34"/>
  <c r="D909" i="34"/>
  <c r="D910" i="34"/>
  <c r="D911" i="34"/>
  <c r="D912" i="34"/>
  <c r="D913" i="34"/>
  <c r="D914" i="34"/>
  <c r="D915" i="34"/>
  <c r="D916" i="34"/>
  <c r="D917" i="34"/>
  <c r="D918" i="34"/>
  <c r="D919" i="34"/>
  <c r="D920" i="34"/>
  <c r="D921" i="34"/>
  <c r="D922" i="34"/>
  <c r="D923" i="34"/>
  <c r="D924" i="34"/>
  <c r="D925" i="34"/>
  <c r="D926" i="34"/>
  <c r="D927" i="34"/>
  <c r="D928" i="34"/>
  <c r="D929" i="34"/>
  <c r="D930" i="34"/>
  <c r="D931" i="34"/>
  <c r="D932" i="34"/>
  <c r="D933" i="34"/>
  <c r="D934" i="34"/>
  <c r="D935" i="34"/>
  <c r="D936" i="34"/>
  <c r="D937" i="34"/>
  <c r="D938" i="34"/>
  <c r="D939" i="34"/>
  <c r="D940" i="34"/>
  <c r="D941" i="34"/>
  <c r="D942" i="34"/>
  <c r="D943" i="34"/>
  <c r="D944" i="34"/>
  <c r="D945" i="34"/>
  <c r="D946" i="34"/>
  <c r="D947" i="34"/>
  <c r="D948" i="34"/>
  <c r="D949" i="34"/>
  <c r="D950" i="34"/>
  <c r="D951" i="34"/>
  <c r="D952" i="34"/>
  <c r="D953" i="34"/>
  <c r="D954" i="34"/>
  <c r="D955" i="34"/>
  <c r="D956" i="34"/>
  <c r="D957" i="34"/>
  <c r="D958" i="34"/>
  <c r="D959" i="34"/>
  <c r="D960" i="34"/>
  <c r="D961" i="34"/>
  <c r="D962" i="34"/>
  <c r="B15" i="33" s="1"/>
  <c r="D963" i="34"/>
  <c r="D964" i="34"/>
  <c r="D965" i="34"/>
  <c r="D966" i="34"/>
  <c r="D967" i="34"/>
  <c r="D968" i="34"/>
  <c r="D969" i="34"/>
  <c r="D970" i="34"/>
  <c r="D971" i="34"/>
  <c r="D972" i="34"/>
  <c r="B16" i="33" s="1"/>
  <c r="D973" i="34"/>
  <c r="D974" i="34"/>
  <c r="D975" i="34"/>
  <c r="D976" i="34"/>
  <c r="D977" i="34"/>
  <c r="D978" i="34"/>
  <c r="D979" i="34"/>
  <c r="D980" i="34"/>
  <c r="D981" i="34"/>
  <c r="D982" i="34"/>
  <c r="D983" i="34"/>
  <c r="B17" i="33" s="1"/>
  <c r="D984" i="34"/>
  <c r="D985" i="34"/>
  <c r="D986" i="34"/>
  <c r="D987" i="34"/>
  <c r="D988" i="34"/>
  <c r="D989" i="34"/>
  <c r="D990" i="34"/>
  <c r="D991" i="34"/>
  <c r="D992" i="34"/>
  <c r="D993" i="34"/>
  <c r="D994" i="34"/>
  <c r="D995" i="34"/>
  <c r="D996" i="34"/>
  <c r="B18" i="33" s="1"/>
  <c r="D997" i="34"/>
  <c r="D998" i="34"/>
  <c r="D999" i="34"/>
  <c r="D1000" i="34"/>
  <c r="D1001" i="34"/>
  <c r="D1002" i="34"/>
  <c r="D1003" i="34"/>
  <c r="D1004" i="34"/>
  <c r="D1005" i="34"/>
  <c r="D1006" i="34"/>
  <c r="D1007" i="34"/>
  <c r="D1008" i="34"/>
  <c r="D1009" i="34"/>
  <c r="D1010" i="34"/>
  <c r="D1011" i="34"/>
  <c r="B19" i="33" s="1"/>
  <c r="D1012" i="34"/>
  <c r="D1013" i="34"/>
  <c r="D1014" i="34"/>
  <c r="D1015" i="34"/>
  <c r="D1016" i="34"/>
  <c r="D1017" i="34"/>
  <c r="D1018" i="34"/>
  <c r="D1019" i="34"/>
  <c r="D1020" i="34"/>
  <c r="D1021" i="34"/>
  <c r="D1022" i="34"/>
  <c r="D1023" i="34"/>
  <c r="D1024" i="34"/>
  <c r="D1025" i="34"/>
  <c r="D1026" i="34"/>
  <c r="D1027" i="34"/>
  <c r="D1028" i="34"/>
  <c r="B20" i="33" s="1"/>
  <c r="D1029" i="34"/>
  <c r="D1030" i="34"/>
  <c r="D1031" i="34"/>
  <c r="D1032" i="34"/>
  <c r="D1033" i="34"/>
  <c r="D1034" i="34"/>
  <c r="D1035" i="34"/>
  <c r="D1036" i="34"/>
  <c r="D1037" i="34"/>
  <c r="D1038" i="34"/>
  <c r="D1039" i="34"/>
  <c r="D1040" i="34"/>
  <c r="D1041" i="34"/>
  <c r="D1042" i="34"/>
  <c r="D1043" i="34"/>
  <c r="D1044" i="34"/>
  <c r="D1045" i="34"/>
  <c r="D1046" i="34"/>
  <c r="D1047" i="34"/>
  <c r="B21" i="33" s="1"/>
  <c r="D1048" i="34"/>
  <c r="D1049" i="34"/>
  <c r="D1050" i="34"/>
  <c r="D1051" i="34"/>
  <c r="D1052" i="34"/>
  <c r="D1053" i="34"/>
  <c r="D1054" i="34"/>
  <c r="D1055" i="34"/>
  <c r="D1056" i="34"/>
  <c r="D1057" i="34"/>
  <c r="D1058" i="34"/>
  <c r="D1059" i="34"/>
  <c r="D1060" i="34"/>
  <c r="D1061" i="34"/>
  <c r="D1062" i="34"/>
  <c r="D1063" i="34"/>
  <c r="D1064" i="34"/>
  <c r="D1065" i="34"/>
  <c r="D1066" i="34"/>
  <c r="D1067" i="34"/>
  <c r="B22" i="33" s="1"/>
  <c r="D1068" i="34"/>
  <c r="D1069" i="34"/>
  <c r="D1070" i="34"/>
  <c r="D1071" i="34"/>
  <c r="D1072" i="34"/>
  <c r="D1073" i="34"/>
  <c r="D1074" i="34"/>
  <c r="D1075" i="34"/>
  <c r="D1076" i="34"/>
  <c r="D1077" i="34"/>
  <c r="D1078" i="34"/>
  <c r="D1079" i="34"/>
  <c r="D1080" i="34"/>
  <c r="D1081" i="34"/>
  <c r="D1082" i="34"/>
  <c r="D1083" i="34"/>
  <c r="D1084" i="34"/>
  <c r="D1085" i="34"/>
  <c r="D1086" i="34"/>
  <c r="D1087" i="34"/>
  <c r="D1088" i="34"/>
  <c r="D1089" i="34"/>
  <c r="D1090" i="34"/>
  <c r="D1091" i="34"/>
  <c r="B23" i="33" s="1"/>
  <c r="D1092" i="34"/>
  <c r="D1093" i="34"/>
  <c r="D1094" i="34"/>
  <c r="D1095" i="34"/>
  <c r="D1096" i="34"/>
  <c r="D1097" i="34"/>
  <c r="D1098" i="34"/>
  <c r="D1099" i="34"/>
  <c r="D1100" i="34"/>
  <c r="D1101" i="34"/>
  <c r="D1102" i="34"/>
  <c r="D1103" i="34"/>
  <c r="D1104" i="34"/>
  <c r="D1105" i="34"/>
  <c r="D1106" i="34"/>
  <c r="D1107" i="34"/>
  <c r="D1108" i="34"/>
  <c r="D1109" i="34"/>
  <c r="D1110" i="34"/>
  <c r="D1111" i="34"/>
  <c r="D1112" i="34"/>
  <c r="D1113" i="34"/>
  <c r="D1114" i="34"/>
  <c r="D1115" i="34"/>
  <c r="D1116" i="34"/>
  <c r="B24" i="33" s="1"/>
  <c r="D1117" i="34"/>
  <c r="D1118" i="34"/>
  <c r="D1119" i="34"/>
  <c r="D1120" i="34"/>
  <c r="D1121" i="34"/>
  <c r="D1122" i="34"/>
  <c r="D1123" i="34"/>
  <c r="D1124" i="34"/>
  <c r="D1125" i="34"/>
  <c r="D1126" i="34"/>
  <c r="D1127" i="34"/>
  <c r="D1128" i="34"/>
  <c r="D1129" i="34"/>
  <c r="D1130" i="34"/>
  <c r="D1131" i="34"/>
  <c r="B25" i="33" s="1"/>
  <c r="D1132" i="34"/>
  <c r="D1133" i="34"/>
  <c r="D1134" i="34"/>
  <c r="D1135" i="34"/>
  <c r="D1136" i="34"/>
  <c r="D1137" i="34"/>
  <c r="B26" i="33" s="1"/>
  <c r="D1138" i="34"/>
  <c r="D1139" i="34"/>
  <c r="D1140" i="34"/>
  <c r="D1141" i="34"/>
  <c r="D1142" i="34"/>
  <c r="D1143" i="34"/>
  <c r="B27" i="33" s="1"/>
  <c r="D1144" i="34"/>
  <c r="D1145" i="34"/>
  <c r="D1146" i="34"/>
  <c r="D1147" i="34"/>
  <c r="D1148" i="34"/>
  <c r="D1149" i="34"/>
  <c r="B28" i="33" s="1"/>
  <c r="D1150" i="34"/>
  <c r="D1151" i="34"/>
  <c r="D1152" i="34"/>
  <c r="D1153" i="34"/>
  <c r="D1154" i="34"/>
  <c r="D1155" i="34"/>
  <c r="D1156" i="34"/>
  <c r="B29" i="33" s="1"/>
  <c r="D1157" i="34"/>
  <c r="D1158" i="34"/>
  <c r="D1159" i="34"/>
  <c r="D1160" i="34"/>
  <c r="D1161" i="34"/>
  <c r="D1162" i="34"/>
  <c r="D1163" i="34"/>
  <c r="D1164" i="34"/>
  <c r="B30" i="33" s="1"/>
  <c r="D1165" i="34"/>
  <c r="D1166" i="34"/>
  <c r="D1167" i="34"/>
  <c r="D1168" i="34"/>
  <c r="D1169" i="34"/>
  <c r="D1170" i="34"/>
  <c r="D1171" i="34"/>
  <c r="D1172" i="34"/>
  <c r="B31" i="33" s="1"/>
  <c r="D1173" i="34"/>
  <c r="D1174" i="34"/>
  <c r="D1175" i="34"/>
  <c r="D1176" i="34"/>
  <c r="D1177" i="34"/>
  <c r="D1178" i="34"/>
  <c r="D1179" i="34"/>
  <c r="D1180" i="34"/>
  <c r="B32" i="33" s="1"/>
  <c r="D1181" i="34"/>
  <c r="D1182" i="34"/>
  <c r="D1183" i="34"/>
  <c r="D1184" i="34"/>
  <c r="D1185" i="34"/>
  <c r="D1186" i="34"/>
  <c r="D1187" i="34"/>
  <c r="D1188" i="34"/>
  <c r="B33" i="33" s="1"/>
  <c r="D1189" i="34"/>
  <c r="D1190" i="34"/>
  <c r="D1191" i="34"/>
  <c r="D1192" i="34"/>
  <c r="D1193" i="34"/>
  <c r="D1194" i="34"/>
  <c r="D1195" i="34"/>
  <c r="D1196" i="34"/>
  <c r="D1197" i="34"/>
  <c r="D1198" i="34"/>
  <c r="D1283" i="34"/>
  <c r="D1284" i="34"/>
  <c r="D1285" i="34"/>
  <c r="D1286" i="34"/>
  <c r="D1287" i="34"/>
  <c r="D1288" i="34"/>
  <c r="D1289" i="34"/>
  <c r="D1290" i="34"/>
  <c r="D1291" i="34"/>
  <c r="D1292" i="34"/>
  <c r="D1293" i="34"/>
  <c r="D1294" i="34"/>
  <c r="D1295" i="34"/>
  <c r="D1296" i="34"/>
  <c r="D1297" i="34"/>
  <c r="D1298" i="34"/>
  <c r="D1299" i="34"/>
  <c r="D1300" i="34"/>
  <c r="D1301" i="34"/>
  <c r="D1302" i="34"/>
  <c r="D1303" i="34"/>
  <c r="D1304" i="34"/>
  <c r="D1305" i="34"/>
  <c r="D1306" i="34"/>
  <c r="D1307" i="34"/>
  <c r="D1308" i="34"/>
  <c r="D1309" i="34"/>
  <c r="D1310" i="34"/>
  <c r="D1311" i="34"/>
  <c r="D1312" i="34"/>
  <c r="D1313" i="34"/>
  <c r="D1314" i="34"/>
  <c r="D1315" i="34"/>
  <c r="D1316" i="34"/>
  <c r="D1317" i="34"/>
  <c r="D1318" i="34"/>
  <c r="D1319" i="34"/>
  <c r="D1320" i="34"/>
  <c r="D1321" i="34"/>
  <c r="D1322" i="34"/>
  <c r="D1323" i="34"/>
  <c r="D1324" i="34"/>
  <c r="D1325" i="34"/>
  <c r="D1326" i="34"/>
  <c r="D1327" i="34"/>
  <c r="D1328" i="34"/>
  <c r="D1329" i="34"/>
  <c r="D1330" i="34"/>
  <c r="D1331" i="34"/>
  <c r="D1332" i="34"/>
  <c r="D1333" i="34"/>
  <c r="D1334" i="34"/>
  <c r="D1335" i="34"/>
  <c r="D1336" i="34"/>
  <c r="D1337" i="34"/>
  <c r="D1338" i="34"/>
  <c r="D1339" i="34"/>
  <c r="D1340" i="34"/>
  <c r="D1341" i="34"/>
  <c r="D1342" i="34"/>
  <c r="D1343" i="34"/>
  <c r="D1344" i="34"/>
  <c r="D1345" i="34"/>
  <c r="D1346" i="34"/>
  <c r="D1347" i="34"/>
  <c r="D1348" i="34"/>
  <c r="D1349" i="34"/>
  <c r="D1350" i="34"/>
  <c r="D1351" i="34"/>
  <c r="D1352" i="34"/>
  <c r="D1353" i="34"/>
  <c r="D1354" i="34"/>
  <c r="D1355" i="34"/>
  <c r="D1356" i="34"/>
  <c r="D1357" i="34"/>
  <c r="D1358" i="34"/>
  <c r="D1359" i="34"/>
  <c r="D1360" i="34"/>
  <c r="D1361" i="34"/>
  <c r="D1362" i="34"/>
  <c r="D1363" i="34"/>
  <c r="D1364" i="34"/>
  <c r="D1365" i="34"/>
  <c r="D1366" i="34"/>
  <c r="D1367" i="34"/>
  <c r="D1368" i="34"/>
  <c r="D1369" i="34"/>
  <c r="D1370" i="34"/>
  <c r="D1371" i="34"/>
  <c r="D1372" i="34"/>
  <c r="D1373" i="34"/>
  <c r="D1374" i="34"/>
  <c r="D1375" i="34"/>
  <c r="D1376" i="34"/>
  <c r="D1377" i="34"/>
  <c r="D1378" i="34"/>
  <c r="D1379" i="34"/>
  <c r="D1380" i="34"/>
  <c r="D1381" i="34"/>
  <c r="D1382" i="34"/>
  <c r="D1383" i="34"/>
  <c r="D1384" i="34"/>
  <c r="D1385" i="34"/>
  <c r="D1386" i="34"/>
  <c r="D1387" i="34"/>
  <c r="D1388" i="34"/>
  <c r="D1389" i="34"/>
  <c r="D1390" i="34"/>
  <c r="D1391" i="34"/>
  <c r="D1392" i="34"/>
  <c r="D1393" i="34"/>
  <c r="D1394" i="34"/>
  <c r="D1395" i="34"/>
  <c r="D1396" i="34"/>
  <c r="D1397" i="34"/>
  <c r="D1398" i="34"/>
  <c r="D1399" i="34"/>
  <c r="D1400" i="34"/>
  <c r="D1401" i="34"/>
  <c r="D1402" i="34"/>
  <c r="D1403" i="34"/>
  <c r="D1404" i="34"/>
  <c r="D1405" i="34"/>
  <c r="D1406" i="34"/>
  <c r="D1407" i="34"/>
  <c r="D1408" i="34"/>
  <c r="D1409" i="34"/>
  <c r="D1410" i="34"/>
  <c r="D1411" i="34"/>
  <c r="D1412" i="34"/>
  <c r="D1413" i="34"/>
  <c r="D1414" i="34"/>
  <c r="D1415" i="34"/>
  <c r="D1416" i="34"/>
  <c r="D1417" i="34"/>
  <c r="D1418" i="34"/>
  <c r="D1419" i="34"/>
  <c r="D1420" i="34"/>
  <c r="D1421" i="34"/>
  <c r="D1422" i="34"/>
  <c r="D1423" i="34"/>
  <c r="D1424" i="34"/>
  <c r="D1425" i="34"/>
  <c r="D1426" i="34"/>
  <c r="D1427" i="34"/>
  <c r="D1428" i="34"/>
  <c r="D1429" i="34"/>
  <c r="D1430" i="34"/>
  <c r="D1431" i="34"/>
  <c r="D1432" i="34"/>
  <c r="D1433" i="34"/>
  <c r="D1434" i="34"/>
  <c r="D1435" i="34"/>
  <c r="D1436" i="34"/>
  <c r="D1437" i="34"/>
  <c r="D1438" i="34"/>
  <c r="D1439" i="34"/>
  <c r="D1440" i="34"/>
  <c r="D1441" i="34"/>
  <c r="D1442" i="34"/>
  <c r="D1443" i="34"/>
  <c r="D1444" i="34"/>
  <c r="D1445" i="34"/>
  <c r="D1446" i="34"/>
  <c r="D1447" i="34"/>
  <c r="D1448" i="34"/>
  <c r="D1449" i="34"/>
  <c r="D1450" i="34"/>
  <c r="D1451" i="34"/>
  <c r="D1452" i="34"/>
  <c r="D1453" i="34"/>
  <c r="D1454" i="34"/>
  <c r="D1455" i="34"/>
  <c r="D1456" i="34"/>
  <c r="D1457" i="34"/>
  <c r="D1458" i="34"/>
  <c r="D1459" i="34"/>
  <c r="D1460" i="34"/>
  <c r="D1461" i="34"/>
  <c r="D1462" i="34"/>
  <c r="D1463" i="34"/>
  <c r="D1464" i="34"/>
  <c r="D1465" i="34"/>
  <c r="D1466" i="34"/>
  <c r="D1467" i="34"/>
  <c r="D1468" i="34"/>
  <c r="D1469" i="34"/>
  <c r="D1470" i="34"/>
  <c r="D1471" i="34"/>
  <c r="D1472" i="34"/>
  <c r="D1473" i="34"/>
  <c r="D1474" i="34"/>
  <c r="D1475" i="34"/>
  <c r="D1476" i="34"/>
  <c r="D1477" i="34"/>
  <c r="D1478" i="34"/>
  <c r="D1479" i="34"/>
  <c r="D1480" i="34"/>
  <c r="D1481" i="34"/>
  <c r="D1482" i="34"/>
  <c r="D1483" i="34"/>
  <c r="D1484" i="34"/>
  <c r="D1485" i="34"/>
  <c r="D1486" i="34"/>
  <c r="D1487" i="34"/>
  <c r="D1488" i="34"/>
  <c r="D1489" i="34"/>
  <c r="C88" i="41"/>
  <c r="G80" i="41"/>
  <c r="G81" i="41" s="1"/>
  <c r="F80" i="41"/>
  <c r="F81" i="41" s="1"/>
  <c r="E80" i="41"/>
  <c r="E81" i="41" s="1"/>
  <c r="D80" i="41"/>
  <c r="D81" i="41" s="1"/>
  <c r="C80" i="41"/>
  <c r="C81" i="41" s="1"/>
  <c r="B80" i="41"/>
  <c r="B81" i="41" s="1"/>
  <c r="N42" i="41"/>
  <c r="O36" i="41"/>
  <c r="F32" i="41"/>
  <c r="I10" i="41"/>
  <c r="M8" i="41"/>
  <c r="D89" i="41" l="1"/>
  <c r="N36" i="41" s="1"/>
  <c r="N38" i="41" s="1"/>
  <c r="G26" i="41" s="1"/>
  <c r="C89" i="41"/>
  <c r="N37" i="41" l="1"/>
  <c r="M9" i="15"/>
  <c r="X2" i="1"/>
  <c r="D12" i="15" s="1"/>
  <c r="L10" i="15" l="1"/>
  <c r="L10" i="38"/>
  <c r="L10" i="39"/>
  <c r="L10" i="36"/>
  <c r="L10" i="40"/>
  <c r="L10" i="37"/>
  <c r="L10" i="35"/>
  <c r="D12" i="38"/>
  <c r="D12" i="35"/>
  <c r="D12" i="39"/>
  <c r="D12" i="37"/>
  <c r="D12" i="36"/>
  <c r="D12" i="40"/>
  <c r="M4" i="35" l="1"/>
  <c r="M4" i="36"/>
  <c r="M4" i="37"/>
  <c r="M4" i="38"/>
  <c r="M4" i="39"/>
  <c r="M4" i="40"/>
  <c r="M2" i="35"/>
  <c r="M2" i="36"/>
  <c r="M2" i="37"/>
  <c r="M2" i="38"/>
  <c r="M2" i="39"/>
  <c r="M2" i="40"/>
  <c r="M2" i="15"/>
  <c r="M1" i="35"/>
  <c r="M1" i="36"/>
  <c r="M1" i="37"/>
  <c r="M1" i="38"/>
  <c r="M1" i="39"/>
  <c r="M1" i="40"/>
  <c r="AU41" i="1" l="1"/>
  <c r="AV41" i="1" s="1"/>
  <c r="D47" i="1"/>
  <c r="E47" i="1" s="1"/>
  <c r="E46" i="1"/>
  <c r="E45" i="1"/>
  <c r="B48" i="1"/>
  <c r="B44" i="1"/>
  <c r="B43" i="1"/>
  <c r="B41" i="1"/>
  <c r="B40" i="1"/>
  <c r="B46" i="1" s="1"/>
  <c r="B39" i="1"/>
  <c r="B38" i="1"/>
  <c r="U30" i="33"/>
  <c r="U31" i="33"/>
  <c r="U32" i="33"/>
  <c r="U33" i="33"/>
  <c r="U34" i="33"/>
  <c r="M9" i="40"/>
  <c r="M9" i="39"/>
  <c r="M9" i="38"/>
  <c r="M9" i="37"/>
  <c r="M9" i="36"/>
  <c r="M9" i="35"/>
  <c r="L12" i="36"/>
  <c r="L12" i="37"/>
  <c r="L12" i="38"/>
  <c r="L12" i="39"/>
  <c r="L12" i="40"/>
  <c r="L8" i="35"/>
  <c r="L8" i="36"/>
  <c r="L8" i="37"/>
  <c r="L8" i="39"/>
  <c r="L8" i="40"/>
  <c r="L7" i="35"/>
  <c r="L7" i="36"/>
  <c r="L7" i="37"/>
  <c r="L7" i="38"/>
  <c r="L7" i="39"/>
  <c r="L6" i="36"/>
  <c r="L6" i="37"/>
  <c r="L6" i="38"/>
  <c r="L6" i="39"/>
  <c r="L6" i="40"/>
  <c r="D10" i="35"/>
  <c r="D10" i="36"/>
  <c r="D10" i="37"/>
  <c r="D10" i="38"/>
  <c r="D10" i="39"/>
  <c r="D10" i="40"/>
  <c r="D10" i="15"/>
  <c r="D9" i="35"/>
  <c r="D9" i="36"/>
  <c r="D9" i="37"/>
  <c r="D9" i="38"/>
  <c r="D9" i="39"/>
  <c r="D9" i="40"/>
  <c r="D9" i="15"/>
  <c r="D8" i="35"/>
  <c r="D8" i="36"/>
  <c r="D8" i="37"/>
  <c r="D8" i="38"/>
  <c r="D8" i="39"/>
  <c r="D8" i="40"/>
  <c r="D8" i="15"/>
  <c r="D7" i="35"/>
  <c r="D7" i="36"/>
  <c r="D7" i="37"/>
  <c r="D7" i="38"/>
  <c r="D7" i="39"/>
  <c r="D7" i="40"/>
  <c r="D7" i="15"/>
  <c r="F21" i="1" l="1"/>
  <c r="K26" i="1"/>
  <c r="F37" i="1"/>
  <c r="B47" i="1"/>
  <c r="Y44" i="40"/>
  <c r="Y43" i="40"/>
  <c r="Y42" i="40"/>
  <c r="Q42" i="40"/>
  <c r="Y41" i="40"/>
  <c r="Y40" i="40"/>
  <c r="Y39" i="40"/>
  <c r="Y38" i="40"/>
  <c r="Y37" i="40"/>
  <c r="Q37" i="40"/>
  <c r="Y36" i="40"/>
  <c r="Y35" i="40"/>
  <c r="Y34" i="40"/>
  <c r="Y33" i="40"/>
  <c r="Y32" i="40"/>
  <c r="Y31" i="40"/>
  <c r="Y30" i="40"/>
  <c r="Y29" i="40"/>
  <c r="Y28" i="40"/>
  <c r="Y27" i="40"/>
  <c r="Y26" i="40"/>
  <c r="Y25" i="40"/>
  <c r="Y24" i="40"/>
  <c r="Y23" i="40"/>
  <c r="Y22" i="40"/>
  <c r="Y21" i="40"/>
  <c r="Y20" i="40"/>
  <c r="Y19" i="40"/>
  <c r="Y18" i="40"/>
  <c r="Y44" i="39"/>
  <c r="Y43" i="39"/>
  <c r="Y42" i="39"/>
  <c r="Q42" i="39"/>
  <c r="Y41" i="39"/>
  <c r="Y40" i="39"/>
  <c r="Y39" i="39"/>
  <c r="Y38" i="39"/>
  <c r="Y37" i="39"/>
  <c r="Q37" i="39"/>
  <c r="Y36" i="39"/>
  <c r="Y35" i="39"/>
  <c r="Y34" i="39"/>
  <c r="Y33" i="39"/>
  <c r="Y32" i="39"/>
  <c r="Y31" i="39"/>
  <c r="Y30" i="39"/>
  <c r="Y29" i="39"/>
  <c r="Y28" i="39"/>
  <c r="Y27" i="39"/>
  <c r="Y26" i="39"/>
  <c r="Y25" i="39"/>
  <c r="Y24" i="39"/>
  <c r="Y23" i="39"/>
  <c r="Y22" i="39"/>
  <c r="Y21" i="39"/>
  <c r="Y20" i="39"/>
  <c r="Y19" i="39"/>
  <c r="Y18" i="39"/>
  <c r="Y44" i="38"/>
  <c r="Y43" i="38"/>
  <c r="Y42" i="38"/>
  <c r="Q42" i="38"/>
  <c r="Y41" i="38"/>
  <c r="Y40" i="38"/>
  <c r="Y39" i="38"/>
  <c r="Y38" i="38"/>
  <c r="Y37" i="38"/>
  <c r="Q37" i="38"/>
  <c r="Y36" i="38"/>
  <c r="Y35" i="38"/>
  <c r="Y34" i="38"/>
  <c r="Y33" i="38"/>
  <c r="Y32" i="38"/>
  <c r="Y31" i="38"/>
  <c r="Y30" i="38"/>
  <c r="Y29" i="38"/>
  <c r="Y28" i="38"/>
  <c r="Y27" i="38"/>
  <c r="Y26" i="38"/>
  <c r="Y25" i="38"/>
  <c r="Y24" i="38"/>
  <c r="Y23" i="38"/>
  <c r="Y22" i="38"/>
  <c r="Y21" i="38"/>
  <c r="Y20" i="38"/>
  <c r="Y19" i="38"/>
  <c r="Y18" i="38"/>
  <c r="Y44" i="37"/>
  <c r="Y43" i="37"/>
  <c r="Y42" i="37"/>
  <c r="Q42" i="37"/>
  <c r="Y41" i="37"/>
  <c r="Y40" i="37"/>
  <c r="Y39" i="37"/>
  <c r="Y38" i="37"/>
  <c r="Y37" i="37"/>
  <c r="Q37" i="37"/>
  <c r="Y36" i="37"/>
  <c r="Y35" i="37"/>
  <c r="Y34" i="37"/>
  <c r="Y33" i="37"/>
  <c r="Y32" i="37"/>
  <c r="Y31" i="37"/>
  <c r="Y30" i="37"/>
  <c r="Y29" i="37"/>
  <c r="Y28" i="37"/>
  <c r="Y27" i="37"/>
  <c r="Y26" i="37"/>
  <c r="Y25" i="37"/>
  <c r="Y24" i="37"/>
  <c r="Y23" i="37"/>
  <c r="Y22" i="37"/>
  <c r="Y21" i="37"/>
  <c r="Y20" i="37"/>
  <c r="Y19" i="37"/>
  <c r="Y18" i="37"/>
  <c r="Y44" i="36"/>
  <c r="Y43" i="36"/>
  <c r="Y42" i="36"/>
  <c r="Q42" i="36"/>
  <c r="Y41" i="36"/>
  <c r="Y40" i="36"/>
  <c r="Y39" i="36"/>
  <c r="Y38" i="36"/>
  <c r="Y37" i="36"/>
  <c r="Q37" i="36"/>
  <c r="Y36" i="36"/>
  <c r="Y35" i="36"/>
  <c r="Y34" i="36"/>
  <c r="Y33" i="36"/>
  <c r="Y32" i="36"/>
  <c r="Y31" i="36"/>
  <c r="Y30" i="36"/>
  <c r="Y29" i="36"/>
  <c r="Y28" i="36"/>
  <c r="Y27" i="36"/>
  <c r="Y26" i="36"/>
  <c r="Y25" i="36"/>
  <c r="Y24" i="36"/>
  <c r="Y23" i="36"/>
  <c r="Y22" i="36"/>
  <c r="Y21" i="36"/>
  <c r="Y20" i="36"/>
  <c r="Y19" i="36"/>
  <c r="Y18" i="36"/>
  <c r="Y44" i="35"/>
  <c r="Y43" i="35"/>
  <c r="Y42" i="35"/>
  <c r="Q42" i="35"/>
  <c r="Y41" i="35"/>
  <c r="Y40" i="35"/>
  <c r="Y39" i="35"/>
  <c r="Y38" i="35"/>
  <c r="Y37" i="35"/>
  <c r="Q37" i="35"/>
  <c r="Y36" i="35"/>
  <c r="Y35" i="35"/>
  <c r="Y34" i="35"/>
  <c r="Y33" i="35"/>
  <c r="Y32" i="35"/>
  <c r="Y31" i="35"/>
  <c r="Y30" i="35"/>
  <c r="Y29" i="35"/>
  <c r="Y28" i="35"/>
  <c r="Y27" i="35"/>
  <c r="Y26" i="35"/>
  <c r="Y25" i="35"/>
  <c r="Y24" i="35"/>
  <c r="Y23" i="35"/>
  <c r="Y22" i="35"/>
  <c r="Y21" i="35"/>
  <c r="Y20" i="35"/>
  <c r="Y19" i="35"/>
  <c r="Y18" i="35"/>
  <c r="J16" i="34" l="1"/>
  <c r="Y5" i="34"/>
  <c r="V5" i="34" s="1"/>
  <c r="Y6" i="34"/>
  <c r="V6" i="34" s="1"/>
  <c r="Y7" i="34"/>
  <c r="V7" i="34" s="1"/>
  <c r="Y8" i="34"/>
  <c r="V8" i="34" s="1"/>
  <c r="T5" i="33" s="1"/>
  <c r="I40" i="33" s="1"/>
  <c r="D21" i="40" s="1"/>
  <c r="Y9" i="34"/>
  <c r="V9" i="34" s="1"/>
  <c r="Y10" i="34"/>
  <c r="V10" i="34" s="1"/>
  <c r="Y11" i="34"/>
  <c r="V11" i="34" s="1"/>
  <c r="Y12" i="34"/>
  <c r="V12" i="34" s="1"/>
  <c r="Y13" i="34"/>
  <c r="V13" i="34" s="1"/>
  <c r="Y14" i="34"/>
  <c r="V14" i="34" s="1"/>
  <c r="Y15" i="34"/>
  <c r="V15" i="34" s="1"/>
  <c r="Y16" i="34"/>
  <c r="V16" i="34" s="1"/>
  <c r="Y17" i="34"/>
  <c r="V17" i="34" s="1"/>
  <c r="T6" i="33" s="1"/>
  <c r="I41" i="33" s="1"/>
  <c r="D22" i="40" s="1"/>
  <c r="Y18" i="34"/>
  <c r="V18" i="34" s="1"/>
  <c r="Y19" i="34"/>
  <c r="V19" i="34" s="1"/>
  <c r="Y20" i="34"/>
  <c r="V20" i="34" s="1"/>
  <c r="Y21" i="34"/>
  <c r="V21" i="34" s="1"/>
  <c r="Y22" i="34"/>
  <c r="V22" i="34" s="1"/>
  <c r="Y23" i="34"/>
  <c r="V23" i="34" s="1"/>
  <c r="Y24" i="34"/>
  <c r="V24" i="34" s="1"/>
  <c r="Y25" i="34"/>
  <c r="V25" i="34" s="1"/>
  <c r="Y26" i="34"/>
  <c r="V26" i="34" s="1"/>
  <c r="Y27" i="34"/>
  <c r="V27" i="34" s="1"/>
  <c r="Y28" i="34"/>
  <c r="V28" i="34" s="1"/>
  <c r="Y29" i="34"/>
  <c r="V29" i="34" s="1"/>
  <c r="Y30" i="34"/>
  <c r="V30" i="34" s="1"/>
  <c r="Y31" i="34"/>
  <c r="V31" i="34" s="1"/>
  <c r="Y32" i="34"/>
  <c r="V32" i="34" s="1"/>
  <c r="T7" i="33" s="1"/>
  <c r="I42" i="33" s="1"/>
  <c r="D23" i="40" s="1"/>
  <c r="Y33" i="34"/>
  <c r="V33" i="34" s="1"/>
  <c r="Y34" i="34"/>
  <c r="V34" i="34" s="1"/>
  <c r="Y35" i="34"/>
  <c r="V35" i="34" s="1"/>
  <c r="Y36" i="34"/>
  <c r="V36" i="34" s="1"/>
  <c r="Y37" i="34"/>
  <c r="V37" i="34" s="1"/>
  <c r="Y38" i="34"/>
  <c r="V38" i="34" s="1"/>
  <c r="Y39" i="34"/>
  <c r="V39" i="34" s="1"/>
  <c r="Y40" i="34"/>
  <c r="V40" i="34" s="1"/>
  <c r="Y41" i="34"/>
  <c r="V41" i="34" s="1"/>
  <c r="Y42" i="34"/>
  <c r="V42" i="34" s="1"/>
  <c r="Y43" i="34"/>
  <c r="V43" i="34" s="1"/>
  <c r="Y44" i="34"/>
  <c r="V44" i="34" s="1"/>
  <c r="Y45" i="34"/>
  <c r="V45" i="34" s="1"/>
  <c r="Y46" i="34"/>
  <c r="V46" i="34" s="1"/>
  <c r="Y47" i="34"/>
  <c r="V47" i="34" s="1"/>
  <c r="Y48" i="34"/>
  <c r="V48" i="34" s="1"/>
  <c r="Y49" i="34"/>
  <c r="V49" i="34" s="1"/>
  <c r="Y50" i="34"/>
  <c r="V50" i="34" s="1"/>
  <c r="Y51" i="34"/>
  <c r="V51" i="34" s="1"/>
  <c r="Y52" i="34"/>
  <c r="V52" i="34" s="1"/>
  <c r="Y53" i="34"/>
  <c r="V53" i="34" s="1"/>
  <c r="Y54" i="34"/>
  <c r="V54" i="34" s="1"/>
  <c r="Y55" i="34"/>
  <c r="V55" i="34" s="1"/>
  <c r="Y56" i="34"/>
  <c r="V56" i="34" s="1"/>
  <c r="Y57" i="34"/>
  <c r="V57" i="34" s="1"/>
  <c r="Y58" i="34"/>
  <c r="V58" i="34" s="1"/>
  <c r="Y59" i="34"/>
  <c r="V59" i="34" s="1"/>
  <c r="Y60" i="34"/>
  <c r="V60" i="34" s="1"/>
  <c r="Y61" i="34"/>
  <c r="V61" i="34" s="1"/>
  <c r="Y62" i="34"/>
  <c r="V62" i="34" s="1"/>
  <c r="T8" i="33" s="1"/>
  <c r="I43" i="33" s="1"/>
  <c r="D24" i="40" s="1"/>
  <c r="Y63" i="34"/>
  <c r="V63" i="34" s="1"/>
  <c r="Y64" i="34"/>
  <c r="V64" i="34" s="1"/>
  <c r="Y65" i="34"/>
  <c r="V65" i="34" s="1"/>
  <c r="Y66" i="34"/>
  <c r="V66" i="34" s="1"/>
  <c r="Y67" i="34"/>
  <c r="V67" i="34" s="1"/>
  <c r="Y68" i="34"/>
  <c r="V68" i="34" s="1"/>
  <c r="Y69" i="34"/>
  <c r="V69" i="34" s="1"/>
  <c r="Y70" i="34"/>
  <c r="V70" i="34" s="1"/>
  <c r="Y71" i="34"/>
  <c r="V71" i="34" s="1"/>
  <c r="Y72" i="34"/>
  <c r="V72" i="34" s="1"/>
  <c r="Y73" i="34"/>
  <c r="V73" i="34" s="1"/>
  <c r="Y74" i="34"/>
  <c r="V74" i="34" s="1"/>
  <c r="Y75" i="34"/>
  <c r="V75" i="34" s="1"/>
  <c r="Y76" i="34"/>
  <c r="V76" i="34" s="1"/>
  <c r="Y77" i="34"/>
  <c r="V77" i="34" s="1"/>
  <c r="Y78" i="34"/>
  <c r="V78" i="34" s="1"/>
  <c r="Y79" i="34"/>
  <c r="V79" i="34" s="1"/>
  <c r="Y80" i="34"/>
  <c r="V80" i="34" s="1"/>
  <c r="Y81" i="34"/>
  <c r="V81" i="34" s="1"/>
  <c r="Y82" i="34"/>
  <c r="V82" i="34" s="1"/>
  <c r="Y83" i="34"/>
  <c r="V83" i="34" s="1"/>
  <c r="Y84" i="34"/>
  <c r="V84" i="34" s="1"/>
  <c r="Y85" i="34"/>
  <c r="V85" i="34" s="1"/>
  <c r="Y86" i="34"/>
  <c r="V86" i="34" s="1"/>
  <c r="Y87" i="34"/>
  <c r="V87" i="34" s="1"/>
  <c r="Y88" i="34"/>
  <c r="V88" i="34" s="1"/>
  <c r="Y89" i="34"/>
  <c r="V89" i="34" s="1"/>
  <c r="Y90" i="34"/>
  <c r="V90" i="34" s="1"/>
  <c r="Y91" i="34"/>
  <c r="V91" i="34" s="1"/>
  <c r="Y92" i="34"/>
  <c r="V92" i="34" s="1"/>
  <c r="Y93" i="34"/>
  <c r="V93" i="34" s="1"/>
  <c r="Y94" i="34"/>
  <c r="V94" i="34" s="1"/>
  <c r="Y95" i="34"/>
  <c r="V95" i="34" s="1"/>
  <c r="Y96" i="34"/>
  <c r="V96" i="34" s="1"/>
  <c r="Y97" i="34"/>
  <c r="V97" i="34" s="1"/>
  <c r="Y98" i="34"/>
  <c r="V98" i="34" s="1"/>
  <c r="Y99" i="34"/>
  <c r="V99" i="34" s="1"/>
  <c r="Y100" i="34"/>
  <c r="V100" i="34" s="1"/>
  <c r="Y101" i="34"/>
  <c r="V101" i="34" s="1"/>
  <c r="Y102" i="34"/>
  <c r="V102" i="34" s="1"/>
  <c r="Y103" i="34"/>
  <c r="V103" i="34" s="1"/>
  <c r="Y104" i="34"/>
  <c r="V104" i="34" s="1"/>
  <c r="Y105" i="34"/>
  <c r="V105" i="34" s="1"/>
  <c r="Y106" i="34"/>
  <c r="V106" i="34" s="1"/>
  <c r="Y107" i="34"/>
  <c r="V107" i="34" s="1"/>
  <c r="Y108" i="34"/>
  <c r="V108" i="34" s="1"/>
  <c r="Y109" i="34"/>
  <c r="V109" i="34" s="1"/>
  <c r="Y110" i="34"/>
  <c r="V110" i="34" s="1"/>
  <c r="Y111" i="34"/>
  <c r="V111" i="34" s="1"/>
  <c r="Y112" i="34"/>
  <c r="V112" i="34" s="1"/>
  <c r="Y113" i="34"/>
  <c r="V113" i="34" s="1"/>
  <c r="Y114" i="34"/>
  <c r="V114" i="34" s="1"/>
  <c r="Y115" i="34"/>
  <c r="V115" i="34" s="1"/>
  <c r="Y116" i="34"/>
  <c r="V116" i="34" s="1"/>
  <c r="Y117" i="34"/>
  <c r="V117" i="34" s="1"/>
  <c r="Y118" i="34"/>
  <c r="V118" i="34" s="1"/>
  <c r="Y119" i="34"/>
  <c r="V119" i="34" s="1"/>
  <c r="Y120" i="34"/>
  <c r="V120" i="34" s="1"/>
  <c r="Y121" i="34"/>
  <c r="V121" i="34" s="1"/>
  <c r="T9" i="33" s="1"/>
  <c r="I44" i="33" s="1"/>
  <c r="D25" i="40" s="1"/>
  <c r="Y122" i="34"/>
  <c r="V122" i="34" s="1"/>
  <c r="Y123" i="34"/>
  <c r="V123" i="34" s="1"/>
  <c r="Y124" i="34"/>
  <c r="V124" i="34" s="1"/>
  <c r="Y125" i="34"/>
  <c r="V125" i="34" s="1"/>
  <c r="Y126" i="34"/>
  <c r="V126" i="34" s="1"/>
  <c r="Y127" i="34"/>
  <c r="V127" i="34" s="1"/>
  <c r="Y128" i="34"/>
  <c r="V128" i="34" s="1"/>
  <c r="Y129" i="34"/>
  <c r="V129" i="34" s="1"/>
  <c r="Y130" i="34"/>
  <c r="V130" i="34" s="1"/>
  <c r="Y131" i="34"/>
  <c r="V131" i="34" s="1"/>
  <c r="Y132" i="34"/>
  <c r="V132" i="34" s="1"/>
  <c r="Y133" i="34"/>
  <c r="V133" i="34" s="1"/>
  <c r="Y134" i="34"/>
  <c r="V134" i="34" s="1"/>
  <c r="Y135" i="34"/>
  <c r="V135" i="34" s="1"/>
  <c r="Y136" i="34"/>
  <c r="V136" i="34" s="1"/>
  <c r="Y137" i="34"/>
  <c r="V137" i="34" s="1"/>
  <c r="Y138" i="34"/>
  <c r="V138" i="34" s="1"/>
  <c r="Y139" i="34"/>
  <c r="V139" i="34" s="1"/>
  <c r="Y140" i="34"/>
  <c r="V140" i="34" s="1"/>
  <c r="Y141" i="34"/>
  <c r="V141" i="34" s="1"/>
  <c r="Y142" i="34"/>
  <c r="V142" i="34" s="1"/>
  <c r="Y143" i="34"/>
  <c r="V143" i="34" s="1"/>
  <c r="Y144" i="34"/>
  <c r="V144" i="34" s="1"/>
  <c r="Y145" i="34"/>
  <c r="V145" i="34" s="1"/>
  <c r="Y146" i="34"/>
  <c r="V146" i="34" s="1"/>
  <c r="Y147" i="34"/>
  <c r="V147" i="34" s="1"/>
  <c r="Y148" i="34"/>
  <c r="V148" i="34" s="1"/>
  <c r="Y149" i="34"/>
  <c r="V149" i="34" s="1"/>
  <c r="Y150" i="34"/>
  <c r="V150" i="34" s="1"/>
  <c r="Y151" i="34"/>
  <c r="V151" i="34" s="1"/>
  <c r="Y152" i="34"/>
  <c r="V152" i="34" s="1"/>
  <c r="Y153" i="34"/>
  <c r="V153" i="34" s="1"/>
  <c r="Y154" i="34"/>
  <c r="V154" i="34" s="1"/>
  <c r="Y155" i="34"/>
  <c r="V155" i="34" s="1"/>
  <c r="Y156" i="34"/>
  <c r="V156" i="34" s="1"/>
  <c r="Y157" i="34"/>
  <c r="V157" i="34" s="1"/>
  <c r="Y158" i="34"/>
  <c r="V158" i="34" s="1"/>
  <c r="Y159" i="34"/>
  <c r="V159" i="34" s="1"/>
  <c r="Y160" i="34"/>
  <c r="V160" i="34" s="1"/>
  <c r="Y161" i="34"/>
  <c r="V161" i="34" s="1"/>
  <c r="Y162" i="34"/>
  <c r="V162" i="34" s="1"/>
  <c r="Y163" i="34"/>
  <c r="V163" i="34" s="1"/>
  <c r="Y164" i="34"/>
  <c r="V164" i="34" s="1"/>
  <c r="Y165" i="34"/>
  <c r="V165" i="34" s="1"/>
  <c r="Y166" i="34"/>
  <c r="V166" i="34" s="1"/>
  <c r="Y167" i="34"/>
  <c r="V167" i="34" s="1"/>
  <c r="Y168" i="34"/>
  <c r="V168" i="34" s="1"/>
  <c r="Y169" i="34"/>
  <c r="V169" i="34" s="1"/>
  <c r="Y170" i="34"/>
  <c r="V170" i="34" s="1"/>
  <c r="Y171" i="34"/>
  <c r="V171" i="34" s="1"/>
  <c r="Y172" i="34"/>
  <c r="V172" i="34" s="1"/>
  <c r="Y173" i="34"/>
  <c r="V173" i="34" s="1"/>
  <c r="Y174" i="34"/>
  <c r="V174" i="34" s="1"/>
  <c r="Y175" i="34"/>
  <c r="V175" i="34" s="1"/>
  <c r="Y176" i="34"/>
  <c r="V176" i="34" s="1"/>
  <c r="Y177" i="34"/>
  <c r="V177" i="34" s="1"/>
  <c r="Y178" i="34"/>
  <c r="V178" i="34" s="1"/>
  <c r="Y179" i="34"/>
  <c r="V179" i="34" s="1"/>
  <c r="Y180" i="34"/>
  <c r="V180" i="34" s="1"/>
  <c r="Y181" i="34"/>
  <c r="V181" i="34" s="1"/>
  <c r="T10" i="33" s="1"/>
  <c r="I45" i="33" s="1"/>
  <c r="D26" i="40" s="1"/>
  <c r="Y182" i="34"/>
  <c r="V182" i="34" s="1"/>
  <c r="Y183" i="34"/>
  <c r="V183" i="34" s="1"/>
  <c r="Y184" i="34"/>
  <c r="V184" i="34" s="1"/>
  <c r="Y185" i="34"/>
  <c r="V185" i="34" s="1"/>
  <c r="Y186" i="34"/>
  <c r="V186" i="34" s="1"/>
  <c r="Y187" i="34"/>
  <c r="V187" i="34" s="1"/>
  <c r="Y188" i="34"/>
  <c r="V188" i="34" s="1"/>
  <c r="Y189" i="34"/>
  <c r="V189" i="34" s="1"/>
  <c r="Y190" i="34"/>
  <c r="V190" i="34" s="1"/>
  <c r="Y191" i="34"/>
  <c r="V191" i="34" s="1"/>
  <c r="Y192" i="34"/>
  <c r="V192" i="34" s="1"/>
  <c r="Y193" i="34"/>
  <c r="V193" i="34" s="1"/>
  <c r="Y194" i="34"/>
  <c r="V194" i="34" s="1"/>
  <c r="Y195" i="34"/>
  <c r="V195" i="34" s="1"/>
  <c r="Y196" i="34"/>
  <c r="V196" i="34" s="1"/>
  <c r="Y197" i="34"/>
  <c r="V197" i="34" s="1"/>
  <c r="Y198" i="34"/>
  <c r="V198" i="34" s="1"/>
  <c r="Y199" i="34"/>
  <c r="V199" i="34" s="1"/>
  <c r="Y200" i="34"/>
  <c r="V200" i="34" s="1"/>
  <c r="Y201" i="34"/>
  <c r="V201" i="34" s="1"/>
  <c r="Y202" i="34"/>
  <c r="V202" i="34" s="1"/>
  <c r="Y203" i="34"/>
  <c r="V203" i="34" s="1"/>
  <c r="Y204" i="34"/>
  <c r="V204" i="34" s="1"/>
  <c r="Y205" i="34"/>
  <c r="V205" i="34" s="1"/>
  <c r="Y206" i="34"/>
  <c r="V206" i="34" s="1"/>
  <c r="Y207" i="34"/>
  <c r="V207" i="34" s="1"/>
  <c r="Y208" i="34"/>
  <c r="V208" i="34" s="1"/>
  <c r="Y209" i="34"/>
  <c r="V209" i="34" s="1"/>
  <c r="Y210" i="34"/>
  <c r="V210" i="34" s="1"/>
  <c r="Y211" i="34"/>
  <c r="V211" i="34" s="1"/>
  <c r="Y212" i="34"/>
  <c r="V212" i="34" s="1"/>
  <c r="Y213" i="34"/>
  <c r="V213" i="34" s="1"/>
  <c r="Y214" i="34"/>
  <c r="V214" i="34" s="1"/>
  <c r="Y215" i="34"/>
  <c r="V215" i="34" s="1"/>
  <c r="Y216" i="34"/>
  <c r="V216" i="34" s="1"/>
  <c r="Y217" i="34"/>
  <c r="V217" i="34" s="1"/>
  <c r="Y218" i="34"/>
  <c r="V218" i="34" s="1"/>
  <c r="Y219" i="34"/>
  <c r="V219" i="34" s="1"/>
  <c r="Y220" i="34"/>
  <c r="V220" i="34" s="1"/>
  <c r="Y221" i="34"/>
  <c r="V221" i="34" s="1"/>
  <c r="Y222" i="34"/>
  <c r="V222" i="34" s="1"/>
  <c r="Y223" i="34"/>
  <c r="V223" i="34" s="1"/>
  <c r="Y224" i="34"/>
  <c r="V224" i="34" s="1"/>
  <c r="Y225" i="34"/>
  <c r="V225" i="34" s="1"/>
  <c r="Y226" i="34"/>
  <c r="V226" i="34" s="1"/>
  <c r="Y227" i="34"/>
  <c r="V227" i="34" s="1"/>
  <c r="Y228" i="34"/>
  <c r="V228" i="34" s="1"/>
  <c r="Y229" i="34"/>
  <c r="V229" i="34" s="1"/>
  <c r="Y230" i="34"/>
  <c r="V230" i="34" s="1"/>
  <c r="Y231" i="34"/>
  <c r="V231" i="34" s="1"/>
  <c r="Y232" i="34"/>
  <c r="V232" i="34" s="1"/>
  <c r="Y233" i="34"/>
  <c r="V233" i="34" s="1"/>
  <c r="Y234" i="34"/>
  <c r="V234" i="34" s="1"/>
  <c r="Y235" i="34"/>
  <c r="V235" i="34" s="1"/>
  <c r="Y236" i="34"/>
  <c r="V236" i="34" s="1"/>
  <c r="Y237" i="34"/>
  <c r="V237" i="34" s="1"/>
  <c r="Y238" i="34"/>
  <c r="V238" i="34" s="1"/>
  <c r="Y239" i="34"/>
  <c r="V239" i="34" s="1"/>
  <c r="Y240" i="34"/>
  <c r="V240" i="34" s="1"/>
  <c r="Y241" i="34"/>
  <c r="V241" i="34" s="1"/>
  <c r="Y242" i="34"/>
  <c r="V242" i="34" s="1"/>
  <c r="T11" i="33" s="1"/>
  <c r="I46" i="33" s="1"/>
  <c r="D27" i="40" s="1"/>
  <c r="Y243" i="34"/>
  <c r="V243" i="34" s="1"/>
  <c r="Y244" i="34"/>
  <c r="V244" i="34" s="1"/>
  <c r="Y245" i="34"/>
  <c r="V245" i="34" s="1"/>
  <c r="Y246" i="34"/>
  <c r="V246" i="34" s="1"/>
  <c r="Y247" i="34"/>
  <c r="V247" i="34" s="1"/>
  <c r="Y248" i="34"/>
  <c r="V248" i="34" s="1"/>
  <c r="Y249" i="34"/>
  <c r="V249" i="34" s="1"/>
  <c r="Y250" i="34"/>
  <c r="V250" i="34" s="1"/>
  <c r="Y251" i="34"/>
  <c r="V251" i="34" s="1"/>
  <c r="Y252" i="34"/>
  <c r="V252" i="34" s="1"/>
  <c r="Y253" i="34"/>
  <c r="V253" i="34" s="1"/>
  <c r="Y254" i="34"/>
  <c r="V254" i="34" s="1"/>
  <c r="Y255" i="34"/>
  <c r="V255" i="34" s="1"/>
  <c r="Y256" i="34"/>
  <c r="V256" i="34" s="1"/>
  <c r="Y257" i="34"/>
  <c r="V257" i="34" s="1"/>
  <c r="Y258" i="34"/>
  <c r="V258" i="34" s="1"/>
  <c r="Y259" i="34"/>
  <c r="V259" i="34" s="1"/>
  <c r="Y260" i="34"/>
  <c r="V260" i="34" s="1"/>
  <c r="Y261" i="34"/>
  <c r="V261" i="34" s="1"/>
  <c r="Y262" i="34"/>
  <c r="V262" i="34" s="1"/>
  <c r="Y263" i="34"/>
  <c r="V263" i="34" s="1"/>
  <c r="Y264" i="34"/>
  <c r="V264" i="34" s="1"/>
  <c r="Y265" i="34"/>
  <c r="V265" i="34" s="1"/>
  <c r="Y266" i="34"/>
  <c r="V266" i="34" s="1"/>
  <c r="Y267" i="34"/>
  <c r="V267" i="34" s="1"/>
  <c r="Y268" i="34"/>
  <c r="V268" i="34" s="1"/>
  <c r="Y269" i="34"/>
  <c r="V269" i="34" s="1"/>
  <c r="Y270" i="34"/>
  <c r="V270" i="34" s="1"/>
  <c r="Y271" i="34"/>
  <c r="V271" i="34" s="1"/>
  <c r="Y272" i="34"/>
  <c r="V272" i="34" s="1"/>
  <c r="Y273" i="34"/>
  <c r="V273" i="34" s="1"/>
  <c r="Y274" i="34"/>
  <c r="V274" i="34" s="1"/>
  <c r="Y275" i="34"/>
  <c r="V275" i="34" s="1"/>
  <c r="Y276" i="34"/>
  <c r="V276" i="34" s="1"/>
  <c r="Y277" i="34"/>
  <c r="V277" i="34" s="1"/>
  <c r="Y278" i="34"/>
  <c r="V278" i="34" s="1"/>
  <c r="Y279" i="34"/>
  <c r="V279" i="34" s="1"/>
  <c r="Y280" i="34"/>
  <c r="V280" i="34" s="1"/>
  <c r="Y281" i="34"/>
  <c r="V281" i="34" s="1"/>
  <c r="Y282" i="34"/>
  <c r="V282" i="34" s="1"/>
  <c r="Y283" i="34"/>
  <c r="V283" i="34" s="1"/>
  <c r="Y284" i="34"/>
  <c r="V284" i="34" s="1"/>
  <c r="Y285" i="34"/>
  <c r="V285" i="34" s="1"/>
  <c r="Y286" i="34"/>
  <c r="V286" i="34" s="1"/>
  <c r="Y287" i="34"/>
  <c r="V287" i="34" s="1"/>
  <c r="Y288" i="34"/>
  <c r="V288" i="34" s="1"/>
  <c r="Y289" i="34"/>
  <c r="V289" i="34" s="1"/>
  <c r="Y290" i="34"/>
  <c r="V290" i="34" s="1"/>
  <c r="Y291" i="34"/>
  <c r="V291" i="34" s="1"/>
  <c r="Y292" i="34"/>
  <c r="V292" i="34" s="1"/>
  <c r="Y293" i="34"/>
  <c r="V293" i="34" s="1"/>
  <c r="Y294" i="34"/>
  <c r="V294" i="34" s="1"/>
  <c r="Y295" i="34"/>
  <c r="V295" i="34" s="1"/>
  <c r="Y296" i="34"/>
  <c r="V296" i="34" s="1"/>
  <c r="Y297" i="34"/>
  <c r="V297" i="34" s="1"/>
  <c r="Y298" i="34"/>
  <c r="V298" i="34" s="1"/>
  <c r="Y299" i="34"/>
  <c r="V299" i="34" s="1"/>
  <c r="Y300" i="34"/>
  <c r="V300" i="34" s="1"/>
  <c r="Y301" i="34"/>
  <c r="V301" i="34" s="1"/>
  <c r="Y302" i="34"/>
  <c r="V302" i="34" s="1"/>
  <c r="Y303" i="34"/>
  <c r="V303" i="34" s="1"/>
  <c r="Y304" i="34"/>
  <c r="V304" i="34" s="1"/>
  <c r="Y305" i="34"/>
  <c r="V305" i="34" s="1"/>
  <c r="Y306" i="34"/>
  <c r="V306" i="34" s="1"/>
  <c r="Y307" i="34"/>
  <c r="V307" i="34" s="1"/>
  <c r="Y308" i="34"/>
  <c r="V308" i="34" s="1"/>
  <c r="Y309" i="34"/>
  <c r="V309" i="34" s="1"/>
  <c r="Y310" i="34"/>
  <c r="V310" i="34" s="1"/>
  <c r="Y311" i="34"/>
  <c r="V311" i="34" s="1"/>
  <c r="Y312" i="34"/>
  <c r="V312" i="34" s="1"/>
  <c r="Y313" i="34"/>
  <c r="V313" i="34" s="1"/>
  <c r="Y314" i="34"/>
  <c r="V314" i="34" s="1"/>
  <c r="Y315" i="34"/>
  <c r="V315" i="34" s="1"/>
  <c r="Y316" i="34"/>
  <c r="V316" i="34" s="1"/>
  <c r="Y317" i="34"/>
  <c r="V317" i="34" s="1"/>
  <c r="Y318" i="34"/>
  <c r="V318" i="34" s="1"/>
  <c r="Y319" i="34"/>
  <c r="V319" i="34" s="1"/>
  <c r="Y320" i="34"/>
  <c r="V320" i="34" s="1"/>
  <c r="Y321" i="34"/>
  <c r="V321" i="34" s="1"/>
  <c r="Y322" i="34"/>
  <c r="V322" i="34" s="1"/>
  <c r="Y323" i="34"/>
  <c r="V323" i="34" s="1"/>
  <c r="Y324" i="34"/>
  <c r="V324" i="34" s="1"/>
  <c r="Y325" i="34"/>
  <c r="V325" i="34" s="1"/>
  <c r="Y326" i="34"/>
  <c r="V326" i="34" s="1"/>
  <c r="Y327" i="34"/>
  <c r="V327" i="34" s="1"/>
  <c r="Y328" i="34"/>
  <c r="V328" i="34" s="1"/>
  <c r="Y329" i="34"/>
  <c r="V329" i="34" s="1"/>
  <c r="Y330" i="34"/>
  <c r="V330" i="34" s="1"/>
  <c r="Y331" i="34"/>
  <c r="V331" i="34" s="1"/>
  <c r="Y332" i="34"/>
  <c r="V332" i="34" s="1"/>
  <c r="Y333" i="34"/>
  <c r="V333" i="34" s="1"/>
  <c r="Y334" i="34"/>
  <c r="V334" i="34" s="1"/>
  <c r="Y335" i="34"/>
  <c r="V335" i="34" s="1"/>
  <c r="Y336" i="34"/>
  <c r="V336" i="34" s="1"/>
  <c r="Y337" i="34"/>
  <c r="V337" i="34" s="1"/>
  <c r="Y338" i="34"/>
  <c r="V338" i="34" s="1"/>
  <c r="Y339" i="34"/>
  <c r="V339" i="34" s="1"/>
  <c r="Y340" i="34"/>
  <c r="V340" i="34" s="1"/>
  <c r="Y341" i="34"/>
  <c r="V341" i="34" s="1"/>
  <c r="Y342" i="34"/>
  <c r="V342" i="34" s="1"/>
  <c r="Y343" i="34"/>
  <c r="V343" i="34" s="1"/>
  <c r="Y344" i="34"/>
  <c r="V344" i="34" s="1"/>
  <c r="Y345" i="34"/>
  <c r="V345" i="34" s="1"/>
  <c r="Y346" i="34"/>
  <c r="V346" i="34" s="1"/>
  <c r="Y347" i="34"/>
  <c r="V347" i="34" s="1"/>
  <c r="Y348" i="34"/>
  <c r="V348" i="34" s="1"/>
  <c r="Y349" i="34"/>
  <c r="V349" i="34" s="1"/>
  <c r="Y350" i="34"/>
  <c r="V350" i="34" s="1"/>
  <c r="Y351" i="34"/>
  <c r="V351" i="34" s="1"/>
  <c r="Y352" i="34"/>
  <c r="V352" i="34" s="1"/>
  <c r="Y353" i="34"/>
  <c r="V353" i="34" s="1"/>
  <c r="Y354" i="34"/>
  <c r="V354" i="34" s="1"/>
  <c r="Y355" i="34"/>
  <c r="V355" i="34" s="1"/>
  <c r="Y356" i="34"/>
  <c r="V356" i="34" s="1"/>
  <c r="Y357" i="34"/>
  <c r="V357" i="34" s="1"/>
  <c r="Y358" i="34"/>
  <c r="V358" i="34" s="1"/>
  <c r="Y359" i="34"/>
  <c r="V359" i="34" s="1"/>
  <c r="Y360" i="34"/>
  <c r="V360" i="34" s="1"/>
  <c r="Y361" i="34"/>
  <c r="V361" i="34" s="1"/>
  <c r="Y362" i="34"/>
  <c r="V362" i="34" s="1"/>
  <c r="T12" i="33" s="1"/>
  <c r="I47" i="33" s="1"/>
  <c r="D28" i="40" s="1"/>
  <c r="Y363" i="34"/>
  <c r="V363" i="34" s="1"/>
  <c r="Y364" i="34"/>
  <c r="V364" i="34" s="1"/>
  <c r="Y365" i="34"/>
  <c r="V365" i="34" s="1"/>
  <c r="Y366" i="34"/>
  <c r="V366" i="34" s="1"/>
  <c r="Y367" i="34"/>
  <c r="V367" i="34" s="1"/>
  <c r="Y368" i="34"/>
  <c r="V368" i="34" s="1"/>
  <c r="Y369" i="34"/>
  <c r="V369" i="34" s="1"/>
  <c r="Y370" i="34"/>
  <c r="V370" i="34" s="1"/>
  <c r="Y371" i="34"/>
  <c r="V371" i="34" s="1"/>
  <c r="Y372" i="34"/>
  <c r="V372" i="34" s="1"/>
  <c r="Y373" i="34"/>
  <c r="V373" i="34" s="1"/>
  <c r="Y374" i="34"/>
  <c r="V374" i="34" s="1"/>
  <c r="Y375" i="34"/>
  <c r="V375" i="34" s="1"/>
  <c r="Y376" i="34"/>
  <c r="V376" i="34" s="1"/>
  <c r="Y377" i="34"/>
  <c r="V377" i="34" s="1"/>
  <c r="Y378" i="34"/>
  <c r="V378" i="34" s="1"/>
  <c r="Y379" i="34"/>
  <c r="V379" i="34" s="1"/>
  <c r="Y380" i="34"/>
  <c r="V380" i="34" s="1"/>
  <c r="Y381" i="34"/>
  <c r="V381" i="34" s="1"/>
  <c r="Y382" i="34"/>
  <c r="V382" i="34" s="1"/>
  <c r="Y383" i="34"/>
  <c r="V383" i="34" s="1"/>
  <c r="Y384" i="34"/>
  <c r="V384" i="34" s="1"/>
  <c r="Y385" i="34"/>
  <c r="V385" i="34" s="1"/>
  <c r="Y386" i="34"/>
  <c r="V386" i="34" s="1"/>
  <c r="Y387" i="34"/>
  <c r="V387" i="34" s="1"/>
  <c r="Y388" i="34"/>
  <c r="V388" i="34" s="1"/>
  <c r="Y389" i="34"/>
  <c r="V389" i="34" s="1"/>
  <c r="Y390" i="34"/>
  <c r="V390" i="34" s="1"/>
  <c r="Y391" i="34"/>
  <c r="V391" i="34" s="1"/>
  <c r="Y392" i="34"/>
  <c r="V392" i="34" s="1"/>
  <c r="Y393" i="34"/>
  <c r="V393" i="34" s="1"/>
  <c r="Y394" i="34"/>
  <c r="V394" i="34" s="1"/>
  <c r="Y395" i="34"/>
  <c r="V395" i="34" s="1"/>
  <c r="Y396" i="34"/>
  <c r="V396" i="34" s="1"/>
  <c r="Y397" i="34"/>
  <c r="V397" i="34" s="1"/>
  <c r="Y398" i="34"/>
  <c r="V398" i="34" s="1"/>
  <c r="Y399" i="34"/>
  <c r="V399" i="34" s="1"/>
  <c r="Y400" i="34"/>
  <c r="V400" i="34" s="1"/>
  <c r="Y401" i="34"/>
  <c r="V401" i="34" s="1"/>
  <c r="Y402" i="34"/>
  <c r="V402" i="34" s="1"/>
  <c r="Y403" i="34"/>
  <c r="V403" i="34" s="1"/>
  <c r="Y404" i="34"/>
  <c r="V404" i="34" s="1"/>
  <c r="Y405" i="34"/>
  <c r="V405" i="34" s="1"/>
  <c r="Y406" i="34"/>
  <c r="V406" i="34" s="1"/>
  <c r="Y407" i="34"/>
  <c r="V407" i="34" s="1"/>
  <c r="Y408" i="34"/>
  <c r="V408" i="34" s="1"/>
  <c r="Y409" i="34"/>
  <c r="V409" i="34" s="1"/>
  <c r="Y410" i="34"/>
  <c r="V410" i="34" s="1"/>
  <c r="Y411" i="34"/>
  <c r="V411" i="34" s="1"/>
  <c r="Y412" i="34"/>
  <c r="V412" i="34" s="1"/>
  <c r="Y413" i="34"/>
  <c r="V413" i="34" s="1"/>
  <c r="Y414" i="34"/>
  <c r="V414" i="34" s="1"/>
  <c r="Y415" i="34"/>
  <c r="V415" i="34" s="1"/>
  <c r="Y416" i="34"/>
  <c r="V416" i="34" s="1"/>
  <c r="Y417" i="34"/>
  <c r="V417" i="34" s="1"/>
  <c r="Y418" i="34"/>
  <c r="V418" i="34" s="1"/>
  <c r="Y419" i="34"/>
  <c r="V419" i="34" s="1"/>
  <c r="Y420" i="34"/>
  <c r="V420" i="34" s="1"/>
  <c r="Y421" i="34"/>
  <c r="V421" i="34" s="1"/>
  <c r="Y422" i="34"/>
  <c r="V422" i="34" s="1"/>
  <c r="Y423" i="34"/>
  <c r="V423" i="34" s="1"/>
  <c r="Y424" i="34"/>
  <c r="V424" i="34" s="1"/>
  <c r="Y425" i="34"/>
  <c r="V425" i="34" s="1"/>
  <c r="Y426" i="34"/>
  <c r="V426" i="34" s="1"/>
  <c r="Y427" i="34"/>
  <c r="V427" i="34" s="1"/>
  <c r="Y428" i="34"/>
  <c r="V428" i="34" s="1"/>
  <c r="Y429" i="34"/>
  <c r="V429" i="34" s="1"/>
  <c r="Y430" i="34"/>
  <c r="V430" i="34" s="1"/>
  <c r="Y431" i="34"/>
  <c r="V431" i="34" s="1"/>
  <c r="Y432" i="34"/>
  <c r="V432" i="34" s="1"/>
  <c r="Y433" i="34"/>
  <c r="V433" i="34" s="1"/>
  <c r="Y434" i="34"/>
  <c r="V434" i="34" s="1"/>
  <c r="Y435" i="34"/>
  <c r="V435" i="34" s="1"/>
  <c r="Y436" i="34"/>
  <c r="V436" i="34" s="1"/>
  <c r="Y437" i="34"/>
  <c r="V437" i="34" s="1"/>
  <c r="Y438" i="34"/>
  <c r="V438" i="34" s="1"/>
  <c r="Y439" i="34"/>
  <c r="V439" i="34" s="1"/>
  <c r="Y440" i="34"/>
  <c r="V440" i="34" s="1"/>
  <c r="Y441" i="34"/>
  <c r="V441" i="34" s="1"/>
  <c r="Y442" i="34"/>
  <c r="V442" i="34" s="1"/>
  <c r="Y443" i="34"/>
  <c r="V443" i="34" s="1"/>
  <c r="Y444" i="34"/>
  <c r="V444" i="34" s="1"/>
  <c r="Y445" i="34"/>
  <c r="V445" i="34" s="1"/>
  <c r="Y446" i="34"/>
  <c r="V446" i="34" s="1"/>
  <c r="Y447" i="34"/>
  <c r="V447" i="34" s="1"/>
  <c r="Y448" i="34"/>
  <c r="V448" i="34" s="1"/>
  <c r="Y449" i="34"/>
  <c r="V449" i="34" s="1"/>
  <c r="Y450" i="34"/>
  <c r="V450" i="34" s="1"/>
  <c r="Y451" i="34"/>
  <c r="V451" i="34" s="1"/>
  <c r="Y452" i="34"/>
  <c r="V452" i="34" s="1"/>
  <c r="Y453" i="34"/>
  <c r="V453" i="34" s="1"/>
  <c r="Y454" i="34"/>
  <c r="V454" i="34" s="1"/>
  <c r="Y455" i="34"/>
  <c r="V455" i="34" s="1"/>
  <c r="Y456" i="34"/>
  <c r="V456" i="34" s="1"/>
  <c r="Y457" i="34"/>
  <c r="V457" i="34" s="1"/>
  <c r="Y458" i="34"/>
  <c r="V458" i="34" s="1"/>
  <c r="Y459" i="34"/>
  <c r="V459" i="34" s="1"/>
  <c r="Y460" i="34"/>
  <c r="V460" i="34" s="1"/>
  <c r="Y461" i="34"/>
  <c r="V461" i="34" s="1"/>
  <c r="Y462" i="34"/>
  <c r="V462" i="34" s="1"/>
  <c r="Y463" i="34"/>
  <c r="V463" i="34" s="1"/>
  <c r="Y464" i="34"/>
  <c r="V464" i="34" s="1"/>
  <c r="Y465" i="34"/>
  <c r="V465" i="34" s="1"/>
  <c r="Y466" i="34"/>
  <c r="V466" i="34" s="1"/>
  <c r="Y467" i="34"/>
  <c r="V467" i="34" s="1"/>
  <c r="Y468" i="34"/>
  <c r="V468" i="34" s="1"/>
  <c r="Y469" i="34"/>
  <c r="V469" i="34" s="1"/>
  <c r="Y470" i="34"/>
  <c r="V470" i="34" s="1"/>
  <c r="Y471" i="34"/>
  <c r="V471" i="34" s="1"/>
  <c r="Y472" i="34"/>
  <c r="V472" i="34" s="1"/>
  <c r="Y473" i="34"/>
  <c r="V473" i="34" s="1"/>
  <c r="Y474" i="34"/>
  <c r="V474" i="34" s="1"/>
  <c r="Y475" i="34"/>
  <c r="V475" i="34" s="1"/>
  <c r="Y476" i="34"/>
  <c r="V476" i="34" s="1"/>
  <c r="Y477" i="34"/>
  <c r="V477" i="34" s="1"/>
  <c r="Y478" i="34"/>
  <c r="V478" i="34" s="1"/>
  <c r="Y479" i="34"/>
  <c r="V479" i="34" s="1"/>
  <c r="Y480" i="34"/>
  <c r="V480" i="34" s="1"/>
  <c r="Y481" i="34"/>
  <c r="V481" i="34" s="1"/>
  <c r="Y482" i="34"/>
  <c r="V482" i="34" s="1"/>
  <c r="Y483" i="34"/>
  <c r="V483" i="34" s="1"/>
  <c r="Y484" i="34"/>
  <c r="V484" i="34" s="1"/>
  <c r="Y485" i="34"/>
  <c r="V485" i="34" s="1"/>
  <c r="Y486" i="34"/>
  <c r="V486" i="34" s="1"/>
  <c r="Y487" i="34"/>
  <c r="V487" i="34" s="1"/>
  <c r="Y488" i="34"/>
  <c r="V488" i="34" s="1"/>
  <c r="Y489" i="34"/>
  <c r="V489" i="34" s="1"/>
  <c r="Y490" i="34"/>
  <c r="V490" i="34" s="1"/>
  <c r="Y491" i="34"/>
  <c r="V491" i="34" s="1"/>
  <c r="Y492" i="34"/>
  <c r="V492" i="34" s="1"/>
  <c r="Y493" i="34"/>
  <c r="V493" i="34" s="1"/>
  <c r="Y494" i="34"/>
  <c r="V494" i="34" s="1"/>
  <c r="Y495" i="34"/>
  <c r="V495" i="34" s="1"/>
  <c r="Y496" i="34"/>
  <c r="V496" i="34" s="1"/>
  <c r="Y497" i="34"/>
  <c r="V497" i="34" s="1"/>
  <c r="Y498" i="34"/>
  <c r="V498" i="34" s="1"/>
  <c r="Y499" i="34"/>
  <c r="V499" i="34" s="1"/>
  <c r="Y500" i="34"/>
  <c r="V500" i="34" s="1"/>
  <c r="Y501" i="34"/>
  <c r="V501" i="34" s="1"/>
  <c r="Y502" i="34"/>
  <c r="V502" i="34" s="1"/>
  <c r="Y503" i="34"/>
  <c r="V503" i="34" s="1"/>
  <c r="Y504" i="34"/>
  <c r="V504" i="34" s="1"/>
  <c r="Y505" i="34"/>
  <c r="V505" i="34" s="1"/>
  <c r="Y506" i="34"/>
  <c r="V506" i="34" s="1"/>
  <c r="Y507" i="34"/>
  <c r="V507" i="34" s="1"/>
  <c r="Y508" i="34"/>
  <c r="V508" i="34" s="1"/>
  <c r="Y509" i="34"/>
  <c r="V509" i="34" s="1"/>
  <c r="Y510" i="34"/>
  <c r="V510" i="34" s="1"/>
  <c r="Y511" i="34"/>
  <c r="V511" i="34" s="1"/>
  <c r="Y512" i="34"/>
  <c r="V512" i="34" s="1"/>
  <c r="Y513" i="34"/>
  <c r="V513" i="34" s="1"/>
  <c r="Y514" i="34"/>
  <c r="V514" i="34" s="1"/>
  <c r="Y515" i="34"/>
  <c r="V515" i="34" s="1"/>
  <c r="Y516" i="34"/>
  <c r="V516" i="34" s="1"/>
  <c r="Y517" i="34"/>
  <c r="V517" i="34" s="1"/>
  <c r="Y518" i="34"/>
  <c r="V518" i="34" s="1"/>
  <c r="Y519" i="34"/>
  <c r="V519" i="34" s="1"/>
  <c r="Y520" i="34"/>
  <c r="V520" i="34" s="1"/>
  <c r="Y521" i="34"/>
  <c r="V521" i="34" s="1"/>
  <c r="Y522" i="34"/>
  <c r="V522" i="34" s="1"/>
  <c r="Y523" i="34"/>
  <c r="V523" i="34" s="1"/>
  <c r="Y524" i="34"/>
  <c r="V524" i="34" s="1"/>
  <c r="Y525" i="34"/>
  <c r="V525" i="34" s="1"/>
  <c r="Y526" i="34"/>
  <c r="V526" i="34" s="1"/>
  <c r="Y527" i="34"/>
  <c r="V527" i="34" s="1"/>
  <c r="Y528" i="34"/>
  <c r="V528" i="34" s="1"/>
  <c r="Y529" i="34"/>
  <c r="V529" i="34" s="1"/>
  <c r="Y530" i="34"/>
  <c r="V530" i="34" s="1"/>
  <c r="Y531" i="34"/>
  <c r="V531" i="34" s="1"/>
  <c r="Y532" i="34"/>
  <c r="V532" i="34" s="1"/>
  <c r="Y533" i="34"/>
  <c r="V533" i="34" s="1"/>
  <c r="Y534" i="34"/>
  <c r="V534" i="34" s="1"/>
  <c r="Y535" i="34"/>
  <c r="V535" i="34" s="1"/>
  <c r="Y536" i="34"/>
  <c r="V536" i="34" s="1"/>
  <c r="Y537" i="34"/>
  <c r="V537" i="34" s="1"/>
  <c r="Y538" i="34"/>
  <c r="V538" i="34" s="1"/>
  <c r="Y539" i="34"/>
  <c r="V539" i="34" s="1"/>
  <c r="Y540" i="34"/>
  <c r="V540" i="34" s="1"/>
  <c r="Y541" i="34"/>
  <c r="V541" i="34" s="1"/>
  <c r="Y542" i="34"/>
  <c r="V542" i="34" s="1"/>
  <c r="T13" i="33" s="1"/>
  <c r="I48" i="33" s="1"/>
  <c r="D29" i="40" s="1"/>
  <c r="Y543" i="34"/>
  <c r="V543" i="34" s="1"/>
  <c r="Y544" i="34"/>
  <c r="V544" i="34" s="1"/>
  <c r="Y545" i="34"/>
  <c r="V545" i="34" s="1"/>
  <c r="Y546" i="34"/>
  <c r="V546" i="34" s="1"/>
  <c r="Y547" i="34"/>
  <c r="V547" i="34" s="1"/>
  <c r="Y548" i="34"/>
  <c r="V548" i="34" s="1"/>
  <c r="Y549" i="34"/>
  <c r="V549" i="34" s="1"/>
  <c r="Y550" i="34"/>
  <c r="V550" i="34" s="1"/>
  <c r="Y551" i="34"/>
  <c r="V551" i="34" s="1"/>
  <c r="Y552" i="34"/>
  <c r="V552" i="34" s="1"/>
  <c r="Y553" i="34"/>
  <c r="V553" i="34" s="1"/>
  <c r="Y554" i="34"/>
  <c r="V554" i="34" s="1"/>
  <c r="Y555" i="34"/>
  <c r="V555" i="34" s="1"/>
  <c r="Y556" i="34"/>
  <c r="V556" i="34" s="1"/>
  <c r="Y557" i="34"/>
  <c r="V557" i="34" s="1"/>
  <c r="Y558" i="34"/>
  <c r="V558" i="34" s="1"/>
  <c r="Y559" i="34"/>
  <c r="V559" i="34" s="1"/>
  <c r="Y560" i="34"/>
  <c r="V560" i="34" s="1"/>
  <c r="Y561" i="34"/>
  <c r="V561" i="34" s="1"/>
  <c r="Y562" i="34"/>
  <c r="V562" i="34" s="1"/>
  <c r="Y563" i="34"/>
  <c r="V563" i="34" s="1"/>
  <c r="Y564" i="34"/>
  <c r="V564" i="34" s="1"/>
  <c r="Y565" i="34"/>
  <c r="V565" i="34" s="1"/>
  <c r="Y566" i="34"/>
  <c r="V566" i="34" s="1"/>
  <c r="Y567" i="34"/>
  <c r="V567" i="34" s="1"/>
  <c r="Y568" i="34"/>
  <c r="V568" i="34" s="1"/>
  <c r="Y569" i="34"/>
  <c r="V569" i="34" s="1"/>
  <c r="Y570" i="34"/>
  <c r="V570" i="34" s="1"/>
  <c r="Y571" i="34"/>
  <c r="V571" i="34" s="1"/>
  <c r="Y572" i="34"/>
  <c r="V572" i="34" s="1"/>
  <c r="Y573" i="34"/>
  <c r="V573" i="34" s="1"/>
  <c r="Y574" i="34"/>
  <c r="V574" i="34" s="1"/>
  <c r="Y575" i="34"/>
  <c r="V575" i="34" s="1"/>
  <c r="Y576" i="34"/>
  <c r="V576" i="34" s="1"/>
  <c r="Y577" i="34"/>
  <c r="V577" i="34" s="1"/>
  <c r="Y578" i="34"/>
  <c r="V578" i="34" s="1"/>
  <c r="Y579" i="34"/>
  <c r="V579" i="34" s="1"/>
  <c r="Y580" i="34"/>
  <c r="V580" i="34" s="1"/>
  <c r="Y581" i="34"/>
  <c r="V581" i="34" s="1"/>
  <c r="Y582" i="34"/>
  <c r="V582" i="34" s="1"/>
  <c r="Y583" i="34"/>
  <c r="V583" i="34" s="1"/>
  <c r="Y584" i="34"/>
  <c r="V584" i="34" s="1"/>
  <c r="Y585" i="34"/>
  <c r="V585" i="34" s="1"/>
  <c r="Y586" i="34"/>
  <c r="V586" i="34" s="1"/>
  <c r="Y587" i="34"/>
  <c r="V587" i="34" s="1"/>
  <c r="Y588" i="34"/>
  <c r="V588" i="34" s="1"/>
  <c r="Y589" i="34"/>
  <c r="V589" i="34" s="1"/>
  <c r="Y590" i="34"/>
  <c r="V590" i="34" s="1"/>
  <c r="Y591" i="34"/>
  <c r="V591" i="34" s="1"/>
  <c r="Y592" i="34"/>
  <c r="V592" i="34" s="1"/>
  <c r="Y593" i="34"/>
  <c r="V593" i="34" s="1"/>
  <c r="Y594" i="34"/>
  <c r="V594" i="34" s="1"/>
  <c r="Y595" i="34"/>
  <c r="V595" i="34" s="1"/>
  <c r="Y596" i="34"/>
  <c r="V596" i="34" s="1"/>
  <c r="Y597" i="34"/>
  <c r="V597" i="34" s="1"/>
  <c r="Y598" i="34"/>
  <c r="V598" i="34" s="1"/>
  <c r="Y599" i="34"/>
  <c r="V599" i="34" s="1"/>
  <c r="Y600" i="34"/>
  <c r="V600" i="34" s="1"/>
  <c r="Y601" i="34"/>
  <c r="V601" i="34" s="1"/>
  <c r="Y602" i="34"/>
  <c r="V602" i="34" s="1"/>
  <c r="Y603" i="34"/>
  <c r="V603" i="34" s="1"/>
  <c r="Y604" i="34"/>
  <c r="V604" i="34" s="1"/>
  <c r="Y605" i="34"/>
  <c r="V605" i="34" s="1"/>
  <c r="Y606" i="34"/>
  <c r="V606" i="34" s="1"/>
  <c r="Y607" i="34"/>
  <c r="V607" i="34" s="1"/>
  <c r="Y608" i="34"/>
  <c r="V608" i="34" s="1"/>
  <c r="Y609" i="34"/>
  <c r="V609" i="34" s="1"/>
  <c r="Y610" i="34"/>
  <c r="V610" i="34" s="1"/>
  <c r="Y611" i="34"/>
  <c r="V611" i="34" s="1"/>
  <c r="Y612" i="34"/>
  <c r="V612" i="34" s="1"/>
  <c r="Y613" i="34"/>
  <c r="V613" i="34" s="1"/>
  <c r="Y614" i="34"/>
  <c r="V614" i="34" s="1"/>
  <c r="Y615" i="34"/>
  <c r="V615" i="34" s="1"/>
  <c r="Y616" i="34"/>
  <c r="V616" i="34" s="1"/>
  <c r="Y617" i="34"/>
  <c r="V617" i="34" s="1"/>
  <c r="Y618" i="34"/>
  <c r="V618" i="34" s="1"/>
  <c r="Y619" i="34"/>
  <c r="V619" i="34" s="1"/>
  <c r="Y620" i="34"/>
  <c r="V620" i="34" s="1"/>
  <c r="Y621" i="34"/>
  <c r="V621" i="34" s="1"/>
  <c r="Y622" i="34"/>
  <c r="V622" i="34" s="1"/>
  <c r="Y623" i="34"/>
  <c r="V623" i="34" s="1"/>
  <c r="Y624" i="34"/>
  <c r="V624" i="34" s="1"/>
  <c r="Y625" i="34"/>
  <c r="V625" i="34" s="1"/>
  <c r="Y626" i="34"/>
  <c r="V626" i="34" s="1"/>
  <c r="Y627" i="34"/>
  <c r="V627" i="34" s="1"/>
  <c r="Y628" i="34"/>
  <c r="V628" i="34" s="1"/>
  <c r="Y629" i="34"/>
  <c r="V629" i="34" s="1"/>
  <c r="Y630" i="34"/>
  <c r="V630" i="34" s="1"/>
  <c r="Y631" i="34"/>
  <c r="V631" i="34" s="1"/>
  <c r="Y632" i="34"/>
  <c r="V632" i="34" s="1"/>
  <c r="Y633" i="34"/>
  <c r="V633" i="34" s="1"/>
  <c r="Y634" i="34"/>
  <c r="V634" i="34" s="1"/>
  <c r="Y635" i="34"/>
  <c r="V635" i="34" s="1"/>
  <c r="Y636" i="34"/>
  <c r="V636" i="34" s="1"/>
  <c r="Y637" i="34"/>
  <c r="V637" i="34" s="1"/>
  <c r="Y638" i="34"/>
  <c r="V638" i="34" s="1"/>
  <c r="Y639" i="34"/>
  <c r="V639" i="34" s="1"/>
  <c r="Y640" i="34"/>
  <c r="V640" i="34" s="1"/>
  <c r="Y641" i="34"/>
  <c r="V641" i="34" s="1"/>
  <c r="Y642" i="34"/>
  <c r="V642" i="34" s="1"/>
  <c r="Y643" i="34"/>
  <c r="V643" i="34" s="1"/>
  <c r="Y644" i="34"/>
  <c r="V644" i="34" s="1"/>
  <c r="Y645" i="34"/>
  <c r="V645" i="34" s="1"/>
  <c r="Y646" i="34"/>
  <c r="V646" i="34" s="1"/>
  <c r="Y647" i="34"/>
  <c r="V647" i="34" s="1"/>
  <c r="Y648" i="34"/>
  <c r="V648" i="34" s="1"/>
  <c r="Y649" i="34"/>
  <c r="V649" i="34" s="1"/>
  <c r="Y650" i="34"/>
  <c r="V650" i="34" s="1"/>
  <c r="Y651" i="34"/>
  <c r="V651" i="34" s="1"/>
  <c r="Y652" i="34"/>
  <c r="V652" i="34" s="1"/>
  <c r="Y653" i="34"/>
  <c r="V653" i="34" s="1"/>
  <c r="Y654" i="34"/>
  <c r="V654" i="34" s="1"/>
  <c r="Y655" i="34"/>
  <c r="V655" i="34" s="1"/>
  <c r="Y656" i="34"/>
  <c r="V656" i="34" s="1"/>
  <c r="Y657" i="34"/>
  <c r="V657" i="34" s="1"/>
  <c r="Y658" i="34"/>
  <c r="V658" i="34" s="1"/>
  <c r="Y659" i="34"/>
  <c r="V659" i="34" s="1"/>
  <c r="Y660" i="34"/>
  <c r="V660" i="34" s="1"/>
  <c r="Y661" i="34"/>
  <c r="V661" i="34" s="1"/>
  <c r="Y662" i="34"/>
  <c r="V662" i="34" s="1"/>
  <c r="Y663" i="34"/>
  <c r="V663" i="34" s="1"/>
  <c r="Y664" i="34"/>
  <c r="V664" i="34" s="1"/>
  <c r="Y665" i="34"/>
  <c r="V665" i="34" s="1"/>
  <c r="Y666" i="34"/>
  <c r="V666" i="34" s="1"/>
  <c r="Y667" i="34"/>
  <c r="V667" i="34" s="1"/>
  <c r="Y668" i="34"/>
  <c r="V668" i="34" s="1"/>
  <c r="Y669" i="34"/>
  <c r="V669" i="34" s="1"/>
  <c r="Y670" i="34"/>
  <c r="V670" i="34" s="1"/>
  <c r="Y671" i="34"/>
  <c r="V671" i="34" s="1"/>
  <c r="Y672" i="34"/>
  <c r="V672" i="34" s="1"/>
  <c r="Y673" i="34"/>
  <c r="V673" i="34" s="1"/>
  <c r="Y674" i="34"/>
  <c r="V674" i="34" s="1"/>
  <c r="Y675" i="34"/>
  <c r="V675" i="34" s="1"/>
  <c r="Y676" i="34"/>
  <c r="V676" i="34" s="1"/>
  <c r="S5" i="34"/>
  <c r="S6" i="34"/>
  <c r="S7" i="34"/>
  <c r="S8" i="34"/>
  <c r="S9" i="34"/>
  <c r="S10" i="34"/>
  <c r="S11" i="34"/>
  <c r="S12" i="34"/>
  <c r="S13" i="34"/>
  <c r="S14" i="34"/>
  <c r="S15" i="34"/>
  <c r="S16" i="34"/>
  <c r="S17" i="34"/>
  <c r="S18" i="34"/>
  <c r="S19" i="34"/>
  <c r="S20" i="34"/>
  <c r="S21" i="34"/>
  <c r="S22" i="34"/>
  <c r="S23" i="34"/>
  <c r="S24" i="34"/>
  <c r="S25" i="34"/>
  <c r="S26" i="34"/>
  <c r="S27" i="34"/>
  <c r="S28" i="34"/>
  <c r="S29" i="34"/>
  <c r="S30" i="34"/>
  <c r="S31" i="34"/>
  <c r="S32" i="34"/>
  <c r="S33" i="34"/>
  <c r="S34" i="34"/>
  <c r="S35" i="34"/>
  <c r="S36" i="34"/>
  <c r="S37" i="34"/>
  <c r="S38" i="34"/>
  <c r="S39" i="34"/>
  <c r="S40" i="34"/>
  <c r="S41" i="34"/>
  <c r="S42" i="34"/>
  <c r="S43" i="34"/>
  <c r="S44" i="34"/>
  <c r="S45" i="34"/>
  <c r="S46" i="34"/>
  <c r="S47" i="34"/>
  <c r="S48" i="34"/>
  <c r="S49" i="34"/>
  <c r="S50" i="34"/>
  <c r="S51" i="34"/>
  <c r="S52" i="34"/>
  <c r="S53" i="34"/>
  <c r="S54" i="34"/>
  <c r="S55" i="34"/>
  <c r="S56" i="34"/>
  <c r="S57" i="34"/>
  <c r="S58" i="34"/>
  <c r="S59" i="34"/>
  <c r="S60" i="34"/>
  <c r="S61" i="34"/>
  <c r="S62" i="34"/>
  <c r="S63" i="34"/>
  <c r="S64" i="34"/>
  <c r="S65" i="34"/>
  <c r="S66" i="34"/>
  <c r="S67" i="34"/>
  <c r="S68" i="34"/>
  <c r="S69" i="34"/>
  <c r="S70" i="34"/>
  <c r="S71" i="34"/>
  <c r="S72" i="34"/>
  <c r="S73" i="34"/>
  <c r="S74" i="34"/>
  <c r="S75" i="34"/>
  <c r="S76" i="34"/>
  <c r="S77" i="34"/>
  <c r="S78" i="34"/>
  <c r="S79" i="34"/>
  <c r="S80" i="34"/>
  <c r="S81" i="34"/>
  <c r="S82" i="34"/>
  <c r="S83" i="34"/>
  <c r="S84" i="34"/>
  <c r="S85" i="34"/>
  <c r="S86" i="34"/>
  <c r="S87" i="34"/>
  <c r="S88" i="34"/>
  <c r="S89" i="34"/>
  <c r="S90" i="34"/>
  <c r="S91" i="34"/>
  <c r="S92" i="34"/>
  <c r="S93" i="34"/>
  <c r="S94" i="34"/>
  <c r="S95" i="34"/>
  <c r="S96" i="34"/>
  <c r="S97" i="34"/>
  <c r="S98" i="34"/>
  <c r="S99" i="34"/>
  <c r="S100" i="34"/>
  <c r="S101" i="34"/>
  <c r="S102" i="34"/>
  <c r="S103" i="34"/>
  <c r="S104" i="34"/>
  <c r="S105" i="34"/>
  <c r="S106" i="34"/>
  <c r="S107" i="34"/>
  <c r="S108" i="34"/>
  <c r="S109" i="34"/>
  <c r="S110" i="34"/>
  <c r="S111" i="34"/>
  <c r="S112" i="34"/>
  <c r="S113" i="34"/>
  <c r="S114" i="34"/>
  <c r="S115" i="34"/>
  <c r="S116" i="34"/>
  <c r="S117" i="34"/>
  <c r="S118" i="34"/>
  <c r="S119" i="34"/>
  <c r="S120" i="34"/>
  <c r="S121" i="34"/>
  <c r="S122" i="34"/>
  <c r="S123" i="34"/>
  <c r="S124" i="34"/>
  <c r="S125" i="34"/>
  <c r="S126" i="34"/>
  <c r="S127" i="34"/>
  <c r="S128" i="34"/>
  <c r="S129" i="34"/>
  <c r="S130" i="34"/>
  <c r="S131" i="34"/>
  <c r="S132" i="34"/>
  <c r="S133" i="34"/>
  <c r="S134" i="34"/>
  <c r="S135" i="34"/>
  <c r="S136" i="34"/>
  <c r="S137" i="34"/>
  <c r="S138" i="34"/>
  <c r="S139" i="34"/>
  <c r="S140" i="34"/>
  <c r="S141" i="34"/>
  <c r="S142" i="34"/>
  <c r="S143" i="34"/>
  <c r="S144" i="34"/>
  <c r="S145" i="34"/>
  <c r="S146" i="34"/>
  <c r="S147" i="34"/>
  <c r="S148" i="34"/>
  <c r="S149" i="34"/>
  <c r="S150" i="34"/>
  <c r="S151" i="34"/>
  <c r="S152" i="34"/>
  <c r="S153" i="34"/>
  <c r="S154" i="34"/>
  <c r="S155" i="34"/>
  <c r="S156" i="34"/>
  <c r="S157" i="34"/>
  <c r="S158" i="34"/>
  <c r="S159" i="34"/>
  <c r="S160" i="34"/>
  <c r="S161" i="34"/>
  <c r="S162" i="34"/>
  <c r="S163" i="34"/>
  <c r="S164" i="34"/>
  <c r="S165" i="34"/>
  <c r="S166" i="34"/>
  <c r="S167" i="34"/>
  <c r="S168" i="34"/>
  <c r="S169" i="34"/>
  <c r="S170" i="34"/>
  <c r="S171" i="34"/>
  <c r="S172" i="34"/>
  <c r="S173" i="34"/>
  <c r="S174" i="34"/>
  <c r="S175" i="34"/>
  <c r="S176" i="34"/>
  <c r="S177" i="34"/>
  <c r="S178" i="34"/>
  <c r="S179" i="34"/>
  <c r="S180" i="34"/>
  <c r="S181" i="34"/>
  <c r="S182" i="34"/>
  <c r="S183" i="34"/>
  <c r="S184" i="34"/>
  <c r="S185" i="34"/>
  <c r="S186" i="34"/>
  <c r="S187" i="34"/>
  <c r="S188" i="34"/>
  <c r="S189" i="34"/>
  <c r="S190" i="34"/>
  <c r="S191" i="34"/>
  <c r="S192" i="34"/>
  <c r="S193" i="34"/>
  <c r="S194" i="34"/>
  <c r="S195" i="34"/>
  <c r="S196" i="34"/>
  <c r="S197" i="34"/>
  <c r="S198" i="34"/>
  <c r="S199" i="34"/>
  <c r="S200" i="34"/>
  <c r="S201" i="34"/>
  <c r="S202" i="34"/>
  <c r="S203" i="34"/>
  <c r="S204" i="34"/>
  <c r="S205" i="34"/>
  <c r="S206" i="34"/>
  <c r="S207" i="34"/>
  <c r="S208" i="34"/>
  <c r="S209" i="34"/>
  <c r="S210" i="34"/>
  <c r="S211" i="34"/>
  <c r="S212" i="34"/>
  <c r="S213" i="34"/>
  <c r="S214" i="34"/>
  <c r="S215" i="34"/>
  <c r="S216" i="34"/>
  <c r="S217" i="34"/>
  <c r="S218" i="34"/>
  <c r="S219" i="34"/>
  <c r="S220" i="34"/>
  <c r="S221" i="34"/>
  <c r="S222" i="34"/>
  <c r="S223" i="34"/>
  <c r="S224" i="34"/>
  <c r="S225" i="34"/>
  <c r="S226" i="34"/>
  <c r="S227" i="34"/>
  <c r="S228" i="34"/>
  <c r="S229" i="34"/>
  <c r="S230" i="34"/>
  <c r="S231" i="34"/>
  <c r="S232" i="34"/>
  <c r="S233" i="34"/>
  <c r="S234" i="34"/>
  <c r="S235" i="34"/>
  <c r="S236" i="34"/>
  <c r="S237" i="34"/>
  <c r="S238" i="34"/>
  <c r="S239" i="34"/>
  <c r="S240" i="34"/>
  <c r="S241" i="34"/>
  <c r="S242" i="34"/>
  <c r="S243" i="34"/>
  <c r="S244" i="34"/>
  <c r="S245" i="34"/>
  <c r="S246" i="34"/>
  <c r="S247" i="34"/>
  <c r="S248" i="34"/>
  <c r="S249" i="34"/>
  <c r="S250" i="34"/>
  <c r="S251" i="34"/>
  <c r="S252" i="34"/>
  <c r="S253" i="34"/>
  <c r="S254" i="34"/>
  <c r="S255" i="34"/>
  <c r="S256" i="34"/>
  <c r="S257" i="34"/>
  <c r="S258" i="34"/>
  <c r="S259" i="34"/>
  <c r="S260" i="34"/>
  <c r="S261" i="34"/>
  <c r="S262" i="34"/>
  <c r="S263" i="34"/>
  <c r="S264" i="34"/>
  <c r="S265" i="34"/>
  <c r="S266" i="34"/>
  <c r="S267" i="34"/>
  <c r="S268" i="34"/>
  <c r="S269" i="34"/>
  <c r="S270" i="34"/>
  <c r="S271" i="34"/>
  <c r="S272" i="34"/>
  <c r="S273" i="34"/>
  <c r="S274" i="34"/>
  <c r="S275" i="34"/>
  <c r="S276" i="34"/>
  <c r="S277" i="34"/>
  <c r="S278" i="34"/>
  <c r="S279" i="34"/>
  <c r="S280" i="34"/>
  <c r="S281" i="34"/>
  <c r="S282" i="34"/>
  <c r="S283" i="34"/>
  <c r="S284" i="34"/>
  <c r="S285" i="34"/>
  <c r="S286" i="34"/>
  <c r="S287" i="34"/>
  <c r="S288" i="34"/>
  <c r="S289" i="34"/>
  <c r="S290" i="34"/>
  <c r="S291" i="34"/>
  <c r="S292" i="34"/>
  <c r="S293" i="34"/>
  <c r="S294" i="34"/>
  <c r="S295" i="34"/>
  <c r="S296" i="34"/>
  <c r="S297" i="34"/>
  <c r="S298" i="34"/>
  <c r="S299" i="34"/>
  <c r="S300" i="34"/>
  <c r="S301" i="34"/>
  <c r="S302" i="34"/>
  <c r="S303" i="34"/>
  <c r="S304" i="34"/>
  <c r="S305" i="34"/>
  <c r="S306" i="34"/>
  <c r="S307" i="34"/>
  <c r="S308" i="34"/>
  <c r="S309" i="34"/>
  <c r="S310" i="34"/>
  <c r="S311" i="34"/>
  <c r="S312" i="34"/>
  <c r="S313" i="34"/>
  <c r="S314" i="34"/>
  <c r="S315" i="34"/>
  <c r="S316" i="34"/>
  <c r="S317" i="34"/>
  <c r="S318" i="34"/>
  <c r="S319" i="34"/>
  <c r="S320" i="34"/>
  <c r="S321" i="34"/>
  <c r="S322" i="34"/>
  <c r="S323" i="34"/>
  <c r="S324" i="34"/>
  <c r="S325" i="34"/>
  <c r="S326" i="34"/>
  <c r="S327" i="34"/>
  <c r="S328" i="34"/>
  <c r="S329" i="34"/>
  <c r="S330" i="34"/>
  <c r="S331" i="34"/>
  <c r="S332" i="34"/>
  <c r="S333" i="34"/>
  <c r="S334" i="34"/>
  <c r="S335" i="34"/>
  <c r="S336" i="34"/>
  <c r="S337" i="34"/>
  <c r="S338" i="34"/>
  <c r="S339" i="34"/>
  <c r="S340" i="34"/>
  <c r="S341" i="34"/>
  <c r="S342" i="34"/>
  <c r="S343" i="34"/>
  <c r="S344" i="34"/>
  <c r="S345" i="34"/>
  <c r="S346" i="34"/>
  <c r="S347" i="34"/>
  <c r="S348" i="34"/>
  <c r="S349" i="34"/>
  <c r="S350" i="34"/>
  <c r="S351" i="34"/>
  <c r="S352" i="34"/>
  <c r="S353" i="34"/>
  <c r="S354" i="34"/>
  <c r="S355" i="34"/>
  <c r="S356" i="34"/>
  <c r="S357" i="34"/>
  <c r="S358" i="34"/>
  <c r="S359" i="34"/>
  <c r="S360" i="34"/>
  <c r="S361" i="34"/>
  <c r="S362" i="34"/>
  <c r="S363" i="34"/>
  <c r="S364" i="34"/>
  <c r="S365" i="34"/>
  <c r="S366" i="34"/>
  <c r="S367" i="34"/>
  <c r="S368" i="34"/>
  <c r="S369" i="34"/>
  <c r="S370" i="34"/>
  <c r="S371" i="34"/>
  <c r="S372" i="34"/>
  <c r="S373" i="34"/>
  <c r="S374" i="34"/>
  <c r="S375" i="34"/>
  <c r="S376" i="34"/>
  <c r="S377" i="34"/>
  <c r="S378" i="34"/>
  <c r="S379" i="34"/>
  <c r="S380" i="34"/>
  <c r="S381" i="34"/>
  <c r="S382" i="34"/>
  <c r="S383" i="34"/>
  <c r="S384" i="34"/>
  <c r="S385" i="34"/>
  <c r="S386" i="34"/>
  <c r="S387" i="34"/>
  <c r="S388" i="34"/>
  <c r="S389" i="34"/>
  <c r="S390" i="34"/>
  <c r="S391" i="34"/>
  <c r="S392" i="34"/>
  <c r="S393" i="34"/>
  <c r="S394" i="34"/>
  <c r="S395" i="34"/>
  <c r="S396" i="34"/>
  <c r="S397" i="34"/>
  <c r="S398" i="34"/>
  <c r="S399" i="34"/>
  <c r="S400" i="34"/>
  <c r="S401" i="34"/>
  <c r="S402" i="34"/>
  <c r="S403" i="34"/>
  <c r="S404" i="34"/>
  <c r="S405" i="34"/>
  <c r="S406" i="34"/>
  <c r="S407" i="34"/>
  <c r="S408" i="34"/>
  <c r="S409" i="34"/>
  <c r="S410" i="34"/>
  <c r="S411" i="34"/>
  <c r="S412" i="34"/>
  <c r="S413" i="34"/>
  <c r="S414" i="34"/>
  <c r="S415" i="34"/>
  <c r="S416" i="34"/>
  <c r="S417" i="34"/>
  <c r="S418" i="34"/>
  <c r="S419" i="34"/>
  <c r="S420" i="34"/>
  <c r="S421" i="34"/>
  <c r="S422" i="34"/>
  <c r="S423" i="34"/>
  <c r="S424" i="34"/>
  <c r="S425" i="34"/>
  <c r="S426" i="34"/>
  <c r="S427" i="34"/>
  <c r="S428" i="34"/>
  <c r="S429" i="34"/>
  <c r="S430" i="34"/>
  <c r="S431" i="34"/>
  <c r="S432" i="34"/>
  <c r="S433" i="34"/>
  <c r="S434" i="34"/>
  <c r="S435" i="34"/>
  <c r="S436" i="34"/>
  <c r="S437" i="34"/>
  <c r="S438" i="34"/>
  <c r="S439" i="34"/>
  <c r="S440" i="34"/>
  <c r="S441" i="34"/>
  <c r="S442" i="34"/>
  <c r="S443" i="34"/>
  <c r="S444" i="34"/>
  <c r="S445" i="34"/>
  <c r="S446" i="34"/>
  <c r="S447" i="34"/>
  <c r="S448" i="34"/>
  <c r="S449" i="34"/>
  <c r="S450" i="34"/>
  <c r="S451" i="34"/>
  <c r="S452" i="34"/>
  <c r="S453" i="34"/>
  <c r="S454" i="34"/>
  <c r="S455" i="34"/>
  <c r="S456" i="34"/>
  <c r="S457" i="34"/>
  <c r="S458" i="34"/>
  <c r="S459" i="34"/>
  <c r="S460" i="34"/>
  <c r="S461" i="34"/>
  <c r="S462" i="34"/>
  <c r="S463" i="34"/>
  <c r="S464" i="34"/>
  <c r="S465" i="34"/>
  <c r="S466" i="34"/>
  <c r="S467" i="34"/>
  <c r="S468" i="34"/>
  <c r="S469" i="34"/>
  <c r="S470" i="34"/>
  <c r="S471" i="34"/>
  <c r="S472" i="34"/>
  <c r="S473" i="34"/>
  <c r="S474" i="34"/>
  <c r="S475" i="34"/>
  <c r="S476" i="34"/>
  <c r="S477" i="34"/>
  <c r="S478" i="34"/>
  <c r="S479" i="34"/>
  <c r="S480" i="34"/>
  <c r="S481" i="34"/>
  <c r="S482" i="34"/>
  <c r="S483" i="34"/>
  <c r="S484" i="34"/>
  <c r="S485" i="34"/>
  <c r="S486" i="34"/>
  <c r="S487" i="34"/>
  <c r="S488" i="34"/>
  <c r="S489" i="34"/>
  <c r="S490" i="34"/>
  <c r="S491" i="34"/>
  <c r="S492" i="34"/>
  <c r="S493" i="34"/>
  <c r="S494" i="34"/>
  <c r="S495" i="34"/>
  <c r="S496" i="34"/>
  <c r="S497" i="34"/>
  <c r="S498" i="34"/>
  <c r="S499" i="34"/>
  <c r="S500" i="34"/>
  <c r="S501" i="34"/>
  <c r="S502" i="34"/>
  <c r="S503" i="34"/>
  <c r="S504" i="34"/>
  <c r="S505" i="34"/>
  <c r="S506" i="34"/>
  <c r="S507" i="34"/>
  <c r="S508" i="34"/>
  <c r="S509" i="34"/>
  <c r="S510" i="34"/>
  <c r="S511" i="34"/>
  <c r="S512" i="34"/>
  <c r="S513" i="34"/>
  <c r="S514" i="34"/>
  <c r="S515" i="34"/>
  <c r="S516" i="34"/>
  <c r="S517" i="34"/>
  <c r="S518" i="34"/>
  <c r="S519" i="34"/>
  <c r="S520" i="34"/>
  <c r="S521" i="34"/>
  <c r="S522" i="34"/>
  <c r="S523" i="34"/>
  <c r="S524" i="34"/>
  <c r="S525" i="34"/>
  <c r="S526" i="34"/>
  <c r="S527" i="34"/>
  <c r="S528" i="34"/>
  <c r="S529" i="34"/>
  <c r="S530" i="34"/>
  <c r="S531" i="34"/>
  <c r="S532" i="34"/>
  <c r="S533" i="34"/>
  <c r="S534" i="34"/>
  <c r="S535" i="34"/>
  <c r="S536" i="34"/>
  <c r="S537" i="34"/>
  <c r="S538" i="34"/>
  <c r="S539" i="34"/>
  <c r="S540" i="34"/>
  <c r="S541" i="34"/>
  <c r="S542" i="34"/>
  <c r="S543" i="34"/>
  <c r="S544" i="34"/>
  <c r="S545" i="34"/>
  <c r="S546" i="34"/>
  <c r="S547" i="34"/>
  <c r="S548" i="34"/>
  <c r="S549" i="34"/>
  <c r="S550" i="34"/>
  <c r="S551" i="34"/>
  <c r="S552" i="34"/>
  <c r="S553" i="34"/>
  <c r="S554" i="34"/>
  <c r="S555" i="34"/>
  <c r="S556" i="34"/>
  <c r="S557" i="34"/>
  <c r="S558" i="34"/>
  <c r="S559" i="34"/>
  <c r="S560" i="34"/>
  <c r="S561" i="34"/>
  <c r="S562" i="34"/>
  <c r="S563" i="34"/>
  <c r="S564" i="34"/>
  <c r="S565" i="34"/>
  <c r="S566" i="34"/>
  <c r="S567" i="34"/>
  <c r="S568" i="34"/>
  <c r="S569" i="34"/>
  <c r="S570" i="34"/>
  <c r="S571" i="34"/>
  <c r="S572" i="34"/>
  <c r="S573" i="34"/>
  <c r="S574" i="34"/>
  <c r="S575" i="34"/>
  <c r="S576" i="34"/>
  <c r="S577" i="34"/>
  <c r="S578" i="34"/>
  <c r="S579" i="34"/>
  <c r="S580" i="34"/>
  <c r="S581" i="34"/>
  <c r="S582" i="34"/>
  <c r="S583" i="34"/>
  <c r="S584" i="34"/>
  <c r="S585" i="34"/>
  <c r="S586" i="34"/>
  <c r="S587" i="34"/>
  <c r="S588" i="34"/>
  <c r="S589" i="34"/>
  <c r="S590" i="34"/>
  <c r="S591" i="34"/>
  <c r="S592" i="34"/>
  <c r="S593" i="34"/>
  <c r="S594" i="34"/>
  <c r="S595" i="34"/>
  <c r="S596" i="34"/>
  <c r="S597" i="34"/>
  <c r="S598" i="34"/>
  <c r="S599" i="34"/>
  <c r="S600" i="34"/>
  <c r="S601" i="34"/>
  <c r="S602" i="34"/>
  <c r="S603" i="34"/>
  <c r="S604" i="34"/>
  <c r="S605" i="34"/>
  <c r="S606" i="34"/>
  <c r="S607" i="34"/>
  <c r="S608" i="34"/>
  <c r="S609" i="34"/>
  <c r="S610" i="34"/>
  <c r="S611" i="34"/>
  <c r="S612" i="34"/>
  <c r="S613" i="34"/>
  <c r="S614" i="34"/>
  <c r="S615" i="34"/>
  <c r="S616" i="34"/>
  <c r="S617" i="34"/>
  <c r="S618" i="34"/>
  <c r="S619" i="34"/>
  <c r="S620" i="34"/>
  <c r="S621" i="34"/>
  <c r="S622" i="34"/>
  <c r="S623" i="34"/>
  <c r="S624" i="34"/>
  <c r="S625" i="34"/>
  <c r="S626" i="34"/>
  <c r="S627" i="34"/>
  <c r="S628" i="34"/>
  <c r="S629" i="34"/>
  <c r="S630" i="34"/>
  <c r="S631" i="34"/>
  <c r="S632" i="34"/>
  <c r="S633" i="34"/>
  <c r="S634" i="34"/>
  <c r="S635" i="34"/>
  <c r="S636" i="34"/>
  <c r="S637" i="34"/>
  <c r="S638" i="34"/>
  <c r="S639" i="34"/>
  <c r="S640" i="34"/>
  <c r="S641" i="34"/>
  <c r="S642" i="34"/>
  <c r="S643" i="34"/>
  <c r="S644" i="34"/>
  <c r="S645" i="34"/>
  <c r="S646" i="34"/>
  <c r="S647" i="34"/>
  <c r="S648" i="34"/>
  <c r="S649" i="34"/>
  <c r="S650" i="34"/>
  <c r="S651" i="34"/>
  <c r="S652" i="34"/>
  <c r="S653" i="34"/>
  <c r="S654" i="34"/>
  <c r="S655" i="34"/>
  <c r="S656" i="34"/>
  <c r="S657" i="34"/>
  <c r="S658" i="34"/>
  <c r="S659" i="34"/>
  <c r="S660" i="34"/>
  <c r="S661" i="34"/>
  <c r="S662" i="34"/>
  <c r="S663" i="34"/>
  <c r="S664" i="34"/>
  <c r="S665" i="34"/>
  <c r="S666" i="34"/>
  <c r="S667" i="34"/>
  <c r="S668" i="34"/>
  <c r="S669" i="34"/>
  <c r="S670" i="34"/>
  <c r="S671" i="34"/>
  <c r="S672" i="34"/>
  <c r="S673" i="34"/>
  <c r="S674" i="34"/>
  <c r="P5" i="34"/>
  <c r="P6" i="34"/>
  <c r="P7" i="34"/>
  <c r="P8" i="34"/>
  <c r="N5" i="33" s="1"/>
  <c r="G40" i="33" s="1"/>
  <c r="D21" i="38" s="1"/>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93" i="34"/>
  <c r="P494" i="34"/>
  <c r="P495" i="34"/>
  <c r="P496" i="34"/>
  <c r="P497" i="34"/>
  <c r="P498" i="34"/>
  <c r="P499" i="34"/>
  <c r="P500" i="34"/>
  <c r="P501" i="34"/>
  <c r="P502" i="34"/>
  <c r="P503" i="34"/>
  <c r="P504" i="34"/>
  <c r="P505" i="34"/>
  <c r="P506" i="34"/>
  <c r="P507" i="34"/>
  <c r="P508" i="34"/>
  <c r="P509" i="34"/>
  <c r="P510" i="34"/>
  <c r="P511" i="34"/>
  <c r="P512" i="34"/>
  <c r="P513" i="34"/>
  <c r="P514" i="34"/>
  <c r="P515" i="34"/>
  <c r="P516" i="34"/>
  <c r="P517" i="34"/>
  <c r="P518" i="34"/>
  <c r="P519" i="34"/>
  <c r="P520" i="34"/>
  <c r="P521" i="34"/>
  <c r="P522" i="34"/>
  <c r="P523" i="34"/>
  <c r="P524" i="34"/>
  <c r="P525" i="34"/>
  <c r="P526" i="34"/>
  <c r="P527" i="34"/>
  <c r="P528" i="34"/>
  <c r="P529" i="34"/>
  <c r="P530" i="34"/>
  <c r="P531" i="34"/>
  <c r="P532" i="34"/>
  <c r="P533" i="34"/>
  <c r="P534" i="34"/>
  <c r="P535" i="34"/>
  <c r="P536" i="34"/>
  <c r="P537" i="34"/>
  <c r="P538" i="34"/>
  <c r="P539" i="34"/>
  <c r="P540" i="34"/>
  <c r="P541" i="34"/>
  <c r="P542" i="34"/>
  <c r="P543" i="34"/>
  <c r="P544" i="34"/>
  <c r="P545" i="34"/>
  <c r="P546" i="34"/>
  <c r="P547" i="34"/>
  <c r="P548" i="34"/>
  <c r="P549" i="34"/>
  <c r="P550" i="34"/>
  <c r="P551" i="34"/>
  <c r="P552" i="34"/>
  <c r="P553" i="34"/>
  <c r="P554" i="34"/>
  <c r="P555" i="34"/>
  <c r="P556" i="34"/>
  <c r="P557" i="34"/>
  <c r="P558" i="34"/>
  <c r="P559" i="34"/>
  <c r="P560" i="34"/>
  <c r="P561" i="34"/>
  <c r="P562" i="34"/>
  <c r="P563" i="34"/>
  <c r="P564" i="34"/>
  <c r="P565" i="34"/>
  <c r="P566" i="34"/>
  <c r="P567" i="34"/>
  <c r="P568" i="34"/>
  <c r="P569" i="34"/>
  <c r="P570" i="34"/>
  <c r="P571" i="34"/>
  <c r="P572" i="34"/>
  <c r="P573" i="34"/>
  <c r="P574" i="34"/>
  <c r="P575" i="34"/>
  <c r="P576" i="34"/>
  <c r="P577" i="34"/>
  <c r="P578" i="34"/>
  <c r="P579" i="34"/>
  <c r="P580" i="34"/>
  <c r="P581" i="34"/>
  <c r="P582" i="34"/>
  <c r="P583" i="34"/>
  <c r="P584" i="34"/>
  <c r="P585" i="34"/>
  <c r="P586" i="34"/>
  <c r="P587" i="34"/>
  <c r="P588" i="34"/>
  <c r="P589" i="34"/>
  <c r="P590" i="34"/>
  <c r="P591" i="34"/>
  <c r="P592" i="34"/>
  <c r="P593" i="34"/>
  <c r="P594" i="34"/>
  <c r="P595" i="34"/>
  <c r="P596" i="34"/>
  <c r="P597" i="34"/>
  <c r="P598" i="34"/>
  <c r="P599" i="34"/>
  <c r="P600" i="34"/>
  <c r="P601" i="34"/>
  <c r="P602" i="34"/>
  <c r="P603" i="34"/>
  <c r="P604" i="34"/>
  <c r="P605" i="34"/>
  <c r="P606" i="34"/>
  <c r="P607" i="34"/>
  <c r="P608" i="34"/>
  <c r="P609" i="34"/>
  <c r="P610" i="34"/>
  <c r="P611" i="34"/>
  <c r="P612" i="34"/>
  <c r="P613" i="34"/>
  <c r="P614" i="34"/>
  <c r="P615" i="34"/>
  <c r="P616" i="34"/>
  <c r="P617" i="34"/>
  <c r="P618" i="34"/>
  <c r="P619" i="34"/>
  <c r="P620" i="34"/>
  <c r="P621" i="34"/>
  <c r="P622" i="34"/>
  <c r="P623" i="34"/>
  <c r="P624" i="34"/>
  <c r="P625" i="34"/>
  <c r="P626" i="34"/>
  <c r="P627" i="34"/>
  <c r="P628" i="34"/>
  <c r="P629" i="34"/>
  <c r="P630" i="34"/>
  <c r="P631" i="34"/>
  <c r="P632" i="34"/>
  <c r="P633" i="34"/>
  <c r="P634" i="34"/>
  <c r="P635" i="34"/>
  <c r="P636" i="34"/>
  <c r="P637" i="34"/>
  <c r="P638" i="34"/>
  <c r="P639" i="34"/>
  <c r="P640" i="34"/>
  <c r="P641" i="34"/>
  <c r="P642" i="34"/>
  <c r="P643" i="34"/>
  <c r="P644" i="34"/>
  <c r="P645" i="34"/>
  <c r="P646" i="34"/>
  <c r="P647" i="34"/>
  <c r="P648" i="34"/>
  <c r="P649" i="34"/>
  <c r="P650" i="34"/>
  <c r="P651" i="34"/>
  <c r="P652" i="34"/>
  <c r="P653" i="34"/>
  <c r="P654" i="34"/>
  <c r="P655" i="34"/>
  <c r="P656" i="34"/>
  <c r="P657" i="34"/>
  <c r="P658" i="34"/>
  <c r="P659" i="34"/>
  <c r="P660" i="34"/>
  <c r="P661" i="34"/>
  <c r="P662" i="34"/>
  <c r="P663" i="34"/>
  <c r="P664" i="34"/>
  <c r="P665" i="34"/>
  <c r="P666" i="34"/>
  <c r="P667" i="34"/>
  <c r="P668" i="34"/>
  <c r="P669" i="34"/>
  <c r="P670" i="34"/>
  <c r="P671" i="34"/>
  <c r="P672" i="34"/>
  <c r="P673" i="34"/>
  <c r="P674" i="34"/>
  <c r="P675" i="34"/>
  <c r="P676" i="34"/>
  <c r="M5" i="34"/>
  <c r="M6" i="34"/>
  <c r="M7" i="34"/>
  <c r="M8" i="34"/>
  <c r="K5" i="33" s="1"/>
  <c r="F40" i="33" s="1"/>
  <c r="D21" i="37" s="1"/>
  <c r="M9" i="34"/>
  <c r="M10" i="34"/>
  <c r="M11" i="34"/>
  <c r="M12" i="34"/>
  <c r="M13" i="34"/>
  <c r="M14" i="34"/>
  <c r="M15" i="34"/>
  <c r="M16" i="34"/>
  <c r="M17" i="34"/>
  <c r="K6" i="33" s="1"/>
  <c r="M18" i="34"/>
  <c r="M19" i="34"/>
  <c r="M20" i="34"/>
  <c r="M21" i="34"/>
  <c r="M22" i="34"/>
  <c r="M23" i="34"/>
  <c r="M24" i="34"/>
  <c r="M25" i="34"/>
  <c r="M26" i="34"/>
  <c r="M27" i="34"/>
  <c r="M28" i="34"/>
  <c r="M29" i="34"/>
  <c r="M30" i="34"/>
  <c r="M31" i="34"/>
  <c r="M32" i="34"/>
  <c r="K7" i="33" s="1"/>
  <c r="M33" i="34"/>
  <c r="M34" i="34"/>
  <c r="M35" i="34"/>
  <c r="M36" i="34"/>
  <c r="M37" i="34"/>
  <c r="M38" i="34"/>
  <c r="M39" i="34"/>
  <c r="M40" i="34"/>
  <c r="M41" i="34"/>
  <c r="M42" i="34"/>
  <c r="M43" i="34"/>
  <c r="M44" i="34"/>
  <c r="M45" i="34"/>
  <c r="M46" i="34"/>
  <c r="M47" i="34"/>
  <c r="M48" i="34"/>
  <c r="M49" i="34"/>
  <c r="M50" i="34"/>
  <c r="M51" i="34"/>
  <c r="M52" i="34"/>
  <c r="M53" i="34"/>
  <c r="M54" i="34"/>
  <c r="M55" i="34"/>
  <c r="M56" i="34"/>
  <c r="M57" i="34"/>
  <c r="M58" i="34"/>
  <c r="M59" i="34"/>
  <c r="M60" i="34"/>
  <c r="M61" i="34"/>
  <c r="M62" i="34"/>
  <c r="K8" i="33" s="1"/>
  <c r="M63" i="34"/>
  <c r="M64" i="34"/>
  <c r="M65" i="34"/>
  <c r="M66" i="34"/>
  <c r="M67" i="34"/>
  <c r="M68" i="34"/>
  <c r="M69" i="34"/>
  <c r="M70" i="34"/>
  <c r="M71" i="34"/>
  <c r="M72" i="34"/>
  <c r="M73" i="34"/>
  <c r="M74" i="34"/>
  <c r="M75" i="34"/>
  <c r="M76" i="34"/>
  <c r="M77" i="34"/>
  <c r="M78" i="34"/>
  <c r="M79" i="34"/>
  <c r="M80" i="34"/>
  <c r="M81" i="34"/>
  <c r="M82" i="34"/>
  <c r="M83" i="34"/>
  <c r="M84" i="34"/>
  <c r="M85" i="34"/>
  <c r="M86" i="34"/>
  <c r="M87" i="34"/>
  <c r="M88" i="34"/>
  <c r="M89" i="34"/>
  <c r="M90" i="34"/>
  <c r="M91" i="34"/>
  <c r="M92" i="34"/>
  <c r="M93" i="34"/>
  <c r="M94" i="34"/>
  <c r="M95" i="34"/>
  <c r="M96" i="34"/>
  <c r="M97" i="34"/>
  <c r="M98" i="34"/>
  <c r="M99" i="34"/>
  <c r="M100" i="34"/>
  <c r="M101" i="34"/>
  <c r="M102" i="34"/>
  <c r="M103" i="34"/>
  <c r="M104" i="34"/>
  <c r="M105" i="34"/>
  <c r="M106" i="34"/>
  <c r="M107" i="34"/>
  <c r="M108" i="34"/>
  <c r="M109" i="34"/>
  <c r="M110" i="34"/>
  <c r="M111" i="34"/>
  <c r="M112" i="34"/>
  <c r="M113" i="34"/>
  <c r="M114" i="34"/>
  <c r="M115" i="34"/>
  <c r="M116" i="34"/>
  <c r="M117" i="34"/>
  <c r="M118" i="34"/>
  <c r="M119" i="34"/>
  <c r="M120" i="34"/>
  <c r="M121" i="34"/>
  <c r="K9" i="33" s="1"/>
  <c r="M122" i="34"/>
  <c r="M123" i="34"/>
  <c r="M124" i="34"/>
  <c r="M125" i="34"/>
  <c r="M126" i="34"/>
  <c r="M127" i="34"/>
  <c r="M128" i="34"/>
  <c r="M129" i="34"/>
  <c r="M130" i="34"/>
  <c r="M131" i="34"/>
  <c r="M132" i="34"/>
  <c r="M133" i="34"/>
  <c r="M134" i="34"/>
  <c r="M135" i="34"/>
  <c r="M136" i="34"/>
  <c r="M137" i="34"/>
  <c r="M138" i="34"/>
  <c r="M139" i="34"/>
  <c r="M140" i="34"/>
  <c r="M141" i="34"/>
  <c r="M142" i="34"/>
  <c r="M143" i="34"/>
  <c r="M144" i="34"/>
  <c r="M145" i="34"/>
  <c r="M146" i="34"/>
  <c r="M147" i="34"/>
  <c r="M148" i="34"/>
  <c r="M149" i="34"/>
  <c r="M150" i="34"/>
  <c r="M151" i="34"/>
  <c r="M152" i="34"/>
  <c r="M153" i="34"/>
  <c r="M154" i="34"/>
  <c r="M155" i="34"/>
  <c r="M156" i="34"/>
  <c r="M157" i="34"/>
  <c r="M158" i="34"/>
  <c r="M159" i="34"/>
  <c r="M160" i="34"/>
  <c r="M161" i="34"/>
  <c r="M162" i="34"/>
  <c r="M163" i="34"/>
  <c r="M164" i="34"/>
  <c r="M165" i="34"/>
  <c r="M166" i="34"/>
  <c r="M167" i="34"/>
  <c r="M168" i="34"/>
  <c r="M169" i="34"/>
  <c r="M170" i="34"/>
  <c r="M171" i="34"/>
  <c r="M172" i="34"/>
  <c r="M173" i="34"/>
  <c r="M174" i="34"/>
  <c r="M175" i="34"/>
  <c r="M176" i="34"/>
  <c r="M177" i="34"/>
  <c r="M178" i="34"/>
  <c r="M179" i="34"/>
  <c r="M180" i="34"/>
  <c r="M181" i="34"/>
  <c r="K10" i="33" s="1"/>
  <c r="M182" i="34"/>
  <c r="M183" i="34"/>
  <c r="M184" i="34"/>
  <c r="M185" i="34"/>
  <c r="M186" i="34"/>
  <c r="M187" i="34"/>
  <c r="M188" i="34"/>
  <c r="M189" i="34"/>
  <c r="M190" i="34"/>
  <c r="M191" i="34"/>
  <c r="M192" i="34"/>
  <c r="M193" i="34"/>
  <c r="M194" i="34"/>
  <c r="M195" i="34"/>
  <c r="M196" i="34"/>
  <c r="M197" i="34"/>
  <c r="M198" i="34"/>
  <c r="M199" i="34"/>
  <c r="M200" i="34"/>
  <c r="M201" i="34"/>
  <c r="M202" i="34"/>
  <c r="M203" i="34"/>
  <c r="M204" i="34"/>
  <c r="M205" i="34"/>
  <c r="M206" i="34"/>
  <c r="M207" i="34"/>
  <c r="M208" i="34"/>
  <c r="M209" i="34"/>
  <c r="M210" i="34"/>
  <c r="M211" i="34"/>
  <c r="M212" i="34"/>
  <c r="M213" i="34"/>
  <c r="M214" i="34"/>
  <c r="M215" i="34"/>
  <c r="M216" i="34"/>
  <c r="M217" i="34"/>
  <c r="M218" i="34"/>
  <c r="M219" i="34"/>
  <c r="M220" i="34"/>
  <c r="M221" i="34"/>
  <c r="M222" i="34"/>
  <c r="M223" i="34"/>
  <c r="M224" i="34"/>
  <c r="M225" i="34"/>
  <c r="M226" i="34"/>
  <c r="M227" i="34"/>
  <c r="M228" i="34"/>
  <c r="M229" i="34"/>
  <c r="M230" i="34"/>
  <c r="M231" i="34"/>
  <c r="M232" i="34"/>
  <c r="M233" i="34"/>
  <c r="M234" i="34"/>
  <c r="M235" i="34"/>
  <c r="M236" i="34"/>
  <c r="M237" i="34"/>
  <c r="M238" i="34"/>
  <c r="M239" i="34"/>
  <c r="M240" i="34"/>
  <c r="M241" i="34"/>
  <c r="M242" i="34"/>
  <c r="K11" i="33" s="1"/>
  <c r="M243" i="34"/>
  <c r="M244" i="34"/>
  <c r="M245" i="34"/>
  <c r="M246" i="34"/>
  <c r="M247" i="34"/>
  <c r="M248" i="34"/>
  <c r="M249" i="34"/>
  <c r="M250" i="34"/>
  <c r="M251" i="34"/>
  <c r="M252" i="34"/>
  <c r="M253" i="34"/>
  <c r="M254" i="34"/>
  <c r="M255" i="34"/>
  <c r="M256" i="34"/>
  <c r="M257" i="34"/>
  <c r="M258" i="34"/>
  <c r="M259" i="34"/>
  <c r="M260" i="34"/>
  <c r="M261" i="34"/>
  <c r="M262" i="34"/>
  <c r="M263" i="34"/>
  <c r="M264" i="34"/>
  <c r="M265" i="34"/>
  <c r="M266" i="34"/>
  <c r="M267" i="34"/>
  <c r="M268" i="34"/>
  <c r="M269" i="34"/>
  <c r="M270" i="34"/>
  <c r="M271" i="34"/>
  <c r="M272" i="34"/>
  <c r="M273" i="34"/>
  <c r="M274" i="34"/>
  <c r="M275" i="34"/>
  <c r="M276" i="34"/>
  <c r="M277" i="34"/>
  <c r="M278" i="34"/>
  <c r="M279" i="34"/>
  <c r="M280" i="34"/>
  <c r="M281" i="34"/>
  <c r="M282" i="34"/>
  <c r="M283" i="34"/>
  <c r="M284" i="34"/>
  <c r="M285" i="34"/>
  <c r="M286" i="34"/>
  <c r="M287" i="34"/>
  <c r="M288" i="34"/>
  <c r="M289" i="34"/>
  <c r="M290" i="34"/>
  <c r="M291" i="34"/>
  <c r="M292" i="34"/>
  <c r="M293" i="34"/>
  <c r="M294" i="34"/>
  <c r="M295" i="34"/>
  <c r="M296" i="34"/>
  <c r="M297" i="34"/>
  <c r="M298" i="34"/>
  <c r="M299" i="34"/>
  <c r="M300" i="34"/>
  <c r="M301" i="34"/>
  <c r="M302" i="34"/>
  <c r="M303" i="34"/>
  <c r="M304" i="34"/>
  <c r="M305" i="34"/>
  <c r="M306" i="34"/>
  <c r="M307" i="34"/>
  <c r="M308" i="34"/>
  <c r="M309" i="34"/>
  <c r="M310" i="34"/>
  <c r="M311" i="34"/>
  <c r="M312" i="34"/>
  <c r="M313" i="34"/>
  <c r="M314" i="34"/>
  <c r="M315" i="34"/>
  <c r="M316" i="34"/>
  <c r="M317" i="34"/>
  <c r="M318" i="34"/>
  <c r="M319" i="34"/>
  <c r="M320" i="34"/>
  <c r="M321" i="34"/>
  <c r="M322" i="34"/>
  <c r="M323" i="34"/>
  <c r="M324" i="34"/>
  <c r="M325" i="34"/>
  <c r="M326" i="34"/>
  <c r="M327" i="34"/>
  <c r="M328" i="34"/>
  <c r="M329" i="34"/>
  <c r="M330" i="34"/>
  <c r="M331" i="34"/>
  <c r="M332" i="34"/>
  <c r="M333" i="34"/>
  <c r="M334" i="34"/>
  <c r="M335" i="34"/>
  <c r="M336" i="34"/>
  <c r="M337" i="34"/>
  <c r="M338" i="34"/>
  <c r="M339" i="34"/>
  <c r="M340" i="34"/>
  <c r="M341" i="34"/>
  <c r="M342" i="34"/>
  <c r="M343" i="34"/>
  <c r="M344" i="34"/>
  <c r="M345" i="34"/>
  <c r="M346" i="34"/>
  <c r="M347" i="34"/>
  <c r="M348" i="34"/>
  <c r="M349" i="34"/>
  <c r="M350" i="34"/>
  <c r="M351" i="34"/>
  <c r="M352" i="34"/>
  <c r="M353" i="34"/>
  <c r="M354" i="34"/>
  <c r="M355" i="34"/>
  <c r="M356" i="34"/>
  <c r="M357" i="34"/>
  <c r="M358" i="34"/>
  <c r="M359" i="34"/>
  <c r="M360" i="34"/>
  <c r="M361" i="34"/>
  <c r="M362" i="34"/>
  <c r="K12" i="33" s="1"/>
  <c r="M363" i="34"/>
  <c r="M364" i="34"/>
  <c r="M365" i="34"/>
  <c r="M366" i="34"/>
  <c r="M367" i="34"/>
  <c r="M368" i="34"/>
  <c r="M369" i="34"/>
  <c r="M370" i="34"/>
  <c r="M371" i="34"/>
  <c r="M372" i="34"/>
  <c r="M373" i="34"/>
  <c r="M374" i="34"/>
  <c r="M375" i="34"/>
  <c r="M376" i="34"/>
  <c r="M377" i="34"/>
  <c r="M378" i="34"/>
  <c r="M379" i="34"/>
  <c r="M380" i="34"/>
  <c r="M381" i="34"/>
  <c r="M382" i="34"/>
  <c r="M383" i="34"/>
  <c r="M384" i="34"/>
  <c r="M385" i="34"/>
  <c r="M386" i="34"/>
  <c r="M387" i="34"/>
  <c r="M388" i="34"/>
  <c r="M389" i="34"/>
  <c r="M390" i="34"/>
  <c r="M391" i="34"/>
  <c r="M392" i="34"/>
  <c r="M393" i="34"/>
  <c r="M394" i="34"/>
  <c r="M395" i="34"/>
  <c r="M396" i="34"/>
  <c r="M397" i="34"/>
  <c r="M398" i="34"/>
  <c r="M399" i="34"/>
  <c r="M400" i="34"/>
  <c r="M401" i="34"/>
  <c r="M402" i="34"/>
  <c r="M403" i="34"/>
  <c r="M404" i="34"/>
  <c r="M405" i="34"/>
  <c r="M406" i="34"/>
  <c r="M407" i="34"/>
  <c r="M408" i="34"/>
  <c r="M409" i="34"/>
  <c r="M410" i="34"/>
  <c r="M411" i="34"/>
  <c r="M412" i="34"/>
  <c r="M413" i="34"/>
  <c r="M414" i="34"/>
  <c r="M415" i="34"/>
  <c r="M416" i="34"/>
  <c r="M417" i="34"/>
  <c r="M418" i="34"/>
  <c r="M419" i="34"/>
  <c r="M420" i="34"/>
  <c r="M421" i="34"/>
  <c r="M422" i="34"/>
  <c r="M423" i="34"/>
  <c r="M424" i="34"/>
  <c r="M425" i="34"/>
  <c r="M426" i="34"/>
  <c r="M427" i="34"/>
  <c r="M428" i="34"/>
  <c r="M429" i="34"/>
  <c r="M430" i="34"/>
  <c r="M431" i="34"/>
  <c r="M432" i="34"/>
  <c r="M433" i="34"/>
  <c r="M434" i="34"/>
  <c r="M435" i="34"/>
  <c r="M436" i="34"/>
  <c r="M437" i="34"/>
  <c r="M438" i="34"/>
  <c r="M439" i="34"/>
  <c r="M440" i="34"/>
  <c r="M441" i="34"/>
  <c r="M442" i="34"/>
  <c r="M443" i="34"/>
  <c r="M444" i="34"/>
  <c r="M445" i="34"/>
  <c r="M446" i="34"/>
  <c r="M447" i="34"/>
  <c r="M448" i="34"/>
  <c r="M449" i="34"/>
  <c r="M450" i="34"/>
  <c r="M451" i="34"/>
  <c r="M452" i="34"/>
  <c r="M453" i="34"/>
  <c r="M454" i="34"/>
  <c r="M455" i="34"/>
  <c r="M456" i="34"/>
  <c r="M457" i="34"/>
  <c r="M458" i="34"/>
  <c r="M459" i="34"/>
  <c r="M460" i="34"/>
  <c r="M461" i="34"/>
  <c r="M462" i="34"/>
  <c r="M463" i="34"/>
  <c r="M464" i="34"/>
  <c r="M465" i="34"/>
  <c r="M466" i="34"/>
  <c r="M467" i="34"/>
  <c r="M468" i="34"/>
  <c r="M469" i="34"/>
  <c r="M470" i="34"/>
  <c r="M471" i="34"/>
  <c r="M472" i="34"/>
  <c r="M473" i="34"/>
  <c r="M474" i="34"/>
  <c r="M475" i="34"/>
  <c r="M476" i="34"/>
  <c r="M477" i="34"/>
  <c r="M478" i="34"/>
  <c r="M479" i="34"/>
  <c r="M480" i="34"/>
  <c r="M481" i="34"/>
  <c r="M482" i="34"/>
  <c r="M483" i="34"/>
  <c r="M484" i="34"/>
  <c r="M485" i="34"/>
  <c r="M486" i="34"/>
  <c r="M487" i="34"/>
  <c r="M488" i="34"/>
  <c r="M489" i="34"/>
  <c r="M490" i="34"/>
  <c r="M491" i="34"/>
  <c r="M492" i="34"/>
  <c r="M493" i="34"/>
  <c r="M494" i="34"/>
  <c r="M495" i="34"/>
  <c r="M496" i="34"/>
  <c r="M497" i="34"/>
  <c r="M498" i="34"/>
  <c r="M499" i="34"/>
  <c r="M500" i="34"/>
  <c r="M501" i="34"/>
  <c r="M502" i="34"/>
  <c r="M503" i="34"/>
  <c r="M504" i="34"/>
  <c r="M505" i="34"/>
  <c r="M506" i="34"/>
  <c r="M507" i="34"/>
  <c r="M508" i="34"/>
  <c r="M509" i="34"/>
  <c r="M510" i="34"/>
  <c r="M511" i="34"/>
  <c r="M512" i="34"/>
  <c r="M513" i="34"/>
  <c r="M514" i="34"/>
  <c r="M515" i="34"/>
  <c r="M516" i="34"/>
  <c r="M517" i="34"/>
  <c r="M518" i="34"/>
  <c r="M519" i="34"/>
  <c r="M520" i="34"/>
  <c r="M521" i="34"/>
  <c r="M522" i="34"/>
  <c r="M523" i="34"/>
  <c r="M524" i="34"/>
  <c r="M525" i="34"/>
  <c r="M526" i="34"/>
  <c r="M527" i="34"/>
  <c r="M528" i="34"/>
  <c r="M529" i="34"/>
  <c r="M530" i="34"/>
  <c r="M531" i="34"/>
  <c r="M532" i="34"/>
  <c r="M533" i="34"/>
  <c r="M534" i="34"/>
  <c r="M535" i="34"/>
  <c r="M536" i="34"/>
  <c r="M537" i="34"/>
  <c r="M538" i="34"/>
  <c r="M539" i="34"/>
  <c r="M540" i="34"/>
  <c r="M541" i="34"/>
  <c r="M542" i="34"/>
  <c r="K13" i="33" s="1"/>
  <c r="M543" i="34"/>
  <c r="M544" i="34"/>
  <c r="M545" i="34"/>
  <c r="M546" i="34"/>
  <c r="M547" i="34"/>
  <c r="M548" i="34"/>
  <c r="M549" i="34"/>
  <c r="M550" i="34"/>
  <c r="M551" i="34"/>
  <c r="M552" i="34"/>
  <c r="M553" i="34"/>
  <c r="M554" i="34"/>
  <c r="M555" i="34"/>
  <c r="M556" i="34"/>
  <c r="M557" i="34"/>
  <c r="M558" i="34"/>
  <c r="M559" i="34"/>
  <c r="M560" i="34"/>
  <c r="M561" i="34"/>
  <c r="M562" i="34"/>
  <c r="M563" i="34"/>
  <c r="M564" i="34"/>
  <c r="M565" i="34"/>
  <c r="M566" i="34"/>
  <c r="M567" i="34"/>
  <c r="M568" i="34"/>
  <c r="M569" i="34"/>
  <c r="M570" i="34"/>
  <c r="M571" i="34"/>
  <c r="M572" i="34"/>
  <c r="M573" i="34"/>
  <c r="M574" i="34"/>
  <c r="M575" i="34"/>
  <c r="M576" i="34"/>
  <c r="M577" i="34"/>
  <c r="M578" i="34"/>
  <c r="M579" i="34"/>
  <c r="M580" i="34"/>
  <c r="M581" i="34"/>
  <c r="M582" i="34"/>
  <c r="M583" i="34"/>
  <c r="M584" i="34"/>
  <c r="M585" i="34"/>
  <c r="M586" i="34"/>
  <c r="M587" i="34"/>
  <c r="M588" i="34"/>
  <c r="M589" i="34"/>
  <c r="M590" i="34"/>
  <c r="M591" i="34"/>
  <c r="M592" i="34"/>
  <c r="M593" i="34"/>
  <c r="M594" i="34"/>
  <c r="M595" i="34"/>
  <c r="M596" i="34"/>
  <c r="M597" i="34"/>
  <c r="M598" i="34"/>
  <c r="M599" i="34"/>
  <c r="M600" i="34"/>
  <c r="M601" i="34"/>
  <c r="M602" i="34"/>
  <c r="M603" i="34"/>
  <c r="M604" i="34"/>
  <c r="M605" i="34"/>
  <c r="M606" i="34"/>
  <c r="M607" i="34"/>
  <c r="M608" i="34"/>
  <c r="M609" i="34"/>
  <c r="M610" i="34"/>
  <c r="M611" i="34"/>
  <c r="M612" i="34"/>
  <c r="M613" i="34"/>
  <c r="M614" i="34"/>
  <c r="M615" i="34"/>
  <c r="M616" i="34"/>
  <c r="M617" i="34"/>
  <c r="M618" i="34"/>
  <c r="M619" i="34"/>
  <c r="M620" i="34"/>
  <c r="M621" i="34"/>
  <c r="M622" i="34"/>
  <c r="M623" i="34"/>
  <c r="M624" i="34"/>
  <c r="M625" i="34"/>
  <c r="M626" i="34"/>
  <c r="M627" i="34"/>
  <c r="M628" i="34"/>
  <c r="M629" i="34"/>
  <c r="M630" i="34"/>
  <c r="M631" i="34"/>
  <c r="M632" i="34"/>
  <c r="M633" i="34"/>
  <c r="M634" i="34"/>
  <c r="M635" i="34"/>
  <c r="M636" i="34"/>
  <c r="M637" i="34"/>
  <c r="M638" i="34"/>
  <c r="M639" i="34"/>
  <c r="M640" i="34"/>
  <c r="M641" i="34"/>
  <c r="M642" i="34"/>
  <c r="M643" i="34"/>
  <c r="M644" i="34"/>
  <c r="M645" i="34"/>
  <c r="M646" i="34"/>
  <c r="M647" i="34"/>
  <c r="M648" i="34"/>
  <c r="M649" i="34"/>
  <c r="M650" i="34"/>
  <c r="M651" i="34"/>
  <c r="M652" i="34"/>
  <c r="M653" i="34"/>
  <c r="M654" i="34"/>
  <c r="M655" i="34"/>
  <c r="M656" i="34"/>
  <c r="M657" i="34"/>
  <c r="M658" i="34"/>
  <c r="M659" i="34"/>
  <c r="M660" i="34"/>
  <c r="M661" i="34"/>
  <c r="M662" i="34"/>
  <c r="M663" i="34"/>
  <c r="M664" i="34"/>
  <c r="M665" i="34"/>
  <c r="M666" i="34"/>
  <c r="M667" i="34"/>
  <c r="M668" i="34"/>
  <c r="M669" i="34"/>
  <c r="M670" i="34"/>
  <c r="M671" i="34"/>
  <c r="M672" i="34"/>
  <c r="M673" i="34"/>
  <c r="M674" i="34"/>
  <c r="M675" i="34"/>
  <c r="M676" i="34"/>
  <c r="J5" i="34"/>
  <c r="J6" i="34"/>
  <c r="J7" i="34"/>
  <c r="J8" i="34"/>
  <c r="E40" i="33" s="1"/>
  <c r="D21" i="36" s="1"/>
  <c r="J9" i="34"/>
  <c r="J10" i="34"/>
  <c r="J11" i="34"/>
  <c r="J12" i="34"/>
  <c r="J13" i="34"/>
  <c r="J14" i="34"/>
  <c r="J15" i="34"/>
  <c r="J17" i="34"/>
  <c r="J18" i="34"/>
  <c r="J19" i="34"/>
  <c r="J20" i="34"/>
  <c r="J21" i="34"/>
  <c r="J22" i="34"/>
  <c r="J23" i="34"/>
  <c r="J24" i="34"/>
  <c r="J25" i="34"/>
  <c r="J26" i="34"/>
  <c r="J27" i="34"/>
  <c r="J28" i="34"/>
  <c r="J29" i="34"/>
  <c r="J30" i="34"/>
  <c r="J31" i="34"/>
  <c r="J32" i="34"/>
  <c r="J33" i="34"/>
  <c r="J34" i="34"/>
  <c r="J35" i="34"/>
  <c r="J36" i="34"/>
  <c r="J37" i="34"/>
  <c r="J38" i="34"/>
  <c r="J39" i="34"/>
  <c r="J40" i="34"/>
  <c r="J41" i="34"/>
  <c r="J42" i="34"/>
  <c r="J43" i="34"/>
  <c r="J44" i="34"/>
  <c r="J45" i="34"/>
  <c r="J46" i="34"/>
  <c r="J47" i="34"/>
  <c r="J48" i="34"/>
  <c r="J49" i="34"/>
  <c r="J50" i="34"/>
  <c r="J51" i="34"/>
  <c r="J52" i="34"/>
  <c r="J53" i="34"/>
  <c r="J54" i="34"/>
  <c r="J55" i="34"/>
  <c r="J56" i="34"/>
  <c r="J57" i="34"/>
  <c r="J58" i="34"/>
  <c r="J59" i="34"/>
  <c r="J60" i="34"/>
  <c r="J61" i="34"/>
  <c r="J62" i="34"/>
  <c r="J63" i="34"/>
  <c r="J64" i="34"/>
  <c r="J65" i="34"/>
  <c r="J66" i="34"/>
  <c r="J67" i="34"/>
  <c r="J68" i="34"/>
  <c r="J69" i="34"/>
  <c r="J70" i="34"/>
  <c r="J71" i="34"/>
  <c r="J72" i="34"/>
  <c r="J73" i="34"/>
  <c r="J74" i="34"/>
  <c r="J75" i="34"/>
  <c r="J76" i="34"/>
  <c r="J77" i="34"/>
  <c r="J78" i="34"/>
  <c r="J79" i="34"/>
  <c r="J80" i="34"/>
  <c r="J81" i="34"/>
  <c r="J82" i="34"/>
  <c r="J83" i="34"/>
  <c r="J84" i="34"/>
  <c r="J85" i="34"/>
  <c r="J86" i="34"/>
  <c r="J87" i="34"/>
  <c r="J88" i="34"/>
  <c r="J89" i="34"/>
  <c r="J90" i="34"/>
  <c r="J91" i="34"/>
  <c r="J92" i="34"/>
  <c r="J93" i="34"/>
  <c r="J94" i="34"/>
  <c r="J95" i="34"/>
  <c r="J96" i="34"/>
  <c r="J97" i="34"/>
  <c r="J98" i="34"/>
  <c r="J99" i="34"/>
  <c r="J100" i="34"/>
  <c r="J101" i="34"/>
  <c r="J102" i="34"/>
  <c r="J103" i="34"/>
  <c r="J104" i="34"/>
  <c r="J105" i="34"/>
  <c r="J106" i="34"/>
  <c r="J107" i="34"/>
  <c r="J108" i="34"/>
  <c r="J109" i="34"/>
  <c r="J110" i="34"/>
  <c r="J111" i="34"/>
  <c r="J112" i="34"/>
  <c r="J113" i="34"/>
  <c r="J114" i="34"/>
  <c r="J115" i="34"/>
  <c r="J116" i="34"/>
  <c r="J117" i="34"/>
  <c r="J118" i="34"/>
  <c r="J119" i="34"/>
  <c r="J120" i="34"/>
  <c r="J121" i="34"/>
  <c r="J122" i="34"/>
  <c r="J123" i="34"/>
  <c r="J124" i="34"/>
  <c r="J125" i="34"/>
  <c r="J126" i="34"/>
  <c r="J127" i="34"/>
  <c r="J128" i="34"/>
  <c r="J129" i="34"/>
  <c r="J130" i="34"/>
  <c r="J131" i="34"/>
  <c r="J132" i="34"/>
  <c r="J133" i="34"/>
  <c r="J134" i="34"/>
  <c r="J135" i="34"/>
  <c r="J136" i="34"/>
  <c r="J137" i="34"/>
  <c r="J138" i="34"/>
  <c r="J139" i="34"/>
  <c r="J140" i="34"/>
  <c r="J141" i="34"/>
  <c r="J142" i="34"/>
  <c r="J143" i="34"/>
  <c r="J144" i="34"/>
  <c r="J145" i="34"/>
  <c r="J146" i="34"/>
  <c r="J147" i="34"/>
  <c r="J148" i="34"/>
  <c r="J149" i="34"/>
  <c r="J150" i="34"/>
  <c r="J151" i="34"/>
  <c r="J152" i="34"/>
  <c r="J153" i="34"/>
  <c r="J154" i="34"/>
  <c r="J155" i="34"/>
  <c r="J156" i="34"/>
  <c r="J157" i="34"/>
  <c r="J158" i="34"/>
  <c r="J159" i="34"/>
  <c r="J160" i="34"/>
  <c r="J161" i="34"/>
  <c r="J162" i="34"/>
  <c r="J163" i="34"/>
  <c r="J164" i="34"/>
  <c r="J165" i="34"/>
  <c r="J166" i="34"/>
  <c r="J167" i="34"/>
  <c r="J168" i="34"/>
  <c r="J169" i="34"/>
  <c r="J170" i="34"/>
  <c r="J171" i="34"/>
  <c r="J172" i="34"/>
  <c r="J173" i="34"/>
  <c r="J174" i="34"/>
  <c r="J175" i="34"/>
  <c r="J176" i="34"/>
  <c r="J177" i="34"/>
  <c r="J178" i="34"/>
  <c r="J179" i="34"/>
  <c r="J180" i="34"/>
  <c r="J181" i="34"/>
  <c r="J182" i="34"/>
  <c r="J183" i="34"/>
  <c r="J184" i="34"/>
  <c r="J185" i="34"/>
  <c r="J186" i="34"/>
  <c r="J187" i="34"/>
  <c r="J188" i="34"/>
  <c r="J189" i="34"/>
  <c r="J190" i="34"/>
  <c r="J191" i="34"/>
  <c r="J192" i="34"/>
  <c r="J193" i="34"/>
  <c r="J194" i="34"/>
  <c r="J195" i="34"/>
  <c r="J196" i="34"/>
  <c r="J197" i="34"/>
  <c r="J198" i="34"/>
  <c r="J199" i="34"/>
  <c r="J200" i="34"/>
  <c r="J201" i="34"/>
  <c r="J202" i="34"/>
  <c r="J203" i="34"/>
  <c r="J204" i="34"/>
  <c r="J205" i="34"/>
  <c r="J206" i="34"/>
  <c r="J207" i="34"/>
  <c r="J208" i="34"/>
  <c r="J209" i="34"/>
  <c r="J210" i="34"/>
  <c r="J211" i="34"/>
  <c r="J212" i="34"/>
  <c r="J213" i="34"/>
  <c r="J214" i="34"/>
  <c r="J215" i="34"/>
  <c r="J216" i="34"/>
  <c r="J217" i="34"/>
  <c r="J218" i="34"/>
  <c r="J219" i="34"/>
  <c r="J220" i="34"/>
  <c r="J221" i="34"/>
  <c r="J222" i="34"/>
  <c r="J223" i="34"/>
  <c r="J224" i="34"/>
  <c r="J225" i="34"/>
  <c r="J226" i="34"/>
  <c r="J227" i="34"/>
  <c r="J228" i="34"/>
  <c r="J229" i="34"/>
  <c r="J230" i="34"/>
  <c r="J231" i="34"/>
  <c r="J232" i="34"/>
  <c r="J233" i="34"/>
  <c r="J234" i="34"/>
  <c r="J235" i="34"/>
  <c r="J236" i="34"/>
  <c r="J237" i="34"/>
  <c r="J238" i="34"/>
  <c r="J239" i="34"/>
  <c r="J240" i="34"/>
  <c r="J241" i="34"/>
  <c r="J242" i="34"/>
  <c r="H11" i="33" s="1"/>
  <c r="J243" i="34"/>
  <c r="J244" i="34"/>
  <c r="J245" i="34"/>
  <c r="J246" i="34"/>
  <c r="J247" i="34"/>
  <c r="J248" i="34"/>
  <c r="J249" i="34"/>
  <c r="J250" i="34"/>
  <c r="J251" i="34"/>
  <c r="J252" i="34"/>
  <c r="J253" i="34"/>
  <c r="J254" i="34"/>
  <c r="J255" i="34"/>
  <c r="J256" i="34"/>
  <c r="J257" i="34"/>
  <c r="J258" i="34"/>
  <c r="J259" i="34"/>
  <c r="J260" i="34"/>
  <c r="J261" i="34"/>
  <c r="J262" i="34"/>
  <c r="J263" i="34"/>
  <c r="J264" i="34"/>
  <c r="J265" i="34"/>
  <c r="J266" i="34"/>
  <c r="J267" i="34"/>
  <c r="J268" i="34"/>
  <c r="J269" i="34"/>
  <c r="J270" i="34"/>
  <c r="J271" i="34"/>
  <c r="J272" i="34"/>
  <c r="J273" i="34"/>
  <c r="J274" i="34"/>
  <c r="J275" i="34"/>
  <c r="J276" i="34"/>
  <c r="J277" i="34"/>
  <c r="J278" i="34"/>
  <c r="J279" i="34"/>
  <c r="J280" i="34"/>
  <c r="J281" i="34"/>
  <c r="J282" i="34"/>
  <c r="J283" i="34"/>
  <c r="J284" i="34"/>
  <c r="J285" i="34"/>
  <c r="J286" i="34"/>
  <c r="J287" i="34"/>
  <c r="J288" i="34"/>
  <c r="J289" i="34"/>
  <c r="J290" i="34"/>
  <c r="J291" i="34"/>
  <c r="J292" i="34"/>
  <c r="J293" i="34"/>
  <c r="J294" i="34"/>
  <c r="J295" i="34"/>
  <c r="J296" i="34"/>
  <c r="J297" i="34"/>
  <c r="J298" i="34"/>
  <c r="J299" i="34"/>
  <c r="J300" i="34"/>
  <c r="J301" i="34"/>
  <c r="J302" i="34"/>
  <c r="J303" i="34"/>
  <c r="J304" i="34"/>
  <c r="J305" i="34"/>
  <c r="J306" i="34"/>
  <c r="J307" i="34"/>
  <c r="J308" i="34"/>
  <c r="J309" i="34"/>
  <c r="J310" i="34"/>
  <c r="J311" i="34"/>
  <c r="J312" i="34"/>
  <c r="J313" i="34"/>
  <c r="J314" i="34"/>
  <c r="J315" i="34"/>
  <c r="J316" i="34"/>
  <c r="J317" i="34"/>
  <c r="J318" i="34"/>
  <c r="J319" i="34"/>
  <c r="J320" i="34"/>
  <c r="J321" i="34"/>
  <c r="J322" i="34"/>
  <c r="J323" i="34"/>
  <c r="J324" i="34"/>
  <c r="J325" i="34"/>
  <c r="J326" i="34"/>
  <c r="J327" i="34"/>
  <c r="J328" i="34"/>
  <c r="J329" i="34"/>
  <c r="J330" i="34"/>
  <c r="J331" i="34"/>
  <c r="J332" i="34"/>
  <c r="J333" i="34"/>
  <c r="J334" i="34"/>
  <c r="J335" i="34"/>
  <c r="J336" i="34"/>
  <c r="J337" i="34"/>
  <c r="J338" i="34"/>
  <c r="J339" i="34"/>
  <c r="J340" i="34"/>
  <c r="J341" i="34"/>
  <c r="J342" i="34"/>
  <c r="J343" i="34"/>
  <c r="J344" i="34"/>
  <c r="J345" i="34"/>
  <c r="J346" i="34"/>
  <c r="J347" i="34"/>
  <c r="J348" i="34"/>
  <c r="J349" i="34"/>
  <c r="J350" i="34"/>
  <c r="J351" i="34"/>
  <c r="J352" i="34"/>
  <c r="J353" i="34"/>
  <c r="J354" i="34"/>
  <c r="J355" i="34"/>
  <c r="J356" i="34"/>
  <c r="J357" i="34"/>
  <c r="J358" i="34"/>
  <c r="J359" i="34"/>
  <c r="J360" i="34"/>
  <c r="J361" i="34"/>
  <c r="J362" i="34"/>
  <c r="H12" i="33" s="1"/>
  <c r="J363" i="34"/>
  <c r="J364" i="34"/>
  <c r="J365" i="34"/>
  <c r="J366" i="34"/>
  <c r="J367" i="34"/>
  <c r="J368" i="34"/>
  <c r="J369" i="34"/>
  <c r="J370" i="34"/>
  <c r="J371" i="34"/>
  <c r="J372" i="34"/>
  <c r="J373" i="34"/>
  <c r="J374" i="34"/>
  <c r="J375" i="34"/>
  <c r="J376" i="34"/>
  <c r="J377" i="34"/>
  <c r="J378" i="34"/>
  <c r="J379" i="34"/>
  <c r="J380" i="34"/>
  <c r="J381" i="34"/>
  <c r="J382" i="34"/>
  <c r="J383" i="34"/>
  <c r="J384" i="34"/>
  <c r="J385" i="34"/>
  <c r="J386" i="34"/>
  <c r="J387" i="34"/>
  <c r="J388" i="34"/>
  <c r="J389" i="34"/>
  <c r="J390" i="34"/>
  <c r="J391" i="34"/>
  <c r="J392" i="34"/>
  <c r="J393" i="34"/>
  <c r="J394" i="34"/>
  <c r="J395" i="34"/>
  <c r="J396" i="34"/>
  <c r="J397" i="34"/>
  <c r="J398" i="34"/>
  <c r="J399" i="34"/>
  <c r="J400" i="34"/>
  <c r="J401" i="34"/>
  <c r="J402" i="34"/>
  <c r="J403" i="34"/>
  <c r="J404" i="34"/>
  <c r="J405" i="34"/>
  <c r="J406" i="34"/>
  <c r="J407" i="34"/>
  <c r="J408" i="34"/>
  <c r="J409" i="34"/>
  <c r="J410" i="34"/>
  <c r="J411" i="34"/>
  <c r="J412" i="34"/>
  <c r="J413" i="34"/>
  <c r="J414" i="34"/>
  <c r="J415" i="34"/>
  <c r="J416" i="34"/>
  <c r="J417" i="34"/>
  <c r="J418" i="34"/>
  <c r="J419" i="34"/>
  <c r="J420" i="34"/>
  <c r="J421" i="34"/>
  <c r="J422" i="34"/>
  <c r="J423" i="34"/>
  <c r="J424" i="34"/>
  <c r="J425" i="34"/>
  <c r="J426" i="34"/>
  <c r="J427" i="34"/>
  <c r="J428" i="34"/>
  <c r="J429" i="34"/>
  <c r="J430" i="34"/>
  <c r="J431" i="34"/>
  <c r="J432" i="34"/>
  <c r="J433" i="34"/>
  <c r="J434" i="34"/>
  <c r="J435" i="34"/>
  <c r="J436" i="34"/>
  <c r="J437" i="34"/>
  <c r="J438" i="34"/>
  <c r="J439" i="34"/>
  <c r="J440" i="34"/>
  <c r="J441" i="34"/>
  <c r="J442" i="34"/>
  <c r="J443" i="34"/>
  <c r="J444" i="34"/>
  <c r="J445" i="34"/>
  <c r="J446" i="34"/>
  <c r="J447" i="34"/>
  <c r="J448" i="34"/>
  <c r="J449" i="34"/>
  <c r="J450" i="34"/>
  <c r="J451" i="34"/>
  <c r="J452" i="34"/>
  <c r="J453" i="34"/>
  <c r="J454" i="34"/>
  <c r="J455" i="34"/>
  <c r="J456" i="34"/>
  <c r="J457" i="34"/>
  <c r="J458" i="34"/>
  <c r="J459" i="34"/>
  <c r="J460" i="34"/>
  <c r="J461" i="34"/>
  <c r="J462" i="34"/>
  <c r="J463" i="34"/>
  <c r="J464" i="34"/>
  <c r="J465" i="34"/>
  <c r="J466" i="34"/>
  <c r="J467" i="34"/>
  <c r="J468" i="34"/>
  <c r="J469" i="34"/>
  <c r="J470" i="34"/>
  <c r="J471" i="34"/>
  <c r="J472" i="34"/>
  <c r="J473" i="34"/>
  <c r="J474" i="34"/>
  <c r="J475" i="34"/>
  <c r="J476" i="34"/>
  <c r="J477" i="34"/>
  <c r="J478" i="34"/>
  <c r="J479" i="34"/>
  <c r="J480" i="34"/>
  <c r="J481" i="34"/>
  <c r="J482" i="34"/>
  <c r="J483" i="34"/>
  <c r="J484" i="34"/>
  <c r="J485" i="34"/>
  <c r="J486" i="34"/>
  <c r="J487" i="34"/>
  <c r="J488" i="34"/>
  <c r="J489" i="34"/>
  <c r="J490" i="34"/>
  <c r="J491" i="34"/>
  <c r="J492" i="34"/>
  <c r="J493" i="34"/>
  <c r="J494" i="34"/>
  <c r="J495" i="34"/>
  <c r="J496" i="34"/>
  <c r="J497" i="34"/>
  <c r="J498" i="34"/>
  <c r="J499" i="34"/>
  <c r="J500" i="34"/>
  <c r="J501" i="34"/>
  <c r="J502" i="34"/>
  <c r="J503" i="34"/>
  <c r="J504" i="34"/>
  <c r="J505" i="34"/>
  <c r="J506" i="34"/>
  <c r="J507" i="34"/>
  <c r="J508" i="34"/>
  <c r="J509" i="34"/>
  <c r="J510" i="34"/>
  <c r="J511" i="34"/>
  <c r="J512" i="34"/>
  <c r="J513" i="34"/>
  <c r="J514" i="34"/>
  <c r="J515" i="34"/>
  <c r="J516" i="34"/>
  <c r="J517" i="34"/>
  <c r="J518" i="34"/>
  <c r="J519" i="34"/>
  <c r="J520" i="34"/>
  <c r="J521" i="34"/>
  <c r="J522" i="34"/>
  <c r="J523" i="34"/>
  <c r="J524" i="34"/>
  <c r="J525" i="34"/>
  <c r="J526" i="34"/>
  <c r="J527" i="34"/>
  <c r="J528" i="34"/>
  <c r="J529" i="34"/>
  <c r="J530" i="34"/>
  <c r="J531" i="34"/>
  <c r="J532" i="34"/>
  <c r="J533" i="34"/>
  <c r="J534" i="34"/>
  <c r="J535" i="34"/>
  <c r="J536" i="34"/>
  <c r="J537" i="34"/>
  <c r="J538" i="34"/>
  <c r="J539" i="34"/>
  <c r="J540" i="34"/>
  <c r="J541" i="34"/>
  <c r="J542" i="34"/>
  <c r="H13" i="33" s="1"/>
  <c r="J543" i="34"/>
  <c r="J544" i="34"/>
  <c r="J545" i="34"/>
  <c r="J546" i="34"/>
  <c r="J547" i="34"/>
  <c r="J548" i="34"/>
  <c r="J549" i="34"/>
  <c r="J550" i="34"/>
  <c r="J551" i="34"/>
  <c r="J552" i="34"/>
  <c r="J553" i="34"/>
  <c r="J554" i="34"/>
  <c r="J555" i="34"/>
  <c r="J556" i="34"/>
  <c r="J557" i="34"/>
  <c r="J558" i="34"/>
  <c r="J559" i="34"/>
  <c r="J560" i="34"/>
  <c r="J561" i="34"/>
  <c r="J562" i="34"/>
  <c r="J563" i="34"/>
  <c r="J564" i="34"/>
  <c r="J565" i="34"/>
  <c r="J566" i="34"/>
  <c r="J567" i="34"/>
  <c r="J568" i="34"/>
  <c r="J569" i="34"/>
  <c r="J570" i="34"/>
  <c r="J571" i="34"/>
  <c r="J572" i="34"/>
  <c r="J573" i="34"/>
  <c r="J574" i="34"/>
  <c r="J575" i="34"/>
  <c r="J576" i="34"/>
  <c r="J577" i="34"/>
  <c r="J578" i="34"/>
  <c r="J579" i="34"/>
  <c r="J580" i="34"/>
  <c r="J581" i="34"/>
  <c r="J582" i="34"/>
  <c r="J583" i="34"/>
  <c r="J584" i="34"/>
  <c r="J585" i="34"/>
  <c r="J586" i="34"/>
  <c r="J587" i="34"/>
  <c r="J588" i="34"/>
  <c r="J589" i="34"/>
  <c r="J590" i="34"/>
  <c r="J591" i="34"/>
  <c r="J592" i="34"/>
  <c r="J593" i="34"/>
  <c r="J594" i="34"/>
  <c r="J595" i="34"/>
  <c r="J596" i="34"/>
  <c r="J597" i="34"/>
  <c r="J598" i="34"/>
  <c r="J599" i="34"/>
  <c r="J600" i="34"/>
  <c r="J601" i="34"/>
  <c r="J602" i="34"/>
  <c r="J603" i="34"/>
  <c r="J604" i="34"/>
  <c r="J605" i="34"/>
  <c r="J606" i="34"/>
  <c r="J607" i="34"/>
  <c r="J608" i="34"/>
  <c r="J609" i="34"/>
  <c r="J610" i="34"/>
  <c r="J611" i="34"/>
  <c r="J612" i="34"/>
  <c r="J613" i="34"/>
  <c r="J614" i="34"/>
  <c r="J615" i="34"/>
  <c r="J616" i="34"/>
  <c r="J617" i="34"/>
  <c r="J618" i="34"/>
  <c r="J619" i="34"/>
  <c r="J620" i="34"/>
  <c r="J621" i="34"/>
  <c r="J622" i="34"/>
  <c r="J623" i="34"/>
  <c r="J624" i="34"/>
  <c r="J625" i="34"/>
  <c r="J626" i="34"/>
  <c r="J627" i="34"/>
  <c r="J628" i="34"/>
  <c r="J629" i="34"/>
  <c r="J630" i="34"/>
  <c r="J631" i="34"/>
  <c r="J632" i="34"/>
  <c r="J633" i="34"/>
  <c r="J634" i="34"/>
  <c r="J635" i="34"/>
  <c r="J636" i="34"/>
  <c r="J637" i="34"/>
  <c r="J638" i="34"/>
  <c r="J639" i="34"/>
  <c r="J640" i="34"/>
  <c r="J641" i="34"/>
  <c r="J642" i="34"/>
  <c r="J643" i="34"/>
  <c r="J644" i="34"/>
  <c r="J645" i="34"/>
  <c r="J646" i="34"/>
  <c r="J647" i="34"/>
  <c r="J648" i="34"/>
  <c r="J649" i="34"/>
  <c r="J650" i="34"/>
  <c r="J651" i="34"/>
  <c r="J652" i="34"/>
  <c r="J653" i="34"/>
  <c r="J654" i="34"/>
  <c r="J655" i="34"/>
  <c r="J656" i="34"/>
  <c r="J657" i="34"/>
  <c r="J658" i="34"/>
  <c r="J659" i="34"/>
  <c r="J660" i="34"/>
  <c r="J661" i="34"/>
  <c r="J662" i="34"/>
  <c r="J663" i="34"/>
  <c r="J664" i="34"/>
  <c r="J665" i="34"/>
  <c r="J666" i="34"/>
  <c r="J667" i="34"/>
  <c r="J668" i="34"/>
  <c r="J669" i="34"/>
  <c r="J670" i="34"/>
  <c r="J671" i="34"/>
  <c r="J672" i="34"/>
  <c r="J673" i="34"/>
  <c r="J674" i="34"/>
  <c r="J675" i="34"/>
  <c r="J676" i="34"/>
  <c r="G6" i="34"/>
  <c r="G7" i="34"/>
  <c r="G8" i="34"/>
  <c r="G9" i="34"/>
  <c r="G10" i="34"/>
  <c r="G11" i="34"/>
  <c r="G12" i="34"/>
  <c r="G13" i="34"/>
  <c r="G14" i="34"/>
  <c r="G15" i="34"/>
  <c r="G16" i="34"/>
  <c r="G17" i="34"/>
  <c r="G18" i="34"/>
  <c r="G19" i="34"/>
  <c r="G20" i="34"/>
  <c r="G21" i="34"/>
  <c r="G22" i="34"/>
  <c r="G23" i="34"/>
  <c r="G24" i="34"/>
  <c r="G25" i="34"/>
  <c r="G26" i="34"/>
  <c r="G27" i="34"/>
  <c r="G28" i="34"/>
  <c r="G29" i="34"/>
  <c r="G30" i="34"/>
  <c r="G31" i="34"/>
  <c r="G32" i="34"/>
  <c r="G33" i="34"/>
  <c r="G34" i="34"/>
  <c r="G35" i="34"/>
  <c r="G36" i="34"/>
  <c r="G37" i="34"/>
  <c r="G38" i="34"/>
  <c r="G39" i="34"/>
  <c r="G40" i="34"/>
  <c r="G41" i="34"/>
  <c r="G42" i="34"/>
  <c r="G43" i="34"/>
  <c r="G44" i="34"/>
  <c r="G45" i="34"/>
  <c r="G46" i="34"/>
  <c r="G47" i="34"/>
  <c r="G48" i="34"/>
  <c r="G49" i="34"/>
  <c r="G50" i="34"/>
  <c r="G51" i="34"/>
  <c r="G52" i="34"/>
  <c r="G53" i="34"/>
  <c r="G54" i="34"/>
  <c r="G55" i="34"/>
  <c r="G56" i="34"/>
  <c r="G57" i="34"/>
  <c r="G58" i="34"/>
  <c r="G59" i="34"/>
  <c r="G60" i="34"/>
  <c r="G61" i="34"/>
  <c r="G62" i="34"/>
  <c r="G63" i="34"/>
  <c r="G64" i="34"/>
  <c r="G65" i="34"/>
  <c r="G66" i="34"/>
  <c r="G67" i="34"/>
  <c r="G68" i="34"/>
  <c r="G69" i="34"/>
  <c r="G70" i="34"/>
  <c r="G71" i="34"/>
  <c r="G72" i="34"/>
  <c r="G73" i="34"/>
  <c r="G74" i="34"/>
  <c r="G75" i="34"/>
  <c r="G76" i="34"/>
  <c r="G77" i="34"/>
  <c r="G78" i="34"/>
  <c r="G79" i="34"/>
  <c r="G80" i="34"/>
  <c r="G81" i="34"/>
  <c r="G82" i="34"/>
  <c r="G83" i="34"/>
  <c r="G84" i="34"/>
  <c r="G85" i="34"/>
  <c r="G86" i="34"/>
  <c r="G87" i="34"/>
  <c r="G88" i="34"/>
  <c r="G89" i="34"/>
  <c r="G90" i="34"/>
  <c r="G91" i="34"/>
  <c r="G92" i="34"/>
  <c r="G93" i="34"/>
  <c r="G94" i="34"/>
  <c r="G95" i="34"/>
  <c r="G96" i="34"/>
  <c r="G97" i="34"/>
  <c r="G98" i="34"/>
  <c r="G99" i="34"/>
  <c r="G100" i="34"/>
  <c r="G101" i="34"/>
  <c r="G102" i="34"/>
  <c r="G103" i="34"/>
  <c r="G104" i="34"/>
  <c r="G105" i="34"/>
  <c r="G106" i="34"/>
  <c r="G107" i="34"/>
  <c r="G108" i="34"/>
  <c r="G109" i="34"/>
  <c r="G110" i="34"/>
  <c r="G111" i="34"/>
  <c r="G112" i="34"/>
  <c r="G113" i="34"/>
  <c r="G114" i="34"/>
  <c r="G115" i="34"/>
  <c r="G116" i="34"/>
  <c r="G117" i="34"/>
  <c r="G118" i="34"/>
  <c r="G119" i="34"/>
  <c r="G120" i="34"/>
  <c r="G121" i="34"/>
  <c r="G122" i="34"/>
  <c r="G123" i="34"/>
  <c r="G124" i="34"/>
  <c r="G125" i="34"/>
  <c r="G126" i="34"/>
  <c r="G127" i="34"/>
  <c r="G128" i="34"/>
  <c r="G129" i="34"/>
  <c r="G130" i="34"/>
  <c r="G131" i="34"/>
  <c r="G132" i="34"/>
  <c r="G133" i="34"/>
  <c r="G134" i="34"/>
  <c r="G135" i="34"/>
  <c r="G136" i="34"/>
  <c r="G137" i="34"/>
  <c r="G138" i="34"/>
  <c r="G139" i="34"/>
  <c r="G140" i="34"/>
  <c r="G141" i="34"/>
  <c r="G142" i="34"/>
  <c r="G143" i="34"/>
  <c r="G144" i="34"/>
  <c r="G145" i="34"/>
  <c r="G146" i="34"/>
  <c r="G147" i="34"/>
  <c r="G148" i="34"/>
  <c r="G149" i="34"/>
  <c r="G150" i="34"/>
  <c r="G151" i="34"/>
  <c r="G152" i="34"/>
  <c r="G153" i="34"/>
  <c r="G154" i="34"/>
  <c r="G155" i="34"/>
  <c r="G156" i="34"/>
  <c r="G157" i="34"/>
  <c r="G158" i="34"/>
  <c r="G159" i="34"/>
  <c r="G160" i="34"/>
  <c r="G161" i="34"/>
  <c r="G162" i="34"/>
  <c r="G163" i="34"/>
  <c r="G164" i="34"/>
  <c r="G165" i="34"/>
  <c r="G166" i="34"/>
  <c r="G167" i="34"/>
  <c r="G168" i="34"/>
  <c r="G169" i="34"/>
  <c r="G170" i="34"/>
  <c r="G171" i="34"/>
  <c r="G172" i="34"/>
  <c r="G173" i="34"/>
  <c r="G174" i="34"/>
  <c r="G175" i="34"/>
  <c r="G176" i="34"/>
  <c r="G177" i="34"/>
  <c r="G178" i="34"/>
  <c r="G179" i="34"/>
  <c r="G180" i="34"/>
  <c r="G181" i="34"/>
  <c r="G182" i="34"/>
  <c r="G183" i="34"/>
  <c r="G184" i="34"/>
  <c r="G185" i="34"/>
  <c r="G186" i="34"/>
  <c r="G187" i="34"/>
  <c r="G188" i="34"/>
  <c r="G189" i="34"/>
  <c r="G190" i="34"/>
  <c r="G191" i="34"/>
  <c r="G192" i="34"/>
  <c r="G193" i="34"/>
  <c r="G194" i="34"/>
  <c r="G195" i="34"/>
  <c r="G196" i="34"/>
  <c r="G197" i="34"/>
  <c r="G198" i="34"/>
  <c r="G199" i="34"/>
  <c r="G200" i="34"/>
  <c r="G201" i="34"/>
  <c r="G202" i="34"/>
  <c r="G203" i="34"/>
  <c r="G204" i="34"/>
  <c r="G205" i="34"/>
  <c r="G206" i="34"/>
  <c r="G207" i="34"/>
  <c r="G208" i="34"/>
  <c r="G209" i="34"/>
  <c r="G210" i="34"/>
  <c r="G211" i="34"/>
  <c r="G212" i="34"/>
  <c r="G213" i="34"/>
  <c r="G214" i="34"/>
  <c r="G215" i="34"/>
  <c r="G216" i="34"/>
  <c r="G217" i="34"/>
  <c r="G218" i="34"/>
  <c r="G219" i="34"/>
  <c r="G220" i="34"/>
  <c r="G221" i="34"/>
  <c r="G222" i="34"/>
  <c r="G223" i="34"/>
  <c r="G224" i="34"/>
  <c r="G225" i="34"/>
  <c r="G226" i="34"/>
  <c r="G227" i="34"/>
  <c r="G228" i="34"/>
  <c r="G229" i="34"/>
  <c r="G230" i="34"/>
  <c r="G231" i="34"/>
  <c r="G232" i="34"/>
  <c r="G233" i="34"/>
  <c r="G234" i="34"/>
  <c r="G235" i="34"/>
  <c r="G236" i="34"/>
  <c r="G237" i="34"/>
  <c r="G238" i="34"/>
  <c r="G239" i="34"/>
  <c r="G240" i="34"/>
  <c r="G241" i="34"/>
  <c r="G242" i="34"/>
  <c r="G243" i="34"/>
  <c r="G244" i="34"/>
  <c r="G245" i="34"/>
  <c r="G246" i="34"/>
  <c r="G247" i="34"/>
  <c r="G248" i="34"/>
  <c r="G249" i="34"/>
  <c r="G250" i="34"/>
  <c r="G251" i="34"/>
  <c r="G252" i="34"/>
  <c r="G253" i="34"/>
  <c r="G254" i="34"/>
  <c r="G255" i="34"/>
  <c r="G256" i="34"/>
  <c r="G257" i="34"/>
  <c r="G258" i="34"/>
  <c r="G259" i="34"/>
  <c r="G260" i="34"/>
  <c r="G261" i="34"/>
  <c r="G262" i="34"/>
  <c r="G263" i="34"/>
  <c r="G264" i="34"/>
  <c r="G265" i="34"/>
  <c r="G266" i="34"/>
  <c r="G267" i="34"/>
  <c r="G268" i="34"/>
  <c r="G269" i="34"/>
  <c r="G270" i="34"/>
  <c r="G271" i="34"/>
  <c r="G272" i="34"/>
  <c r="G273" i="34"/>
  <c r="G274" i="34"/>
  <c r="G275" i="34"/>
  <c r="G276" i="34"/>
  <c r="G277" i="34"/>
  <c r="G278" i="34"/>
  <c r="G279" i="34"/>
  <c r="G280" i="34"/>
  <c r="G281" i="34"/>
  <c r="G282" i="34"/>
  <c r="G283" i="34"/>
  <c r="G284" i="34"/>
  <c r="G285" i="34"/>
  <c r="G286" i="34"/>
  <c r="G287" i="34"/>
  <c r="G288" i="34"/>
  <c r="G289" i="34"/>
  <c r="G290" i="34"/>
  <c r="G291" i="34"/>
  <c r="G292" i="34"/>
  <c r="G293" i="34"/>
  <c r="G294" i="34"/>
  <c r="G295" i="34"/>
  <c r="G296" i="34"/>
  <c r="G297" i="34"/>
  <c r="G298" i="34"/>
  <c r="G299" i="34"/>
  <c r="G300" i="34"/>
  <c r="G301" i="34"/>
  <c r="G302" i="34"/>
  <c r="G303" i="34"/>
  <c r="G304" i="34"/>
  <c r="G305" i="34"/>
  <c r="G306" i="34"/>
  <c r="G307" i="34"/>
  <c r="G308" i="34"/>
  <c r="G309" i="34"/>
  <c r="G310" i="34"/>
  <c r="G311" i="34"/>
  <c r="G312" i="34"/>
  <c r="G313" i="34"/>
  <c r="G314" i="34"/>
  <c r="G315" i="34"/>
  <c r="G316" i="34"/>
  <c r="G317" i="34"/>
  <c r="G318" i="34"/>
  <c r="G319" i="34"/>
  <c r="G320" i="34"/>
  <c r="G321" i="34"/>
  <c r="G322" i="34"/>
  <c r="G323" i="34"/>
  <c r="G324" i="34"/>
  <c r="G325" i="34"/>
  <c r="G326" i="34"/>
  <c r="G327" i="34"/>
  <c r="G328" i="34"/>
  <c r="G329" i="34"/>
  <c r="G330" i="34"/>
  <c r="G331" i="34"/>
  <c r="G332" i="34"/>
  <c r="G333" i="34"/>
  <c r="G334" i="34"/>
  <c r="G335" i="34"/>
  <c r="G336" i="34"/>
  <c r="G337" i="34"/>
  <c r="G338" i="34"/>
  <c r="G339" i="34"/>
  <c r="G340" i="34"/>
  <c r="G341" i="34"/>
  <c r="G342" i="34"/>
  <c r="G343" i="34"/>
  <c r="G344" i="34"/>
  <c r="G345" i="34"/>
  <c r="G346" i="34"/>
  <c r="G347" i="34"/>
  <c r="G348" i="34"/>
  <c r="G349" i="34"/>
  <c r="G350" i="34"/>
  <c r="G351" i="34"/>
  <c r="G352" i="34"/>
  <c r="G353" i="34"/>
  <c r="G354" i="34"/>
  <c r="G355" i="34"/>
  <c r="G356" i="34"/>
  <c r="G357" i="34"/>
  <c r="G358" i="34"/>
  <c r="G359" i="34"/>
  <c r="G360" i="34"/>
  <c r="G361" i="34"/>
  <c r="G362" i="34"/>
  <c r="G363" i="34"/>
  <c r="G364" i="34"/>
  <c r="G365" i="34"/>
  <c r="G366" i="34"/>
  <c r="G367" i="34"/>
  <c r="G368" i="34"/>
  <c r="G369" i="34"/>
  <c r="G370" i="34"/>
  <c r="G371" i="34"/>
  <c r="G372" i="34"/>
  <c r="G373" i="34"/>
  <c r="G374" i="34"/>
  <c r="G375" i="34"/>
  <c r="G376" i="34"/>
  <c r="G377" i="34"/>
  <c r="G378" i="34"/>
  <c r="G379" i="34"/>
  <c r="G380" i="34"/>
  <c r="G381" i="34"/>
  <c r="G382" i="34"/>
  <c r="G383" i="34"/>
  <c r="G384" i="34"/>
  <c r="G385" i="34"/>
  <c r="G386" i="34"/>
  <c r="G387" i="34"/>
  <c r="G388" i="34"/>
  <c r="G389" i="34"/>
  <c r="G390" i="34"/>
  <c r="G391" i="34"/>
  <c r="G392" i="34"/>
  <c r="G393" i="34"/>
  <c r="G394" i="34"/>
  <c r="G395" i="34"/>
  <c r="G396" i="34"/>
  <c r="G397" i="34"/>
  <c r="G398" i="34"/>
  <c r="G399" i="34"/>
  <c r="G400" i="34"/>
  <c r="G401" i="34"/>
  <c r="G402" i="34"/>
  <c r="G403" i="34"/>
  <c r="G404" i="34"/>
  <c r="G405" i="34"/>
  <c r="G406" i="34"/>
  <c r="G407" i="34"/>
  <c r="G408" i="34"/>
  <c r="G409" i="34"/>
  <c r="G410" i="34"/>
  <c r="G411" i="34"/>
  <c r="G412" i="34"/>
  <c r="G413" i="34"/>
  <c r="G414" i="34"/>
  <c r="G415" i="34"/>
  <c r="G416" i="34"/>
  <c r="G417" i="34"/>
  <c r="G418" i="34"/>
  <c r="G419" i="34"/>
  <c r="G420" i="34"/>
  <c r="G421" i="34"/>
  <c r="G422" i="34"/>
  <c r="G423" i="34"/>
  <c r="G424" i="34"/>
  <c r="G425" i="34"/>
  <c r="G426" i="34"/>
  <c r="G427" i="34"/>
  <c r="G428" i="34"/>
  <c r="G429" i="34"/>
  <c r="G430" i="34"/>
  <c r="G431" i="34"/>
  <c r="G432" i="34"/>
  <c r="G433" i="34"/>
  <c r="G434" i="34"/>
  <c r="G435" i="34"/>
  <c r="G436" i="34"/>
  <c r="G437" i="34"/>
  <c r="G438" i="34"/>
  <c r="G439" i="34"/>
  <c r="G440" i="34"/>
  <c r="G441" i="34"/>
  <c r="G442" i="34"/>
  <c r="G443" i="34"/>
  <c r="G444" i="34"/>
  <c r="G445" i="34"/>
  <c r="G446" i="34"/>
  <c r="G447" i="34"/>
  <c r="G448" i="34"/>
  <c r="G449" i="34"/>
  <c r="G450" i="34"/>
  <c r="G451" i="34"/>
  <c r="G452" i="34"/>
  <c r="G453" i="34"/>
  <c r="G454" i="34"/>
  <c r="G455" i="34"/>
  <c r="G456" i="34"/>
  <c r="G457" i="34"/>
  <c r="G458" i="34"/>
  <c r="G459" i="34"/>
  <c r="G460" i="34"/>
  <c r="G461" i="34"/>
  <c r="G462" i="34"/>
  <c r="G463" i="34"/>
  <c r="G464" i="34"/>
  <c r="G465" i="34"/>
  <c r="G466" i="34"/>
  <c r="G467" i="34"/>
  <c r="G468" i="34"/>
  <c r="G469" i="34"/>
  <c r="G470" i="34"/>
  <c r="G471" i="34"/>
  <c r="G472" i="34"/>
  <c r="G473" i="34"/>
  <c r="G474" i="34"/>
  <c r="G475" i="34"/>
  <c r="G476" i="34"/>
  <c r="G477" i="34"/>
  <c r="G478" i="34"/>
  <c r="G479" i="34"/>
  <c r="G480" i="34"/>
  <c r="G481" i="34"/>
  <c r="G482" i="34"/>
  <c r="G483" i="34"/>
  <c r="G484" i="34"/>
  <c r="G485" i="34"/>
  <c r="G486" i="34"/>
  <c r="G487" i="34"/>
  <c r="G488" i="34"/>
  <c r="G489" i="34"/>
  <c r="G490" i="34"/>
  <c r="G491" i="34"/>
  <c r="G492" i="34"/>
  <c r="G493" i="34"/>
  <c r="G494" i="34"/>
  <c r="G495" i="34"/>
  <c r="G496" i="34"/>
  <c r="G497" i="34"/>
  <c r="G498" i="34"/>
  <c r="G499" i="34"/>
  <c r="G500" i="34"/>
  <c r="G501" i="34"/>
  <c r="G502" i="34"/>
  <c r="G503" i="34"/>
  <c r="G504" i="34"/>
  <c r="G505" i="34"/>
  <c r="G506" i="34"/>
  <c r="G507" i="34"/>
  <c r="G508" i="34"/>
  <c r="G509" i="34"/>
  <c r="G510" i="34"/>
  <c r="G511" i="34"/>
  <c r="G512" i="34"/>
  <c r="G513" i="34"/>
  <c r="G514" i="34"/>
  <c r="G515" i="34"/>
  <c r="G516" i="34"/>
  <c r="G517" i="34"/>
  <c r="G518" i="34"/>
  <c r="G519" i="34"/>
  <c r="G520" i="34"/>
  <c r="G521" i="34"/>
  <c r="G522" i="34"/>
  <c r="G523" i="34"/>
  <c r="G524" i="34"/>
  <c r="G525" i="34"/>
  <c r="G526" i="34"/>
  <c r="G527" i="34"/>
  <c r="G528" i="34"/>
  <c r="G529" i="34"/>
  <c r="G530" i="34"/>
  <c r="G531" i="34"/>
  <c r="G532" i="34"/>
  <c r="G533" i="34"/>
  <c r="G534" i="34"/>
  <c r="G535" i="34"/>
  <c r="G536" i="34"/>
  <c r="G537" i="34"/>
  <c r="G538" i="34"/>
  <c r="G539" i="34"/>
  <c r="G540" i="34"/>
  <c r="G541" i="34"/>
  <c r="G542" i="34"/>
  <c r="G543" i="34"/>
  <c r="G544" i="34"/>
  <c r="G545" i="34"/>
  <c r="G546" i="34"/>
  <c r="G547" i="34"/>
  <c r="G548" i="34"/>
  <c r="G549" i="34"/>
  <c r="G550" i="34"/>
  <c r="G551" i="34"/>
  <c r="G552" i="34"/>
  <c r="G553" i="34"/>
  <c r="G554" i="34"/>
  <c r="G555" i="34"/>
  <c r="G556" i="34"/>
  <c r="G557" i="34"/>
  <c r="G558" i="34"/>
  <c r="G559" i="34"/>
  <c r="G560" i="34"/>
  <c r="G561" i="34"/>
  <c r="G562" i="34"/>
  <c r="G563" i="34"/>
  <c r="G564" i="34"/>
  <c r="G565" i="34"/>
  <c r="G566" i="34"/>
  <c r="G567" i="34"/>
  <c r="G568" i="34"/>
  <c r="G569" i="34"/>
  <c r="G570" i="34"/>
  <c r="G571" i="34"/>
  <c r="G572" i="34"/>
  <c r="G573" i="34"/>
  <c r="G574" i="34"/>
  <c r="G575" i="34"/>
  <c r="G576" i="34"/>
  <c r="G577" i="34"/>
  <c r="G578" i="34"/>
  <c r="G579" i="34"/>
  <c r="G580" i="34"/>
  <c r="G581" i="34"/>
  <c r="G582" i="34"/>
  <c r="G583" i="34"/>
  <c r="G584" i="34"/>
  <c r="G585" i="34"/>
  <c r="G586" i="34"/>
  <c r="G587" i="34"/>
  <c r="G588" i="34"/>
  <c r="G589" i="34"/>
  <c r="G590" i="34"/>
  <c r="G591" i="34"/>
  <c r="G592" i="34"/>
  <c r="G593" i="34"/>
  <c r="G594" i="34"/>
  <c r="G595" i="34"/>
  <c r="G596" i="34"/>
  <c r="G597" i="34"/>
  <c r="G598" i="34"/>
  <c r="G599" i="34"/>
  <c r="G600" i="34"/>
  <c r="G601" i="34"/>
  <c r="G602" i="34"/>
  <c r="G603" i="34"/>
  <c r="G604" i="34"/>
  <c r="G605" i="34"/>
  <c r="G606" i="34"/>
  <c r="G607" i="34"/>
  <c r="G608" i="34"/>
  <c r="G609" i="34"/>
  <c r="G610" i="34"/>
  <c r="G611" i="34"/>
  <c r="G612" i="34"/>
  <c r="G613" i="34"/>
  <c r="G614" i="34"/>
  <c r="G615" i="34"/>
  <c r="G616" i="34"/>
  <c r="G617" i="34"/>
  <c r="G618" i="34"/>
  <c r="G619" i="34"/>
  <c r="G620" i="34"/>
  <c r="G621" i="34"/>
  <c r="G622" i="34"/>
  <c r="G623" i="34"/>
  <c r="G624" i="34"/>
  <c r="G625" i="34"/>
  <c r="G626" i="34"/>
  <c r="G627" i="34"/>
  <c r="G628" i="34"/>
  <c r="G629" i="34"/>
  <c r="G630" i="34"/>
  <c r="G631" i="34"/>
  <c r="G632" i="34"/>
  <c r="G633" i="34"/>
  <c r="G634" i="34"/>
  <c r="G635" i="34"/>
  <c r="G636" i="34"/>
  <c r="G637" i="34"/>
  <c r="G638" i="34"/>
  <c r="G639" i="34"/>
  <c r="G640" i="34"/>
  <c r="G641" i="34"/>
  <c r="G642" i="34"/>
  <c r="G643" i="34"/>
  <c r="G644" i="34"/>
  <c r="G645" i="34"/>
  <c r="G646" i="34"/>
  <c r="G647" i="34"/>
  <c r="G648" i="34"/>
  <c r="G649" i="34"/>
  <c r="G650" i="34"/>
  <c r="G651" i="34"/>
  <c r="G652" i="34"/>
  <c r="G653" i="34"/>
  <c r="G654" i="34"/>
  <c r="G655" i="34"/>
  <c r="G656" i="34"/>
  <c r="G657" i="34"/>
  <c r="G658" i="34"/>
  <c r="G659" i="34"/>
  <c r="G660" i="34"/>
  <c r="G661" i="34"/>
  <c r="G662" i="34"/>
  <c r="G663" i="34"/>
  <c r="G664" i="34"/>
  <c r="G665" i="34"/>
  <c r="G666" i="34"/>
  <c r="G667" i="34"/>
  <c r="G668" i="34"/>
  <c r="G669" i="34"/>
  <c r="G670" i="34"/>
  <c r="G671" i="34"/>
  <c r="G672" i="34"/>
  <c r="G673" i="34"/>
  <c r="G674" i="34"/>
  <c r="G675" i="34"/>
  <c r="G676" i="34"/>
  <c r="D6" i="34"/>
  <c r="D8" i="34"/>
  <c r="B5" i="33" s="1"/>
  <c r="D9" i="34"/>
  <c r="D10" i="34"/>
  <c r="D11" i="34"/>
  <c r="D12" i="34"/>
  <c r="D13" i="34"/>
  <c r="D14" i="34"/>
  <c r="D15" i="34"/>
  <c r="D16" i="34"/>
  <c r="D17" i="34"/>
  <c r="B6" i="33" s="1"/>
  <c r="D18" i="34"/>
  <c r="D19" i="34"/>
  <c r="D20" i="34"/>
  <c r="D21" i="34"/>
  <c r="D22" i="34"/>
  <c r="D23" i="34"/>
  <c r="D24" i="34"/>
  <c r="D25" i="34"/>
  <c r="D26" i="34"/>
  <c r="D27" i="34"/>
  <c r="D28" i="34"/>
  <c r="D29" i="34"/>
  <c r="D30" i="34"/>
  <c r="D31" i="34"/>
  <c r="D32" i="34"/>
  <c r="B7" i="33" s="1"/>
  <c r="D33" i="34"/>
  <c r="D34" i="34"/>
  <c r="D35" i="34"/>
  <c r="D36" i="34"/>
  <c r="D37" i="34"/>
  <c r="D38" i="34"/>
  <c r="D39" i="34"/>
  <c r="D40" i="34"/>
  <c r="D41" i="34"/>
  <c r="D42" i="34"/>
  <c r="D43" i="34"/>
  <c r="D44" i="34"/>
  <c r="D45" i="34"/>
  <c r="D46" i="34"/>
  <c r="D47" i="34"/>
  <c r="D48" i="34"/>
  <c r="D49" i="34"/>
  <c r="D50" i="34"/>
  <c r="D51" i="34"/>
  <c r="D52" i="34"/>
  <c r="D53" i="34"/>
  <c r="D54" i="34"/>
  <c r="D55" i="34"/>
  <c r="D56" i="34"/>
  <c r="D57" i="34"/>
  <c r="D58" i="34"/>
  <c r="D59" i="34"/>
  <c r="D60" i="34"/>
  <c r="D61" i="34"/>
  <c r="D62" i="34"/>
  <c r="B8" i="33" s="1"/>
  <c r="D63" i="34"/>
  <c r="D64" i="34"/>
  <c r="D65" i="34"/>
  <c r="D66" i="34"/>
  <c r="D67" i="34"/>
  <c r="D68" i="34"/>
  <c r="D69" i="34"/>
  <c r="D70" i="34"/>
  <c r="D71" i="34"/>
  <c r="D72" i="34"/>
  <c r="D73" i="34"/>
  <c r="D74" i="34"/>
  <c r="D75" i="34"/>
  <c r="D76" i="34"/>
  <c r="D77" i="34"/>
  <c r="D78" i="34"/>
  <c r="D79" i="34"/>
  <c r="D80" i="34"/>
  <c r="D81" i="34"/>
  <c r="D82" i="34"/>
  <c r="D83" i="34"/>
  <c r="D84" i="34"/>
  <c r="D85" i="34"/>
  <c r="D86" i="34"/>
  <c r="D87" i="34"/>
  <c r="D88" i="34"/>
  <c r="D89" i="34"/>
  <c r="D90" i="34"/>
  <c r="D91" i="34"/>
  <c r="D92" i="34"/>
  <c r="D93" i="34"/>
  <c r="D94" i="34"/>
  <c r="D95" i="34"/>
  <c r="D96" i="34"/>
  <c r="D97" i="34"/>
  <c r="D98" i="34"/>
  <c r="D99" i="34"/>
  <c r="D100" i="34"/>
  <c r="D101" i="34"/>
  <c r="D102" i="34"/>
  <c r="D103" i="34"/>
  <c r="D104" i="34"/>
  <c r="D105" i="34"/>
  <c r="D106" i="34"/>
  <c r="D107" i="34"/>
  <c r="D108" i="34"/>
  <c r="D109" i="34"/>
  <c r="D110" i="34"/>
  <c r="D111" i="34"/>
  <c r="D112" i="34"/>
  <c r="D113" i="34"/>
  <c r="D114" i="34"/>
  <c r="D115" i="34"/>
  <c r="D116" i="34"/>
  <c r="D117" i="34"/>
  <c r="D118" i="34"/>
  <c r="D119" i="34"/>
  <c r="D120" i="34"/>
  <c r="D121" i="34"/>
  <c r="B9" i="33" s="1"/>
  <c r="D122" i="34"/>
  <c r="D123" i="34"/>
  <c r="D124" i="34"/>
  <c r="D125" i="34"/>
  <c r="D126" i="34"/>
  <c r="D127" i="34"/>
  <c r="D128" i="34"/>
  <c r="D129" i="34"/>
  <c r="D130" i="34"/>
  <c r="D131" i="34"/>
  <c r="D132" i="34"/>
  <c r="D133" i="34"/>
  <c r="D134" i="34"/>
  <c r="D135" i="34"/>
  <c r="D136" i="34"/>
  <c r="D137" i="34"/>
  <c r="D138" i="34"/>
  <c r="D139" i="34"/>
  <c r="D140" i="34"/>
  <c r="D141" i="34"/>
  <c r="D142" i="34"/>
  <c r="D143" i="34"/>
  <c r="D144" i="34"/>
  <c r="D145" i="34"/>
  <c r="D146" i="34"/>
  <c r="D147" i="34"/>
  <c r="D148" i="34"/>
  <c r="D149" i="34"/>
  <c r="D150" i="34"/>
  <c r="D151" i="34"/>
  <c r="D152" i="34"/>
  <c r="D153" i="34"/>
  <c r="D154" i="34"/>
  <c r="D155" i="34"/>
  <c r="D156" i="34"/>
  <c r="D157" i="34"/>
  <c r="D158" i="34"/>
  <c r="D159" i="34"/>
  <c r="D160" i="34"/>
  <c r="D161" i="34"/>
  <c r="D162" i="34"/>
  <c r="D163" i="34"/>
  <c r="D164" i="34"/>
  <c r="D165" i="34"/>
  <c r="D166" i="34"/>
  <c r="D167" i="34"/>
  <c r="D168" i="34"/>
  <c r="D169" i="34"/>
  <c r="D170" i="34"/>
  <c r="D171" i="34"/>
  <c r="D172" i="34"/>
  <c r="D173" i="34"/>
  <c r="D174" i="34"/>
  <c r="D175" i="34"/>
  <c r="D176" i="34"/>
  <c r="D177" i="34"/>
  <c r="D178" i="34"/>
  <c r="D179" i="34"/>
  <c r="D180" i="34"/>
  <c r="D181" i="34"/>
  <c r="B10" i="33" s="1"/>
  <c r="D182" i="34"/>
  <c r="D183" i="34"/>
  <c r="D184" i="34"/>
  <c r="D185" i="34"/>
  <c r="D186" i="34"/>
  <c r="D187" i="34"/>
  <c r="D188" i="34"/>
  <c r="D189" i="34"/>
  <c r="D190" i="34"/>
  <c r="D191" i="34"/>
  <c r="D192" i="34"/>
  <c r="D193" i="34"/>
  <c r="D194" i="34"/>
  <c r="D195" i="34"/>
  <c r="D196" i="34"/>
  <c r="D197" i="34"/>
  <c r="D198" i="34"/>
  <c r="D199" i="34"/>
  <c r="D200" i="34"/>
  <c r="D201" i="34"/>
  <c r="D202" i="34"/>
  <c r="D203" i="34"/>
  <c r="D204" i="34"/>
  <c r="D205" i="34"/>
  <c r="D206" i="34"/>
  <c r="D207" i="34"/>
  <c r="D208" i="34"/>
  <c r="D209" i="34"/>
  <c r="D210" i="34"/>
  <c r="D211" i="34"/>
  <c r="D212" i="34"/>
  <c r="D213" i="34"/>
  <c r="D214" i="34"/>
  <c r="D215" i="34"/>
  <c r="D216" i="34"/>
  <c r="D217" i="34"/>
  <c r="D218" i="34"/>
  <c r="D219" i="34"/>
  <c r="D220" i="34"/>
  <c r="D221" i="34"/>
  <c r="D222" i="34"/>
  <c r="D223" i="34"/>
  <c r="D224" i="34"/>
  <c r="D225" i="34"/>
  <c r="D226" i="34"/>
  <c r="D227" i="34"/>
  <c r="D228" i="34"/>
  <c r="D229" i="34"/>
  <c r="D230" i="34"/>
  <c r="D231" i="34"/>
  <c r="D232" i="34"/>
  <c r="D233" i="34"/>
  <c r="D234" i="34"/>
  <c r="D235" i="34"/>
  <c r="D236" i="34"/>
  <c r="D237" i="34"/>
  <c r="D238" i="34"/>
  <c r="D239" i="34"/>
  <c r="D240" i="34"/>
  <c r="D241" i="34"/>
  <c r="D242" i="34"/>
  <c r="B11" i="33" s="1"/>
  <c r="D243" i="34"/>
  <c r="D244" i="34"/>
  <c r="D245" i="34"/>
  <c r="D246" i="34"/>
  <c r="D247" i="34"/>
  <c r="D248" i="34"/>
  <c r="D249" i="34"/>
  <c r="D250" i="34"/>
  <c r="D251" i="34"/>
  <c r="D252" i="34"/>
  <c r="D253" i="34"/>
  <c r="D254" i="34"/>
  <c r="D255" i="34"/>
  <c r="D256" i="34"/>
  <c r="D257" i="34"/>
  <c r="D258" i="34"/>
  <c r="D259" i="34"/>
  <c r="D260" i="34"/>
  <c r="D261" i="34"/>
  <c r="D262" i="34"/>
  <c r="D263" i="34"/>
  <c r="D264" i="34"/>
  <c r="D265" i="34"/>
  <c r="D266" i="34"/>
  <c r="D267" i="34"/>
  <c r="D268" i="34"/>
  <c r="D269" i="34"/>
  <c r="D270" i="34"/>
  <c r="D271" i="34"/>
  <c r="D272" i="34"/>
  <c r="D273" i="34"/>
  <c r="D274" i="34"/>
  <c r="D275" i="34"/>
  <c r="D276" i="34"/>
  <c r="D277" i="34"/>
  <c r="D278" i="34"/>
  <c r="D279" i="34"/>
  <c r="D280" i="34"/>
  <c r="D281" i="34"/>
  <c r="D282" i="34"/>
  <c r="D283" i="34"/>
  <c r="D284" i="34"/>
  <c r="D285" i="34"/>
  <c r="D286" i="34"/>
  <c r="D287" i="34"/>
  <c r="D288" i="34"/>
  <c r="D289" i="34"/>
  <c r="D290" i="34"/>
  <c r="D291" i="34"/>
  <c r="D292" i="34"/>
  <c r="D293" i="34"/>
  <c r="D294" i="34"/>
  <c r="D295" i="34"/>
  <c r="D296" i="34"/>
  <c r="D297" i="34"/>
  <c r="D298" i="34"/>
  <c r="D299" i="34"/>
  <c r="D300" i="34"/>
  <c r="D301" i="34"/>
  <c r="D302" i="34"/>
  <c r="D303" i="34"/>
  <c r="D304" i="34"/>
  <c r="D305" i="34"/>
  <c r="D306" i="34"/>
  <c r="D307" i="34"/>
  <c r="D308" i="34"/>
  <c r="D309" i="34"/>
  <c r="D310" i="34"/>
  <c r="D311" i="34"/>
  <c r="D312" i="34"/>
  <c r="D313" i="34"/>
  <c r="D314" i="34"/>
  <c r="D315" i="34"/>
  <c r="D316" i="34"/>
  <c r="D317" i="34"/>
  <c r="D318" i="34"/>
  <c r="D319" i="34"/>
  <c r="D320" i="34"/>
  <c r="D321" i="34"/>
  <c r="D322" i="34"/>
  <c r="D323" i="34"/>
  <c r="D324" i="34"/>
  <c r="D325" i="34"/>
  <c r="D326" i="34"/>
  <c r="D327" i="34"/>
  <c r="D328" i="34"/>
  <c r="D329" i="34"/>
  <c r="D330" i="34"/>
  <c r="D331" i="34"/>
  <c r="D332" i="34"/>
  <c r="D333" i="34"/>
  <c r="D334" i="34"/>
  <c r="D335" i="34"/>
  <c r="D336" i="34"/>
  <c r="D337" i="34"/>
  <c r="D338" i="34"/>
  <c r="D339" i="34"/>
  <c r="D340" i="34"/>
  <c r="D341" i="34"/>
  <c r="D342" i="34"/>
  <c r="D343" i="34"/>
  <c r="D344" i="34"/>
  <c r="D345" i="34"/>
  <c r="D346" i="34"/>
  <c r="D347" i="34"/>
  <c r="D348" i="34"/>
  <c r="D349" i="34"/>
  <c r="D350" i="34"/>
  <c r="D351" i="34"/>
  <c r="D352" i="34"/>
  <c r="D353" i="34"/>
  <c r="D354" i="34"/>
  <c r="D355" i="34"/>
  <c r="D356" i="34"/>
  <c r="D357" i="34"/>
  <c r="D358" i="34"/>
  <c r="D359" i="34"/>
  <c r="D360" i="34"/>
  <c r="D361" i="34"/>
  <c r="D362" i="34"/>
  <c r="B12" i="33" s="1"/>
  <c r="D363" i="34"/>
  <c r="D364" i="34"/>
  <c r="D365" i="34"/>
  <c r="D366" i="34"/>
  <c r="D367" i="34"/>
  <c r="D368" i="34"/>
  <c r="D369" i="34"/>
  <c r="D370" i="34"/>
  <c r="D371" i="34"/>
  <c r="D372" i="34"/>
  <c r="D373" i="34"/>
  <c r="D374" i="34"/>
  <c r="D375" i="34"/>
  <c r="D376" i="34"/>
  <c r="D377" i="34"/>
  <c r="D378" i="34"/>
  <c r="D379" i="34"/>
  <c r="D380" i="34"/>
  <c r="D381" i="34"/>
  <c r="D382" i="34"/>
  <c r="D383" i="34"/>
  <c r="D384" i="34"/>
  <c r="D385" i="34"/>
  <c r="D386" i="34"/>
  <c r="D387" i="34"/>
  <c r="D388" i="34"/>
  <c r="D389" i="34"/>
  <c r="D390" i="34"/>
  <c r="D391" i="34"/>
  <c r="D392" i="34"/>
  <c r="D393" i="34"/>
  <c r="D394" i="34"/>
  <c r="D395" i="34"/>
  <c r="D396" i="34"/>
  <c r="D397" i="34"/>
  <c r="D398" i="34"/>
  <c r="D399" i="34"/>
  <c r="D400" i="34"/>
  <c r="D401" i="34"/>
  <c r="D402" i="34"/>
  <c r="D403" i="34"/>
  <c r="D404" i="34"/>
  <c r="D405" i="34"/>
  <c r="D406" i="34"/>
  <c r="D407" i="34"/>
  <c r="D408" i="34"/>
  <c r="D409" i="34"/>
  <c r="D410" i="34"/>
  <c r="D411" i="34"/>
  <c r="D412" i="34"/>
  <c r="D413" i="34"/>
  <c r="D414" i="34"/>
  <c r="D415" i="34"/>
  <c r="D416" i="34"/>
  <c r="D417" i="34"/>
  <c r="D418" i="34"/>
  <c r="D419" i="34"/>
  <c r="D420" i="34"/>
  <c r="D421" i="34"/>
  <c r="D422" i="34"/>
  <c r="D423" i="34"/>
  <c r="D424" i="34"/>
  <c r="D425" i="34"/>
  <c r="D426" i="34"/>
  <c r="D427" i="34"/>
  <c r="D428" i="34"/>
  <c r="D429" i="34"/>
  <c r="D430" i="34"/>
  <c r="D431" i="34"/>
  <c r="D432" i="34"/>
  <c r="D433" i="34"/>
  <c r="D434" i="34"/>
  <c r="D435" i="34"/>
  <c r="D436" i="34"/>
  <c r="D437" i="34"/>
  <c r="D438" i="34"/>
  <c r="D439" i="34"/>
  <c r="D440" i="34"/>
  <c r="D441" i="34"/>
  <c r="D442" i="34"/>
  <c r="D443" i="34"/>
  <c r="D444" i="34"/>
  <c r="D445" i="34"/>
  <c r="D446" i="34"/>
  <c r="D447" i="34"/>
  <c r="D448" i="34"/>
  <c r="D449" i="34"/>
  <c r="D450" i="34"/>
  <c r="D451" i="34"/>
  <c r="D452" i="34"/>
  <c r="D453" i="34"/>
  <c r="D454" i="34"/>
  <c r="D455" i="34"/>
  <c r="D456" i="34"/>
  <c r="D457" i="34"/>
  <c r="D458" i="34"/>
  <c r="D459" i="34"/>
  <c r="D460" i="34"/>
  <c r="D461" i="34"/>
  <c r="D462" i="34"/>
  <c r="D463" i="34"/>
  <c r="D464" i="34"/>
  <c r="D465" i="34"/>
  <c r="D466" i="34"/>
  <c r="D467" i="34"/>
  <c r="D468" i="34"/>
  <c r="D469" i="34"/>
  <c r="D470" i="34"/>
  <c r="D471" i="34"/>
  <c r="D472" i="34"/>
  <c r="D473" i="34"/>
  <c r="D474" i="34"/>
  <c r="D475" i="34"/>
  <c r="D476" i="34"/>
  <c r="D477" i="34"/>
  <c r="D478" i="34"/>
  <c r="D479" i="34"/>
  <c r="D480" i="34"/>
  <c r="D481" i="34"/>
  <c r="D482" i="34"/>
  <c r="D483" i="34"/>
  <c r="D484" i="34"/>
  <c r="D485" i="34"/>
  <c r="D486" i="34"/>
  <c r="D487" i="34"/>
  <c r="D488" i="34"/>
  <c r="D489" i="34"/>
  <c r="D490" i="34"/>
  <c r="D491" i="34"/>
  <c r="D492" i="34"/>
  <c r="D493" i="34"/>
  <c r="D494" i="34"/>
  <c r="D495" i="34"/>
  <c r="D496" i="34"/>
  <c r="D497" i="34"/>
  <c r="D498" i="34"/>
  <c r="D499" i="34"/>
  <c r="D500" i="34"/>
  <c r="D501" i="34"/>
  <c r="D502" i="34"/>
  <c r="D503" i="34"/>
  <c r="D504" i="34"/>
  <c r="D505" i="34"/>
  <c r="D506" i="34"/>
  <c r="D507" i="34"/>
  <c r="D508" i="34"/>
  <c r="D509" i="34"/>
  <c r="D510" i="34"/>
  <c r="D511" i="34"/>
  <c r="D512" i="34"/>
  <c r="D513" i="34"/>
  <c r="D514" i="34"/>
  <c r="D515" i="34"/>
  <c r="D516" i="34"/>
  <c r="D517" i="34"/>
  <c r="D518" i="34"/>
  <c r="D519" i="34"/>
  <c r="D520" i="34"/>
  <c r="D521" i="34"/>
  <c r="D522" i="34"/>
  <c r="D523" i="34"/>
  <c r="D524" i="34"/>
  <c r="D525" i="34"/>
  <c r="D526" i="34"/>
  <c r="D527" i="34"/>
  <c r="D528" i="34"/>
  <c r="D529" i="34"/>
  <c r="D530" i="34"/>
  <c r="D531" i="34"/>
  <c r="D532" i="34"/>
  <c r="D533" i="34"/>
  <c r="D534" i="34"/>
  <c r="D535" i="34"/>
  <c r="D536" i="34"/>
  <c r="D537" i="34"/>
  <c r="D538" i="34"/>
  <c r="D539" i="34"/>
  <c r="D540" i="34"/>
  <c r="D541" i="34"/>
  <c r="D542" i="34"/>
  <c r="B13" i="33" s="1"/>
  <c r="D543" i="34"/>
  <c r="D544" i="34"/>
  <c r="D545" i="34"/>
  <c r="D546" i="34"/>
  <c r="D547" i="34"/>
  <c r="D548" i="34"/>
  <c r="D549" i="34"/>
  <c r="D550" i="34"/>
  <c r="D551" i="34"/>
  <c r="D552" i="34"/>
  <c r="D553" i="34"/>
  <c r="D554" i="34"/>
  <c r="D555" i="34"/>
  <c r="D556" i="34"/>
  <c r="D557" i="34"/>
  <c r="D558" i="34"/>
  <c r="D559" i="34"/>
  <c r="D560" i="34"/>
  <c r="D561" i="34"/>
  <c r="D562" i="34"/>
  <c r="D563" i="34"/>
  <c r="D564" i="34"/>
  <c r="D565" i="34"/>
  <c r="D566" i="34"/>
  <c r="D567" i="34"/>
  <c r="D568" i="34"/>
  <c r="D569" i="34"/>
  <c r="D570" i="34"/>
  <c r="D571" i="34"/>
  <c r="D572" i="34"/>
  <c r="D573" i="34"/>
  <c r="D574" i="34"/>
  <c r="D575" i="34"/>
  <c r="D576" i="34"/>
  <c r="D577" i="34"/>
  <c r="D578" i="34"/>
  <c r="D579" i="34"/>
  <c r="D580" i="34"/>
  <c r="D581" i="34"/>
  <c r="D582" i="34"/>
  <c r="D583" i="34"/>
  <c r="D584" i="34"/>
  <c r="D585" i="34"/>
  <c r="D586" i="34"/>
  <c r="D587" i="34"/>
  <c r="D588" i="34"/>
  <c r="D589" i="34"/>
  <c r="D590" i="34"/>
  <c r="D591" i="34"/>
  <c r="D592" i="34"/>
  <c r="D593" i="34"/>
  <c r="D594" i="34"/>
  <c r="D595" i="34"/>
  <c r="D596" i="34"/>
  <c r="D597" i="34"/>
  <c r="D598" i="34"/>
  <c r="D599" i="34"/>
  <c r="D600" i="34"/>
  <c r="D601" i="34"/>
  <c r="D602" i="34"/>
  <c r="D603" i="34"/>
  <c r="D604" i="34"/>
  <c r="D605" i="34"/>
  <c r="D606" i="34"/>
  <c r="D607" i="34"/>
  <c r="D608" i="34"/>
  <c r="D609" i="34"/>
  <c r="D610" i="34"/>
  <c r="D611" i="34"/>
  <c r="D612" i="34"/>
  <c r="D613" i="34"/>
  <c r="D614" i="34"/>
  <c r="D615" i="34"/>
  <c r="D616" i="34"/>
  <c r="D617" i="34"/>
  <c r="D618" i="34"/>
  <c r="D619" i="34"/>
  <c r="D620" i="34"/>
  <c r="D621" i="34"/>
  <c r="D622" i="34"/>
  <c r="D623" i="34"/>
  <c r="D624" i="34"/>
  <c r="D625" i="34"/>
  <c r="D626" i="34"/>
  <c r="D627" i="34"/>
  <c r="D628" i="34"/>
  <c r="D629" i="34"/>
  <c r="D630" i="34"/>
  <c r="D631" i="34"/>
  <c r="D632" i="34"/>
  <c r="D633" i="34"/>
  <c r="D634" i="34"/>
  <c r="D635" i="34"/>
  <c r="D636" i="34"/>
  <c r="D637" i="34"/>
  <c r="D638" i="34"/>
  <c r="D639" i="34"/>
  <c r="D640" i="34"/>
  <c r="D641" i="34"/>
  <c r="D642" i="34"/>
  <c r="D643" i="34"/>
  <c r="D644" i="34"/>
  <c r="D645" i="34"/>
  <c r="D646" i="34"/>
  <c r="D647" i="34"/>
  <c r="D648" i="34"/>
  <c r="D649" i="34"/>
  <c r="D650" i="34"/>
  <c r="D651" i="34"/>
  <c r="D652" i="34"/>
  <c r="D653" i="34"/>
  <c r="D654" i="34"/>
  <c r="D655" i="34"/>
  <c r="D656" i="34"/>
  <c r="D657" i="34"/>
  <c r="D658" i="34"/>
  <c r="D659" i="34"/>
  <c r="D660" i="34"/>
  <c r="D661" i="34"/>
  <c r="D662" i="34"/>
  <c r="D663" i="34"/>
  <c r="D664" i="34"/>
  <c r="D665" i="34"/>
  <c r="D666" i="34"/>
  <c r="D667" i="34"/>
  <c r="D668" i="34"/>
  <c r="D669" i="34"/>
  <c r="D670" i="34"/>
  <c r="D671" i="34"/>
  <c r="D672" i="34"/>
  <c r="D673" i="34"/>
  <c r="D674" i="34"/>
  <c r="D675" i="34"/>
  <c r="D676" i="34"/>
  <c r="K31" i="1" l="1"/>
  <c r="H34" i="33" l="1"/>
  <c r="E69" i="33" s="1"/>
  <c r="E31" i="33"/>
  <c r="D66" i="33" s="1"/>
  <c r="D47" i="35" s="1"/>
  <c r="E23" i="33"/>
  <c r="D58" i="33" s="1"/>
  <c r="D39" i="35" s="1"/>
  <c r="E24" i="33"/>
  <c r="D59" i="33" s="1"/>
  <c r="D40" i="35" s="1"/>
  <c r="E27" i="33"/>
  <c r="D62" i="33" s="1"/>
  <c r="D43" i="35" s="1"/>
  <c r="E29" i="33"/>
  <c r="D64" i="33" s="1"/>
  <c r="D45" i="35" s="1"/>
  <c r="E32" i="33"/>
  <c r="D67" i="33" s="1"/>
  <c r="D48" i="35" s="1"/>
  <c r="C69" i="33"/>
  <c r="D49" i="15" s="1"/>
  <c r="C60" i="33"/>
  <c r="D40" i="15" s="1"/>
  <c r="E67" i="33"/>
  <c r="D48" i="36" s="1"/>
  <c r="N31" i="33"/>
  <c r="G66" i="33" s="1"/>
  <c r="D47" i="38" s="1"/>
  <c r="E63" i="33"/>
  <c r="D44" i="36" s="1"/>
  <c r="N27" i="33"/>
  <c r="G62" i="33" s="1"/>
  <c r="D43" i="38" s="1"/>
  <c r="E62" i="33"/>
  <c r="D43" i="36" s="1"/>
  <c r="N26" i="33"/>
  <c r="G61" i="33" s="1"/>
  <c r="D42" i="38" s="1"/>
  <c r="E61" i="33"/>
  <c r="D42" i="36" s="1"/>
  <c r="Q25" i="33"/>
  <c r="H60" i="33" s="1"/>
  <c r="D41" i="39" s="1"/>
  <c r="N25" i="33"/>
  <c r="G60" i="33" s="1"/>
  <c r="D41" i="38" s="1"/>
  <c r="E60" i="33"/>
  <c r="D41" i="36" s="1"/>
  <c r="Q24" i="33"/>
  <c r="H59" i="33" s="1"/>
  <c r="D40" i="39" s="1"/>
  <c r="N24" i="33"/>
  <c r="G59" i="33" s="1"/>
  <c r="D40" i="38" s="1"/>
  <c r="F59" i="33"/>
  <c r="D40" i="37" s="1"/>
  <c r="E59" i="33"/>
  <c r="D40" i="36" s="1"/>
  <c r="C59" i="33"/>
  <c r="D39" i="15" s="1"/>
  <c r="Q23" i="33"/>
  <c r="H58" i="33" s="1"/>
  <c r="D39" i="39" s="1"/>
  <c r="N23" i="33"/>
  <c r="G58" i="33" s="1"/>
  <c r="D39" i="38" s="1"/>
  <c r="F58" i="33"/>
  <c r="D39" i="37" s="1"/>
  <c r="E58" i="33"/>
  <c r="D39" i="36" s="1"/>
  <c r="N22" i="33"/>
  <c r="G57" i="33" s="1"/>
  <c r="D38" i="38" s="1"/>
  <c r="F57" i="33"/>
  <c r="D38" i="37" s="1"/>
  <c r="E57" i="33"/>
  <c r="D38" i="36" s="1"/>
  <c r="E22" i="33"/>
  <c r="D57" i="33" s="1"/>
  <c r="D38" i="35" s="1"/>
  <c r="Q21" i="33"/>
  <c r="H56" i="33" s="1"/>
  <c r="D37" i="39" s="1"/>
  <c r="N21" i="33"/>
  <c r="G56" i="33" s="1"/>
  <c r="D37" i="38" s="1"/>
  <c r="F56" i="33"/>
  <c r="D37" i="37" s="1"/>
  <c r="E56" i="33"/>
  <c r="D37" i="36" s="1"/>
  <c r="C56" i="33"/>
  <c r="D36" i="15" s="1"/>
  <c r="Q20" i="33"/>
  <c r="H55" i="33" s="1"/>
  <c r="D36" i="39" s="1"/>
  <c r="N20" i="33"/>
  <c r="G55" i="33" s="1"/>
  <c r="D36" i="38" s="1"/>
  <c r="F55" i="33"/>
  <c r="D36" i="37" s="1"/>
  <c r="E55" i="33"/>
  <c r="D36" i="36" s="1"/>
  <c r="E20" i="33"/>
  <c r="D55" i="33" s="1"/>
  <c r="D36" i="35" s="1"/>
  <c r="Q19" i="33"/>
  <c r="H54" i="33" s="1"/>
  <c r="D35" i="39" s="1"/>
  <c r="N19" i="33"/>
  <c r="G54" i="33" s="1"/>
  <c r="D35" i="38" s="1"/>
  <c r="F54" i="33"/>
  <c r="D35" i="37" s="1"/>
  <c r="E54" i="33"/>
  <c r="D35" i="36" s="1"/>
  <c r="E19" i="33"/>
  <c r="D54" i="33" s="1"/>
  <c r="D35" i="35" s="1"/>
  <c r="N18" i="33"/>
  <c r="G53" i="33" s="1"/>
  <c r="D34" i="38" s="1"/>
  <c r="F53" i="33"/>
  <c r="D34" i="37" s="1"/>
  <c r="E53" i="33"/>
  <c r="D34" i="36" s="1"/>
  <c r="E18" i="33"/>
  <c r="D53" i="33" s="1"/>
  <c r="D34" i="35" s="1"/>
  <c r="Q17" i="33"/>
  <c r="H52" i="33" s="1"/>
  <c r="D33" i="39" s="1"/>
  <c r="N17" i="33"/>
  <c r="G52" i="33" s="1"/>
  <c r="D33" i="38" s="1"/>
  <c r="F52" i="33"/>
  <c r="D33" i="37" s="1"/>
  <c r="E52" i="33"/>
  <c r="D33" i="36" s="1"/>
  <c r="C52" i="33"/>
  <c r="D32" i="15" s="1"/>
  <c r="Q16" i="33"/>
  <c r="H51" i="33" s="1"/>
  <c r="D32" i="39" s="1"/>
  <c r="N16" i="33"/>
  <c r="G51" i="33" s="1"/>
  <c r="D32" i="38" s="1"/>
  <c r="F51" i="33"/>
  <c r="D32" i="37" s="1"/>
  <c r="E51" i="33"/>
  <c r="D32" i="36" s="1"/>
  <c r="E16" i="33"/>
  <c r="D51" i="33" s="1"/>
  <c r="D32" i="35" s="1"/>
  <c r="Q15" i="33"/>
  <c r="H50" i="33" s="1"/>
  <c r="D31" i="39" s="1"/>
  <c r="N15" i="33"/>
  <c r="G50" i="33" s="1"/>
  <c r="D31" i="38" s="1"/>
  <c r="F50" i="33"/>
  <c r="D31" i="37" s="1"/>
  <c r="E50" i="33"/>
  <c r="D31" i="36" s="1"/>
  <c r="E15" i="33"/>
  <c r="D50" i="33" s="1"/>
  <c r="D31" i="35" s="1"/>
  <c r="N14" i="33"/>
  <c r="G49" i="33" s="1"/>
  <c r="D30" i="38" s="1"/>
  <c r="F49" i="33"/>
  <c r="D30" i="37" s="1"/>
  <c r="E49" i="33"/>
  <c r="D30" i="36" s="1"/>
  <c r="E14" i="33"/>
  <c r="D49" i="33" s="1"/>
  <c r="D30" i="35" s="1"/>
  <c r="Q13" i="33"/>
  <c r="N13" i="33"/>
  <c r="G48" i="33" s="1"/>
  <c r="D29" i="38" s="1"/>
  <c r="F48" i="33"/>
  <c r="D29" i="37" s="1"/>
  <c r="E48" i="33"/>
  <c r="D29" i="36" s="1"/>
  <c r="C48" i="33"/>
  <c r="D28" i="15" s="1"/>
  <c r="Q12" i="33"/>
  <c r="H47" i="33" s="1"/>
  <c r="D28" i="39" s="1"/>
  <c r="N12" i="33"/>
  <c r="G47" i="33" s="1"/>
  <c r="D28" i="38" s="1"/>
  <c r="F47" i="33"/>
  <c r="D28" i="37" s="1"/>
  <c r="E47" i="33"/>
  <c r="D28" i="36" s="1"/>
  <c r="E12" i="33"/>
  <c r="D47" i="33" s="1"/>
  <c r="D28" i="35" s="1"/>
  <c r="Q11" i="33"/>
  <c r="H46" i="33" s="1"/>
  <c r="D27" i="39" s="1"/>
  <c r="N11" i="33"/>
  <c r="G46" i="33" s="1"/>
  <c r="D27" i="38" s="1"/>
  <c r="F46" i="33"/>
  <c r="D27" i="37" s="1"/>
  <c r="E46" i="33"/>
  <c r="D27" i="36" s="1"/>
  <c r="E11" i="33"/>
  <c r="D46" i="33" s="1"/>
  <c r="D27" i="35" s="1"/>
  <c r="N10" i="33"/>
  <c r="G45" i="33" s="1"/>
  <c r="D26" i="38" s="1"/>
  <c r="F45" i="33"/>
  <c r="D26" i="37" s="1"/>
  <c r="H10" i="33"/>
  <c r="E45" i="33" s="1"/>
  <c r="D26" i="36" s="1"/>
  <c r="E10" i="33"/>
  <c r="D45" i="33" s="1"/>
  <c r="D26" i="35" s="1"/>
  <c r="Q9" i="33"/>
  <c r="H44" i="33" s="1"/>
  <c r="D25" i="39" s="1"/>
  <c r="N9" i="33"/>
  <c r="G44" i="33" s="1"/>
  <c r="D25" i="38" s="1"/>
  <c r="F44" i="33"/>
  <c r="D25" i="37" s="1"/>
  <c r="H9" i="33"/>
  <c r="E44" i="33" s="1"/>
  <c r="D25" i="36" s="1"/>
  <c r="C44" i="33"/>
  <c r="D24" i="15" s="1"/>
  <c r="Q8" i="33"/>
  <c r="H43" i="33" s="1"/>
  <c r="D24" i="39" s="1"/>
  <c r="N8" i="33"/>
  <c r="G43" i="33" s="1"/>
  <c r="D24" i="38" s="1"/>
  <c r="F43" i="33"/>
  <c r="D24" i="37" s="1"/>
  <c r="H8" i="33"/>
  <c r="E43" i="33" s="1"/>
  <c r="D24" i="36" s="1"/>
  <c r="E8" i="33"/>
  <c r="D43" i="33" s="1"/>
  <c r="D24" i="35" s="1"/>
  <c r="Q7" i="33"/>
  <c r="H42" i="33" s="1"/>
  <c r="D23" i="39" s="1"/>
  <c r="N7" i="33"/>
  <c r="G42" i="33" s="1"/>
  <c r="D23" i="38" s="1"/>
  <c r="F42" i="33"/>
  <c r="D23" i="37" s="1"/>
  <c r="H7" i="33"/>
  <c r="E42" i="33" s="1"/>
  <c r="D23" i="36" s="1"/>
  <c r="E7" i="33"/>
  <c r="D42" i="33" s="1"/>
  <c r="D23" i="35" s="1"/>
  <c r="N6" i="33"/>
  <c r="G41" i="33" s="1"/>
  <c r="D22" i="38" s="1"/>
  <c r="F41" i="33"/>
  <c r="D22" i="37" s="1"/>
  <c r="H6" i="33"/>
  <c r="E41" i="33" s="1"/>
  <c r="D22" i="36" s="1"/>
  <c r="E6" i="33"/>
  <c r="D41" i="33" s="1"/>
  <c r="D22" i="35" s="1"/>
  <c r="Q5" i="33"/>
  <c r="H40" i="33" s="1"/>
  <c r="D21" i="39" s="1"/>
  <c r="C40" i="33"/>
  <c r="D20" i="15" s="1"/>
  <c r="T4" i="33"/>
  <c r="Q4" i="33"/>
  <c r="H39" i="33" s="1"/>
  <c r="D20" i="39" s="1"/>
  <c r="N4" i="33"/>
  <c r="G39" i="33" s="1"/>
  <c r="D20" i="38" s="1"/>
  <c r="K4" i="33"/>
  <c r="F39" i="33" s="1"/>
  <c r="D20" i="37" s="1"/>
  <c r="H4" i="33"/>
  <c r="E39" i="33" s="1"/>
  <c r="D20" i="36" s="1"/>
  <c r="Y44" i="15"/>
  <c r="Q34" i="33"/>
  <c r="H69" i="33" s="1"/>
  <c r="Q33" i="33"/>
  <c r="H68" i="33" s="1"/>
  <c r="D49" i="39" s="1"/>
  <c r="Q32" i="33"/>
  <c r="H67" i="33" s="1"/>
  <c r="D48" i="39" s="1"/>
  <c r="Q31" i="33"/>
  <c r="H66" i="33" s="1"/>
  <c r="D47" i="39" s="1"/>
  <c r="Q30" i="33"/>
  <c r="H65" i="33" s="1"/>
  <c r="D46" i="39" s="1"/>
  <c r="Q29" i="33"/>
  <c r="H64" i="33" s="1"/>
  <c r="D45" i="39" s="1"/>
  <c r="Q28" i="33"/>
  <c r="H63" i="33" s="1"/>
  <c r="D44" i="39" s="1"/>
  <c r="Q27" i="33"/>
  <c r="H62" i="33" s="1"/>
  <c r="D43" i="39" s="1"/>
  <c r="Q26" i="33"/>
  <c r="H61" i="33" s="1"/>
  <c r="D42" i="39" s="1"/>
  <c r="Q22" i="33"/>
  <c r="H57" i="33" s="1"/>
  <c r="D38" i="39" s="1"/>
  <c r="Q18" i="33"/>
  <c r="H53" i="33" s="1"/>
  <c r="D34" i="39" s="1"/>
  <c r="Q14" i="33"/>
  <c r="H49" i="33" s="1"/>
  <c r="D30" i="39" s="1"/>
  <c r="Q10" i="33"/>
  <c r="H45" i="33" s="1"/>
  <c r="D26" i="39" s="1"/>
  <c r="Q6" i="33"/>
  <c r="H41" i="33" s="1"/>
  <c r="D22" i="39" s="1"/>
  <c r="N34" i="33"/>
  <c r="G69" i="33" s="1"/>
  <c r="N33" i="33"/>
  <c r="G68" i="33" s="1"/>
  <c r="D49" i="38" s="1"/>
  <c r="N32" i="33"/>
  <c r="G67" i="33" s="1"/>
  <c r="N30" i="33"/>
  <c r="G65" i="33" s="1"/>
  <c r="N29" i="33"/>
  <c r="G64" i="33" s="1"/>
  <c r="D45" i="38" s="1"/>
  <c r="N28" i="33"/>
  <c r="G63" i="33" s="1"/>
  <c r="D44" i="38" s="1"/>
  <c r="F69" i="33"/>
  <c r="F68" i="33"/>
  <c r="F67" i="33"/>
  <c r="D48" i="37" s="1"/>
  <c r="F66" i="33"/>
  <c r="D47" i="37" s="1"/>
  <c r="F65" i="33"/>
  <c r="D46" i="37" s="1"/>
  <c r="F64" i="33"/>
  <c r="D45" i="37" s="1"/>
  <c r="F63" i="33"/>
  <c r="D44" i="37" s="1"/>
  <c r="F62" i="33"/>
  <c r="D43" i="37" s="1"/>
  <c r="F61" i="33"/>
  <c r="D42" i="37" s="1"/>
  <c r="F60" i="33"/>
  <c r="D41" i="37" s="1"/>
  <c r="E68" i="33"/>
  <c r="D49" i="36" s="1"/>
  <c r="E66" i="33"/>
  <c r="D47" i="36" s="1"/>
  <c r="E65" i="33"/>
  <c r="D46" i="36" s="1"/>
  <c r="E64" i="33"/>
  <c r="D45" i="36" s="1"/>
  <c r="E34" i="33"/>
  <c r="D69" i="33" s="1"/>
  <c r="E33" i="33"/>
  <c r="D68" i="33" s="1"/>
  <c r="D49" i="35" s="1"/>
  <c r="E30" i="33"/>
  <c r="D65" i="33" s="1"/>
  <c r="D46" i="35" s="1"/>
  <c r="E28" i="33"/>
  <c r="D63" i="33" s="1"/>
  <c r="D44" i="35" s="1"/>
  <c r="E26" i="33"/>
  <c r="D61" i="33" s="1"/>
  <c r="D42" i="35" s="1"/>
  <c r="E25" i="33"/>
  <c r="D60" i="33" s="1"/>
  <c r="D41" i="35" s="1"/>
  <c r="E21" i="33"/>
  <c r="D56" i="33" s="1"/>
  <c r="D37" i="35" s="1"/>
  <c r="E17" i="33"/>
  <c r="D52" i="33" s="1"/>
  <c r="D33" i="35" s="1"/>
  <c r="E13" i="33"/>
  <c r="D48" i="33" s="1"/>
  <c r="D29" i="35" s="1"/>
  <c r="E9" i="33"/>
  <c r="D44" i="33" s="1"/>
  <c r="D25" i="35" s="1"/>
  <c r="E5" i="33"/>
  <c r="D40" i="33" s="1"/>
  <c r="D21" i="35" s="1"/>
  <c r="C41" i="33"/>
  <c r="D21" i="15" s="1"/>
  <c r="C42" i="33"/>
  <c r="D22" i="15" s="1"/>
  <c r="C43" i="33"/>
  <c r="D23" i="15" s="1"/>
  <c r="C45" i="33"/>
  <c r="D25" i="15" s="1"/>
  <c r="C46" i="33"/>
  <c r="D26" i="15" s="1"/>
  <c r="C47" i="33"/>
  <c r="D27" i="15" s="1"/>
  <c r="C49" i="33"/>
  <c r="D29" i="15" s="1"/>
  <c r="C50" i="33"/>
  <c r="D30" i="15" s="1"/>
  <c r="C51" i="33"/>
  <c r="D31" i="15" s="1"/>
  <c r="C53" i="33"/>
  <c r="D33" i="15" s="1"/>
  <c r="C54" i="33"/>
  <c r="D34" i="15" s="1"/>
  <c r="C55" i="33"/>
  <c r="D35" i="15" s="1"/>
  <c r="C63" i="33"/>
  <c r="D43" i="15" s="1"/>
  <c r="C67" i="33"/>
  <c r="D47" i="15" s="1"/>
  <c r="A675" i="34"/>
  <c r="A674" i="34"/>
  <c r="A673" i="34"/>
  <c r="A672" i="34"/>
  <c r="A671" i="34"/>
  <c r="A670" i="34"/>
  <c r="A669" i="34"/>
  <c r="A668" i="34"/>
  <c r="A667" i="34"/>
  <c r="A666" i="34"/>
  <c r="A665" i="34"/>
  <c r="A664" i="34"/>
  <c r="A663" i="34"/>
  <c r="A661" i="34"/>
  <c r="A660" i="34"/>
  <c r="A659" i="34"/>
  <c r="A658" i="34"/>
  <c r="A657" i="34"/>
  <c r="A656" i="34"/>
  <c r="A655" i="34"/>
  <c r="A654" i="34"/>
  <c r="A653" i="34"/>
  <c r="A652" i="34"/>
  <c r="A651" i="34"/>
  <c r="A650" i="34"/>
  <c r="A649" i="34"/>
  <c r="A648" i="34"/>
  <c r="A647" i="34"/>
  <c r="A646" i="34"/>
  <c r="A645" i="34"/>
  <c r="A644" i="34"/>
  <c r="A643" i="34"/>
  <c r="A642" i="34"/>
  <c r="A641" i="34"/>
  <c r="A640" i="34"/>
  <c r="C68" i="33"/>
  <c r="D48" i="15" s="1"/>
  <c r="A639" i="34"/>
  <c r="A638" i="34"/>
  <c r="A637" i="34"/>
  <c r="C66" i="33"/>
  <c r="D46" i="15" s="1"/>
  <c r="A636" i="34"/>
  <c r="C65" i="33"/>
  <c r="D45" i="15" s="1"/>
  <c r="A635" i="34"/>
  <c r="A634" i="34"/>
  <c r="C64" i="33"/>
  <c r="D44" i="15" s="1"/>
  <c r="A633" i="34"/>
  <c r="A632" i="34"/>
  <c r="A631" i="34"/>
  <c r="A630" i="34"/>
  <c r="A629" i="34"/>
  <c r="A628" i="34"/>
  <c r="A627" i="34"/>
  <c r="A626" i="34"/>
  <c r="A625" i="34"/>
  <c r="A624" i="34"/>
  <c r="A623" i="34"/>
  <c r="A622" i="34"/>
  <c r="A621" i="34"/>
  <c r="A620" i="34"/>
  <c r="A619" i="34"/>
  <c r="A618" i="34"/>
  <c r="A617" i="34"/>
  <c r="A616" i="34"/>
  <c r="A615" i="34"/>
  <c r="A614" i="34"/>
  <c r="A613" i="34"/>
  <c r="A612" i="34"/>
  <c r="A611" i="34"/>
  <c r="A610" i="34"/>
  <c r="A609" i="34"/>
  <c r="A608" i="34"/>
  <c r="A607" i="34"/>
  <c r="A606" i="34"/>
  <c r="A605" i="34"/>
  <c r="A604" i="34"/>
  <c r="A603" i="34"/>
  <c r="A602" i="34"/>
  <c r="A601" i="34"/>
  <c r="A600" i="34"/>
  <c r="A599" i="34"/>
  <c r="A598" i="34"/>
  <c r="A597" i="34"/>
  <c r="A596" i="34"/>
  <c r="A595" i="34"/>
  <c r="A594" i="34"/>
  <c r="A593" i="34"/>
  <c r="A592" i="34"/>
  <c r="A591" i="34"/>
  <c r="A590" i="34"/>
  <c r="A589" i="34"/>
  <c r="A588" i="34"/>
  <c r="A587" i="34"/>
  <c r="A586" i="34"/>
  <c r="A585" i="34"/>
  <c r="A584" i="34"/>
  <c r="A583" i="34"/>
  <c r="A582" i="34"/>
  <c r="A581" i="34"/>
  <c r="A580" i="34"/>
  <c r="A579" i="34"/>
  <c r="A578" i="34"/>
  <c r="A577" i="34"/>
  <c r="A576" i="34"/>
  <c r="A575" i="34"/>
  <c r="A574" i="34"/>
  <c r="A573" i="34"/>
  <c r="A572" i="34"/>
  <c r="A571" i="34"/>
  <c r="A570" i="34"/>
  <c r="A569" i="34"/>
  <c r="A568" i="34"/>
  <c r="A567" i="34"/>
  <c r="A566" i="34"/>
  <c r="A565" i="34"/>
  <c r="A564" i="34"/>
  <c r="A563" i="34"/>
  <c r="A562" i="34"/>
  <c r="A561" i="34"/>
  <c r="A560" i="34"/>
  <c r="A559" i="34"/>
  <c r="A558" i="34"/>
  <c r="A557" i="34"/>
  <c r="A556" i="34"/>
  <c r="A555" i="34"/>
  <c r="A554" i="34"/>
  <c r="A553" i="34"/>
  <c r="A552" i="34"/>
  <c r="A551" i="34"/>
  <c r="A550" i="34"/>
  <c r="A549" i="34"/>
  <c r="A548" i="34"/>
  <c r="A547" i="34"/>
  <c r="A546" i="34"/>
  <c r="C62" i="33"/>
  <c r="D42" i="15" s="1"/>
  <c r="A545" i="34"/>
  <c r="A544" i="34"/>
  <c r="A543" i="34"/>
  <c r="A542" i="34"/>
  <c r="A541" i="34"/>
  <c r="A540" i="34"/>
  <c r="A539" i="34"/>
  <c r="A538" i="34"/>
  <c r="A537" i="34"/>
  <c r="A536" i="34"/>
  <c r="A535" i="34"/>
  <c r="A534" i="34"/>
  <c r="A533" i="34"/>
  <c r="A532" i="34"/>
  <c r="A531" i="34"/>
  <c r="A530" i="34"/>
  <c r="A529" i="34"/>
  <c r="A528" i="34"/>
  <c r="A527" i="34"/>
  <c r="A526" i="34"/>
  <c r="A525" i="34"/>
  <c r="A524" i="34"/>
  <c r="A523" i="34"/>
  <c r="A522" i="34"/>
  <c r="A521" i="34"/>
  <c r="A520" i="34"/>
  <c r="A519" i="34"/>
  <c r="A518" i="34"/>
  <c r="A517" i="34"/>
  <c r="A516" i="34"/>
  <c r="A515" i="34"/>
  <c r="A514" i="34"/>
  <c r="A513" i="34"/>
  <c r="A512" i="34"/>
  <c r="A511" i="34"/>
  <c r="A510" i="34"/>
  <c r="A509" i="34"/>
  <c r="A508" i="34"/>
  <c r="A507" i="34"/>
  <c r="A506" i="34"/>
  <c r="A505" i="34"/>
  <c r="A504" i="34"/>
  <c r="A503" i="34"/>
  <c r="A502" i="34"/>
  <c r="A501" i="34"/>
  <c r="A500" i="34"/>
  <c r="A499" i="34"/>
  <c r="A498" i="34"/>
  <c r="A497" i="34"/>
  <c r="A496" i="34"/>
  <c r="A495" i="34"/>
  <c r="A494" i="34"/>
  <c r="A493" i="34"/>
  <c r="A492" i="34"/>
  <c r="A491" i="34"/>
  <c r="A490" i="34"/>
  <c r="A489" i="34"/>
  <c r="A488" i="34"/>
  <c r="A487" i="34"/>
  <c r="A486" i="34"/>
  <c r="A485" i="34"/>
  <c r="A484" i="34"/>
  <c r="C61" i="33"/>
  <c r="D41" i="15" s="1"/>
  <c r="A483" i="34"/>
  <c r="A482" i="34"/>
  <c r="A481" i="34"/>
  <c r="A480" i="34"/>
  <c r="A479" i="34"/>
  <c r="A478" i="34"/>
  <c r="A477" i="34"/>
  <c r="A476" i="34"/>
  <c r="A475" i="34"/>
  <c r="A474" i="34"/>
  <c r="A473" i="34"/>
  <c r="A472" i="34"/>
  <c r="A471" i="34"/>
  <c r="A470" i="34"/>
  <c r="A469" i="34"/>
  <c r="A468" i="34"/>
  <c r="A467" i="34"/>
  <c r="A466" i="34"/>
  <c r="A465" i="34"/>
  <c r="A464" i="34"/>
  <c r="A463" i="34"/>
  <c r="A462" i="34"/>
  <c r="A461" i="34"/>
  <c r="A460" i="34"/>
  <c r="A459" i="34"/>
  <c r="A458" i="34"/>
  <c r="A457" i="34"/>
  <c r="A456" i="34"/>
  <c r="A455" i="34"/>
  <c r="A454" i="34"/>
  <c r="A453" i="34"/>
  <c r="A452" i="34"/>
  <c r="A451" i="34"/>
  <c r="A450" i="34"/>
  <c r="A449" i="34"/>
  <c r="A448" i="34"/>
  <c r="A447" i="34"/>
  <c r="A446" i="34"/>
  <c r="A445" i="34"/>
  <c r="A444" i="34"/>
  <c r="A443" i="34"/>
  <c r="A442" i="34"/>
  <c r="A441" i="34"/>
  <c r="A440" i="34"/>
  <c r="A439" i="34"/>
  <c r="A438" i="34"/>
  <c r="A437" i="34"/>
  <c r="A436" i="34"/>
  <c r="A435" i="34"/>
  <c r="A434" i="34"/>
  <c r="A433" i="34"/>
  <c r="A432" i="34"/>
  <c r="A431" i="34"/>
  <c r="A430" i="34"/>
  <c r="A429" i="34"/>
  <c r="A428" i="34"/>
  <c r="A427" i="34"/>
  <c r="A426" i="34"/>
  <c r="A425" i="34"/>
  <c r="A424" i="34"/>
  <c r="A423" i="34"/>
  <c r="A422" i="34"/>
  <c r="A421" i="34"/>
  <c r="A420" i="34"/>
  <c r="A419" i="34"/>
  <c r="A418" i="34"/>
  <c r="A417" i="34"/>
  <c r="A416" i="34"/>
  <c r="A415" i="34"/>
  <c r="A414" i="34"/>
  <c r="A413" i="34"/>
  <c r="A412" i="34"/>
  <c r="A411" i="34"/>
  <c r="A410" i="34"/>
  <c r="A409" i="34"/>
  <c r="A408" i="34"/>
  <c r="A407" i="34"/>
  <c r="A406" i="34"/>
  <c r="A405" i="34"/>
  <c r="A404" i="34"/>
  <c r="A403" i="34"/>
  <c r="A402" i="34"/>
  <c r="A401" i="34"/>
  <c r="A400" i="34"/>
  <c r="A399" i="34"/>
  <c r="A398" i="34"/>
  <c r="A397" i="34"/>
  <c r="A396" i="34"/>
  <c r="A395" i="34"/>
  <c r="A394" i="34"/>
  <c r="A393" i="34"/>
  <c r="A392" i="34"/>
  <c r="A391" i="34"/>
  <c r="A390" i="34"/>
  <c r="A389" i="34"/>
  <c r="A388" i="34"/>
  <c r="A387" i="34"/>
  <c r="A386" i="34"/>
  <c r="A385" i="34"/>
  <c r="A384" i="34"/>
  <c r="A383" i="34"/>
  <c r="A382" i="34"/>
  <c r="A381" i="34"/>
  <c r="A380" i="34"/>
  <c r="A379" i="34"/>
  <c r="A378" i="34"/>
  <c r="A377" i="34"/>
  <c r="A376" i="34"/>
  <c r="A375" i="34"/>
  <c r="A374" i="34"/>
  <c r="A373" i="34"/>
  <c r="A372" i="34"/>
  <c r="A371" i="34"/>
  <c r="A370" i="34"/>
  <c r="A369" i="34"/>
  <c r="A368" i="34"/>
  <c r="A367" i="34"/>
  <c r="A366" i="34"/>
  <c r="A365" i="34"/>
  <c r="A364" i="34"/>
  <c r="A363" i="34"/>
  <c r="A362" i="34"/>
  <c r="A361" i="34"/>
  <c r="A360" i="34"/>
  <c r="A359" i="34"/>
  <c r="A358" i="34"/>
  <c r="A357" i="34"/>
  <c r="A356" i="34"/>
  <c r="A355" i="34"/>
  <c r="A354" i="34"/>
  <c r="A353" i="34"/>
  <c r="A352" i="34"/>
  <c r="A351" i="34"/>
  <c r="A350" i="34"/>
  <c r="A349" i="34"/>
  <c r="A348" i="34"/>
  <c r="A347" i="34"/>
  <c r="A346" i="34"/>
  <c r="A345" i="34"/>
  <c r="A344" i="34"/>
  <c r="A343" i="34"/>
  <c r="A342" i="34"/>
  <c r="A341" i="34"/>
  <c r="A340" i="34"/>
  <c r="A339" i="34"/>
  <c r="A338" i="34"/>
  <c r="A337" i="34"/>
  <c r="A336" i="34"/>
  <c r="A335" i="34"/>
  <c r="A334" i="34"/>
  <c r="A333" i="34"/>
  <c r="A332" i="34"/>
  <c r="A331" i="34"/>
  <c r="A330" i="34"/>
  <c r="A329" i="34"/>
  <c r="A328" i="34"/>
  <c r="A327" i="34"/>
  <c r="A326" i="34"/>
  <c r="A325" i="34"/>
  <c r="A324" i="34"/>
  <c r="A323" i="34"/>
  <c r="A322" i="34"/>
  <c r="C58" i="33"/>
  <c r="D38" i="15" s="1"/>
  <c r="A321" i="34"/>
  <c r="A320" i="34"/>
  <c r="A319" i="34"/>
  <c r="A318" i="34"/>
  <c r="A317" i="34"/>
  <c r="A316" i="34"/>
  <c r="A315" i="34"/>
  <c r="A314" i="34"/>
  <c r="A313" i="34"/>
  <c r="A312" i="34"/>
  <c r="A311" i="34"/>
  <c r="A310" i="34"/>
  <c r="A309" i="34"/>
  <c r="A308" i="34"/>
  <c r="A307" i="34"/>
  <c r="A306" i="34"/>
  <c r="A305" i="34"/>
  <c r="A304" i="34"/>
  <c r="A303" i="34"/>
  <c r="A302" i="34"/>
  <c r="A301" i="34"/>
  <c r="A300" i="34"/>
  <c r="A299" i="34"/>
  <c r="A298" i="34"/>
  <c r="A297" i="34"/>
  <c r="A296" i="34"/>
  <c r="A295" i="34"/>
  <c r="A294" i="34"/>
  <c r="A293" i="34"/>
  <c r="A292" i="34"/>
  <c r="A291" i="34"/>
  <c r="A290" i="34"/>
  <c r="A289" i="34"/>
  <c r="A288" i="34"/>
  <c r="A287" i="34"/>
  <c r="A286" i="34"/>
  <c r="A285" i="34"/>
  <c r="A284" i="34"/>
  <c r="A283" i="34"/>
  <c r="A282" i="34"/>
  <c r="A281" i="34"/>
  <c r="A280" i="34"/>
  <c r="A279" i="34"/>
  <c r="A278" i="34"/>
  <c r="A277" i="34"/>
  <c r="A276" i="34"/>
  <c r="A275" i="34"/>
  <c r="A274" i="34"/>
  <c r="C57" i="33"/>
  <c r="D37" i="15" s="1"/>
  <c r="A273" i="34"/>
  <c r="A272" i="34"/>
  <c r="A271" i="34"/>
  <c r="A270" i="34"/>
  <c r="A269" i="34"/>
  <c r="A268" i="34"/>
  <c r="A267" i="34"/>
  <c r="A266" i="34"/>
  <c r="A265" i="34"/>
  <c r="A264" i="34"/>
  <c r="A263" i="34"/>
  <c r="A262" i="34"/>
  <c r="A261" i="34"/>
  <c r="A260" i="34"/>
  <c r="A259" i="34"/>
  <c r="A258" i="34"/>
  <c r="A257" i="34"/>
  <c r="A256" i="34"/>
  <c r="A255" i="34"/>
  <c r="A254" i="34"/>
  <c r="A253" i="34"/>
  <c r="A252" i="34"/>
  <c r="A251" i="34"/>
  <c r="A250" i="34"/>
  <c r="A249" i="34"/>
  <c r="A248" i="34"/>
  <c r="A247" i="34"/>
  <c r="A246" i="34"/>
  <c r="A245" i="34"/>
  <c r="A244" i="34"/>
  <c r="A243" i="34"/>
  <c r="A242" i="34"/>
  <c r="A241" i="34"/>
  <c r="A240" i="34"/>
  <c r="A239" i="34"/>
  <c r="A238" i="34"/>
  <c r="A237" i="34"/>
  <c r="A236" i="34"/>
  <c r="A235" i="34"/>
  <c r="A234" i="34"/>
  <c r="A233" i="34"/>
  <c r="A232" i="34"/>
  <c r="A231" i="34"/>
  <c r="A230" i="34"/>
  <c r="A229" i="34"/>
  <c r="A228" i="34"/>
  <c r="A227" i="34"/>
  <c r="A226" i="34"/>
  <c r="A225" i="34"/>
  <c r="A224" i="34"/>
  <c r="A223" i="34"/>
  <c r="A222" i="34"/>
  <c r="A221" i="34"/>
  <c r="A220" i="34"/>
  <c r="A219" i="34"/>
  <c r="A218" i="34"/>
  <c r="A217" i="34"/>
  <c r="A216" i="34"/>
  <c r="A215" i="34"/>
  <c r="A214" i="34"/>
  <c r="A213" i="34"/>
  <c r="A212" i="34"/>
  <c r="A211" i="34"/>
  <c r="A210" i="34"/>
  <c r="A209" i="34"/>
  <c r="A208" i="34"/>
  <c r="A207" i="34"/>
  <c r="A206" i="34"/>
  <c r="A205" i="34"/>
  <c r="A204" i="34"/>
  <c r="A203" i="34"/>
  <c r="A202" i="34"/>
  <c r="A201" i="34"/>
  <c r="A200" i="34"/>
  <c r="A199" i="34"/>
  <c r="A198" i="34"/>
  <c r="A197" i="34"/>
  <c r="A196" i="34"/>
  <c r="A195" i="34"/>
  <c r="A194" i="34"/>
  <c r="A193" i="34"/>
  <c r="A192" i="34"/>
  <c r="A191" i="34"/>
  <c r="A190" i="34"/>
  <c r="A189" i="34"/>
  <c r="A188" i="34"/>
  <c r="A187" i="34"/>
  <c r="A186" i="34"/>
  <c r="A185" i="34"/>
  <c r="A184" i="34"/>
  <c r="A183" i="34"/>
  <c r="A182" i="34"/>
  <c r="A181" i="34"/>
  <c r="A180" i="34"/>
  <c r="A179" i="34"/>
  <c r="A178" i="34"/>
  <c r="A177" i="34"/>
  <c r="A176" i="34"/>
  <c r="A175" i="34"/>
  <c r="A174" i="34"/>
  <c r="A173" i="34"/>
  <c r="A172" i="34"/>
  <c r="A171" i="34"/>
  <c r="A170" i="34"/>
  <c r="A169" i="34"/>
  <c r="A168" i="34"/>
  <c r="A167" i="34"/>
  <c r="A166" i="34"/>
  <c r="A165" i="34"/>
  <c r="A164" i="34"/>
  <c r="A163" i="34"/>
  <c r="A162" i="34"/>
  <c r="A161" i="34"/>
  <c r="A160" i="34"/>
  <c r="A159" i="34"/>
  <c r="A158" i="34"/>
  <c r="A157" i="34"/>
  <c r="A156" i="34"/>
  <c r="A155" i="34"/>
  <c r="A154" i="34"/>
  <c r="A153" i="34"/>
  <c r="A152" i="34"/>
  <c r="A151" i="34"/>
  <c r="A150" i="34"/>
  <c r="A149" i="34"/>
  <c r="A148" i="34"/>
  <c r="A147" i="34"/>
  <c r="A146" i="34"/>
  <c r="A145" i="34"/>
  <c r="A144" i="34"/>
  <c r="A143" i="34"/>
  <c r="A142" i="34"/>
  <c r="A141" i="34"/>
  <c r="A140" i="34"/>
  <c r="A139" i="34"/>
  <c r="A138" i="34"/>
  <c r="A137" i="34"/>
  <c r="A136" i="34"/>
  <c r="A135" i="34"/>
  <c r="A134" i="34"/>
  <c r="A133" i="34"/>
  <c r="A132" i="34"/>
  <c r="A131" i="34"/>
  <c r="A130" i="34"/>
  <c r="A129" i="34"/>
  <c r="A128" i="34"/>
  <c r="A127" i="34"/>
  <c r="A126" i="34"/>
  <c r="A125" i="34"/>
  <c r="A124" i="34"/>
  <c r="A123" i="34"/>
  <c r="A122" i="34"/>
  <c r="A121" i="34"/>
  <c r="A120" i="34"/>
  <c r="A119" i="34"/>
  <c r="A118" i="34"/>
  <c r="A117" i="34"/>
  <c r="A116" i="34"/>
  <c r="A115" i="34"/>
  <c r="A114" i="34"/>
  <c r="A113" i="34"/>
  <c r="A112" i="34"/>
  <c r="A111" i="34"/>
  <c r="A110" i="34"/>
  <c r="A109" i="34"/>
  <c r="A108" i="34"/>
  <c r="A107" i="34"/>
  <c r="A106" i="34"/>
  <c r="A105" i="34"/>
  <c r="A104" i="34"/>
  <c r="A103" i="34"/>
  <c r="A102" i="34"/>
  <c r="A101" i="34"/>
  <c r="A100" i="34"/>
  <c r="A99" i="34"/>
  <c r="A98" i="34"/>
  <c r="A97" i="34"/>
  <c r="A96" i="34"/>
  <c r="A95" i="34"/>
  <c r="A94" i="34"/>
  <c r="A93" i="34"/>
  <c r="A92" i="34"/>
  <c r="A91" i="34"/>
  <c r="A90" i="34"/>
  <c r="A89" i="34"/>
  <c r="A88" i="34"/>
  <c r="A87" i="34"/>
  <c r="A86" i="34"/>
  <c r="A85" i="34"/>
  <c r="A84" i="34"/>
  <c r="A83" i="34"/>
  <c r="A82" i="34"/>
  <c r="A81" i="34"/>
  <c r="A80" i="34"/>
  <c r="A79" i="34"/>
  <c r="A78" i="34"/>
  <c r="A77" i="34"/>
  <c r="A76" i="34"/>
  <c r="A75" i="34"/>
  <c r="A74" i="34"/>
  <c r="A73" i="34"/>
  <c r="A72" i="34"/>
  <c r="A71" i="34"/>
  <c r="A70" i="34"/>
  <c r="A69" i="34"/>
  <c r="A68" i="34"/>
  <c r="A67" i="34"/>
  <c r="A66" i="34"/>
  <c r="A65" i="34"/>
  <c r="A64" i="34"/>
  <c r="A63" i="34"/>
  <c r="A62" i="34"/>
  <c r="A61" i="34"/>
  <c r="A60" i="34"/>
  <c r="A59" i="34"/>
  <c r="A58" i="34"/>
  <c r="A57" i="34"/>
  <c r="A56" i="34"/>
  <c r="A55" i="34"/>
  <c r="A54" i="34"/>
  <c r="A53" i="34"/>
  <c r="A52" i="34"/>
  <c r="A51" i="34"/>
  <c r="A50" i="34"/>
  <c r="A49" i="34"/>
  <c r="A48" i="34"/>
  <c r="A47" i="34"/>
  <c r="A46" i="34"/>
  <c r="A45" i="34"/>
  <c r="A44" i="34"/>
  <c r="A43" i="34"/>
  <c r="A42" i="34"/>
  <c r="A41" i="34"/>
  <c r="A40" i="34"/>
  <c r="A39" i="34"/>
  <c r="A38" i="34"/>
  <c r="A37" i="34"/>
  <c r="A36" i="34"/>
  <c r="A35" i="34"/>
  <c r="A34" i="34"/>
  <c r="A33" i="34"/>
  <c r="A32" i="34"/>
  <c r="A31" i="34"/>
  <c r="A30" i="34"/>
  <c r="A29" i="34"/>
  <c r="A28" i="34"/>
  <c r="A27" i="34"/>
  <c r="A26" i="34"/>
  <c r="A25" i="34"/>
  <c r="A24" i="34"/>
  <c r="A23" i="34"/>
  <c r="A22" i="34"/>
  <c r="A21" i="34"/>
  <c r="A20" i="34"/>
  <c r="A19" i="34"/>
  <c r="A18" i="34"/>
  <c r="A17" i="34"/>
  <c r="A16" i="34"/>
  <c r="A15" i="34"/>
  <c r="A14" i="34"/>
  <c r="A13" i="34"/>
  <c r="A12" i="34"/>
  <c r="A11" i="34"/>
  <c r="A10" i="34"/>
  <c r="A9" i="34"/>
  <c r="A8" i="34"/>
  <c r="A7" i="34"/>
  <c r="A6" i="34"/>
  <c r="A5" i="34"/>
  <c r="A4" i="34"/>
  <c r="E47" i="15" l="1"/>
  <c r="G47" i="15" s="1"/>
  <c r="F47" i="15"/>
  <c r="D19" i="35"/>
  <c r="E49" i="15"/>
  <c r="G49" i="15" s="1"/>
  <c r="F49" i="15"/>
  <c r="E48" i="15"/>
  <c r="G48" i="15" s="1"/>
  <c r="F48" i="15"/>
  <c r="D46" i="38"/>
  <c r="D48" i="38"/>
  <c r="D49" i="37"/>
  <c r="D19" i="36"/>
  <c r="D19" i="37" s="1"/>
  <c r="D19" i="38" s="1"/>
  <c r="C6" i="33"/>
  <c r="H48" i="33"/>
  <c r="C5" i="33"/>
  <c r="I39" i="33"/>
  <c r="O34" i="33"/>
  <c r="R6" i="33"/>
  <c r="U29" i="33"/>
  <c r="I22" i="33"/>
  <c r="I4" i="33"/>
  <c r="R5" i="33"/>
  <c r="U9" i="33"/>
  <c r="C29" i="33"/>
  <c r="U5" i="33"/>
  <c r="U6" i="33"/>
  <c r="U7" i="33"/>
  <c r="U8" i="33"/>
  <c r="U10" i="33"/>
  <c r="U11" i="33"/>
  <c r="U12" i="33"/>
  <c r="U13" i="33"/>
  <c r="U14" i="33"/>
  <c r="U15" i="33"/>
  <c r="U16" i="33"/>
  <c r="U17" i="33"/>
  <c r="U18" i="33"/>
  <c r="U19" i="33"/>
  <c r="U20" i="33"/>
  <c r="U21" i="33"/>
  <c r="U22" i="33"/>
  <c r="U23" i="33"/>
  <c r="U24" i="33"/>
  <c r="U25" i="33"/>
  <c r="U26" i="33"/>
  <c r="U27" i="33"/>
  <c r="U28" i="33"/>
  <c r="R7" i="33"/>
  <c r="R8" i="33"/>
  <c r="R9" i="33"/>
  <c r="R10" i="33"/>
  <c r="R11" i="33"/>
  <c r="R12" i="33"/>
  <c r="R14" i="33"/>
  <c r="R15" i="33"/>
  <c r="R16" i="33"/>
  <c r="R17" i="33"/>
  <c r="R18" i="33"/>
  <c r="R19" i="33"/>
  <c r="R20" i="33"/>
  <c r="R21" i="33"/>
  <c r="R22" i="33"/>
  <c r="R23" i="33"/>
  <c r="R24" i="33"/>
  <c r="R25" i="33"/>
  <c r="R26" i="33"/>
  <c r="R27" i="33"/>
  <c r="R28" i="33"/>
  <c r="R29" i="33"/>
  <c r="R30" i="33"/>
  <c r="R31" i="33"/>
  <c r="R32" i="33"/>
  <c r="R33" i="33"/>
  <c r="R34" i="33"/>
  <c r="R4" i="33"/>
  <c r="O5" i="33"/>
  <c r="O6" i="33"/>
  <c r="O7" i="33"/>
  <c r="O8" i="33"/>
  <c r="O9" i="33"/>
  <c r="O10" i="33"/>
  <c r="O11" i="33"/>
  <c r="O12" i="33"/>
  <c r="O13" i="33"/>
  <c r="O14" i="33"/>
  <c r="O15" i="33"/>
  <c r="O16" i="33"/>
  <c r="O17" i="33"/>
  <c r="O18" i="33"/>
  <c r="O19" i="33"/>
  <c r="O20" i="33"/>
  <c r="O21" i="33"/>
  <c r="O22" i="33"/>
  <c r="O23" i="33"/>
  <c r="O24" i="33"/>
  <c r="O25" i="33"/>
  <c r="O26" i="33"/>
  <c r="O27" i="33"/>
  <c r="O28" i="33"/>
  <c r="O29" i="33"/>
  <c r="O30" i="33"/>
  <c r="O31" i="33"/>
  <c r="O32" i="33"/>
  <c r="O33" i="33"/>
  <c r="O4" i="33"/>
  <c r="L5" i="33"/>
  <c r="L6" i="33"/>
  <c r="L7" i="33"/>
  <c r="L8" i="33"/>
  <c r="L9" i="33"/>
  <c r="L10" i="33"/>
  <c r="L11" i="33"/>
  <c r="L12" i="33"/>
  <c r="L13" i="33"/>
  <c r="L14" i="33"/>
  <c r="L15" i="33"/>
  <c r="L16" i="33"/>
  <c r="L17" i="33"/>
  <c r="L18" i="33"/>
  <c r="L19" i="33"/>
  <c r="L20" i="33"/>
  <c r="L21" i="33"/>
  <c r="L22" i="33"/>
  <c r="L23" i="33"/>
  <c r="L24" i="33"/>
  <c r="L25" i="33"/>
  <c r="L26" i="33"/>
  <c r="L27" i="33"/>
  <c r="L28" i="33"/>
  <c r="L29" i="33"/>
  <c r="L30" i="33"/>
  <c r="L31" i="33"/>
  <c r="L32" i="33"/>
  <c r="L33" i="33"/>
  <c r="L34" i="33"/>
  <c r="L4" i="33"/>
  <c r="I5" i="33"/>
  <c r="I6" i="33"/>
  <c r="I7" i="33"/>
  <c r="I8" i="33"/>
  <c r="I9" i="33"/>
  <c r="I10" i="33"/>
  <c r="I11" i="33"/>
  <c r="I12" i="33"/>
  <c r="I13" i="33"/>
  <c r="I14" i="33"/>
  <c r="I15" i="33"/>
  <c r="I16" i="33"/>
  <c r="I17" i="33"/>
  <c r="I18" i="33"/>
  <c r="I19" i="33"/>
  <c r="I20" i="33"/>
  <c r="I21" i="33"/>
  <c r="I23" i="33"/>
  <c r="I24" i="33"/>
  <c r="I25" i="33"/>
  <c r="I26" i="33"/>
  <c r="I27" i="33"/>
  <c r="I28" i="33"/>
  <c r="I29" i="33"/>
  <c r="I30" i="33"/>
  <c r="I31" i="33"/>
  <c r="I32" i="33"/>
  <c r="I33" i="33"/>
  <c r="I34" i="33"/>
  <c r="F5" i="33"/>
  <c r="F6" i="33"/>
  <c r="F7" i="33"/>
  <c r="F8" i="33"/>
  <c r="F9" i="33"/>
  <c r="F10" i="33"/>
  <c r="F11" i="33"/>
  <c r="F12" i="33"/>
  <c r="F13" i="33"/>
  <c r="F14" i="33"/>
  <c r="F15" i="33"/>
  <c r="F16" i="33"/>
  <c r="F17" i="33"/>
  <c r="F18" i="33"/>
  <c r="F19" i="33"/>
  <c r="F20" i="33"/>
  <c r="F21" i="33"/>
  <c r="F22" i="33"/>
  <c r="F23" i="33"/>
  <c r="F24" i="33"/>
  <c r="F25" i="33"/>
  <c r="F26" i="33"/>
  <c r="F27" i="33"/>
  <c r="F28" i="33"/>
  <c r="F29" i="33"/>
  <c r="F30" i="33"/>
  <c r="F31" i="33"/>
  <c r="F32" i="33"/>
  <c r="F33" i="33"/>
  <c r="F34" i="33"/>
  <c r="F4" i="33"/>
  <c r="C7" i="33"/>
  <c r="C8" i="33"/>
  <c r="C9" i="33"/>
  <c r="C10" i="33"/>
  <c r="C11" i="33"/>
  <c r="C12" i="33"/>
  <c r="C13" i="33"/>
  <c r="C14" i="33"/>
  <c r="C15" i="33"/>
  <c r="C16" i="33"/>
  <c r="C17" i="33"/>
  <c r="C18" i="33"/>
  <c r="C19" i="33"/>
  <c r="C20" i="33"/>
  <c r="C21" i="33"/>
  <c r="C22" i="33"/>
  <c r="C23" i="33"/>
  <c r="C24" i="33"/>
  <c r="C25" i="33"/>
  <c r="C26" i="33"/>
  <c r="C27" i="33"/>
  <c r="C28" i="33"/>
  <c r="C30" i="33"/>
  <c r="C31" i="33"/>
  <c r="C32" i="33"/>
  <c r="C33" i="33"/>
  <c r="C34" i="33"/>
  <c r="D19" i="39" l="1"/>
  <c r="U4" i="33"/>
  <c r="D20" i="40"/>
  <c r="D29" i="39"/>
  <c r="E36" i="15"/>
  <c r="G36" i="15" s="1"/>
  <c r="F36" i="15"/>
  <c r="E32" i="15"/>
  <c r="G32" i="15" s="1"/>
  <c r="F32" i="15"/>
  <c r="E46" i="15"/>
  <c r="G46" i="15" s="1"/>
  <c r="F46" i="15"/>
  <c r="E38" i="15"/>
  <c r="G38" i="15" s="1"/>
  <c r="F38" i="15"/>
  <c r="E21" i="15"/>
  <c r="G21" i="15" s="1"/>
  <c r="F21" i="15"/>
  <c r="E44" i="15"/>
  <c r="G44" i="15" s="1"/>
  <c r="F44" i="15"/>
  <c r="E39" i="15"/>
  <c r="G39" i="15" s="1"/>
  <c r="F39" i="15"/>
  <c r="E22" i="15"/>
  <c r="G22" i="15" s="1"/>
  <c r="F22" i="15"/>
  <c r="E42" i="15"/>
  <c r="G42" i="15" s="1"/>
  <c r="F42" i="15"/>
  <c r="E26" i="15"/>
  <c r="G26" i="15" s="1"/>
  <c r="F26" i="15"/>
  <c r="E43" i="15"/>
  <c r="G43" i="15" s="1"/>
  <c r="F43" i="15"/>
  <c r="E41" i="15"/>
  <c r="G41" i="15" s="1"/>
  <c r="F41" i="15"/>
  <c r="E35" i="15"/>
  <c r="G35" i="15" s="1"/>
  <c r="F35" i="15"/>
  <c r="E20" i="15"/>
  <c r="G20" i="15" s="1"/>
  <c r="D38" i="1"/>
  <c r="E45" i="15"/>
  <c r="G45" i="15" s="1"/>
  <c r="F45" i="15"/>
  <c r="E23" i="15"/>
  <c r="G23" i="15" s="1"/>
  <c r="F23" i="15"/>
  <c r="E28" i="15"/>
  <c r="G28" i="15" s="1"/>
  <c r="F28" i="15"/>
  <c r="E27" i="15"/>
  <c r="G27" i="15" s="1"/>
  <c r="F27" i="15"/>
  <c r="E40" i="15"/>
  <c r="G40" i="15" s="1"/>
  <c r="F40" i="15"/>
  <c r="E31" i="15"/>
  <c r="G31" i="15" s="1"/>
  <c r="F31" i="15"/>
  <c r="E37" i="15"/>
  <c r="G37" i="15" s="1"/>
  <c r="F37" i="15"/>
  <c r="E30" i="15"/>
  <c r="G30" i="15" s="1"/>
  <c r="F30" i="15"/>
  <c r="E34" i="15"/>
  <c r="G34" i="15" s="1"/>
  <c r="F34" i="15"/>
  <c r="E29" i="15"/>
  <c r="G29" i="15" s="1"/>
  <c r="F29" i="15"/>
  <c r="E25" i="15"/>
  <c r="G25" i="15" s="1"/>
  <c r="F25" i="15"/>
  <c r="L47" i="15" s="1"/>
  <c r="E24" i="15"/>
  <c r="G24" i="15" s="1"/>
  <c r="F24" i="15"/>
  <c r="E33" i="15"/>
  <c r="G33" i="15" s="1"/>
  <c r="F33" i="15"/>
  <c r="R13" i="33"/>
  <c r="D19" i="40" l="1"/>
  <c r="L35" i="15"/>
  <c r="L41" i="15" s="1"/>
  <c r="L44" i="15" s="1"/>
  <c r="R21" i="15"/>
  <c r="R22" i="15"/>
  <c r="E29" i="35"/>
  <c r="E28" i="35"/>
  <c r="E32" i="35"/>
  <c r="E31" i="35"/>
  <c r="E27" i="35"/>
  <c r="E38" i="35"/>
  <c r="E19" i="35"/>
  <c r="E41" i="35"/>
  <c r="E44" i="35"/>
  <c r="E47" i="35"/>
  <c r="E46" i="35"/>
  <c r="E49" i="35"/>
  <c r="E40" i="35"/>
  <c r="E35" i="35"/>
  <c r="E20" i="35"/>
  <c r="E36" i="35"/>
  <c r="E25" i="35"/>
  <c r="E22" i="35"/>
  <c r="E26" i="35"/>
  <c r="E24" i="35"/>
  <c r="E34" i="35"/>
  <c r="E23" i="35"/>
  <c r="E37" i="35"/>
  <c r="E48" i="35"/>
  <c r="E43" i="35"/>
  <c r="E30" i="35"/>
  <c r="E33" i="35"/>
  <c r="E21" i="35"/>
  <c r="E39" i="35"/>
  <c r="E42" i="35"/>
  <c r="E45" i="35"/>
  <c r="F20" i="15"/>
  <c r="F19" i="35" s="1"/>
  <c r="G49" i="35" s="1"/>
  <c r="P46" i="15"/>
  <c r="I38" i="1"/>
  <c r="E38" i="1"/>
  <c r="E21" i="36"/>
  <c r="E25" i="36"/>
  <c r="E29" i="36"/>
  <c r="E33" i="36"/>
  <c r="E37" i="36"/>
  <c r="E41" i="36"/>
  <c r="E45" i="36"/>
  <c r="E49" i="36"/>
  <c r="E22" i="36"/>
  <c r="E30" i="36"/>
  <c r="E34" i="36"/>
  <c r="E42" i="36"/>
  <c r="E19" i="36"/>
  <c r="D41" i="1"/>
  <c r="E41" i="1" s="1"/>
  <c r="F41" i="1" s="1"/>
  <c r="E26" i="36"/>
  <c r="E38" i="36"/>
  <c r="E46" i="36"/>
  <c r="E23" i="36"/>
  <c r="E27" i="36"/>
  <c r="E31" i="36"/>
  <c r="E35" i="36"/>
  <c r="E39" i="36"/>
  <c r="E43" i="36"/>
  <c r="E47" i="36"/>
  <c r="E20" i="36"/>
  <c r="E24" i="36"/>
  <c r="E32" i="36"/>
  <c r="E40" i="36"/>
  <c r="E44" i="36"/>
  <c r="E28" i="36"/>
  <c r="E36" i="36"/>
  <c r="E48" i="36"/>
  <c r="D40" i="1"/>
  <c r="E40" i="1" s="1"/>
  <c r="F40" i="1" s="1"/>
  <c r="D39" i="1"/>
  <c r="E39" i="1" s="1"/>
  <c r="F48" i="1"/>
  <c r="F47" i="1"/>
  <c r="F46" i="1"/>
  <c r="F45" i="1"/>
  <c r="F39" i="1" l="1"/>
  <c r="H39" i="1"/>
  <c r="F38" i="1"/>
  <c r="H38" i="1"/>
  <c r="G42" i="35"/>
  <c r="G30" i="35"/>
  <c r="G23" i="35"/>
  <c r="G22" i="35"/>
  <c r="G35" i="35"/>
  <c r="G38" i="35"/>
  <c r="G48" i="35"/>
  <c r="G47" i="35"/>
  <c r="G28" i="35"/>
  <c r="G39" i="35"/>
  <c r="G43" i="35"/>
  <c r="G34" i="35"/>
  <c r="G25" i="35"/>
  <c r="G40" i="35"/>
  <c r="G44" i="35"/>
  <c r="G27" i="35"/>
  <c r="G29" i="35"/>
  <c r="F29" i="35"/>
  <c r="F30" i="35"/>
  <c r="R67" i="35" s="1"/>
  <c r="F36" i="35"/>
  <c r="F43" i="35"/>
  <c r="F23" i="35"/>
  <c r="F26" i="35"/>
  <c r="F25" i="35"/>
  <c r="F38" i="35"/>
  <c r="F31" i="35"/>
  <c r="F28" i="35"/>
  <c r="F46" i="35"/>
  <c r="F37" i="35"/>
  <c r="F45" i="35"/>
  <c r="F35" i="35"/>
  <c r="F40" i="35"/>
  <c r="F20" i="35"/>
  <c r="F47" i="35"/>
  <c r="F49" i="35"/>
  <c r="F44" i="35"/>
  <c r="F34" i="35"/>
  <c r="V67" i="35" s="1"/>
  <c r="F22" i="35"/>
  <c r="F41" i="35"/>
  <c r="F27" i="35"/>
  <c r="F32" i="35"/>
  <c r="F33" i="35"/>
  <c r="F48" i="35"/>
  <c r="F24" i="35"/>
  <c r="F42" i="35"/>
  <c r="F39" i="35"/>
  <c r="F21" i="35"/>
  <c r="G21" i="35"/>
  <c r="G24" i="35"/>
  <c r="G36" i="35"/>
  <c r="G41" i="35"/>
  <c r="G31" i="35"/>
  <c r="G45" i="35"/>
  <c r="G33" i="35"/>
  <c r="G37" i="35"/>
  <c r="G26" i="35"/>
  <c r="G20" i="35"/>
  <c r="G46" i="35"/>
  <c r="G32" i="35"/>
  <c r="E20" i="37"/>
  <c r="E25" i="37"/>
  <c r="E30" i="37"/>
  <c r="E35" i="37"/>
  <c r="E41" i="37"/>
  <c r="E46" i="37"/>
  <c r="E19" i="37"/>
  <c r="E21" i="37"/>
  <c r="E26" i="37"/>
  <c r="E31" i="37"/>
  <c r="E37" i="37"/>
  <c r="E42" i="37"/>
  <c r="E47" i="37"/>
  <c r="E22" i="37"/>
  <c r="E27" i="37"/>
  <c r="E33" i="37"/>
  <c r="E38" i="37"/>
  <c r="E43" i="37"/>
  <c r="E48" i="37"/>
  <c r="E23" i="37"/>
  <c r="E29" i="37"/>
  <c r="E34" i="37"/>
  <c r="E39" i="37"/>
  <c r="E45" i="37"/>
  <c r="E49" i="37"/>
  <c r="E44" i="37"/>
  <c r="E28" i="37"/>
  <c r="E36" i="37"/>
  <c r="E40" i="37"/>
  <c r="E24" i="37"/>
  <c r="E32" i="37"/>
  <c r="C37" i="1"/>
  <c r="L35" i="35" l="1"/>
  <c r="L41" i="35" s="1"/>
  <c r="L44" i="35" s="1"/>
  <c r="R21" i="35"/>
  <c r="R29" i="35" s="1"/>
  <c r="R22" i="35"/>
  <c r="Q38" i="35" s="1"/>
  <c r="L47" i="35"/>
  <c r="I39" i="1" s="1"/>
  <c r="F19" i="36"/>
  <c r="F22" i="36" s="1"/>
  <c r="E40" i="38"/>
  <c r="E23" i="38"/>
  <c r="E27" i="38"/>
  <c r="E31" i="38"/>
  <c r="E35" i="38"/>
  <c r="E42" i="38"/>
  <c r="E46" i="38"/>
  <c r="E19" i="38"/>
  <c r="E39" i="38"/>
  <c r="E24" i="38"/>
  <c r="E28" i="38"/>
  <c r="E32" i="38"/>
  <c r="E36" i="38"/>
  <c r="E43" i="38"/>
  <c r="E47" i="38"/>
  <c r="E41" i="38"/>
  <c r="E21" i="38"/>
  <c r="E25" i="38"/>
  <c r="E29" i="38"/>
  <c r="E33" i="38"/>
  <c r="E37" i="38"/>
  <c r="E44" i="38"/>
  <c r="E48" i="38"/>
  <c r="E22" i="38"/>
  <c r="E26" i="38"/>
  <c r="E30" i="38"/>
  <c r="E34" i="38"/>
  <c r="E38" i="38"/>
  <c r="E45" i="38"/>
  <c r="E49" i="38"/>
  <c r="D42" i="1"/>
  <c r="E42" i="1" s="1"/>
  <c r="F42" i="1" s="1"/>
  <c r="E20" i="38"/>
  <c r="D43" i="1"/>
  <c r="E43" i="1" s="1"/>
  <c r="F43" i="1" s="1"/>
  <c r="L32" i="39"/>
  <c r="L32" i="35"/>
  <c r="L32" i="38"/>
  <c r="L32" i="37"/>
  <c r="L32" i="36"/>
  <c r="L32" i="40"/>
  <c r="C46" i="1"/>
  <c r="C38" i="1"/>
  <c r="C40" i="1"/>
  <c r="C48" i="1"/>
  <c r="C47" i="1"/>
  <c r="C41" i="1"/>
  <c r="C39" i="1"/>
  <c r="C42" i="1"/>
  <c r="C43" i="1"/>
  <c r="C44" i="1"/>
  <c r="L32" i="15"/>
  <c r="Y43" i="15"/>
  <c r="Y42" i="15"/>
  <c r="Y41" i="15"/>
  <c r="Y40" i="15"/>
  <c r="Y39" i="15"/>
  <c r="Y38" i="15"/>
  <c r="Y37" i="15"/>
  <c r="Q42" i="15"/>
  <c r="Y36" i="15"/>
  <c r="Y35" i="15"/>
  <c r="Y34" i="15"/>
  <c r="Y33" i="15"/>
  <c r="Y32" i="15"/>
  <c r="Q37" i="15"/>
  <c r="Y31" i="15"/>
  <c r="Y30" i="15"/>
  <c r="Y29" i="15"/>
  <c r="Y28" i="15"/>
  <c r="Y27" i="15"/>
  <c r="Y26" i="15"/>
  <c r="Y25" i="15"/>
  <c r="Y24" i="15"/>
  <c r="Y23" i="15"/>
  <c r="Y22" i="15"/>
  <c r="Y21" i="15"/>
  <c r="Y20" i="15"/>
  <c r="Y19" i="15"/>
  <c r="Y18" i="15"/>
  <c r="AE57" i="1"/>
  <c r="AU47" i="1"/>
  <c r="AV47" i="1" s="1"/>
  <c r="AU46" i="1"/>
  <c r="AV46" i="1" s="1"/>
  <c r="AU45" i="1"/>
  <c r="AV45" i="1" s="1"/>
  <c r="AU44" i="1"/>
  <c r="AV44" i="1" s="1"/>
  <c r="AU43" i="1"/>
  <c r="AV43" i="1" s="1"/>
  <c r="Y57" i="1"/>
  <c r="AU42" i="1"/>
  <c r="AV42" i="1" s="1"/>
  <c r="AT48" i="1"/>
  <c r="AT32" i="1"/>
  <c r="T67" i="35" l="1"/>
  <c r="S67" i="35" s="1"/>
  <c r="N25" i="35"/>
  <c r="N23" i="35" s="1"/>
  <c r="G38" i="36"/>
  <c r="G46" i="36"/>
  <c r="G47" i="36"/>
  <c r="G49" i="36"/>
  <c r="G44" i="36"/>
  <c r="G48" i="36"/>
  <c r="G45" i="36"/>
  <c r="G22" i="36"/>
  <c r="G26" i="36"/>
  <c r="G43" i="36"/>
  <c r="G24" i="36"/>
  <c r="G42" i="36"/>
  <c r="G34" i="36"/>
  <c r="G20" i="36"/>
  <c r="F33" i="36"/>
  <c r="G36" i="36"/>
  <c r="F46" i="36"/>
  <c r="F30" i="36"/>
  <c r="G33" i="36"/>
  <c r="F36" i="36"/>
  <c r="G39" i="36"/>
  <c r="F42" i="36"/>
  <c r="G23" i="36"/>
  <c r="F48" i="36"/>
  <c r="F32" i="36"/>
  <c r="G25" i="36"/>
  <c r="F24" i="36"/>
  <c r="F21" i="36"/>
  <c r="F25" i="36"/>
  <c r="G37" i="36"/>
  <c r="F34" i="36"/>
  <c r="V67" i="36" s="1"/>
  <c r="F49" i="36"/>
  <c r="G35" i="36"/>
  <c r="F47" i="36"/>
  <c r="F27" i="36"/>
  <c r="G28" i="36"/>
  <c r="G31" i="36"/>
  <c r="F43" i="36"/>
  <c r="G27" i="36"/>
  <c r="G21" i="36"/>
  <c r="F44" i="36"/>
  <c r="F38" i="36"/>
  <c r="F26" i="36"/>
  <c r="G40" i="36"/>
  <c r="F45" i="36"/>
  <c r="G32" i="36"/>
  <c r="F29" i="36"/>
  <c r="R67" i="36" s="1"/>
  <c r="F35" i="36"/>
  <c r="G30" i="36"/>
  <c r="F41" i="36"/>
  <c r="F39" i="36"/>
  <c r="G29" i="36"/>
  <c r="F28" i="36"/>
  <c r="F40" i="36"/>
  <c r="F37" i="36"/>
  <c r="G41" i="36"/>
  <c r="F20" i="36"/>
  <c r="F31" i="36"/>
  <c r="F23" i="36"/>
  <c r="R30" i="35"/>
  <c r="R32" i="35" s="1"/>
  <c r="R42" i="35" s="1"/>
  <c r="R25" i="35"/>
  <c r="R37" i="35" s="1"/>
  <c r="E32" i="40"/>
  <c r="E20" i="39"/>
  <c r="E21" i="39"/>
  <c r="E25" i="39"/>
  <c r="E29" i="39"/>
  <c r="E33" i="39"/>
  <c r="E37" i="39"/>
  <c r="E41" i="39"/>
  <c r="E45" i="39"/>
  <c r="E49" i="39"/>
  <c r="E22" i="39"/>
  <c r="E26" i="39"/>
  <c r="E30" i="39"/>
  <c r="E34" i="39"/>
  <c r="E38" i="39"/>
  <c r="E42" i="39"/>
  <c r="E46" i="39"/>
  <c r="E19" i="39"/>
  <c r="E23" i="39"/>
  <c r="E27" i="39"/>
  <c r="E31" i="39"/>
  <c r="E35" i="39"/>
  <c r="E39" i="39"/>
  <c r="E43" i="39"/>
  <c r="E47" i="39"/>
  <c r="E24" i="39"/>
  <c r="E28" i="39"/>
  <c r="E32" i="39"/>
  <c r="E36" i="39"/>
  <c r="E40" i="39"/>
  <c r="E44" i="39"/>
  <c r="E48" i="39"/>
  <c r="AT47" i="1"/>
  <c r="AT43" i="1"/>
  <c r="AT44" i="1"/>
  <c r="AT42" i="1"/>
  <c r="AT45" i="1"/>
  <c r="AT46" i="1"/>
  <c r="N21" i="35" l="1"/>
  <c r="L47" i="36"/>
  <c r="I40" i="1" s="1"/>
  <c r="L35" i="36"/>
  <c r="L41" i="36" s="1"/>
  <c r="L44" i="36" s="1"/>
  <c r="R22" i="36"/>
  <c r="R30" i="36" s="1"/>
  <c r="Q43" i="36" s="1"/>
  <c r="R21" i="36"/>
  <c r="R29" i="36" s="1"/>
  <c r="F19" i="37"/>
  <c r="Q43" i="35"/>
  <c r="D44" i="1"/>
  <c r="E44" i="1" s="1"/>
  <c r="F44" i="1" s="1"/>
  <c r="E47" i="40"/>
  <c r="E46" i="40"/>
  <c r="E45" i="40"/>
  <c r="E44" i="40"/>
  <c r="E43" i="40"/>
  <c r="E27" i="40"/>
  <c r="E42" i="40"/>
  <c r="E26" i="40"/>
  <c r="E41" i="40"/>
  <c r="E25" i="40"/>
  <c r="E40" i="40"/>
  <c r="E24" i="40"/>
  <c r="E31" i="40"/>
  <c r="E30" i="40"/>
  <c r="E29" i="40"/>
  <c r="E28" i="40"/>
  <c r="E39" i="40"/>
  <c r="E23" i="40"/>
  <c r="E38" i="40"/>
  <c r="E22" i="40"/>
  <c r="E37" i="40"/>
  <c r="E21" i="40"/>
  <c r="E36" i="40"/>
  <c r="E20" i="40"/>
  <c r="E35" i="40"/>
  <c r="E19" i="40"/>
  <c r="E34" i="40"/>
  <c r="E49" i="40"/>
  <c r="E33" i="40"/>
  <c r="E48" i="40"/>
  <c r="R30" i="15"/>
  <c r="R29" i="15"/>
  <c r="K19" i="1"/>
  <c r="K21" i="1"/>
  <c r="V67" i="15"/>
  <c r="R67" i="15"/>
  <c r="G43" i="37" l="1"/>
  <c r="F34" i="37"/>
  <c r="V67" i="37" s="1"/>
  <c r="T67" i="36"/>
  <c r="S67" i="36" s="1"/>
  <c r="N25" i="36"/>
  <c r="G34" i="37"/>
  <c r="G49" i="37"/>
  <c r="G45" i="37"/>
  <c r="G48" i="37"/>
  <c r="G46" i="37"/>
  <c r="G47" i="37"/>
  <c r="R32" i="36"/>
  <c r="R42" i="36" s="1"/>
  <c r="G33" i="37"/>
  <c r="F47" i="37"/>
  <c r="F26" i="37"/>
  <c r="F39" i="37"/>
  <c r="G44" i="37"/>
  <c r="G31" i="37"/>
  <c r="G25" i="37"/>
  <c r="F35" i="37"/>
  <c r="F33" i="37"/>
  <c r="G39" i="37"/>
  <c r="F44" i="37"/>
  <c r="F28" i="37"/>
  <c r="R25" i="36"/>
  <c r="R37" i="36" s="1"/>
  <c r="F20" i="37"/>
  <c r="G40" i="37"/>
  <c r="G20" i="37"/>
  <c r="F36" i="37"/>
  <c r="G42" i="37"/>
  <c r="F37" i="37"/>
  <c r="Q38" i="36"/>
  <c r="F46" i="37"/>
  <c r="G38" i="37"/>
  <c r="F45" i="37"/>
  <c r="F25" i="37"/>
  <c r="G28" i="37"/>
  <c r="F40" i="37"/>
  <c r="G37" i="37"/>
  <c r="F49" i="37"/>
  <c r="F23" i="37"/>
  <c r="G27" i="37"/>
  <c r="G23" i="37"/>
  <c r="G24" i="37"/>
  <c r="F22" i="37"/>
  <c r="F38" i="37"/>
  <c r="G29" i="37"/>
  <c r="G26" i="37"/>
  <c r="F30" i="37"/>
  <c r="G35" i="37"/>
  <c r="G36" i="37"/>
  <c r="F21" i="37"/>
  <c r="G41" i="37"/>
  <c r="G32" i="37"/>
  <c r="F27" i="37"/>
  <c r="F29" i="37"/>
  <c r="R67" i="37" s="1"/>
  <c r="F43" i="37"/>
  <c r="F42" i="37"/>
  <c r="G21" i="37"/>
  <c r="F48" i="37"/>
  <c r="F41" i="37"/>
  <c r="G30" i="37"/>
  <c r="F32" i="37"/>
  <c r="G22" i="37"/>
  <c r="F31" i="37"/>
  <c r="F24" i="37"/>
  <c r="N25" i="15"/>
  <c r="N21" i="15" s="1"/>
  <c r="K20" i="1"/>
  <c r="K22" i="1"/>
  <c r="T67" i="15"/>
  <c r="S67" i="15" s="1"/>
  <c r="R25" i="15"/>
  <c r="R37" i="15" s="1"/>
  <c r="Q38" i="15"/>
  <c r="R21" i="37" l="1"/>
  <c r="R29" i="37" s="1"/>
  <c r="R22" i="37"/>
  <c r="N23" i="36"/>
  <c r="N21" i="36"/>
  <c r="L35" i="37"/>
  <c r="L41" i="37" s="1"/>
  <c r="L47" i="37"/>
  <c r="I41" i="1" s="1"/>
  <c r="F19" i="38"/>
  <c r="F39" i="38" s="1"/>
  <c r="N23" i="15"/>
  <c r="U10" i="1"/>
  <c r="H43" i="1"/>
  <c r="H41" i="1"/>
  <c r="H45" i="1"/>
  <c r="Y54" i="1"/>
  <c r="H46" i="1"/>
  <c r="H42" i="1"/>
  <c r="H47" i="1"/>
  <c r="H44" i="1"/>
  <c r="R32" i="15"/>
  <c r="R42" i="15" s="1"/>
  <c r="Q43" i="15"/>
  <c r="R25" i="37" l="1"/>
  <c r="R37" i="37" s="1"/>
  <c r="T67" i="37"/>
  <c r="S67" i="37" s="1"/>
  <c r="L44" i="37"/>
  <c r="F51" i="1"/>
  <c r="N25" i="37"/>
  <c r="N23" i="37" s="1"/>
  <c r="F25" i="38"/>
  <c r="F21" i="38"/>
  <c r="F35" i="38"/>
  <c r="Q38" i="37"/>
  <c r="F30" i="38"/>
  <c r="G33" i="38"/>
  <c r="G30" i="38"/>
  <c r="F26" i="38"/>
  <c r="F38" i="38"/>
  <c r="F27" i="38"/>
  <c r="F41" i="38"/>
  <c r="G43" i="38"/>
  <c r="G32" i="38"/>
  <c r="G46" i="38"/>
  <c r="G38" i="38"/>
  <c r="F42" i="38"/>
  <c r="G40" i="38"/>
  <c r="G31" i="38"/>
  <c r="F32" i="38"/>
  <c r="V67" i="38" s="1"/>
  <c r="G45" i="38"/>
  <c r="F49" i="38"/>
  <c r="G34" i="38"/>
  <c r="G25" i="38"/>
  <c r="F28" i="38"/>
  <c r="R30" i="37"/>
  <c r="Q43" i="37" s="1"/>
  <c r="F45" i="38"/>
  <c r="G49" i="38"/>
  <c r="G21" i="38"/>
  <c r="F22" i="38"/>
  <c r="G48" i="38"/>
  <c r="F23" i="38"/>
  <c r="G27" i="38"/>
  <c r="G20" i="38"/>
  <c r="F43" i="38"/>
  <c r="G42" i="38"/>
  <c r="F36" i="38"/>
  <c r="F34" i="38"/>
  <c r="G26" i="38"/>
  <c r="F46" i="38"/>
  <c r="F20" i="38"/>
  <c r="F44" i="38"/>
  <c r="G44" i="38"/>
  <c r="G37" i="38"/>
  <c r="G41" i="38"/>
  <c r="F24" i="38"/>
  <c r="G39" i="38"/>
  <c r="F33" i="38"/>
  <c r="F47" i="38"/>
  <c r="G28" i="38"/>
  <c r="G47" i="38"/>
  <c r="F40" i="38"/>
  <c r="G35" i="38"/>
  <c r="F37" i="38"/>
  <c r="G29" i="38"/>
  <c r="F48" i="38"/>
  <c r="G23" i="38"/>
  <c r="F29" i="38"/>
  <c r="F31" i="38"/>
  <c r="R67" i="38" s="1"/>
  <c r="G24" i="38"/>
  <c r="G22" i="38"/>
  <c r="G36" i="38"/>
  <c r="H48" i="1"/>
  <c r="H40" i="1"/>
  <c r="F53" i="1" s="1"/>
  <c r="F52" i="1"/>
  <c r="AT33" i="1"/>
  <c r="K32" i="1"/>
  <c r="R22" i="38" l="1"/>
  <c r="R21" i="38"/>
  <c r="R29" i="38" s="1"/>
  <c r="N21" i="37"/>
  <c r="L35" i="38"/>
  <c r="L41" i="38" s="1"/>
  <c r="L44" i="38" s="1"/>
  <c r="L47" i="38"/>
  <c r="I42" i="1" s="1"/>
  <c r="F19" i="39"/>
  <c r="G36" i="39" s="1"/>
  <c r="R32" i="37"/>
  <c r="R42" i="37" s="1"/>
  <c r="F54" i="1"/>
  <c r="N25" i="38" l="1"/>
  <c r="N21" i="38" s="1"/>
  <c r="T67" i="38"/>
  <c r="S67" i="38" s="1"/>
  <c r="F21" i="39"/>
  <c r="G49" i="39"/>
  <c r="G31" i="39"/>
  <c r="F37" i="39"/>
  <c r="F32" i="39"/>
  <c r="V67" i="39" s="1"/>
  <c r="G45" i="39"/>
  <c r="G34" i="39"/>
  <c r="F45" i="39"/>
  <c r="F48" i="39"/>
  <c r="G32" i="39"/>
  <c r="G23" i="39"/>
  <c r="F34" i="39"/>
  <c r="G25" i="39"/>
  <c r="F27" i="39"/>
  <c r="G30" i="39"/>
  <c r="G29" i="39"/>
  <c r="F23" i="39"/>
  <c r="G44" i="39"/>
  <c r="F49" i="39"/>
  <c r="G27" i="39"/>
  <c r="F33" i="39"/>
  <c r="F30" i="39"/>
  <c r="G37" i="39"/>
  <c r="F25" i="39"/>
  <c r="F20" i="39"/>
  <c r="F41" i="39"/>
  <c r="G28" i="39"/>
  <c r="F22" i="39"/>
  <c r="F24" i="39"/>
  <c r="F29" i="39"/>
  <c r="F46" i="39"/>
  <c r="F35" i="39"/>
  <c r="F26" i="39"/>
  <c r="F31" i="39"/>
  <c r="R67" i="39" s="1"/>
  <c r="G33" i="39"/>
  <c r="F38" i="39"/>
  <c r="G35" i="39"/>
  <c r="G24" i="39"/>
  <c r="F44" i="39"/>
  <c r="F36" i="39"/>
  <c r="F39" i="39"/>
  <c r="G47" i="39"/>
  <c r="G20" i="39"/>
  <c r="F28" i="39"/>
  <c r="G48" i="39"/>
  <c r="G42" i="39"/>
  <c r="G26" i="39"/>
  <c r="G40" i="39"/>
  <c r="G21" i="39"/>
  <c r="G39" i="39"/>
  <c r="F40" i="39"/>
  <c r="G22" i="39"/>
  <c r="G38" i="39"/>
  <c r="F47" i="39"/>
  <c r="G46" i="39"/>
  <c r="F43" i="39"/>
  <c r="G41" i="39"/>
  <c r="F42" i="39"/>
  <c r="G43" i="39"/>
  <c r="R30" i="38"/>
  <c r="Q38" i="38"/>
  <c r="R25" i="38"/>
  <c r="R37" i="38" s="1"/>
  <c r="N23" i="38" l="1"/>
  <c r="R21" i="39"/>
  <c r="R29" i="39" s="1"/>
  <c r="R22" i="39"/>
  <c r="L47" i="39"/>
  <c r="I43" i="1" s="1"/>
  <c r="L35" i="39"/>
  <c r="L41" i="39" s="1"/>
  <c r="L44" i="39" s="1"/>
  <c r="F19" i="40"/>
  <c r="Q43" i="38"/>
  <c r="R32" i="38"/>
  <c r="R42" i="38" s="1"/>
  <c r="N25" i="39" l="1"/>
  <c r="N21" i="39" s="1"/>
  <c r="T67" i="39"/>
  <c r="S67" i="39" s="1"/>
  <c r="F23" i="40"/>
  <c r="F34" i="40"/>
  <c r="R67" i="40" s="1"/>
  <c r="G31" i="40"/>
  <c r="G29" i="40"/>
  <c r="F49" i="40"/>
  <c r="F43" i="40"/>
  <c r="F25" i="40"/>
  <c r="G40" i="40"/>
  <c r="G27" i="40"/>
  <c r="G28" i="40"/>
  <c r="F32" i="40"/>
  <c r="V67" i="40" s="1"/>
  <c r="F45" i="40"/>
  <c r="G42" i="40"/>
  <c r="F36" i="40"/>
  <c r="G47" i="40"/>
  <c r="F39" i="40"/>
  <c r="F21" i="40"/>
  <c r="G46" i="40"/>
  <c r="G34" i="40"/>
  <c r="G22" i="40"/>
  <c r="F28" i="40"/>
  <c r="G49" i="40"/>
  <c r="G43" i="40"/>
  <c r="G20" i="40"/>
  <c r="F26" i="40"/>
  <c r="F24" i="40"/>
  <c r="F37" i="40"/>
  <c r="G24" i="40"/>
  <c r="G21" i="40"/>
  <c r="G36" i="40"/>
  <c r="F44" i="40"/>
  <c r="G38" i="40"/>
  <c r="G33" i="40"/>
  <c r="G37" i="40"/>
  <c r="F31" i="40"/>
  <c r="F42" i="40"/>
  <c r="G41" i="40"/>
  <c r="G35" i="40"/>
  <c r="F46" i="40"/>
  <c r="F20" i="40"/>
  <c r="F40" i="40"/>
  <c r="F22" i="40"/>
  <c r="G48" i="40"/>
  <c r="F35" i="40"/>
  <c r="F27" i="40"/>
  <c r="F38" i="40"/>
  <c r="G44" i="40"/>
  <c r="G25" i="40"/>
  <c r="F30" i="40"/>
  <c r="F47" i="40"/>
  <c r="F29" i="40"/>
  <c r="G32" i="40"/>
  <c r="G39" i="40"/>
  <c r="F33" i="40"/>
  <c r="G30" i="40"/>
  <c r="F41" i="40"/>
  <c r="G45" i="40"/>
  <c r="F48" i="40"/>
  <c r="G26" i="40"/>
  <c r="G23" i="40"/>
  <c r="Q38" i="39"/>
  <c r="R30" i="39"/>
  <c r="R25" i="39"/>
  <c r="R37" i="39" s="1"/>
  <c r="R22" i="40" l="1"/>
  <c r="R21" i="40"/>
  <c r="R29" i="40" s="1"/>
  <c r="N23" i="39"/>
  <c r="L47" i="40"/>
  <c r="L35" i="40"/>
  <c r="L41" i="40" s="1"/>
  <c r="T67" i="40" s="1"/>
  <c r="S67" i="40" s="1"/>
  <c r="R32" i="39"/>
  <c r="R42" i="39" s="1"/>
  <c r="Q43" i="39"/>
  <c r="I44" i="1" l="1"/>
  <c r="N25" i="40"/>
  <c r="N23" i="40" s="1"/>
  <c r="L44" i="40"/>
  <c r="R30" i="40"/>
  <c r="Q38" i="40"/>
  <c r="R25" i="40"/>
  <c r="R37" i="40" s="1"/>
  <c r="N21" i="40" l="1"/>
  <c r="R32" i="40"/>
  <c r="R42" i="40" s="1"/>
  <c r="Q43" i="4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GEO-01</author>
  </authors>
  <commentList>
    <comment ref="F12" authorId="0" shapeId="0" xr:uid="{00000000-0006-0000-0000-000001000000}">
      <text>
        <r>
          <rPr>
            <b/>
            <sz val="9"/>
            <color indexed="81"/>
            <rFont val="Tahoma"/>
            <family val="2"/>
          </rPr>
          <t xml:space="preserve">escribir N. de la perforación 
</t>
        </r>
      </text>
    </comment>
    <comment ref="AS28" authorId="1" shapeId="0" xr:uid="{00000000-0006-0000-0000-000002000000}">
      <text>
        <r>
          <rPr>
            <b/>
            <sz val="9"/>
            <color indexed="81"/>
            <rFont val="Tahoma"/>
            <family val="2"/>
          </rPr>
          <t>GEO-01:</t>
        </r>
        <r>
          <rPr>
            <sz val="9"/>
            <color indexed="81"/>
            <rFont val="Tahoma"/>
            <family val="2"/>
          </rPr>
          <t xml:space="preserve">
inserte datos peso unitario parafinado
</t>
        </r>
      </text>
    </comment>
    <comment ref="K30" authorId="0" shapeId="0" xr:uid="{00000000-0006-0000-0000-000003000000}">
      <text>
        <r>
          <rPr>
            <b/>
            <sz val="9"/>
            <color indexed="81"/>
            <rFont val="Tahoma"/>
            <family val="2"/>
          </rPr>
          <t xml:space="preserve">CALCULAR LA GRAVEDAD ESPECIFICA EN SU RESPECTIVO FORMATO Y APUNTAR EL VALOR 
</t>
        </r>
      </text>
    </comment>
    <comment ref="AL55" authorId="0" shapeId="0" xr:uid="{00000000-0006-0000-0000-000004000000}">
      <text>
        <r>
          <rPr>
            <sz val="9"/>
            <color indexed="81"/>
            <rFont val="Tahoma"/>
            <family val="2"/>
          </rPr>
          <t>TAMAÑO DEL MATERIAL EXCLUIDO DEL ENSAYO CUANDO NO TIENE PONER</t>
        </r>
        <r>
          <rPr>
            <b/>
            <sz val="9"/>
            <color indexed="81"/>
            <rFont val="Tahoma"/>
            <family val="2"/>
          </rPr>
          <t xml:space="preserve"> N/A</t>
        </r>
      </text>
    </comment>
    <comment ref="AM55" authorId="0" shapeId="0" xr:uid="{00000000-0006-0000-0000-000005000000}">
      <text>
        <r>
          <rPr>
            <sz val="9"/>
            <color indexed="81"/>
            <rFont val="Tahoma"/>
            <family val="2"/>
          </rPr>
          <t>MASA DE LA MUESTRA EXCLUIDA PARA EL ENSAYO CUANDO NO TIENE PONER</t>
        </r>
        <r>
          <rPr>
            <b/>
            <sz val="9"/>
            <color indexed="81"/>
            <rFont val="Tahoma"/>
            <family val="2"/>
          </rPr>
          <t xml:space="preserve"> N/A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 Maria Fernanda</author>
    <author>GeoDelta</author>
  </authors>
  <commentList>
    <comment ref="Q66" authorId="0" shapeId="0" xr:uid="{00000000-0006-0000-0100-000001000000}">
      <text>
        <r>
          <rPr>
            <b/>
            <sz val="9"/>
            <color indexed="81"/>
            <rFont val="Tahoma"/>
            <family val="2"/>
          </rPr>
          <t xml:space="preserve">Raíz de tiempo donde corta 
</t>
        </r>
      </text>
    </comment>
    <comment ref="U67" authorId="1" shapeId="0" xr:uid="{00000000-0006-0000-0100-000002000000}">
      <text>
        <r>
          <rPr>
            <b/>
            <sz val="9"/>
            <color indexed="81"/>
            <rFont val="Tahoma"/>
            <family val="2"/>
          </rPr>
          <t>Geodelta:</t>
        </r>
        <r>
          <rPr>
            <sz val="9"/>
            <color indexed="81"/>
            <rFont val="Tahoma"/>
            <family val="2"/>
          </rPr>
          <t xml:space="preserve">
Raíz de tiempo después que corta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Ing Maria Fernanda</author>
    <author>GeoDelta</author>
  </authors>
  <commentList>
    <comment ref="Q66" authorId="0" shapeId="0" xr:uid="{00000000-0006-0000-0200-000001000000}">
      <text>
        <r>
          <rPr>
            <b/>
            <sz val="9"/>
            <color indexed="81"/>
            <rFont val="Tahoma"/>
            <family val="2"/>
          </rPr>
          <t xml:space="preserve">Raíz de tiempo donde corta 
</t>
        </r>
      </text>
    </comment>
    <comment ref="U67" authorId="1" shapeId="0" xr:uid="{00000000-0006-0000-0200-000002000000}">
      <text>
        <r>
          <rPr>
            <b/>
            <sz val="9"/>
            <color indexed="81"/>
            <rFont val="Tahoma"/>
            <family val="2"/>
          </rPr>
          <t>Geodelta:</t>
        </r>
        <r>
          <rPr>
            <sz val="9"/>
            <color indexed="81"/>
            <rFont val="Tahoma"/>
            <family val="2"/>
          </rPr>
          <t xml:space="preserve">
Raíz de tiempo después que corta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Ing Maria Fernanda</author>
    <author>GeoDelta</author>
  </authors>
  <commentList>
    <comment ref="Q66" authorId="0" shapeId="0" xr:uid="{00000000-0006-0000-0300-000001000000}">
      <text>
        <r>
          <rPr>
            <b/>
            <sz val="9"/>
            <color indexed="81"/>
            <rFont val="Tahoma"/>
            <family val="2"/>
          </rPr>
          <t xml:space="preserve">Raíz de tiempo donde corta 
</t>
        </r>
      </text>
    </comment>
    <comment ref="U67" authorId="1" shapeId="0" xr:uid="{00000000-0006-0000-0300-000002000000}">
      <text>
        <r>
          <rPr>
            <b/>
            <sz val="9"/>
            <color indexed="81"/>
            <rFont val="Tahoma"/>
            <family val="2"/>
          </rPr>
          <t>Geodelta:</t>
        </r>
        <r>
          <rPr>
            <sz val="9"/>
            <color indexed="81"/>
            <rFont val="Tahoma"/>
            <family val="2"/>
          </rPr>
          <t xml:space="preserve">
Raíz de tiempo después que corta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Ing Maria Fernanda</author>
    <author>GeoDelta</author>
  </authors>
  <commentList>
    <comment ref="Q66" authorId="0" shapeId="0" xr:uid="{00000000-0006-0000-0400-000001000000}">
      <text>
        <r>
          <rPr>
            <b/>
            <sz val="9"/>
            <color indexed="81"/>
            <rFont val="Tahoma"/>
            <family val="2"/>
          </rPr>
          <t xml:space="preserve">Raíz de tiempo donde corta 
</t>
        </r>
      </text>
    </comment>
    <comment ref="U67" authorId="1" shapeId="0" xr:uid="{00000000-0006-0000-0400-000002000000}">
      <text>
        <r>
          <rPr>
            <b/>
            <sz val="9"/>
            <color indexed="81"/>
            <rFont val="Tahoma"/>
            <family val="2"/>
          </rPr>
          <t>Geodelta:</t>
        </r>
        <r>
          <rPr>
            <sz val="9"/>
            <color indexed="81"/>
            <rFont val="Tahoma"/>
            <family val="2"/>
          </rPr>
          <t xml:space="preserve">
Raíz de tiempo después que corta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Ing Maria Fernanda</author>
    <author>GeoDelta</author>
  </authors>
  <commentList>
    <comment ref="Q66" authorId="0" shapeId="0" xr:uid="{00000000-0006-0000-0500-000001000000}">
      <text>
        <r>
          <rPr>
            <b/>
            <sz val="9"/>
            <color indexed="81"/>
            <rFont val="Tahoma"/>
            <family val="2"/>
          </rPr>
          <t xml:space="preserve">Raíz de tiempo donde corta 
</t>
        </r>
      </text>
    </comment>
    <comment ref="U67" authorId="1" shapeId="0" xr:uid="{00000000-0006-0000-0500-000002000000}">
      <text>
        <r>
          <rPr>
            <b/>
            <sz val="9"/>
            <color indexed="81"/>
            <rFont val="Tahoma"/>
            <family val="2"/>
          </rPr>
          <t>Geodelta:</t>
        </r>
        <r>
          <rPr>
            <sz val="9"/>
            <color indexed="81"/>
            <rFont val="Tahoma"/>
            <family val="2"/>
          </rPr>
          <t xml:space="preserve">
Raíz de tiempo después que corta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Ing Maria Fernanda</author>
    <author>GeoDelta</author>
  </authors>
  <commentList>
    <comment ref="Q66" authorId="0" shapeId="0" xr:uid="{00000000-0006-0000-0600-000001000000}">
      <text>
        <r>
          <rPr>
            <b/>
            <sz val="9"/>
            <color indexed="81"/>
            <rFont val="Tahoma"/>
            <family val="2"/>
          </rPr>
          <t xml:space="preserve">Raíz de tiempo donde corta 
</t>
        </r>
      </text>
    </comment>
    <comment ref="U67" authorId="1" shapeId="0" xr:uid="{00000000-0006-0000-0600-000002000000}">
      <text>
        <r>
          <rPr>
            <b/>
            <sz val="9"/>
            <color indexed="81"/>
            <rFont val="Tahoma"/>
            <family val="2"/>
          </rPr>
          <t>Geodelta:</t>
        </r>
        <r>
          <rPr>
            <sz val="9"/>
            <color indexed="81"/>
            <rFont val="Tahoma"/>
            <family val="2"/>
          </rPr>
          <t xml:space="preserve">
Raíz de tiempo después que corta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Ing Maria Fernanda</author>
    <author>GeoDelta</author>
  </authors>
  <commentList>
    <comment ref="Q66" authorId="0" shapeId="0" xr:uid="{00000000-0006-0000-0700-000001000000}">
      <text>
        <r>
          <rPr>
            <b/>
            <sz val="9"/>
            <color indexed="81"/>
            <rFont val="Tahoma"/>
            <family val="2"/>
          </rPr>
          <t xml:space="preserve">Raíz de tiempo donde corta 
</t>
        </r>
      </text>
    </comment>
    <comment ref="U67" authorId="1" shapeId="0" xr:uid="{00000000-0006-0000-0700-000002000000}">
      <text>
        <r>
          <rPr>
            <b/>
            <sz val="9"/>
            <color indexed="81"/>
            <rFont val="Tahoma"/>
            <family val="2"/>
          </rPr>
          <t>Geodelta:</t>
        </r>
        <r>
          <rPr>
            <sz val="9"/>
            <color indexed="81"/>
            <rFont val="Tahoma"/>
            <family val="2"/>
          </rPr>
          <t xml:space="preserve">
Raíz de tiempo después que corta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J9" authorId="0" shapeId="0" xr:uid="{00000000-0006-0000-0A00-000001000000}">
      <text>
        <r>
          <rPr>
            <sz val="9"/>
            <color indexed="81"/>
            <rFont val="Tahoma"/>
            <family val="2"/>
          </rPr>
          <t>CONSECUTIVO DE INGRESO</t>
        </r>
      </text>
    </comment>
    <comment ref="K9" authorId="0" shapeId="0" xr:uid="{00000000-0006-0000-0A00-000002000000}">
      <text>
        <r>
          <rPr>
            <sz val="9"/>
            <color indexed="81"/>
            <rFont val="Tahoma"/>
            <family val="2"/>
          </rPr>
          <t>DOS ÚLTIMOS DÍGITOS DEL AÑO DE INGRESO</t>
        </r>
      </text>
    </comment>
    <comment ref="D12" authorId="0" shapeId="0" xr:uid="{00000000-0006-0000-0A00-000003000000}">
      <text>
        <r>
          <rPr>
            <b/>
            <sz val="9"/>
            <color indexed="81"/>
            <rFont val="Tahoma"/>
            <family val="2"/>
          </rPr>
          <t xml:space="preserve"># DE LA PERFORACIÓN
</t>
        </r>
      </text>
    </comment>
    <comment ref="E33" authorId="0" shapeId="0" xr:uid="{00000000-0006-0000-0A00-000004000000}">
      <text>
        <r>
          <rPr>
            <sz val="9"/>
            <color indexed="81"/>
            <rFont val="Tahoma"/>
            <family val="2"/>
          </rPr>
          <t>SI NO SE EXCLUYO NINGUN MATERIAL PONER</t>
        </r>
        <r>
          <rPr>
            <b/>
            <sz val="9"/>
            <color indexed="81"/>
            <rFont val="Tahoma"/>
            <family val="2"/>
          </rPr>
          <t xml:space="preserve"> N/A</t>
        </r>
      </text>
    </comment>
    <comment ref="Q36" authorId="0" shapeId="0" xr:uid="{00000000-0006-0000-0A00-000005000000}">
      <text>
        <r>
          <rPr>
            <sz val="9"/>
            <color indexed="81"/>
            <rFont val="Tahoma"/>
            <family val="2"/>
          </rPr>
          <t>TAMAÑO DEL MATERIAL EXCLUIDO DEL ENSAYO CUANDO NO TIENE PONER</t>
        </r>
        <r>
          <rPr>
            <b/>
            <sz val="9"/>
            <color indexed="81"/>
            <rFont val="Tahoma"/>
            <family val="2"/>
          </rPr>
          <t xml:space="preserve"> N/A</t>
        </r>
      </text>
    </comment>
    <comment ref="R36" authorId="0" shapeId="0" xr:uid="{00000000-0006-0000-0A00-000006000000}">
      <text>
        <r>
          <rPr>
            <sz val="9"/>
            <color indexed="81"/>
            <rFont val="Tahoma"/>
            <family val="2"/>
          </rPr>
          <t>MASA DE LA MUESTRA EXCLUIDA PARA EL ENSAYO CUANDO NO TIENE PONER</t>
        </r>
        <r>
          <rPr>
            <b/>
            <sz val="9"/>
            <color indexed="81"/>
            <rFont val="Tahoma"/>
            <family val="2"/>
          </rPr>
          <t xml:space="preserve"> N/A</t>
        </r>
      </text>
    </comment>
  </commentList>
</comments>
</file>

<file path=xl/sharedStrings.xml><?xml version="1.0" encoding="utf-8"?>
<sst xmlns="http://schemas.openxmlformats.org/spreadsheetml/2006/main" count="950" uniqueCount="260">
  <si>
    <t>CLIENTE:</t>
  </si>
  <si>
    <t>PROYECTO:</t>
  </si>
  <si>
    <t>PERFORACIÓN:</t>
  </si>
  <si>
    <t>OBSERVACIONES:</t>
  </si>
  <si>
    <t xml:space="preserve">DATOS DE LA MUESTRA </t>
  </si>
  <si>
    <t>g</t>
  </si>
  <si>
    <t>INICIAL</t>
  </si>
  <si>
    <t xml:space="preserve">FINAL </t>
  </si>
  <si>
    <t>Masa seca Md</t>
  </si>
  <si>
    <t xml:space="preserve">datos peso unitario </t>
  </si>
  <si>
    <t>Diámetro del anillo (cm)</t>
  </si>
  <si>
    <t xml:space="preserve">Volumen de solidos </t>
  </si>
  <si>
    <t>masa aire</t>
  </si>
  <si>
    <t>Altura inicial de la muestra (cm)</t>
  </si>
  <si>
    <t>Hs</t>
  </si>
  <si>
    <t>cm</t>
  </si>
  <si>
    <t>masa parafinada</t>
  </si>
  <si>
    <t>Volumen inicial de la muestra. (cm³)</t>
  </si>
  <si>
    <t>masa sumergida</t>
  </si>
  <si>
    <t>Área inicial de la muestra (cm²)</t>
  </si>
  <si>
    <t>Masa del anillo mas muestra (g)</t>
  </si>
  <si>
    <t>Masa del anillo (g)</t>
  </si>
  <si>
    <t xml:space="preserve">Saturación inicial </t>
  </si>
  <si>
    <t>%</t>
  </si>
  <si>
    <t>Masa seca inicial</t>
  </si>
  <si>
    <t xml:space="preserve">Saturación final </t>
  </si>
  <si>
    <t>RECIPIENTE No.</t>
  </si>
  <si>
    <t>Masa Piedra porosa</t>
  </si>
  <si>
    <t>Peso recipiente (g)</t>
  </si>
  <si>
    <t xml:space="preserve"> HUMEDAD  (%)</t>
  </si>
  <si>
    <t>FUERZA</t>
  </si>
  <si>
    <t xml:space="preserve">ESFUERZO </t>
  </si>
  <si>
    <t>ALTURA</t>
  </si>
  <si>
    <t>DEFORMACIÓN</t>
  </si>
  <si>
    <t>RELACIÓN</t>
  </si>
  <si>
    <t>ESFUERZO</t>
  </si>
  <si>
    <t>DEFORMACIÓN UNITARIA</t>
  </si>
  <si>
    <t>APLICADA</t>
  </si>
  <si>
    <t>APLICADO</t>
  </si>
  <si>
    <t>MUESTRA</t>
  </si>
  <si>
    <t>VERTICAL</t>
  </si>
  <si>
    <t>VACÍOS</t>
  </si>
  <si>
    <t>(N)</t>
  </si>
  <si>
    <t>(mm)</t>
  </si>
  <si>
    <t>H,  (mm)</t>
  </si>
  <si>
    <t>UNITARIA, %</t>
  </si>
  <si>
    <t>e</t>
  </si>
  <si>
    <t xml:space="preserve">DESCARGAS </t>
  </si>
  <si>
    <t>Hs (mm)</t>
  </si>
  <si>
    <t>Masa de asiento  (kg)</t>
  </si>
  <si>
    <t>fuerza aplicada en (N)</t>
  </si>
  <si>
    <t>Área (cm2)</t>
  </si>
  <si>
    <t>g (m/s2)</t>
  </si>
  <si>
    <t>Índice de compresión</t>
  </si>
  <si>
    <t>Cc</t>
  </si>
  <si>
    <t>Coeficiente de compresibilidad</t>
  </si>
  <si>
    <t>av</t>
  </si>
  <si>
    <t xml:space="preserve">Coeficiente de compresibilidad volumétrica </t>
  </si>
  <si>
    <t>mv</t>
  </si>
  <si>
    <t>Esfuerzo de Preconsolidación</t>
  </si>
  <si>
    <t>kPa</t>
  </si>
  <si>
    <t xml:space="preserve">                         </t>
  </si>
  <si>
    <t>TEMPERATURA</t>
  </si>
  <si>
    <t>DENSIDAD DEL AGUA</t>
  </si>
  <si>
    <t>GRADOS DE CONSOLIDACIÓN</t>
  </si>
  <si>
    <t>CARGA APLICADA (Kg)</t>
  </si>
  <si>
    <t>ESFUERZO APLICADO (kg/cm²)</t>
  </si>
  <si>
    <t>TIEMPO (min)</t>
  </si>
  <si>
    <t xml:space="preserve">RAÍZ DE TIEMPO </t>
  </si>
  <si>
    <t>ALTURA DE LA MUESTRA  (mm)</t>
  </si>
  <si>
    <t>DEFORMACIÓN UNITARIA (%)</t>
  </si>
  <si>
    <t>Y =</t>
  </si>
  <si>
    <t>MX+B</t>
  </si>
  <si>
    <t>6" (0.1´)</t>
  </si>
  <si>
    <t>15" (0.25')</t>
  </si>
  <si>
    <t>M</t>
  </si>
  <si>
    <t>30" (0.5')</t>
  </si>
  <si>
    <t>B</t>
  </si>
  <si>
    <t>Y=</t>
  </si>
  <si>
    <t>X=</t>
  </si>
  <si>
    <t>LINE 2</t>
  </si>
  <si>
    <t xml:space="preserve">GRAFICA LINE A </t>
  </si>
  <si>
    <t>Y</t>
  </si>
  <si>
    <t>X</t>
  </si>
  <si>
    <t>D90</t>
  </si>
  <si>
    <t>D100</t>
  </si>
  <si>
    <t>T100</t>
  </si>
  <si>
    <t>x0</t>
  </si>
  <si>
    <t>y0</t>
  </si>
  <si>
    <t>x=?</t>
  </si>
  <si>
    <t>y</t>
  </si>
  <si>
    <t>x1</t>
  </si>
  <si>
    <t>y1</t>
  </si>
  <si>
    <t>0,25 kg</t>
  </si>
  <si>
    <t xml:space="preserve">0,5 kg </t>
  </si>
  <si>
    <t>1,0 kg</t>
  </si>
  <si>
    <t>2,0 kg</t>
  </si>
  <si>
    <t>4,0 kg</t>
  </si>
  <si>
    <t>8,0 kg</t>
  </si>
  <si>
    <t>16 kg</t>
  </si>
  <si>
    <t>DESCARGA</t>
  </si>
  <si>
    <t>CARGA BRAZO (kg)</t>
  </si>
  <si>
    <t>Deformación  (mm)</t>
  </si>
  <si>
    <t>tiempo (mm)</t>
  </si>
  <si>
    <t>deformación (mm)</t>
  </si>
  <si>
    <t>32 kg</t>
  </si>
  <si>
    <t>DEF. INICIAL</t>
  </si>
  <si>
    <t>Masa de la muestra Mt (g)</t>
  </si>
  <si>
    <t>Humedad inicial</t>
  </si>
  <si>
    <t>Humedad final</t>
  </si>
  <si>
    <t>INT. EN Y</t>
  </si>
  <si>
    <t>COEFICIENTE</t>
  </si>
  <si>
    <t>Cr</t>
  </si>
  <si>
    <t>Densidad seca inicial</t>
  </si>
  <si>
    <t>Densidad húmeda inicial</t>
  </si>
  <si>
    <t>CONS. Cv</t>
  </si>
  <si>
    <t xml:space="preserve">HUMEDAD DE LA MUESTRA </t>
  </si>
  <si>
    <t>Peso suelo inicial húmedo + recipiente. (g)</t>
  </si>
  <si>
    <t>Peso suelo inicial seco + recipiente. (g)</t>
  </si>
  <si>
    <t>INFORME DE RESULTADOS</t>
  </si>
  <si>
    <t>110°C ±5</t>
  </si>
  <si>
    <t>(A) LAVADO CON AGUA NATURAL</t>
  </si>
  <si>
    <t>60°C ±5</t>
  </si>
  <si>
    <t xml:space="preserve">(B) LAVADO CON AGUA Y AGENTE HUMECTANTE </t>
  </si>
  <si>
    <t xml:space="preserve">tipo de perforación </t>
  </si>
  <si>
    <t>FECHA DE RECEPCIÓN:</t>
  </si>
  <si>
    <t>SONDEO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</si>
  <si>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</si>
  <si>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</si>
  <si>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</si>
  <si>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</si>
  <si>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</si>
  <si>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</si>
  <si>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</si>
  <si>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</si>
  <si>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</si>
  <si>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</si>
  <si>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</si>
  <si>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</si>
  <si>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MUESTRA No. :</t>
  </si>
  <si>
    <t xml:space="preserve">PROFUNDIDAD: </t>
  </si>
  <si>
    <t>-</t>
  </si>
  <si>
    <t xml:space="preserve">DESCRIPCIÓN VISUAL: </t>
  </si>
  <si>
    <t xml:space="preserve">OBSERVACIONES: </t>
  </si>
  <si>
    <t xml:space="preserve">RESULTADOS DEL ENSAYO </t>
  </si>
  <si>
    <t xml:space="preserve">EQUIPO UTILIZADO </t>
  </si>
  <si>
    <t xml:space="preserve">Peso unitario total inicial       </t>
  </si>
  <si>
    <t xml:space="preserve">Peso unitario total seco inicial </t>
  </si>
  <si>
    <t>CONDICIONES DEL ENSAYO</t>
  </si>
  <si>
    <t xml:space="preserve">CONDICIÓN INICIAL DEL ENSAYO </t>
  </si>
  <si>
    <t>EQUIPO 1</t>
  </si>
  <si>
    <t>EQUIPO 2</t>
  </si>
  <si>
    <t>EQUIPO 3</t>
  </si>
  <si>
    <t>EQUIPO 4</t>
  </si>
  <si>
    <t xml:space="preserve">PROCEDIMIENTO DE INTERPRETACIÓN </t>
  </si>
  <si>
    <t xml:space="preserve">Masa después del ensayo Mtf      </t>
  </si>
  <si>
    <t>g/cm³</t>
  </si>
  <si>
    <r>
      <t>cm</t>
    </r>
    <r>
      <rPr>
        <b/>
        <sz val="12"/>
        <rFont val="Arial"/>
        <family val="2"/>
      </rPr>
      <t>³</t>
    </r>
  </si>
  <si>
    <r>
      <t>ΔH  (L</t>
    </r>
    <r>
      <rPr>
        <b/>
        <vertAlign val="subscript"/>
        <sz val="11"/>
        <color rgb="FF002060"/>
        <rFont val="Arial"/>
        <family val="2"/>
      </rPr>
      <t>f</t>
    </r>
    <r>
      <rPr>
        <b/>
        <sz val="11"/>
        <color rgb="FF002060"/>
        <rFont val="Arial"/>
        <family val="2"/>
      </rPr>
      <t>)</t>
    </r>
  </si>
  <si>
    <r>
      <t>σ</t>
    </r>
    <r>
      <rPr>
        <b/>
        <vertAlign val="subscript"/>
        <sz val="11"/>
        <color rgb="FF002060"/>
        <rFont val="Arial"/>
        <family val="2"/>
      </rPr>
      <t>a</t>
    </r>
    <r>
      <rPr>
        <b/>
        <sz val="11"/>
        <color rgb="FF002060"/>
        <rFont val="Arial"/>
        <family val="2"/>
      </rPr>
      <t xml:space="preserve"> (kPa)</t>
    </r>
  </si>
  <si>
    <r>
      <t>(cm</t>
    </r>
    <r>
      <rPr>
        <b/>
        <vertAlign val="superscript"/>
        <sz val="11"/>
        <color rgb="FF002060"/>
        <rFont val="Arial"/>
        <family val="2"/>
      </rPr>
      <t>2</t>
    </r>
    <r>
      <rPr>
        <b/>
        <sz val="11"/>
        <color rgb="FF002060"/>
        <rFont val="Arial"/>
        <family val="2"/>
      </rPr>
      <t>/s)</t>
    </r>
  </si>
  <si>
    <t xml:space="preserve"> ASENTAMIENTO PARA  0%  (mm)</t>
  </si>
  <si>
    <t xml:space="preserve"> ASENTAMIENTO PARA  50%    (mm)</t>
  </si>
  <si>
    <t xml:space="preserve"> ASENTAMIENTO PARA  90%    (mm)</t>
  </si>
  <si>
    <t xml:space="preserve"> ASENTAMIENTO PARA  100 %   (mm)</t>
  </si>
  <si>
    <r>
      <t>G</t>
    </r>
    <r>
      <rPr>
        <vertAlign val="subscript"/>
        <sz val="12"/>
        <rFont val="Arial"/>
        <family val="2"/>
      </rPr>
      <t>s</t>
    </r>
  </si>
  <si>
    <t>----------------FIN DEL INFORME ---------------------</t>
  </si>
  <si>
    <t xml:space="preserve">Gravedad especifica </t>
  </si>
  <si>
    <t xml:space="preserve">Relación de vacíos inicial  </t>
  </si>
  <si>
    <t>e₀</t>
  </si>
  <si>
    <t xml:space="preserve">Relación de vacíos final </t>
  </si>
  <si>
    <t>ef.</t>
  </si>
  <si>
    <t xml:space="preserve">  g/cm²</t>
  </si>
  <si>
    <t xml:space="preserve"> g/cm²</t>
  </si>
  <si>
    <t xml:space="preserve">APIQUE </t>
  </si>
  <si>
    <t>Página: 2 de 8</t>
  </si>
  <si>
    <t>Página: 3 de 8</t>
  </si>
  <si>
    <t>Página: 4 de 8</t>
  </si>
  <si>
    <t>Página: 5 de 8</t>
  </si>
  <si>
    <t>Página: 6 de 8</t>
  </si>
  <si>
    <t>Página: 7 de 8</t>
  </si>
  <si>
    <t>Página: 8 de 8</t>
  </si>
  <si>
    <t>a</t>
  </si>
  <si>
    <t xml:space="preserve">MÉTODO DEL ENSAYO </t>
  </si>
  <si>
    <t xml:space="preserve">MÉTODO A </t>
  </si>
  <si>
    <t>CONSOLIDACIÓN UNIDIMENSIONAL DE SUELOS   INV. E - 151 -13</t>
  </si>
  <si>
    <t>Fecha: 30-11-2023</t>
  </si>
  <si>
    <t xml:space="preserve">PONER LA CANTIDAD DE LAS MUESTRAS QUE VIENEN DEL SONDEO </t>
  </si>
  <si>
    <t xml:space="preserve">CANTIDAD DE MODIFICACIONES </t>
  </si>
  <si>
    <t>APROBÓ</t>
  </si>
  <si>
    <t>REVISÓ</t>
  </si>
  <si>
    <t>Ing. SERGIO DURAN NÚÑEZ</t>
  </si>
  <si>
    <t>ZULMA CASTILLO</t>
  </si>
  <si>
    <t>Director Técnico</t>
  </si>
  <si>
    <t xml:space="preserve">Jefe laboratorio </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</si>
  <si>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</si>
  <si>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valido únicamente si presenta firma de quien Reviso y/o Aprobó. El laboratorio es responsable de toda la información suministrada en es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</si>
  <si>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Código: GDA-FLC-006</t>
  </si>
  <si>
    <t>TABLA 1. Densidad de agua y coeficiente de corrección por temperatura</t>
  </si>
  <si>
    <t>GRAVEDAD ESPECÍFICA RELATIVA EN ARCILLAS Y LIMOS
INV. E-128-13</t>
  </si>
  <si>
    <t>Version :01</t>
  </si>
  <si>
    <t>Pàgina 1 de 1</t>
  </si>
  <si>
    <t>Página: 1 de 1</t>
  </si>
  <si>
    <t>Temperatura °C</t>
  </si>
  <si>
    <t>Densidad (g/cm3)</t>
  </si>
  <si>
    <t>Coeficiente (K)</t>
  </si>
  <si>
    <t>GRAVEDAD ESPECIFICA</t>
  </si>
  <si>
    <t>Muestra No. / Ensayo No</t>
  </si>
  <si>
    <t>MÉTODO DEL ENSAYO</t>
  </si>
  <si>
    <t>PICNÓMETRO</t>
  </si>
  <si>
    <t>No.</t>
  </si>
  <si>
    <t xml:space="preserve">MASA EN EL AIRE DE LA MUESTRA </t>
  </si>
  <si>
    <t>(g)</t>
  </si>
  <si>
    <t xml:space="preserve">MASA DEL PICNÓMETRO LLENO DE AGUA </t>
  </si>
  <si>
    <t>MÉTODO B</t>
  </si>
  <si>
    <t xml:space="preserve">MASA DEL PICNÓMETRO AFORADO + MUESTRA </t>
  </si>
  <si>
    <t xml:space="preserve">TEMPERATURA DEL ENSAYO </t>
  </si>
  <si>
    <t>°C</t>
  </si>
  <si>
    <t xml:space="preserve">PESO ESPECIFICO DEL AGUA </t>
  </si>
  <si>
    <t xml:space="preserve">VOLUMEN DEL PICNÓMETRO </t>
  </si>
  <si>
    <t>GRAVEDAD ESPECIFICA TOTAL CORREGIDA  a 20°C</t>
  </si>
  <si>
    <t xml:space="preserve">(%)  MATERIAL RETENIDO EN EL TAMIZ N. 4 </t>
  </si>
  <si>
    <t>(%)  MATERIAL PASA EN EL  TAMIZ N.4</t>
  </si>
  <si>
    <t xml:space="preserve">MATERIAL EXCLUIDO DE LA MUESTRA ENSAYADA </t>
  </si>
  <si>
    <r>
      <t>G</t>
    </r>
    <r>
      <rPr>
        <vertAlign val="subscript"/>
        <sz val="12"/>
        <color theme="1"/>
        <rFont val="Arial"/>
        <family val="2"/>
      </rPr>
      <t>T</t>
    </r>
  </si>
  <si>
    <t>K</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</si>
  <si>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</si>
  <si>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</si>
  <si>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AIRE</t>
  </si>
  <si>
    <t>SUMERGIDA</t>
  </si>
  <si>
    <t>SSS</t>
  </si>
  <si>
    <t>Jefe de laboratorio</t>
  </si>
  <si>
    <t xml:space="preserve">GRAVEDAD ESPECIFICA APARENTE </t>
  </si>
  <si>
    <t xml:space="preserve">  --------------------FIN DEL INFORME--------------------</t>
  </si>
  <si>
    <t>TEMP (°C)</t>
  </si>
  <si>
    <t>PESO (gr)</t>
  </si>
  <si>
    <t>TAYLOR</t>
  </si>
  <si>
    <t>Cv (cm²/seg)</t>
  </si>
  <si>
    <t>Índice de precompresión</t>
  </si>
  <si>
    <t>MIGUEL BARÓN</t>
  </si>
  <si>
    <t>ASENTAMIENTO ACUMULADO (mm)</t>
  </si>
  <si>
    <t>ASENTAMIENTO POR CARGA  (mm)</t>
  </si>
  <si>
    <t>D50</t>
  </si>
  <si>
    <r>
      <rPr>
        <b/>
        <sz val="11"/>
        <color rgb="FF000080"/>
        <rFont val="Arial"/>
        <family val="2"/>
      </rPr>
      <t>RAÍZ DE</t>
    </r>
    <r>
      <rPr>
        <b/>
        <sz val="12"/>
        <color indexed="18"/>
        <rFont val="Arial"/>
        <family val="2"/>
      </rPr>
      <t xml:space="preserve"> T90</t>
    </r>
  </si>
  <si>
    <t>RAÍZ DE T90</t>
  </si>
  <si>
    <r>
      <t>RAÍZ DE</t>
    </r>
    <r>
      <rPr>
        <b/>
        <sz val="12"/>
        <color indexed="18"/>
        <rFont val="Arial"/>
        <family val="2"/>
      </rPr>
      <t xml:space="preserve"> T90</t>
    </r>
  </si>
  <si>
    <t>CÓDIGO: GDA-FLC-009</t>
  </si>
  <si>
    <t>CONTROL DE CAMBIOS</t>
  </si>
  <si>
    <t>Versión No.</t>
  </si>
  <si>
    <t>Fecha del cambio</t>
  </si>
  <si>
    <t>Modificaciones</t>
  </si>
  <si>
    <t>00</t>
  </si>
  <si>
    <t>Creación de documento</t>
  </si>
  <si>
    <t>01</t>
  </si>
  <si>
    <t>Se actualiza la versión por cambios en la estructura del formato</t>
  </si>
  <si>
    <t>02</t>
  </si>
  <si>
    <t>03</t>
  </si>
  <si>
    <t>VERSIÓN :03</t>
  </si>
  <si>
    <t>PÁGINA: 1 DE 8</t>
  </si>
  <si>
    <t>FECHA: 08-08-2025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</si>
</sst>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000"/>
    <numFmt numFmtId="165" formatCode="0.000"/>
    <numFmt numFmtId="166" formatCode="0.0"/>
    <numFmt numFmtId="167" formatCode="0.00000"/>
    <numFmt numFmtId="168" formatCode="_-* #,##0.00\ [$€]_-;\-* #,##0.00\ [$€]_-;_-* &quot;-&quot;??\ [$€]_-;_-@_-"/>
    <numFmt numFmtId="169" formatCode="0.000000"/>
    <numFmt numFmtId="170" formatCode="0.00_)"/>
    <numFmt numFmtId="171" formatCode="0.000_)"/>
    <numFmt numFmtId="172" formatCode="0.0.E+00"/>
    <numFmt numFmtId="173" formatCode="[$-200A]d&quot; de &quot;mmmm&quot; de &quot;yyyy;@"/>
    <numFmt numFmtId="174" formatCode="@\ &quot;-&quot;"/>
    <numFmt numFmtId="175" formatCode="0.00&quot; m&quot;"/>
    <numFmt numFmtId="176" formatCode="0\ ;\ &quot;-&quot;"/>
    <numFmt numFmtId="177" formatCode="0.0000000"/>
    <numFmt numFmtId="178" formatCode="0.0E+00"/>
    <numFmt numFmtId="179" formatCode="d/m/yyyy"/>
    <numFmt numFmtId="180" formatCode="dd/mm/yyyy"/>
  </numFmts>
  <fonts count="51" x14ac:knownFonts="1">
    <font>
      <sz val="10"/>
      <name val="Arial"/>
    </font>
    <font>
      <sz val="11"/>
      <color theme="1"/>
      <name val="Calibri"/>
      <family val="2"/>
      <scheme val="minor"/>
    </font>
    <font>
      <sz val="10"/>
      <name val="Arial"/>
      <family val="2"/>
    </font>
    <font>
      <sz val="12"/>
      <color indexed="24"/>
      <name val="Arial"/>
      <family val="2"/>
    </font>
    <font>
      <sz val="12"/>
      <color indexed="8"/>
      <name val="Arial"/>
      <family val="2"/>
    </font>
    <font>
      <sz val="8"/>
      <name val="Arial"/>
      <family val="2"/>
    </font>
    <font>
      <sz val="12"/>
      <color theme="1"/>
      <name val="Arial"/>
      <family val="2"/>
    </font>
    <font>
      <u/>
      <sz val="10"/>
      <color theme="10"/>
      <name val="Arial"/>
      <family val="2"/>
    </font>
    <font>
      <u/>
      <sz val="10"/>
      <color theme="11"/>
      <name val="Arial"/>
      <family val="2"/>
    </font>
    <font>
      <b/>
      <sz val="12"/>
      <color theme="0"/>
      <name val="Arial"/>
      <family val="2"/>
    </font>
    <font>
      <b/>
      <sz val="9"/>
      <color indexed="81"/>
      <name val="Tahoma"/>
      <family val="2"/>
    </font>
    <font>
      <sz val="9"/>
      <color indexed="81"/>
      <name val="Tahoma"/>
      <family val="2"/>
    </font>
    <font>
      <sz val="12"/>
      <name val="Arial"/>
      <family val="2"/>
    </font>
    <font>
      <sz val="13"/>
      <color theme="1"/>
      <name val="Arial"/>
      <family val="2"/>
    </font>
    <font>
      <b/>
      <sz val="12"/>
      <color rgb="FF002060"/>
      <name val="Arial"/>
      <family val="2"/>
    </font>
    <font>
      <b/>
      <sz val="11"/>
      <color rgb="FF002060"/>
      <name val="Arial"/>
      <family val="2"/>
    </font>
    <font>
      <b/>
      <sz val="12"/>
      <color theme="1"/>
      <name val="Arial"/>
      <family val="2"/>
    </font>
    <font>
      <sz val="12"/>
      <color rgb="FFFF0000"/>
      <name val="Arial"/>
      <family val="2"/>
    </font>
    <font>
      <b/>
      <sz val="12"/>
      <name val="Arial"/>
      <family val="2"/>
    </font>
    <font>
      <b/>
      <sz val="12"/>
      <color indexed="8"/>
      <name val="Arial"/>
      <family val="2"/>
    </font>
    <font>
      <i/>
      <sz val="12"/>
      <name val="Arial"/>
      <family val="2"/>
    </font>
    <font>
      <b/>
      <vertAlign val="subscript"/>
      <sz val="11"/>
      <color rgb="FF002060"/>
      <name val="Arial"/>
      <family val="2"/>
    </font>
    <font>
      <b/>
      <vertAlign val="superscript"/>
      <sz val="11"/>
      <color rgb="FF002060"/>
      <name val="Arial"/>
      <family val="2"/>
    </font>
    <font>
      <sz val="12"/>
      <color indexed="10"/>
      <name val="Arial"/>
      <family val="2"/>
    </font>
    <font>
      <b/>
      <sz val="12"/>
      <color indexed="10"/>
      <name val="Arial"/>
      <family val="2"/>
    </font>
    <font>
      <b/>
      <i/>
      <sz val="12"/>
      <name val="Arial"/>
      <family val="2"/>
    </font>
    <font>
      <b/>
      <sz val="12"/>
      <color rgb="FFFF0000"/>
      <name val="Arial"/>
      <family val="2"/>
    </font>
    <font>
      <sz val="12"/>
      <color rgb="FF002060"/>
      <name val="Arial"/>
      <family val="2"/>
    </font>
    <font>
      <vertAlign val="subscript"/>
      <sz val="12"/>
      <name val="Arial"/>
      <family val="2"/>
    </font>
    <font>
      <b/>
      <sz val="14"/>
      <color theme="1"/>
      <name val="Arial"/>
      <family val="2"/>
    </font>
    <font>
      <b/>
      <sz val="14"/>
      <color indexed="8"/>
      <name val="Arial"/>
      <family val="2"/>
    </font>
    <font>
      <b/>
      <sz val="11"/>
      <color indexed="18"/>
      <name val="Arial"/>
      <family val="2"/>
    </font>
    <font>
      <b/>
      <sz val="12"/>
      <color indexed="18"/>
      <name val="Arial"/>
      <family val="2"/>
    </font>
    <font>
      <b/>
      <sz val="11.8"/>
      <color theme="1"/>
      <name val="Arial"/>
      <family val="2"/>
    </font>
    <font>
      <sz val="11"/>
      <color theme="1"/>
      <name val="Arial"/>
      <family val="2"/>
    </font>
    <font>
      <b/>
      <sz val="9"/>
      <name val="Arial"/>
      <family val="2"/>
    </font>
    <font>
      <b/>
      <sz val="11"/>
      <name val="Arial"/>
      <family val="2"/>
    </font>
    <font>
      <sz val="11"/>
      <color rgb="FFFF0000"/>
      <name val="Arial"/>
      <family val="2"/>
    </font>
    <font>
      <b/>
      <sz val="10"/>
      <name val="Arial"/>
      <family val="2"/>
    </font>
    <font>
      <b/>
      <sz val="11"/>
      <color theme="1"/>
      <name val="Arial"/>
      <family val="2"/>
    </font>
    <font>
      <sz val="11"/>
      <color rgb="FFFF0000"/>
      <name val="Calibri"/>
      <family val="2"/>
      <scheme val="minor"/>
    </font>
    <font>
      <sz val="10"/>
      <color theme="1"/>
      <name val="Arial"/>
      <family val="2"/>
    </font>
    <font>
      <sz val="14"/>
      <color rgb="FFFF0000"/>
      <name val="Arial"/>
      <family val="2"/>
    </font>
    <font>
      <sz val="14"/>
      <color theme="1"/>
      <name val="Arial"/>
      <family val="2"/>
    </font>
    <font>
      <vertAlign val="subscript"/>
      <sz val="12"/>
      <color theme="1"/>
      <name val="Arial"/>
      <family val="2"/>
    </font>
    <font>
      <b/>
      <sz val="10"/>
      <color theme="1"/>
      <name val="Arial"/>
      <family val="2"/>
    </font>
    <font>
      <b/>
      <sz val="14"/>
      <name val="Arial"/>
      <family val="2"/>
    </font>
    <font>
      <i/>
      <sz val="11"/>
      <color theme="1"/>
      <name val="Arial"/>
      <family val="2"/>
    </font>
    <font>
      <b/>
      <sz val="11"/>
      <color rgb="FF000080"/>
      <name val="Arial"/>
      <family val="2"/>
    </font>
    <font>
      <sz val="14"/>
      <name val="Arial"/>
      <family val="2"/>
    </font>
    <font>
      <sz val="11"/>
      <color theme="1"/>
      <name val="Calibri"/>
      <family val="2"/>
    </font>
  </fonts>
  <fills count="14">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0" tint="-0.499984740745262"/>
        <bgColor indexed="64"/>
      </patternFill>
    </fill>
    <fill>
      <patternFill patternType="solid">
        <fgColor rgb="FFFFFF00"/>
        <bgColor indexed="64"/>
      </patternFill>
    </fill>
    <fill>
      <patternFill patternType="solid">
        <fgColor theme="0"/>
        <bgColor indexed="64"/>
      </patternFill>
    </fill>
    <fill>
      <patternFill patternType="solid">
        <fgColor theme="5" tint="0.79998168889431442"/>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4" tint="0.39997558519241921"/>
        <bgColor indexed="64"/>
      </patternFill>
    </fill>
  </fills>
  <borders count="99">
    <border>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hair">
        <color auto="1"/>
      </bottom>
      <diagonal/>
    </border>
    <border>
      <left style="double">
        <color indexed="64"/>
      </left>
      <right style="double">
        <color indexed="64"/>
      </right>
      <top style="double">
        <color indexed="64"/>
      </top>
      <bottom style="double">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indexed="64"/>
      </left>
      <right style="thin">
        <color auto="1"/>
      </right>
      <top style="medium">
        <color indexed="64"/>
      </top>
      <bottom style="thin">
        <color auto="1"/>
      </bottom>
      <diagonal/>
    </border>
    <border>
      <left style="thin">
        <color auto="1"/>
      </left>
      <right style="medium">
        <color indexed="64"/>
      </right>
      <top style="thin">
        <color auto="1"/>
      </top>
      <bottom style="medium">
        <color indexed="64"/>
      </bottom>
      <diagonal/>
    </border>
    <border>
      <left style="thin">
        <color indexed="64"/>
      </left>
      <right style="thin">
        <color indexed="64"/>
      </right>
      <top style="hair">
        <color indexed="64"/>
      </top>
      <bottom style="hair">
        <color indexed="64"/>
      </bottom>
      <diagonal/>
    </border>
    <border>
      <left style="thin">
        <color auto="1"/>
      </left>
      <right style="medium">
        <color indexed="64"/>
      </right>
      <top style="medium">
        <color indexed="64"/>
      </top>
      <bottom style="thin">
        <color auto="1"/>
      </bottom>
      <diagonal/>
    </border>
    <border>
      <left style="thin">
        <color auto="1"/>
      </left>
      <right style="thin">
        <color auto="1"/>
      </right>
      <top style="hair">
        <color auto="1"/>
      </top>
      <bottom style="thin">
        <color auto="1"/>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style="medium">
        <color theme="0" tint="-0.499984740745262"/>
      </top>
      <bottom style="thin">
        <color theme="0" tint="-0.499984740745262"/>
      </bottom>
      <diagonal/>
    </border>
    <border>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medium">
        <color theme="0" tint="-0.499984740745262"/>
      </right>
      <top style="thin">
        <color theme="0" tint="-0.499984740745262"/>
      </top>
      <bottom style="thin">
        <color theme="0" tint="-0.499984740745262"/>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thin">
        <color theme="0" tint="-0.499984740745262"/>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thin">
        <color theme="0" tint="-0.499984740745262"/>
      </top>
      <bottom style="medium">
        <color theme="0" tint="-0.499984740745262"/>
      </bottom>
      <diagonal/>
    </border>
    <border>
      <left/>
      <right style="thin">
        <color theme="0" tint="-0.499984740745262"/>
      </right>
      <top style="thin">
        <color theme="0" tint="-0.499984740745262"/>
      </top>
      <bottom style="medium">
        <color theme="0" tint="-0.499984740745262"/>
      </bottom>
      <diagonal/>
    </border>
    <border>
      <left style="medium">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medium">
        <color theme="0" tint="-0.499984740745262"/>
      </right>
      <top style="thin">
        <color theme="0" tint="-0.499984740745262"/>
      </top>
      <bottom/>
      <diagonal/>
    </border>
    <border>
      <left style="thin">
        <color theme="0" tint="-0.499984740745262"/>
      </left>
      <right style="thin">
        <color theme="0" tint="-0.499984740745262"/>
      </right>
      <top/>
      <bottom style="thin">
        <color theme="0" tint="-0.499984740745262"/>
      </bottom>
      <diagonal/>
    </border>
    <border>
      <left/>
      <right style="thin">
        <color theme="0" tint="-0.499984740745262"/>
      </right>
      <top/>
      <bottom style="thin">
        <color theme="0" tint="-0.499984740745262"/>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style="medium">
        <color theme="0" tint="-0.499984740745262"/>
      </right>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bottom style="thin">
        <color theme="0" tint="-0.499984740745262"/>
      </bottom>
      <diagonal/>
    </border>
    <border>
      <left style="thin">
        <color theme="0" tint="-0.499984740745262"/>
      </left>
      <right style="medium">
        <color theme="0" tint="-0.499984740745262"/>
      </right>
      <top/>
      <bottom style="thin">
        <color theme="0" tint="-0.499984740745262"/>
      </bottom>
      <diagonal/>
    </border>
    <border>
      <left/>
      <right style="thin">
        <color theme="0" tint="-0.499984740745262"/>
      </right>
      <top style="medium">
        <color theme="0" tint="-0.499984740745262"/>
      </top>
      <bottom style="thin">
        <color theme="0" tint="-0.499984740745262"/>
      </bottom>
      <diagonal/>
    </border>
    <border>
      <left style="medium">
        <color theme="0" tint="-0.499984740745262"/>
      </left>
      <right/>
      <top/>
      <bottom style="thin">
        <color theme="0" tint="-0.499984740745262"/>
      </bottom>
      <diagonal/>
    </border>
    <border>
      <left/>
      <right/>
      <top style="thin">
        <color theme="0" tint="-0.499984740745262"/>
      </top>
      <bottom style="medium">
        <color theme="0" tint="-0.499984740745262"/>
      </bottom>
      <diagonal/>
    </border>
    <border>
      <left/>
      <right style="double">
        <color indexed="64"/>
      </right>
      <top style="double">
        <color indexed="64"/>
      </top>
      <bottom style="double">
        <color indexed="64"/>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right style="medium">
        <color theme="0" tint="-0.499984740745262"/>
      </right>
      <top/>
      <bottom style="thin">
        <color theme="0" tint="-0.499984740745262"/>
      </bottom>
      <diagonal/>
    </border>
    <border>
      <left style="thin">
        <color theme="0" tint="-0.499984740745262"/>
      </left>
      <right style="medium">
        <color theme="0" tint="-0.499984740745262"/>
      </right>
      <top/>
      <bottom/>
      <diagonal/>
    </border>
    <border>
      <left style="thin">
        <color theme="0" tint="-0.499984740745262"/>
      </left>
      <right style="medium">
        <color theme="0" tint="-0.499984740745262"/>
      </right>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right/>
      <top style="thin">
        <color auto="1"/>
      </top>
      <bottom/>
      <diagonal/>
    </border>
    <border>
      <left style="medium">
        <color indexed="64"/>
      </left>
      <right style="medium">
        <color indexed="64"/>
      </right>
      <top style="medium">
        <color indexed="64"/>
      </top>
      <bottom style="medium">
        <color indexed="64"/>
      </bottom>
      <diagonal/>
    </border>
    <border>
      <left/>
      <right style="medium">
        <color theme="0" tint="-0.499984740745262"/>
      </right>
      <top style="thin">
        <color indexed="64"/>
      </top>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right style="thin">
        <color indexed="64"/>
      </right>
      <top/>
      <bottom/>
      <diagonal/>
    </border>
    <border>
      <left/>
      <right/>
      <top style="thin">
        <color theme="0" tint="-0.499984740745262"/>
      </top>
      <bottom/>
      <diagonal/>
    </border>
    <border>
      <left style="thin">
        <color theme="0" tint="-0.499984740745262"/>
      </left>
      <right/>
      <top/>
      <bottom/>
      <diagonal/>
    </border>
    <border>
      <left style="thin">
        <color theme="0" tint="-0.499984740745262"/>
      </left>
      <right style="thin">
        <color theme="0" tint="-0.499984740745262"/>
      </right>
      <top style="medium">
        <color theme="0" tint="-0.499984740745262"/>
      </top>
      <bottom/>
      <diagonal/>
    </border>
    <border>
      <left style="thin">
        <color auto="1"/>
      </left>
      <right style="thin">
        <color auto="1"/>
      </right>
      <top style="thin">
        <color auto="1"/>
      </top>
      <bottom/>
      <diagonal/>
    </border>
    <border>
      <left style="thin">
        <color theme="0" tint="-0.499984740745262"/>
      </left>
      <right style="thin">
        <color theme="0" tint="-0.499984740745262"/>
      </right>
      <top/>
      <bottom style="medium">
        <color theme="0" tint="-0.499984740745262"/>
      </bottom>
      <diagonal/>
    </border>
    <border>
      <left style="medium">
        <color theme="0" tint="-0.499984740745262"/>
      </left>
      <right style="thin">
        <color theme="0" tint="-0.499984740745262"/>
      </right>
      <top/>
      <bottom style="medium">
        <color theme="0" tint="-0.499984740745262"/>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4">
    <xf numFmtId="0" fontId="0" fillId="0" borderId="0"/>
    <xf numFmtId="168" fontId="2" fillId="0" borderId="0" applyFont="0" applyFill="0" applyBorder="0" applyAlignment="0" applyProtection="0"/>
    <xf numFmtId="0" fontId="3" fillId="0" borderId="0"/>
    <xf numFmtId="0" fontId="2" fillId="0" borderId="0"/>
    <xf numFmtId="0" fontId="6" fillId="0" borderId="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1" fillId="0" borderId="0"/>
    <xf numFmtId="0" fontId="2" fillId="0" borderId="0"/>
    <xf numFmtId="0" fontId="7" fillId="0" borderId="0" applyNumberFormat="0" applyFill="0" applyBorder="0" applyAlignment="0" applyProtection="0"/>
  </cellStyleXfs>
  <cellXfs count="728">
    <xf numFmtId="0" fontId="0" fillId="0" borderId="0" xfId="0"/>
    <xf numFmtId="0" fontId="0" fillId="0" borderId="0" xfId="0" applyAlignment="1">
      <alignment horizontal="center" vertical="center"/>
    </xf>
    <xf numFmtId="0" fontId="0" fillId="7" borderId="0" xfId="0" applyFill="1" applyAlignment="1">
      <alignment horizontal="center" vertical="center"/>
    </xf>
    <xf numFmtId="164" fontId="0" fillId="0" borderId="0" xfId="0" applyNumberFormat="1" applyAlignment="1">
      <alignment horizontal="center" vertical="center"/>
    </xf>
    <xf numFmtId="0" fontId="0" fillId="0" borderId="22" xfId="0"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165" fontId="0" fillId="0" borderId="9" xfId="0" applyNumberFormat="1" applyBorder="1" applyAlignment="1">
      <alignment horizontal="center" vertical="center"/>
    </xf>
    <xf numFmtId="164" fontId="0" fillId="0" borderId="9" xfId="0" applyNumberFormat="1" applyBorder="1" applyAlignment="1">
      <alignment horizontal="center" vertical="center"/>
    </xf>
    <xf numFmtId="164" fontId="0" fillId="4" borderId="9" xfId="0" applyNumberFormat="1" applyFill="1" applyBorder="1" applyAlignment="1">
      <alignment horizontal="center" vertical="center"/>
    </xf>
    <xf numFmtId="0" fontId="0" fillId="4" borderId="18" xfId="0" applyFill="1" applyBorder="1" applyAlignment="1">
      <alignment horizontal="center" vertical="center"/>
    </xf>
    <xf numFmtId="0" fontId="0" fillId="4" borderId="23" xfId="0" applyFill="1" applyBorder="1" applyAlignment="1">
      <alignment horizontal="center" vertical="center"/>
    </xf>
    <xf numFmtId="0" fontId="12" fillId="2" borderId="9" xfId="3" applyFont="1" applyFill="1" applyBorder="1" applyAlignment="1">
      <alignment horizontal="center" vertical="center" wrapText="1"/>
    </xf>
    <xf numFmtId="0" fontId="6" fillId="2" borderId="13" xfId="3" applyFont="1" applyFill="1" applyBorder="1" applyAlignment="1" applyProtection="1">
      <alignment horizontal="center" vertical="center"/>
      <protection locked="0"/>
    </xf>
    <xf numFmtId="2" fontId="6" fillId="2" borderId="13" xfId="3" applyNumberFormat="1" applyFont="1" applyFill="1" applyBorder="1" applyAlignment="1" applyProtection="1">
      <alignment horizontal="center" vertical="center"/>
      <protection locked="0"/>
    </xf>
    <xf numFmtId="166" fontId="6" fillId="2" borderId="13" xfId="3" applyNumberFormat="1" applyFont="1" applyFill="1" applyBorder="1" applyAlignment="1" applyProtection="1">
      <alignment horizontal="center" vertical="center"/>
      <protection locked="0"/>
    </xf>
    <xf numFmtId="0" fontId="6" fillId="2" borderId="24" xfId="3" applyFont="1" applyFill="1" applyBorder="1" applyAlignment="1" applyProtection="1">
      <alignment horizontal="center" vertical="center"/>
      <protection locked="0"/>
    </xf>
    <xf numFmtId="2" fontId="6" fillId="2" borderId="24" xfId="3" applyNumberFormat="1" applyFont="1" applyFill="1" applyBorder="1" applyAlignment="1" applyProtection="1">
      <alignment horizontal="center" vertical="center"/>
      <protection locked="0"/>
    </xf>
    <xf numFmtId="166" fontId="6" fillId="2" borderId="24" xfId="3" applyNumberFormat="1" applyFont="1" applyFill="1" applyBorder="1" applyAlignment="1" applyProtection="1">
      <alignment horizontal="center" vertical="center"/>
      <protection locked="0"/>
    </xf>
    <xf numFmtId="0" fontId="6" fillId="2" borderId="26" xfId="3" applyFont="1" applyFill="1" applyBorder="1" applyAlignment="1" applyProtection="1">
      <alignment horizontal="center" vertical="center"/>
      <protection locked="0"/>
    </xf>
    <xf numFmtId="2" fontId="6" fillId="2" borderId="26" xfId="3" applyNumberFormat="1" applyFont="1" applyFill="1" applyBorder="1" applyAlignment="1" applyProtection="1">
      <alignment horizontal="center" vertical="center"/>
      <protection locked="0"/>
    </xf>
    <xf numFmtId="166" fontId="6" fillId="2" borderId="26" xfId="3" applyNumberFormat="1" applyFont="1" applyFill="1" applyBorder="1" applyAlignment="1" applyProtection="1">
      <alignment horizontal="center" vertical="center"/>
      <protection locked="0"/>
    </xf>
    <xf numFmtId="0" fontId="0" fillId="0" borderId="25" xfId="0" applyBorder="1" applyAlignment="1">
      <alignment horizontal="center" vertical="center"/>
    </xf>
    <xf numFmtId="0" fontId="0" fillId="0" borderId="18" xfId="0" applyBorder="1" applyAlignment="1">
      <alignment horizontal="center" vertical="center"/>
    </xf>
    <xf numFmtId="2" fontId="0" fillId="0" borderId="0" xfId="0" applyNumberFormat="1" applyAlignment="1">
      <alignment horizontal="center" vertical="center"/>
    </xf>
    <xf numFmtId="165" fontId="0" fillId="4" borderId="9" xfId="0" applyNumberFormat="1" applyFill="1" applyBorder="1" applyAlignment="1">
      <alignment horizontal="center" vertical="center"/>
    </xf>
    <xf numFmtId="165" fontId="0" fillId="0" borderId="0" xfId="0" applyNumberFormat="1" applyAlignment="1">
      <alignment horizontal="center" vertical="center"/>
    </xf>
    <xf numFmtId="0" fontId="0" fillId="0" borderId="23" xfId="0" applyBorder="1" applyAlignment="1">
      <alignment horizontal="center" vertical="center"/>
    </xf>
    <xf numFmtId="0" fontId="0" fillId="7" borderId="9" xfId="0" applyFill="1" applyBorder="1" applyAlignment="1">
      <alignment horizontal="center" vertical="center"/>
    </xf>
    <xf numFmtId="1" fontId="0" fillId="0" borderId="9" xfId="0" applyNumberFormat="1" applyBorder="1" applyAlignment="1">
      <alignment horizontal="center" vertical="center"/>
    </xf>
    <xf numFmtId="1" fontId="0" fillId="0" borderId="0" xfId="0" applyNumberFormat="1" applyAlignment="1">
      <alignment horizontal="center" vertical="center"/>
    </xf>
    <xf numFmtId="0" fontId="2" fillId="0" borderId="9" xfId="0" applyFont="1" applyBorder="1" applyAlignment="1">
      <alignment horizontal="center" vertical="center"/>
    </xf>
    <xf numFmtId="0" fontId="0" fillId="0" borderId="9" xfId="0" applyBorder="1" applyAlignment="1">
      <alignment horizontal="center" vertical="center"/>
    </xf>
    <xf numFmtId="0" fontId="0" fillId="4" borderId="9" xfId="0" applyFill="1" applyBorder="1" applyAlignment="1">
      <alignment horizontal="center" vertical="center"/>
    </xf>
    <xf numFmtId="0" fontId="6" fillId="0" borderId="27" xfId="21" applyFont="1" applyBorder="1" applyAlignment="1" applyProtection="1">
      <alignment vertical="center"/>
      <protection hidden="1"/>
    </xf>
    <xf numFmtId="0" fontId="6" fillId="0" borderId="0" xfId="21" applyFont="1" applyAlignment="1" applyProtection="1">
      <alignment horizontal="center" vertical="center"/>
      <protection locked="0" hidden="1"/>
    </xf>
    <xf numFmtId="0" fontId="6" fillId="0" borderId="0" xfId="21" applyFont="1" applyAlignment="1" applyProtection="1">
      <alignment vertical="center"/>
      <protection locked="0"/>
    </xf>
    <xf numFmtId="0" fontId="6" fillId="0" borderId="0" xfId="21" applyFont="1" applyAlignment="1" applyProtection="1">
      <alignment horizontal="center" vertical="center"/>
      <protection locked="0"/>
    </xf>
    <xf numFmtId="0" fontId="6" fillId="0" borderId="33" xfId="21" applyFont="1" applyBorder="1" applyAlignment="1" applyProtection="1">
      <alignment vertical="center"/>
      <protection hidden="1"/>
    </xf>
    <xf numFmtId="0" fontId="6" fillId="0" borderId="38" xfId="21" applyFont="1" applyBorder="1" applyAlignment="1" applyProtection="1">
      <alignment vertical="center"/>
      <protection hidden="1"/>
    </xf>
    <xf numFmtId="0" fontId="6" fillId="0" borderId="39" xfId="21" applyFont="1" applyBorder="1" applyAlignment="1" applyProtection="1">
      <alignment vertical="center"/>
      <protection hidden="1"/>
    </xf>
    <xf numFmtId="0" fontId="6" fillId="0" borderId="34" xfId="21" applyFont="1" applyBorder="1" applyAlignment="1" applyProtection="1">
      <alignment vertical="center"/>
      <protection hidden="1"/>
    </xf>
    <xf numFmtId="0" fontId="6" fillId="0" borderId="0" xfId="21" applyFont="1" applyAlignment="1" applyProtection="1">
      <alignment vertical="center"/>
      <protection hidden="1"/>
    </xf>
    <xf numFmtId="0" fontId="6" fillId="7" borderId="31" xfId="21" applyFont="1" applyFill="1" applyBorder="1" applyAlignment="1" applyProtection="1">
      <alignment horizontal="center" vertical="center"/>
      <protection locked="0" hidden="1"/>
    </xf>
    <xf numFmtId="14" fontId="6" fillId="0" borderId="29" xfId="21" applyNumberFormat="1" applyFont="1" applyBorder="1" applyAlignment="1" applyProtection="1">
      <alignment horizontal="center" vertical="center"/>
      <protection hidden="1"/>
    </xf>
    <xf numFmtId="14" fontId="6" fillId="0" borderId="0" xfId="21" applyNumberFormat="1" applyFont="1" applyAlignment="1" applyProtection="1">
      <alignment horizontal="center" vertical="center"/>
      <protection hidden="1"/>
    </xf>
    <xf numFmtId="0" fontId="6" fillId="0" borderId="41" xfId="21" applyFont="1" applyBorder="1" applyAlignment="1" applyProtection="1">
      <alignment vertical="center"/>
      <protection locked="0"/>
    </xf>
    <xf numFmtId="14" fontId="6" fillId="0" borderId="34" xfId="21" applyNumberFormat="1" applyFont="1" applyBorder="1" applyAlignment="1" applyProtection="1">
      <alignment horizontal="center" vertical="center"/>
      <protection hidden="1"/>
    </xf>
    <xf numFmtId="173" fontId="6" fillId="7" borderId="42" xfId="21" applyNumberFormat="1" applyFont="1" applyFill="1" applyBorder="1" applyAlignment="1" applyProtection="1">
      <alignment horizontal="right" vertical="center"/>
      <protection hidden="1"/>
    </xf>
    <xf numFmtId="0" fontId="6" fillId="0" borderId="34" xfId="21" applyFont="1" applyBorder="1" applyAlignment="1" applyProtection="1">
      <alignment horizontal="left" vertical="center"/>
      <protection hidden="1"/>
    </xf>
    <xf numFmtId="0" fontId="6" fillId="0" borderId="0" xfId="21" applyFont="1" applyAlignment="1" applyProtection="1">
      <alignment horizontal="left" vertical="center"/>
      <protection hidden="1"/>
    </xf>
    <xf numFmtId="0" fontId="6" fillId="7" borderId="0" xfId="21" applyFont="1" applyFill="1" applyAlignment="1" applyProtection="1">
      <alignment vertical="center"/>
      <protection hidden="1"/>
    </xf>
    <xf numFmtId="0" fontId="16" fillId="7" borderId="28" xfId="21" applyFont="1" applyFill="1" applyBorder="1" applyAlignment="1" applyProtection="1">
      <alignment vertical="center"/>
      <protection hidden="1"/>
    </xf>
    <xf numFmtId="175" fontId="6" fillId="7" borderId="31" xfId="21" applyNumberFormat="1" applyFont="1" applyFill="1" applyBorder="1" applyAlignment="1" applyProtection="1">
      <alignment horizontal="right" vertical="center"/>
      <protection locked="0" hidden="1"/>
    </xf>
    <xf numFmtId="175" fontId="6" fillId="7" borderId="31" xfId="21" applyNumberFormat="1" applyFont="1" applyFill="1" applyBorder="1" applyAlignment="1" applyProtection="1">
      <alignment horizontal="center" vertical="center"/>
      <protection hidden="1"/>
    </xf>
    <xf numFmtId="175" fontId="6" fillId="0" borderId="29" xfId="21" applyNumberFormat="1" applyFont="1" applyBorder="1" applyAlignment="1" applyProtection="1">
      <alignment horizontal="left" vertical="center"/>
      <protection hidden="1"/>
    </xf>
    <xf numFmtId="175" fontId="6" fillId="0" borderId="0" xfId="21" applyNumberFormat="1" applyFont="1" applyAlignment="1" applyProtection="1">
      <alignment horizontal="left" vertical="center"/>
      <protection hidden="1"/>
    </xf>
    <xf numFmtId="0" fontId="6" fillId="0" borderId="34" xfId="21" applyFont="1" applyBorder="1" applyAlignment="1" applyProtection="1">
      <alignment horizontal="left" vertical="center" wrapText="1"/>
      <protection hidden="1"/>
    </xf>
    <xf numFmtId="0" fontId="6" fillId="0" borderId="0" xfId="21" applyFont="1" applyAlignment="1" applyProtection="1">
      <alignment horizontal="left" vertical="center" wrapText="1"/>
      <protection hidden="1"/>
    </xf>
    <xf numFmtId="0" fontId="16" fillId="7" borderId="39" xfId="21" applyFont="1" applyFill="1" applyBorder="1" applyAlignment="1" applyProtection="1">
      <alignment horizontal="left" vertical="center"/>
      <protection hidden="1"/>
    </xf>
    <xf numFmtId="0" fontId="6" fillId="7" borderId="39" xfId="21" applyFont="1" applyFill="1" applyBorder="1" applyAlignment="1" applyProtection="1">
      <alignment horizontal="left" vertical="center"/>
      <protection hidden="1"/>
    </xf>
    <xf numFmtId="0" fontId="6" fillId="0" borderId="40" xfId="21" applyFont="1" applyBorder="1" applyAlignment="1" applyProtection="1">
      <alignment horizontal="left" vertical="center"/>
      <protection hidden="1"/>
    </xf>
    <xf numFmtId="0" fontId="12" fillId="0" borderId="0" xfId="0" applyFont="1"/>
    <xf numFmtId="0" fontId="12" fillId="0" borderId="1" xfId="0" applyFont="1" applyBorder="1"/>
    <xf numFmtId="0" fontId="12" fillId="0" borderId="2" xfId="0" applyFont="1" applyBorder="1"/>
    <xf numFmtId="0" fontId="12" fillId="0" borderId="1" xfId="0" applyFont="1" applyBorder="1" applyAlignment="1">
      <alignment horizontal="center"/>
    </xf>
    <xf numFmtId="2" fontId="19" fillId="0" borderId="0" xfId="0" applyNumberFormat="1" applyFont="1" applyAlignment="1">
      <alignment horizontal="left"/>
    </xf>
    <xf numFmtId="0" fontId="6" fillId="0" borderId="0" xfId="21" applyFont="1" applyAlignment="1" applyProtection="1">
      <alignment horizontal="center" vertical="center"/>
      <protection hidden="1"/>
    </xf>
    <xf numFmtId="0" fontId="23" fillId="0" borderId="0" xfId="2" applyFont="1" applyAlignment="1" applyProtection="1">
      <alignment horizontal="left"/>
      <protection locked="0"/>
    </xf>
    <xf numFmtId="0" fontId="12" fillId="0" borderId="10" xfId="0" applyFont="1" applyBorder="1"/>
    <xf numFmtId="0" fontId="12" fillId="0" borderId="11" xfId="0" applyFont="1" applyBorder="1"/>
    <xf numFmtId="0" fontId="12" fillId="0" borderId="12" xfId="0" applyFont="1" applyBorder="1"/>
    <xf numFmtId="2" fontId="12" fillId="0" borderId="2" xfId="0" applyNumberFormat="1" applyFont="1" applyBorder="1"/>
    <xf numFmtId="0" fontId="12" fillId="0" borderId="3" xfId="0" applyFont="1" applyBorder="1"/>
    <xf numFmtId="0" fontId="12" fillId="0" borderId="4" xfId="0" applyFont="1" applyBorder="1"/>
    <xf numFmtId="0" fontId="12" fillId="0" borderId="5" xfId="0" applyFont="1" applyBorder="1"/>
    <xf numFmtId="0" fontId="12" fillId="0" borderId="2" xfId="0" applyFont="1" applyBorder="1" applyAlignment="1">
      <alignment horizontal="center"/>
    </xf>
    <xf numFmtId="2" fontId="12" fillId="0" borderId="1" xfId="0" applyNumberFormat="1" applyFont="1" applyBorder="1" applyAlignment="1">
      <alignment horizontal="center"/>
    </xf>
    <xf numFmtId="0" fontId="25" fillId="0" borderId="0" xfId="0" applyFont="1" applyAlignment="1">
      <alignment horizontal="center"/>
    </xf>
    <xf numFmtId="0" fontId="6" fillId="0" borderId="1" xfId="0" applyFont="1" applyBorder="1" applyAlignment="1">
      <alignment horizontal="center" vertical="center"/>
    </xf>
    <xf numFmtId="0" fontId="6" fillId="0" borderId="0" xfId="0" applyFont="1" applyAlignment="1">
      <alignment horizontal="center" vertical="center"/>
    </xf>
    <xf numFmtId="0" fontId="6" fillId="0" borderId="2" xfId="0" applyFont="1" applyBorder="1" applyAlignment="1">
      <alignment horizontal="center" vertical="center"/>
    </xf>
    <xf numFmtId="2" fontId="26" fillId="0" borderId="1" xfId="0" applyNumberFormat="1" applyFont="1" applyBorder="1" applyAlignment="1">
      <alignment horizontal="center" vertical="center"/>
    </xf>
    <xf numFmtId="165" fontId="12" fillId="0" borderId="0" xfId="0" applyNumberFormat="1" applyFont="1" applyAlignment="1">
      <alignment horizontal="center" vertical="center"/>
    </xf>
    <xf numFmtId="165" fontId="6" fillId="0" borderId="0" xfId="0" applyNumberFormat="1" applyFont="1" applyAlignment="1">
      <alignment horizontal="center" vertical="center"/>
    </xf>
    <xf numFmtId="2" fontId="26" fillId="0" borderId="0" xfId="0" applyNumberFormat="1" applyFont="1" applyAlignment="1">
      <alignment horizontal="center" vertical="center"/>
    </xf>
    <xf numFmtId="165" fontId="12" fillId="0" borderId="2" xfId="0" applyNumberFormat="1" applyFont="1" applyBorder="1" applyAlignment="1">
      <alignment horizontal="center" vertical="center"/>
    </xf>
    <xf numFmtId="175" fontId="6" fillId="0" borderId="34" xfId="21" applyNumberFormat="1" applyFont="1" applyBorder="1" applyAlignment="1" applyProtection="1">
      <alignment horizontal="left" vertical="center"/>
      <protection hidden="1"/>
    </xf>
    <xf numFmtId="0" fontId="16" fillId="7" borderId="31" xfId="21" applyFont="1" applyFill="1" applyBorder="1" applyAlignment="1" applyProtection="1">
      <alignment vertical="center"/>
      <protection hidden="1"/>
    </xf>
    <xf numFmtId="174" fontId="6" fillId="0" borderId="0" xfId="21" applyNumberFormat="1" applyFont="1" applyAlignment="1" applyProtection="1">
      <alignment horizontal="center" vertical="center"/>
      <protection hidden="1"/>
    </xf>
    <xf numFmtId="49" fontId="6" fillId="0" borderId="0" xfId="21" applyNumberFormat="1" applyFont="1" applyAlignment="1" applyProtection="1">
      <alignment horizontal="center" vertical="center"/>
      <protection hidden="1"/>
    </xf>
    <xf numFmtId="49" fontId="6" fillId="0" borderId="0" xfId="21" applyNumberFormat="1" applyFont="1" applyAlignment="1" applyProtection="1">
      <alignment horizontal="left" vertical="center"/>
      <protection hidden="1"/>
    </xf>
    <xf numFmtId="0" fontId="6" fillId="7" borderId="31" xfId="21" applyFont="1" applyFill="1" applyBorder="1" applyAlignment="1" applyProtection="1">
      <alignment horizontal="center" vertical="center"/>
      <protection hidden="1"/>
    </xf>
    <xf numFmtId="0" fontId="6" fillId="0" borderId="41" xfId="21" applyFont="1" applyBorder="1" applyAlignment="1" applyProtection="1">
      <alignment vertical="center"/>
      <protection hidden="1"/>
    </xf>
    <xf numFmtId="176" fontId="6" fillId="7" borderId="36" xfId="21" applyNumberFormat="1" applyFont="1" applyFill="1" applyBorder="1" applyAlignment="1" applyProtection="1">
      <alignment horizontal="center" vertical="center"/>
      <protection hidden="1"/>
    </xf>
    <xf numFmtId="175" fontId="6" fillId="7" borderId="31" xfId="21" applyNumberFormat="1" applyFont="1" applyFill="1" applyBorder="1" applyAlignment="1" applyProtection="1">
      <alignment horizontal="right" vertical="center"/>
      <protection hidden="1"/>
    </xf>
    <xf numFmtId="175" fontId="6" fillId="7" borderId="31" xfId="21" applyNumberFormat="1" applyFont="1" applyFill="1" applyBorder="1" applyAlignment="1" applyProtection="1">
      <alignment horizontal="left" vertical="center"/>
      <protection hidden="1"/>
    </xf>
    <xf numFmtId="0" fontId="12" fillId="0" borderId="33" xfId="0" applyFont="1" applyBorder="1" applyProtection="1">
      <protection hidden="1"/>
    </xf>
    <xf numFmtId="0" fontId="12" fillId="0" borderId="0" xfId="0" applyFont="1" applyProtection="1">
      <protection hidden="1"/>
    </xf>
    <xf numFmtId="0" fontId="4" fillId="0" borderId="0" xfId="2" applyFont="1" applyProtection="1">
      <protection hidden="1"/>
    </xf>
    <xf numFmtId="165" fontId="12" fillId="0" borderId="52" xfId="0" applyNumberFormat="1" applyFont="1" applyBorder="1" applyAlignment="1" applyProtection="1">
      <alignment horizontal="center" vertical="center"/>
      <protection hidden="1"/>
    </xf>
    <xf numFmtId="0" fontId="18" fillId="0" borderId="51" xfId="0" applyFont="1" applyBorder="1" applyAlignment="1" applyProtection="1">
      <alignment horizontal="center" vertical="center"/>
      <protection hidden="1"/>
    </xf>
    <xf numFmtId="0" fontId="19" fillId="0" borderId="52" xfId="2" applyFont="1" applyBorder="1" applyAlignment="1" applyProtection="1">
      <alignment horizontal="center" vertical="center"/>
      <protection hidden="1"/>
    </xf>
    <xf numFmtId="165" fontId="12" fillId="0" borderId="48" xfId="0" applyNumberFormat="1" applyFont="1" applyBorder="1" applyAlignment="1" applyProtection="1">
      <alignment horizontal="center" vertical="center"/>
      <protection hidden="1"/>
    </xf>
    <xf numFmtId="165" fontId="12" fillId="0" borderId="54" xfId="0" applyNumberFormat="1" applyFont="1" applyBorder="1" applyAlignment="1" applyProtection="1">
      <alignment horizontal="center" vertical="center"/>
      <protection hidden="1"/>
    </xf>
    <xf numFmtId="2" fontId="12" fillId="0" borderId="41" xfId="2" applyNumberFormat="1" applyFont="1" applyBorder="1" applyAlignment="1" applyProtection="1">
      <alignment horizontal="center"/>
      <protection hidden="1"/>
    </xf>
    <xf numFmtId="2" fontId="12" fillId="0" borderId="54" xfId="2" applyNumberFormat="1" applyFont="1" applyBorder="1" applyAlignment="1" applyProtection="1">
      <alignment horizontal="center"/>
      <protection hidden="1"/>
    </xf>
    <xf numFmtId="2" fontId="12" fillId="0" borderId="54" xfId="0" applyNumberFormat="1" applyFont="1" applyBorder="1" applyAlignment="1" applyProtection="1">
      <alignment horizontal="center" vertical="center"/>
      <protection hidden="1"/>
    </xf>
    <xf numFmtId="0" fontId="12" fillId="0" borderId="34" xfId="0" applyFont="1" applyBorder="1" applyProtection="1">
      <protection hidden="1"/>
    </xf>
    <xf numFmtId="0" fontId="18" fillId="0" borderId="0" xfId="0" applyFont="1" applyAlignment="1" applyProtection="1">
      <alignment horizontal="centerContinuous"/>
      <protection hidden="1"/>
    </xf>
    <xf numFmtId="2" fontId="19" fillId="0" borderId="0" xfId="0" applyNumberFormat="1" applyFont="1" applyAlignment="1" applyProtection="1">
      <alignment horizontal="left"/>
      <protection hidden="1"/>
    </xf>
    <xf numFmtId="166" fontId="19" fillId="0" borderId="0" xfId="0" applyNumberFormat="1" applyFont="1" applyAlignment="1" applyProtection="1">
      <alignment horizontal="left"/>
      <protection hidden="1"/>
    </xf>
    <xf numFmtId="166" fontId="12" fillId="0" borderId="56" xfId="2" applyNumberFormat="1" applyFont="1" applyBorder="1" applyAlignment="1" applyProtection="1">
      <alignment horizontal="center"/>
      <protection hidden="1"/>
    </xf>
    <xf numFmtId="166" fontId="12" fillId="0" borderId="57" xfId="2" applyNumberFormat="1" applyFont="1" applyBorder="1" applyAlignment="1" applyProtection="1">
      <alignment horizontal="center"/>
      <protection hidden="1"/>
    </xf>
    <xf numFmtId="2" fontId="19" fillId="0" borderId="0" xfId="2" applyNumberFormat="1" applyFont="1" applyAlignment="1" applyProtection="1">
      <alignment horizontal="left"/>
      <protection hidden="1"/>
    </xf>
    <xf numFmtId="0" fontId="12" fillId="0" borderId="0" xfId="0" applyFont="1" applyAlignment="1" applyProtection="1">
      <alignment horizontal="center"/>
      <protection hidden="1"/>
    </xf>
    <xf numFmtId="2" fontId="18" fillId="0" borderId="0" xfId="0" applyNumberFormat="1" applyFont="1" applyAlignment="1" applyProtection="1">
      <alignment horizontal="left"/>
      <protection hidden="1"/>
    </xf>
    <xf numFmtId="166" fontId="12" fillId="0" borderId="54" xfId="0" applyNumberFormat="1" applyFont="1" applyBorder="1" applyAlignment="1" applyProtection="1">
      <alignment horizontal="center" vertical="center"/>
      <protection hidden="1"/>
    </xf>
    <xf numFmtId="1" fontId="19" fillId="0" borderId="17" xfId="2" applyNumberFormat="1" applyFont="1" applyBorder="1" applyAlignment="1" applyProtection="1">
      <alignment horizontal="centerContinuous"/>
      <protection hidden="1"/>
    </xf>
    <xf numFmtId="0" fontId="17" fillId="0" borderId="18" xfId="0" applyFont="1" applyBorder="1" applyAlignment="1" applyProtection="1">
      <alignment horizontal="center"/>
      <protection hidden="1"/>
    </xf>
    <xf numFmtId="165" fontId="12" fillId="0" borderId="48" xfId="0" applyNumberFormat="1" applyFont="1" applyBorder="1" applyAlignment="1" applyProtection="1">
      <alignment horizontal="center"/>
      <protection hidden="1"/>
    </xf>
    <xf numFmtId="165" fontId="12" fillId="0" borderId="54" xfId="0" applyNumberFormat="1" applyFont="1" applyBorder="1" applyAlignment="1" applyProtection="1">
      <alignment horizontal="center"/>
      <protection hidden="1"/>
    </xf>
    <xf numFmtId="2" fontId="12" fillId="0" borderId="56" xfId="0" applyNumberFormat="1" applyFont="1" applyBorder="1" applyAlignment="1" applyProtection="1">
      <alignment horizontal="center"/>
      <protection hidden="1"/>
    </xf>
    <xf numFmtId="2" fontId="12" fillId="0" borderId="57" xfId="0" applyNumberFormat="1" applyFont="1" applyBorder="1" applyAlignment="1" applyProtection="1">
      <alignment horizontal="center"/>
      <protection hidden="1"/>
    </xf>
    <xf numFmtId="165" fontId="12" fillId="0" borderId="78" xfId="0" applyNumberFormat="1" applyFont="1" applyBorder="1" applyAlignment="1" applyProtection="1">
      <alignment horizontal="center" vertical="center"/>
      <protection hidden="1"/>
    </xf>
    <xf numFmtId="165" fontId="12" fillId="0" borderId="57" xfId="0" applyNumberFormat="1" applyFont="1" applyBorder="1" applyAlignment="1" applyProtection="1">
      <alignment horizontal="center"/>
      <protection hidden="1"/>
    </xf>
    <xf numFmtId="1" fontId="19" fillId="0" borderId="19" xfId="2" applyNumberFormat="1" applyFont="1" applyBorder="1" applyAlignment="1" applyProtection="1">
      <alignment horizontal="centerContinuous"/>
      <protection hidden="1"/>
    </xf>
    <xf numFmtId="2" fontId="12" fillId="0" borderId="23" xfId="0" applyNumberFormat="1" applyFont="1" applyBorder="1" applyAlignment="1" applyProtection="1">
      <alignment horizontal="center"/>
      <protection hidden="1"/>
    </xf>
    <xf numFmtId="1" fontId="19" fillId="0" borderId="0" xfId="2" applyNumberFormat="1" applyFont="1" applyAlignment="1" applyProtection="1">
      <alignment horizontal="centerContinuous"/>
      <protection hidden="1"/>
    </xf>
    <xf numFmtId="0" fontId="15" fillId="3" borderId="27" xfId="3" applyFont="1" applyFill="1" applyBorder="1" applyAlignment="1" applyProtection="1">
      <alignment horizontal="center" vertical="center" wrapText="1"/>
      <protection hidden="1"/>
    </xf>
    <xf numFmtId="170" fontId="15" fillId="3" borderId="27" xfId="3" applyNumberFormat="1" applyFont="1" applyFill="1" applyBorder="1" applyAlignment="1" applyProtection="1">
      <alignment horizontal="center" vertical="center" wrapText="1"/>
      <protection hidden="1"/>
    </xf>
    <xf numFmtId="0" fontId="15" fillId="3" borderId="66" xfId="3" applyFont="1" applyFill="1" applyBorder="1" applyAlignment="1" applyProtection="1">
      <alignment horizontal="center" vertical="center" wrapText="1"/>
      <protection hidden="1"/>
    </xf>
    <xf numFmtId="0" fontId="15" fillId="3" borderId="29" xfId="3" applyFont="1" applyFill="1" applyBorder="1" applyAlignment="1" applyProtection="1">
      <alignment horizontal="center" vertical="center" wrapText="1"/>
      <protection hidden="1"/>
    </xf>
    <xf numFmtId="0" fontId="12" fillId="0" borderId="33" xfId="0" applyFont="1" applyBorder="1" applyAlignment="1" applyProtection="1">
      <alignment horizontal="center"/>
      <protection hidden="1"/>
    </xf>
    <xf numFmtId="0" fontId="15" fillId="3" borderId="33" xfId="3" applyFont="1" applyFill="1" applyBorder="1" applyAlignment="1" applyProtection="1">
      <alignment horizontal="center" vertical="center" wrapText="1"/>
      <protection hidden="1"/>
    </xf>
    <xf numFmtId="170" fontId="15" fillId="3" borderId="33" xfId="3" applyNumberFormat="1" applyFont="1" applyFill="1" applyBorder="1" applyAlignment="1" applyProtection="1">
      <alignment horizontal="center" vertical="center" wrapText="1"/>
      <protection hidden="1"/>
    </xf>
    <xf numFmtId="0" fontId="15" fillId="3" borderId="67" xfId="3" applyFont="1" applyFill="1" applyBorder="1" applyAlignment="1" applyProtection="1">
      <alignment horizontal="center" vertical="center" wrapText="1"/>
      <protection hidden="1"/>
    </xf>
    <xf numFmtId="0" fontId="15" fillId="3" borderId="34" xfId="3" applyFont="1" applyFill="1" applyBorder="1" applyAlignment="1" applyProtection="1">
      <alignment horizontal="center" vertical="center" wrapText="1"/>
      <protection hidden="1"/>
    </xf>
    <xf numFmtId="0" fontId="15" fillId="3" borderId="38" xfId="3" applyFont="1" applyFill="1" applyBorder="1" applyAlignment="1" applyProtection="1">
      <alignment horizontal="center" vertical="center" wrapText="1"/>
      <protection hidden="1"/>
    </xf>
    <xf numFmtId="0" fontId="15" fillId="3" borderId="68" xfId="3" applyFont="1" applyFill="1" applyBorder="1" applyAlignment="1" applyProtection="1">
      <alignment horizontal="center" vertical="center" wrapText="1"/>
      <protection hidden="1"/>
    </xf>
    <xf numFmtId="0" fontId="15" fillId="3" borderId="40" xfId="3" applyFont="1" applyFill="1" applyBorder="1" applyAlignment="1" applyProtection="1">
      <alignment horizontal="center" vertical="center" wrapText="1"/>
      <protection hidden="1"/>
    </xf>
    <xf numFmtId="2" fontId="12" fillId="0" borderId="72" xfId="3" applyNumberFormat="1" applyFont="1" applyBorder="1" applyAlignment="1" applyProtection="1">
      <alignment horizontal="center" vertical="center"/>
      <protection hidden="1"/>
    </xf>
    <xf numFmtId="164" fontId="12" fillId="0" borderId="64" xfId="3" applyNumberFormat="1" applyFont="1" applyBorder="1" applyAlignment="1" applyProtection="1">
      <alignment horizontal="center" vertical="center"/>
      <protection hidden="1"/>
    </xf>
    <xf numFmtId="2" fontId="12" fillId="0" borderId="64" xfId="3" applyNumberFormat="1" applyFont="1" applyBorder="1" applyAlignment="1" applyProtection="1">
      <alignment horizontal="center" vertical="center"/>
      <protection hidden="1"/>
    </xf>
    <xf numFmtId="171" fontId="12" fillId="0" borderId="69" xfId="3" applyNumberFormat="1" applyFont="1" applyBorder="1" applyAlignment="1" applyProtection="1">
      <alignment horizontal="center" vertical="center"/>
      <protection hidden="1"/>
    </xf>
    <xf numFmtId="166" fontId="12" fillId="0" borderId="53" xfId="3" applyNumberFormat="1" applyFont="1" applyBorder="1" applyAlignment="1" applyProtection="1">
      <alignment horizontal="center" vertical="center"/>
      <protection hidden="1"/>
    </xf>
    <xf numFmtId="1" fontId="12" fillId="0" borderId="41" xfId="3" applyNumberFormat="1" applyFont="1" applyBorder="1" applyAlignment="1" applyProtection="1">
      <alignment horizontal="center" vertical="center"/>
      <protection hidden="1"/>
    </xf>
    <xf numFmtId="164" fontId="12" fillId="0" borderId="41" xfId="3" applyNumberFormat="1" applyFont="1" applyBorder="1" applyAlignment="1" applyProtection="1">
      <alignment horizontal="center" vertical="center"/>
      <protection hidden="1"/>
    </xf>
    <xf numFmtId="2" fontId="12" fillId="0" borderId="41" xfId="3" applyNumberFormat="1" applyFont="1" applyBorder="1" applyAlignment="1" applyProtection="1">
      <alignment horizontal="center" vertical="center"/>
      <protection hidden="1"/>
    </xf>
    <xf numFmtId="171" fontId="12" fillId="0" borderId="70" xfId="3" applyNumberFormat="1" applyFont="1" applyBorder="1" applyAlignment="1" applyProtection="1">
      <alignment horizontal="center" vertical="center"/>
      <protection hidden="1"/>
    </xf>
    <xf numFmtId="166" fontId="19" fillId="0" borderId="0" xfId="0" applyNumberFormat="1" applyFont="1" applyAlignment="1" applyProtection="1">
      <alignment horizontal="centerContinuous"/>
      <protection hidden="1"/>
    </xf>
    <xf numFmtId="167" fontId="19" fillId="0" borderId="0" xfId="0" applyNumberFormat="1" applyFont="1" applyAlignment="1" applyProtection="1">
      <alignment horizontal="centerContinuous"/>
      <protection hidden="1"/>
    </xf>
    <xf numFmtId="0" fontId="12" fillId="0" borderId="0" xfId="0" applyFont="1" applyAlignment="1" applyProtection="1">
      <alignment horizontal="centerContinuous"/>
      <protection hidden="1"/>
    </xf>
    <xf numFmtId="167" fontId="12" fillId="0" borderId="0" xfId="0" applyNumberFormat="1" applyFont="1" applyProtection="1">
      <protection hidden="1"/>
    </xf>
    <xf numFmtId="165" fontId="12" fillId="0" borderId="0" xfId="0" applyNumberFormat="1" applyFont="1" applyProtection="1">
      <protection hidden="1"/>
    </xf>
    <xf numFmtId="2" fontId="12" fillId="0" borderId="53" xfId="3" applyNumberFormat="1" applyFont="1" applyBorder="1" applyAlignment="1" applyProtection="1">
      <alignment horizontal="center" vertical="center"/>
      <protection hidden="1"/>
    </xf>
    <xf numFmtId="0" fontId="4" fillId="0" borderId="0" xfId="0" applyFont="1" applyProtection="1">
      <protection hidden="1"/>
    </xf>
    <xf numFmtId="2" fontId="12" fillId="0" borderId="55" xfId="3" applyNumberFormat="1" applyFont="1" applyBorder="1" applyAlignment="1" applyProtection="1">
      <alignment horizontal="center" vertical="center"/>
      <protection hidden="1"/>
    </xf>
    <xf numFmtId="1" fontId="12" fillId="0" borderId="56" xfId="3" applyNumberFormat="1" applyFont="1" applyBorder="1" applyAlignment="1" applyProtection="1">
      <alignment horizontal="center" vertical="center"/>
      <protection hidden="1"/>
    </xf>
    <xf numFmtId="2" fontId="12" fillId="0" borderId="56" xfId="3" applyNumberFormat="1" applyFont="1" applyBorder="1" applyAlignment="1" applyProtection="1">
      <alignment horizontal="center" vertical="center"/>
      <protection hidden="1"/>
    </xf>
    <xf numFmtId="171" fontId="12" fillId="0" borderId="71" xfId="3" applyNumberFormat="1" applyFont="1" applyBorder="1" applyAlignment="1" applyProtection="1">
      <alignment horizontal="center" vertical="center"/>
      <protection hidden="1"/>
    </xf>
    <xf numFmtId="0" fontId="12" fillId="0" borderId="2" xfId="0" applyFont="1" applyBorder="1" applyProtection="1">
      <protection hidden="1"/>
    </xf>
    <xf numFmtId="2" fontId="16" fillId="0" borderId="64" xfId="0" applyNumberFormat="1" applyFont="1" applyBorder="1" applyAlignment="1" applyProtection="1">
      <alignment horizontal="center" vertical="center"/>
      <protection hidden="1"/>
    </xf>
    <xf numFmtId="165" fontId="16" fillId="0" borderId="73" xfId="0" applyNumberFormat="1" applyFont="1" applyBorder="1" applyAlignment="1" applyProtection="1">
      <alignment horizontal="center" vertical="center"/>
      <protection hidden="1"/>
    </xf>
    <xf numFmtId="2" fontId="16" fillId="0" borderId="41" xfId="0" applyNumberFormat="1" applyFont="1" applyBorder="1" applyAlignment="1" applyProtection="1">
      <alignment horizontal="center" vertical="center"/>
      <protection hidden="1"/>
    </xf>
    <xf numFmtId="165" fontId="16" fillId="0" borderId="54" xfId="0" applyNumberFormat="1" applyFont="1" applyBorder="1" applyAlignment="1" applyProtection="1">
      <alignment horizontal="center" vertical="center"/>
      <protection hidden="1"/>
    </xf>
    <xf numFmtId="172" fontId="16" fillId="0" borderId="54" xfId="0" applyNumberFormat="1" applyFont="1" applyBorder="1" applyAlignment="1" applyProtection="1">
      <alignment horizontal="center" vertical="center"/>
      <protection hidden="1"/>
    </xf>
    <xf numFmtId="2" fontId="16" fillId="0" borderId="56" xfId="0" applyNumberFormat="1" applyFont="1" applyBorder="1" applyAlignment="1" applyProtection="1">
      <alignment horizontal="center" vertical="center"/>
      <protection hidden="1"/>
    </xf>
    <xf numFmtId="0" fontId="12" fillId="0" borderId="9" xfId="0" applyFont="1" applyBorder="1" applyAlignment="1" applyProtection="1">
      <alignment horizontal="center" vertical="center" wrapText="1"/>
      <protection hidden="1"/>
    </xf>
    <xf numFmtId="0" fontId="12" fillId="0" borderId="9" xfId="0" applyFont="1" applyBorder="1" applyAlignment="1" applyProtection="1">
      <alignment horizontal="center" vertical="center"/>
      <protection hidden="1"/>
    </xf>
    <xf numFmtId="0" fontId="12" fillId="0" borderId="0" xfId="0" applyFont="1" applyAlignment="1" applyProtection="1">
      <alignment horizontal="center" vertical="center"/>
      <protection hidden="1"/>
    </xf>
    <xf numFmtId="2" fontId="12" fillId="0" borderId="9" xfId="0" applyNumberFormat="1" applyFont="1" applyBorder="1" applyAlignment="1" applyProtection="1">
      <alignment horizontal="center" vertical="center"/>
      <protection hidden="1"/>
    </xf>
    <xf numFmtId="0" fontId="12" fillId="0" borderId="9" xfId="0" applyFont="1" applyBorder="1" applyProtection="1">
      <protection hidden="1"/>
    </xf>
    <xf numFmtId="0" fontId="12" fillId="0" borderId="33" xfId="0" applyFont="1" applyBorder="1" applyAlignment="1" applyProtection="1">
      <alignment vertical="center" wrapText="1"/>
      <protection hidden="1"/>
    </xf>
    <xf numFmtId="1" fontId="12" fillId="0" borderId="9" xfId="0" applyNumberFormat="1" applyFont="1" applyBorder="1" applyProtection="1">
      <protection hidden="1"/>
    </xf>
    <xf numFmtId="0" fontId="9" fillId="5" borderId="14" xfId="4" applyFont="1" applyFill="1" applyBorder="1" applyAlignment="1" applyProtection="1">
      <alignment horizontal="center" vertical="center"/>
      <protection hidden="1"/>
    </xf>
    <xf numFmtId="0" fontId="19" fillId="0" borderId="1" xfId="2" applyFont="1" applyBorder="1" applyProtection="1">
      <protection hidden="1"/>
    </xf>
    <xf numFmtId="0" fontId="12" fillId="0" borderId="0" xfId="0" applyFont="1" applyAlignment="1" applyProtection="1">
      <alignment horizontal="left" vertical="center" wrapText="1"/>
      <protection hidden="1"/>
    </xf>
    <xf numFmtId="49" fontId="17" fillId="0" borderId="0" xfId="0" applyNumberFormat="1" applyFont="1" applyAlignment="1" applyProtection="1">
      <alignment horizontal="center"/>
      <protection hidden="1"/>
    </xf>
    <xf numFmtId="169" fontId="6" fillId="0" borderId="14" xfId="4" applyNumberFormat="1" applyBorder="1" applyAlignment="1" applyProtection="1">
      <alignment horizontal="center" vertical="center"/>
      <protection hidden="1"/>
    </xf>
    <xf numFmtId="0" fontId="4" fillId="0" borderId="1" xfId="2" applyFont="1" applyBorder="1" applyProtection="1">
      <protection hidden="1"/>
    </xf>
    <xf numFmtId="164" fontId="4" fillId="0" borderId="0" xfId="2" applyNumberFormat="1" applyFont="1" applyProtection="1">
      <protection hidden="1"/>
    </xf>
    <xf numFmtId="1" fontId="4" fillId="0" borderId="0" xfId="2" applyNumberFormat="1" applyFont="1" applyProtection="1">
      <protection hidden="1"/>
    </xf>
    <xf numFmtId="0" fontId="20" fillId="0" borderId="0" xfId="0" applyFont="1" applyAlignment="1" applyProtection="1">
      <alignment horizontal="center" vertical="top"/>
      <protection hidden="1"/>
    </xf>
    <xf numFmtId="0" fontId="6" fillId="6" borderId="77" xfId="4" applyFill="1" applyBorder="1" applyAlignment="1" applyProtection="1">
      <alignment horizontal="center" vertical="center" wrapText="1"/>
      <protection hidden="1"/>
    </xf>
    <xf numFmtId="0" fontId="20" fillId="0" borderId="0" xfId="0" applyFont="1" applyAlignment="1" applyProtection="1">
      <alignment horizontal="center"/>
      <protection hidden="1"/>
    </xf>
    <xf numFmtId="2" fontId="12" fillId="0" borderId="41" xfId="2" applyNumberFormat="1" applyFont="1" applyBorder="1" applyAlignment="1" applyProtection="1">
      <alignment horizontal="center"/>
      <protection locked="0" hidden="1"/>
    </xf>
    <xf numFmtId="1" fontId="12" fillId="0" borderId="64" xfId="2" applyNumberFormat="1" applyFont="1" applyBorder="1" applyAlignment="1" applyProtection="1">
      <alignment horizontal="center"/>
      <protection locked="0" hidden="1"/>
    </xf>
    <xf numFmtId="1" fontId="12" fillId="0" borderId="73" xfId="2" applyNumberFormat="1" applyFont="1" applyBorder="1" applyAlignment="1" applyProtection="1">
      <alignment horizontal="center"/>
      <protection locked="0" hidden="1"/>
    </xf>
    <xf numFmtId="2" fontId="12" fillId="0" borderId="54" xfId="2" applyNumberFormat="1" applyFont="1" applyBorder="1" applyAlignment="1" applyProtection="1">
      <alignment horizontal="center"/>
      <protection locked="0" hidden="1"/>
    </xf>
    <xf numFmtId="1" fontId="16" fillId="0" borderId="57" xfId="0" applyNumberFormat="1" applyFont="1" applyBorder="1" applyAlignment="1" applyProtection="1">
      <alignment horizontal="center" vertical="center"/>
      <protection locked="0" hidden="1"/>
    </xf>
    <xf numFmtId="0" fontId="4" fillId="0" borderId="34" xfId="2" applyFont="1" applyBorder="1" applyProtection="1">
      <protection locked="0"/>
    </xf>
    <xf numFmtId="0" fontId="12" fillId="0" borderId="34" xfId="0" applyFont="1" applyBorder="1" applyProtection="1">
      <protection locked="0"/>
    </xf>
    <xf numFmtId="166" fontId="19" fillId="0" borderId="34" xfId="0" applyNumberFormat="1" applyFont="1" applyBorder="1" applyAlignment="1" applyProtection="1">
      <alignment horizontal="centerContinuous"/>
      <protection locked="0"/>
    </xf>
    <xf numFmtId="167" fontId="19" fillId="0" borderId="34" xfId="0" applyNumberFormat="1" applyFont="1" applyBorder="1" applyAlignment="1" applyProtection="1">
      <alignment horizontal="centerContinuous"/>
      <protection locked="0"/>
    </xf>
    <xf numFmtId="0" fontId="4" fillId="0" borderId="34" xfId="0" applyFont="1" applyBorder="1" applyProtection="1">
      <protection locked="0"/>
    </xf>
    <xf numFmtId="0" fontId="19" fillId="0" borderId="0" xfId="2" applyFont="1" applyAlignment="1" applyProtection="1">
      <alignment horizontal="centerContinuous"/>
      <protection hidden="1"/>
    </xf>
    <xf numFmtId="0" fontId="23" fillId="0" borderId="0" xfId="2" applyFont="1" applyAlignment="1" applyProtection="1">
      <alignment horizontal="centerContinuous"/>
      <protection hidden="1"/>
    </xf>
    <xf numFmtId="0" fontId="4" fillId="0" borderId="0" xfId="2" applyFont="1" applyAlignment="1" applyProtection="1">
      <alignment horizontal="centerContinuous"/>
      <protection hidden="1"/>
    </xf>
    <xf numFmtId="0" fontId="19" fillId="0" borderId="0" xfId="2" applyFont="1" applyAlignment="1" applyProtection="1">
      <alignment horizontal="right"/>
      <protection hidden="1"/>
    </xf>
    <xf numFmtId="0" fontId="23" fillId="0" borderId="0" xfId="2" applyFont="1" applyAlignment="1" applyProtection="1">
      <alignment horizontal="left"/>
      <protection hidden="1"/>
    </xf>
    <xf numFmtId="0" fontId="23" fillId="0" borderId="34" xfId="2" applyFont="1" applyBorder="1" applyAlignment="1" applyProtection="1">
      <alignment horizontal="left"/>
      <protection hidden="1"/>
    </xf>
    <xf numFmtId="0" fontId="23" fillId="0" borderId="0" xfId="0" applyFont="1" applyAlignment="1" applyProtection="1">
      <alignment horizontal="center"/>
      <protection hidden="1"/>
    </xf>
    <xf numFmtId="2" fontId="19" fillId="0" borderId="34" xfId="0" applyNumberFormat="1" applyFont="1" applyBorder="1" applyAlignment="1" applyProtection="1">
      <alignment horizontal="left"/>
      <protection hidden="1"/>
    </xf>
    <xf numFmtId="2" fontId="18" fillId="0" borderId="0" xfId="0" applyNumberFormat="1" applyFont="1" applyAlignment="1" applyProtection="1">
      <alignment horizontal="center" vertical="center" wrapText="1"/>
      <protection hidden="1"/>
    </xf>
    <xf numFmtId="0" fontId="18" fillId="0" borderId="0" xfId="0" applyFont="1" applyAlignment="1" applyProtection="1">
      <alignment horizontal="center" vertical="center" wrapText="1"/>
      <protection hidden="1"/>
    </xf>
    <xf numFmtId="0" fontId="12" fillId="0" borderId="34" xfId="0" applyFont="1" applyBorder="1" applyAlignment="1" applyProtection="1">
      <alignment horizontal="centerContinuous" vertical="center" wrapText="1"/>
      <protection hidden="1"/>
    </xf>
    <xf numFmtId="2" fontId="12" fillId="0" borderId="53" xfId="0" applyNumberFormat="1" applyFont="1" applyBorder="1" applyAlignment="1" applyProtection="1">
      <alignment horizontal="center"/>
      <protection hidden="1"/>
    </xf>
    <xf numFmtId="2" fontId="12" fillId="0" borderId="41" xfId="0" applyNumberFormat="1" applyFont="1" applyBorder="1" applyAlignment="1" applyProtection="1">
      <alignment horizontal="center"/>
      <protection hidden="1"/>
    </xf>
    <xf numFmtId="165" fontId="4" fillId="7" borderId="41" xfId="0" applyNumberFormat="1" applyFont="1" applyFill="1" applyBorder="1" applyAlignment="1" applyProtection="1">
      <alignment horizontal="center"/>
      <protection hidden="1"/>
    </xf>
    <xf numFmtId="9" fontId="24" fillId="0" borderId="0" xfId="0" applyNumberFormat="1" applyFont="1" applyAlignment="1" applyProtection="1">
      <alignment horizontal="left"/>
      <protection hidden="1"/>
    </xf>
    <xf numFmtId="0" fontId="18" fillId="0" borderId="34" xfId="0" applyFont="1" applyBorder="1" applyAlignment="1" applyProtection="1">
      <alignment horizontal="centerContinuous"/>
      <protection hidden="1"/>
    </xf>
    <xf numFmtId="0" fontId="19" fillId="0" borderId="0" xfId="2" applyFont="1" applyAlignment="1" applyProtection="1">
      <alignment vertical="center"/>
      <protection hidden="1"/>
    </xf>
    <xf numFmtId="0" fontId="19" fillId="0" borderId="0" xfId="2" applyFont="1" applyAlignment="1" applyProtection="1">
      <alignment vertical="top"/>
      <protection hidden="1"/>
    </xf>
    <xf numFmtId="2" fontId="12" fillId="0" borderId="55" xfId="0" applyNumberFormat="1" applyFont="1" applyBorder="1" applyAlignment="1" applyProtection="1">
      <alignment horizontal="center"/>
      <protection hidden="1"/>
    </xf>
    <xf numFmtId="0" fontId="25" fillId="0" borderId="0" xfId="0" applyFont="1" applyAlignment="1" applyProtection="1">
      <alignment horizontal="center"/>
      <protection hidden="1"/>
    </xf>
    <xf numFmtId="0" fontId="25" fillId="0" borderId="34" xfId="0" applyFont="1" applyBorder="1" applyAlignment="1" applyProtection="1">
      <alignment horizontal="center"/>
      <protection hidden="1"/>
    </xf>
    <xf numFmtId="0" fontId="20" fillId="0" borderId="34" xfId="0" applyFont="1" applyBorder="1" applyAlignment="1" applyProtection="1">
      <alignment horizontal="center" vertical="top"/>
      <protection hidden="1"/>
    </xf>
    <xf numFmtId="165" fontId="12" fillId="0" borderId="51" xfId="0" applyNumberFormat="1" applyFont="1" applyBorder="1" applyAlignment="1" applyProtection="1">
      <alignment horizontal="center" vertical="center"/>
      <protection hidden="1"/>
    </xf>
    <xf numFmtId="165" fontId="4" fillId="0" borderId="54" xfId="0" applyNumberFormat="1" applyFont="1" applyBorder="1" applyAlignment="1" applyProtection="1">
      <alignment horizontal="center"/>
      <protection hidden="1"/>
    </xf>
    <xf numFmtId="165" fontId="4" fillId="0" borderId="57" xfId="0" applyNumberFormat="1" applyFont="1" applyBorder="1" applyAlignment="1" applyProtection="1">
      <alignment horizontal="center"/>
      <protection hidden="1"/>
    </xf>
    <xf numFmtId="165" fontId="12" fillId="7" borderId="41" xfId="0" applyNumberFormat="1" applyFont="1" applyFill="1" applyBorder="1" applyAlignment="1" applyProtection="1">
      <alignment horizontal="center"/>
      <protection hidden="1"/>
    </xf>
    <xf numFmtId="165" fontId="12" fillId="7" borderId="56" xfId="0" applyNumberFormat="1" applyFont="1" applyFill="1" applyBorder="1" applyAlignment="1" applyProtection="1">
      <alignment horizontal="center"/>
      <protection hidden="1"/>
    </xf>
    <xf numFmtId="0" fontId="12" fillId="0" borderId="0" xfId="0" applyFont="1" applyAlignment="1" applyProtection="1">
      <alignment vertical="center"/>
      <protection hidden="1"/>
    </xf>
    <xf numFmtId="0" fontId="12" fillId="0" borderId="34" xfId="0" applyFont="1" applyBorder="1" applyAlignment="1" applyProtection="1">
      <alignment vertical="center"/>
      <protection hidden="1"/>
    </xf>
    <xf numFmtId="0" fontId="12" fillId="0" borderId="39" xfId="0" applyFont="1" applyBorder="1" applyAlignment="1" applyProtection="1">
      <alignment vertical="center"/>
      <protection hidden="1"/>
    </xf>
    <xf numFmtId="0" fontId="12" fillId="0" borderId="40" xfId="0" applyFont="1" applyBorder="1" applyAlignment="1" applyProtection="1">
      <alignment vertical="center"/>
      <protection hidden="1"/>
    </xf>
    <xf numFmtId="0" fontId="12" fillId="0" borderId="33" xfId="0" applyFont="1" applyBorder="1" applyAlignment="1" applyProtection="1">
      <alignment vertical="center"/>
      <protection hidden="1"/>
    </xf>
    <xf numFmtId="0" fontId="12" fillId="0" borderId="6" xfId="0" applyFont="1" applyBorder="1" applyAlignment="1" applyProtection="1">
      <alignment vertical="center"/>
      <protection hidden="1"/>
    </xf>
    <xf numFmtId="0" fontId="34" fillId="0" borderId="85" xfId="21" applyFont="1" applyBorder="1" applyAlignment="1" applyProtection="1">
      <alignment vertical="center"/>
      <protection locked="0" hidden="1"/>
    </xf>
    <xf numFmtId="0" fontId="37" fillId="0" borderId="0" xfId="21" applyFont="1" applyAlignment="1" applyProtection="1">
      <alignment horizontal="center" vertical="center" wrapText="1"/>
      <protection hidden="1"/>
    </xf>
    <xf numFmtId="0" fontId="34" fillId="0" borderId="0" xfId="21" applyFont="1" applyAlignment="1" applyProtection="1">
      <alignment vertical="center"/>
      <protection hidden="1"/>
    </xf>
    <xf numFmtId="0" fontId="34" fillId="0" borderId="85" xfId="21" applyFont="1" applyBorder="1" applyAlignment="1" applyProtection="1">
      <alignment vertical="center"/>
      <protection hidden="1"/>
    </xf>
    <xf numFmtId="0" fontId="6" fillId="7" borderId="0" xfId="21" applyFont="1" applyFill="1" applyAlignment="1" applyProtection="1">
      <alignment horizontal="center" vertical="center"/>
      <protection hidden="1"/>
    </xf>
    <xf numFmtId="49" fontId="6" fillId="7" borderId="31" xfId="21" applyNumberFormat="1" applyFont="1" applyFill="1" applyBorder="1" applyAlignment="1" applyProtection="1">
      <alignment horizontal="right" vertical="center"/>
      <protection locked="0" hidden="1"/>
    </xf>
    <xf numFmtId="0" fontId="16" fillId="7" borderId="0" xfId="21" applyFont="1" applyFill="1" applyAlignment="1" applyProtection="1">
      <alignment horizontal="left" vertical="center"/>
      <protection hidden="1"/>
    </xf>
    <xf numFmtId="0" fontId="16" fillId="7" borderId="28" xfId="21" applyFont="1" applyFill="1" applyBorder="1" applyAlignment="1" applyProtection="1">
      <alignment horizontal="left" vertical="center"/>
      <protection hidden="1"/>
    </xf>
    <xf numFmtId="0" fontId="18" fillId="0" borderId="0" xfId="21" applyFont="1" applyAlignment="1" applyProtection="1">
      <alignment horizontal="left" vertical="center"/>
      <protection hidden="1"/>
    </xf>
    <xf numFmtId="0" fontId="17" fillId="0" borderId="0" xfId="21" applyFont="1" applyAlignment="1" applyProtection="1">
      <alignment horizontal="center" vertical="center"/>
      <protection hidden="1"/>
    </xf>
    <xf numFmtId="0" fontId="12" fillId="0" borderId="0" xfId="0" applyFont="1" applyProtection="1">
      <protection locked="0"/>
    </xf>
    <xf numFmtId="0" fontId="12" fillId="0" borderId="0" xfId="0" applyFont="1" applyAlignment="1" applyProtection="1">
      <alignment horizontal="center"/>
      <protection locked="0"/>
    </xf>
    <xf numFmtId="0" fontId="18" fillId="0" borderId="0" xfId="0" applyFont="1" applyAlignment="1" applyProtection="1">
      <alignment horizontal="left" vertical="center"/>
      <protection hidden="1"/>
    </xf>
    <xf numFmtId="0" fontId="12" fillId="0" borderId="0" xfId="2" applyFont="1" applyAlignment="1" applyProtection="1">
      <alignment horizontal="left"/>
      <protection hidden="1"/>
    </xf>
    <xf numFmtId="0" fontId="12" fillId="0" borderId="0" xfId="2" applyFont="1" applyAlignment="1" applyProtection="1">
      <alignment horizontal="center"/>
      <protection hidden="1"/>
    </xf>
    <xf numFmtId="0" fontId="12" fillId="0" borderId="0" xfId="2" applyFont="1" applyAlignment="1" applyProtection="1">
      <alignment horizontal="center"/>
      <protection locked="0"/>
    </xf>
    <xf numFmtId="0" fontId="14" fillId="0" borderId="0" xfId="21" applyFont="1" applyAlignment="1" applyProtection="1">
      <alignment horizontal="center" vertical="center"/>
      <protection hidden="1"/>
    </xf>
    <xf numFmtId="165" fontId="12" fillId="0" borderId="0" xfId="0" applyNumberFormat="1" applyFont="1" applyAlignment="1" applyProtection="1">
      <alignment horizontal="center"/>
      <protection locked="0"/>
    </xf>
    <xf numFmtId="0" fontId="4" fillId="0" borderId="0" xfId="2" applyFont="1" applyProtection="1">
      <protection locked="0"/>
    </xf>
    <xf numFmtId="0" fontId="19" fillId="0" borderId="0" xfId="2" applyFont="1" applyAlignment="1" applyProtection="1">
      <alignment horizontal="center" vertical="center"/>
      <protection hidden="1"/>
    </xf>
    <xf numFmtId="2" fontId="12" fillId="0" borderId="0" xfId="2" applyNumberFormat="1" applyFont="1" applyAlignment="1" applyProtection="1">
      <alignment horizontal="center"/>
      <protection hidden="1"/>
    </xf>
    <xf numFmtId="165" fontId="27" fillId="0" borderId="0" xfId="0" applyNumberFormat="1" applyFont="1" applyAlignment="1" applyProtection="1">
      <alignment horizontal="center"/>
      <protection locked="0"/>
    </xf>
    <xf numFmtId="0" fontId="18" fillId="0" borderId="0" xfId="0" applyFont="1" applyAlignment="1" applyProtection="1">
      <alignment horizontal="centerContinuous"/>
      <protection locked="0"/>
    </xf>
    <xf numFmtId="2" fontId="19" fillId="0" borderId="0" xfId="0" applyNumberFormat="1" applyFont="1" applyAlignment="1" applyProtection="1">
      <alignment horizontal="left"/>
      <protection locked="0"/>
    </xf>
    <xf numFmtId="166" fontId="19" fillId="0" borderId="0" xfId="0" applyNumberFormat="1" applyFont="1" applyAlignment="1" applyProtection="1">
      <alignment horizontal="left"/>
      <protection locked="0"/>
    </xf>
    <xf numFmtId="2" fontId="19" fillId="0" borderId="0" xfId="2" applyNumberFormat="1" applyFont="1" applyAlignment="1" applyProtection="1">
      <alignment horizontal="left"/>
      <protection locked="0"/>
    </xf>
    <xf numFmtId="15" fontId="12" fillId="0" borderId="0" xfId="0" applyNumberFormat="1" applyFont="1" applyAlignment="1" applyProtection="1">
      <alignment horizontal="center"/>
      <protection hidden="1"/>
    </xf>
    <xf numFmtId="2" fontId="12" fillId="0" borderId="0" xfId="0" applyNumberFormat="1" applyFont="1" applyAlignment="1" applyProtection="1">
      <alignment horizontal="center"/>
      <protection hidden="1"/>
    </xf>
    <xf numFmtId="2" fontId="18" fillId="0" borderId="0" xfId="0" applyNumberFormat="1" applyFont="1" applyAlignment="1" applyProtection="1">
      <alignment horizontal="left"/>
      <protection locked="0"/>
    </xf>
    <xf numFmtId="0" fontId="18" fillId="0" borderId="0" xfId="0" applyFont="1" applyAlignment="1" applyProtection="1">
      <alignment horizontal="center" vertical="center"/>
      <protection hidden="1"/>
    </xf>
    <xf numFmtId="1" fontId="12" fillId="0" borderId="0" xfId="2" applyNumberFormat="1" applyFont="1" applyAlignment="1" applyProtection="1">
      <alignment horizontal="center"/>
      <protection hidden="1"/>
    </xf>
    <xf numFmtId="0" fontId="27" fillId="0" borderId="0" xfId="0" applyFont="1" applyAlignment="1" applyProtection="1">
      <alignment horizontal="center"/>
      <protection locked="0"/>
    </xf>
    <xf numFmtId="0" fontId="18" fillId="0" borderId="0" xfId="3" applyFont="1" applyAlignment="1" applyProtection="1">
      <alignment horizontal="center" vertical="center" wrapText="1"/>
      <protection hidden="1"/>
    </xf>
    <xf numFmtId="171" fontId="12" fillId="0" borderId="0" xfId="3" applyNumberFormat="1" applyFont="1" applyAlignment="1" applyProtection="1">
      <alignment horizontal="center" vertical="center"/>
      <protection hidden="1"/>
    </xf>
    <xf numFmtId="167" fontId="19" fillId="0" borderId="0" xfId="0" applyNumberFormat="1" applyFont="1" applyAlignment="1" applyProtection="1">
      <alignment horizontal="centerContinuous"/>
      <protection locked="0"/>
    </xf>
    <xf numFmtId="0" fontId="4" fillId="0" borderId="0" xfId="0" applyFont="1" applyProtection="1">
      <protection locked="0"/>
    </xf>
    <xf numFmtId="0" fontId="16" fillId="0" borderId="0" xfId="0" applyFont="1" applyAlignment="1" applyProtection="1">
      <alignment horizontal="center" vertical="center"/>
      <protection hidden="1"/>
    </xf>
    <xf numFmtId="165" fontId="16" fillId="0" borderId="0" xfId="0" applyNumberFormat="1" applyFont="1" applyAlignment="1" applyProtection="1">
      <alignment horizontal="centerContinuous" vertical="center"/>
      <protection hidden="1"/>
    </xf>
    <xf numFmtId="0" fontId="34" fillId="0" borderId="0" xfId="21" applyFont="1" applyAlignment="1" applyProtection="1">
      <alignment vertical="center"/>
      <protection locked="0" hidden="1"/>
    </xf>
    <xf numFmtId="0" fontId="18" fillId="0" borderId="0" xfId="21" applyFont="1" applyAlignment="1" applyProtection="1">
      <alignment vertical="center"/>
      <protection locked="0"/>
    </xf>
    <xf numFmtId="0" fontId="35" fillId="0" borderId="0" xfId="0" applyFont="1" applyAlignment="1" applyProtection="1">
      <alignment vertical="center" wrapText="1"/>
      <protection hidden="1"/>
    </xf>
    <xf numFmtId="0" fontId="39" fillId="0" borderId="6" xfId="22" applyFont="1" applyBorder="1" applyAlignment="1" applyProtection="1">
      <alignment vertical="center" wrapText="1"/>
      <protection hidden="1"/>
    </xf>
    <xf numFmtId="0" fontId="39" fillId="0" borderId="9" xfId="22" applyFont="1" applyBorder="1" applyAlignment="1" applyProtection="1">
      <alignment horizontal="center"/>
      <protection hidden="1"/>
    </xf>
    <xf numFmtId="0" fontId="34" fillId="8" borderId="7" xfId="22" applyFont="1" applyFill="1" applyBorder="1" applyAlignment="1" applyProtection="1">
      <alignment horizontal="center"/>
      <protection hidden="1"/>
    </xf>
    <xf numFmtId="0" fontId="34" fillId="8" borderId="9" xfId="22" applyFont="1" applyFill="1" applyBorder="1" applyAlignment="1" applyProtection="1">
      <alignment horizontal="center"/>
      <protection hidden="1"/>
    </xf>
    <xf numFmtId="0" fontId="6" fillId="0" borderId="40" xfId="21" applyFont="1" applyBorder="1" applyAlignment="1" applyProtection="1">
      <alignment vertical="center"/>
      <protection hidden="1"/>
    </xf>
    <xf numFmtId="0" fontId="34" fillId="0" borderId="7" xfId="22" applyFont="1" applyBorder="1" applyAlignment="1" applyProtection="1">
      <alignment horizontal="center"/>
      <protection hidden="1"/>
    </xf>
    <xf numFmtId="0" fontId="34" fillId="0" borderId="9" xfId="22" applyFont="1" applyBorder="1" applyAlignment="1" applyProtection="1">
      <alignment horizontal="center"/>
      <protection hidden="1"/>
    </xf>
    <xf numFmtId="0" fontId="34" fillId="0" borderId="41" xfId="21" applyFont="1" applyBorder="1" applyAlignment="1" applyProtection="1">
      <alignment vertical="center"/>
      <protection hidden="1"/>
    </xf>
    <xf numFmtId="0" fontId="34" fillId="0" borderId="0" xfId="21" applyFont="1" applyAlignment="1" applyProtection="1">
      <alignment horizontal="center" vertical="center"/>
      <protection hidden="1"/>
    </xf>
    <xf numFmtId="174" fontId="6" fillId="7" borderId="36" xfId="21" applyNumberFormat="1" applyFont="1" applyFill="1" applyBorder="1" applyAlignment="1" applyProtection="1">
      <alignment horizontal="center" vertical="center"/>
      <protection locked="0" hidden="1"/>
    </xf>
    <xf numFmtId="49" fontId="6" fillId="7" borderId="37" xfId="21" applyNumberFormat="1" applyFont="1" applyFill="1" applyBorder="1" applyAlignment="1" applyProtection="1">
      <alignment vertical="center"/>
      <protection locked="0" hidden="1"/>
    </xf>
    <xf numFmtId="0" fontId="6" fillId="7" borderId="40" xfId="21" applyFont="1" applyFill="1" applyBorder="1" applyAlignment="1" applyProtection="1">
      <alignment vertical="center"/>
      <protection hidden="1"/>
    </xf>
    <xf numFmtId="0" fontId="6" fillId="7" borderId="31" xfId="21" applyFont="1" applyFill="1" applyBorder="1" applyAlignment="1" applyProtection="1">
      <alignment horizontal="left" vertical="center"/>
      <protection locked="0" hidden="1"/>
    </xf>
    <xf numFmtId="175" fontId="6" fillId="7" borderId="32" xfId="21" applyNumberFormat="1" applyFont="1" applyFill="1" applyBorder="1" applyAlignment="1" applyProtection="1">
      <alignment horizontal="left" vertical="center"/>
      <protection locked="0" hidden="1"/>
    </xf>
    <xf numFmtId="0" fontId="6" fillId="7" borderId="40" xfId="21" applyFont="1" applyFill="1" applyBorder="1" applyAlignment="1" applyProtection="1">
      <alignment horizontal="left" vertical="center"/>
      <protection hidden="1"/>
    </xf>
    <xf numFmtId="0" fontId="6" fillId="0" borderId="33" xfId="0" applyFont="1" applyBorder="1" applyProtection="1">
      <protection hidden="1"/>
    </xf>
    <xf numFmtId="0" fontId="6" fillId="0" borderId="0" xfId="0" applyFont="1" applyProtection="1">
      <protection hidden="1"/>
    </xf>
    <xf numFmtId="0" fontId="6" fillId="0" borderId="34" xfId="0" applyFont="1" applyBorder="1" applyProtection="1">
      <protection hidden="1"/>
    </xf>
    <xf numFmtId="0" fontId="0" fillId="0" borderId="0" xfId="0" applyProtection="1">
      <protection hidden="1"/>
    </xf>
    <xf numFmtId="0" fontId="14" fillId="3" borderId="66" xfId="4" applyFont="1" applyFill="1" applyBorder="1" applyAlignment="1" applyProtection="1">
      <alignment horizontal="center" vertical="center"/>
      <protection hidden="1"/>
    </xf>
    <xf numFmtId="0" fontId="14" fillId="0" borderId="0" xfId="4" applyFont="1" applyAlignment="1" applyProtection="1">
      <alignment vertical="center"/>
      <protection hidden="1"/>
    </xf>
    <xf numFmtId="0" fontId="40" fillId="0" borderId="27" xfId="0" applyFont="1" applyBorder="1" applyAlignment="1" applyProtection="1">
      <alignment vertical="center"/>
      <protection hidden="1"/>
    </xf>
    <xf numFmtId="0" fontId="40" fillId="0" borderId="29" xfId="0" applyFont="1" applyBorder="1" applyAlignment="1" applyProtection="1">
      <alignment vertical="center"/>
      <protection hidden="1"/>
    </xf>
    <xf numFmtId="0" fontId="6" fillId="0" borderId="51" xfId="0" applyFont="1" applyBorder="1" applyAlignment="1" applyProtection="1">
      <alignment horizontal="center" vertical="center"/>
      <protection hidden="1"/>
    </xf>
    <xf numFmtId="0" fontId="6" fillId="0" borderId="52" xfId="0" applyFont="1" applyBorder="1" applyAlignment="1" applyProtection="1">
      <alignment horizontal="center" vertical="center"/>
      <protection locked="0" hidden="1"/>
    </xf>
    <xf numFmtId="0" fontId="12" fillId="0" borderId="0" xfId="4" applyFont="1" applyAlignment="1" applyProtection="1">
      <alignment vertical="center"/>
      <protection hidden="1"/>
    </xf>
    <xf numFmtId="0" fontId="0" fillId="0" borderId="33" xfId="0" applyBorder="1" applyProtection="1">
      <protection hidden="1"/>
    </xf>
    <xf numFmtId="0" fontId="0" fillId="0" borderId="34" xfId="0" applyBorder="1" applyProtection="1">
      <protection hidden="1"/>
    </xf>
    <xf numFmtId="0" fontId="12" fillId="0" borderId="41" xfId="4" applyFont="1" applyBorder="1" applyAlignment="1" applyProtection="1">
      <alignment horizontal="center" vertical="center"/>
      <protection hidden="1"/>
    </xf>
    <xf numFmtId="2" fontId="12" fillId="0" borderId="54" xfId="4" applyNumberFormat="1" applyFont="1" applyBorder="1" applyAlignment="1" applyProtection="1">
      <alignment horizontal="center" vertical="center"/>
      <protection locked="0" hidden="1"/>
    </xf>
    <xf numFmtId="0" fontId="0" fillId="0" borderId="33" xfId="0" applyBorder="1" applyAlignment="1" applyProtection="1">
      <alignment vertical="center"/>
      <protection hidden="1"/>
    </xf>
    <xf numFmtId="0" fontId="0" fillId="0" borderId="34" xfId="0" applyBorder="1" applyAlignment="1" applyProtection="1">
      <alignment vertical="center"/>
      <protection hidden="1"/>
    </xf>
    <xf numFmtId="2" fontId="12" fillId="0" borderId="54" xfId="4" applyNumberFormat="1" applyFont="1" applyBorder="1" applyAlignment="1" applyProtection="1">
      <alignment horizontal="center" vertical="center"/>
      <protection hidden="1"/>
    </xf>
    <xf numFmtId="2" fontId="6" fillId="0" borderId="42" xfId="0" applyNumberFormat="1" applyFont="1" applyBorder="1" applyAlignment="1" applyProtection="1">
      <alignment horizontal="center"/>
      <protection hidden="1"/>
    </xf>
    <xf numFmtId="0" fontId="0" fillId="0" borderId="38" xfId="0" applyBorder="1" applyAlignment="1" applyProtection="1">
      <alignment vertical="center"/>
      <protection hidden="1"/>
    </xf>
    <xf numFmtId="0" fontId="0" fillId="0" borderId="40" xfId="0" applyBorder="1" applyAlignment="1" applyProtection="1">
      <alignment vertical="center"/>
      <protection hidden="1"/>
    </xf>
    <xf numFmtId="0" fontId="12" fillId="0" borderId="54" xfId="4" applyFont="1" applyBorder="1" applyAlignment="1" applyProtection="1">
      <alignment horizontal="center" vertical="center"/>
      <protection locked="0" hidden="1"/>
    </xf>
    <xf numFmtId="166" fontId="12" fillId="0" borderId="54" xfId="4" applyNumberFormat="1" applyFont="1" applyBorder="1" applyAlignment="1" applyProtection="1">
      <alignment horizontal="center" vertical="center"/>
      <protection locked="0" hidden="1"/>
    </xf>
    <xf numFmtId="0" fontId="12" fillId="0" borderId="54" xfId="4" applyFont="1" applyBorder="1" applyAlignment="1" applyProtection="1">
      <alignment horizontal="center" vertical="center"/>
      <protection hidden="1"/>
    </xf>
    <xf numFmtId="0" fontId="0" fillId="0" borderId="33" xfId="0" applyBorder="1" applyAlignment="1" applyProtection="1">
      <alignment horizontal="left" vertical="center"/>
      <protection hidden="1"/>
    </xf>
    <xf numFmtId="0" fontId="0" fillId="0" borderId="34" xfId="0" applyBorder="1" applyAlignment="1" applyProtection="1">
      <alignment horizontal="left" vertical="center"/>
      <protection hidden="1"/>
    </xf>
    <xf numFmtId="0" fontId="12" fillId="0" borderId="63" xfId="4" applyFont="1" applyBorder="1" applyAlignment="1" applyProtection="1">
      <alignment horizontal="center" vertical="center"/>
      <protection hidden="1"/>
    </xf>
    <xf numFmtId="0" fontId="0" fillId="0" borderId="38" xfId="0" applyBorder="1" applyAlignment="1" applyProtection="1">
      <alignment horizontal="left" vertical="center"/>
      <protection hidden="1"/>
    </xf>
    <xf numFmtId="0" fontId="0" fillId="0" borderId="40" xfId="0" applyBorder="1" applyAlignment="1" applyProtection="1">
      <alignment horizontal="left" vertical="center"/>
      <protection hidden="1"/>
    </xf>
    <xf numFmtId="2" fontId="29" fillId="0" borderId="87" xfId="0" applyNumberFormat="1" applyFont="1" applyBorder="1" applyAlignment="1" applyProtection="1">
      <alignment horizontal="center" vertical="center"/>
      <protection hidden="1"/>
    </xf>
    <xf numFmtId="0" fontId="14" fillId="0" borderId="0" xfId="0" applyFont="1" applyAlignment="1" applyProtection="1">
      <alignment vertical="center"/>
      <protection hidden="1"/>
    </xf>
    <xf numFmtId="0" fontId="14" fillId="0" borderId="34" xfId="0" applyFont="1" applyBorder="1" applyAlignment="1" applyProtection="1">
      <alignment vertical="center"/>
      <protection hidden="1"/>
    </xf>
    <xf numFmtId="0" fontId="39" fillId="0" borderId="0" xfId="21" applyFont="1" applyAlignment="1" applyProtection="1">
      <alignment vertical="center"/>
      <protection hidden="1"/>
    </xf>
    <xf numFmtId="2" fontId="34" fillId="3" borderId="0" xfId="21" applyNumberFormat="1" applyFont="1" applyFill="1" applyAlignment="1" applyProtection="1">
      <alignment horizontal="center" vertical="center"/>
      <protection hidden="1"/>
    </xf>
    <xf numFmtId="2" fontId="34" fillId="0" borderId="0" xfId="21" applyNumberFormat="1" applyFont="1" applyAlignment="1" applyProtection="1">
      <alignment vertical="center"/>
      <protection hidden="1"/>
    </xf>
    <xf numFmtId="0" fontId="39" fillId="0" borderId="0" xfId="21" applyFont="1" applyAlignment="1" applyProtection="1">
      <alignment horizontal="center" vertical="center"/>
      <protection hidden="1"/>
    </xf>
    <xf numFmtId="0" fontId="34" fillId="3" borderId="0" xfId="21" applyFont="1" applyFill="1" applyAlignment="1" applyProtection="1">
      <alignment horizontal="center" vertical="center"/>
      <protection hidden="1"/>
    </xf>
    <xf numFmtId="0" fontId="6" fillId="0" borderId="50" xfId="0" applyFont="1" applyBorder="1" applyAlignment="1" applyProtection="1">
      <alignment horizontal="center" vertical="center" wrapText="1"/>
      <protection hidden="1"/>
    </xf>
    <xf numFmtId="0" fontId="43" fillId="0" borderId="0" xfId="0" applyFont="1" applyProtection="1">
      <protection hidden="1"/>
    </xf>
    <xf numFmtId="0" fontId="16" fillId="0" borderId="88" xfId="0" applyFont="1" applyBorder="1" applyAlignment="1" applyProtection="1">
      <alignment horizontal="center" vertical="center"/>
      <protection locked="0" hidden="1"/>
    </xf>
    <xf numFmtId="0" fontId="39" fillId="3" borderId="0" xfId="21" quotePrefix="1" applyFont="1" applyFill="1" applyAlignment="1" applyProtection="1">
      <alignment horizontal="center" vertical="center"/>
      <protection hidden="1"/>
    </xf>
    <xf numFmtId="0" fontId="39" fillId="0" borderId="89" xfId="21" applyFont="1" applyBorder="1" applyAlignment="1" applyProtection="1">
      <alignment vertical="center"/>
      <protection hidden="1"/>
    </xf>
    <xf numFmtId="0" fontId="34" fillId="0" borderId="33" xfId="21" applyFont="1" applyBorder="1" applyAlignment="1" applyProtection="1">
      <alignment vertical="center"/>
      <protection hidden="1"/>
    </xf>
    <xf numFmtId="0" fontId="34" fillId="0" borderId="34" xfId="21" applyFont="1" applyBorder="1" applyAlignment="1" applyProtection="1">
      <alignment vertical="center"/>
      <protection hidden="1"/>
    </xf>
    <xf numFmtId="0" fontId="41" fillId="0" borderId="0" xfId="21" applyFont="1" applyAlignment="1" applyProtection="1">
      <alignment vertical="center" wrapText="1"/>
      <protection hidden="1"/>
    </xf>
    <xf numFmtId="0" fontId="6" fillId="0" borderId="52" xfId="0" applyFont="1" applyBorder="1" applyAlignment="1" applyProtection="1">
      <alignment horizontal="center" vertical="center"/>
      <protection hidden="1"/>
    </xf>
    <xf numFmtId="165" fontId="46" fillId="0" borderId="41" xfId="4" applyNumberFormat="1" applyFont="1" applyBorder="1" applyAlignment="1" applyProtection="1">
      <alignment horizontal="center" vertical="center"/>
      <protection hidden="1"/>
    </xf>
    <xf numFmtId="0" fontId="41" fillId="0" borderId="41" xfId="21" applyFont="1" applyBorder="1" applyAlignment="1" applyProtection="1">
      <alignment horizontal="center" vertical="center" wrapText="1"/>
      <protection hidden="1"/>
    </xf>
    <xf numFmtId="0" fontId="6" fillId="0" borderId="56" xfId="0" applyFont="1" applyBorder="1" applyAlignment="1" applyProtection="1">
      <alignment horizontal="center" vertical="center"/>
      <protection hidden="1"/>
    </xf>
    <xf numFmtId="2" fontId="6" fillId="0" borderId="57" xfId="0" applyNumberFormat="1" applyFont="1" applyBorder="1" applyAlignment="1" applyProtection="1">
      <alignment horizontal="center" vertical="center"/>
      <protection hidden="1"/>
    </xf>
    <xf numFmtId="0" fontId="45" fillId="0" borderId="0" xfId="21" applyFont="1" applyAlignment="1" applyProtection="1">
      <alignment vertical="center"/>
      <protection hidden="1"/>
    </xf>
    <xf numFmtId="0" fontId="6" fillId="0" borderId="0" xfId="21" applyFont="1" applyAlignment="1" applyProtection="1">
      <alignment vertical="center" wrapText="1"/>
      <protection locked="0" hidden="1"/>
    </xf>
    <xf numFmtId="0" fontId="34" fillId="0" borderId="34" xfId="21" applyFont="1" applyBorder="1" applyAlignment="1" applyProtection="1">
      <alignment vertical="center"/>
      <protection locked="0" hidden="1"/>
    </xf>
    <xf numFmtId="177" fontId="16" fillId="0" borderId="41" xfId="0" applyNumberFormat="1" applyFont="1" applyBorder="1" applyAlignment="1" applyProtection="1">
      <alignment horizontal="center" vertical="center"/>
      <protection hidden="1"/>
    </xf>
    <xf numFmtId="0" fontId="34" fillId="0" borderId="41" xfId="21" applyFont="1" applyBorder="1" applyAlignment="1" applyProtection="1">
      <alignment horizontal="center" vertical="center"/>
      <protection hidden="1"/>
    </xf>
    <xf numFmtId="0" fontId="45" fillId="0" borderId="0" xfId="21" applyFont="1" applyAlignment="1" applyProtection="1">
      <alignment vertical="center" wrapText="1"/>
      <protection hidden="1"/>
    </xf>
    <xf numFmtId="177" fontId="34" fillId="0" borderId="41" xfId="21" applyNumberFormat="1" applyFont="1" applyBorder="1" applyAlignment="1" applyProtection="1">
      <alignment horizontal="center" vertical="center"/>
      <protection hidden="1"/>
    </xf>
    <xf numFmtId="0" fontId="37" fillId="0" borderId="0" xfId="21" applyFont="1" applyAlignment="1" applyProtection="1">
      <alignment vertical="center"/>
      <protection hidden="1"/>
    </xf>
    <xf numFmtId="0" fontId="6" fillId="0" borderId="64" xfId="0" applyFont="1" applyBorder="1" applyProtection="1">
      <protection hidden="1"/>
    </xf>
    <xf numFmtId="49" fontId="37" fillId="0" borderId="0" xfId="21" applyNumberFormat="1" applyFont="1" applyAlignment="1" applyProtection="1">
      <alignment vertical="center"/>
      <protection hidden="1"/>
    </xf>
    <xf numFmtId="0" fontId="39" fillId="0" borderId="0" xfId="21" applyFont="1" applyAlignment="1" applyProtection="1">
      <alignment vertical="center"/>
      <protection locked="0" hidden="1"/>
    </xf>
    <xf numFmtId="0" fontId="39" fillId="0" borderId="41" xfId="21" applyFont="1" applyBorder="1" applyAlignment="1" applyProtection="1">
      <alignment vertical="center"/>
      <protection hidden="1"/>
    </xf>
    <xf numFmtId="0" fontId="47" fillId="0" borderId="0" xfId="21" applyFont="1" applyAlignment="1" applyProtection="1">
      <alignment vertical="center"/>
      <protection hidden="1"/>
    </xf>
    <xf numFmtId="0" fontId="47" fillId="0" borderId="0" xfId="21" applyFont="1" applyAlignment="1" applyProtection="1">
      <alignment horizontal="center" vertical="center"/>
      <protection hidden="1"/>
    </xf>
    <xf numFmtId="0" fontId="41" fillId="0" borderId="41" xfId="21" applyFont="1" applyBorder="1" applyAlignment="1" applyProtection="1">
      <alignment vertical="center" wrapText="1"/>
      <protection hidden="1"/>
    </xf>
    <xf numFmtId="0" fontId="37" fillId="0" borderId="0" xfId="21" applyFont="1" applyAlignment="1" applyProtection="1">
      <alignment vertical="center" wrapText="1"/>
      <protection hidden="1"/>
    </xf>
    <xf numFmtId="0" fontId="0" fillId="0" borderId="48" xfId="0" applyBorder="1" applyProtection="1">
      <protection hidden="1"/>
    </xf>
    <xf numFmtId="0" fontId="0" fillId="0" borderId="49" xfId="0" applyBorder="1" applyProtection="1">
      <protection hidden="1"/>
    </xf>
    <xf numFmtId="0" fontId="0" fillId="0" borderId="41" xfId="0" applyBorder="1" applyAlignment="1" applyProtection="1">
      <alignment horizontal="center"/>
      <protection hidden="1"/>
    </xf>
    <xf numFmtId="0" fontId="0" fillId="0" borderId="41" xfId="0" applyBorder="1" applyProtection="1">
      <protection hidden="1"/>
    </xf>
    <xf numFmtId="0" fontId="6" fillId="0" borderId="41" xfId="0" applyFont="1" applyBorder="1" applyProtection="1">
      <protection hidden="1"/>
    </xf>
    <xf numFmtId="0" fontId="0" fillId="0" borderId="41" xfId="0" applyBorder="1" applyAlignment="1" applyProtection="1">
      <alignment vertical="center"/>
      <protection hidden="1"/>
    </xf>
    <xf numFmtId="0" fontId="0" fillId="0" borderId="0" xfId="0" applyAlignment="1" applyProtection="1">
      <alignment wrapText="1"/>
      <protection hidden="1"/>
    </xf>
    <xf numFmtId="0" fontId="0" fillId="0" borderId="0" xfId="0" applyAlignment="1" applyProtection="1">
      <alignment vertical="center"/>
      <protection hidden="1"/>
    </xf>
    <xf numFmtId="0" fontId="0" fillId="0" borderId="43" xfId="0" applyBorder="1" applyAlignment="1" applyProtection="1">
      <alignment horizontal="center"/>
      <protection hidden="1"/>
    </xf>
    <xf numFmtId="0" fontId="0" fillId="0" borderId="44" xfId="0" applyBorder="1" applyAlignment="1" applyProtection="1">
      <alignment horizontal="center"/>
      <protection hidden="1"/>
    </xf>
    <xf numFmtId="0" fontId="6" fillId="0" borderId="44" xfId="0" applyFont="1" applyBorder="1" applyAlignment="1" applyProtection="1">
      <alignment horizontal="center"/>
      <protection hidden="1"/>
    </xf>
    <xf numFmtId="0" fontId="6" fillId="0" borderId="83" xfId="0" applyFont="1" applyBorder="1" applyAlignment="1" applyProtection="1">
      <alignment horizontal="center"/>
      <protection hidden="1"/>
    </xf>
    <xf numFmtId="0" fontId="40" fillId="9" borderId="72" xfId="0" applyFont="1" applyFill="1" applyBorder="1" applyAlignment="1" applyProtection="1">
      <alignment horizontal="center"/>
      <protection hidden="1"/>
    </xf>
    <xf numFmtId="0" fontId="40" fillId="10" borderId="55" xfId="0" applyFont="1" applyFill="1" applyBorder="1" applyAlignment="1" applyProtection="1">
      <alignment horizontal="center"/>
      <protection hidden="1"/>
    </xf>
    <xf numFmtId="0" fontId="40" fillId="11" borderId="56" xfId="0" applyFont="1" applyFill="1" applyBorder="1" applyAlignment="1" applyProtection="1">
      <alignment horizontal="center"/>
      <protection hidden="1"/>
    </xf>
    <xf numFmtId="2" fontId="40" fillId="12" borderId="56" xfId="0" applyNumberFormat="1" applyFont="1" applyFill="1" applyBorder="1" applyAlignment="1" applyProtection="1">
      <alignment horizontal="center" vertical="center"/>
      <protection hidden="1"/>
    </xf>
    <xf numFmtId="2" fontId="40" fillId="11" borderId="56" xfId="0" applyNumberFormat="1" applyFont="1" applyFill="1" applyBorder="1" applyAlignment="1" applyProtection="1">
      <alignment horizontal="center"/>
      <protection hidden="1"/>
    </xf>
    <xf numFmtId="2" fontId="40" fillId="13" borderId="56" xfId="0" applyNumberFormat="1" applyFont="1" applyFill="1" applyBorder="1" applyProtection="1">
      <protection hidden="1"/>
    </xf>
    <xf numFmtId="0" fontId="40" fillId="13" borderId="57" xfId="0" applyFont="1" applyFill="1" applyBorder="1" applyProtection="1">
      <protection hidden="1"/>
    </xf>
    <xf numFmtId="0" fontId="0" fillId="0" borderId="45" xfId="0" applyBorder="1" applyAlignment="1" applyProtection="1">
      <alignment vertical="center"/>
      <protection hidden="1"/>
    </xf>
    <xf numFmtId="0" fontId="0" fillId="0" borderId="47" xfId="0" applyBorder="1" applyAlignment="1" applyProtection="1">
      <alignment vertical="center"/>
      <protection hidden="1"/>
    </xf>
    <xf numFmtId="0" fontId="6" fillId="0" borderId="43" xfId="0" applyFont="1" applyBorder="1" applyProtection="1">
      <protection hidden="1"/>
    </xf>
    <xf numFmtId="0" fontId="2" fillId="0" borderId="0" xfId="22" applyProtection="1">
      <protection hidden="1"/>
    </xf>
    <xf numFmtId="0" fontId="12" fillId="0" borderId="34" xfId="0" applyFont="1" applyBorder="1" applyAlignment="1" applyProtection="1">
      <alignment horizontal="center" vertical="center" wrapText="1"/>
      <protection locked="0" hidden="1"/>
    </xf>
    <xf numFmtId="0" fontId="12" fillId="0" borderId="37" xfId="0" applyFont="1" applyBorder="1" applyAlignment="1" applyProtection="1">
      <alignment horizontal="center" vertical="center" wrapText="1"/>
      <protection locked="0" hidden="1"/>
    </xf>
    <xf numFmtId="0" fontId="12" fillId="0" borderId="57" xfId="0" applyFont="1" applyBorder="1" applyAlignment="1" applyProtection="1">
      <alignment horizontal="center" vertical="center" wrapText="1"/>
      <protection locked="0" hidden="1"/>
    </xf>
    <xf numFmtId="0" fontId="5" fillId="0" borderId="54" xfId="0" applyFont="1" applyBorder="1" applyAlignment="1" applyProtection="1">
      <alignment horizontal="center" vertical="center" wrapText="1"/>
      <protection locked="0" hidden="1"/>
    </xf>
    <xf numFmtId="1" fontId="0" fillId="0" borderId="93" xfId="0" applyNumberFormat="1" applyBorder="1" applyAlignment="1">
      <alignment horizontal="center" vertical="center"/>
    </xf>
    <xf numFmtId="165" fontId="0" fillId="4" borderId="93" xfId="0" applyNumberFormat="1" applyFill="1" applyBorder="1" applyAlignment="1">
      <alignment horizontal="center" vertical="center"/>
    </xf>
    <xf numFmtId="1" fontId="0" fillId="0" borderId="41" xfId="0" applyNumberFormat="1" applyBorder="1" applyAlignment="1">
      <alignment horizontal="center" vertical="center"/>
    </xf>
    <xf numFmtId="165" fontId="0" fillId="4" borderId="41" xfId="0" applyNumberFormat="1" applyFill="1" applyBorder="1" applyAlignment="1">
      <alignment horizontal="center" vertical="center"/>
    </xf>
    <xf numFmtId="164" fontId="0" fillId="0" borderId="41" xfId="0" applyNumberFormat="1" applyBorder="1" applyAlignment="1">
      <alignment horizontal="center" vertical="center"/>
    </xf>
    <xf numFmtId="0" fontId="0" fillId="0" borderId="41" xfId="0" applyBorder="1" applyAlignment="1">
      <alignment horizontal="center" vertical="center"/>
    </xf>
    <xf numFmtId="0" fontId="14" fillId="3" borderId="27" xfId="4" applyFont="1" applyFill="1" applyBorder="1" applyAlignment="1" applyProtection="1">
      <alignment vertical="center"/>
      <protection hidden="1"/>
    </xf>
    <xf numFmtId="0" fontId="14" fillId="3" borderId="28" xfId="4" applyFont="1" applyFill="1" applyBorder="1" applyAlignment="1" applyProtection="1">
      <alignment vertical="center"/>
      <protection hidden="1"/>
    </xf>
    <xf numFmtId="0" fontId="14" fillId="3" borderId="29" xfId="4" applyFont="1" applyFill="1" applyBorder="1" applyAlignment="1" applyProtection="1">
      <alignment vertical="center"/>
      <protection hidden="1"/>
    </xf>
    <xf numFmtId="0" fontId="6" fillId="0" borderId="50" xfId="0" applyFont="1" applyBorder="1" applyAlignment="1" applyProtection="1">
      <alignment vertical="center"/>
      <protection hidden="1"/>
    </xf>
    <xf numFmtId="0" fontId="6" fillId="0" borderId="51" xfId="0" applyFont="1" applyBorder="1" applyAlignment="1" applyProtection="1">
      <alignment vertical="center"/>
      <protection hidden="1"/>
    </xf>
    <xf numFmtId="0" fontId="12" fillId="0" borderId="53" xfId="4" applyFont="1" applyBorder="1" applyAlignment="1" applyProtection="1">
      <alignment vertical="center"/>
      <protection hidden="1"/>
    </xf>
    <xf numFmtId="0" fontId="12" fillId="0" borderId="41" xfId="4" applyFont="1" applyBorder="1" applyAlignment="1" applyProtection="1">
      <alignment vertical="center"/>
      <protection hidden="1"/>
    </xf>
    <xf numFmtId="0" fontId="14" fillId="3" borderId="38" xfId="4" applyFont="1" applyFill="1" applyBorder="1" applyAlignment="1" applyProtection="1">
      <alignment vertical="center"/>
      <protection hidden="1"/>
    </xf>
    <xf numFmtId="0" fontId="14" fillId="3" borderId="39" xfId="4" applyFont="1" applyFill="1" applyBorder="1" applyAlignment="1" applyProtection="1">
      <alignment vertical="center"/>
      <protection hidden="1"/>
    </xf>
    <xf numFmtId="0" fontId="14" fillId="3" borderId="40" xfId="4" applyFont="1" applyFill="1" applyBorder="1" applyAlignment="1" applyProtection="1">
      <alignment vertical="center"/>
      <protection hidden="1"/>
    </xf>
    <xf numFmtId="49" fontId="6" fillId="7" borderId="36" xfId="21" applyNumberFormat="1" applyFont="1" applyFill="1" applyBorder="1" applyAlignment="1" applyProtection="1">
      <alignment horizontal="center" vertical="center"/>
      <protection locked="0" hidden="1"/>
    </xf>
    <xf numFmtId="1" fontId="6" fillId="7" borderId="36" xfId="21" applyNumberFormat="1" applyFont="1" applyFill="1" applyBorder="1" applyAlignment="1" applyProtection="1">
      <alignment horizontal="center" vertical="center"/>
      <protection locked="0" hidden="1"/>
    </xf>
    <xf numFmtId="165" fontId="6" fillId="0" borderId="0" xfId="21" applyNumberFormat="1" applyFont="1" applyAlignment="1" applyProtection="1">
      <alignment horizontal="left" vertical="center"/>
      <protection hidden="1"/>
    </xf>
    <xf numFmtId="0" fontId="6" fillId="0" borderId="28" xfId="21" applyFont="1" applyBorder="1" applyAlignment="1" applyProtection="1">
      <alignment horizontal="center" vertical="center"/>
      <protection hidden="1"/>
    </xf>
    <xf numFmtId="0" fontId="6" fillId="0" borderId="39" xfId="21" applyFont="1" applyBorder="1" applyAlignment="1" applyProtection="1">
      <alignment horizontal="center" vertical="center"/>
      <protection hidden="1"/>
    </xf>
    <xf numFmtId="0" fontId="6" fillId="7" borderId="31" xfId="21" applyFont="1" applyFill="1" applyBorder="1" applyAlignment="1" applyProtection="1">
      <alignment horizontal="left" vertical="center"/>
      <protection hidden="1"/>
    </xf>
    <xf numFmtId="165" fontId="4" fillId="7" borderId="56" xfId="0" applyNumberFormat="1" applyFont="1" applyFill="1" applyBorder="1" applyAlignment="1" applyProtection="1">
      <alignment horizontal="center"/>
      <protection hidden="1"/>
    </xf>
    <xf numFmtId="2" fontId="12" fillId="0" borderId="72" xfId="0" applyNumberFormat="1" applyFont="1" applyBorder="1" applyAlignment="1" applyProtection="1">
      <alignment horizontal="center"/>
      <protection hidden="1"/>
    </xf>
    <xf numFmtId="2" fontId="12" fillId="0" borderId="64" xfId="0" applyNumberFormat="1" applyFont="1" applyBorder="1" applyAlignment="1" applyProtection="1">
      <alignment horizontal="center"/>
      <protection hidden="1"/>
    </xf>
    <xf numFmtId="165" fontId="4" fillId="7" borderId="64" xfId="0" applyNumberFormat="1" applyFont="1" applyFill="1" applyBorder="1" applyAlignment="1" applyProtection="1">
      <alignment horizontal="center"/>
      <protection hidden="1"/>
    </xf>
    <xf numFmtId="165" fontId="4" fillId="0" borderId="73" xfId="0" applyNumberFormat="1" applyFont="1" applyBorder="1" applyAlignment="1" applyProtection="1">
      <alignment horizontal="center"/>
      <protection hidden="1"/>
    </xf>
    <xf numFmtId="165" fontId="15" fillId="3" borderId="43" xfId="0" applyNumberFormat="1" applyFont="1" applyFill="1" applyBorder="1" applyAlignment="1" applyProtection="1">
      <alignment horizontal="center" vertical="center" wrapText="1"/>
      <protection hidden="1"/>
    </xf>
    <xf numFmtId="2" fontId="15" fillId="3" borderId="44" xfId="0" applyNumberFormat="1" applyFont="1" applyFill="1" applyBorder="1" applyAlignment="1" applyProtection="1">
      <alignment horizontal="center" vertical="center" wrapText="1"/>
      <protection hidden="1"/>
    </xf>
    <xf numFmtId="0" fontId="15" fillId="3" borderId="44" xfId="0" applyFont="1" applyFill="1" applyBorder="1" applyAlignment="1" applyProtection="1">
      <alignment horizontal="center" vertical="center" wrapText="1"/>
      <protection hidden="1"/>
    </xf>
    <xf numFmtId="0" fontId="15" fillId="3" borderId="83" xfId="0" applyFont="1" applyFill="1" applyBorder="1" applyAlignment="1" applyProtection="1">
      <alignment horizontal="center" vertical="center" wrapText="1"/>
      <protection hidden="1"/>
    </xf>
    <xf numFmtId="0" fontId="25" fillId="0" borderId="0" xfId="0" applyFont="1" applyProtection="1">
      <protection hidden="1"/>
    </xf>
    <xf numFmtId="165" fontId="4" fillId="7" borderId="94" xfId="0" applyNumberFormat="1" applyFont="1" applyFill="1" applyBorder="1" applyAlignment="1" applyProtection="1">
      <alignment horizontal="center"/>
      <protection hidden="1"/>
    </xf>
    <xf numFmtId="167" fontId="12" fillId="0" borderId="0" xfId="0" applyNumberFormat="1" applyFont="1"/>
    <xf numFmtId="2" fontId="12" fillId="7" borderId="53" xfId="3" applyNumberFormat="1" applyFont="1" applyFill="1" applyBorder="1" applyAlignment="1" applyProtection="1">
      <alignment horizontal="center" vertical="center"/>
      <protection hidden="1"/>
    </xf>
    <xf numFmtId="1" fontId="12" fillId="7" borderId="41" xfId="3" applyNumberFormat="1" applyFont="1" applyFill="1" applyBorder="1" applyAlignment="1" applyProtection="1">
      <alignment horizontal="center" vertical="center"/>
      <protection hidden="1"/>
    </xf>
    <xf numFmtId="164" fontId="12" fillId="7" borderId="41" xfId="3" applyNumberFormat="1" applyFont="1" applyFill="1" applyBorder="1" applyAlignment="1" applyProtection="1">
      <alignment horizontal="center" vertical="center"/>
      <protection hidden="1"/>
    </xf>
    <xf numFmtId="2" fontId="12" fillId="7" borderId="41" xfId="3" applyNumberFormat="1" applyFont="1" applyFill="1" applyBorder="1" applyAlignment="1" applyProtection="1">
      <alignment horizontal="center" vertical="center"/>
      <protection hidden="1"/>
    </xf>
    <xf numFmtId="165" fontId="15" fillId="7" borderId="43" xfId="0" applyNumberFormat="1" applyFont="1" applyFill="1" applyBorder="1" applyAlignment="1" applyProtection="1">
      <alignment horizontal="center" vertical="center" wrapText="1"/>
      <protection hidden="1"/>
    </xf>
    <xf numFmtId="2" fontId="15" fillId="7" borderId="44" xfId="0" applyNumberFormat="1" applyFont="1" applyFill="1" applyBorder="1" applyAlignment="1" applyProtection="1">
      <alignment horizontal="center" vertical="center" wrapText="1"/>
      <protection hidden="1"/>
    </xf>
    <xf numFmtId="0" fontId="15" fillId="7" borderId="44" xfId="0" applyFont="1" applyFill="1" applyBorder="1" applyAlignment="1" applyProtection="1">
      <alignment horizontal="center" vertical="center" wrapText="1"/>
      <protection hidden="1"/>
    </xf>
    <xf numFmtId="0" fontId="15" fillId="7" borderId="83" xfId="0" applyFont="1" applyFill="1" applyBorder="1" applyAlignment="1" applyProtection="1">
      <alignment horizontal="center" vertical="center" wrapText="1"/>
      <protection hidden="1"/>
    </xf>
    <xf numFmtId="2" fontId="12" fillId="7" borderId="72" xfId="0" applyNumberFormat="1" applyFont="1" applyFill="1" applyBorder="1" applyAlignment="1" applyProtection="1">
      <alignment horizontal="center"/>
      <protection hidden="1"/>
    </xf>
    <xf numFmtId="2" fontId="12" fillId="7" borderId="64" xfId="0" applyNumberFormat="1" applyFont="1" applyFill="1" applyBorder="1" applyAlignment="1" applyProtection="1">
      <alignment horizontal="center"/>
      <protection hidden="1"/>
    </xf>
    <xf numFmtId="165" fontId="4" fillId="7" borderId="73" xfId="0" applyNumberFormat="1" applyFont="1" applyFill="1" applyBorder="1" applyAlignment="1" applyProtection="1">
      <alignment horizontal="center"/>
      <protection hidden="1"/>
    </xf>
    <xf numFmtId="2" fontId="12" fillId="7" borderId="53" xfId="0" applyNumberFormat="1" applyFont="1" applyFill="1" applyBorder="1" applyAlignment="1" applyProtection="1">
      <alignment horizontal="center"/>
      <protection hidden="1"/>
    </xf>
    <xf numFmtId="2" fontId="12" fillId="7" borderId="41" xfId="0" applyNumberFormat="1" applyFont="1" applyFill="1" applyBorder="1" applyAlignment="1" applyProtection="1">
      <alignment horizontal="center"/>
      <protection hidden="1"/>
    </xf>
    <xf numFmtId="165" fontId="4" fillId="7" borderId="54" xfId="0" applyNumberFormat="1" applyFont="1" applyFill="1" applyBorder="1" applyAlignment="1" applyProtection="1">
      <alignment horizontal="center"/>
      <protection hidden="1"/>
    </xf>
    <xf numFmtId="2" fontId="12" fillId="7" borderId="55" xfId="0" applyNumberFormat="1" applyFont="1" applyFill="1" applyBorder="1" applyAlignment="1" applyProtection="1">
      <alignment horizontal="center"/>
      <protection hidden="1"/>
    </xf>
    <xf numFmtId="2" fontId="12" fillId="7" borderId="56" xfId="0" applyNumberFormat="1" applyFont="1" applyFill="1" applyBorder="1" applyAlignment="1" applyProtection="1">
      <alignment horizontal="center"/>
      <protection hidden="1"/>
    </xf>
    <xf numFmtId="165" fontId="4" fillId="7" borderId="57" xfId="0" applyNumberFormat="1" applyFont="1" applyFill="1" applyBorder="1" applyAlignment="1" applyProtection="1">
      <alignment horizontal="center"/>
      <protection hidden="1"/>
    </xf>
    <xf numFmtId="0" fontId="12" fillId="0" borderId="6" xfId="0" applyFont="1" applyBorder="1"/>
    <xf numFmtId="2" fontId="12" fillId="7" borderId="54" xfId="2" applyNumberFormat="1" applyFont="1" applyFill="1" applyBorder="1" applyAlignment="1" applyProtection="1">
      <alignment horizontal="center"/>
      <protection locked="0" hidden="1"/>
    </xf>
    <xf numFmtId="178" fontId="12" fillId="0" borderId="70" xfId="3" applyNumberFormat="1" applyFont="1" applyBorder="1" applyAlignment="1" applyProtection="1">
      <alignment horizontal="center" vertical="center"/>
      <protection hidden="1"/>
    </xf>
    <xf numFmtId="169" fontId="12" fillId="0" borderId="70" xfId="3" applyNumberFormat="1" applyFont="1" applyBorder="1" applyAlignment="1" applyProtection="1">
      <alignment horizontal="center" vertical="center"/>
      <protection hidden="1"/>
    </xf>
    <xf numFmtId="166" fontId="49" fillId="0" borderId="0" xfId="0" applyNumberFormat="1" applyFont="1" applyAlignment="1">
      <alignment horizontal="center" vertical="center"/>
    </xf>
    <xf numFmtId="1" fontId="49" fillId="0" borderId="0" xfId="0" applyNumberFormat="1" applyFont="1" applyAlignment="1">
      <alignment horizontal="center" vertical="center"/>
    </xf>
    <xf numFmtId="2" fontId="12" fillId="0" borderId="95" xfId="0" applyNumberFormat="1" applyFont="1" applyBorder="1" applyAlignment="1" applyProtection="1">
      <alignment horizontal="center"/>
      <protection hidden="1"/>
    </xf>
    <xf numFmtId="2" fontId="12" fillId="0" borderId="94" xfId="0" applyNumberFormat="1" applyFont="1" applyBorder="1" applyAlignment="1" applyProtection="1">
      <alignment horizontal="center"/>
      <protection hidden="1"/>
    </xf>
    <xf numFmtId="165" fontId="12" fillId="7" borderId="94" xfId="0" applyNumberFormat="1" applyFont="1" applyFill="1" applyBorder="1" applyAlignment="1" applyProtection="1">
      <alignment horizontal="center"/>
      <protection hidden="1"/>
    </xf>
    <xf numFmtId="165" fontId="4" fillId="0" borderId="82" xfId="0" applyNumberFormat="1" applyFont="1" applyBorder="1" applyAlignment="1" applyProtection="1">
      <alignment horizontal="center"/>
      <protection hidden="1"/>
    </xf>
    <xf numFmtId="0" fontId="50" fillId="0" borderId="0" xfId="0" applyFont="1"/>
    <xf numFmtId="0" fontId="39" fillId="0" borderId="97" xfId="0" applyFont="1" applyBorder="1" applyAlignment="1">
      <alignment horizontal="center"/>
    </xf>
    <xf numFmtId="0" fontId="39" fillId="0" borderId="98" xfId="0" applyFont="1" applyBorder="1" applyAlignment="1">
      <alignment horizontal="center"/>
    </xf>
    <xf numFmtId="49" fontId="34" fillId="0" borderId="97" xfId="0" applyNumberFormat="1" applyFont="1" applyBorder="1" applyAlignment="1">
      <alignment horizontal="center"/>
    </xf>
    <xf numFmtId="179" fontId="34" fillId="0" borderId="98" xfId="0" applyNumberFormat="1" applyFont="1" applyBorder="1" applyAlignment="1">
      <alignment horizontal="center"/>
    </xf>
    <xf numFmtId="0" fontId="34" fillId="0" borderId="98" xfId="0" applyFont="1" applyBorder="1"/>
    <xf numFmtId="0" fontId="34" fillId="0" borderId="98" xfId="0" applyFont="1" applyBorder="1" applyAlignment="1">
      <alignment horizontal="left"/>
    </xf>
    <xf numFmtId="180" fontId="34" fillId="0" borderId="98" xfId="0" applyNumberFormat="1" applyFont="1" applyBorder="1" applyAlignment="1">
      <alignment horizontal="center"/>
    </xf>
    <xf numFmtId="0" fontId="37" fillId="0" borderId="1" xfId="21" applyFont="1" applyBorder="1" applyAlignment="1" applyProtection="1">
      <alignment horizontal="center" vertical="center" wrapText="1"/>
      <protection hidden="1"/>
    </xf>
    <xf numFmtId="0" fontId="37" fillId="0" borderId="0" xfId="21" applyFont="1" applyAlignment="1" applyProtection="1">
      <alignment horizontal="center" vertical="center" wrapText="1"/>
      <protection hidden="1"/>
    </xf>
    <xf numFmtId="49" fontId="17" fillId="0" borderId="38" xfId="0" applyNumberFormat="1" applyFont="1" applyBorder="1" applyAlignment="1" applyProtection="1">
      <alignment horizontal="center"/>
      <protection hidden="1"/>
    </xf>
    <xf numFmtId="49" fontId="17" fillId="0" borderId="39" xfId="0" applyNumberFormat="1" applyFont="1" applyBorder="1" applyAlignment="1" applyProtection="1">
      <alignment horizontal="center"/>
      <protection hidden="1"/>
    </xf>
    <xf numFmtId="49" fontId="17" fillId="0" borderId="40" xfId="0" applyNumberFormat="1" applyFont="1" applyBorder="1" applyAlignment="1" applyProtection="1">
      <alignment horizontal="center"/>
      <protection hidden="1"/>
    </xf>
    <xf numFmtId="0" fontId="12" fillId="0" borderId="0" xfId="0" applyFont="1" applyAlignment="1" applyProtection="1">
      <alignment horizontal="center"/>
      <protection locked="0"/>
    </xf>
    <xf numFmtId="0" fontId="12" fillId="0" borderId="58" xfId="0" applyFont="1" applyBorder="1" applyAlignment="1" applyProtection="1">
      <alignment horizontal="left" vertical="center" wrapText="1"/>
      <protection hidden="1"/>
    </xf>
    <xf numFmtId="0" fontId="12" fillId="0" borderId="76" xfId="0" applyFont="1" applyBorder="1" applyAlignment="1" applyProtection="1">
      <alignment horizontal="left" vertical="center" wrapText="1"/>
      <protection hidden="1"/>
    </xf>
    <xf numFmtId="0" fontId="12" fillId="0" borderId="59" xfId="0" applyFont="1" applyBorder="1" applyAlignment="1" applyProtection="1">
      <alignment horizontal="left" vertical="center" wrapText="1"/>
      <protection hidden="1"/>
    </xf>
    <xf numFmtId="170" fontId="12" fillId="0" borderId="54" xfId="3" applyNumberFormat="1" applyFont="1" applyBorder="1" applyAlignment="1" applyProtection="1">
      <alignment horizontal="center" vertical="center"/>
      <protection hidden="1"/>
    </xf>
    <xf numFmtId="170" fontId="12" fillId="0" borderId="37" xfId="3" applyNumberFormat="1" applyFont="1" applyBorder="1" applyAlignment="1" applyProtection="1">
      <alignment horizontal="center" vertical="center"/>
      <protection hidden="1"/>
    </xf>
    <xf numFmtId="170" fontId="12" fillId="7" borderId="54" xfId="3" applyNumberFormat="1" applyFont="1" applyFill="1" applyBorder="1" applyAlignment="1" applyProtection="1">
      <alignment horizontal="center" vertical="center"/>
      <protection hidden="1"/>
    </xf>
    <xf numFmtId="170" fontId="12" fillId="7" borderId="37" xfId="3" applyNumberFormat="1" applyFont="1" applyFill="1" applyBorder="1" applyAlignment="1" applyProtection="1">
      <alignment horizontal="center" vertical="center"/>
      <protection hidden="1"/>
    </xf>
    <xf numFmtId="0" fontId="16" fillId="0" borderId="55" xfId="0" applyFont="1" applyBorder="1" applyAlignment="1" applyProtection="1">
      <alignment horizontal="center" vertical="center"/>
      <protection hidden="1"/>
    </xf>
    <xf numFmtId="0" fontId="16" fillId="0" borderId="56" xfId="0" applyFont="1" applyBorder="1" applyAlignment="1" applyProtection="1">
      <alignment horizontal="center" vertical="center"/>
      <protection hidden="1"/>
    </xf>
    <xf numFmtId="0" fontId="14" fillId="3" borderId="43" xfId="21" applyFont="1" applyFill="1" applyBorder="1" applyAlignment="1" applyProtection="1">
      <alignment horizontal="center" vertical="center"/>
      <protection hidden="1"/>
    </xf>
    <xf numFmtId="0" fontId="14" fillId="3" borderId="44" xfId="21" applyFont="1" applyFill="1" applyBorder="1" applyAlignment="1" applyProtection="1">
      <alignment horizontal="center" vertical="center"/>
      <protection hidden="1"/>
    </xf>
    <xf numFmtId="0" fontId="14" fillId="3" borderId="83" xfId="21" applyFont="1" applyFill="1" applyBorder="1" applyAlignment="1" applyProtection="1">
      <alignment horizontal="center" vertical="center"/>
      <protection hidden="1"/>
    </xf>
    <xf numFmtId="170" fontId="12" fillId="0" borderId="57" xfId="3" applyNumberFormat="1" applyFont="1" applyBorder="1" applyAlignment="1" applyProtection="1">
      <alignment horizontal="center" vertical="center"/>
      <protection hidden="1"/>
    </xf>
    <xf numFmtId="170" fontId="12" fillId="0" borderId="79" xfId="3" applyNumberFormat="1" applyFont="1" applyBorder="1" applyAlignment="1" applyProtection="1">
      <alignment horizontal="center" vertical="center"/>
      <protection hidden="1"/>
    </xf>
    <xf numFmtId="0" fontId="14" fillId="3" borderId="45" xfId="21" applyFont="1" applyFill="1" applyBorder="1" applyAlignment="1" applyProtection="1">
      <alignment horizontal="center" vertical="center"/>
      <protection hidden="1"/>
    </xf>
    <xf numFmtId="0" fontId="14" fillId="3" borderId="46" xfId="21" applyFont="1" applyFill="1" applyBorder="1" applyAlignment="1" applyProtection="1">
      <alignment horizontal="center" vertical="center"/>
      <protection hidden="1"/>
    </xf>
    <xf numFmtId="0" fontId="14" fillId="3" borderId="47" xfId="21" applyFont="1" applyFill="1" applyBorder="1" applyAlignment="1" applyProtection="1">
      <alignment horizontal="center" vertical="center"/>
      <protection hidden="1"/>
    </xf>
    <xf numFmtId="0" fontId="12" fillId="0" borderId="75" xfId="0" applyFont="1" applyBorder="1" applyAlignment="1" applyProtection="1">
      <alignment horizontal="left" vertical="center" wrapText="1"/>
      <protection hidden="1"/>
    </xf>
    <xf numFmtId="0" fontId="12" fillId="0" borderId="42" xfId="0" applyFont="1" applyBorder="1" applyAlignment="1" applyProtection="1">
      <alignment horizontal="left" vertical="center" wrapText="1"/>
      <protection hidden="1"/>
    </xf>
    <xf numFmtId="0" fontId="12" fillId="0" borderId="65" xfId="0" applyFont="1" applyBorder="1" applyAlignment="1" applyProtection="1">
      <alignment horizontal="left" vertical="center" wrapText="1"/>
      <protection hidden="1"/>
    </xf>
    <xf numFmtId="0" fontId="12" fillId="0" borderId="35" xfId="0" applyFont="1" applyBorder="1" applyAlignment="1" applyProtection="1">
      <alignment horizontal="left" vertical="center" wrapText="1"/>
      <protection hidden="1"/>
    </xf>
    <xf numFmtId="0" fontId="12" fillId="0" borderId="36" xfId="0" applyFont="1" applyBorder="1" applyAlignment="1" applyProtection="1">
      <alignment horizontal="left" vertical="center" wrapText="1"/>
      <protection hidden="1"/>
    </xf>
    <xf numFmtId="0" fontId="12" fillId="0" borderId="49" xfId="0" applyFont="1" applyBorder="1" applyAlignment="1" applyProtection="1">
      <alignment horizontal="left" vertical="center" wrapText="1"/>
      <protection hidden="1"/>
    </xf>
    <xf numFmtId="0" fontId="16" fillId="0" borderId="75" xfId="0" applyFont="1" applyBorder="1" applyAlignment="1" applyProtection="1">
      <alignment horizontal="center" vertical="center"/>
      <protection hidden="1"/>
    </xf>
    <xf numFmtId="0" fontId="16" fillId="0" borderId="42" xfId="0" applyFont="1" applyBorder="1" applyAlignment="1" applyProtection="1">
      <alignment horizontal="center" vertical="center"/>
      <protection hidden="1"/>
    </xf>
    <xf numFmtId="0" fontId="16" fillId="0" borderId="65" xfId="0" applyFont="1" applyBorder="1" applyAlignment="1" applyProtection="1">
      <alignment horizontal="center" vertical="center"/>
      <protection hidden="1"/>
    </xf>
    <xf numFmtId="0" fontId="36" fillId="0" borderId="84" xfId="0" applyFont="1" applyBorder="1" applyAlignment="1" applyProtection="1">
      <alignment horizontal="center"/>
      <protection hidden="1"/>
    </xf>
    <xf numFmtId="0" fontId="34" fillId="0" borderId="0" xfId="21" applyFont="1" applyAlignment="1" applyProtection="1">
      <alignment horizontal="center" vertical="center"/>
      <protection locked="0" hidden="1"/>
    </xf>
    <xf numFmtId="0" fontId="34" fillId="0" borderId="34" xfId="21" applyFont="1" applyBorder="1" applyAlignment="1" applyProtection="1">
      <alignment horizontal="center" vertical="center"/>
      <protection locked="0" hidden="1"/>
    </xf>
    <xf numFmtId="0" fontId="35" fillId="0" borderId="0" xfId="0" applyFont="1" applyAlignment="1" applyProtection="1">
      <alignment horizontal="center" vertical="center" wrapText="1"/>
      <protection hidden="1"/>
    </xf>
    <xf numFmtId="0" fontId="17" fillId="0" borderId="20" xfId="0" applyFont="1" applyBorder="1" applyAlignment="1" applyProtection="1">
      <alignment horizontal="center"/>
      <protection hidden="1"/>
    </xf>
    <xf numFmtId="0" fontId="17" fillId="0" borderId="21" xfId="0" applyFont="1" applyBorder="1" applyAlignment="1" applyProtection="1">
      <alignment horizontal="center"/>
      <protection hidden="1"/>
    </xf>
    <xf numFmtId="165" fontId="12" fillId="0" borderId="35" xfId="0" applyNumberFormat="1" applyFont="1" applyBorder="1" applyAlignment="1" applyProtection="1">
      <alignment vertical="center"/>
      <protection hidden="1"/>
    </xf>
    <xf numFmtId="165" fontId="12" fillId="0" borderId="49" xfId="0" applyNumberFormat="1" applyFont="1" applyBorder="1" applyAlignment="1" applyProtection="1">
      <alignment vertical="center"/>
      <protection hidden="1"/>
    </xf>
    <xf numFmtId="0" fontId="12" fillId="0" borderId="53" xfId="0" applyFont="1" applyBorder="1" applyAlignment="1" applyProtection="1">
      <alignment horizontal="center"/>
      <protection hidden="1"/>
    </xf>
    <xf numFmtId="0" fontId="12" fillId="0" borderId="41" xfId="0" applyFont="1" applyBorder="1" applyAlignment="1" applyProtection="1">
      <alignment horizontal="center"/>
      <protection hidden="1"/>
    </xf>
    <xf numFmtId="0" fontId="27" fillId="0" borderId="0" xfId="0" applyFont="1" applyAlignment="1" applyProtection="1">
      <alignment horizontal="center"/>
      <protection locked="0"/>
    </xf>
    <xf numFmtId="165" fontId="12" fillId="0" borderId="62" xfId="0" applyNumberFormat="1" applyFont="1" applyBorder="1" applyAlignment="1" applyProtection="1">
      <alignment horizontal="center" vertical="center"/>
      <protection hidden="1"/>
    </xf>
    <xf numFmtId="165" fontId="12" fillId="0" borderId="64" xfId="0" applyNumberFormat="1" applyFont="1" applyBorder="1" applyAlignment="1" applyProtection="1">
      <alignment horizontal="center" vertical="center"/>
      <protection hidden="1"/>
    </xf>
    <xf numFmtId="2" fontId="12" fillId="0" borderId="54" xfId="0" applyNumberFormat="1" applyFont="1" applyBorder="1" applyAlignment="1" applyProtection="1">
      <alignment horizontal="center" vertical="center"/>
      <protection hidden="1"/>
    </xf>
    <xf numFmtId="0" fontId="12" fillId="0" borderId="55" xfId="0" applyFont="1" applyBorder="1" applyAlignment="1" applyProtection="1">
      <alignment horizontal="center"/>
      <protection hidden="1"/>
    </xf>
    <xf numFmtId="0" fontId="12" fillId="0" borderId="56" xfId="0" applyFont="1" applyBorder="1" applyAlignment="1" applyProtection="1">
      <alignment horizontal="center"/>
      <protection hidden="1"/>
    </xf>
    <xf numFmtId="0" fontId="12" fillId="0" borderId="72" xfId="0" applyFont="1" applyBorder="1" applyAlignment="1" applyProtection="1">
      <alignment horizontal="center"/>
      <protection hidden="1"/>
    </xf>
    <xf numFmtId="0" fontId="12" fillId="0" borderId="64" xfId="0" applyFont="1" applyBorder="1" applyAlignment="1" applyProtection="1">
      <alignment horizontal="center"/>
      <protection hidden="1"/>
    </xf>
    <xf numFmtId="165" fontId="12" fillId="0" borderId="55" xfId="0" applyNumberFormat="1" applyFont="1" applyBorder="1" applyAlignment="1" applyProtection="1">
      <alignment horizontal="left"/>
      <protection hidden="1"/>
    </xf>
    <xf numFmtId="165" fontId="12" fillId="0" borderId="56" xfId="0" applyNumberFormat="1" applyFont="1" applyBorder="1" applyAlignment="1" applyProtection="1">
      <alignment horizontal="left"/>
      <protection hidden="1"/>
    </xf>
    <xf numFmtId="165" fontId="12" fillId="0" borderId="60" xfId="0" applyNumberFormat="1" applyFont="1" applyBorder="1" applyAlignment="1" applyProtection="1">
      <alignment vertical="center"/>
      <protection hidden="1"/>
    </xf>
    <xf numFmtId="165" fontId="12" fillId="0" borderId="61" xfId="0" applyNumberFormat="1" applyFont="1" applyBorder="1" applyAlignment="1" applyProtection="1">
      <alignment vertical="center"/>
      <protection hidden="1"/>
    </xf>
    <xf numFmtId="165" fontId="12" fillId="0" borderId="75" xfId="0" applyNumberFormat="1" applyFont="1" applyBorder="1" applyAlignment="1" applyProtection="1">
      <alignment vertical="center"/>
      <protection hidden="1"/>
    </xf>
    <xf numFmtId="165" fontId="12" fillId="0" borderId="65" xfId="0" applyNumberFormat="1" applyFont="1" applyBorder="1" applyAlignment="1" applyProtection="1">
      <alignment vertical="center"/>
      <protection hidden="1"/>
    </xf>
    <xf numFmtId="165" fontId="12" fillId="0" borderId="53" xfId="0" applyNumberFormat="1" applyFont="1" applyBorder="1" applyAlignment="1" applyProtection="1">
      <alignment horizontal="left"/>
      <protection hidden="1"/>
    </xf>
    <xf numFmtId="165" fontId="12" fillId="0" borderId="41" xfId="0" applyNumberFormat="1" applyFont="1" applyBorder="1" applyAlignment="1" applyProtection="1">
      <alignment horizontal="left"/>
      <protection hidden="1"/>
    </xf>
    <xf numFmtId="0" fontId="16" fillId="0" borderId="35" xfId="0" applyFont="1" applyBorder="1" applyAlignment="1" applyProtection="1">
      <alignment horizontal="center" vertical="center"/>
      <protection hidden="1"/>
    </xf>
    <xf numFmtId="0" fontId="16" fillId="0" borderId="36" xfId="0" applyFont="1" applyBorder="1" applyAlignment="1" applyProtection="1">
      <alignment horizontal="center" vertical="center"/>
      <protection hidden="1"/>
    </xf>
    <xf numFmtId="0" fontId="16" fillId="0" borderId="49" xfId="0" applyFont="1" applyBorder="1" applyAlignment="1" applyProtection="1">
      <alignment horizontal="center" vertical="center"/>
      <protection hidden="1"/>
    </xf>
    <xf numFmtId="0" fontId="33" fillId="0" borderId="35" xfId="0" applyFont="1" applyBorder="1" applyAlignment="1" applyProtection="1">
      <alignment horizontal="center" vertical="center"/>
      <protection hidden="1"/>
    </xf>
    <xf numFmtId="0" fontId="33" fillId="0" borderId="36" xfId="0" applyFont="1" applyBorder="1" applyAlignment="1" applyProtection="1">
      <alignment horizontal="center" vertical="center"/>
      <protection hidden="1"/>
    </xf>
    <xf numFmtId="0" fontId="33" fillId="0" borderId="49" xfId="0" applyFont="1" applyBorder="1" applyAlignment="1" applyProtection="1">
      <alignment horizontal="center" vertical="center"/>
      <protection hidden="1"/>
    </xf>
    <xf numFmtId="0" fontId="15" fillId="3" borderId="39" xfId="3" applyFont="1" applyFill="1" applyBorder="1" applyAlignment="1" applyProtection="1">
      <alignment horizontal="center" vertical="center" wrapText="1"/>
      <protection hidden="1"/>
    </xf>
    <xf numFmtId="0" fontId="15" fillId="3" borderId="40" xfId="3" applyFont="1" applyFill="1" applyBorder="1" applyAlignment="1" applyProtection="1">
      <alignment horizontal="center" vertical="center" wrapText="1"/>
      <protection hidden="1"/>
    </xf>
    <xf numFmtId="170" fontId="12" fillId="0" borderId="73" xfId="3" applyNumberFormat="1" applyFont="1" applyBorder="1" applyAlignment="1" applyProtection="1">
      <alignment horizontal="center" vertical="center"/>
      <protection hidden="1"/>
    </xf>
    <xf numFmtId="170" fontId="12" fillId="0" borderId="80" xfId="3" applyNumberFormat="1" applyFont="1" applyBorder="1" applyAlignment="1" applyProtection="1">
      <alignment horizontal="center" vertical="center"/>
      <protection hidden="1"/>
    </xf>
    <xf numFmtId="0" fontId="12" fillId="0" borderId="6" xfId="0" applyFont="1" applyBorder="1" applyAlignment="1" applyProtection="1">
      <alignment horizontal="center" vertical="center"/>
      <protection hidden="1"/>
    </xf>
    <xf numFmtId="0" fontId="16" fillId="7" borderId="0" xfId="21" applyFont="1" applyFill="1" applyAlignment="1" applyProtection="1">
      <alignment horizontal="left" vertical="center"/>
      <protection hidden="1"/>
    </xf>
    <xf numFmtId="0" fontId="6" fillId="7" borderId="36" xfId="23" applyFont="1" applyFill="1" applyBorder="1" applyAlignment="1" applyProtection="1">
      <alignment horizontal="center" vertical="center" wrapText="1"/>
      <protection locked="0" hidden="1"/>
    </xf>
    <xf numFmtId="0" fontId="6" fillId="7" borderId="36" xfId="21" applyFont="1" applyFill="1" applyBorder="1" applyAlignment="1" applyProtection="1">
      <alignment horizontal="center" vertical="center" wrapText="1"/>
      <protection locked="0" hidden="1"/>
    </xf>
    <xf numFmtId="173" fontId="6" fillId="7" borderId="36" xfId="21" applyNumberFormat="1" applyFont="1" applyFill="1" applyBorder="1" applyAlignment="1" applyProtection="1">
      <alignment horizontal="center" vertical="center"/>
      <protection locked="0" hidden="1"/>
    </xf>
    <xf numFmtId="0" fontId="16" fillId="7" borderId="0" xfId="21" applyFont="1" applyFill="1" applyAlignment="1" applyProtection="1">
      <alignment horizontal="center" vertical="center"/>
      <protection hidden="1"/>
    </xf>
    <xf numFmtId="0" fontId="4" fillId="0" borderId="30" xfId="2" applyFont="1" applyBorder="1" applyAlignment="1" applyProtection="1">
      <alignment horizontal="left"/>
      <protection hidden="1"/>
    </xf>
    <xf numFmtId="0" fontId="4" fillId="0" borderId="31" xfId="2" applyFont="1" applyBorder="1" applyAlignment="1" applyProtection="1">
      <alignment horizontal="left"/>
      <protection hidden="1"/>
    </xf>
    <xf numFmtId="0" fontId="4" fillId="0" borderId="74" xfId="2" applyFont="1" applyBorder="1" applyAlignment="1" applyProtection="1">
      <alignment horizontal="left"/>
      <protection hidden="1"/>
    </xf>
    <xf numFmtId="0" fontId="16" fillId="7" borderId="28" xfId="21" applyFont="1" applyFill="1" applyBorder="1" applyAlignment="1" applyProtection="1">
      <alignment horizontal="left" vertical="center"/>
      <protection hidden="1"/>
    </xf>
    <xf numFmtId="0" fontId="6" fillId="7" borderId="0" xfId="21" applyFont="1" applyFill="1" applyAlignment="1" applyProtection="1">
      <alignment horizontal="center" vertical="center"/>
      <protection hidden="1"/>
    </xf>
    <xf numFmtId="165" fontId="27" fillId="0" borderId="0" xfId="0" applyNumberFormat="1" applyFont="1" applyAlignment="1" applyProtection="1">
      <alignment horizontal="center"/>
      <protection locked="0"/>
    </xf>
    <xf numFmtId="0" fontId="17" fillId="0" borderId="0" xfId="21" applyFont="1" applyAlignment="1" applyProtection="1">
      <alignment horizontal="center" vertical="center"/>
      <protection hidden="1"/>
    </xf>
    <xf numFmtId="0" fontId="6" fillId="0" borderId="0" xfId="21" applyFont="1" applyAlignment="1" applyProtection="1">
      <alignment horizontal="center" vertical="center"/>
      <protection hidden="1"/>
    </xf>
    <xf numFmtId="0" fontId="6" fillId="7" borderId="31" xfId="21" applyFont="1" applyFill="1" applyBorder="1" applyAlignment="1" applyProtection="1">
      <alignment horizontal="center" vertical="center"/>
      <protection locked="0" hidden="1"/>
    </xf>
    <xf numFmtId="173" fontId="6" fillId="7" borderId="31" xfId="21" applyNumberFormat="1" applyFont="1" applyFill="1" applyBorder="1" applyAlignment="1" applyProtection="1">
      <alignment horizontal="center" vertical="center"/>
      <protection locked="0" hidden="1"/>
    </xf>
    <xf numFmtId="0" fontId="16" fillId="7" borderId="28" xfId="21" applyFont="1" applyFill="1" applyBorder="1" applyAlignment="1" applyProtection="1">
      <alignment horizontal="center" vertical="center"/>
      <protection hidden="1"/>
    </xf>
    <xf numFmtId="0" fontId="6" fillId="0" borderId="27" xfId="21" applyFont="1" applyBorder="1" applyAlignment="1" applyProtection="1">
      <alignment horizontal="center" vertical="center"/>
      <protection hidden="1"/>
    </xf>
    <xf numFmtId="0" fontId="6" fillId="0" borderId="28" xfId="21" applyFont="1" applyBorder="1" applyAlignment="1" applyProtection="1">
      <alignment horizontal="center" vertical="center"/>
      <protection hidden="1"/>
    </xf>
    <xf numFmtId="0" fontId="6" fillId="0" borderId="33" xfId="21" applyFont="1" applyBorder="1" applyAlignment="1" applyProtection="1">
      <alignment horizontal="center" vertical="center"/>
      <protection hidden="1"/>
    </xf>
    <xf numFmtId="0" fontId="6" fillId="0" borderId="38" xfId="21" applyFont="1" applyBorder="1" applyAlignment="1" applyProtection="1">
      <alignment horizontal="center" vertical="center"/>
      <protection hidden="1"/>
    </xf>
    <xf numFmtId="0" fontId="6" fillId="0" borderId="39" xfId="21" applyFont="1" applyBorder="1" applyAlignment="1" applyProtection="1">
      <alignment horizontal="center" vertical="center"/>
      <protection hidden="1"/>
    </xf>
    <xf numFmtId="0" fontId="34" fillId="0" borderId="50" xfId="21" applyFont="1" applyBorder="1" applyAlignment="1" applyProtection="1">
      <alignment horizontal="center" vertical="center"/>
      <protection locked="0" hidden="1"/>
    </xf>
    <xf numFmtId="0" fontId="34" fillId="0" borderId="51" xfId="21" applyFont="1" applyBorder="1" applyAlignment="1" applyProtection="1">
      <alignment horizontal="center" vertical="center"/>
      <protection locked="0" hidden="1"/>
    </xf>
    <xf numFmtId="0" fontId="34" fillId="0" borderId="52" xfId="21" applyFont="1" applyBorder="1" applyAlignment="1" applyProtection="1">
      <alignment horizontal="center" vertical="center"/>
      <protection locked="0" hidden="1"/>
    </xf>
    <xf numFmtId="0" fontId="34" fillId="0" borderId="53" xfId="21" applyFont="1" applyBorder="1" applyAlignment="1" applyProtection="1">
      <alignment horizontal="center" vertical="center"/>
      <protection locked="0" hidden="1"/>
    </xf>
    <xf numFmtId="0" fontId="34" fillId="0" borderId="41" xfId="21" applyFont="1" applyBorder="1" applyAlignment="1" applyProtection="1">
      <alignment horizontal="center" vertical="center"/>
      <protection locked="0" hidden="1"/>
    </xf>
    <xf numFmtId="0" fontId="34" fillId="0" borderId="54" xfId="21" applyFont="1" applyBorder="1" applyAlignment="1" applyProtection="1">
      <alignment horizontal="center" vertical="center"/>
      <protection locked="0" hidden="1"/>
    </xf>
    <xf numFmtId="0" fontId="34" fillId="0" borderId="55" xfId="21" applyFont="1" applyBorder="1" applyAlignment="1" applyProtection="1">
      <alignment horizontal="center" vertical="center"/>
      <protection locked="0" hidden="1"/>
    </xf>
    <xf numFmtId="0" fontId="34" fillId="0" borderId="56" xfId="21" applyFont="1" applyBorder="1" applyAlignment="1" applyProtection="1">
      <alignment horizontal="center" vertical="center"/>
      <protection locked="0" hidden="1"/>
    </xf>
    <xf numFmtId="0" fontId="34" fillId="0" borderId="57" xfId="21" applyFont="1" applyBorder="1" applyAlignment="1" applyProtection="1">
      <alignment horizontal="center" vertical="center"/>
      <protection locked="0" hidden="1"/>
    </xf>
    <xf numFmtId="0" fontId="16" fillId="0" borderId="28" xfId="21" applyFont="1" applyBorder="1" applyAlignment="1" applyProtection="1">
      <alignment horizontal="center" vertical="center"/>
      <protection hidden="1"/>
    </xf>
    <xf numFmtId="0" fontId="29" fillId="0" borderId="0" xfId="21" applyFont="1" applyAlignment="1" applyProtection="1">
      <alignment horizontal="center" vertical="center"/>
      <protection hidden="1"/>
    </xf>
    <xf numFmtId="0" fontId="29" fillId="0" borderId="39" xfId="21" applyFont="1" applyBorder="1" applyAlignment="1" applyProtection="1">
      <alignment horizontal="center" vertical="center"/>
      <protection hidden="1"/>
    </xf>
    <xf numFmtId="0" fontId="6" fillId="7" borderId="36" xfId="21" applyFont="1" applyFill="1" applyBorder="1" applyAlignment="1" applyProtection="1">
      <alignment horizontal="center" vertical="center"/>
      <protection locked="0" hidden="1"/>
    </xf>
    <xf numFmtId="0" fontId="18" fillId="0" borderId="0" xfId="21" applyFont="1" applyAlignment="1" applyProtection="1">
      <alignment horizontal="left" vertical="center"/>
      <protection hidden="1"/>
    </xf>
    <xf numFmtId="165" fontId="12" fillId="0" borderId="58" xfId="0" applyNumberFormat="1" applyFont="1" applyBorder="1" applyAlignment="1" applyProtection="1">
      <alignment vertical="center"/>
      <protection hidden="1"/>
    </xf>
    <xf numFmtId="165" fontId="12" fillId="0" borderId="59" xfId="0" applyNumberFormat="1" applyFont="1" applyBorder="1" applyAlignment="1" applyProtection="1">
      <alignment vertical="center"/>
      <protection hidden="1"/>
    </xf>
    <xf numFmtId="0" fontId="15" fillId="3" borderId="28" xfId="3" applyFont="1" applyFill="1" applyBorder="1" applyAlignment="1" applyProtection="1">
      <alignment horizontal="center" vertical="center" wrapText="1"/>
      <protection hidden="1"/>
    </xf>
    <xf numFmtId="0" fontId="15" fillId="3" borderId="29" xfId="3" applyFont="1" applyFill="1" applyBorder="1" applyAlignment="1" applyProtection="1">
      <alignment horizontal="center" vertical="center" wrapText="1"/>
      <protection hidden="1"/>
    </xf>
    <xf numFmtId="0" fontId="15" fillId="3" borderId="0" xfId="3" applyFont="1" applyFill="1" applyAlignment="1" applyProtection="1">
      <alignment horizontal="center" vertical="center" wrapText="1"/>
      <protection hidden="1"/>
    </xf>
    <xf numFmtId="0" fontId="15" fillId="3" borderId="34" xfId="3" applyFont="1" applyFill="1" applyBorder="1" applyAlignment="1" applyProtection="1">
      <alignment horizontal="center" vertical="center" wrapText="1"/>
      <protection hidden="1"/>
    </xf>
    <xf numFmtId="49" fontId="6" fillId="7" borderId="31" xfId="21" applyNumberFormat="1" applyFont="1" applyFill="1" applyBorder="1" applyAlignment="1" applyProtection="1">
      <alignment horizontal="right" vertical="center"/>
      <protection locked="0" hidden="1"/>
    </xf>
    <xf numFmtId="0" fontId="16" fillId="7" borderId="31" xfId="21" applyFont="1" applyFill="1" applyBorder="1" applyAlignment="1" applyProtection="1">
      <alignment horizontal="center" vertical="center"/>
      <protection hidden="1"/>
    </xf>
    <xf numFmtId="175" fontId="6" fillId="7" borderId="31" xfId="21" applyNumberFormat="1" applyFont="1" applyFill="1" applyBorder="1" applyAlignment="1" applyProtection="1">
      <alignment horizontal="center" vertical="center"/>
      <protection hidden="1"/>
    </xf>
    <xf numFmtId="0" fontId="6" fillId="7" borderId="36" xfId="21" applyFont="1" applyFill="1" applyBorder="1" applyAlignment="1" applyProtection="1">
      <alignment horizontal="center" vertical="center"/>
      <protection hidden="1"/>
    </xf>
    <xf numFmtId="0" fontId="16" fillId="7" borderId="42" xfId="21" applyFont="1" applyFill="1" applyBorder="1" applyAlignment="1" applyProtection="1">
      <alignment horizontal="center" vertical="center"/>
      <protection hidden="1"/>
    </xf>
    <xf numFmtId="0" fontId="6" fillId="7" borderId="31" xfId="21" applyFont="1" applyFill="1" applyBorder="1" applyAlignment="1" applyProtection="1">
      <alignment horizontal="left" vertical="center"/>
      <protection locked="0" hidden="1"/>
    </xf>
    <xf numFmtId="165" fontId="12" fillId="0" borderId="30" xfId="0" applyNumberFormat="1" applyFont="1" applyBorder="1" applyAlignment="1" applyProtection="1">
      <alignment vertical="center"/>
      <protection hidden="1"/>
    </xf>
    <xf numFmtId="165" fontId="12" fillId="0" borderId="74" xfId="0" applyNumberFormat="1" applyFont="1" applyBorder="1" applyAlignment="1" applyProtection="1">
      <alignment vertical="center"/>
      <protection hidden="1"/>
    </xf>
    <xf numFmtId="0" fontId="41" fillId="0" borderId="91" xfId="21" applyFont="1" applyBorder="1" applyAlignment="1" applyProtection="1">
      <alignment horizontal="center" vertical="center" wrapText="1"/>
      <protection hidden="1"/>
    </xf>
    <xf numFmtId="0" fontId="41" fillId="0" borderId="0" xfId="21" applyFont="1" applyAlignment="1" applyProtection="1">
      <alignment horizontal="center" vertical="center" wrapText="1"/>
      <protection hidden="1"/>
    </xf>
    <xf numFmtId="0" fontId="6" fillId="0" borderId="92" xfId="0" applyFont="1" applyBorder="1" applyAlignment="1" applyProtection="1">
      <alignment horizontal="center" vertical="center" wrapText="1"/>
      <protection hidden="1"/>
    </xf>
    <xf numFmtId="0" fontId="16" fillId="0" borderId="43" xfId="0" applyFont="1" applyBorder="1" applyAlignment="1" applyProtection="1">
      <alignment horizontal="center" vertical="center"/>
      <protection locked="0" hidden="1"/>
    </xf>
    <xf numFmtId="0" fontId="16" fillId="0" borderId="83" xfId="0" applyFont="1" applyBorder="1" applyAlignment="1" applyProtection="1">
      <alignment horizontal="center" vertical="center"/>
      <protection locked="0" hidden="1"/>
    </xf>
    <xf numFmtId="0" fontId="6" fillId="0" borderId="51" xfId="0" applyFont="1" applyBorder="1" applyAlignment="1" applyProtection="1">
      <alignment horizontal="center" vertical="center" wrapText="1"/>
      <protection hidden="1"/>
    </xf>
    <xf numFmtId="0" fontId="6" fillId="0" borderId="52" xfId="0" applyFont="1" applyBorder="1" applyAlignment="1" applyProtection="1">
      <alignment horizontal="center" vertical="center" wrapText="1"/>
      <protection hidden="1"/>
    </xf>
    <xf numFmtId="0" fontId="16" fillId="0" borderId="62" xfId="0" applyFont="1" applyBorder="1" applyAlignment="1" applyProtection="1">
      <alignment horizontal="center" vertical="center"/>
      <protection hidden="1"/>
    </xf>
    <xf numFmtId="0" fontId="16" fillId="0" borderId="63" xfId="0" applyFont="1" applyBorder="1" applyAlignment="1" applyProtection="1">
      <alignment horizontal="center" vertical="center"/>
      <protection hidden="1"/>
    </xf>
    <xf numFmtId="0" fontId="39" fillId="0" borderId="84" xfId="21" applyFont="1" applyBorder="1" applyAlignment="1" applyProtection="1">
      <alignment horizontal="center"/>
      <protection locked="0" hidden="1"/>
    </xf>
    <xf numFmtId="0" fontId="39" fillId="0" borderId="86" xfId="21" applyFont="1" applyBorder="1" applyAlignment="1" applyProtection="1">
      <alignment horizontal="center"/>
      <protection locked="0" hidden="1"/>
    </xf>
    <xf numFmtId="0" fontId="12" fillId="0" borderId="7" xfId="0" applyFont="1" applyBorder="1" applyAlignment="1" applyProtection="1">
      <alignment horizontal="center" vertical="center"/>
      <protection hidden="1"/>
    </xf>
    <xf numFmtId="0" fontId="12" fillId="0" borderId="8" xfId="0" applyFont="1" applyBorder="1" applyAlignment="1" applyProtection="1">
      <alignment horizontal="center" vertical="center"/>
      <protection hidden="1"/>
    </xf>
    <xf numFmtId="164" fontId="14" fillId="3" borderId="45" xfId="0" applyNumberFormat="1" applyFont="1" applyFill="1" applyBorder="1" applyAlignment="1" applyProtection="1">
      <alignment horizontal="center"/>
      <protection hidden="1"/>
    </xf>
    <xf numFmtId="164" fontId="14" fillId="3" borderId="46" xfId="0" applyNumberFormat="1" applyFont="1" applyFill="1" applyBorder="1" applyAlignment="1" applyProtection="1">
      <alignment horizontal="center"/>
      <protection hidden="1"/>
    </xf>
    <xf numFmtId="164" fontId="14" fillId="3" borderId="47" xfId="0" applyNumberFormat="1" applyFont="1" applyFill="1" applyBorder="1" applyAlignment="1" applyProtection="1">
      <alignment horizontal="center"/>
      <protection hidden="1"/>
    </xf>
    <xf numFmtId="0" fontId="38" fillId="0" borderId="0" xfId="0" applyFont="1" applyAlignment="1">
      <alignment horizontal="center"/>
    </xf>
    <xf numFmtId="0" fontId="38" fillId="0" borderId="0" xfId="0" applyFont="1" applyAlignment="1" applyProtection="1">
      <alignment horizontal="center" vertical="center" wrapText="1"/>
      <protection hidden="1"/>
    </xf>
    <xf numFmtId="165" fontId="12" fillId="0" borderId="38" xfId="0" applyNumberFormat="1" applyFont="1" applyBorder="1" applyAlignment="1" applyProtection="1">
      <alignment horizontal="center"/>
      <protection hidden="1"/>
    </xf>
    <xf numFmtId="165" fontId="12" fillId="0" borderId="39" xfId="0" applyNumberFormat="1" applyFont="1" applyBorder="1" applyAlignment="1" applyProtection="1">
      <alignment horizontal="center"/>
      <protection hidden="1"/>
    </xf>
    <xf numFmtId="165" fontId="12" fillId="0" borderId="40" xfId="0" applyNumberFormat="1" applyFont="1" applyBorder="1" applyAlignment="1" applyProtection="1">
      <alignment horizontal="center"/>
      <protection hidden="1"/>
    </xf>
    <xf numFmtId="0" fontId="15" fillId="3" borderId="45" xfId="2" applyFont="1" applyFill="1" applyBorder="1" applyAlignment="1" applyProtection="1">
      <alignment horizontal="center" vertical="center"/>
      <protection hidden="1"/>
    </xf>
    <xf numFmtId="0" fontId="15" fillId="3" borderId="46" xfId="2" applyFont="1" applyFill="1" applyBorder="1" applyAlignment="1" applyProtection="1">
      <alignment horizontal="center" vertical="center"/>
      <protection hidden="1"/>
    </xf>
    <xf numFmtId="0" fontId="15" fillId="3" borderId="47" xfId="2" applyFont="1" applyFill="1" applyBorder="1" applyAlignment="1" applyProtection="1">
      <alignment horizontal="center" vertical="center"/>
      <protection hidden="1"/>
    </xf>
    <xf numFmtId="0" fontId="15" fillId="3" borderId="45" xfId="2" applyFont="1" applyFill="1" applyBorder="1" applyAlignment="1" applyProtection="1">
      <alignment horizontal="center" vertical="top"/>
      <protection hidden="1"/>
    </xf>
    <xf numFmtId="0" fontId="15" fillId="3" borderId="46" xfId="2" applyFont="1" applyFill="1" applyBorder="1" applyAlignment="1" applyProtection="1">
      <alignment horizontal="center" vertical="top"/>
      <protection hidden="1"/>
    </xf>
    <xf numFmtId="0" fontId="15" fillId="3" borderId="47" xfId="2" applyFont="1" applyFill="1" applyBorder="1" applyAlignment="1" applyProtection="1">
      <alignment horizontal="center" vertical="top"/>
      <protection hidden="1"/>
    </xf>
    <xf numFmtId="0" fontId="12" fillId="0" borderId="45" xfId="2" applyFont="1" applyBorder="1" applyAlignment="1" applyProtection="1">
      <alignment horizontal="center"/>
      <protection hidden="1"/>
    </xf>
    <xf numFmtId="0" fontId="12" fillId="0" borderId="46" xfId="2" applyFont="1" applyBorder="1" applyAlignment="1" applyProtection="1">
      <alignment horizontal="center"/>
      <protection hidden="1"/>
    </xf>
    <xf numFmtId="0" fontId="12" fillId="0" borderId="47" xfId="2" applyFont="1" applyBorder="1" applyAlignment="1" applyProtection="1">
      <alignment horizontal="center"/>
      <protection hidden="1"/>
    </xf>
    <xf numFmtId="2" fontId="12" fillId="0" borderId="45" xfId="0" applyNumberFormat="1" applyFont="1" applyBorder="1" applyAlignment="1" applyProtection="1">
      <alignment horizontal="center" vertical="top"/>
      <protection hidden="1"/>
    </xf>
    <xf numFmtId="2" fontId="12" fillId="0" borderId="46" xfId="0" applyNumberFormat="1" applyFont="1" applyBorder="1" applyAlignment="1" applyProtection="1">
      <alignment horizontal="center" vertical="top"/>
      <protection hidden="1"/>
    </xf>
    <xf numFmtId="2" fontId="12" fillId="0" borderId="47" xfId="0" applyNumberFormat="1" applyFont="1" applyBorder="1" applyAlignment="1" applyProtection="1">
      <alignment horizontal="center" vertical="top"/>
      <protection hidden="1"/>
    </xf>
    <xf numFmtId="166" fontId="12" fillId="0" borderId="53" xfId="0" applyNumberFormat="1" applyFont="1" applyBorder="1" applyAlignment="1" applyProtection="1">
      <alignment horizontal="center" vertical="center" wrapText="1"/>
      <protection hidden="1"/>
    </xf>
    <xf numFmtId="166" fontId="12" fillId="0" borderId="41" xfId="0" applyNumberFormat="1" applyFont="1" applyBorder="1" applyAlignment="1" applyProtection="1">
      <alignment horizontal="center" vertical="center" wrapText="1"/>
      <protection hidden="1"/>
    </xf>
    <xf numFmtId="166" fontId="12" fillId="0" borderId="55" xfId="0" applyNumberFormat="1" applyFont="1" applyBorder="1" applyAlignment="1" applyProtection="1">
      <alignment horizontal="center" vertical="center" wrapText="1"/>
      <protection hidden="1"/>
    </xf>
    <xf numFmtId="166" fontId="12" fillId="0" borderId="56" xfId="0" applyNumberFormat="1" applyFont="1" applyBorder="1" applyAlignment="1" applyProtection="1">
      <alignment horizontal="center" vertical="center" wrapText="1"/>
      <protection hidden="1"/>
    </xf>
    <xf numFmtId="164" fontId="18" fillId="0" borderId="81" xfId="0" applyNumberFormat="1" applyFont="1" applyBorder="1" applyAlignment="1" applyProtection="1">
      <alignment horizontal="center" vertical="center"/>
      <protection hidden="1"/>
    </xf>
    <xf numFmtId="164" fontId="18" fillId="0" borderId="73" xfId="0" applyNumberFormat="1" applyFont="1" applyBorder="1" applyAlignment="1" applyProtection="1">
      <alignment horizontal="center" vertical="center"/>
      <protection hidden="1"/>
    </xf>
    <xf numFmtId="164" fontId="18" fillId="0" borderId="63" xfId="0" applyNumberFormat="1" applyFont="1" applyBorder="1" applyAlignment="1" applyProtection="1">
      <alignment horizontal="center" vertical="center"/>
      <protection hidden="1"/>
    </xf>
    <xf numFmtId="164" fontId="18" fillId="0" borderId="82" xfId="0" applyNumberFormat="1" applyFont="1" applyBorder="1" applyAlignment="1" applyProtection="1">
      <alignment horizontal="center" vertical="center"/>
      <protection hidden="1"/>
    </xf>
    <xf numFmtId="165" fontId="15" fillId="3" borderId="30" xfId="0" applyNumberFormat="1" applyFont="1" applyFill="1" applyBorder="1" applyAlignment="1" applyProtection="1">
      <alignment horizontal="center" vertical="center" wrapText="1"/>
      <protection hidden="1"/>
    </xf>
    <xf numFmtId="165" fontId="15" fillId="3" borderId="31" xfId="0" applyNumberFormat="1" applyFont="1" applyFill="1" applyBorder="1" applyAlignment="1" applyProtection="1">
      <alignment horizontal="center" vertical="center" wrapText="1"/>
      <protection hidden="1"/>
    </xf>
    <xf numFmtId="165" fontId="15" fillId="3" borderId="74" xfId="0" applyNumberFormat="1" applyFont="1" applyFill="1" applyBorder="1" applyAlignment="1" applyProtection="1">
      <alignment horizontal="center" vertical="center" wrapText="1"/>
      <protection hidden="1"/>
    </xf>
    <xf numFmtId="166" fontId="12" fillId="0" borderId="72" xfId="0" applyNumberFormat="1" applyFont="1" applyBorder="1" applyAlignment="1" applyProtection="1">
      <alignment horizontal="center" vertical="center" wrapText="1"/>
      <protection hidden="1"/>
    </xf>
    <xf numFmtId="166" fontId="12" fillId="0" borderId="64" xfId="0" applyNumberFormat="1" applyFont="1" applyBorder="1" applyAlignment="1" applyProtection="1">
      <alignment horizontal="center" vertical="center" wrapText="1"/>
      <protection hidden="1"/>
    </xf>
    <xf numFmtId="2" fontId="6" fillId="7" borderId="31" xfId="21" applyNumberFormat="1" applyFont="1" applyFill="1" applyBorder="1" applyAlignment="1" applyProtection="1">
      <alignment horizontal="right" vertical="center"/>
      <protection locked="0" hidden="1"/>
    </xf>
    <xf numFmtId="0" fontId="6" fillId="7" borderId="36" xfId="21" applyFont="1" applyFill="1" applyBorder="1" applyAlignment="1" applyProtection="1">
      <alignment horizontal="center" vertical="center" wrapText="1"/>
      <protection hidden="1"/>
    </xf>
    <xf numFmtId="173" fontId="6" fillId="7" borderId="36" xfId="21" applyNumberFormat="1" applyFont="1" applyFill="1" applyBorder="1" applyAlignment="1" applyProtection="1">
      <alignment horizontal="center" vertical="center"/>
      <protection hidden="1"/>
    </xf>
    <xf numFmtId="0" fontId="6" fillId="0" borderId="30" xfId="21" applyFont="1" applyBorder="1" applyAlignment="1" applyProtection="1">
      <alignment horizontal="center" vertical="center"/>
      <protection hidden="1"/>
    </xf>
    <xf numFmtId="0" fontId="6" fillId="0" borderId="31" xfId="21" applyFont="1" applyBorder="1" applyAlignment="1" applyProtection="1">
      <alignment horizontal="center" vertical="center"/>
      <protection hidden="1"/>
    </xf>
    <xf numFmtId="0" fontId="6" fillId="0" borderId="32" xfId="21" applyFont="1" applyBorder="1" applyAlignment="1" applyProtection="1">
      <alignment horizontal="center" vertical="center"/>
      <protection hidden="1"/>
    </xf>
    <xf numFmtId="0" fontId="6" fillId="0" borderId="35" xfId="21" applyFont="1" applyBorder="1" applyAlignment="1" applyProtection="1">
      <alignment horizontal="center" vertical="center"/>
      <protection hidden="1"/>
    </xf>
    <xf numFmtId="0" fontId="6" fillId="0" borderId="36" xfId="21" applyFont="1" applyBorder="1" applyAlignment="1" applyProtection="1">
      <alignment horizontal="center" vertical="center"/>
      <protection hidden="1"/>
    </xf>
    <xf numFmtId="0" fontId="6" fillId="0" borderId="37" xfId="21" applyFont="1" applyBorder="1" applyAlignment="1" applyProtection="1">
      <alignment horizontal="center" vertical="center"/>
      <protection hidden="1"/>
    </xf>
    <xf numFmtId="0" fontId="17" fillId="0" borderId="0" xfId="21" applyFont="1" applyAlignment="1" applyProtection="1">
      <alignment horizontal="center" vertical="center"/>
      <protection locked="0"/>
    </xf>
    <xf numFmtId="0" fontId="6" fillId="0" borderId="40" xfId="21" applyFont="1" applyBorder="1" applyAlignment="1" applyProtection="1">
      <alignment horizontal="center" vertical="center"/>
      <protection hidden="1"/>
    </xf>
    <xf numFmtId="0" fontId="16" fillId="0" borderId="29" xfId="21" applyFont="1" applyBorder="1" applyAlignment="1" applyProtection="1">
      <alignment horizontal="center" vertical="center"/>
      <protection hidden="1"/>
    </xf>
    <xf numFmtId="0" fontId="29" fillId="0" borderId="34" xfId="21" applyFont="1" applyBorder="1" applyAlignment="1" applyProtection="1">
      <alignment horizontal="center" vertical="center"/>
      <protection hidden="1"/>
    </xf>
    <xf numFmtId="0" fontId="29" fillId="0" borderId="40" xfId="21" applyFont="1" applyBorder="1" applyAlignment="1" applyProtection="1">
      <alignment horizontal="center" vertical="center"/>
      <protection hidden="1"/>
    </xf>
    <xf numFmtId="0" fontId="20" fillId="0" borderId="38" xfId="0" applyFont="1" applyBorder="1" applyAlignment="1" applyProtection="1">
      <alignment horizontal="center" vertical="center"/>
      <protection hidden="1"/>
    </xf>
    <xf numFmtId="0" fontId="20" fillId="0" borderId="39" xfId="0" applyFont="1" applyBorder="1" applyAlignment="1" applyProtection="1">
      <alignment horizontal="center" vertical="center"/>
      <protection hidden="1"/>
    </xf>
    <xf numFmtId="0" fontId="20" fillId="0" borderId="33" xfId="0" applyFont="1" applyBorder="1" applyAlignment="1" applyProtection="1">
      <alignment horizontal="center" vertical="center"/>
      <protection hidden="1"/>
    </xf>
    <xf numFmtId="0" fontId="20" fillId="0" borderId="0" xfId="0" applyFont="1" applyAlignment="1" applyProtection="1">
      <alignment horizontal="center" vertical="center"/>
      <protection hidden="1"/>
    </xf>
    <xf numFmtId="0" fontId="6" fillId="7" borderId="31" xfId="21" applyFont="1" applyFill="1" applyBorder="1" applyAlignment="1" applyProtection="1">
      <alignment horizontal="center" vertical="center"/>
      <protection hidden="1"/>
    </xf>
    <xf numFmtId="0" fontId="34" fillId="7" borderId="36" xfId="21" applyFont="1" applyFill="1" applyBorder="1" applyAlignment="1" applyProtection="1">
      <alignment horizontal="center" vertical="center"/>
      <protection hidden="1"/>
    </xf>
    <xf numFmtId="49" fontId="6" fillId="7" borderId="36" xfId="21" applyNumberFormat="1" applyFont="1" applyFill="1" applyBorder="1" applyAlignment="1" applyProtection="1">
      <alignment horizontal="center" vertical="center"/>
      <protection hidden="1"/>
    </xf>
    <xf numFmtId="2" fontId="6" fillId="7" borderId="36" xfId="21" applyNumberFormat="1" applyFont="1" applyFill="1" applyBorder="1" applyAlignment="1" applyProtection="1">
      <alignment horizontal="left" vertical="center"/>
      <protection hidden="1"/>
    </xf>
    <xf numFmtId="2" fontId="6" fillId="7" borderId="36" xfId="21" applyNumberFormat="1" applyFont="1" applyFill="1" applyBorder="1" applyAlignment="1" applyProtection="1">
      <alignment horizontal="center" vertical="center"/>
      <protection hidden="1"/>
    </xf>
    <xf numFmtId="167" fontId="12" fillId="0" borderId="45" xfId="0" applyNumberFormat="1" applyFont="1" applyBorder="1" applyAlignment="1" applyProtection="1">
      <alignment horizontal="center"/>
      <protection hidden="1"/>
    </xf>
    <xf numFmtId="167" fontId="12" fillId="0" borderId="46" xfId="0" applyNumberFormat="1" applyFont="1" applyBorder="1" applyAlignment="1" applyProtection="1">
      <alignment horizontal="center"/>
      <protection hidden="1"/>
    </xf>
    <xf numFmtId="167" fontId="12" fillId="0" borderId="47" xfId="0" applyNumberFormat="1" applyFont="1" applyBorder="1" applyAlignment="1" applyProtection="1">
      <alignment horizontal="center"/>
      <protection hidden="1"/>
    </xf>
    <xf numFmtId="173" fontId="6" fillId="7" borderId="31" xfId="21" applyNumberFormat="1" applyFont="1" applyFill="1" applyBorder="1" applyAlignment="1" applyProtection="1">
      <alignment horizontal="center" vertical="center"/>
      <protection hidden="1"/>
    </xf>
    <xf numFmtId="0" fontId="30" fillId="0" borderId="0" xfId="21" applyFont="1" applyAlignment="1" applyProtection="1">
      <alignment horizontal="center" vertical="center"/>
      <protection hidden="1"/>
    </xf>
    <xf numFmtId="0" fontId="30" fillId="0" borderId="34" xfId="21" applyFont="1" applyBorder="1" applyAlignment="1" applyProtection="1">
      <alignment horizontal="center" vertical="center"/>
      <protection hidden="1"/>
    </xf>
    <xf numFmtId="0" fontId="30" fillId="0" borderId="39" xfId="21" applyFont="1" applyBorder="1" applyAlignment="1" applyProtection="1">
      <alignment horizontal="center" vertical="center"/>
      <protection hidden="1"/>
    </xf>
    <xf numFmtId="0" fontId="30" fillId="0" borderId="40" xfId="21" applyFont="1" applyBorder="1" applyAlignment="1" applyProtection="1">
      <alignment horizontal="center" vertical="center"/>
      <protection hidden="1"/>
    </xf>
    <xf numFmtId="164" fontId="32" fillId="3" borderId="45" xfId="0" applyNumberFormat="1" applyFont="1" applyFill="1" applyBorder="1" applyAlignment="1" applyProtection="1">
      <alignment horizontal="center"/>
      <protection hidden="1"/>
    </xf>
    <xf numFmtId="164" fontId="32" fillId="3" borderId="46" xfId="0" applyNumberFormat="1" applyFont="1" applyFill="1" applyBorder="1" applyAlignment="1" applyProtection="1">
      <alignment horizontal="center"/>
      <protection hidden="1"/>
    </xf>
    <xf numFmtId="164" fontId="32" fillId="3" borderId="47" xfId="0" applyNumberFormat="1" applyFont="1" applyFill="1" applyBorder="1" applyAlignment="1" applyProtection="1">
      <alignment horizontal="center"/>
      <protection hidden="1"/>
    </xf>
    <xf numFmtId="0" fontId="31" fillId="3" borderId="45" xfId="2" applyFont="1" applyFill="1" applyBorder="1" applyAlignment="1" applyProtection="1">
      <alignment horizontal="center" vertical="top"/>
      <protection hidden="1"/>
    </xf>
    <xf numFmtId="0" fontId="31" fillId="3" borderId="46" xfId="2" applyFont="1" applyFill="1" applyBorder="1" applyAlignment="1" applyProtection="1">
      <alignment horizontal="center" vertical="top"/>
      <protection hidden="1"/>
    </xf>
    <xf numFmtId="0" fontId="31" fillId="3" borderId="47" xfId="2" applyFont="1" applyFill="1" applyBorder="1" applyAlignment="1" applyProtection="1">
      <alignment horizontal="center" vertical="top"/>
      <protection hidden="1"/>
    </xf>
    <xf numFmtId="0" fontId="31" fillId="3" borderId="45" xfId="2" applyFont="1" applyFill="1" applyBorder="1" applyAlignment="1" applyProtection="1">
      <alignment horizontal="center" vertical="center"/>
      <protection hidden="1"/>
    </xf>
    <xf numFmtId="0" fontId="31" fillId="3" borderId="46" xfId="2" applyFont="1" applyFill="1" applyBorder="1" applyAlignment="1" applyProtection="1">
      <alignment horizontal="center" vertical="center"/>
      <protection hidden="1"/>
    </xf>
    <xf numFmtId="0" fontId="31" fillId="3" borderId="47" xfId="2" applyFont="1" applyFill="1" applyBorder="1" applyAlignment="1" applyProtection="1">
      <alignment horizontal="center" vertical="center"/>
      <protection hidden="1"/>
    </xf>
    <xf numFmtId="2" fontId="12" fillId="0" borderId="45" xfId="2" applyNumberFormat="1" applyFont="1" applyBorder="1" applyAlignment="1" applyProtection="1">
      <alignment horizontal="center"/>
      <protection hidden="1"/>
    </xf>
    <xf numFmtId="2" fontId="12" fillId="0" borderId="46" xfId="2" applyNumberFormat="1" applyFont="1" applyBorder="1" applyAlignment="1" applyProtection="1">
      <alignment horizontal="center"/>
      <protection hidden="1"/>
    </xf>
    <xf numFmtId="2" fontId="12" fillId="0" borderId="47" xfId="2" applyNumberFormat="1" applyFont="1" applyBorder="1" applyAlignment="1" applyProtection="1">
      <alignment horizontal="center"/>
      <protection hidden="1"/>
    </xf>
    <xf numFmtId="164" fontId="48" fillId="3" borderId="45" xfId="0" applyNumberFormat="1" applyFont="1" applyFill="1" applyBorder="1" applyAlignment="1" applyProtection="1">
      <alignment horizontal="center"/>
      <protection hidden="1"/>
    </xf>
    <xf numFmtId="49" fontId="26" fillId="0" borderId="33" xfId="0" applyNumberFormat="1" applyFont="1" applyBorder="1" applyAlignment="1" applyProtection="1">
      <alignment horizontal="center" vertical="center"/>
      <protection hidden="1"/>
    </xf>
    <xf numFmtId="49" fontId="26" fillId="0" borderId="0" xfId="0" applyNumberFormat="1" applyFont="1" applyAlignment="1" applyProtection="1">
      <alignment horizontal="center" vertical="center"/>
      <protection hidden="1"/>
    </xf>
    <xf numFmtId="49" fontId="26" fillId="0" borderId="34" xfId="0" applyNumberFormat="1" applyFont="1" applyBorder="1" applyAlignment="1" applyProtection="1">
      <alignment horizontal="center" vertical="center"/>
      <protection hidden="1"/>
    </xf>
    <xf numFmtId="49" fontId="26" fillId="0" borderId="38" xfId="0" applyNumberFormat="1" applyFont="1" applyBorder="1" applyAlignment="1" applyProtection="1">
      <alignment horizontal="center" vertical="center"/>
      <protection hidden="1"/>
    </xf>
    <xf numFmtId="49" fontId="26" fillId="0" borderId="39" xfId="0" applyNumberFormat="1" applyFont="1" applyBorder="1" applyAlignment="1" applyProtection="1">
      <alignment horizontal="center" vertical="center"/>
      <protection hidden="1"/>
    </xf>
    <xf numFmtId="49" fontId="26" fillId="0" borderId="40" xfId="0" applyNumberFormat="1" applyFont="1" applyBorder="1" applyAlignment="1" applyProtection="1">
      <alignment horizontal="center" vertical="center"/>
      <protection hidden="1"/>
    </xf>
    <xf numFmtId="0" fontId="13" fillId="2" borderId="7" xfId="3" applyFont="1" applyFill="1" applyBorder="1" applyAlignment="1">
      <alignment horizontal="center" vertical="center"/>
    </xf>
    <xf numFmtId="0" fontId="13" fillId="2" borderId="8" xfId="3" applyFont="1" applyFill="1" applyBorder="1" applyAlignment="1">
      <alignment horizontal="center" vertical="center"/>
    </xf>
    <xf numFmtId="0" fontId="2" fillId="0" borderId="15" xfId="0" applyFont="1" applyBorder="1" applyAlignment="1">
      <alignment horizontal="center" vertical="center"/>
    </xf>
    <xf numFmtId="0" fontId="0" fillId="0" borderId="16" xfId="0" applyBorder="1" applyAlignment="1">
      <alignment horizontal="center" vertical="center"/>
    </xf>
    <xf numFmtId="0" fontId="0" fillId="0" borderId="9" xfId="0" applyBorder="1" applyAlignment="1">
      <alignment horizontal="center" vertical="center"/>
    </xf>
    <xf numFmtId="0" fontId="0" fillId="4" borderId="9" xfId="0" applyFill="1" applyBorder="1" applyAlignment="1">
      <alignment horizontal="center" vertical="center"/>
    </xf>
    <xf numFmtId="0" fontId="0" fillId="0" borderId="15" xfId="0" applyBorder="1" applyAlignment="1">
      <alignment horizontal="center" vertical="center"/>
    </xf>
    <xf numFmtId="49" fontId="37" fillId="0" borderId="38" xfId="21" applyNumberFormat="1" applyFont="1" applyBorder="1" applyAlignment="1" applyProtection="1">
      <alignment horizontal="center" vertical="center" wrapText="1"/>
      <protection hidden="1"/>
    </xf>
    <xf numFmtId="49" fontId="37" fillId="0" borderId="39" xfId="21" applyNumberFormat="1" applyFont="1" applyBorder="1" applyAlignment="1" applyProtection="1">
      <alignment horizontal="center" vertical="center" wrapText="1"/>
      <protection hidden="1"/>
    </xf>
    <xf numFmtId="49" fontId="37" fillId="0" borderId="40" xfId="21" applyNumberFormat="1" applyFont="1" applyBorder="1" applyAlignment="1" applyProtection="1">
      <alignment horizontal="center" vertical="center" wrapText="1"/>
      <protection hidden="1"/>
    </xf>
    <xf numFmtId="0" fontId="6" fillId="0" borderId="53" xfId="0" applyFont="1" applyBorder="1" applyAlignment="1" applyProtection="1">
      <alignment horizontal="center" vertical="center" wrapText="1"/>
      <protection hidden="1"/>
    </xf>
    <xf numFmtId="0" fontId="6" fillId="0" borderId="41" xfId="0" applyFont="1" applyBorder="1" applyAlignment="1" applyProtection="1">
      <alignment horizontal="center" vertical="center" wrapText="1"/>
      <protection hidden="1"/>
    </xf>
    <xf numFmtId="0" fontId="6" fillId="0" borderId="55" xfId="0" applyFont="1" applyBorder="1" applyAlignment="1" applyProtection="1">
      <alignment horizontal="center" vertical="center" wrapText="1"/>
      <protection hidden="1"/>
    </xf>
    <xf numFmtId="0" fontId="6" fillId="0" borderId="56" xfId="0" applyFont="1" applyBorder="1" applyAlignment="1" applyProtection="1">
      <alignment horizontal="center" vertical="center" wrapText="1"/>
      <protection hidden="1"/>
    </xf>
    <xf numFmtId="0" fontId="6" fillId="0" borderId="41" xfId="0" applyFont="1" applyBorder="1" applyAlignment="1" applyProtection="1">
      <alignment horizontal="center"/>
      <protection locked="0" hidden="1"/>
    </xf>
    <xf numFmtId="0" fontId="6" fillId="0" borderId="54" xfId="0" applyFont="1" applyBorder="1" applyAlignment="1" applyProtection="1">
      <alignment horizontal="center"/>
      <protection locked="0" hidden="1"/>
    </xf>
    <xf numFmtId="0" fontId="6" fillId="0" borderId="56" xfId="0" applyFont="1" applyBorder="1" applyAlignment="1" applyProtection="1">
      <alignment horizontal="center"/>
      <protection locked="0" hidden="1"/>
    </xf>
    <xf numFmtId="0" fontId="6" fillId="0" borderId="57" xfId="0" applyFont="1" applyBorder="1" applyAlignment="1" applyProtection="1">
      <alignment horizontal="center"/>
      <protection locked="0" hidden="1"/>
    </xf>
    <xf numFmtId="0" fontId="45" fillId="0" borderId="33" xfId="21" applyFont="1" applyBorder="1" applyAlignment="1" applyProtection="1">
      <alignment horizontal="center" vertical="center"/>
      <protection hidden="1"/>
    </xf>
    <xf numFmtId="0" fontId="45" fillId="0" borderId="0" xfId="21" applyFont="1" applyAlignment="1" applyProtection="1">
      <alignment horizontal="center" vertical="center"/>
      <protection hidden="1"/>
    </xf>
    <xf numFmtId="0" fontId="34" fillId="0" borderId="0" xfId="21" applyFont="1" applyAlignment="1" applyProtection="1">
      <alignment horizontal="center" vertical="center"/>
      <protection hidden="1"/>
    </xf>
    <xf numFmtId="0" fontId="34" fillId="0" borderId="34" xfId="21" applyFont="1" applyBorder="1" applyAlignment="1" applyProtection="1">
      <alignment horizontal="center" vertical="center"/>
      <protection hidden="1"/>
    </xf>
    <xf numFmtId="0" fontId="45" fillId="0" borderId="0" xfId="21" applyFont="1" applyAlignment="1" applyProtection="1">
      <alignment horizontal="center" vertical="center" wrapText="1"/>
      <protection hidden="1"/>
    </xf>
    <xf numFmtId="0" fontId="39" fillId="0" borderId="90" xfId="21" applyFont="1" applyBorder="1" applyAlignment="1" applyProtection="1">
      <alignment horizontal="center" vertical="center"/>
      <protection hidden="1"/>
    </xf>
    <xf numFmtId="0" fontId="16" fillId="0" borderId="62" xfId="0" applyFont="1" applyBorder="1" applyAlignment="1" applyProtection="1">
      <alignment horizontal="center" vertical="center"/>
      <protection locked="0" hidden="1"/>
    </xf>
    <xf numFmtId="0" fontId="12" fillId="0" borderId="53" xfId="4" applyFont="1" applyBorder="1" applyAlignment="1" applyProtection="1">
      <alignment horizontal="left" vertical="center"/>
      <protection hidden="1"/>
    </xf>
    <xf numFmtId="0" fontId="12" fillId="0" borderId="41" xfId="4" applyFont="1" applyBorder="1" applyAlignment="1" applyProtection="1">
      <alignment horizontal="left" vertical="center"/>
      <protection hidden="1"/>
    </xf>
    <xf numFmtId="0" fontId="14" fillId="3" borderId="38" xfId="4" applyFont="1" applyFill="1" applyBorder="1" applyAlignment="1" applyProtection="1">
      <alignment horizontal="center" vertical="center"/>
      <protection hidden="1"/>
    </xf>
    <xf numFmtId="0" fontId="14" fillId="3" borderId="39" xfId="4" applyFont="1" applyFill="1" applyBorder="1" applyAlignment="1" applyProtection="1">
      <alignment horizontal="center" vertical="center"/>
      <protection hidden="1"/>
    </xf>
    <xf numFmtId="0" fontId="14" fillId="3" borderId="40" xfId="4" applyFont="1" applyFill="1" applyBorder="1" applyAlignment="1" applyProtection="1">
      <alignment horizontal="center" vertical="center"/>
      <protection hidden="1"/>
    </xf>
    <xf numFmtId="0" fontId="6" fillId="0" borderId="0" xfId="0" applyFont="1" applyAlignment="1" applyProtection="1">
      <alignment horizontal="left"/>
      <protection hidden="1"/>
    </xf>
    <xf numFmtId="0" fontId="14" fillId="3" borderId="27" xfId="0" applyFont="1" applyFill="1" applyBorder="1" applyAlignment="1" applyProtection="1">
      <alignment horizontal="center" vertical="center"/>
      <protection hidden="1"/>
    </xf>
    <xf numFmtId="0" fontId="14" fillId="3" borderId="28" xfId="0" applyFont="1" applyFill="1" applyBorder="1" applyAlignment="1" applyProtection="1">
      <alignment horizontal="center" vertical="center"/>
      <protection hidden="1"/>
    </xf>
    <xf numFmtId="0" fontId="14" fillId="3" borderId="29" xfId="0" applyFont="1" applyFill="1" applyBorder="1" applyAlignment="1" applyProtection="1">
      <alignment horizontal="center" vertical="center"/>
      <protection hidden="1"/>
    </xf>
    <xf numFmtId="0" fontId="6" fillId="0" borderId="50" xfId="0" applyFont="1" applyBorder="1" applyAlignment="1" applyProtection="1">
      <alignment horizontal="left" vertical="center"/>
      <protection hidden="1"/>
    </xf>
    <xf numFmtId="0" fontId="6" fillId="0" borderId="51" xfId="0" applyFont="1" applyBorder="1" applyAlignment="1" applyProtection="1">
      <alignment horizontal="left" vertical="center"/>
      <protection hidden="1"/>
    </xf>
    <xf numFmtId="173" fontId="6" fillId="7" borderId="37" xfId="21" applyNumberFormat="1" applyFont="1" applyFill="1" applyBorder="1" applyAlignment="1" applyProtection="1">
      <alignment horizontal="center" vertical="center"/>
      <protection locked="0" hidden="1"/>
    </xf>
    <xf numFmtId="0" fontId="16" fillId="7" borderId="42" xfId="21" applyFont="1" applyFill="1" applyBorder="1" applyAlignment="1" applyProtection="1">
      <alignment horizontal="left" vertical="center"/>
      <protection hidden="1"/>
    </xf>
    <xf numFmtId="0" fontId="6" fillId="7" borderId="37" xfId="21" applyFont="1" applyFill="1" applyBorder="1" applyAlignment="1" applyProtection="1">
      <alignment horizontal="center" vertical="center"/>
      <protection hidden="1"/>
    </xf>
    <xf numFmtId="0" fontId="6" fillId="7" borderId="39" xfId="21" applyFont="1" applyFill="1" applyBorder="1" applyAlignment="1" applyProtection="1">
      <alignment horizontal="center" vertical="center"/>
      <protection hidden="1"/>
    </xf>
    <xf numFmtId="0" fontId="6" fillId="7" borderId="36" xfId="21" applyFont="1" applyFill="1" applyBorder="1" applyAlignment="1" applyProtection="1">
      <alignment horizontal="left" vertical="center"/>
      <protection locked="0" hidden="1"/>
    </xf>
    <xf numFmtId="0" fontId="6" fillId="7" borderId="37" xfId="21" applyFont="1" applyFill="1" applyBorder="1" applyAlignment="1" applyProtection="1">
      <alignment horizontal="left" vertical="center"/>
      <protection locked="0" hidden="1"/>
    </xf>
    <xf numFmtId="0" fontId="14" fillId="3" borderId="45" xfId="0" applyFont="1" applyFill="1" applyBorder="1" applyAlignment="1" applyProtection="1">
      <alignment horizontal="center" vertical="center"/>
      <protection hidden="1"/>
    </xf>
    <xf numFmtId="0" fontId="14" fillId="3" borderId="46" xfId="0" applyFont="1" applyFill="1" applyBorder="1" applyAlignment="1" applyProtection="1">
      <alignment horizontal="center" vertical="center"/>
      <protection hidden="1"/>
    </xf>
    <xf numFmtId="0" fontId="14" fillId="3" borderId="47" xfId="0" applyFont="1" applyFill="1" applyBorder="1" applyAlignment="1" applyProtection="1">
      <alignment horizontal="center" vertical="center"/>
      <protection hidden="1"/>
    </xf>
    <xf numFmtId="0" fontId="14" fillId="3" borderId="27" xfId="4" applyFont="1" applyFill="1" applyBorder="1" applyAlignment="1" applyProtection="1">
      <alignment horizontal="center" vertical="center"/>
      <protection hidden="1"/>
    </xf>
    <xf numFmtId="0" fontId="14" fillId="3" borderId="28" xfId="4" applyFont="1" applyFill="1" applyBorder="1" applyAlignment="1" applyProtection="1">
      <alignment horizontal="center" vertical="center"/>
      <protection hidden="1"/>
    </xf>
    <xf numFmtId="0" fontId="14" fillId="3" borderId="29" xfId="4" applyFont="1" applyFill="1" applyBorder="1" applyAlignment="1" applyProtection="1">
      <alignment horizontal="center" vertical="center"/>
      <protection hidden="1"/>
    </xf>
    <xf numFmtId="173" fontId="6" fillId="7" borderId="32" xfId="21" applyNumberFormat="1" applyFont="1" applyFill="1" applyBorder="1" applyAlignment="1" applyProtection="1">
      <alignment horizontal="center" vertical="center"/>
      <protection locked="0" hidden="1"/>
    </xf>
    <xf numFmtId="0" fontId="34" fillId="0" borderId="30" xfId="21" applyFont="1" applyBorder="1" applyAlignment="1" applyProtection="1">
      <alignment horizontal="center" vertical="center"/>
      <protection locked="0" hidden="1"/>
    </xf>
    <xf numFmtId="0" fontId="34" fillId="0" borderId="31" xfId="21" applyFont="1" applyBorder="1" applyAlignment="1" applyProtection="1">
      <alignment horizontal="center" vertical="center"/>
      <protection locked="0" hidden="1"/>
    </xf>
    <xf numFmtId="0" fontId="34" fillId="0" borderId="32" xfId="21" applyFont="1" applyBorder="1" applyAlignment="1" applyProtection="1">
      <alignment horizontal="center" vertical="center"/>
      <protection locked="0" hidden="1"/>
    </xf>
    <xf numFmtId="0" fontId="39" fillId="0" borderId="0" xfId="22" applyFont="1" applyAlignment="1" applyProtection="1">
      <alignment horizontal="center" vertical="center" wrapText="1"/>
      <protection hidden="1"/>
    </xf>
    <xf numFmtId="0" fontId="29" fillId="0" borderId="0" xfId="21" applyFont="1" applyAlignment="1" applyProtection="1">
      <alignment horizontal="center" vertical="center" wrapText="1"/>
      <protection hidden="1"/>
    </xf>
    <xf numFmtId="0" fontId="29" fillId="0" borderId="39" xfId="21" applyFont="1" applyBorder="1" applyAlignment="1" applyProtection="1">
      <alignment horizontal="center" vertical="center" wrapText="1"/>
      <protection hidden="1"/>
    </xf>
    <xf numFmtId="0" fontId="34" fillId="0" borderId="35" xfId="21" applyFont="1" applyBorder="1" applyAlignment="1" applyProtection="1">
      <alignment horizontal="center" vertical="center"/>
      <protection locked="0" hidden="1"/>
    </xf>
    <xf numFmtId="0" fontId="34" fillId="0" borderId="36" xfId="21" applyFont="1" applyBorder="1" applyAlignment="1" applyProtection="1">
      <alignment horizontal="center" vertical="center"/>
      <protection locked="0" hidden="1"/>
    </xf>
    <xf numFmtId="0" fontId="34" fillId="0" borderId="37" xfId="21" applyFont="1" applyBorder="1" applyAlignment="1" applyProtection="1">
      <alignment horizontal="center" vertical="center"/>
      <protection locked="0" hidden="1"/>
    </xf>
    <xf numFmtId="0" fontId="42" fillId="0" borderId="0" xfId="21" applyFont="1" applyAlignment="1" applyProtection="1">
      <alignment horizontal="center" vertical="center"/>
      <protection hidden="1"/>
    </xf>
    <xf numFmtId="0" fontId="34" fillId="0" borderId="38" xfId="21" applyFont="1" applyBorder="1" applyAlignment="1" applyProtection="1">
      <alignment horizontal="center" vertical="center"/>
      <protection locked="0" hidden="1"/>
    </xf>
    <xf numFmtId="0" fontId="34" fillId="0" borderId="39" xfId="21" applyFont="1" applyBorder="1" applyAlignment="1" applyProtection="1">
      <alignment horizontal="center" vertical="center"/>
      <protection locked="0" hidden="1"/>
    </xf>
    <xf numFmtId="0" fontId="34" fillId="0" borderId="40" xfId="21" applyFont="1" applyBorder="1" applyAlignment="1" applyProtection="1">
      <alignment horizontal="center" vertical="center"/>
      <protection locked="0" hidden="1"/>
    </xf>
    <xf numFmtId="0" fontId="39" fillId="0" borderId="96" xfId="0" applyFont="1" applyBorder="1" applyAlignment="1">
      <alignment horizontal="center"/>
    </xf>
    <xf numFmtId="0" fontId="2" fillId="0" borderId="96" xfId="0" applyFont="1" applyBorder="1"/>
    <xf numFmtId="0" fontId="6" fillId="0" borderId="0" xfId="21" applyFont="1" applyBorder="1" applyAlignment="1" applyProtection="1">
      <alignment horizontal="center" vertical="center"/>
      <protection hidden="1"/>
    </xf>
    <xf numFmtId="0" fontId="6" fillId="0" borderId="29" xfId="21" applyFont="1" applyBorder="1" applyAlignment="1" applyProtection="1">
      <alignment horizontal="center" vertical="center"/>
      <protection hidden="1"/>
    </xf>
    <xf numFmtId="0" fontId="6" fillId="0" borderId="34" xfId="21" applyFont="1" applyBorder="1" applyAlignment="1" applyProtection="1">
      <alignment horizontal="center" vertical="center"/>
      <protection hidden="1"/>
    </xf>
  </cellXfs>
  <cellStyles count="24">
    <cellStyle name="Euro" xfId="1" xr:uid="{00000000-0005-0000-0000-000000000000}"/>
    <cellStyle name="Hipervínculo" xfId="13" builtinId="8" hidden="1"/>
    <cellStyle name="Hipervínculo" xfId="17" builtinId="8" hidden="1"/>
    <cellStyle name="Hipervínculo" xfId="19" builtinId="8" hidden="1"/>
    <cellStyle name="Hipervínculo" xfId="15" builtinId="8" hidden="1"/>
    <cellStyle name="Hipervínculo" xfId="9" builtinId="8" hidden="1"/>
    <cellStyle name="Hipervínculo" xfId="11" builtinId="8" hidden="1"/>
    <cellStyle name="Hipervínculo" xfId="7" builtinId="8" hidden="1"/>
    <cellStyle name="Hipervínculo" xfId="5" builtinId="8" hidden="1"/>
    <cellStyle name="Hipervínculo" xfId="23" builtinId="8"/>
    <cellStyle name="Hipervínculo visitado" xfId="18" builtinId="9" hidden="1"/>
    <cellStyle name="Hipervínculo visitado" xfId="20" builtinId="9" hidden="1"/>
    <cellStyle name="Hipervínculo visitado" xfId="16" builtinId="9" hidden="1"/>
    <cellStyle name="Hipervínculo visitado" xfId="10" builtinId="9" hidden="1"/>
    <cellStyle name="Hipervínculo visitado" xfId="12" builtinId="9" hidden="1"/>
    <cellStyle name="Hipervínculo visitado" xfId="14" builtinId="9" hidden="1"/>
    <cellStyle name="Hipervínculo visitado" xfId="8" builtinId="9" hidden="1"/>
    <cellStyle name="Hipervínculo visitado" xfId="6" builtinId="9" hidden="1"/>
    <cellStyle name="Normal" xfId="0" builtinId="0"/>
    <cellStyle name="Normal 2" xfId="3" xr:uid="{00000000-0005-0000-0000-000013000000}"/>
    <cellStyle name="Normal 2 2" xfId="22" xr:uid="{00000000-0005-0000-0000-000014000000}"/>
    <cellStyle name="Normal 5" xfId="21" xr:uid="{00000000-0005-0000-0000-000015000000}"/>
    <cellStyle name="Normal 9 2 2" xfId="4" xr:uid="{00000000-0005-0000-0000-000016000000}"/>
    <cellStyle name="Normal_1 (2)" xfId="2" xr:uid="{00000000-0005-0000-0000-000017000000}"/>
  </cellStyles>
  <dxfs count="74">
    <dxf>
      <font>
        <color rgb="FF9C0006"/>
      </font>
      <fill>
        <patternFill>
          <bgColor rgb="FFFFC7CE"/>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b/>
        <i val="0"/>
        <color rgb="FFFF0000"/>
      </font>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0.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s-MX"/>
              <a:t>CURVA</a:t>
            </a:r>
            <a:r>
              <a:rPr lang="es-MX" baseline="0"/>
              <a:t> DE COMPRESIBILIDAD </a:t>
            </a:r>
            <a:endParaRPr lang="es-MX"/>
          </a:p>
        </c:rich>
      </c:tx>
      <c:layout>
        <c:manualLayout>
          <c:xMode val="edge"/>
          <c:yMode val="edge"/>
          <c:x val="0.36587479945008428"/>
          <c:y val="3.202690461732136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s-MX"/>
        </a:p>
      </c:txPr>
    </c:title>
    <c:autoTitleDeleted val="0"/>
    <c:plotArea>
      <c:layout>
        <c:manualLayout>
          <c:layoutTarget val="inner"/>
          <c:xMode val="edge"/>
          <c:yMode val="edge"/>
          <c:x val="0.13224760274330719"/>
          <c:y val="9.0770141486613332E-2"/>
          <c:w val="0.80519258737170019"/>
          <c:h val="0.79100780346879118"/>
        </c:manualLayout>
      </c:layout>
      <c:scatterChart>
        <c:scatterStyle val="lineMarker"/>
        <c:varyColors val="0"/>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Resultados!$C$44:$C$48</c:f>
              <c:numCache>
                <c:formatCode>0</c:formatCode>
                <c:ptCount val="5"/>
                <c:pt idx="0">
                  <c:v>0</c:v>
                </c:pt>
                <c:pt idx="1">
                  <c:v>0</c:v>
                </c:pt>
                <c:pt idx="2">
                  <c:v>0</c:v>
                </c:pt>
                <c:pt idx="3">
                  <c:v>0</c:v>
                </c:pt>
                <c:pt idx="4">
                  <c:v>0</c:v>
                </c:pt>
              </c:numCache>
            </c:numRef>
          </c:xVal>
          <c:yVal>
            <c:numRef>
              <c:f>Resultados!$H$44:$H$48</c:f>
              <c:numCache>
                <c:formatCode>0.000_)</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1-1849-49FD-ADC6-EC28FF0A6405}"/>
            </c:ext>
          </c:extLst>
        </c:ser>
        <c:dLbls>
          <c:showLegendKey val="0"/>
          <c:showVal val="0"/>
          <c:showCatName val="0"/>
          <c:showSerName val="0"/>
          <c:showPercent val="0"/>
          <c:showBubbleSize val="0"/>
        </c:dLbls>
        <c:axId val="297339136"/>
        <c:axId val="297339528"/>
      </c:scatterChart>
      <c:scatterChart>
        <c:scatterStyle val="smoothMarker"/>
        <c:varyColors val="0"/>
        <c:ser>
          <c:idx val="0"/>
          <c:order val="0"/>
          <c:spPr>
            <a:ln w="19050" cap="rnd">
              <a:solidFill>
                <a:schemeClr val="tx1">
                  <a:lumMod val="50000"/>
                  <a:lumOff val="50000"/>
                </a:schemeClr>
              </a:solidFill>
              <a:round/>
            </a:ln>
            <a:effectLst/>
          </c:spPr>
          <c:marker>
            <c:symbol val="circle"/>
            <c:size val="5"/>
            <c:spPr>
              <a:solidFill>
                <a:schemeClr val="accent1"/>
              </a:solidFill>
              <a:ln w="9525">
                <a:solidFill>
                  <a:schemeClr val="tx1">
                    <a:lumMod val="50000"/>
                    <a:lumOff val="50000"/>
                  </a:schemeClr>
                </a:solidFill>
              </a:ln>
              <a:effectLst/>
            </c:spPr>
          </c:marker>
          <c:dPt>
            <c:idx val="0"/>
            <c:marker>
              <c:symbol val="circle"/>
              <c:size val="5"/>
              <c:spPr>
                <a:solidFill>
                  <a:schemeClr val="accent1"/>
                </a:solidFill>
                <a:ln w="9525">
                  <a:solidFill>
                    <a:schemeClr val="tx1">
                      <a:lumMod val="50000"/>
                      <a:lumOff val="50000"/>
                    </a:schemeClr>
                  </a:solidFill>
                </a:ln>
                <a:effectLst/>
              </c:spPr>
            </c:marker>
            <c:bubble3D val="0"/>
            <c:spPr>
              <a:ln w="19050" cap="rnd">
                <a:noFill/>
                <a:round/>
              </a:ln>
              <a:effectLst/>
            </c:spPr>
            <c:extLst>
              <c:ext xmlns:c16="http://schemas.microsoft.com/office/drawing/2014/chart" uri="{C3380CC4-5D6E-409C-BE32-E72D297353CC}">
                <c16:uniqueId val="{00000000-F655-472B-AA10-0577B2B3C06B}"/>
              </c:ext>
            </c:extLst>
          </c:dPt>
          <c:xVal>
            <c:numRef>
              <c:f>Resultados!$C$37:$C$44</c:f>
              <c:numCache>
                <c:formatCode>0</c:formatCode>
                <c:ptCount val="8"/>
                <c:pt idx="0" formatCode="0.00">
                  <c:v>0</c:v>
                </c:pt>
                <c:pt idx="1">
                  <c:v>0</c:v>
                </c:pt>
                <c:pt idx="2">
                  <c:v>0</c:v>
                </c:pt>
                <c:pt idx="3">
                  <c:v>0</c:v>
                </c:pt>
                <c:pt idx="4">
                  <c:v>0</c:v>
                </c:pt>
                <c:pt idx="5">
                  <c:v>0</c:v>
                </c:pt>
                <c:pt idx="6">
                  <c:v>0</c:v>
                </c:pt>
                <c:pt idx="7">
                  <c:v>0</c:v>
                </c:pt>
              </c:numCache>
            </c:numRef>
          </c:xVal>
          <c:yVal>
            <c:numRef>
              <c:f>Resultados!$H$37:$H$44</c:f>
              <c:numCache>
                <c:formatCode>0.000_)</c:formatCode>
                <c:ptCount val="8"/>
                <c:pt idx="0">
                  <c:v>0</c:v>
                </c:pt>
                <c:pt idx="1">
                  <c:v>0</c:v>
                </c:pt>
                <c:pt idx="2">
                  <c:v>0</c:v>
                </c:pt>
                <c:pt idx="3">
                  <c:v>0</c:v>
                </c:pt>
                <c:pt idx="4">
                  <c:v>0</c:v>
                </c:pt>
                <c:pt idx="5">
                  <c:v>0</c:v>
                </c:pt>
                <c:pt idx="6">
                  <c:v>0</c:v>
                </c:pt>
                <c:pt idx="7">
                  <c:v>0</c:v>
                </c:pt>
              </c:numCache>
            </c:numRef>
          </c:yVal>
          <c:smooth val="1"/>
          <c:extLst>
            <c:ext xmlns:c16="http://schemas.microsoft.com/office/drawing/2014/chart" uri="{C3380CC4-5D6E-409C-BE32-E72D297353CC}">
              <c16:uniqueId val="{00000000-1849-49FD-ADC6-EC28FF0A6405}"/>
            </c:ext>
          </c:extLst>
        </c:ser>
        <c:dLbls>
          <c:showLegendKey val="0"/>
          <c:showVal val="0"/>
          <c:showCatName val="0"/>
          <c:showSerName val="0"/>
          <c:showPercent val="0"/>
          <c:showBubbleSize val="0"/>
        </c:dLbls>
        <c:axId val="297339136"/>
        <c:axId val="297339528"/>
      </c:scatterChart>
      <c:valAx>
        <c:axId val="297339136"/>
        <c:scaling>
          <c:logBase val="10"/>
          <c:orientation val="minMax"/>
          <c:max val="10000"/>
          <c:min val="1"/>
        </c:scaling>
        <c:delete val="0"/>
        <c:axPos val="t"/>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s-CO"/>
                  <a:t>ESFUERZO </a:t>
                </a:r>
                <a:r>
                  <a:rPr lang="el-GR">
                    <a:latin typeface="Calibri" panose="020F0502020204030204" pitchFamily="34" charset="0"/>
                    <a:ea typeface="Calibri" panose="020F0502020204030204" pitchFamily="34" charset="0"/>
                    <a:cs typeface="Calibri" panose="020F0502020204030204" pitchFamily="34" charset="0"/>
                  </a:rPr>
                  <a:t>σ</a:t>
                </a:r>
                <a:r>
                  <a:rPr lang="es-MX">
                    <a:latin typeface="Calibri" panose="020F0502020204030204" pitchFamily="34" charset="0"/>
                    <a:ea typeface="Calibri" panose="020F0502020204030204" pitchFamily="34" charset="0"/>
                    <a:cs typeface="Calibri" panose="020F0502020204030204" pitchFamily="34" charset="0"/>
                  </a:rPr>
                  <a:t> </a:t>
                </a:r>
                <a:r>
                  <a:rPr lang="es-CO"/>
                  <a:t>(kPa)</a:t>
                </a:r>
              </a:p>
            </c:rich>
          </c:tx>
          <c:layout>
            <c:manualLayout>
              <c:xMode val="edge"/>
              <c:yMode val="edge"/>
              <c:x val="0.39473069414929879"/>
              <c:y val="0.928598447242518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s-MX"/>
            </a:p>
          </c:txPr>
        </c:title>
        <c:numFmt formatCode="0.00" sourceLinked="0"/>
        <c:majorTickMark val="in"/>
        <c:minorTickMark val="in"/>
        <c:tickLblPos val="low"/>
        <c:spPr>
          <a:noFill/>
          <a:ln w="9525" cap="flat" cmpd="sng" algn="ctr">
            <a:solidFill>
              <a:schemeClr val="tx1">
                <a:lumMod val="25000"/>
                <a:lumOff val="75000"/>
              </a:schemeClr>
            </a:solidFill>
            <a:round/>
          </a:ln>
          <a:effectLst/>
        </c:spPr>
        <c:txPr>
          <a:bodyPr rot="0" spcFirstLastPara="1" vertOverflow="ellipsis" wrap="square" anchor="ctr" anchorCtr="1"/>
          <a:lstStyle/>
          <a:p>
            <a:pPr>
              <a:defRPr sz="900" b="0" i="0" u="none" strike="noStrike" kern="1200" baseline="0">
                <a:solidFill>
                  <a:schemeClr val="dk1"/>
                </a:solidFill>
                <a:latin typeface="+mn-lt"/>
                <a:ea typeface="+mn-ea"/>
                <a:cs typeface="+mn-cs"/>
              </a:defRPr>
            </a:pPr>
            <a:endParaRPr lang="es-MX"/>
          </a:p>
        </c:txPr>
        <c:crossAx val="297339528"/>
        <c:crosses val="max"/>
        <c:crossBetween val="midCat"/>
        <c:majorUnit val="10"/>
        <c:minorUnit val="10"/>
      </c:valAx>
      <c:valAx>
        <c:axId val="297339528"/>
        <c:scaling>
          <c:orientation val="minMax"/>
          <c:max val="1.2"/>
          <c:min val="0.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s-CO"/>
                  <a:t>RELACIÓN DE VACÍOS e</a:t>
                </a:r>
              </a:p>
            </c:rich>
          </c:tx>
          <c:layout>
            <c:manualLayout>
              <c:xMode val="edge"/>
              <c:yMode val="edge"/>
              <c:x val="1.2726661142867583E-2"/>
              <c:y val="0.2757086503158439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s-MX"/>
            </a:p>
          </c:txPr>
        </c:title>
        <c:numFmt formatCode="0.00" sourceLinked="0"/>
        <c:majorTickMark val="none"/>
        <c:minorTickMark val="none"/>
        <c:tickLblPos val="low"/>
        <c:spPr>
          <a:noFill/>
          <a:ln w="9525" cap="flat" cmpd="sng" algn="ctr">
            <a:solidFill>
              <a:schemeClr val="tx1">
                <a:lumMod val="25000"/>
                <a:lumOff val="75000"/>
              </a:schemeClr>
            </a:solidFill>
            <a:round/>
          </a:ln>
          <a:effectLst/>
        </c:spPr>
        <c:txPr>
          <a:bodyPr rot="0" spcFirstLastPara="1" vertOverflow="ellipsis" wrap="square" anchor="ctr" anchorCtr="1"/>
          <a:lstStyle/>
          <a:p>
            <a:pPr>
              <a:defRPr sz="900" b="0" i="0" u="none" strike="noStrike" kern="1200" baseline="0">
                <a:solidFill>
                  <a:schemeClr val="dk1"/>
                </a:solidFill>
                <a:latin typeface="+mn-lt"/>
                <a:ea typeface="+mn-ea"/>
                <a:cs typeface="+mn-cs"/>
              </a:defRPr>
            </a:pPr>
            <a:endParaRPr lang="es-MX"/>
          </a:p>
        </c:txPr>
        <c:crossAx val="297339136"/>
        <c:crossesAt val="1.0000000000000004E-6"/>
        <c:crossBetween val="midCat"/>
      </c:valAx>
      <c:spPr>
        <a:noFill/>
        <a:ln>
          <a:solidFill>
            <a:schemeClr val="accent1"/>
          </a:solidFill>
        </a:ln>
        <a:effectLst/>
      </c:spPr>
    </c:plotArea>
    <c:plotVisOnly val="1"/>
    <c:dispBlanksAs val="gap"/>
    <c:showDLblsOverMax val="0"/>
  </c:chart>
  <c:spPr>
    <a:solidFill>
      <a:schemeClr val="lt1"/>
    </a:solidFill>
    <a:ln w="9525" cap="flat" cmpd="sng" algn="ctr">
      <a:solidFill>
        <a:schemeClr val="accent3"/>
      </a:solidFill>
      <a:prstDash val="solid"/>
      <a:round/>
    </a:ln>
    <a:effectLst/>
  </c:spPr>
  <c:txPr>
    <a:bodyPr/>
    <a:lstStyle/>
    <a:p>
      <a:pPr>
        <a:defRPr>
          <a:solidFill>
            <a:schemeClr val="dk1"/>
          </a:solidFill>
          <a:latin typeface="+mn-lt"/>
          <a:ea typeface="+mn-ea"/>
          <a:cs typeface="+mn-cs"/>
        </a:defRPr>
      </a:pPr>
      <a:endParaRPr lang="es-MX"/>
    </a:p>
  </c:txPr>
  <c:printSettings>
    <c:headerFooter alignWithMargins="0">
      <c:oddHeader>&amp;A</c:oddHeader>
      <c:oddFooter>Página &amp;P</c:oddFooter>
    </c:headerFooter>
    <c:pageMargins b="1" l="0.75" r="0.75" t="1" header="0.511811024" footer="0.511811024"/>
    <c:pageSetup orientation="landscape" horizontalDpi="360" verticalDpi="36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s-MX"/>
              <a:t>Relación</a:t>
            </a:r>
            <a:r>
              <a:rPr lang="es-MX" baseline="0"/>
              <a:t>  de vacíos Vs Cv</a:t>
            </a:r>
            <a:endParaRPr lang="es-MX"/>
          </a:p>
        </c:rich>
      </c:tx>
      <c:layout>
        <c:manualLayout>
          <c:xMode val="edge"/>
          <c:yMode val="edge"/>
          <c:x val="0.36847841195218045"/>
          <c:y val="6.4193060376353302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s-MX"/>
        </a:p>
      </c:txPr>
    </c:title>
    <c:autoTitleDeleted val="0"/>
    <c:plotArea>
      <c:layout>
        <c:manualLayout>
          <c:layoutTarget val="inner"/>
          <c:xMode val="edge"/>
          <c:yMode val="edge"/>
          <c:x val="0.1314815319666002"/>
          <c:y val="5.9406212112464642E-2"/>
          <c:w val="0.80746452050099704"/>
          <c:h val="0.78700412604752135"/>
        </c:manualLayout>
      </c:layout>
      <c:scatterChart>
        <c:scatterStyle val="smoothMarker"/>
        <c:varyColors val="0"/>
        <c:ser>
          <c:idx val="0"/>
          <c:order val="0"/>
          <c:spPr>
            <a:ln w="19050" cap="rnd">
              <a:solidFill>
                <a:schemeClr val="tx1">
                  <a:lumMod val="50000"/>
                  <a:lumOff val="50000"/>
                </a:schemeClr>
              </a:solidFill>
              <a:round/>
            </a:ln>
            <a:effectLst/>
          </c:spPr>
          <c:marker>
            <c:symbol val="circle"/>
            <c:size val="5"/>
            <c:spPr>
              <a:solidFill>
                <a:schemeClr val="accent1"/>
              </a:solidFill>
              <a:ln w="9525">
                <a:solidFill>
                  <a:schemeClr val="tx1">
                    <a:lumMod val="50000"/>
                    <a:lumOff val="50000"/>
                  </a:schemeClr>
                </a:solidFill>
              </a:ln>
              <a:effectLst/>
            </c:spPr>
          </c:marker>
          <c:dPt>
            <c:idx val="0"/>
            <c:marker>
              <c:symbol val="circle"/>
              <c:size val="5"/>
              <c:spPr>
                <a:solidFill>
                  <a:schemeClr val="accent1"/>
                </a:solidFill>
                <a:ln w="9525">
                  <a:solidFill>
                    <a:schemeClr val="tx1">
                      <a:lumMod val="50000"/>
                      <a:lumOff val="50000"/>
                    </a:schemeClr>
                  </a:solidFill>
                </a:ln>
                <a:effectLst/>
              </c:spPr>
            </c:marker>
            <c:bubble3D val="0"/>
            <c:spPr>
              <a:ln w="19050" cap="rnd">
                <a:noFill/>
                <a:round/>
              </a:ln>
              <a:effectLst/>
            </c:spPr>
            <c:extLst>
              <c:ext xmlns:c16="http://schemas.microsoft.com/office/drawing/2014/chart" uri="{C3380CC4-5D6E-409C-BE32-E72D297353CC}">
                <c16:uniqueId val="{00000002-4769-42D1-BA8A-7BF2C6A13800}"/>
              </c:ext>
            </c:extLst>
          </c:dPt>
          <c:xVal>
            <c:numRef>
              <c:f>Resultados!$I$38:$I$44</c:f>
              <c:numCache>
                <c:formatCode>0.000000</c:formatCode>
                <c:ptCount val="7"/>
                <c:pt idx="0">
                  <c:v>0</c:v>
                </c:pt>
                <c:pt idx="1">
                  <c:v>0</c:v>
                </c:pt>
                <c:pt idx="2">
                  <c:v>0</c:v>
                </c:pt>
                <c:pt idx="3">
                  <c:v>0</c:v>
                </c:pt>
                <c:pt idx="4">
                  <c:v>0</c:v>
                </c:pt>
                <c:pt idx="5">
                  <c:v>0</c:v>
                </c:pt>
                <c:pt idx="6">
                  <c:v>0</c:v>
                </c:pt>
              </c:numCache>
            </c:numRef>
          </c:xVal>
          <c:yVal>
            <c:numRef>
              <c:f>Resultados!$H$38:$H$44</c:f>
              <c:numCache>
                <c:formatCode>0.000_)</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4769-42D1-BA8A-7BF2C6A13800}"/>
            </c:ext>
          </c:extLst>
        </c:ser>
        <c:dLbls>
          <c:showLegendKey val="0"/>
          <c:showVal val="0"/>
          <c:showCatName val="0"/>
          <c:showSerName val="0"/>
          <c:showPercent val="0"/>
          <c:showBubbleSize val="0"/>
        </c:dLbls>
        <c:axId val="297339136"/>
        <c:axId val="297339528"/>
      </c:scatterChart>
      <c:valAx>
        <c:axId val="297339136"/>
        <c:scaling>
          <c:orientation val="minMax"/>
          <c:min val="1.0000000000000005E-7"/>
        </c:scaling>
        <c:delete val="0"/>
        <c:axPos val="t"/>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s-CO"/>
                  <a:t>COEFICIENTE DE CONSOLIDACIÓN Cv (cm2/s)</a:t>
                </a:r>
              </a:p>
            </c:rich>
          </c:tx>
          <c:layout>
            <c:manualLayout>
              <c:xMode val="edge"/>
              <c:yMode val="edge"/>
              <c:x val="0.26314260618880692"/>
              <c:y val="0.9217879438859203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s-MX"/>
            </a:p>
          </c:txPr>
        </c:title>
        <c:numFmt formatCode="0.00E+00" sourceLinked="0"/>
        <c:majorTickMark val="in"/>
        <c:minorTickMark val="in"/>
        <c:tickLblPos val="low"/>
        <c:spPr>
          <a:noFill/>
          <a:ln w="9525" cap="flat" cmpd="sng" algn="ctr">
            <a:solidFill>
              <a:schemeClr val="tx1">
                <a:lumMod val="25000"/>
                <a:lumOff val="75000"/>
              </a:schemeClr>
            </a:solidFill>
            <a:round/>
          </a:ln>
          <a:effectLst/>
        </c:spPr>
        <c:txPr>
          <a:bodyPr rot="0" spcFirstLastPara="1" vertOverflow="ellipsis" wrap="square" anchor="ctr" anchorCtr="1"/>
          <a:lstStyle/>
          <a:p>
            <a:pPr>
              <a:defRPr sz="900" b="0" i="0" u="none" strike="noStrike" kern="1200" baseline="0">
                <a:solidFill>
                  <a:schemeClr val="dk1"/>
                </a:solidFill>
                <a:latin typeface="+mn-lt"/>
                <a:ea typeface="+mn-ea"/>
                <a:cs typeface="+mn-cs"/>
              </a:defRPr>
            </a:pPr>
            <a:endParaRPr lang="es-MX"/>
          </a:p>
        </c:txPr>
        <c:crossAx val="297339528"/>
        <c:crosses val="max"/>
        <c:crossBetween val="midCat"/>
      </c:valAx>
      <c:valAx>
        <c:axId val="297339528"/>
        <c:scaling>
          <c:orientation val="minMax"/>
          <c:max val="1.04"/>
          <c:min val="4.0000000000000008E-2"/>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s-CO"/>
                  <a:t>RELACIÓN DE VACÍOS e</a:t>
                </a:r>
              </a:p>
            </c:rich>
          </c:tx>
          <c:layout>
            <c:manualLayout>
              <c:xMode val="edge"/>
              <c:yMode val="edge"/>
              <c:x val="1.2726661142867583E-2"/>
              <c:y val="0.2757086503158439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s-MX"/>
            </a:p>
          </c:txPr>
        </c:title>
        <c:numFmt formatCode="0.00" sourceLinked="0"/>
        <c:majorTickMark val="none"/>
        <c:minorTickMark val="none"/>
        <c:tickLblPos val="low"/>
        <c:spPr>
          <a:noFill/>
          <a:ln w="9525" cap="flat" cmpd="sng" algn="ctr">
            <a:solidFill>
              <a:schemeClr val="tx1">
                <a:lumMod val="25000"/>
                <a:lumOff val="75000"/>
              </a:schemeClr>
            </a:solidFill>
            <a:round/>
          </a:ln>
          <a:effectLst/>
        </c:spPr>
        <c:txPr>
          <a:bodyPr rot="0" spcFirstLastPara="1" vertOverflow="ellipsis" wrap="square" anchor="ctr" anchorCtr="1"/>
          <a:lstStyle/>
          <a:p>
            <a:pPr>
              <a:defRPr sz="900" b="0" i="0" u="none" strike="noStrike" kern="1200" baseline="0">
                <a:solidFill>
                  <a:schemeClr val="dk1"/>
                </a:solidFill>
                <a:latin typeface="+mn-lt"/>
                <a:ea typeface="+mn-ea"/>
                <a:cs typeface="+mn-cs"/>
              </a:defRPr>
            </a:pPr>
            <a:endParaRPr lang="es-MX"/>
          </a:p>
        </c:txPr>
        <c:crossAx val="297339136"/>
        <c:crossesAt val="9.0000000000000033E-5"/>
        <c:crossBetween val="midCat"/>
      </c:valAx>
      <c:spPr>
        <a:noFill/>
        <a:ln>
          <a:solidFill>
            <a:schemeClr val="accent1"/>
          </a:solidFill>
        </a:ln>
        <a:effectLst/>
      </c:spPr>
    </c:plotArea>
    <c:plotVisOnly val="1"/>
    <c:dispBlanksAs val="gap"/>
    <c:showDLblsOverMax val="0"/>
  </c:chart>
  <c:spPr>
    <a:solidFill>
      <a:schemeClr val="lt1"/>
    </a:solidFill>
    <a:ln w="9525" cap="flat" cmpd="sng" algn="ctr">
      <a:solidFill>
        <a:schemeClr val="accent3"/>
      </a:solidFill>
      <a:prstDash val="solid"/>
      <a:round/>
    </a:ln>
    <a:effectLst/>
  </c:spPr>
  <c:txPr>
    <a:bodyPr/>
    <a:lstStyle/>
    <a:p>
      <a:pPr>
        <a:defRPr>
          <a:solidFill>
            <a:schemeClr val="dk1"/>
          </a:solidFill>
          <a:latin typeface="+mn-lt"/>
          <a:ea typeface="+mn-ea"/>
          <a:cs typeface="+mn-cs"/>
        </a:defRPr>
      </a:pPr>
      <a:endParaRPr lang="es-MX"/>
    </a:p>
  </c:txPr>
  <c:printSettings>
    <c:headerFooter alignWithMargins="0">
      <c:oddHeader>&amp;A</c:oddHeader>
      <c:oddFooter>Página &amp;P</c:oddFooter>
    </c:headerFooter>
    <c:pageMargins b="1" l="0.75" r="0.75" t="1" header="0.511811024" footer="0.511811024"/>
    <c:pageSetup orientation="landscape" horizontalDpi="360" verticalDpi="360"/>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MX" sz="1100"/>
              <a:t>CURVA DE CONSOLIDACIÓN</a:t>
            </a:r>
          </a:p>
        </c:rich>
      </c:tx>
      <c:layout>
        <c:manualLayout>
          <c:xMode val="edge"/>
          <c:yMode val="edge"/>
          <c:x val="0.34338277777983617"/>
          <c:y val="2.5717112571699108E-3"/>
        </c:manualLayout>
      </c:layout>
      <c:overlay val="0"/>
    </c:title>
    <c:autoTitleDeleted val="0"/>
    <c:plotArea>
      <c:layout>
        <c:manualLayout>
          <c:layoutTarget val="inner"/>
          <c:xMode val="edge"/>
          <c:yMode val="edge"/>
          <c:x val="0.13715390649195655"/>
          <c:y val="6.4197020830659673E-2"/>
          <c:w val="0.81471856244879581"/>
          <c:h val="0.84637062692650533"/>
        </c:manualLayout>
      </c:layout>
      <c:scatterChart>
        <c:scatterStyle val="smoothMarker"/>
        <c:varyColors val="0"/>
        <c:ser>
          <c:idx val="0"/>
          <c:order val="0"/>
          <c:spPr>
            <a:ln w="22225">
              <a:solidFill>
                <a:schemeClr val="accent5">
                  <a:lumMod val="75000"/>
                </a:schemeClr>
              </a:solidFill>
            </a:ln>
          </c:spPr>
          <c:marker>
            <c:symbol val="none"/>
          </c:marker>
          <c:xVal>
            <c:numRef>
              <c:f>'0.5 kg'!$C$20:$C$49</c:f>
              <c:numCache>
                <c:formatCode>0.00</c:formatCode>
                <c:ptCount val="30"/>
                <c:pt idx="0">
                  <c:v>0.32</c:v>
                </c:pt>
                <c:pt idx="1">
                  <c:v>0.55000000000000004</c:v>
                </c:pt>
                <c:pt idx="2">
                  <c:v>0.71</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'0.5 kg'!$G$20:$G$49</c:f>
              <c:numCache>
                <c:formatCode>0.000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yVal>
          <c:smooth val="0"/>
          <c:extLst>
            <c:ext xmlns:c16="http://schemas.microsoft.com/office/drawing/2014/chart" uri="{C3380CC4-5D6E-409C-BE32-E72D297353CC}">
              <c16:uniqueId val="{00000000-57C8-4863-AA93-900E2F0C0C08}"/>
            </c:ext>
          </c:extLst>
        </c:ser>
        <c:ser>
          <c:idx val="2"/>
          <c:order val="2"/>
          <c:tx>
            <c:v>LINEA A</c:v>
          </c:tx>
          <c:spPr>
            <a:ln w="6350"/>
          </c:spPr>
          <c:dPt>
            <c:idx val="1"/>
            <c:bubble3D val="0"/>
            <c:spPr>
              <a:ln w="6350">
                <a:solidFill>
                  <a:schemeClr val="tx1"/>
                </a:solidFill>
              </a:ln>
            </c:spPr>
            <c:extLst>
              <c:ext xmlns:c16="http://schemas.microsoft.com/office/drawing/2014/chart" uri="{C3380CC4-5D6E-409C-BE32-E72D297353CC}">
                <c16:uniqueId val="{00000001-AC9F-481D-A2D0-5E9DC0238FBE}"/>
              </c:ext>
            </c:extLst>
          </c:dPt>
          <c:xVal>
            <c:numRef>
              <c:f>'0.5 kg'!$R$37:$R$38</c:f>
              <c:numCache>
                <c:formatCode>General</c:formatCode>
                <c:ptCount val="2"/>
                <c:pt idx="0">
                  <c:v>0</c:v>
                </c:pt>
                <c:pt idx="1">
                  <c:v>0</c:v>
                </c:pt>
              </c:numCache>
            </c:numRef>
          </c:xVal>
          <c:yVal>
            <c:numRef>
              <c:f>'0.5 kg'!$Q$37:$Q$38</c:f>
              <c:numCache>
                <c:formatCode>General</c:formatCode>
                <c:ptCount val="2"/>
                <c:pt idx="0" formatCode="0.00">
                  <c:v>20</c:v>
                </c:pt>
                <c:pt idx="1">
                  <c:v>0</c:v>
                </c:pt>
              </c:numCache>
            </c:numRef>
          </c:yVal>
          <c:smooth val="1"/>
          <c:extLst>
            <c:ext xmlns:c16="http://schemas.microsoft.com/office/drawing/2014/chart" uri="{C3380CC4-5D6E-409C-BE32-E72D297353CC}">
              <c16:uniqueId val="{00000003-57C8-4863-AA93-900E2F0C0C08}"/>
            </c:ext>
          </c:extLst>
        </c:ser>
        <c:ser>
          <c:idx val="3"/>
          <c:order val="3"/>
          <c:tx>
            <c:v>PEND 1.15</c:v>
          </c:tx>
          <c:spPr>
            <a:ln>
              <a:solidFill>
                <a:schemeClr val="tx1"/>
              </a:solidFill>
            </a:ln>
          </c:spPr>
          <c:dPt>
            <c:idx val="1"/>
            <c:bubble3D val="0"/>
            <c:spPr>
              <a:ln w="6350">
                <a:solidFill>
                  <a:srgbClr val="FF0000"/>
                </a:solidFill>
              </a:ln>
            </c:spPr>
            <c:extLst>
              <c:ext xmlns:c16="http://schemas.microsoft.com/office/drawing/2014/chart" uri="{C3380CC4-5D6E-409C-BE32-E72D297353CC}">
                <c16:uniqueId val="{00000002-AC9F-481D-A2D0-5E9DC0238FBE}"/>
              </c:ext>
            </c:extLst>
          </c:dPt>
          <c:xVal>
            <c:numRef>
              <c:f>'0.5 kg'!$R$42:$R$43</c:f>
              <c:numCache>
                <c:formatCode>General</c:formatCode>
                <c:ptCount val="2"/>
                <c:pt idx="0">
                  <c:v>0</c:v>
                </c:pt>
                <c:pt idx="1">
                  <c:v>0</c:v>
                </c:pt>
              </c:numCache>
            </c:numRef>
          </c:xVal>
          <c:yVal>
            <c:numRef>
              <c:f>'0.5 kg'!$Q$42:$Q$43</c:f>
              <c:numCache>
                <c:formatCode>General</c:formatCode>
                <c:ptCount val="2"/>
                <c:pt idx="0" formatCode="0.00">
                  <c:v>20</c:v>
                </c:pt>
                <c:pt idx="1">
                  <c:v>0</c:v>
                </c:pt>
              </c:numCache>
            </c:numRef>
          </c:yVal>
          <c:smooth val="1"/>
          <c:extLst>
            <c:ext xmlns:c16="http://schemas.microsoft.com/office/drawing/2014/chart" uri="{C3380CC4-5D6E-409C-BE32-E72D297353CC}">
              <c16:uniqueId val="{00000004-57C8-4863-AA93-900E2F0C0C08}"/>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1"/>
                <c:order val="1"/>
                <c:tx>
                  <c:v>comportamiento lineal</c:v>
                </c:tx>
                <c:trendline>
                  <c:trendlineType val="linear"/>
                  <c:dispRSqr val="0"/>
                  <c:dispEq val="0"/>
                </c:trendline>
                <c:xVal>
                  <c:numRef>
                    <c:extLst>
                      <c:ext uri="{02D57815-91ED-43cb-92C2-25804820EDAC}">
                        <c15:formulaRef>
                          <c15:sqref>'0.5 kg'!$C$23:$C$24</c15:sqref>
                        </c15:formulaRef>
                      </c:ext>
                    </c:extLst>
                    <c:numCache>
                      <c:formatCode>0.00</c:formatCode>
                      <c:ptCount val="2"/>
                      <c:pt idx="0">
                        <c:v>1</c:v>
                      </c:pt>
                      <c:pt idx="1">
                        <c:v>1.4142135623730951</c:v>
                      </c:pt>
                    </c:numCache>
                  </c:numRef>
                </c:xVal>
                <c:yVal>
                  <c:numRef>
                    <c:extLst>
                      <c:ext uri="{02D57815-91ED-43cb-92C2-25804820EDAC}">
                        <c15:formulaRef>
                          <c15:sqref>'0.5 kg'!$G$23:$G$24</c15:sqref>
                        </c15:formulaRef>
                      </c:ext>
                    </c:extLst>
                    <c:numCache>
                      <c:formatCode>0.000</c:formatCode>
                      <c:ptCount val="2"/>
                      <c:pt idx="0">
                        <c:v>0</c:v>
                      </c:pt>
                      <c:pt idx="1">
                        <c:v>0</c:v>
                      </c:pt>
                    </c:numCache>
                  </c:numRef>
                </c:yVal>
                <c:smooth val="1"/>
                <c:extLst>
                  <c:ext xmlns:c16="http://schemas.microsoft.com/office/drawing/2014/chart" uri="{C3380CC4-5D6E-409C-BE32-E72D297353CC}">
                    <c16:uniqueId val="{00000002-57C8-4863-AA93-900E2F0C0C08}"/>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s-MX"/>
                  <a:t>TIEMPO</a:t>
                </a:r>
                <a:r>
                  <a:rPr lang="es-MX" baseline="0"/>
                  <a:t> (min) (ESCALA RAÍZ CUADRADA)</a:t>
                </a:r>
                <a:endParaRPr lang="es-MX"/>
              </a:p>
            </c:rich>
          </c:tx>
          <c:layout>
            <c:manualLayout>
              <c:xMode val="edge"/>
              <c:yMode val="edge"/>
              <c:x val="0.39772226734959992"/>
              <c:y val="0.95348179329678395"/>
            </c:manualLayout>
          </c:layout>
          <c:overlay val="0"/>
        </c:title>
        <c:numFmt formatCode="0.00" sourceLinked="1"/>
        <c:majorTickMark val="out"/>
        <c:minorTickMark val="none"/>
        <c:tickLblPos val="high"/>
        <c:crossAx val="370634976"/>
        <c:crosses val="autoZero"/>
        <c:crossBetween val="midCat"/>
      </c:valAx>
      <c:valAx>
        <c:axId val="370634976"/>
        <c:scaling>
          <c:orientation val="maxMin"/>
          <c:max val="5"/>
        </c:scaling>
        <c:delete val="0"/>
        <c:axPos val="l"/>
        <c:majorGridlines/>
        <c:minorGridlines/>
        <c:title>
          <c:tx>
            <c:rich>
              <a:bodyPr/>
              <a:lstStyle/>
              <a:p>
                <a:pPr>
                  <a:defRPr/>
                </a:pPr>
                <a:r>
                  <a:rPr lang="es-MX"/>
                  <a:t>DEFORMACIÓN AXIAL UNITARIA (%)</a:t>
                </a:r>
              </a:p>
            </c:rich>
          </c:tx>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spPr>
    <a:solidFill>
      <a:schemeClr val="lt1"/>
    </a:solidFill>
    <a:ln w="9525" cap="flat" cmpd="sng" algn="ctr">
      <a:solidFill>
        <a:schemeClr val="accent3"/>
      </a:solidFill>
      <a:prstDash val="solid"/>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MX" sz="1100"/>
              <a:t>CURVA DE CONSOLIDACIÓN</a:t>
            </a:r>
          </a:p>
        </c:rich>
      </c:tx>
      <c:layout>
        <c:manualLayout>
          <c:xMode val="edge"/>
          <c:yMode val="edge"/>
          <c:x val="0.34338277777983617"/>
          <c:y val="2.5717112571699108E-3"/>
        </c:manualLayout>
      </c:layout>
      <c:overlay val="0"/>
    </c:title>
    <c:autoTitleDeleted val="0"/>
    <c:plotArea>
      <c:layout>
        <c:manualLayout>
          <c:layoutTarget val="inner"/>
          <c:xMode val="edge"/>
          <c:yMode val="edge"/>
          <c:x val="0.13715390649195655"/>
          <c:y val="6.4197020830659673E-2"/>
          <c:w val="0.81471856244879581"/>
          <c:h val="0.84637062692650533"/>
        </c:manualLayout>
      </c:layout>
      <c:scatterChart>
        <c:scatterStyle val="smoothMarker"/>
        <c:varyColors val="0"/>
        <c:ser>
          <c:idx val="4"/>
          <c:order val="0"/>
          <c:spPr>
            <a:ln w="22225"/>
          </c:spPr>
          <c:marker>
            <c:symbol val="none"/>
          </c:marker>
          <c:xVal>
            <c:numRef>
              <c:f>'1,0 kg '!$C$20:$C$49</c:f>
              <c:numCache>
                <c:formatCode>0.00</c:formatCode>
                <c:ptCount val="30"/>
                <c:pt idx="0">
                  <c:v>0.32</c:v>
                </c:pt>
                <c:pt idx="1">
                  <c:v>0.55000000000000004</c:v>
                </c:pt>
                <c:pt idx="2">
                  <c:v>0.71</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'1,0 kg '!$G$20:$G$49</c:f>
              <c:numCache>
                <c:formatCode>0.000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yVal>
          <c:smooth val="1"/>
          <c:extLst>
            <c:ext xmlns:c16="http://schemas.microsoft.com/office/drawing/2014/chart" uri="{C3380CC4-5D6E-409C-BE32-E72D297353CC}">
              <c16:uniqueId val="{0000000A-26EB-49C6-BCA1-4379CD0067A4}"/>
            </c:ext>
          </c:extLst>
        </c:ser>
        <c:ser>
          <c:idx val="6"/>
          <c:order val="2"/>
          <c:tx>
            <c:v>LINEA A</c:v>
          </c:tx>
          <c:spPr>
            <a:ln w="0" cap="flat" cmpd="sng" algn="ctr">
              <a:solidFill>
                <a:schemeClr val="tx1"/>
              </a:solidFill>
              <a:prstDash val="solid"/>
            </a:ln>
            <a:effectLst/>
          </c:spPr>
          <c:marker>
            <c:symbol val="none"/>
          </c:marker>
          <c:xVal>
            <c:numRef>
              <c:f>'1,0 kg '!$R$37:$R$38</c:f>
              <c:numCache>
                <c:formatCode>General</c:formatCode>
                <c:ptCount val="2"/>
                <c:pt idx="0">
                  <c:v>0</c:v>
                </c:pt>
                <c:pt idx="1">
                  <c:v>0</c:v>
                </c:pt>
              </c:numCache>
            </c:numRef>
          </c:xVal>
          <c:yVal>
            <c:numRef>
              <c:f>'1,0 kg '!$Q$37:$Q$38</c:f>
              <c:numCache>
                <c:formatCode>General</c:formatCode>
                <c:ptCount val="2"/>
                <c:pt idx="0" formatCode="0.00">
                  <c:v>10</c:v>
                </c:pt>
                <c:pt idx="1">
                  <c:v>0</c:v>
                </c:pt>
              </c:numCache>
            </c:numRef>
          </c:yVal>
          <c:smooth val="1"/>
          <c:extLst>
            <c:ext xmlns:c16="http://schemas.microsoft.com/office/drawing/2014/chart" uri="{C3380CC4-5D6E-409C-BE32-E72D297353CC}">
              <c16:uniqueId val="{0000000C-26EB-49C6-BCA1-4379CD0067A4}"/>
            </c:ext>
          </c:extLst>
        </c:ser>
        <c:ser>
          <c:idx val="7"/>
          <c:order val="3"/>
          <c:tx>
            <c:v>PEND 1.15</c:v>
          </c:tx>
          <c:spPr>
            <a:ln w="0">
              <a:solidFill>
                <a:srgbClr val="FF0000"/>
              </a:solidFill>
            </a:ln>
          </c:spPr>
          <c:marker>
            <c:symbol val="none"/>
          </c:marker>
          <c:xVal>
            <c:numRef>
              <c:f>'1,0 kg '!$R$42:$R$43</c:f>
              <c:numCache>
                <c:formatCode>General</c:formatCode>
                <c:ptCount val="2"/>
                <c:pt idx="0">
                  <c:v>0</c:v>
                </c:pt>
                <c:pt idx="1">
                  <c:v>0</c:v>
                </c:pt>
              </c:numCache>
            </c:numRef>
          </c:xVal>
          <c:yVal>
            <c:numRef>
              <c:f>'1,0 kg '!$Q$42:$Q$43</c:f>
              <c:numCache>
                <c:formatCode>General</c:formatCode>
                <c:ptCount val="2"/>
                <c:pt idx="0" formatCode="0.00">
                  <c:v>10</c:v>
                </c:pt>
                <c:pt idx="1">
                  <c:v>0</c:v>
                </c:pt>
              </c:numCache>
            </c:numRef>
          </c:yVal>
          <c:smooth val="1"/>
          <c:extLst>
            <c:ext xmlns:c16="http://schemas.microsoft.com/office/drawing/2014/chart" uri="{C3380CC4-5D6E-409C-BE32-E72D297353CC}">
              <c16:uniqueId val="{0000000D-26EB-49C6-BCA1-4379CD0067A4}"/>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5"/>
                <c:order val="1"/>
                <c:tx>
                  <c:v>comportamiento lineal</c:v>
                </c:tx>
                <c:marker>
                  <c:symbol val="none"/>
                </c:marker>
                <c:xVal>
                  <c:numRef>
                    <c:extLst>
                      <c:ext uri="{02D57815-91ED-43cb-92C2-25804820EDAC}">
                        <c15:formulaRef>
                          <c15:sqref>'1,0 kg '!$C$23:$C$24</c15:sqref>
                        </c15:formulaRef>
                      </c:ext>
                    </c:extLst>
                    <c:numCache>
                      <c:formatCode>0.00</c:formatCode>
                      <c:ptCount val="2"/>
                      <c:pt idx="0">
                        <c:v>1</c:v>
                      </c:pt>
                      <c:pt idx="1">
                        <c:v>1.4142135623730951</c:v>
                      </c:pt>
                    </c:numCache>
                  </c:numRef>
                </c:xVal>
                <c:yVal>
                  <c:numRef>
                    <c:extLst>
                      <c:ext uri="{02D57815-91ED-43cb-92C2-25804820EDAC}">
                        <c15:formulaRef>
                          <c15:sqref>'1,0 kg '!$G$23:$G$24</c15:sqref>
                        </c15:formulaRef>
                      </c:ext>
                    </c:extLst>
                    <c:numCache>
                      <c:formatCode>0.000</c:formatCode>
                      <c:ptCount val="2"/>
                      <c:pt idx="0">
                        <c:v>0</c:v>
                      </c:pt>
                      <c:pt idx="1">
                        <c:v>0</c:v>
                      </c:pt>
                    </c:numCache>
                  </c:numRef>
                </c:yVal>
                <c:smooth val="1"/>
                <c:extLst>
                  <c:ext xmlns:c16="http://schemas.microsoft.com/office/drawing/2014/chart" uri="{C3380CC4-5D6E-409C-BE32-E72D297353CC}">
                    <c16:uniqueId val="{0000000B-26EB-49C6-BCA1-4379CD0067A4}"/>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s-MX"/>
                  <a:t>TIEMPO</a:t>
                </a:r>
                <a:r>
                  <a:rPr lang="es-MX" baseline="0"/>
                  <a:t> (min) (ESCALA RAÍZ CUADRADA)</a:t>
                </a:r>
                <a:endParaRPr lang="es-MX"/>
              </a:p>
            </c:rich>
          </c:tx>
          <c:layout>
            <c:manualLayout>
              <c:xMode val="edge"/>
              <c:yMode val="edge"/>
              <c:x val="0.39772226734959992"/>
              <c:y val="0.95348179329678395"/>
            </c:manualLayout>
          </c:layout>
          <c:overlay val="0"/>
        </c:title>
        <c:numFmt formatCode="0.00" sourceLinked="1"/>
        <c:majorTickMark val="out"/>
        <c:minorTickMark val="none"/>
        <c:tickLblPos val="high"/>
        <c:crossAx val="370634976"/>
        <c:crosses val="autoZero"/>
        <c:crossBetween val="midCat"/>
        <c:majorUnit val="5"/>
      </c:valAx>
      <c:valAx>
        <c:axId val="370634976"/>
        <c:scaling>
          <c:orientation val="maxMin"/>
          <c:max val="3"/>
          <c:min val="0"/>
        </c:scaling>
        <c:delete val="0"/>
        <c:axPos val="l"/>
        <c:majorGridlines/>
        <c:minorGridlines/>
        <c:title>
          <c:tx>
            <c:rich>
              <a:bodyPr/>
              <a:lstStyle/>
              <a:p>
                <a:pPr>
                  <a:defRPr/>
                </a:pPr>
                <a:r>
                  <a:rPr lang="es-MX"/>
                  <a:t>DEFORMACIÓN AXIAL UNITARIA (%)</a:t>
                </a:r>
              </a:p>
            </c:rich>
          </c:tx>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spPr>
    <a:solidFill>
      <a:schemeClr val="lt1"/>
    </a:solidFill>
    <a:ln w="9525" cap="flat" cmpd="sng" algn="ctr">
      <a:solidFill>
        <a:schemeClr val="accent3"/>
      </a:solidFill>
      <a:prstDash val="solid"/>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MX" sz="1100"/>
              <a:t>CURVA DE CONSOLIDACIÓN</a:t>
            </a:r>
          </a:p>
        </c:rich>
      </c:tx>
      <c:layout>
        <c:manualLayout>
          <c:xMode val="edge"/>
          <c:yMode val="edge"/>
          <c:x val="0.34338277777983617"/>
          <c:y val="2.5717112571699108E-3"/>
        </c:manualLayout>
      </c:layout>
      <c:overlay val="0"/>
    </c:title>
    <c:autoTitleDeleted val="0"/>
    <c:plotArea>
      <c:layout>
        <c:manualLayout>
          <c:layoutTarget val="inner"/>
          <c:xMode val="edge"/>
          <c:yMode val="edge"/>
          <c:x val="0.13715390649195655"/>
          <c:y val="6.4197020830659673E-2"/>
          <c:w val="0.81471856244879581"/>
          <c:h val="0.84637062692650533"/>
        </c:manualLayout>
      </c:layout>
      <c:scatterChart>
        <c:scatterStyle val="smoothMarker"/>
        <c:varyColors val="0"/>
        <c:ser>
          <c:idx val="4"/>
          <c:order val="0"/>
          <c:spPr>
            <a:ln w="22225"/>
          </c:spPr>
          <c:marker>
            <c:symbol val="none"/>
          </c:marker>
          <c:xVal>
            <c:numRef>
              <c:f>'2,0 kg '!$C$20:$C$49</c:f>
              <c:numCache>
                <c:formatCode>0.00</c:formatCode>
                <c:ptCount val="30"/>
                <c:pt idx="0">
                  <c:v>0.32</c:v>
                </c:pt>
                <c:pt idx="1">
                  <c:v>0.55000000000000004</c:v>
                </c:pt>
                <c:pt idx="2">
                  <c:v>0.71</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'2,0 kg '!$G$20:$G$49</c:f>
              <c:numCache>
                <c:formatCode>0.000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yVal>
          <c:smooth val="1"/>
          <c:extLst>
            <c:ext xmlns:c16="http://schemas.microsoft.com/office/drawing/2014/chart" uri="{C3380CC4-5D6E-409C-BE32-E72D297353CC}">
              <c16:uniqueId val="{0000000A-5C2B-475E-BBE2-B8BAB9C5B6D8}"/>
            </c:ext>
          </c:extLst>
        </c:ser>
        <c:ser>
          <c:idx val="6"/>
          <c:order val="2"/>
          <c:tx>
            <c:v>LINEA A</c:v>
          </c:tx>
          <c:spPr>
            <a:ln w="6350">
              <a:solidFill>
                <a:schemeClr val="tx1"/>
              </a:solidFill>
            </a:ln>
          </c:spPr>
          <c:marker>
            <c:symbol val="none"/>
          </c:marker>
          <c:dPt>
            <c:idx val="1"/>
            <c:bubble3D val="0"/>
            <c:spPr>
              <a:ln w="6350" cap="flat" cmpd="sng" algn="ctr">
                <a:solidFill>
                  <a:schemeClr val="tx1"/>
                </a:solidFill>
                <a:prstDash val="solid"/>
              </a:ln>
              <a:effectLst/>
            </c:spPr>
            <c:extLst>
              <c:ext xmlns:c16="http://schemas.microsoft.com/office/drawing/2014/chart" uri="{C3380CC4-5D6E-409C-BE32-E72D297353CC}">
                <c16:uniqueId val="{00000001-2FAA-4018-8803-E6B462F7714B}"/>
              </c:ext>
            </c:extLst>
          </c:dPt>
          <c:xVal>
            <c:numRef>
              <c:f>'2,0 kg '!$R$37:$R$38</c:f>
              <c:numCache>
                <c:formatCode>General</c:formatCode>
                <c:ptCount val="2"/>
                <c:pt idx="0">
                  <c:v>0</c:v>
                </c:pt>
                <c:pt idx="1">
                  <c:v>0</c:v>
                </c:pt>
              </c:numCache>
            </c:numRef>
          </c:xVal>
          <c:yVal>
            <c:numRef>
              <c:f>'2,0 kg '!$Q$37:$Q$38</c:f>
              <c:numCache>
                <c:formatCode>General</c:formatCode>
                <c:ptCount val="2"/>
                <c:pt idx="0" formatCode="0.00">
                  <c:v>20</c:v>
                </c:pt>
                <c:pt idx="1">
                  <c:v>0</c:v>
                </c:pt>
              </c:numCache>
            </c:numRef>
          </c:yVal>
          <c:smooth val="1"/>
          <c:extLst>
            <c:ext xmlns:c16="http://schemas.microsoft.com/office/drawing/2014/chart" uri="{C3380CC4-5D6E-409C-BE32-E72D297353CC}">
              <c16:uniqueId val="{0000000C-5C2B-475E-BBE2-B8BAB9C5B6D8}"/>
            </c:ext>
          </c:extLst>
        </c:ser>
        <c:ser>
          <c:idx val="7"/>
          <c:order val="3"/>
          <c:tx>
            <c:v>PEND 1.15</c:v>
          </c:tx>
          <c:spPr>
            <a:ln w="25400" cap="flat" cmpd="sng" algn="ctr">
              <a:solidFill>
                <a:schemeClr val="dk1"/>
              </a:solidFill>
              <a:prstDash val="solid"/>
            </a:ln>
            <a:effectLst/>
          </c:spPr>
          <c:marker>
            <c:symbol val="none"/>
          </c:marker>
          <c:dPt>
            <c:idx val="1"/>
            <c:bubble3D val="0"/>
            <c:spPr>
              <a:ln w="6350" cap="flat" cmpd="sng" algn="ctr">
                <a:solidFill>
                  <a:srgbClr val="FF0000"/>
                </a:solidFill>
                <a:prstDash val="solid"/>
              </a:ln>
              <a:effectLst/>
            </c:spPr>
            <c:extLst>
              <c:ext xmlns:c16="http://schemas.microsoft.com/office/drawing/2014/chart" uri="{C3380CC4-5D6E-409C-BE32-E72D297353CC}">
                <c16:uniqueId val="{00000002-015F-43E8-BCC5-EAD766F392BB}"/>
              </c:ext>
            </c:extLst>
          </c:dPt>
          <c:xVal>
            <c:numRef>
              <c:f>'2,0 kg '!$R$42:$R$43</c:f>
              <c:numCache>
                <c:formatCode>General</c:formatCode>
                <c:ptCount val="2"/>
                <c:pt idx="0">
                  <c:v>0</c:v>
                </c:pt>
                <c:pt idx="1">
                  <c:v>0</c:v>
                </c:pt>
              </c:numCache>
            </c:numRef>
          </c:xVal>
          <c:yVal>
            <c:numRef>
              <c:f>'2,0 kg '!$Q$42:$Q$43</c:f>
              <c:numCache>
                <c:formatCode>General</c:formatCode>
                <c:ptCount val="2"/>
                <c:pt idx="0" formatCode="0.00">
                  <c:v>20</c:v>
                </c:pt>
                <c:pt idx="1">
                  <c:v>0</c:v>
                </c:pt>
              </c:numCache>
            </c:numRef>
          </c:yVal>
          <c:smooth val="1"/>
          <c:extLst>
            <c:ext xmlns:c16="http://schemas.microsoft.com/office/drawing/2014/chart" uri="{C3380CC4-5D6E-409C-BE32-E72D297353CC}">
              <c16:uniqueId val="{0000000D-5C2B-475E-BBE2-B8BAB9C5B6D8}"/>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5"/>
                <c:order val="1"/>
                <c:tx>
                  <c:v>comportamiento lineal</c:v>
                </c:tx>
                <c:marker>
                  <c:symbol val="none"/>
                </c:marker>
                <c:xVal>
                  <c:numRef>
                    <c:extLst>
                      <c:ext uri="{02D57815-91ED-43cb-92C2-25804820EDAC}">
                        <c15:formulaRef>
                          <c15:sqref>'2,0 kg '!$C$23:$C$24</c15:sqref>
                        </c15:formulaRef>
                      </c:ext>
                    </c:extLst>
                    <c:numCache>
                      <c:formatCode>0.00</c:formatCode>
                      <c:ptCount val="2"/>
                      <c:pt idx="0">
                        <c:v>1</c:v>
                      </c:pt>
                      <c:pt idx="1">
                        <c:v>1.4142135623730951</c:v>
                      </c:pt>
                    </c:numCache>
                  </c:numRef>
                </c:xVal>
                <c:yVal>
                  <c:numRef>
                    <c:extLst>
                      <c:ext uri="{02D57815-91ED-43cb-92C2-25804820EDAC}">
                        <c15:formulaRef>
                          <c15:sqref>'2,0 kg '!$G$23:$G$24</c15:sqref>
                        </c15:formulaRef>
                      </c:ext>
                    </c:extLst>
                    <c:numCache>
                      <c:formatCode>0.000</c:formatCode>
                      <c:ptCount val="2"/>
                      <c:pt idx="0">
                        <c:v>0</c:v>
                      </c:pt>
                      <c:pt idx="1">
                        <c:v>0</c:v>
                      </c:pt>
                    </c:numCache>
                  </c:numRef>
                </c:yVal>
                <c:smooth val="1"/>
                <c:extLst>
                  <c:ext xmlns:c16="http://schemas.microsoft.com/office/drawing/2014/chart" uri="{C3380CC4-5D6E-409C-BE32-E72D297353CC}">
                    <c16:uniqueId val="{0000000B-5C2B-475E-BBE2-B8BAB9C5B6D8}"/>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s-MX"/>
                  <a:t>TIEMPO</a:t>
                </a:r>
                <a:r>
                  <a:rPr lang="es-MX" baseline="0"/>
                  <a:t> (min) (ESCALA RAÍZ CUADRADA)</a:t>
                </a:r>
                <a:endParaRPr lang="es-MX"/>
              </a:p>
            </c:rich>
          </c:tx>
          <c:layout>
            <c:manualLayout>
              <c:xMode val="edge"/>
              <c:yMode val="edge"/>
              <c:x val="0.39772226734959992"/>
              <c:y val="0.95348179329678395"/>
            </c:manualLayout>
          </c:layout>
          <c:overlay val="0"/>
        </c:title>
        <c:numFmt formatCode="0.00" sourceLinked="1"/>
        <c:majorTickMark val="out"/>
        <c:minorTickMark val="none"/>
        <c:tickLblPos val="high"/>
        <c:crossAx val="370634976"/>
        <c:crosses val="autoZero"/>
        <c:crossBetween val="midCat"/>
        <c:majorUnit val="5"/>
      </c:valAx>
      <c:valAx>
        <c:axId val="370634976"/>
        <c:scaling>
          <c:orientation val="maxMin"/>
          <c:max val="5"/>
          <c:min val="0"/>
        </c:scaling>
        <c:delete val="0"/>
        <c:axPos val="l"/>
        <c:majorGridlines/>
        <c:minorGridlines/>
        <c:title>
          <c:tx>
            <c:rich>
              <a:bodyPr/>
              <a:lstStyle/>
              <a:p>
                <a:pPr>
                  <a:defRPr/>
                </a:pPr>
                <a:r>
                  <a:rPr lang="es-MX"/>
                  <a:t>DEFORMACIÓN AXIAL UNITARIA (%)</a:t>
                </a:r>
              </a:p>
            </c:rich>
          </c:tx>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spPr>
    <a:solidFill>
      <a:schemeClr val="lt1"/>
    </a:solidFill>
    <a:ln w="9525" cap="flat" cmpd="sng" algn="ctr">
      <a:solidFill>
        <a:schemeClr val="accent3"/>
      </a:solidFill>
      <a:prstDash val="solid"/>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MX" sz="1100"/>
              <a:t>CURVA DE CONSOLIDACIÓN</a:t>
            </a:r>
          </a:p>
        </c:rich>
      </c:tx>
      <c:layout>
        <c:manualLayout>
          <c:xMode val="edge"/>
          <c:yMode val="edge"/>
          <c:x val="0.34338277777983617"/>
          <c:y val="2.5717112571699108E-3"/>
        </c:manualLayout>
      </c:layout>
      <c:overlay val="0"/>
    </c:title>
    <c:autoTitleDeleted val="0"/>
    <c:plotArea>
      <c:layout>
        <c:manualLayout>
          <c:layoutTarget val="inner"/>
          <c:xMode val="edge"/>
          <c:yMode val="edge"/>
          <c:x val="0.13715390649195655"/>
          <c:y val="6.4197020830659673E-2"/>
          <c:w val="0.81471856244879581"/>
          <c:h val="0.84637062692650533"/>
        </c:manualLayout>
      </c:layout>
      <c:scatterChart>
        <c:scatterStyle val="smoothMarker"/>
        <c:varyColors val="0"/>
        <c:ser>
          <c:idx val="4"/>
          <c:order val="0"/>
          <c:spPr>
            <a:ln w="22225"/>
          </c:spPr>
          <c:marker>
            <c:symbol val="none"/>
          </c:marker>
          <c:xVal>
            <c:numRef>
              <c:f>'4,0 kg  '!$C$20:$C$49</c:f>
              <c:numCache>
                <c:formatCode>0.00</c:formatCode>
                <c:ptCount val="30"/>
                <c:pt idx="0">
                  <c:v>0.32</c:v>
                </c:pt>
                <c:pt idx="1">
                  <c:v>0.55000000000000004</c:v>
                </c:pt>
                <c:pt idx="2">
                  <c:v>0.71</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37.947331922020602</c:v>
                </c:pt>
              </c:numCache>
            </c:numRef>
          </c:xVal>
          <c:yVal>
            <c:numRef>
              <c:f>'4,0 kg  '!$G$20:$G$49</c:f>
              <c:numCache>
                <c:formatCode>0.000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yVal>
          <c:smooth val="1"/>
          <c:extLst>
            <c:ext xmlns:c16="http://schemas.microsoft.com/office/drawing/2014/chart" uri="{C3380CC4-5D6E-409C-BE32-E72D297353CC}">
              <c16:uniqueId val="{0000000A-A25B-45D0-802A-67FBB14487B0}"/>
            </c:ext>
          </c:extLst>
        </c:ser>
        <c:ser>
          <c:idx val="6"/>
          <c:order val="2"/>
          <c:tx>
            <c:v>LINEA A</c:v>
          </c:tx>
          <c:spPr>
            <a:ln w="6350" cap="flat" cmpd="sng" algn="ctr">
              <a:solidFill>
                <a:schemeClr val="tx1"/>
              </a:solidFill>
              <a:prstDash val="solid"/>
            </a:ln>
            <a:effectLst/>
          </c:spPr>
          <c:marker>
            <c:symbol val="none"/>
          </c:marker>
          <c:xVal>
            <c:numRef>
              <c:f>'4,0 kg  '!$R$37:$R$38</c:f>
              <c:numCache>
                <c:formatCode>General</c:formatCode>
                <c:ptCount val="2"/>
                <c:pt idx="0">
                  <c:v>0</c:v>
                </c:pt>
                <c:pt idx="1">
                  <c:v>0</c:v>
                </c:pt>
              </c:numCache>
            </c:numRef>
          </c:xVal>
          <c:yVal>
            <c:numRef>
              <c:f>'4,0 kg  '!$Q$37:$Q$38</c:f>
              <c:numCache>
                <c:formatCode>General</c:formatCode>
                <c:ptCount val="2"/>
                <c:pt idx="0" formatCode="0.00">
                  <c:v>20</c:v>
                </c:pt>
                <c:pt idx="1">
                  <c:v>0</c:v>
                </c:pt>
              </c:numCache>
            </c:numRef>
          </c:yVal>
          <c:smooth val="1"/>
          <c:extLst>
            <c:ext xmlns:c16="http://schemas.microsoft.com/office/drawing/2014/chart" uri="{C3380CC4-5D6E-409C-BE32-E72D297353CC}">
              <c16:uniqueId val="{0000000C-A25B-45D0-802A-67FBB14487B0}"/>
            </c:ext>
          </c:extLst>
        </c:ser>
        <c:ser>
          <c:idx val="7"/>
          <c:order val="3"/>
          <c:tx>
            <c:v>PEND 1.15</c:v>
          </c:tx>
          <c:spPr>
            <a:ln w="6350">
              <a:solidFill>
                <a:srgbClr val="FF0000"/>
              </a:solidFill>
            </a:ln>
          </c:spPr>
          <c:marker>
            <c:symbol val="none"/>
          </c:marker>
          <c:xVal>
            <c:numRef>
              <c:f>'4,0 kg  '!$R$42:$R$43</c:f>
              <c:numCache>
                <c:formatCode>General</c:formatCode>
                <c:ptCount val="2"/>
                <c:pt idx="0">
                  <c:v>0</c:v>
                </c:pt>
                <c:pt idx="1">
                  <c:v>0</c:v>
                </c:pt>
              </c:numCache>
            </c:numRef>
          </c:xVal>
          <c:yVal>
            <c:numRef>
              <c:f>'4,0 kg  '!$Q$42:$Q$43</c:f>
              <c:numCache>
                <c:formatCode>General</c:formatCode>
                <c:ptCount val="2"/>
                <c:pt idx="0" formatCode="0.00">
                  <c:v>20</c:v>
                </c:pt>
                <c:pt idx="1">
                  <c:v>0</c:v>
                </c:pt>
              </c:numCache>
            </c:numRef>
          </c:yVal>
          <c:smooth val="1"/>
          <c:extLst>
            <c:ext xmlns:c16="http://schemas.microsoft.com/office/drawing/2014/chart" uri="{C3380CC4-5D6E-409C-BE32-E72D297353CC}">
              <c16:uniqueId val="{0000000D-A25B-45D0-802A-67FBB14487B0}"/>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5"/>
                <c:order val="1"/>
                <c:tx>
                  <c:v>comportamiento lineal</c:v>
                </c:tx>
                <c:marker>
                  <c:symbol val="none"/>
                </c:marker>
                <c:xVal>
                  <c:numRef>
                    <c:extLst>
                      <c:ext uri="{02D57815-91ED-43cb-92C2-25804820EDAC}">
                        <c15:formulaRef>
                          <c15:sqref>'4,0 kg  '!$C$23:$C$24</c15:sqref>
                        </c15:formulaRef>
                      </c:ext>
                    </c:extLst>
                    <c:numCache>
                      <c:formatCode>0.00</c:formatCode>
                      <c:ptCount val="2"/>
                      <c:pt idx="0">
                        <c:v>1</c:v>
                      </c:pt>
                      <c:pt idx="1">
                        <c:v>1.4142135623730951</c:v>
                      </c:pt>
                    </c:numCache>
                  </c:numRef>
                </c:xVal>
                <c:yVal>
                  <c:numRef>
                    <c:extLst>
                      <c:ext uri="{02D57815-91ED-43cb-92C2-25804820EDAC}">
                        <c15:formulaRef>
                          <c15:sqref>'4,0 kg  '!$G$23:$G$24</c15:sqref>
                        </c15:formulaRef>
                      </c:ext>
                    </c:extLst>
                    <c:numCache>
                      <c:formatCode>0.000</c:formatCode>
                      <c:ptCount val="2"/>
                      <c:pt idx="0">
                        <c:v>0</c:v>
                      </c:pt>
                      <c:pt idx="1">
                        <c:v>0</c:v>
                      </c:pt>
                    </c:numCache>
                  </c:numRef>
                </c:yVal>
                <c:smooth val="1"/>
                <c:extLst>
                  <c:ext xmlns:c16="http://schemas.microsoft.com/office/drawing/2014/chart" uri="{C3380CC4-5D6E-409C-BE32-E72D297353CC}">
                    <c16:uniqueId val="{0000000B-A25B-45D0-802A-67FBB14487B0}"/>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s-MX"/>
                  <a:t>TIEMPO</a:t>
                </a:r>
                <a:r>
                  <a:rPr lang="es-MX" baseline="0"/>
                  <a:t> (min) (ESCALA RAÍZ CUADRADA)</a:t>
                </a:r>
                <a:endParaRPr lang="es-MX"/>
              </a:p>
            </c:rich>
          </c:tx>
          <c:layout>
            <c:manualLayout>
              <c:xMode val="edge"/>
              <c:yMode val="edge"/>
              <c:x val="0.39772226734959992"/>
              <c:y val="0.95348179329678395"/>
            </c:manualLayout>
          </c:layout>
          <c:overlay val="0"/>
        </c:title>
        <c:numFmt formatCode="0.00" sourceLinked="1"/>
        <c:majorTickMark val="out"/>
        <c:minorTickMark val="none"/>
        <c:tickLblPos val="high"/>
        <c:crossAx val="370634976"/>
        <c:crosses val="autoZero"/>
        <c:crossBetween val="midCat"/>
        <c:majorUnit val="5"/>
      </c:valAx>
      <c:valAx>
        <c:axId val="370634976"/>
        <c:scaling>
          <c:orientation val="maxMin"/>
          <c:max val="5"/>
          <c:min val="0"/>
        </c:scaling>
        <c:delete val="0"/>
        <c:axPos val="l"/>
        <c:majorGridlines/>
        <c:minorGridlines/>
        <c:title>
          <c:tx>
            <c:rich>
              <a:bodyPr/>
              <a:lstStyle/>
              <a:p>
                <a:pPr>
                  <a:defRPr/>
                </a:pPr>
                <a:r>
                  <a:rPr lang="es-MX"/>
                  <a:t>DEFORMACIÓN AXIAL UNITARIA (%)</a:t>
                </a:r>
              </a:p>
            </c:rich>
          </c:tx>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spPr>
    <a:solidFill>
      <a:schemeClr val="lt1"/>
    </a:solidFill>
    <a:ln w="9525" cap="flat" cmpd="sng" algn="ctr">
      <a:solidFill>
        <a:schemeClr val="accent3"/>
      </a:solidFill>
      <a:prstDash val="solid"/>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MX" sz="1100"/>
              <a:t>CURVA DE CONSOLIDACIÓN</a:t>
            </a:r>
          </a:p>
        </c:rich>
      </c:tx>
      <c:layout>
        <c:manualLayout>
          <c:xMode val="edge"/>
          <c:yMode val="edge"/>
          <c:x val="0.34338277777983617"/>
          <c:y val="2.5717112571699108E-3"/>
        </c:manualLayout>
      </c:layout>
      <c:overlay val="0"/>
    </c:title>
    <c:autoTitleDeleted val="0"/>
    <c:plotArea>
      <c:layout>
        <c:manualLayout>
          <c:layoutTarget val="inner"/>
          <c:xMode val="edge"/>
          <c:yMode val="edge"/>
          <c:x val="0.13715390649195655"/>
          <c:y val="6.4197020830659673E-2"/>
          <c:w val="0.81471856244879581"/>
          <c:h val="0.84637062692650533"/>
        </c:manualLayout>
      </c:layout>
      <c:scatterChart>
        <c:scatterStyle val="smoothMarker"/>
        <c:varyColors val="0"/>
        <c:ser>
          <c:idx val="4"/>
          <c:order val="0"/>
          <c:spPr>
            <a:ln w="22225"/>
          </c:spPr>
          <c:marker>
            <c:symbol val="none"/>
          </c:marker>
          <c:xVal>
            <c:numRef>
              <c:f>'8,0 kg'!$C$20:$C$49</c:f>
              <c:numCache>
                <c:formatCode>0.00</c:formatCode>
                <c:ptCount val="30"/>
                <c:pt idx="0">
                  <c:v>0.32</c:v>
                </c:pt>
                <c:pt idx="1">
                  <c:v>0.55000000000000004</c:v>
                </c:pt>
                <c:pt idx="2">
                  <c:v>0.71</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'8,0 kg'!$G$20:$G$49</c:f>
              <c:numCache>
                <c:formatCode>0.000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yVal>
          <c:smooth val="1"/>
          <c:extLst>
            <c:ext xmlns:c16="http://schemas.microsoft.com/office/drawing/2014/chart" uri="{C3380CC4-5D6E-409C-BE32-E72D297353CC}">
              <c16:uniqueId val="{0000000A-EBA4-4537-8871-5EDF0D698929}"/>
            </c:ext>
          </c:extLst>
        </c:ser>
        <c:ser>
          <c:idx val="6"/>
          <c:order val="2"/>
          <c:tx>
            <c:v>LINEA A</c:v>
          </c:tx>
          <c:spPr>
            <a:ln w="6350">
              <a:solidFill>
                <a:schemeClr val="tx1"/>
              </a:solidFill>
            </a:ln>
          </c:spPr>
          <c:marker>
            <c:symbol val="none"/>
          </c:marker>
          <c:dPt>
            <c:idx val="1"/>
            <c:bubble3D val="0"/>
            <c:spPr>
              <a:ln w="6350" cap="flat" cmpd="sng" algn="ctr">
                <a:solidFill>
                  <a:schemeClr val="tx1"/>
                </a:solidFill>
                <a:prstDash val="solid"/>
              </a:ln>
              <a:effectLst/>
            </c:spPr>
            <c:extLst>
              <c:ext xmlns:c16="http://schemas.microsoft.com/office/drawing/2014/chart" uri="{C3380CC4-5D6E-409C-BE32-E72D297353CC}">
                <c16:uniqueId val="{00000001-7131-421D-8207-5C26BA080D70}"/>
              </c:ext>
            </c:extLst>
          </c:dPt>
          <c:xVal>
            <c:numRef>
              <c:f>'8,0 kg'!$R$37:$R$38</c:f>
              <c:numCache>
                <c:formatCode>General</c:formatCode>
                <c:ptCount val="2"/>
                <c:pt idx="0">
                  <c:v>0</c:v>
                </c:pt>
                <c:pt idx="1">
                  <c:v>0</c:v>
                </c:pt>
              </c:numCache>
            </c:numRef>
          </c:xVal>
          <c:yVal>
            <c:numRef>
              <c:f>'8,0 kg'!$Q$37:$Q$38</c:f>
              <c:numCache>
                <c:formatCode>General</c:formatCode>
                <c:ptCount val="2"/>
                <c:pt idx="0" formatCode="0.00">
                  <c:v>30</c:v>
                </c:pt>
                <c:pt idx="1">
                  <c:v>0</c:v>
                </c:pt>
              </c:numCache>
            </c:numRef>
          </c:yVal>
          <c:smooth val="1"/>
          <c:extLst>
            <c:ext xmlns:c16="http://schemas.microsoft.com/office/drawing/2014/chart" uri="{C3380CC4-5D6E-409C-BE32-E72D297353CC}">
              <c16:uniqueId val="{0000000C-EBA4-4537-8871-5EDF0D698929}"/>
            </c:ext>
          </c:extLst>
        </c:ser>
        <c:ser>
          <c:idx val="7"/>
          <c:order val="3"/>
          <c:tx>
            <c:v>PEND 1.15</c:v>
          </c:tx>
          <c:spPr>
            <a:ln>
              <a:solidFill>
                <a:schemeClr val="tx1"/>
              </a:solidFill>
            </a:ln>
          </c:spPr>
          <c:marker>
            <c:symbol val="none"/>
          </c:marker>
          <c:dPt>
            <c:idx val="1"/>
            <c:bubble3D val="0"/>
            <c:spPr>
              <a:ln w="6350">
                <a:solidFill>
                  <a:srgbClr val="FF0000"/>
                </a:solidFill>
              </a:ln>
            </c:spPr>
            <c:extLst>
              <c:ext xmlns:c16="http://schemas.microsoft.com/office/drawing/2014/chart" uri="{C3380CC4-5D6E-409C-BE32-E72D297353CC}">
                <c16:uniqueId val="{00000002-F23F-431C-8BB5-A946D1E3EEC3}"/>
              </c:ext>
            </c:extLst>
          </c:dPt>
          <c:xVal>
            <c:numRef>
              <c:f>'8,0 kg'!$R$42:$R$43</c:f>
              <c:numCache>
                <c:formatCode>General</c:formatCode>
                <c:ptCount val="2"/>
                <c:pt idx="0">
                  <c:v>0</c:v>
                </c:pt>
                <c:pt idx="1">
                  <c:v>0</c:v>
                </c:pt>
              </c:numCache>
            </c:numRef>
          </c:xVal>
          <c:yVal>
            <c:numRef>
              <c:f>'8,0 kg'!$Q$42:$Q$43</c:f>
              <c:numCache>
                <c:formatCode>General</c:formatCode>
                <c:ptCount val="2"/>
                <c:pt idx="0" formatCode="0.00">
                  <c:v>30</c:v>
                </c:pt>
                <c:pt idx="1">
                  <c:v>0</c:v>
                </c:pt>
              </c:numCache>
            </c:numRef>
          </c:yVal>
          <c:smooth val="1"/>
          <c:extLst>
            <c:ext xmlns:c16="http://schemas.microsoft.com/office/drawing/2014/chart" uri="{C3380CC4-5D6E-409C-BE32-E72D297353CC}">
              <c16:uniqueId val="{0000000D-EBA4-4537-8871-5EDF0D698929}"/>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5"/>
                <c:order val="1"/>
                <c:tx>
                  <c:v>comportamiento lineal</c:v>
                </c:tx>
                <c:marker>
                  <c:symbol val="none"/>
                </c:marker>
                <c:xVal>
                  <c:numRef>
                    <c:extLst>
                      <c:ext uri="{02D57815-91ED-43cb-92C2-25804820EDAC}">
                        <c15:formulaRef>
                          <c15:sqref>'8,0 kg'!$C$23:$C$24</c15:sqref>
                        </c15:formulaRef>
                      </c:ext>
                    </c:extLst>
                    <c:numCache>
                      <c:formatCode>0.00</c:formatCode>
                      <c:ptCount val="2"/>
                      <c:pt idx="0">
                        <c:v>1</c:v>
                      </c:pt>
                      <c:pt idx="1">
                        <c:v>1.4142135623730951</c:v>
                      </c:pt>
                    </c:numCache>
                  </c:numRef>
                </c:xVal>
                <c:yVal>
                  <c:numRef>
                    <c:extLst>
                      <c:ext uri="{02D57815-91ED-43cb-92C2-25804820EDAC}">
                        <c15:formulaRef>
                          <c15:sqref>'8,0 kg'!$G$23:$G$24</c15:sqref>
                        </c15:formulaRef>
                      </c:ext>
                    </c:extLst>
                    <c:numCache>
                      <c:formatCode>0.000</c:formatCode>
                      <c:ptCount val="2"/>
                      <c:pt idx="0">
                        <c:v>0</c:v>
                      </c:pt>
                      <c:pt idx="1">
                        <c:v>0</c:v>
                      </c:pt>
                    </c:numCache>
                  </c:numRef>
                </c:yVal>
                <c:smooth val="1"/>
                <c:extLst>
                  <c:ext xmlns:c16="http://schemas.microsoft.com/office/drawing/2014/chart" uri="{C3380CC4-5D6E-409C-BE32-E72D297353CC}">
                    <c16:uniqueId val="{0000000B-EBA4-4537-8871-5EDF0D698929}"/>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s-MX"/>
                  <a:t>TIEMPO</a:t>
                </a:r>
                <a:r>
                  <a:rPr lang="es-MX" baseline="0"/>
                  <a:t> (min) (ESCALA RAÍZ CUADRADA)</a:t>
                </a:r>
                <a:endParaRPr lang="es-MX"/>
              </a:p>
            </c:rich>
          </c:tx>
          <c:layout>
            <c:manualLayout>
              <c:xMode val="edge"/>
              <c:yMode val="edge"/>
              <c:x val="0.39772226734959992"/>
              <c:y val="0.95348179329678395"/>
            </c:manualLayout>
          </c:layout>
          <c:overlay val="0"/>
        </c:title>
        <c:numFmt formatCode="0.00" sourceLinked="1"/>
        <c:majorTickMark val="out"/>
        <c:minorTickMark val="none"/>
        <c:tickLblPos val="high"/>
        <c:crossAx val="370634976"/>
        <c:crosses val="autoZero"/>
        <c:crossBetween val="midCat"/>
        <c:majorUnit val="5"/>
      </c:valAx>
      <c:valAx>
        <c:axId val="370634976"/>
        <c:scaling>
          <c:orientation val="maxMin"/>
          <c:max val="6"/>
          <c:min val="0"/>
        </c:scaling>
        <c:delete val="0"/>
        <c:axPos val="l"/>
        <c:majorGridlines/>
        <c:minorGridlines/>
        <c:title>
          <c:tx>
            <c:rich>
              <a:bodyPr/>
              <a:lstStyle/>
              <a:p>
                <a:pPr>
                  <a:defRPr/>
                </a:pPr>
                <a:r>
                  <a:rPr lang="es-MX"/>
                  <a:t>DEFORMACIÓN AXIAL UNITARIA (%)</a:t>
                </a:r>
              </a:p>
            </c:rich>
          </c:tx>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spPr>
    <a:solidFill>
      <a:schemeClr val="lt1"/>
    </a:solidFill>
    <a:ln w="9525" cap="flat" cmpd="sng" algn="ctr">
      <a:solidFill>
        <a:schemeClr val="accent3"/>
      </a:solidFill>
      <a:prstDash val="solid"/>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orientation="portrait"/>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MX" sz="1100"/>
              <a:t>CURVA DE CONSOLIDACIÓN</a:t>
            </a:r>
          </a:p>
        </c:rich>
      </c:tx>
      <c:layout>
        <c:manualLayout>
          <c:xMode val="edge"/>
          <c:yMode val="edge"/>
          <c:x val="0.34338277777983617"/>
          <c:y val="2.5717112571699108E-3"/>
        </c:manualLayout>
      </c:layout>
      <c:overlay val="0"/>
    </c:title>
    <c:autoTitleDeleted val="0"/>
    <c:plotArea>
      <c:layout>
        <c:manualLayout>
          <c:layoutTarget val="inner"/>
          <c:xMode val="edge"/>
          <c:yMode val="edge"/>
          <c:x val="0.13715390649195655"/>
          <c:y val="6.4197020830659673E-2"/>
          <c:w val="0.81471856244879581"/>
          <c:h val="0.84637062692650533"/>
        </c:manualLayout>
      </c:layout>
      <c:scatterChart>
        <c:scatterStyle val="smoothMarker"/>
        <c:varyColors val="0"/>
        <c:ser>
          <c:idx val="4"/>
          <c:order val="0"/>
          <c:spPr>
            <a:ln w="22225"/>
          </c:spPr>
          <c:marker>
            <c:symbol val="none"/>
          </c:marker>
          <c:xVal>
            <c:numRef>
              <c:f>'16,0 kg'!$C$20:$C$49</c:f>
              <c:numCache>
                <c:formatCode>0.00</c:formatCode>
                <c:ptCount val="30"/>
                <c:pt idx="0">
                  <c:v>0.32</c:v>
                </c:pt>
                <c:pt idx="1">
                  <c:v>0.55000000000000004</c:v>
                </c:pt>
                <c:pt idx="2">
                  <c:v>0.71</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'16,0 kg'!$G$20:$G$49</c:f>
              <c:numCache>
                <c:formatCode>0.000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yVal>
          <c:smooth val="1"/>
          <c:extLst>
            <c:ext xmlns:c16="http://schemas.microsoft.com/office/drawing/2014/chart" uri="{C3380CC4-5D6E-409C-BE32-E72D297353CC}">
              <c16:uniqueId val="{0000000A-0790-40EF-8B82-0FD22F3CE23B}"/>
            </c:ext>
          </c:extLst>
        </c:ser>
        <c:ser>
          <c:idx val="6"/>
          <c:order val="2"/>
          <c:tx>
            <c:v>LINEA A</c:v>
          </c:tx>
          <c:spPr>
            <a:ln w="6350" cap="flat" cmpd="sng" algn="ctr">
              <a:solidFill>
                <a:schemeClr val="tx1"/>
              </a:solidFill>
              <a:prstDash val="solid"/>
            </a:ln>
            <a:effectLst/>
          </c:spPr>
          <c:marker>
            <c:symbol val="none"/>
          </c:marker>
          <c:xVal>
            <c:numRef>
              <c:f>'16,0 kg'!$R$37:$R$38</c:f>
              <c:numCache>
                <c:formatCode>General</c:formatCode>
                <c:ptCount val="2"/>
                <c:pt idx="0">
                  <c:v>0</c:v>
                </c:pt>
                <c:pt idx="1">
                  <c:v>0</c:v>
                </c:pt>
              </c:numCache>
            </c:numRef>
          </c:xVal>
          <c:yVal>
            <c:numRef>
              <c:f>'16,0 kg'!$Q$37:$Q$38</c:f>
              <c:numCache>
                <c:formatCode>General</c:formatCode>
                <c:ptCount val="2"/>
                <c:pt idx="0" formatCode="0.00">
                  <c:v>30</c:v>
                </c:pt>
                <c:pt idx="1">
                  <c:v>0</c:v>
                </c:pt>
              </c:numCache>
            </c:numRef>
          </c:yVal>
          <c:smooth val="1"/>
          <c:extLst>
            <c:ext xmlns:c16="http://schemas.microsoft.com/office/drawing/2014/chart" uri="{C3380CC4-5D6E-409C-BE32-E72D297353CC}">
              <c16:uniqueId val="{0000000C-0790-40EF-8B82-0FD22F3CE23B}"/>
            </c:ext>
          </c:extLst>
        </c:ser>
        <c:ser>
          <c:idx val="7"/>
          <c:order val="3"/>
          <c:tx>
            <c:v>PEND 1.15</c:v>
          </c:tx>
          <c:spPr>
            <a:ln>
              <a:solidFill>
                <a:schemeClr val="tx1"/>
              </a:solidFill>
            </a:ln>
          </c:spPr>
          <c:marker>
            <c:symbol val="none"/>
          </c:marker>
          <c:dPt>
            <c:idx val="1"/>
            <c:bubble3D val="0"/>
            <c:spPr>
              <a:ln w="6350">
                <a:solidFill>
                  <a:srgbClr val="FF0000"/>
                </a:solidFill>
              </a:ln>
            </c:spPr>
            <c:extLst>
              <c:ext xmlns:c16="http://schemas.microsoft.com/office/drawing/2014/chart" uri="{C3380CC4-5D6E-409C-BE32-E72D297353CC}">
                <c16:uniqueId val="{00000000-0F54-46EC-AA01-0343A1C73E8E}"/>
              </c:ext>
            </c:extLst>
          </c:dPt>
          <c:xVal>
            <c:numRef>
              <c:f>'16,0 kg'!$R$42:$R$43</c:f>
              <c:numCache>
                <c:formatCode>General</c:formatCode>
                <c:ptCount val="2"/>
                <c:pt idx="0">
                  <c:v>0</c:v>
                </c:pt>
                <c:pt idx="1">
                  <c:v>0</c:v>
                </c:pt>
              </c:numCache>
            </c:numRef>
          </c:xVal>
          <c:yVal>
            <c:numRef>
              <c:f>'16,0 kg'!$Q$42:$Q$43</c:f>
              <c:numCache>
                <c:formatCode>General</c:formatCode>
                <c:ptCount val="2"/>
                <c:pt idx="0" formatCode="0.00">
                  <c:v>30</c:v>
                </c:pt>
                <c:pt idx="1">
                  <c:v>0</c:v>
                </c:pt>
              </c:numCache>
            </c:numRef>
          </c:yVal>
          <c:smooth val="1"/>
          <c:extLst>
            <c:ext xmlns:c16="http://schemas.microsoft.com/office/drawing/2014/chart" uri="{C3380CC4-5D6E-409C-BE32-E72D297353CC}">
              <c16:uniqueId val="{0000000D-0790-40EF-8B82-0FD22F3CE23B}"/>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5"/>
                <c:order val="1"/>
                <c:tx>
                  <c:v>comportamiento lineal</c:v>
                </c:tx>
                <c:marker>
                  <c:symbol val="none"/>
                </c:marker>
                <c:xVal>
                  <c:numRef>
                    <c:extLst>
                      <c:ext uri="{02D57815-91ED-43cb-92C2-25804820EDAC}">
                        <c15:formulaRef>
                          <c15:sqref>'16,0 kg'!$C$23:$C$24</c15:sqref>
                        </c15:formulaRef>
                      </c:ext>
                    </c:extLst>
                    <c:numCache>
                      <c:formatCode>0.00</c:formatCode>
                      <c:ptCount val="2"/>
                      <c:pt idx="0">
                        <c:v>1</c:v>
                      </c:pt>
                      <c:pt idx="1">
                        <c:v>1.4142135623730951</c:v>
                      </c:pt>
                    </c:numCache>
                  </c:numRef>
                </c:xVal>
                <c:yVal>
                  <c:numRef>
                    <c:extLst>
                      <c:ext uri="{02D57815-91ED-43cb-92C2-25804820EDAC}">
                        <c15:formulaRef>
                          <c15:sqref>'16,0 kg'!$G$23:$G$24</c15:sqref>
                        </c15:formulaRef>
                      </c:ext>
                    </c:extLst>
                    <c:numCache>
                      <c:formatCode>0.000</c:formatCode>
                      <c:ptCount val="2"/>
                      <c:pt idx="0">
                        <c:v>0</c:v>
                      </c:pt>
                      <c:pt idx="1">
                        <c:v>0</c:v>
                      </c:pt>
                    </c:numCache>
                  </c:numRef>
                </c:yVal>
                <c:smooth val="1"/>
                <c:extLst>
                  <c:ext xmlns:c16="http://schemas.microsoft.com/office/drawing/2014/chart" uri="{C3380CC4-5D6E-409C-BE32-E72D297353CC}">
                    <c16:uniqueId val="{0000000B-0790-40EF-8B82-0FD22F3CE23B}"/>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s-MX"/>
                  <a:t>TIEMPO</a:t>
                </a:r>
                <a:r>
                  <a:rPr lang="es-MX" baseline="0"/>
                  <a:t> (min) (ESCALA RAÍZ CUADRADA)</a:t>
                </a:r>
                <a:endParaRPr lang="es-MX"/>
              </a:p>
            </c:rich>
          </c:tx>
          <c:layout>
            <c:manualLayout>
              <c:xMode val="edge"/>
              <c:yMode val="edge"/>
              <c:x val="0.39772226734959992"/>
              <c:y val="0.95348179329678395"/>
            </c:manualLayout>
          </c:layout>
          <c:overlay val="0"/>
        </c:title>
        <c:numFmt formatCode="0.00" sourceLinked="1"/>
        <c:majorTickMark val="out"/>
        <c:minorTickMark val="none"/>
        <c:tickLblPos val="high"/>
        <c:crossAx val="370634976"/>
        <c:crosses val="autoZero"/>
        <c:crossBetween val="midCat"/>
      </c:valAx>
      <c:valAx>
        <c:axId val="370634976"/>
        <c:scaling>
          <c:orientation val="maxMin"/>
          <c:max val="6"/>
          <c:min val="0"/>
        </c:scaling>
        <c:delete val="0"/>
        <c:axPos val="l"/>
        <c:majorGridlines/>
        <c:minorGridlines/>
        <c:title>
          <c:tx>
            <c:rich>
              <a:bodyPr/>
              <a:lstStyle/>
              <a:p>
                <a:pPr>
                  <a:defRPr/>
                </a:pPr>
                <a:r>
                  <a:rPr lang="es-MX"/>
                  <a:t>DEFORMACIÓN AXIAL UNITARIA (%)</a:t>
                </a:r>
              </a:p>
            </c:rich>
          </c:tx>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spPr>
    <a:solidFill>
      <a:schemeClr val="lt1"/>
    </a:solidFill>
    <a:ln w="9525" cap="flat" cmpd="sng" algn="ctr">
      <a:solidFill>
        <a:schemeClr val="accent3"/>
      </a:solidFill>
      <a:prstDash val="solid"/>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orientation="portrait"/>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MX" sz="1100"/>
              <a:t>CURVA DE CONSOLIDACIÓN</a:t>
            </a:r>
          </a:p>
        </c:rich>
      </c:tx>
      <c:layout>
        <c:manualLayout>
          <c:xMode val="edge"/>
          <c:yMode val="edge"/>
          <c:x val="0.34338277777983617"/>
          <c:y val="2.5717112571699108E-3"/>
        </c:manualLayout>
      </c:layout>
      <c:overlay val="0"/>
    </c:title>
    <c:autoTitleDeleted val="0"/>
    <c:plotArea>
      <c:layout>
        <c:manualLayout>
          <c:layoutTarget val="inner"/>
          <c:xMode val="edge"/>
          <c:yMode val="edge"/>
          <c:x val="0.13715390649195655"/>
          <c:y val="6.4197020830659673E-2"/>
          <c:w val="0.81471856244879581"/>
          <c:h val="0.84637062692650533"/>
        </c:manualLayout>
      </c:layout>
      <c:scatterChart>
        <c:scatterStyle val="smoothMarker"/>
        <c:varyColors val="0"/>
        <c:ser>
          <c:idx val="4"/>
          <c:order val="0"/>
          <c:spPr>
            <a:ln w="22225"/>
          </c:spPr>
          <c:marker>
            <c:symbol val="none"/>
          </c:marker>
          <c:xVal>
            <c:numRef>
              <c:f>'32,0 kg'!$C$20:$C$49</c:f>
              <c:numCache>
                <c:formatCode>0.00</c:formatCode>
                <c:ptCount val="30"/>
                <c:pt idx="0">
                  <c:v>0.32</c:v>
                </c:pt>
                <c:pt idx="1">
                  <c:v>0.55000000000000004</c:v>
                </c:pt>
                <c:pt idx="2">
                  <c:v>0.71</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'32,0 kg'!$G$20:$G$49</c:f>
              <c:numCache>
                <c:formatCode>0.000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yVal>
          <c:smooth val="1"/>
          <c:extLst>
            <c:ext xmlns:c16="http://schemas.microsoft.com/office/drawing/2014/chart" uri="{C3380CC4-5D6E-409C-BE32-E72D297353CC}">
              <c16:uniqueId val="{0000000A-55F4-44C5-A47B-3CF22352FF72}"/>
            </c:ext>
          </c:extLst>
        </c:ser>
        <c:ser>
          <c:idx val="6"/>
          <c:order val="2"/>
          <c:tx>
            <c:v>LINEA A</c:v>
          </c:tx>
          <c:spPr>
            <a:ln w="6350" cap="flat" cmpd="sng" algn="ctr">
              <a:solidFill>
                <a:schemeClr val="tx1"/>
              </a:solidFill>
              <a:prstDash val="solid"/>
            </a:ln>
            <a:effectLst/>
          </c:spPr>
          <c:marker>
            <c:symbol val="none"/>
          </c:marker>
          <c:xVal>
            <c:numRef>
              <c:f>'32,0 kg'!$R$37:$R$38</c:f>
              <c:numCache>
                <c:formatCode>General</c:formatCode>
                <c:ptCount val="2"/>
                <c:pt idx="0">
                  <c:v>0</c:v>
                </c:pt>
                <c:pt idx="1">
                  <c:v>0</c:v>
                </c:pt>
              </c:numCache>
            </c:numRef>
          </c:xVal>
          <c:yVal>
            <c:numRef>
              <c:f>'32,0 kg'!$Q$37:$Q$38</c:f>
              <c:numCache>
                <c:formatCode>General</c:formatCode>
                <c:ptCount val="2"/>
                <c:pt idx="0" formatCode="0.00">
                  <c:v>40</c:v>
                </c:pt>
                <c:pt idx="1">
                  <c:v>0</c:v>
                </c:pt>
              </c:numCache>
            </c:numRef>
          </c:yVal>
          <c:smooth val="1"/>
          <c:extLst>
            <c:ext xmlns:c16="http://schemas.microsoft.com/office/drawing/2014/chart" uri="{C3380CC4-5D6E-409C-BE32-E72D297353CC}">
              <c16:uniqueId val="{0000000C-55F4-44C5-A47B-3CF22352FF72}"/>
            </c:ext>
          </c:extLst>
        </c:ser>
        <c:ser>
          <c:idx val="7"/>
          <c:order val="3"/>
          <c:tx>
            <c:v>PEND 1.15</c:v>
          </c:tx>
          <c:spPr>
            <a:ln>
              <a:solidFill>
                <a:schemeClr val="tx1"/>
              </a:solidFill>
            </a:ln>
          </c:spPr>
          <c:marker>
            <c:symbol val="none"/>
          </c:marker>
          <c:dPt>
            <c:idx val="1"/>
            <c:bubble3D val="0"/>
            <c:spPr>
              <a:ln w="6350">
                <a:solidFill>
                  <a:srgbClr val="FF0000"/>
                </a:solidFill>
              </a:ln>
            </c:spPr>
            <c:extLst>
              <c:ext xmlns:c16="http://schemas.microsoft.com/office/drawing/2014/chart" uri="{C3380CC4-5D6E-409C-BE32-E72D297353CC}">
                <c16:uniqueId val="{00000000-5C03-42F5-86B9-936144AD4A55}"/>
              </c:ext>
            </c:extLst>
          </c:dPt>
          <c:xVal>
            <c:numRef>
              <c:f>'32,0 kg'!$R$42:$R$43</c:f>
              <c:numCache>
                <c:formatCode>General</c:formatCode>
                <c:ptCount val="2"/>
                <c:pt idx="0">
                  <c:v>0</c:v>
                </c:pt>
                <c:pt idx="1">
                  <c:v>0</c:v>
                </c:pt>
              </c:numCache>
            </c:numRef>
          </c:xVal>
          <c:yVal>
            <c:numRef>
              <c:f>'32,0 kg'!$Q$42:$Q$43</c:f>
              <c:numCache>
                <c:formatCode>General</c:formatCode>
                <c:ptCount val="2"/>
                <c:pt idx="0" formatCode="0.00">
                  <c:v>40</c:v>
                </c:pt>
                <c:pt idx="1">
                  <c:v>0</c:v>
                </c:pt>
              </c:numCache>
            </c:numRef>
          </c:yVal>
          <c:smooth val="1"/>
          <c:extLst>
            <c:ext xmlns:c16="http://schemas.microsoft.com/office/drawing/2014/chart" uri="{C3380CC4-5D6E-409C-BE32-E72D297353CC}">
              <c16:uniqueId val="{0000000D-55F4-44C5-A47B-3CF22352FF72}"/>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5"/>
                <c:order val="1"/>
                <c:tx>
                  <c:v>comportamiento lineal</c:v>
                </c:tx>
                <c:marker>
                  <c:symbol val="none"/>
                </c:marker>
                <c:xVal>
                  <c:numRef>
                    <c:extLst>
                      <c:ext uri="{02D57815-91ED-43cb-92C2-25804820EDAC}">
                        <c15:formulaRef>
                          <c15:sqref>'32,0 kg'!$C$23:$C$24</c15:sqref>
                        </c15:formulaRef>
                      </c:ext>
                    </c:extLst>
                    <c:numCache>
                      <c:formatCode>0.00</c:formatCode>
                      <c:ptCount val="2"/>
                      <c:pt idx="0">
                        <c:v>1</c:v>
                      </c:pt>
                      <c:pt idx="1">
                        <c:v>1.4142135623730951</c:v>
                      </c:pt>
                    </c:numCache>
                  </c:numRef>
                </c:xVal>
                <c:yVal>
                  <c:numRef>
                    <c:extLst>
                      <c:ext uri="{02D57815-91ED-43cb-92C2-25804820EDAC}">
                        <c15:formulaRef>
                          <c15:sqref>'32,0 kg'!$G$23:$G$24</c15:sqref>
                        </c15:formulaRef>
                      </c:ext>
                    </c:extLst>
                    <c:numCache>
                      <c:formatCode>0.000</c:formatCode>
                      <c:ptCount val="2"/>
                      <c:pt idx="0">
                        <c:v>0</c:v>
                      </c:pt>
                      <c:pt idx="1">
                        <c:v>0</c:v>
                      </c:pt>
                    </c:numCache>
                  </c:numRef>
                </c:yVal>
                <c:smooth val="1"/>
                <c:extLst>
                  <c:ext xmlns:c16="http://schemas.microsoft.com/office/drawing/2014/chart" uri="{C3380CC4-5D6E-409C-BE32-E72D297353CC}">
                    <c16:uniqueId val="{0000000B-55F4-44C5-A47B-3CF22352FF72}"/>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s-MX"/>
                  <a:t>TIEMPO</a:t>
                </a:r>
                <a:r>
                  <a:rPr lang="es-MX" baseline="0"/>
                  <a:t> (min) (ESCALA RAÍZ CUADRADA)</a:t>
                </a:r>
                <a:endParaRPr lang="es-MX"/>
              </a:p>
            </c:rich>
          </c:tx>
          <c:layout>
            <c:manualLayout>
              <c:xMode val="edge"/>
              <c:yMode val="edge"/>
              <c:x val="0.39772226734959992"/>
              <c:y val="0.95348179329678395"/>
            </c:manualLayout>
          </c:layout>
          <c:overlay val="0"/>
        </c:title>
        <c:numFmt formatCode="0.00" sourceLinked="1"/>
        <c:majorTickMark val="out"/>
        <c:minorTickMark val="none"/>
        <c:tickLblPos val="high"/>
        <c:crossAx val="370634976"/>
        <c:crosses val="autoZero"/>
        <c:crossBetween val="midCat"/>
        <c:majorUnit val="5"/>
      </c:valAx>
      <c:valAx>
        <c:axId val="370634976"/>
        <c:scaling>
          <c:orientation val="maxMin"/>
          <c:max val="6"/>
          <c:min val="0"/>
        </c:scaling>
        <c:delete val="0"/>
        <c:axPos val="l"/>
        <c:majorGridlines/>
        <c:minorGridlines/>
        <c:title>
          <c:tx>
            <c:rich>
              <a:bodyPr/>
              <a:lstStyle/>
              <a:p>
                <a:pPr>
                  <a:defRPr/>
                </a:pPr>
                <a:r>
                  <a:rPr lang="es-MX"/>
                  <a:t>DEFORMACIÓN AXIAL UNITARIA (%)</a:t>
                </a:r>
              </a:p>
            </c:rich>
          </c:tx>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spPr>
    <a:solidFill>
      <a:schemeClr val="lt1"/>
    </a:solidFill>
    <a:ln w="9525" cap="flat" cmpd="sng" algn="ctr">
      <a:solidFill>
        <a:schemeClr val="accent3"/>
      </a:solidFill>
      <a:prstDash val="solid"/>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orientation="portrait"/>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31982407709143"/>
          <c:y val="5.9406212112464642E-2"/>
          <c:w val="0.7926262655571783"/>
          <c:h val="0.77830604158733019"/>
        </c:manualLayout>
      </c:layout>
      <c:scatterChart>
        <c:scatterStyle val="lineMarker"/>
        <c:varyColors val="0"/>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Resultados!$C$44:$C$47</c:f>
              <c:numCache>
                <c:formatCode>0</c:formatCode>
                <c:ptCount val="4"/>
                <c:pt idx="0">
                  <c:v>0</c:v>
                </c:pt>
                <c:pt idx="1">
                  <c:v>0</c:v>
                </c:pt>
                <c:pt idx="2">
                  <c:v>0</c:v>
                </c:pt>
                <c:pt idx="3">
                  <c:v>0</c:v>
                </c:pt>
              </c:numCache>
            </c:numRef>
          </c:xVal>
          <c:yVal>
            <c:numRef>
              <c:f>Resultados!$H$44:$H$47</c:f>
              <c:numCache>
                <c:formatCode>0.000_)</c:formatCode>
                <c:ptCount val="4"/>
                <c:pt idx="0">
                  <c:v>0</c:v>
                </c:pt>
                <c:pt idx="1">
                  <c:v>0</c:v>
                </c:pt>
                <c:pt idx="2">
                  <c:v>0</c:v>
                </c:pt>
                <c:pt idx="3">
                  <c:v>0</c:v>
                </c:pt>
              </c:numCache>
            </c:numRef>
          </c:yVal>
          <c:smooth val="0"/>
          <c:extLst>
            <c:ext xmlns:c16="http://schemas.microsoft.com/office/drawing/2014/chart" uri="{C3380CC4-5D6E-409C-BE32-E72D297353CC}">
              <c16:uniqueId val="{00000000-E64B-4CE1-81A3-D4FAB25EC19D}"/>
            </c:ext>
          </c:extLst>
        </c:ser>
        <c:dLbls>
          <c:showLegendKey val="0"/>
          <c:showVal val="0"/>
          <c:showCatName val="0"/>
          <c:showSerName val="0"/>
          <c:showPercent val="0"/>
          <c:showBubbleSize val="0"/>
        </c:dLbls>
        <c:axId val="297339136"/>
        <c:axId val="297339528"/>
      </c:scatterChart>
      <c:scatterChart>
        <c:scatterStyle val="smoothMarker"/>
        <c:varyColors val="0"/>
        <c:ser>
          <c:idx val="0"/>
          <c:order val="0"/>
          <c:spPr>
            <a:ln w="19050" cap="rnd">
              <a:solidFill>
                <a:schemeClr val="tx1">
                  <a:lumMod val="50000"/>
                  <a:lumOff val="50000"/>
                </a:schemeClr>
              </a:solidFill>
              <a:round/>
            </a:ln>
            <a:effectLst/>
          </c:spPr>
          <c:marker>
            <c:symbol val="circle"/>
            <c:size val="5"/>
            <c:spPr>
              <a:solidFill>
                <a:schemeClr val="accent1"/>
              </a:solidFill>
              <a:ln w="9525">
                <a:solidFill>
                  <a:schemeClr val="tx1">
                    <a:lumMod val="50000"/>
                    <a:lumOff val="50000"/>
                  </a:schemeClr>
                </a:solidFill>
              </a:ln>
              <a:effectLst/>
            </c:spPr>
          </c:marker>
          <c:dPt>
            <c:idx val="0"/>
            <c:marker>
              <c:symbol val="circle"/>
              <c:size val="5"/>
              <c:spPr>
                <a:solidFill>
                  <a:schemeClr val="accent1"/>
                </a:solidFill>
                <a:ln w="9525">
                  <a:solidFill>
                    <a:schemeClr val="tx1">
                      <a:lumMod val="50000"/>
                      <a:lumOff val="50000"/>
                    </a:schemeClr>
                  </a:solidFill>
                </a:ln>
                <a:effectLst/>
              </c:spPr>
            </c:marker>
            <c:bubble3D val="0"/>
            <c:spPr>
              <a:ln w="19050" cap="rnd">
                <a:noFill/>
                <a:round/>
              </a:ln>
              <a:effectLst/>
            </c:spPr>
            <c:extLst>
              <c:ext xmlns:c16="http://schemas.microsoft.com/office/drawing/2014/chart" uri="{C3380CC4-5D6E-409C-BE32-E72D297353CC}">
                <c16:uniqueId val="{00000002-E64B-4CE1-81A3-D4FAB25EC19D}"/>
              </c:ext>
            </c:extLst>
          </c:dPt>
          <c:xVal>
            <c:numRef>
              <c:f>Resultados!$C$38:$C$44</c:f>
              <c:numCache>
                <c:formatCode>0</c:formatCode>
                <c:ptCount val="7"/>
                <c:pt idx="0">
                  <c:v>0</c:v>
                </c:pt>
                <c:pt idx="1">
                  <c:v>0</c:v>
                </c:pt>
                <c:pt idx="2">
                  <c:v>0</c:v>
                </c:pt>
                <c:pt idx="3">
                  <c:v>0</c:v>
                </c:pt>
                <c:pt idx="4">
                  <c:v>0</c:v>
                </c:pt>
                <c:pt idx="5">
                  <c:v>0</c:v>
                </c:pt>
                <c:pt idx="6">
                  <c:v>0</c:v>
                </c:pt>
              </c:numCache>
            </c:numRef>
          </c:xVal>
          <c:yVal>
            <c:numRef>
              <c:f>Resultados!$H$38:$H$44</c:f>
              <c:numCache>
                <c:formatCode>0.000_)</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E64B-4CE1-81A3-D4FAB25EC19D}"/>
            </c:ext>
          </c:extLst>
        </c:ser>
        <c:dLbls>
          <c:showLegendKey val="0"/>
          <c:showVal val="0"/>
          <c:showCatName val="0"/>
          <c:showSerName val="0"/>
          <c:showPercent val="0"/>
          <c:showBubbleSize val="0"/>
        </c:dLbls>
        <c:axId val="297339136"/>
        <c:axId val="297339528"/>
      </c:scatterChart>
      <c:valAx>
        <c:axId val="297339136"/>
        <c:scaling>
          <c:logBase val="10"/>
          <c:orientation val="minMax"/>
          <c:max val="10000"/>
          <c:min val="10"/>
        </c:scaling>
        <c:delete val="0"/>
        <c:axPos val="t"/>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ESFUERZO s(kPa)</a:t>
                </a:r>
              </a:p>
            </c:rich>
          </c:tx>
          <c:layout>
            <c:manualLayout>
              <c:xMode val="edge"/>
              <c:yMode val="edge"/>
              <c:x val="0.39473069414929879"/>
              <c:y val="0.928598447242518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00" sourceLinked="0"/>
        <c:majorTickMark val="in"/>
        <c:minorTickMark val="in"/>
        <c:tickLblPos val="low"/>
        <c:spPr>
          <a:noFill/>
          <a:ln w="9525" cap="flat" cmpd="sng" algn="ctr">
            <a:solidFill>
              <a:schemeClr val="tx1">
                <a:lumMod val="25000"/>
                <a:lumOff val="7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297339528"/>
        <c:crosses val="max"/>
        <c:crossBetween val="midCat"/>
        <c:majorUnit val="10"/>
        <c:minorUnit val="10"/>
      </c:valAx>
      <c:valAx>
        <c:axId val="29733952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RELACIÓN DE VACIOS e</a:t>
                </a:r>
              </a:p>
            </c:rich>
          </c:tx>
          <c:layout>
            <c:manualLayout>
              <c:xMode val="edge"/>
              <c:yMode val="edge"/>
              <c:x val="1.2726661142867583E-2"/>
              <c:y val="0.2757086503158439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00" sourceLinked="0"/>
        <c:majorTickMark val="none"/>
        <c:minorTickMark val="none"/>
        <c:tickLblPos val="low"/>
        <c:spPr>
          <a:noFill/>
          <a:ln w="9525" cap="flat" cmpd="sng" algn="ctr">
            <a:solidFill>
              <a:schemeClr val="tx1">
                <a:lumMod val="25000"/>
                <a:lumOff val="7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297339136"/>
        <c:crossesAt val="1.0000000000000004E-6"/>
        <c:crossBetween val="midCat"/>
      </c:valAx>
      <c:spPr>
        <a:noFill/>
        <a:ln>
          <a:solidFill>
            <a:schemeClr val="accent1"/>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alignWithMargins="0">
      <c:oddHeader>&amp;A</c:oddHeader>
      <c:oddFooter>Página &amp;P</c:oddFooter>
    </c:headerFooter>
    <c:pageMargins b="1" l="0.75" r="0.75" t="1" header="0.511811024" footer="0.511811024"/>
    <c:pageSetup orientation="landscape" horizontalDpi="360" verticalDpi="360"/>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31982407709143"/>
          <c:y val="5.9406212112464642E-2"/>
          <c:w val="0.7926262655571783"/>
          <c:h val="0.77830604158733019"/>
        </c:manualLayout>
      </c:layout>
      <c:scatterChart>
        <c:scatterStyle val="lineMarker"/>
        <c:varyColors val="0"/>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Resultados!$C$44:$C$47</c:f>
              <c:numCache>
                <c:formatCode>0</c:formatCode>
                <c:ptCount val="4"/>
                <c:pt idx="0">
                  <c:v>0</c:v>
                </c:pt>
                <c:pt idx="1">
                  <c:v>0</c:v>
                </c:pt>
                <c:pt idx="2">
                  <c:v>0</c:v>
                </c:pt>
                <c:pt idx="3">
                  <c:v>0</c:v>
                </c:pt>
              </c:numCache>
            </c:numRef>
          </c:xVal>
          <c:yVal>
            <c:numRef>
              <c:f>Resultados!$H$44:$H$47</c:f>
              <c:numCache>
                <c:formatCode>0.000_)</c:formatCode>
                <c:ptCount val="4"/>
                <c:pt idx="0">
                  <c:v>0</c:v>
                </c:pt>
                <c:pt idx="1">
                  <c:v>0</c:v>
                </c:pt>
                <c:pt idx="2">
                  <c:v>0</c:v>
                </c:pt>
                <c:pt idx="3">
                  <c:v>0</c:v>
                </c:pt>
              </c:numCache>
            </c:numRef>
          </c:yVal>
          <c:smooth val="0"/>
          <c:extLst>
            <c:ext xmlns:c16="http://schemas.microsoft.com/office/drawing/2014/chart" uri="{C3380CC4-5D6E-409C-BE32-E72D297353CC}">
              <c16:uniqueId val="{00000000-0340-46D5-846B-084F4306655C}"/>
            </c:ext>
          </c:extLst>
        </c:ser>
        <c:dLbls>
          <c:showLegendKey val="0"/>
          <c:showVal val="0"/>
          <c:showCatName val="0"/>
          <c:showSerName val="0"/>
          <c:showPercent val="0"/>
          <c:showBubbleSize val="0"/>
        </c:dLbls>
        <c:axId val="297339136"/>
        <c:axId val="297339528"/>
      </c:scatterChart>
      <c:scatterChart>
        <c:scatterStyle val="smoothMarker"/>
        <c:varyColors val="0"/>
        <c:ser>
          <c:idx val="0"/>
          <c:order val="0"/>
          <c:spPr>
            <a:ln w="19050" cap="rnd">
              <a:solidFill>
                <a:schemeClr val="tx1">
                  <a:lumMod val="50000"/>
                  <a:lumOff val="50000"/>
                </a:schemeClr>
              </a:solidFill>
              <a:round/>
            </a:ln>
            <a:effectLst/>
          </c:spPr>
          <c:marker>
            <c:symbol val="circle"/>
            <c:size val="5"/>
            <c:spPr>
              <a:solidFill>
                <a:schemeClr val="accent1"/>
              </a:solidFill>
              <a:ln w="9525">
                <a:solidFill>
                  <a:schemeClr val="tx1">
                    <a:lumMod val="50000"/>
                    <a:lumOff val="50000"/>
                  </a:schemeClr>
                </a:solidFill>
              </a:ln>
              <a:effectLst/>
            </c:spPr>
          </c:marker>
          <c:dPt>
            <c:idx val="0"/>
            <c:marker>
              <c:symbol val="circle"/>
              <c:size val="5"/>
              <c:spPr>
                <a:solidFill>
                  <a:schemeClr val="accent1"/>
                </a:solidFill>
                <a:ln w="9525">
                  <a:solidFill>
                    <a:schemeClr val="tx1">
                      <a:lumMod val="50000"/>
                      <a:lumOff val="50000"/>
                    </a:schemeClr>
                  </a:solidFill>
                </a:ln>
                <a:effectLst/>
              </c:spPr>
            </c:marker>
            <c:bubble3D val="0"/>
            <c:spPr>
              <a:ln w="19050" cap="rnd">
                <a:noFill/>
                <a:round/>
              </a:ln>
              <a:effectLst/>
            </c:spPr>
            <c:extLst>
              <c:ext xmlns:c16="http://schemas.microsoft.com/office/drawing/2014/chart" uri="{C3380CC4-5D6E-409C-BE32-E72D297353CC}">
                <c16:uniqueId val="{00000002-0340-46D5-846B-084F4306655C}"/>
              </c:ext>
            </c:extLst>
          </c:dPt>
          <c:xVal>
            <c:numRef>
              <c:f>Resultados!$C$38:$C$44</c:f>
              <c:numCache>
                <c:formatCode>0</c:formatCode>
                <c:ptCount val="7"/>
                <c:pt idx="0">
                  <c:v>0</c:v>
                </c:pt>
                <c:pt idx="1">
                  <c:v>0</c:v>
                </c:pt>
                <c:pt idx="2">
                  <c:v>0</c:v>
                </c:pt>
                <c:pt idx="3">
                  <c:v>0</c:v>
                </c:pt>
                <c:pt idx="4">
                  <c:v>0</c:v>
                </c:pt>
                <c:pt idx="5">
                  <c:v>0</c:v>
                </c:pt>
                <c:pt idx="6">
                  <c:v>0</c:v>
                </c:pt>
              </c:numCache>
            </c:numRef>
          </c:xVal>
          <c:yVal>
            <c:numRef>
              <c:f>Resultados!$H$38:$H$44</c:f>
              <c:numCache>
                <c:formatCode>0.000_)</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0340-46D5-846B-084F4306655C}"/>
            </c:ext>
          </c:extLst>
        </c:ser>
        <c:dLbls>
          <c:showLegendKey val="0"/>
          <c:showVal val="0"/>
          <c:showCatName val="0"/>
          <c:showSerName val="0"/>
          <c:showPercent val="0"/>
          <c:showBubbleSize val="0"/>
        </c:dLbls>
        <c:axId val="297339136"/>
        <c:axId val="297339528"/>
      </c:scatterChart>
      <c:valAx>
        <c:axId val="297339136"/>
        <c:scaling>
          <c:logBase val="10"/>
          <c:orientation val="minMax"/>
          <c:max val="10000"/>
          <c:min val="10"/>
        </c:scaling>
        <c:delete val="0"/>
        <c:axPos val="t"/>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ESFUERZO s(kPa)</a:t>
                </a:r>
              </a:p>
            </c:rich>
          </c:tx>
          <c:layout>
            <c:manualLayout>
              <c:xMode val="edge"/>
              <c:yMode val="edge"/>
              <c:x val="0.39473069414929879"/>
              <c:y val="0.928598447242518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00" sourceLinked="0"/>
        <c:majorTickMark val="in"/>
        <c:minorTickMark val="in"/>
        <c:tickLblPos val="low"/>
        <c:spPr>
          <a:noFill/>
          <a:ln w="9525" cap="flat" cmpd="sng" algn="ctr">
            <a:solidFill>
              <a:schemeClr val="tx1">
                <a:lumMod val="25000"/>
                <a:lumOff val="7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297339528"/>
        <c:crosses val="max"/>
        <c:crossBetween val="midCat"/>
        <c:majorUnit val="10"/>
        <c:minorUnit val="10"/>
      </c:valAx>
      <c:valAx>
        <c:axId val="29733952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RELACIÓN DE VACIOS e</a:t>
                </a:r>
              </a:p>
            </c:rich>
          </c:tx>
          <c:layout>
            <c:manualLayout>
              <c:xMode val="edge"/>
              <c:yMode val="edge"/>
              <c:x val="1.2726661142867583E-2"/>
              <c:y val="0.2757086503158439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00" sourceLinked="0"/>
        <c:majorTickMark val="none"/>
        <c:minorTickMark val="none"/>
        <c:tickLblPos val="low"/>
        <c:spPr>
          <a:noFill/>
          <a:ln w="9525" cap="flat" cmpd="sng" algn="ctr">
            <a:solidFill>
              <a:schemeClr val="tx1">
                <a:lumMod val="25000"/>
                <a:lumOff val="7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297339136"/>
        <c:crossesAt val="1.0000000000000004E-6"/>
        <c:crossBetween val="midCat"/>
      </c:valAx>
      <c:spPr>
        <a:noFill/>
        <a:ln>
          <a:solidFill>
            <a:schemeClr val="accent1"/>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alignWithMargins="0">
      <c:oddHeader>&amp;A</c:oddHeader>
      <c:oddFooter>Página &amp;P</c:oddFooter>
    </c:headerFooter>
    <c:pageMargins b="1" l="0.75" r="0.75" t="1" header="0.511811024" footer="0.511811024"/>
    <c:pageSetup orientation="landscape" horizontalDpi="360" verticalDpi="360"/>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xml"/><Relationship Id="rId7" Type="http://schemas.openxmlformats.org/officeDocument/2006/relationships/image" Target="../media/image5.png"/><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9.png"/><Relationship Id="rId1" Type="http://schemas.openxmlformats.org/officeDocument/2006/relationships/image" Target="../media/image8.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11</xdr:col>
      <xdr:colOff>139213</xdr:colOff>
      <xdr:row>15</xdr:row>
      <xdr:rowOff>190497</xdr:rowOff>
    </xdr:from>
    <xdr:to>
      <xdr:col>16</xdr:col>
      <xdr:colOff>353943</xdr:colOff>
      <xdr:row>35</xdr:row>
      <xdr:rowOff>171978</xdr:rowOff>
    </xdr:to>
    <xdr:graphicFrame macro="">
      <xdr:nvGraphicFramePr>
        <xdr:cNvPr id="1538" name="Chart 15">
          <a:extLst>
            <a:ext uri="{FF2B5EF4-FFF2-40B4-BE49-F238E27FC236}">
              <a16:creationId xmlns:a16="http://schemas.microsoft.com/office/drawing/2014/main" id="{00000000-0008-0000-0000-00000206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editAs="oneCell">
    <xdr:from>
      <xdr:col>30</xdr:col>
      <xdr:colOff>540012</xdr:colOff>
      <xdr:row>17</xdr:row>
      <xdr:rowOff>279320</xdr:rowOff>
    </xdr:from>
    <xdr:to>
      <xdr:col>35</xdr:col>
      <xdr:colOff>430152</xdr:colOff>
      <xdr:row>28</xdr:row>
      <xdr:rowOff>145625</xdr:rowOff>
    </xdr:to>
    <xdr:pic>
      <xdr:nvPicPr>
        <xdr:cNvPr id="11" name="Imagen 10">
          <a:extLst>
            <a:ext uri="{FF2B5EF4-FFF2-40B4-BE49-F238E27FC236}">
              <a16:creationId xmlns:a16="http://schemas.microsoft.com/office/drawing/2014/main" id="{75B46572-ADDD-45BE-891F-87928578220D}"/>
            </a:ext>
          </a:extLst>
        </xdr:cNvPr>
        <xdr:cNvPicPr>
          <a:picLocks noChangeAspect="1"/>
        </xdr:cNvPicPr>
      </xdr:nvPicPr>
      <xdr:blipFill>
        <a:blip xmlns:r="http://schemas.openxmlformats.org/officeDocument/2006/relationships" r:embed="rId2"/>
        <a:stretch>
          <a:fillRect/>
        </a:stretch>
      </xdr:blipFill>
      <xdr:spPr>
        <a:xfrm>
          <a:off x="24374924" y="4167761"/>
          <a:ext cx="3959912" cy="2062657"/>
        </a:xfrm>
        <a:prstGeom prst="rect">
          <a:avLst/>
        </a:prstGeom>
      </xdr:spPr>
    </xdr:pic>
    <xdr:clientData/>
  </xdr:twoCellAnchor>
  <xdr:twoCellAnchor>
    <xdr:from>
      <xdr:col>12</xdr:col>
      <xdr:colOff>1233476</xdr:colOff>
      <xdr:row>19</xdr:row>
      <xdr:rowOff>38488</xdr:rowOff>
    </xdr:from>
    <xdr:to>
      <xdr:col>15</xdr:col>
      <xdr:colOff>299552</xdr:colOff>
      <xdr:row>19</xdr:row>
      <xdr:rowOff>52309</xdr:rowOff>
    </xdr:to>
    <xdr:cxnSp macro="">
      <xdr:nvCxnSpPr>
        <xdr:cNvPr id="46" name="Conector recto 45">
          <a:extLst>
            <a:ext uri="{FF2B5EF4-FFF2-40B4-BE49-F238E27FC236}">
              <a16:creationId xmlns:a16="http://schemas.microsoft.com/office/drawing/2014/main" id="{85F4A88F-D3EE-4C75-8522-779B14D453AF}"/>
            </a:ext>
          </a:extLst>
        </xdr:cNvPr>
        <xdr:cNvCxnSpPr/>
      </xdr:nvCxnSpPr>
      <xdr:spPr>
        <a:xfrm flipV="1">
          <a:off x="12906461" y="4344177"/>
          <a:ext cx="1359851" cy="13821"/>
        </a:xfrm>
        <a:prstGeom prst="line">
          <a:avLst/>
        </a:prstGeom>
        <a:ln>
          <a:solidFill>
            <a:schemeClr val="tx1"/>
          </a:solidFill>
          <a:prstDash val="dash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281862</xdr:colOff>
      <xdr:row>19</xdr:row>
      <xdr:rowOff>106914</xdr:rowOff>
    </xdr:from>
    <xdr:to>
      <xdr:col>15</xdr:col>
      <xdr:colOff>242985</xdr:colOff>
      <xdr:row>30</xdr:row>
      <xdr:rowOff>116634</xdr:rowOff>
    </xdr:to>
    <xdr:cxnSp macro="">
      <xdr:nvCxnSpPr>
        <xdr:cNvPr id="47" name="Conector recto 46">
          <a:extLst>
            <a:ext uri="{FF2B5EF4-FFF2-40B4-BE49-F238E27FC236}">
              <a16:creationId xmlns:a16="http://schemas.microsoft.com/office/drawing/2014/main" id="{94A30FCF-3085-451A-878E-F1B61438FB3E}"/>
            </a:ext>
          </a:extLst>
        </xdr:cNvPr>
        <xdr:cNvCxnSpPr/>
      </xdr:nvCxnSpPr>
      <xdr:spPr>
        <a:xfrm>
          <a:off x="11954847" y="4412603"/>
          <a:ext cx="2254898" cy="2147985"/>
        </a:xfrm>
        <a:prstGeom prst="line">
          <a:avLst/>
        </a:prstGeom>
        <a:ln>
          <a:solidFill>
            <a:schemeClr val="tx1"/>
          </a:solidFill>
          <a:prstDash val="dash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495687</xdr:colOff>
      <xdr:row>19</xdr:row>
      <xdr:rowOff>58317</xdr:rowOff>
    </xdr:from>
    <xdr:to>
      <xdr:col>15</xdr:col>
      <xdr:colOff>155509</xdr:colOff>
      <xdr:row>24</xdr:row>
      <xdr:rowOff>155511</xdr:rowOff>
    </xdr:to>
    <xdr:cxnSp macro="">
      <xdr:nvCxnSpPr>
        <xdr:cNvPr id="48" name="Conector recto 47">
          <a:extLst>
            <a:ext uri="{FF2B5EF4-FFF2-40B4-BE49-F238E27FC236}">
              <a16:creationId xmlns:a16="http://schemas.microsoft.com/office/drawing/2014/main" id="{44576F5D-AE95-48D5-A78D-9F2F88AA4CD7}"/>
            </a:ext>
          </a:extLst>
        </xdr:cNvPr>
        <xdr:cNvCxnSpPr/>
      </xdr:nvCxnSpPr>
      <xdr:spPr>
        <a:xfrm flipH="1" flipV="1">
          <a:off x="12168672" y="4364006"/>
          <a:ext cx="1953597" cy="1117729"/>
        </a:xfrm>
        <a:prstGeom prst="line">
          <a:avLst/>
        </a:prstGeom>
        <a:ln>
          <a:solidFill>
            <a:srgbClr val="00B0F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143785</xdr:colOff>
      <xdr:row>17</xdr:row>
      <xdr:rowOff>104186</xdr:rowOff>
    </xdr:from>
    <xdr:to>
      <xdr:col>13</xdr:col>
      <xdr:colOff>148798</xdr:colOff>
      <xdr:row>33</xdr:row>
      <xdr:rowOff>99173</xdr:rowOff>
    </xdr:to>
    <xdr:cxnSp macro="">
      <xdr:nvCxnSpPr>
        <xdr:cNvPr id="49" name="Conector recto 48">
          <a:extLst>
            <a:ext uri="{FF2B5EF4-FFF2-40B4-BE49-F238E27FC236}">
              <a16:creationId xmlns:a16="http://schemas.microsoft.com/office/drawing/2014/main" id="{ED174B9C-1A21-4CF9-AFFD-1F2F4F4D96F9}"/>
            </a:ext>
          </a:extLst>
        </xdr:cNvPr>
        <xdr:cNvCxnSpPr/>
      </xdr:nvCxnSpPr>
      <xdr:spPr>
        <a:xfrm>
          <a:off x="13051132" y="3933625"/>
          <a:ext cx="5013" cy="3221824"/>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156309</xdr:colOff>
      <xdr:row>21</xdr:row>
      <xdr:rowOff>56404</xdr:rowOff>
    </xdr:from>
    <xdr:to>
      <xdr:col>15</xdr:col>
      <xdr:colOff>505408</xdr:colOff>
      <xdr:row>22</xdr:row>
      <xdr:rowOff>145792</xdr:rowOff>
    </xdr:to>
    <xdr:cxnSp macro="">
      <xdr:nvCxnSpPr>
        <xdr:cNvPr id="50" name="Conector recto 49">
          <a:extLst>
            <a:ext uri="{FF2B5EF4-FFF2-40B4-BE49-F238E27FC236}">
              <a16:creationId xmlns:a16="http://schemas.microsoft.com/office/drawing/2014/main" id="{2AC41F4A-1F5E-46F7-8724-8E18C8C60F93}"/>
            </a:ext>
          </a:extLst>
        </xdr:cNvPr>
        <xdr:cNvCxnSpPr/>
      </xdr:nvCxnSpPr>
      <xdr:spPr>
        <a:xfrm>
          <a:off x="13063656" y="4770307"/>
          <a:ext cx="1408512" cy="293495"/>
        </a:xfrm>
        <a:prstGeom prst="line">
          <a:avLst/>
        </a:prstGeom>
        <a:ln>
          <a:solidFill>
            <a:schemeClr val="tx1"/>
          </a:solidFill>
          <a:prstDash val="dash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139212</xdr:colOff>
      <xdr:row>36</xdr:row>
      <xdr:rowOff>14660</xdr:rowOff>
    </xdr:from>
    <xdr:to>
      <xdr:col>16</xdr:col>
      <xdr:colOff>353942</xdr:colOff>
      <xdr:row>54</xdr:row>
      <xdr:rowOff>62083</xdr:rowOff>
    </xdr:to>
    <xdr:graphicFrame macro="">
      <xdr:nvGraphicFramePr>
        <xdr:cNvPr id="3" name="Chart 15">
          <a:extLst>
            <a:ext uri="{FF2B5EF4-FFF2-40B4-BE49-F238E27FC236}">
              <a16:creationId xmlns:a16="http://schemas.microsoft.com/office/drawing/2014/main" id="{AEED58EE-F0D5-49B5-B688-7D3C9243E8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twoCellAnchor>
  <xdr:twoCellAnchor editAs="oneCell">
    <xdr:from>
      <xdr:col>0</xdr:col>
      <xdr:colOff>154822</xdr:colOff>
      <xdr:row>0</xdr:row>
      <xdr:rowOff>100030</xdr:rowOff>
    </xdr:from>
    <xdr:to>
      <xdr:col>3</xdr:col>
      <xdr:colOff>828265</xdr:colOff>
      <xdr:row>3</xdr:row>
      <xdr:rowOff>129867</xdr:rowOff>
    </xdr:to>
    <xdr:pic>
      <xdr:nvPicPr>
        <xdr:cNvPr id="5" name="Imagen 4">
          <a:extLst>
            <a:ext uri="{FF2B5EF4-FFF2-40B4-BE49-F238E27FC236}">
              <a16:creationId xmlns:a16="http://schemas.microsoft.com/office/drawing/2014/main" id="{F309FA35-32D7-41EF-B2F2-5FE722437A73}"/>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54822" y="100030"/>
          <a:ext cx="3067117" cy="675880"/>
        </a:xfrm>
        <a:prstGeom prst="rect">
          <a:avLst/>
        </a:prstGeom>
      </xdr:spPr>
    </xdr:pic>
    <xdr:clientData/>
  </xdr:twoCellAnchor>
  <xdr:twoCellAnchor>
    <xdr:from>
      <xdr:col>2</xdr:col>
      <xdr:colOff>66675</xdr:colOff>
      <xdr:row>66</xdr:row>
      <xdr:rowOff>457200</xdr:rowOff>
    </xdr:from>
    <xdr:to>
      <xdr:col>3</xdr:col>
      <xdr:colOff>285750</xdr:colOff>
      <xdr:row>66</xdr:row>
      <xdr:rowOff>457200</xdr:rowOff>
    </xdr:to>
    <xdr:cxnSp macro="">
      <xdr:nvCxnSpPr>
        <xdr:cNvPr id="2" name="Conector recto de flecha 1">
          <a:extLst>
            <a:ext uri="{FF2B5EF4-FFF2-40B4-BE49-F238E27FC236}">
              <a16:creationId xmlns:a16="http://schemas.microsoft.com/office/drawing/2014/main" id="{6EFF7CD6-6A60-4A59-BB6B-CEEA72EFB296}"/>
            </a:ext>
          </a:extLst>
        </xdr:cNvPr>
        <xdr:cNvCxnSpPr/>
      </xdr:nvCxnSpPr>
      <xdr:spPr bwMode="auto">
        <a:xfrm flipH="1">
          <a:off x="800100" y="12287250"/>
          <a:ext cx="1533525" cy="0"/>
        </a:xfrm>
        <a:prstGeom prst="straightConnector1">
          <a:avLst/>
        </a:prstGeom>
        <a:ln>
          <a:headEnd type="none" w="med" len="med"/>
          <a:tailEnd type="triangle"/>
        </a:ln>
      </xdr:spPr>
      <xdr:style>
        <a:lnRef idx="3">
          <a:schemeClr val="accent2"/>
        </a:lnRef>
        <a:fillRef idx="0">
          <a:schemeClr val="accent2"/>
        </a:fillRef>
        <a:effectRef idx="2">
          <a:schemeClr val="accent2"/>
        </a:effectRef>
        <a:fontRef idx="minor">
          <a:schemeClr val="tx1"/>
        </a:fontRef>
      </xdr:style>
    </xdr:cxnSp>
    <xdr:clientData/>
  </xdr:twoCellAnchor>
  <xdr:twoCellAnchor editAs="oneCell">
    <xdr:from>
      <xdr:col>9</xdr:col>
      <xdr:colOff>73270</xdr:colOff>
      <xdr:row>58</xdr:row>
      <xdr:rowOff>73269</xdr:rowOff>
    </xdr:from>
    <xdr:to>
      <xdr:col>11</xdr:col>
      <xdr:colOff>402382</xdr:colOff>
      <xdr:row>59</xdr:row>
      <xdr:rowOff>504417</xdr:rowOff>
    </xdr:to>
    <xdr:pic>
      <xdr:nvPicPr>
        <xdr:cNvPr id="7" name="Imagen 6">
          <a:extLst>
            <a:ext uri="{FF2B5EF4-FFF2-40B4-BE49-F238E27FC236}">
              <a16:creationId xmlns:a16="http://schemas.microsoft.com/office/drawing/2014/main" id="{49B1FDE2-89FA-423B-9EDC-B840B1AE3770}"/>
            </a:ext>
          </a:extLst>
        </xdr:cNvPr>
        <xdr:cNvPicPr>
          <a:picLocks noChangeAspect="1"/>
        </xdr:cNvPicPr>
      </xdr:nvPicPr>
      <xdr:blipFill rotWithShape="1">
        <a:blip xmlns:r="http://schemas.openxmlformats.org/officeDocument/2006/relationships" r:embed="rId5"/>
        <a:srcRect l="88188"/>
        <a:stretch/>
      </xdr:blipFill>
      <xdr:spPr>
        <a:xfrm>
          <a:off x="8220808" y="12551019"/>
          <a:ext cx="2519863" cy="958687"/>
        </a:xfrm>
        <a:prstGeom prst="rect">
          <a:avLst/>
        </a:prstGeom>
      </xdr:spPr>
    </xdr:pic>
    <xdr:clientData/>
  </xdr:twoCellAnchor>
  <xdr:twoCellAnchor editAs="oneCell">
    <xdr:from>
      <xdr:col>36</xdr:col>
      <xdr:colOff>705970</xdr:colOff>
      <xdr:row>55</xdr:row>
      <xdr:rowOff>134470</xdr:rowOff>
    </xdr:from>
    <xdr:to>
      <xdr:col>44</xdr:col>
      <xdr:colOff>544872</xdr:colOff>
      <xdr:row>59</xdr:row>
      <xdr:rowOff>338619</xdr:rowOff>
    </xdr:to>
    <xdr:pic>
      <xdr:nvPicPr>
        <xdr:cNvPr id="4" name="Imagen 3">
          <a:extLst>
            <a:ext uri="{FF2B5EF4-FFF2-40B4-BE49-F238E27FC236}">
              <a16:creationId xmlns:a16="http://schemas.microsoft.com/office/drawing/2014/main" id="{67017AB2-0DE8-43DF-9B89-2CEC7530EBD2}"/>
            </a:ext>
          </a:extLst>
        </xdr:cNvPr>
        <xdr:cNvPicPr>
          <a:picLocks noChangeAspect="1"/>
        </xdr:cNvPicPr>
      </xdr:nvPicPr>
      <xdr:blipFill>
        <a:blip xmlns:r="http://schemas.openxmlformats.org/officeDocument/2006/relationships" r:embed="rId6"/>
        <a:stretch>
          <a:fillRect/>
        </a:stretch>
      </xdr:blipFill>
      <xdr:spPr>
        <a:xfrm>
          <a:off x="29112882" y="12068735"/>
          <a:ext cx="5934903" cy="1448002"/>
        </a:xfrm>
        <a:prstGeom prst="rect">
          <a:avLst/>
        </a:prstGeom>
      </xdr:spPr>
    </xdr:pic>
    <xdr:clientData/>
  </xdr:twoCellAnchor>
  <xdr:twoCellAnchor editAs="oneCell">
    <xdr:from>
      <xdr:col>27</xdr:col>
      <xdr:colOff>640976</xdr:colOff>
      <xdr:row>37</xdr:row>
      <xdr:rowOff>28575</xdr:rowOff>
    </xdr:from>
    <xdr:to>
      <xdr:col>32</xdr:col>
      <xdr:colOff>479605</xdr:colOff>
      <xdr:row>40</xdr:row>
      <xdr:rowOff>152501</xdr:rowOff>
    </xdr:to>
    <xdr:pic>
      <xdr:nvPicPr>
        <xdr:cNvPr id="9" name="Imagen 8">
          <a:extLst>
            <a:ext uri="{FF2B5EF4-FFF2-40B4-BE49-F238E27FC236}">
              <a16:creationId xmlns:a16="http://schemas.microsoft.com/office/drawing/2014/main" id="{B70E3089-F195-F458-3FEF-9D99F6ACD179}"/>
            </a:ext>
          </a:extLst>
        </xdr:cNvPr>
        <xdr:cNvPicPr>
          <a:picLocks noChangeAspect="1"/>
        </xdr:cNvPicPr>
      </xdr:nvPicPr>
      <xdr:blipFill>
        <a:blip xmlns:r="http://schemas.openxmlformats.org/officeDocument/2006/relationships" r:embed="rId7"/>
        <a:stretch>
          <a:fillRect/>
        </a:stretch>
      </xdr:blipFill>
      <xdr:spPr>
        <a:xfrm>
          <a:off x="21876123" y="7928722"/>
          <a:ext cx="3962393" cy="729044"/>
        </a:xfrm>
        <a:prstGeom prst="rect">
          <a:avLst/>
        </a:prstGeom>
      </xdr:spPr>
    </xdr:pic>
    <xdr:clientData/>
  </xdr:twoCellAnchor>
  <xdr:twoCellAnchor editAs="oneCell">
    <xdr:from>
      <xdr:col>13</xdr:col>
      <xdr:colOff>662609</xdr:colOff>
      <xdr:row>58</xdr:row>
      <xdr:rowOff>173935</xdr:rowOff>
    </xdr:from>
    <xdr:to>
      <xdr:col>15</xdr:col>
      <xdr:colOff>1053503</xdr:colOff>
      <xdr:row>60</xdr:row>
      <xdr:rowOff>52826</xdr:rowOff>
    </xdr:to>
    <xdr:pic>
      <xdr:nvPicPr>
        <xdr:cNvPr id="16" name="Imagen 15">
          <a:extLst>
            <a:ext uri="{FF2B5EF4-FFF2-40B4-BE49-F238E27FC236}">
              <a16:creationId xmlns:a16="http://schemas.microsoft.com/office/drawing/2014/main" id="{C6A8E986-4F6D-6FD1-B967-847C928A544C}"/>
            </a:ext>
          </a:extLst>
        </xdr:cNvPr>
        <xdr:cNvPicPr>
          <a:picLocks noChangeAspect="1"/>
        </xdr:cNvPicPr>
      </xdr:nvPicPr>
      <xdr:blipFill>
        <a:blip xmlns:r="http://schemas.openxmlformats.org/officeDocument/2006/relationships" r:embed="rId8"/>
        <a:stretch>
          <a:fillRect/>
        </a:stretch>
      </xdr:blipFill>
      <xdr:spPr>
        <a:xfrm>
          <a:off x="13566913" y="12606131"/>
          <a:ext cx="1451068" cy="922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95251</xdr:colOff>
      <xdr:row>18</xdr:row>
      <xdr:rowOff>14655</xdr:rowOff>
    </xdr:from>
    <xdr:to>
      <xdr:col>10</xdr:col>
      <xdr:colOff>490905</xdr:colOff>
      <xdr:row>41</xdr:row>
      <xdr:rowOff>190500</xdr:rowOff>
    </xdr:to>
    <xdr:graphicFrame macro="">
      <xdr:nvGraphicFramePr>
        <xdr:cNvPr id="3" name="8 Gráfico">
          <a:extLst>
            <a:ext uri="{FF2B5EF4-FFF2-40B4-BE49-F238E27FC236}">
              <a16:creationId xmlns:a16="http://schemas.microsoft.com/office/drawing/2014/main" id="{94AA4447-EDD4-474C-8EC5-61843FD02C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oneCellAnchor>
    <xdr:from>
      <xdr:col>17</xdr:col>
      <xdr:colOff>546652</xdr:colOff>
      <xdr:row>62</xdr:row>
      <xdr:rowOff>8282</xdr:rowOff>
    </xdr:from>
    <xdr:ext cx="1752916" cy="519181"/>
    <mc:AlternateContent xmlns:mc="http://schemas.openxmlformats.org/markup-compatibility/2006" xmlns:a14="http://schemas.microsoft.com/office/drawing/2010/main">
      <mc:Choice Requires="a14">
        <xdr:sp macro="" textlink="">
          <xdr:nvSpPr>
            <xdr:cNvPr id="5" name="CuadroTexto 4">
              <a:extLst>
                <a:ext uri="{FF2B5EF4-FFF2-40B4-BE49-F238E27FC236}">
                  <a16:creationId xmlns:a16="http://schemas.microsoft.com/office/drawing/2014/main" id="{A18A9779-47DE-44AC-9B8F-866C4A8F2A16}"/>
                </a:ext>
              </a:extLst>
            </xdr:cNvPr>
            <xdr:cNvSpPr txBox="1"/>
          </xdr:nvSpPr>
          <xdr:spPr>
            <a:xfrm>
              <a:off x="10378109" y="8812695"/>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5" name="CuadroTexto 4">
              <a:extLst>
                <a:ext uri="{FF2B5EF4-FFF2-40B4-BE49-F238E27FC236}">
                  <a16:creationId xmlns:a16="http://schemas.microsoft.com/office/drawing/2014/main" id="{A18A9779-47DE-44AC-9B8F-866C4A8F2A16}"/>
                </a:ext>
              </a:extLst>
            </xdr:cNvPr>
            <xdr:cNvSpPr txBox="1"/>
          </xdr:nvSpPr>
          <xdr:spPr>
            <a:xfrm>
              <a:off x="10378109" y="8812695"/>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editAs="oneCell">
    <xdr:from>
      <xdr:col>0</xdr:col>
      <xdr:colOff>154822</xdr:colOff>
      <xdr:row>0</xdr:row>
      <xdr:rowOff>100030</xdr:rowOff>
    </xdr:from>
    <xdr:to>
      <xdr:col>3</xdr:col>
      <xdr:colOff>1018765</xdr:colOff>
      <xdr:row>3</xdr:row>
      <xdr:rowOff>129867</xdr:rowOff>
    </xdr:to>
    <xdr:pic>
      <xdr:nvPicPr>
        <xdr:cNvPr id="4" name="Imagen 3">
          <a:extLst>
            <a:ext uri="{FF2B5EF4-FFF2-40B4-BE49-F238E27FC236}">
              <a16:creationId xmlns:a16="http://schemas.microsoft.com/office/drawing/2014/main" id="{D2052C97-217B-465C-B497-FC06F37F866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4822" y="100030"/>
          <a:ext cx="3064218" cy="68706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69273</xdr:colOff>
      <xdr:row>18</xdr:row>
      <xdr:rowOff>14654</xdr:rowOff>
    </xdr:from>
    <xdr:to>
      <xdr:col>10</xdr:col>
      <xdr:colOff>490904</xdr:colOff>
      <xdr:row>42</xdr:row>
      <xdr:rowOff>147204</xdr:rowOff>
    </xdr:to>
    <xdr:graphicFrame macro="">
      <xdr:nvGraphicFramePr>
        <xdr:cNvPr id="2" name="8 Gráfico">
          <a:extLst>
            <a:ext uri="{FF2B5EF4-FFF2-40B4-BE49-F238E27FC236}">
              <a16:creationId xmlns:a16="http://schemas.microsoft.com/office/drawing/2014/main" id="{1F046594-2BA9-4C7B-960C-50E178292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oneCellAnchor>
    <xdr:from>
      <xdr:col>17</xdr:col>
      <xdr:colOff>546652</xdr:colOff>
      <xdr:row>62</xdr:row>
      <xdr:rowOff>8282</xdr:rowOff>
    </xdr:from>
    <xdr:ext cx="1752916" cy="519181"/>
    <mc:AlternateContent xmlns:mc="http://schemas.openxmlformats.org/markup-compatibility/2006" xmlns:a14="http://schemas.microsoft.com/office/drawing/2010/main">
      <mc:Choice Requires="a14">
        <xdr:sp macro="" textlink="">
          <xdr:nvSpPr>
            <xdr:cNvPr id="3" name="CuadroTexto 2">
              <a:extLst>
                <a:ext uri="{FF2B5EF4-FFF2-40B4-BE49-F238E27FC236}">
                  <a16:creationId xmlns:a16="http://schemas.microsoft.com/office/drawing/2014/main" id="{FCB4BA3A-9647-4B72-AE65-DC90292BEC8D}"/>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3" name="CuadroTexto 2">
              <a:extLst>
                <a:ext uri="{FF2B5EF4-FFF2-40B4-BE49-F238E27FC236}">
                  <a16:creationId xmlns:a16="http://schemas.microsoft.com/office/drawing/2014/main" id="{FCB4BA3A-9647-4B72-AE65-DC90292BEC8D}"/>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editAs="oneCell">
    <xdr:from>
      <xdr:col>0</xdr:col>
      <xdr:colOff>154822</xdr:colOff>
      <xdr:row>0</xdr:row>
      <xdr:rowOff>100030</xdr:rowOff>
    </xdr:from>
    <xdr:to>
      <xdr:col>3</xdr:col>
      <xdr:colOff>1018765</xdr:colOff>
      <xdr:row>3</xdr:row>
      <xdr:rowOff>129867</xdr:rowOff>
    </xdr:to>
    <xdr:pic>
      <xdr:nvPicPr>
        <xdr:cNvPr id="5" name="Imagen 4">
          <a:extLst>
            <a:ext uri="{FF2B5EF4-FFF2-40B4-BE49-F238E27FC236}">
              <a16:creationId xmlns:a16="http://schemas.microsoft.com/office/drawing/2014/main" id="{D731318E-E6D8-4A7A-814C-CBA2CA1F1A8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4822" y="100030"/>
          <a:ext cx="3064218" cy="68706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7</xdr:col>
      <xdr:colOff>62901</xdr:colOff>
      <xdr:row>18</xdr:row>
      <xdr:rowOff>14653</xdr:rowOff>
    </xdr:from>
    <xdr:to>
      <xdr:col>10</xdr:col>
      <xdr:colOff>490904</xdr:colOff>
      <xdr:row>42</xdr:row>
      <xdr:rowOff>170730</xdr:rowOff>
    </xdr:to>
    <xdr:graphicFrame macro="">
      <xdr:nvGraphicFramePr>
        <xdr:cNvPr id="2" name="8 Gráfico">
          <a:extLst>
            <a:ext uri="{FF2B5EF4-FFF2-40B4-BE49-F238E27FC236}">
              <a16:creationId xmlns:a16="http://schemas.microsoft.com/office/drawing/2014/main" id="{ACADB58D-1B02-403F-9293-4D3DA5F020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oneCellAnchor>
    <xdr:from>
      <xdr:col>17</xdr:col>
      <xdr:colOff>546652</xdr:colOff>
      <xdr:row>62</xdr:row>
      <xdr:rowOff>8282</xdr:rowOff>
    </xdr:from>
    <xdr:ext cx="1752916" cy="519181"/>
    <mc:AlternateContent xmlns:mc="http://schemas.openxmlformats.org/markup-compatibility/2006" xmlns:a14="http://schemas.microsoft.com/office/drawing/2010/main">
      <mc:Choice Requires="a14">
        <xdr:sp macro="" textlink="">
          <xdr:nvSpPr>
            <xdr:cNvPr id="3" name="CuadroTexto 2">
              <a:extLst>
                <a:ext uri="{FF2B5EF4-FFF2-40B4-BE49-F238E27FC236}">
                  <a16:creationId xmlns:a16="http://schemas.microsoft.com/office/drawing/2014/main" id="{C6A7F981-4CE5-4314-B133-F4C1B8BD062D}"/>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3" name="CuadroTexto 2">
              <a:extLst>
                <a:ext uri="{FF2B5EF4-FFF2-40B4-BE49-F238E27FC236}">
                  <a16:creationId xmlns:a16="http://schemas.microsoft.com/office/drawing/2014/main" id="{C6A7F981-4CE5-4314-B133-F4C1B8BD062D}"/>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editAs="oneCell">
    <xdr:from>
      <xdr:col>0</xdr:col>
      <xdr:colOff>154822</xdr:colOff>
      <xdr:row>0</xdr:row>
      <xdr:rowOff>100030</xdr:rowOff>
    </xdr:from>
    <xdr:to>
      <xdr:col>3</xdr:col>
      <xdr:colOff>1018765</xdr:colOff>
      <xdr:row>3</xdr:row>
      <xdr:rowOff>129867</xdr:rowOff>
    </xdr:to>
    <xdr:pic>
      <xdr:nvPicPr>
        <xdr:cNvPr id="5" name="Imagen 4">
          <a:extLst>
            <a:ext uri="{FF2B5EF4-FFF2-40B4-BE49-F238E27FC236}">
              <a16:creationId xmlns:a16="http://schemas.microsoft.com/office/drawing/2014/main" id="{B02DF031-9DAF-4795-9513-4514A66618F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4822" y="100030"/>
          <a:ext cx="3064218" cy="68706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7</xdr:col>
      <xdr:colOff>61452</xdr:colOff>
      <xdr:row>18</xdr:row>
      <xdr:rowOff>14654</xdr:rowOff>
    </xdr:from>
    <xdr:to>
      <xdr:col>10</xdr:col>
      <xdr:colOff>490904</xdr:colOff>
      <xdr:row>42</xdr:row>
      <xdr:rowOff>99859</xdr:rowOff>
    </xdr:to>
    <xdr:graphicFrame macro="">
      <xdr:nvGraphicFramePr>
        <xdr:cNvPr id="2" name="8 Gráfico">
          <a:extLst>
            <a:ext uri="{FF2B5EF4-FFF2-40B4-BE49-F238E27FC236}">
              <a16:creationId xmlns:a16="http://schemas.microsoft.com/office/drawing/2014/main" id="{902E9509-66BE-490C-ACB4-1A3897F9BB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oneCellAnchor>
    <xdr:from>
      <xdr:col>17</xdr:col>
      <xdr:colOff>546652</xdr:colOff>
      <xdr:row>62</xdr:row>
      <xdr:rowOff>8282</xdr:rowOff>
    </xdr:from>
    <xdr:ext cx="1752916" cy="519181"/>
    <mc:AlternateContent xmlns:mc="http://schemas.openxmlformats.org/markup-compatibility/2006" xmlns:a14="http://schemas.microsoft.com/office/drawing/2010/main">
      <mc:Choice Requires="a14">
        <xdr:sp macro="" textlink="">
          <xdr:nvSpPr>
            <xdr:cNvPr id="3" name="CuadroTexto 2">
              <a:extLst>
                <a:ext uri="{FF2B5EF4-FFF2-40B4-BE49-F238E27FC236}">
                  <a16:creationId xmlns:a16="http://schemas.microsoft.com/office/drawing/2014/main" id="{2243AFC7-2D49-4E49-A62E-5DB5F9AE33E4}"/>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3" name="CuadroTexto 2">
              <a:extLst>
                <a:ext uri="{FF2B5EF4-FFF2-40B4-BE49-F238E27FC236}">
                  <a16:creationId xmlns:a16="http://schemas.microsoft.com/office/drawing/2014/main" id="{2243AFC7-2D49-4E49-A62E-5DB5F9AE33E4}"/>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editAs="oneCell">
    <xdr:from>
      <xdr:col>0</xdr:col>
      <xdr:colOff>154822</xdr:colOff>
      <xdr:row>0</xdr:row>
      <xdr:rowOff>100030</xdr:rowOff>
    </xdr:from>
    <xdr:to>
      <xdr:col>3</xdr:col>
      <xdr:colOff>1018765</xdr:colOff>
      <xdr:row>3</xdr:row>
      <xdr:rowOff>129867</xdr:rowOff>
    </xdr:to>
    <xdr:pic>
      <xdr:nvPicPr>
        <xdr:cNvPr id="5" name="Imagen 4">
          <a:extLst>
            <a:ext uri="{FF2B5EF4-FFF2-40B4-BE49-F238E27FC236}">
              <a16:creationId xmlns:a16="http://schemas.microsoft.com/office/drawing/2014/main" id="{3B553AAC-2602-4225-AB1C-2A0737864F5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4822" y="100030"/>
          <a:ext cx="3064218" cy="68706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7</xdr:col>
      <xdr:colOff>46955</xdr:colOff>
      <xdr:row>18</xdr:row>
      <xdr:rowOff>14653</xdr:rowOff>
    </xdr:from>
    <xdr:to>
      <xdr:col>10</xdr:col>
      <xdr:colOff>490905</xdr:colOff>
      <xdr:row>42</xdr:row>
      <xdr:rowOff>167693</xdr:rowOff>
    </xdr:to>
    <xdr:graphicFrame macro="">
      <xdr:nvGraphicFramePr>
        <xdr:cNvPr id="2" name="8 Gráfico">
          <a:extLst>
            <a:ext uri="{FF2B5EF4-FFF2-40B4-BE49-F238E27FC236}">
              <a16:creationId xmlns:a16="http://schemas.microsoft.com/office/drawing/2014/main" id="{76D8F8EE-EB22-4287-9CD2-E0F696B011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oneCellAnchor>
    <xdr:from>
      <xdr:col>17</xdr:col>
      <xdr:colOff>546652</xdr:colOff>
      <xdr:row>62</xdr:row>
      <xdr:rowOff>8282</xdr:rowOff>
    </xdr:from>
    <xdr:ext cx="1752916" cy="519181"/>
    <mc:AlternateContent xmlns:mc="http://schemas.openxmlformats.org/markup-compatibility/2006" xmlns:a14="http://schemas.microsoft.com/office/drawing/2010/main">
      <mc:Choice Requires="a14">
        <xdr:sp macro="" textlink="">
          <xdr:nvSpPr>
            <xdr:cNvPr id="3" name="CuadroTexto 2">
              <a:extLst>
                <a:ext uri="{FF2B5EF4-FFF2-40B4-BE49-F238E27FC236}">
                  <a16:creationId xmlns:a16="http://schemas.microsoft.com/office/drawing/2014/main" id="{9A8566CB-CA57-478C-90BB-EA50955F37E9}"/>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3" name="CuadroTexto 2">
              <a:extLst>
                <a:ext uri="{FF2B5EF4-FFF2-40B4-BE49-F238E27FC236}">
                  <a16:creationId xmlns:a16="http://schemas.microsoft.com/office/drawing/2014/main" id="{9A8566CB-CA57-478C-90BB-EA50955F37E9}"/>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editAs="oneCell">
    <xdr:from>
      <xdr:col>0</xdr:col>
      <xdr:colOff>154822</xdr:colOff>
      <xdr:row>0</xdr:row>
      <xdr:rowOff>100030</xdr:rowOff>
    </xdr:from>
    <xdr:to>
      <xdr:col>3</xdr:col>
      <xdr:colOff>1018765</xdr:colOff>
      <xdr:row>3</xdr:row>
      <xdr:rowOff>129867</xdr:rowOff>
    </xdr:to>
    <xdr:pic>
      <xdr:nvPicPr>
        <xdr:cNvPr id="5" name="Imagen 4">
          <a:extLst>
            <a:ext uri="{FF2B5EF4-FFF2-40B4-BE49-F238E27FC236}">
              <a16:creationId xmlns:a16="http://schemas.microsoft.com/office/drawing/2014/main" id="{BF4AE413-41D9-458D-BF9C-1EDE8E88B6C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4822" y="100030"/>
          <a:ext cx="3064218" cy="687062"/>
        </a:xfrm>
        <a:prstGeom prst="rect">
          <a:avLst/>
        </a:prstGeom>
      </xdr:spPr>
    </xdr:pic>
    <xdr:clientData/>
  </xdr:twoCellAnchor>
  <xdr:twoCellAnchor editAs="oneCell">
    <xdr:from>
      <xdr:col>19</xdr:col>
      <xdr:colOff>466531</xdr:colOff>
      <xdr:row>17</xdr:row>
      <xdr:rowOff>213826</xdr:rowOff>
    </xdr:from>
    <xdr:to>
      <xdr:col>25</xdr:col>
      <xdr:colOff>539026</xdr:colOff>
      <xdr:row>40</xdr:row>
      <xdr:rowOff>176214</xdr:rowOff>
    </xdr:to>
    <xdr:pic>
      <xdr:nvPicPr>
        <xdr:cNvPr id="4" name="Imagen 3">
          <a:extLst>
            <a:ext uri="{FF2B5EF4-FFF2-40B4-BE49-F238E27FC236}">
              <a16:creationId xmlns:a16="http://schemas.microsoft.com/office/drawing/2014/main" id="{C4F99F75-AC4D-B2C0-E359-D86ED5828D56}"/>
            </a:ext>
          </a:extLst>
        </xdr:cNvPr>
        <xdr:cNvPicPr>
          <a:picLocks noChangeAspect="1"/>
        </xdr:cNvPicPr>
      </xdr:nvPicPr>
      <xdr:blipFill>
        <a:blip xmlns:r="http://schemas.openxmlformats.org/officeDocument/2006/relationships" r:embed="rId3"/>
        <a:stretch>
          <a:fillRect/>
        </a:stretch>
      </xdr:blipFill>
      <xdr:spPr>
        <a:xfrm>
          <a:off x="18146097" y="3771122"/>
          <a:ext cx="4621169" cy="508450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7</xdr:col>
      <xdr:colOff>76201</xdr:colOff>
      <xdr:row>18</xdr:row>
      <xdr:rowOff>14653</xdr:rowOff>
    </xdr:from>
    <xdr:to>
      <xdr:col>10</xdr:col>
      <xdr:colOff>490905</xdr:colOff>
      <xdr:row>42</xdr:row>
      <xdr:rowOff>104774</xdr:rowOff>
    </xdr:to>
    <xdr:graphicFrame macro="">
      <xdr:nvGraphicFramePr>
        <xdr:cNvPr id="2" name="8 Gráfico">
          <a:extLst>
            <a:ext uri="{FF2B5EF4-FFF2-40B4-BE49-F238E27FC236}">
              <a16:creationId xmlns:a16="http://schemas.microsoft.com/office/drawing/2014/main" id="{1962E26E-4DE0-4F53-8254-141B3EDCE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oneCellAnchor>
    <xdr:from>
      <xdr:col>17</xdr:col>
      <xdr:colOff>546652</xdr:colOff>
      <xdr:row>62</xdr:row>
      <xdr:rowOff>8282</xdr:rowOff>
    </xdr:from>
    <xdr:ext cx="1752916" cy="519181"/>
    <mc:AlternateContent xmlns:mc="http://schemas.openxmlformats.org/markup-compatibility/2006" xmlns:a14="http://schemas.microsoft.com/office/drawing/2010/main">
      <mc:Choice Requires="a14">
        <xdr:sp macro="" textlink="">
          <xdr:nvSpPr>
            <xdr:cNvPr id="3" name="CuadroTexto 2">
              <a:extLst>
                <a:ext uri="{FF2B5EF4-FFF2-40B4-BE49-F238E27FC236}">
                  <a16:creationId xmlns:a16="http://schemas.microsoft.com/office/drawing/2014/main" id="{DAB95127-D9F2-4C9B-86A1-40E719D6ABEC}"/>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3" name="CuadroTexto 2">
              <a:extLst>
                <a:ext uri="{FF2B5EF4-FFF2-40B4-BE49-F238E27FC236}">
                  <a16:creationId xmlns:a16="http://schemas.microsoft.com/office/drawing/2014/main" id="{DAB95127-D9F2-4C9B-86A1-40E719D6ABEC}"/>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editAs="oneCell">
    <xdr:from>
      <xdr:col>0</xdr:col>
      <xdr:colOff>154822</xdr:colOff>
      <xdr:row>0</xdr:row>
      <xdr:rowOff>100030</xdr:rowOff>
    </xdr:from>
    <xdr:to>
      <xdr:col>3</xdr:col>
      <xdr:colOff>1018765</xdr:colOff>
      <xdr:row>3</xdr:row>
      <xdr:rowOff>129867</xdr:rowOff>
    </xdr:to>
    <xdr:pic>
      <xdr:nvPicPr>
        <xdr:cNvPr id="5" name="Imagen 4">
          <a:extLst>
            <a:ext uri="{FF2B5EF4-FFF2-40B4-BE49-F238E27FC236}">
              <a16:creationId xmlns:a16="http://schemas.microsoft.com/office/drawing/2014/main" id="{C8FE9779-761A-4C58-A735-6ABD2895FCC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4822" y="100030"/>
          <a:ext cx="3064218" cy="68706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7</xdr:col>
      <xdr:colOff>57978</xdr:colOff>
      <xdr:row>18</xdr:row>
      <xdr:rowOff>14654</xdr:rowOff>
    </xdr:from>
    <xdr:to>
      <xdr:col>10</xdr:col>
      <xdr:colOff>490904</xdr:colOff>
      <xdr:row>42</xdr:row>
      <xdr:rowOff>91109</xdr:rowOff>
    </xdr:to>
    <xdr:graphicFrame macro="">
      <xdr:nvGraphicFramePr>
        <xdr:cNvPr id="2" name="8 Gráfico">
          <a:extLst>
            <a:ext uri="{FF2B5EF4-FFF2-40B4-BE49-F238E27FC236}">
              <a16:creationId xmlns:a16="http://schemas.microsoft.com/office/drawing/2014/main" id="{5B84872C-035F-4A78-A816-0240664132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oneCellAnchor>
    <xdr:from>
      <xdr:col>17</xdr:col>
      <xdr:colOff>546652</xdr:colOff>
      <xdr:row>62</xdr:row>
      <xdr:rowOff>8282</xdr:rowOff>
    </xdr:from>
    <xdr:ext cx="1752916" cy="519181"/>
    <mc:AlternateContent xmlns:mc="http://schemas.openxmlformats.org/markup-compatibility/2006" xmlns:a14="http://schemas.microsoft.com/office/drawing/2010/main">
      <mc:Choice Requires="a14">
        <xdr:sp macro="" textlink="">
          <xdr:nvSpPr>
            <xdr:cNvPr id="3" name="CuadroTexto 2">
              <a:extLst>
                <a:ext uri="{FF2B5EF4-FFF2-40B4-BE49-F238E27FC236}">
                  <a16:creationId xmlns:a16="http://schemas.microsoft.com/office/drawing/2014/main" id="{DD60A7EC-BC58-452E-B966-9BBF4C39D94D}"/>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3" name="CuadroTexto 2">
              <a:extLst>
                <a:ext uri="{FF2B5EF4-FFF2-40B4-BE49-F238E27FC236}">
                  <a16:creationId xmlns:a16="http://schemas.microsoft.com/office/drawing/2014/main" id="{DD60A7EC-BC58-452E-B966-9BBF4C39D94D}"/>
                </a:ext>
              </a:extLst>
            </xdr:cNvPr>
            <xdr:cNvSpPr txBox="1"/>
          </xdr:nvSpPr>
          <xdr:spPr>
            <a:xfrm>
              <a:off x="15443752" y="12933707"/>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editAs="oneCell">
    <xdr:from>
      <xdr:col>0</xdr:col>
      <xdr:colOff>154822</xdr:colOff>
      <xdr:row>0</xdr:row>
      <xdr:rowOff>100030</xdr:rowOff>
    </xdr:from>
    <xdr:to>
      <xdr:col>3</xdr:col>
      <xdr:colOff>1018765</xdr:colOff>
      <xdr:row>3</xdr:row>
      <xdr:rowOff>129867</xdr:rowOff>
    </xdr:to>
    <xdr:pic>
      <xdr:nvPicPr>
        <xdr:cNvPr id="4" name="Imagen 3">
          <a:extLst>
            <a:ext uri="{FF2B5EF4-FFF2-40B4-BE49-F238E27FC236}">
              <a16:creationId xmlns:a16="http://schemas.microsoft.com/office/drawing/2014/main" id="{EEC973E5-D0E5-4EC6-9794-5706778B01F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4822" y="100030"/>
          <a:ext cx="3064218" cy="6870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21</xdr:col>
      <xdr:colOff>235324</xdr:colOff>
      <xdr:row>16</xdr:row>
      <xdr:rowOff>78441</xdr:rowOff>
    </xdr:from>
    <xdr:to>
      <xdr:col>26</xdr:col>
      <xdr:colOff>480173</xdr:colOff>
      <xdr:row>44</xdr:row>
      <xdr:rowOff>125312</xdr:rowOff>
    </xdr:to>
    <xdr:graphicFrame macro="">
      <xdr:nvGraphicFramePr>
        <xdr:cNvPr id="2" name="Chart 15">
          <a:extLst>
            <a:ext uri="{FF2B5EF4-FFF2-40B4-BE49-F238E27FC236}">
              <a16:creationId xmlns:a16="http://schemas.microsoft.com/office/drawing/2014/main" id="{FA0CB336-B232-43B9-9F0B-FE70D333C4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10.xml><?xml version="1.0" encoding="utf-8"?>
<xdr:wsDr xmlns:xdr="http://schemas.openxmlformats.org/drawingml/2006/spreadsheetDrawing" xmlns:a="http://schemas.openxmlformats.org/drawingml/2006/main">
  <xdr:twoCellAnchor>
    <xdr:from>
      <xdr:col>25</xdr:col>
      <xdr:colOff>504264</xdr:colOff>
      <xdr:row>9</xdr:row>
      <xdr:rowOff>89646</xdr:rowOff>
    </xdr:from>
    <xdr:to>
      <xdr:col>30</xdr:col>
      <xdr:colOff>749113</xdr:colOff>
      <xdr:row>37</xdr:row>
      <xdr:rowOff>136517</xdr:rowOff>
    </xdr:to>
    <xdr:graphicFrame macro="">
      <xdr:nvGraphicFramePr>
        <xdr:cNvPr id="2" name="Chart 15">
          <a:extLst>
            <a:ext uri="{FF2B5EF4-FFF2-40B4-BE49-F238E27FC236}">
              <a16:creationId xmlns:a16="http://schemas.microsoft.com/office/drawing/2014/main" id="{97495262-6EC5-4516-AFC0-4A534133D5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11.xml><?xml version="1.0" encoding="utf-8"?>
<xdr:wsDr xmlns:xdr="http://schemas.openxmlformats.org/drawingml/2006/spreadsheetDrawing" xmlns:a="http://schemas.openxmlformats.org/drawingml/2006/main">
  <xdr:twoCellAnchor>
    <xdr:from>
      <xdr:col>2</xdr:col>
      <xdr:colOff>107497</xdr:colOff>
      <xdr:row>44</xdr:row>
      <xdr:rowOff>212271</xdr:rowOff>
    </xdr:from>
    <xdr:to>
      <xdr:col>3</xdr:col>
      <xdr:colOff>326572</xdr:colOff>
      <xdr:row>44</xdr:row>
      <xdr:rowOff>212271</xdr:rowOff>
    </xdr:to>
    <xdr:cxnSp macro="">
      <xdr:nvCxnSpPr>
        <xdr:cNvPr id="3" name="Conector recto de flecha 2">
          <a:extLst>
            <a:ext uri="{FF2B5EF4-FFF2-40B4-BE49-F238E27FC236}">
              <a16:creationId xmlns:a16="http://schemas.microsoft.com/office/drawing/2014/main" id="{9C9DB6D5-8C2D-4B2B-9CE4-986424EFA934}"/>
            </a:ext>
          </a:extLst>
        </xdr:cNvPr>
        <xdr:cNvCxnSpPr/>
      </xdr:nvCxnSpPr>
      <xdr:spPr bwMode="auto">
        <a:xfrm flipH="1">
          <a:off x="2707822" y="10899321"/>
          <a:ext cx="1981200" cy="0"/>
        </a:xfrm>
        <a:prstGeom prst="straightConnector1">
          <a:avLst/>
        </a:prstGeom>
        <a:ln>
          <a:headEnd type="none" w="med" len="med"/>
          <a:tailEnd type="triangle"/>
        </a:ln>
      </xdr:spPr>
      <xdr:style>
        <a:lnRef idx="3">
          <a:schemeClr val="accent2"/>
        </a:lnRef>
        <a:fillRef idx="0">
          <a:schemeClr val="accent2"/>
        </a:fillRef>
        <a:effectRef idx="2">
          <a:schemeClr val="accent2"/>
        </a:effectRef>
        <a:fontRef idx="minor">
          <a:schemeClr val="tx1"/>
        </a:fontRef>
      </xdr:style>
    </xdr:cxnSp>
    <xdr:clientData/>
  </xdr:twoCellAnchor>
  <xdr:twoCellAnchor editAs="oneCell">
    <xdr:from>
      <xdr:col>13</xdr:col>
      <xdr:colOff>9525</xdr:colOff>
      <xdr:row>15</xdr:row>
      <xdr:rowOff>142875</xdr:rowOff>
    </xdr:from>
    <xdr:to>
      <xdr:col>23</xdr:col>
      <xdr:colOff>276226</xdr:colOff>
      <xdr:row>44</xdr:row>
      <xdr:rowOff>94955</xdr:rowOff>
    </xdr:to>
    <xdr:pic>
      <xdr:nvPicPr>
        <xdr:cNvPr id="4" name="Imagen 3">
          <a:extLst>
            <a:ext uri="{FF2B5EF4-FFF2-40B4-BE49-F238E27FC236}">
              <a16:creationId xmlns:a16="http://schemas.microsoft.com/office/drawing/2014/main" id="{CDA4CA70-38E3-4C44-AFD1-7CCD68948C56}"/>
            </a:ext>
          </a:extLst>
        </xdr:cNvPr>
        <xdr:cNvPicPr>
          <a:picLocks noChangeAspect="1"/>
        </xdr:cNvPicPr>
      </xdr:nvPicPr>
      <xdr:blipFill>
        <a:blip xmlns:r="http://schemas.openxmlformats.org/officeDocument/2006/relationships" r:embed="rId1"/>
        <a:stretch>
          <a:fillRect/>
        </a:stretch>
      </xdr:blipFill>
      <xdr:spPr>
        <a:xfrm>
          <a:off x="15097125" y="3114675"/>
          <a:ext cx="8162926" cy="4619330"/>
        </a:xfrm>
        <a:prstGeom prst="rect">
          <a:avLst/>
        </a:prstGeom>
      </xdr:spPr>
    </xdr:pic>
    <xdr:clientData/>
  </xdr:twoCellAnchor>
  <xdr:twoCellAnchor editAs="oneCell">
    <xdr:from>
      <xdr:col>0</xdr:col>
      <xdr:colOff>142875</xdr:colOff>
      <xdr:row>50</xdr:row>
      <xdr:rowOff>38100</xdr:rowOff>
    </xdr:from>
    <xdr:to>
      <xdr:col>5</xdr:col>
      <xdr:colOff>1145817</xdr:colOff>
      <xdr:row>84</xdr:row>
      <xdr:rowOff>38100</xdr:rowOff>
    </xdr:to>
    <xdr:pic>
      <xdr:nvPicPr>
        <xdr:cNvPr id="5" name="Imagen 4">
          <a:extLst>
            <a:ext uri="{FF2B5EF4-FFF2-40B4-BE49-F238E27FC236}">
              <a16:creationId xmlns:a16="http://schemas.microsoft.com/office/drawing/2014/main" id="{D29A05A4-CC54-46E3-A3D3-9DC6077F846C}"/>
            </a:ext>
          </a:extLst>
        </xdr:cNvPr>
        <xdr:cNvPicPr>
          <a:picLocks noChangeAspect="1"/>
        </xdr:cNvPicPr>
      </xdr:nvPicPr>
      <xdr:blipFill>
        <a:blip xmlns:r="http://schemas.openxmlformats.org/officeDocument/2006/relationships" r:embed="rId2"/>
        <a:stretch>
          <a:fillRect/>
        </a:stretch>
      </xdr:blipFill>
      <xdr:spPr>
        <a:xfrm>
          <a:off x="142875" y="12096750"/>
          <a:ext cx="8327667" cy="5276850"/>
        </a:xfrm>
        <a:prstGeom prst="rect">
          <a:avLst/>
        </a:prstGeom>
      </xdr:spPr>
    </xdr:pic>
    <xdr:clientData/>
  </xdr:twoCellAnchor>
  <xdr:twoCellAnchor editAs="oneCell">
    <xdr:from>
      <xdr:col>12</xdr:col>
      <xdr:colOff>638175</xdr:colOff>
      <xdr:row>43</xdr:row>
      <xdr:rowOff>171450</xdr:rowOff>
    </xdr:from>
    <xdr:to>
      <xdr:col>20</xdr:col>
      <xdr:colOff>200853</xdr:colOff>
      <xdr:row>53</xdr:row>
      <xdr:rowOff>38302</xdr:rowOff>
    </xdr:to>
    <xdr:pic>
      <xdr:nvPicPr>
        <xdr:cNvPr id="6" name="Imagen 5">
          <a:extLst>
            <a:ext uri="{FF2B5EF4-FFF2-40B4-BE49-F238E27FC236}">
              <a16:creationId xmlns:a16="http://schemas.microsoft.com/office/drawing/2014/main" id="{33954741-4F77-4B46-9BCD-0017D5A651CC}"/>
            </a:ext>
          </a:extLst>
        </xdr:cNvPr>
        <xdr:cNvPicPr>
          <a:picLocks noChangeAspect="1"/>
        </xdr:cNvPicPr>
      </xdr:nvPicPr>
      <xdr:blipFill>
        <a:blip xmlns:r="http://schemas.openxmlformats.org/officeDocument/2006/relationships" r:embed="rId3"/>
        <a:stretch>
          <a:fillRect/>
        </a:stretch>
      </xdr:blipFill>
      <xdr:spPr>
        <a:xfrm>
          <a:off x="14963775" y="10658475"/>
          <a:ext cx="5934903" cy="1448002"/>
        </a:xfrm>
        <a:prstGeom prst="rect">
          <a:avLst/>
        </a:prstGeom>
      </xdr:spPr>
    </xdr:pic>
    <xdr:clientData/>
  </xdr:twoCellAnchor>
  <xdr:twoCellAnchor editAs="oneCell">
    <xdr:from>
      <xdr:col>5</xdr:col>
      <xdr:colOff>238126</xdr:colOff>
      <xdr:row>36</xdr:row>
      <xdr:rowOff>114301</xdr:rowOff>
    </xdr:from>
    <xdr:to>
      <xdr:col>6</xdr:col>
      <xdr:colOff>1076325</xdr:colOff>
      <xdr:row>41</xdr:row>
      <xdr:rowOff>117588</xdr:rowOff>
    </xdr:to>
    <xdr:pic>
      <xdr:nvPicPr>
        <xdr:cNvPr id="7" name="Imagen 6">
          <a:extLst>
            <a:ext uri="{FF2B5EF4-FFF2-40B4-BE49-F238E27FC236}">
              <a16:creationId xmlns:a16="http://schemas.microsoft.com/office/drawing/2014/main" id="{7C1AEB94-A692-45C3-97B4-F8504A7A778B}"/>
            </a:ext>
          </a:extLst>
        </xdr:cNvPr>
        <xdr:cNvPicPr>
          <a:picLocks noChangeAspect="1"/>
        </xdr:cNvPicPr>
      </xdr:nvPicPr>
      <xdr:blipFill rotWithShape="1">
        <a:blip xmlns:r="http://schemas.openxmlformats.org/officeDocument/2006/relationships" r:embed="rId4"/>
        <a:srcRect r="88215"/>
        <a:stretch/>
      </xdr:blipFill>
      <xdr:spPr>
        <a:xfrm>
          <a:off x="7562851" y="8715376"/>
          <a:ext cx="2124074" cy="812912"/>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85"/>
  <sheetViews>
    <sheetView showGridLines="0" tabSelected="1" view="pageBreakPreview" zoomScale="70" zoomScaleNormal="100" zoomScaleSheetLayoutView="70" zoomScalePageLayoutView="40" workbookViewId="0">
      <selection activeCell="D13" sqref="D13:P13"/>
    </sheetView>
  </sheetViews>
  <sheetFormatPr baseColWidth="10" defaultColWidth="11.42578125" defaultRowHeight="15" x14ac:dyDescent="0.2"/>
  <cols>
    <col min="1" max="1" width="3.5703125" style="98" customWidth="1"/>
    <col min="2" max="6" width="16.140625" style="98" customWidth="1"/>
    <col min="7" max="7" width="3.7109375" style="98" customWidth="1"/>
    <col min="8" max="8" width="17" style="98" customWidth="1"/>
    <col min="9" max="9" width="22.85546875" style="98" customWidth="1"/>
    <col min="10" max="10" width="17" style="98" customWidth="1"/>
    <col min="11" max="11" width="15.85546875" style="98" customWidth="1"/>
    <col min="12" max="12" width="14" style="98" customWidth="1"/>
    <col min="13" max="13" width="18.5703125" style="98" customWidth="1"/>
    <col min="14" max="14" width="13.140625" style="98" customWidth="1"/>
    <col min="15" max="15" width="2.7109375" style="98" customWidth="1"/>
    <col min="16" max="16" width="18.5703125" style="98" customWidth="1"/>
    <col min="17" max="17" width="7.140625" style="98" customWidth="1"/>
    <col min="18" max="23" width="2.28515625" style="98" customWidth="1"/>
    <col min="24" max="24" width="20.85546875" style="98" customWidth="1"/>
    <col min="25" max="25" width="20.7109375" style="98" customWidth="1"/>
    <col min="26" max="26" width="19.140625" style="98" bestFit="1" customWidth="1"/>
    <col min="27" max="27" width="14.7109375" style="98" bestFit="1" customWidth="1"/>
    <col min="28" max="28" width="16.140625" style="98" customWidth="1"/>
    <col min="29" max="34" width="11.42578125" style="98"/>
    <col min="35" max="35" width="15.42578125" style="98" bestFit="1" customWidth="1"/>
    <col min="36" max="16384" width="11.42578125" style="98"/>
  </cols>
  <sheetData>
    <row r="1" spans="1:47" s="42" customFormat="1" ht="17.25" customHeight="1" x14ac:dyDescent="0.2">
      <c r="A1" s="532"/>
      <c r="B1" s="533"/>
      <c r="C1" s="533"/>
      <c r="D1" s="726"/>
      <c r="E1" s="546" t="s">
        <v>119</v>
      </c>
      <c r="F1" s="546"/>
      <c r="G1" s="546"/>
      <c r="H1" s="546"/>
      <c r="I1" s="546"/>
      <c r="J1" s="546"/>
      <c r="K1" s="546"/>
      <c r="L1" s="546"/>
      <c r="M1" s="546"/>
      <c r="N1" s="546"/>
      <c r="O1" s="537" t="s">
        <v>246</v>
      </c>
      <c r="P1" s="538"/>
      <c r="Q1" s="539"/>
      <c r="R1" s="67"/>
      <c r="S1" s="67"/>
      <c r="T1" s="67"/>
      <c r="U1" s="67"/>
      <c r="V1" s="67"/>
      <c r="W1" s="67"/>
      <c r="X1" s="67"/>
      <c r="Y1" s="67"/>
      <c r="AB1" s="67" t="s">
        <v>120</v>
      </c>
      <c r="AC1" s="42" t="s">
        <v>121</v>
      </c>
    </row>
    <row r="2" spans="1:47" s="42" customFormat="1" ht="17.25" customHeight="1" x14ac:dyDescent="0.2">
      <c r="A2" s="534"/>
      <c r="B2" s="725"/>
      <c r="C2" s="725"/>
      <c r="D2" s="727"/>
      <c r="E2" s="547" t="s">
        <v>185</v>
      </c>
      <c r="F2" s="547"/>
      <c r="G2" s="547"/>
      <c r="H2" s="547"/>
      <c r="I2" s="547"/>
      <c r="J2" s="547"/>
      <c r="K2" s="547"/>
      <c r="L2" s="547"/>
      <c r="M2" s="547"/>
      <c r="N2" s="547"/>
      <c r="O2" s="540" t="s">
        <v>257</v>
      </c>
      <c r="P2" s="541"/>
      <c r="Q2" s="542"/>
      <c r="R2" s="67"/>
      <c r="S2" s="67"/>
      <c r="T2" s="67"/>
      <c r="U2" s="67"/>
      <c r="V2" s="67"/>
      <c r="W2" s="67"/>
      <c r="X2" s="90">
        <f>D12</f>
        <v>0</v>
      </c>
      <c r="Y2" s="67"/>
      <c r="AB2" s="67" t="s">
        <v>122</v>
      </c>
      <c r="AC2" s="42" t="s">
        <v>123</v>
      </c>
    </row>
    <row r="3" spans="1:47" s="42" customFormat="1" ht="17.25" customHeight="1" x14ac:dyDescent="0.2">
      <c r="A3" s="534"/>
      <c r="B3" s="725"/>
      <c r="C3" s="725"/>
      <c r="D3" s="727"/>
      <c r="E3" s="547"/>
      <c r="F3" s="547"/>
      <c r="G3" s="547"/>
      <c r="H3" s="547"/>
      <c r="I3" s="547"/>
      <c r="J3" s="547"/>
      <c r="K3" s="547"/>
      <c r="L3" s="547"/>
      <c r="M3" s="547"/>
      <c r="N3" s="547"/>
      <c r="O3" s="540" t="s">
        <v>258</v>
      </c>
      <c r="P3" s="541"/>
      <c r="Q3" s="542"/>
      <c r="R3" s="67"/>
      <c r="S3" s="67"/>
      <c r="T3" s="67"/>
      <c r="U3" s="67"/>
      <c r="V3" s="67"/>
      <c r="W3" s="67"/>
      <c r="X3" s="67"/>
      <c r="Y3" s="67"/>
      <c r="AR3" s="527" t="s">
        <v>124</v>
      </c>
      <c r="AS3" s="527"/>
      <c r="AT3" s="527"/>
      <c r="AU3" s="527"/>
    </row>
    <row r="4" spans="1:47" s="42" customFormat="1" ht="17.25" customHeight="1" thickBot="1" x14ac:dyDescent="0.25">
      <c r="A4" s="535"/>
      <c r="B4" s="536"/>
      <c r="C4" s="536"/>
      <c r="D4" s="621"/>
      <c r="E4" s="548"/>
      <c r="F4" s="548"/>
      <c r="G4" s="548"/>
      <c r="H4" s="548"/>
      <c r="I4" s="548"/>
      <c r="J4" s="548"/>
      <c r="K4" s="548"/>
      <c r="L4" s="548"/>
      <c r="M4" s="548"/>
      <c r="N4" s="548"/>
      <c r="O4" s="543" t="s">
        <v>259</v>
      </c>
      <c r="P4" s="544"/>
      <c r="Q4" s="545"/>
      <c r="R4" s="67"/>
      <c r="S4" s="67"/>
      <c r="T4" s="67"/>
      <c r="U4" s="67"/>
      <c r="V4" s="67"/>
      <c r="W4" s="67"/>
      <c r="X4" s="67"/>
      <c r="Y4" s="67"/>
      <c r="AR4" s="527"/>
      <c r="AS4" s="527"/>
      <c r="AT4" s="527"/>
      <c r="AU4" s="527"/>
    </row>
    <row r="5" spans="1:47" s="42" customFormat="1" ht="3.95" customHeight="1" thickBot="1" x14ac:dyDescent="0.25">
      <c r="A5" s="38"/>
      <c r="B5" s="528"/>
      <c r="C5" s="528"/>
      <c r="D5" s="528"/>
      <c r="E5" s="528"/>
      <c r="F5" s="528"/>
      <c r="G5" s="528"/>
      <c r="H5" s="528"/>
      <c r="I5" s="528"/>
      <c r="J5" s="528"/>
      <c r="K5" s="528"/>
      <c r="L5" s="528"/>
      <c r="M5" s="528"/>
      <c r="N5" s="528"/>
      <c r="O5" s="67"/>
      <c r="Q5" s="41"/>
      <c r="AR5" s="527"/>
      <c r="AS5" s="527"/>
      <c r="AT5" s="527"/>
      <c r="AU5" s="527"/>
    </row>
    <row r="6" spans="1:47" s="42" customFormat="1" ht="22.5" customHeight="1" x14ac:dyDescent="0.2">
      <c r="A6" s="34"/>
      <c r="B6" s="524" t="s">
        <v>0</v>
      </c>
      <c r="C6" s="524"/>
      <c r="D6" s="529"/>
      <c r="E6" s="529"/>
      <c r="F6" s="529"/>
      <c r="G6" s="529"/>
      <c r="H6" s="529"/>
      <c r="I6" s="529"/>
      <c r="J6" s="531" t="s">
        <v>125</v>
      </c>
      <c r="K6" s="531"/>
      <c r="L6" s="531"/>
      <c r="M6" s="530"/>
      <c r="N6" s="530"/>
      <c r="O6" s="530"/>
      <c r="P6" s="530"/>
      <c r="Q6" s="44"/>
      <c r="R6" s="45"/>
      <c r="S6" s="45"/>
      <c r="T6" s="45"/>
      <c r="U6" s="45"/>
      <c r="V6" s="45"/>
      <c r="W6" s="45"/>
      <c r="X6" s="45"/>
      <c r="Y6" s="45"/>
      <c r="AR6" s="93" t="s">
        <v>126</v>
      </c>
      <c r="AS6" s="67"/>
      <c r="AT6" s="67"/>
      <c r="AU6" s="67"/>
    </row>
    <row r="7" spans="1:47" s="42" customFormat="1" ht="23.25" customHeight="1" x14ac:dyDescent="0.2">
      <c r="A7" s="38"/>
      <c r="B7" s="516" t="s">
        <v>1</v>
      </c>
      <c r="C7" s="516"/>
      <c r="D7" s="518"/>
      <c r="E7" s="518"/>
      <c r="F7" s="518"/>
      <c r="G7" s="518"/>
      <c r="H7" s="518"/>
      <c r="I7" s="518"/>
      <c r="J7" s="520" t="s">
        <v>127</v>
      </c>
      <c r="K7" s="520"/>
      <c r="L7" s="520"/>
      <c r="M7" s="519"/>
      <c r="N7" s="519"/>
      <c r="O7" s="519"/>
      <c r="P7" s="519"/>
      <c r="Q7" s="47"/>
      <c r="R7" s="45"/>
      <c r="S7" s="45"/>
      <c r="T7" s="45"/>
      <c r="U7" s="45"/>
      <c r="V7" s="45"/>
      <c r="W7" s="45"/>
      <c r="X7" s="45"/>
      <c r="Y7" s="45"/>
      <c r="AR7" s="93" t="s">
        <v>128</v>
      </c>
      <c r="AS7" s="67"/>
      <c r="AT7" s="67"/>
      <c r="AU7" s="67"/>
    </row>
    <row r="8" spans="1:47" s="42" customFormat="1" ht="22.5" customHeight="1" x14ac:dyDescent="0.2">
      <c r="A8" s="38"/>
      <c r="B8" s="516" t="s">
        <v>129</v>
      </c>
      <c r="C8" s="516"/>
      <c r="D8" s="517"/>
      <c r="E8" s="518"/>
      <c r="F8" s="518"/>
      <c r="G8" s="518"/>
      <c r="H8" s="518"/>
      <c r="I8" s="518"/>
      <c r="J8" s="520" t="s">
        <v>130</v>
      </c>
      <c r="K8" s="520"/>
      <c r="L8" s="520"/>
      <c r="M8" s="519"/>
      <c r="N8" s="519"/>
      <c r="O8" s="519"/>
      <c r="P8" s="519"/>
      <c r="Q8" s="47"/>
      <c r="R8" s="45"/>
      <c r="S8" s="45"/>
      <c r="T8" s="45"/>
      <c r="U8" s="45"/>
      <c r="V8" s="45"/>
      <c r="W8" s="45"/>
      <c r="X8" s="45"/>
      <c r="Y8" s="45"/>
      <c r="AR8" s="93" t="s">
        <v>131</v>
      </c>
      <c r="AS8" s="67"/>
      <c r="AT8" s="67"/>
      <c r="AU8" s="67"/>
    </row>
    <row r="9" spans="1:47" s="42" customFormat="1" ht="24.75" customHeight="1" x14ac:dyDescent="0.2">
      <c r="A9" s="38"/>
      <c r="B9" s="516" t="s">
        <v>132</v>
      </c>
      <c r="C9" s="516"/>
      <c r="D9" s="549"/>
      <c r="E9" s="549"/>
      <c r="F9" s="549"/>
      <c r="G9" s="549"/>
      <c r="H9" s="549"/>
      <c r="I9" s="549"/>
      <c r="J9" s="520" t="s">
        <v>133</v>
      </c>
      <c r="K9" s="520"/>
      <c r="L9" s="520"/>
      <c r="M9" s="48" t="s">
        <v>134</v>
      </c>
      <c r="N9" s="394"/>
      <c r="O9" s="94" t="s">
        <v>141</v>
      </c>
      <c r="P9" s="395"/>
      <c r="Q9" s="47"/>
      <c r="R9" s="45"/>
      <c r="S9" s="45"/>
      <c r="T9" s="45"/>
      <c r="U9" s="45"/>
      <c r="V9" s="45"/>
      <c r="W9" s="45"/>
      <c r="X9" s="89"/>
      <c r="Y9" s="90"/>
      <c r="AR9" s="93" t="s">
        <v>135</v>
      </c>
      <c r="AS9" s="67"/>
      <c r="AT9" s="67"/>
      <c r="AU9" s="67"/>
    </row>
    <row r="10" spans="1:47" s="42" customFormat="1" ht="22.5" customHeight="1" x14ac:dyDescent="0.2">
      <c r="A10" s="38"/>
      <c r="B10" s="550" t="s">
        <v>136</v>
      </c>
      <c r="C10" s="550"/>
      <c r="D10" s="549"/>
      <c r="E10" s="549"/>
      <c r="F10" s="549"/>
      <c r="G10" s="549"/>
      <c r="H10" s="549"/>
      <c r="I10" s="549"/>
      <c r="J10" s="561" t="s">
        <v>137</v>
      </c>
      <c r="K10" s="561"/>
      <c r="L10" s="561"/>
      <c r="M10" s="560" t="str">
        <f>CONCATENATE(N9,," ",P9,"-",F12,"-",I12)</f>
        <v xml:space="preserve"> --</v>
      </c>
      <c r="N10" s="560"/>
      <c r="O10" s="560"/>
      <c r="P10" s="560"/>
      <c r="Q10" s="49"/>
      <c r="R10" s="50"/>
      <c r="S10" s="50"/>
      <c r="T10" s="50"/>
      <c r="U10" s="396" t="e">
        <f>K23</f>
        <v>#DIV/0!</v>
      </c>
      <c r="V10" s="50"/>
      <c r="W10" s="50"/>
      <c r="X10" s="50"/>
      <c r="Y10" s="50"/>
      <c r="AR10" s="93" t="s">
        <v>138</v>
      </c>
      <c r="AS10" s="67"/>
      <c r="AT10" s="67"/>
      <c r="AU10" s="67"/>
    </row>
    <row r="11" spans="1:47" s="42" customFormat="1" ht="3.95" customHeight="1" thickBot="1" x14ac:dyDescent="0.25">
      <c r="A11" s="38"/>
      <c r="B11" s="525"/>
      <c r="C11" s="525"/>
      <c r="D11" s="525"/>
      <c r="E11" s="525"/>
      <c r="F11" s="525"/>
      <c r="G11" s="525"/>
      <c r="H11" s="525"/>
      <c r="I11" s="525"/>
      <c r="J11" s="525"/>
      <c r="K11" s="525"/>
      <c r="L11" s="525"/>
      <c r="M11" s="525"/>
      <c r="N11" s="525"/>
      <c r="O11" s="233"/>
      <c r="P11" s="51"/>
      <c r="Q11" s="41"/>
      <c r="AR11" s="93"/>
      <c r="AS11" s="67"/>
      <c r="AT11" s="67"/>
      <c r="AU11" s="67"/>
    </row>
    <row r="12" spans="1:47" s="42" customFormat="1" ht="22.5" customHeight="1" x14ac:dyDescent="0.2">
      <c r="A12" s="34"/>
      <c r="B12" s="524" t="s">
        <v>2</v>
      </c>
      <c r="C12" s="524"/>
      <c r="D12" s="557"/>
      <c r="E12" s="557"/>
      <c r="F12" s="562"/>
      <c r="G12" s="562"/>
      <c r="H12" s="52" t="s">
        <v>139</v>
      </c>
      <c r="I12" s="43"/>
      <c r="J12" s="558" t="s">
        <v>140</v>
      </c>
      <c r="K12" s="558"/>
      <c r="L12" s="558"/>
      <c r="M12" s="53"/>
      <c r="N12" s="54" t="s">
        <v>141</v>
      </c>
      <c r="O12" s="559"/>
      <c r="P12" s="559"/>
      <c r="Q12" s="87"/>
      <c r="R12" s="56"/>
      <c r="S12" s="56"/>
      <c r="T12" s="56"/>
      <c r="U12" s="56" t="e">
        <f>E25/(1+(F32/100))</f>
        <v>#DIV/0!</v>
      </c>
      <c r="V12" s="56"/>
      <c r="W12" s="56"/>
      <c r="X12" s="56"/>
      <c r="Y12" s="91"/>
      <c r="AR12" s="93"/>
      <c r="AS12" s="67"/>
      <c r="AT12" s="67"/>
      <c r="AU12" s="67"/>
    </row>
    <row r="13" spans="1:47" s="42" customFormat="1" ht="22.5" customHeight="1" x14ac:dyDescent="0.2">
      <c r="A13" s="38"/>
      <c r="B13" s="516" t="s">
        <v>142</v>
      </c>
      <c r="C13" s="516"/>
      <c r="D13" s="549"/>
      <c r="E13" s="549"/>
      <c r="F13" s="549"/>
      <c r="G13" s="549"/>
      <c r="H13" s="549"/>
      <c r="I13" s="549"/>
      <c r="J13" s="549"/>
      <c r="K13" s="549"/>
      <c r="L13" s="549"/>
      <c r="M13" s="549"/>
      <c r="N13" s="549"/>
      <c r="O13" s="549"/>
      <c r="P13" s="549"/>
      <c r="Q13" s="57"/>
      <c r="R13" s="58"/>
      <c r="S13" s="58"/>
      <c r="T13" s="58"/>
      <c r="U13" s="58"/>
      <c r="V13" s="58"/>
      <c r="W13" s="58"/>
      <c r="X13" s="58"/>
      <c r="Y13" s="58" t="s">
        <v>182</v>
      </c>
      <c r="AR13" s="93"/>
      <c r="AS13" s="67"/>
      <c r="AT13" s="67"/>
      <c r="AU13" s="67"/>
    </row>
    <row r="14" spans="1:47" s="42" customFormat="1" ht="22.5" customHeight="1" x14ac:dyDescent="0.2">
      <c r="A14" s="38"/>
      <c r="B14" s="516" t="s">
        <v>143</v>
      </c>
      <c r="C14" s="516"/>
      <c r="D14" s="549"/>
      <c r="E14" s="549"/>
      <c r="F14" s="549"/>
      <c r="G14" s="549"/>
      <c r="H14" s="549"/>
      <c r="I14" s="549"/>
      <c r="J14" s="549"/>
      <c r="K14" s="549"/>
      <c r="L14" s="549"/>
      <c r="M14" s="549"/>
      <c r="N14" s="549"/>
      <c r="O14" s="549"/>
      <c r="P14" s="549"/>
      <c r="Q14" s="49"/>
      <c r="R14" s="50"/>
      <c r="S14" s="50"/>
      <c r="T14" s="50"/>
      <c r="U14" s="50"/>
      <c r="V14" s="50"/>
      <c r="W14" s="50"/>
      <c r="X14" s="50"/>
      <c r="Y14" s="50"/>
      <c r="AR14" s="93"/>
      <c r="AS14" s="67"/>
      <c r="AT14" s="67"/>
      <c r="AU14" s="67"/>
    </row>
    <row r="15" spans="1:47" s="42" customFormat="1" ht="6.95" customHeight="1" thickBot="1" x14ac:dyDescent="0.25">
      <c r="A15" s="39"/>
      <c r="B15" s="59"/>
      <c r="C15" s="59"/>
      <c r="D15" s="60"/>
      <c r="E15" s="60"/>
      <c r="F15" s="60"/>
      <c r="G15" s="60"/>
      <c r="H15" s="60"/>
      <c r="I15" s="60"/>
      <c r="J15" s="60"/>
      <c r="K15" s="60"/>
      <c r="L15" s="60"/>
      <c r="M15" s="60"/>
      <c r="N15" s="60"/>
      <c r="O15" s="60"/>
      <c r="P15" s="60"/>
      <c r="Q15" s="61"/>
      <c r="R15" s="50"/>
      <c r="S15" s="50"/>
      <c r="T15" s="50"/>
      <c r="U15" s="50"/>
      <c r="V15" s="50"/>
      <c r="W15" s="50"/>
      <c r="X15" s="50"/>
      <c r="Y15" s="50"/>
    </row>
    <row r="16" spans="1:47" ht="16.5" customHeight="1" thickBot="1" x14ac:dyDescent="0.25">
      <c r="A16" s="97"/>
      <c r="B16" s="241"/>
      <c r="C16" s="242"/>
      <c r="D16" s="243"/>
      <c r="E16" s="243"/>
      <c r="F16" s="243"/>
      <c r="G16" s="243"/>
      <c r="H16" s="243"/>
      <c r="I16" s="243"/>
      <c r="J16" s="243"/>
      <c r="K16" s="243"/>
      <c r="L16" s="244"/>
      <c r="M16" s="244"/>
      <c r="N16" s="244"/>
      <c r="O16" s="244"/>
      <c r="P16" s="239"/>
      <c r="Q16" s="191"/>
      <c r="R16" s="99"/>
      <c r="S16" s="99"/>
      <c r="T16" s="99"/>
      <c r="U16" s="99"/>
      <c r="V16" s="99"/>
      <c r="W16" s="99"/>
      <c r="X16" s="99"/>
      <c r="Y16" s="99"/>
    </row>
    <row r="17" spans="1:60" ht="19.5" customHeight="1" thickBot="1" x14ac:dyDescent="0.25">
      <c r="A17" s="97"/>
      <c r="B17" s="467" t="s">
        <v>4</v>
      </c>
      <c r="C17" s="468"/>
      <c r="D17" s="468"/>
      <c r="E17" s="468"/>
      <c r="F17" s="469"/>
      <c r="G17" s="245"/>
      <c r="H17" s="563" t="s">
        <v>155</v>
      </c>
      <c r="I17" s="564"/>
      <c r="J17" s="218" t="s">
        <v>5</v>
      </c>
      <c r="K17" s="100">
        <f>+F25</f>
        <v>-105.22</v>
      </c>
      <c r="L17" s="239"/>
      <c r="M17" s="246"/>
      <c r="N17" s="239"/>
      <c r="O17" s="239"/>
      <c r="P17" s="247"/>
      <c r="Q17" s="191"/>
      <c r="R17" s="99"/>
      <c r="S17" s="99"/>
      <c r="T17" s="99"/>
      <c r="U17" s="99"/>
      <c r="V17" s="99"/>
      <c r="W17" s="99"/>
      <c r="X17" s="384" t="s">
        <v>207</v>
      </c>
      <c r="Y17" s="385"/>
      <c r="Z17" s="385"/>
      <c r="AA17" s="386"/>
      <c r="AB17" s="289">
        <v>1</v>
      </c>
      <c r="AC17" s="99"/>
      <c r="AD17" s="99"/>
    </row>
    <row r="18" spans="1:60" ht="21.95" customHeight="1" x14ac:dyDescent="0.2">
      <c r="A18" s="97"/>
      <c r="B18" s="521"/>
      <c r="C18" s="522"/>
      <c r="D18" s="523"/>
      <c r="E18" s="101" t="s">
        <v>6</v>
      </c>
      <c r="F18" s="102" t="s">
        <v>7</v>
      </c>
      <c r="G18" s="248"/>
      <c r="H18" s="485" t="s">
        <v>8</v>
      </c>
      <c r="I18" s="486"/>
      <c r="J18" s="103" t="s">
        <v>5</v>
      </c>
      <c r="K18" s="104" t="e">
        <f>K17/(1+(F32/100))</f>
        <v>#DIV/0!</v>
      </c>
      <c r="L18" s="239"/>
      <c r="M18" s="246"/>
      <c r="N18" s="239"/>
      <c r="O18" s="239"/>
      <c r="P18" s="247"/>
      <c r="Q18" s="191"/>
      <c r="R18" s="99"/>
      <c r="S18" s="99"/>
      <c r="T18" s="99"/>
      <c r="U18" s="99"/>
      <c r="V18" s="99"/>
      <c r="W18" s="99"/>
      <c r="X18" s="387" t="s">
        <v>209</v>
      </c>
      <c r="Y18" s="388"/>
      <c r="Z18" s="388"/>
      <c r="AA18" s="293" t="s">
        <v>210</v>
      </c>
      <c r="AB18" s="294">
        <v>1</v>
      </c>
      <c r="AC18" s="99"/>
      <c r="AD18" s="99"/>
    </row>
    <row r="19" spans="1:60" ht="15.95" customHeight="1" x14ac:dyDescent="0.2">
      <c r="A19" s="97"/>
      <c r="B19" s="503" t="s">
        <v>10</v>
      </c>
      <c r="C19" s="504"/>
      <c r="D19" s="504"/>
      <c r="E19" s="186"/>
      <c r="F19" s="106">
        <f>E19</f>
        <v>0</v>
      </c>
      <c r="G19" s="249"/>
      <c r="H19" s="485" t="s">
        <v>108</v>
      </c>
      <c r="I19" s="486"/>
      <c r="J19" s="103" t="s">
        <v>23</v>
      </c>
      <c r="K19" s="107" t="e">
        <f>(E25-K18)/K18*100</f>
        <v>#DIV/0!</v>
      </c>
      <c r="L19" s="239"/>
      <c r="M19" s="246"/>
      <c r="N19" s="239"/>
      <c r="O19" s="239"/>
      <c r="P19" s="247"/>
      <c r="Q19" s="191"/>
      <c r="R19" s="99"/>
      <c r="S19" s="99"/>
      <c r="T19" s="99"/>
      <c r="U19" s="99"/>
      <c r="V19" s="99"/>
      <c r="W19" s="99"/>
      <c r="X19" s="389" t="s">
        <v>211</v>
      </c>
      <c r="Y19" s="390"/>
      <c r="Z19" s="390"/>
      <c r="AA19" s="298" t="s">
        <v>212</v>
      </c>
      <c r="AB19" s="299">
        <v>51.3</v>
      </c>
      <c r="AC19" s="99">
        <v>20</v>
      </c>
      <c r="AD19" s="99"/>
    </row>
    <row r="20" spans="1:60" ht="15.95" customHeight="1" x14ac:dyDescent="0.2">
      <c r="A20" s="97"/>
      <c r="B20" s="503" t="s">
        <v>13</v>
      </c>
      <c r="C20" s="504"/>
      <c r="D20" s="504"/>
      <c r="E20" s="186"/>
      <c r="F20" s="106">
        <f>E48/10</f>
        <v>0</v>
      </c>
      <c r="G20" s="249"/>
      <c r="H20" s="485" t="s">
        <v>109</v>
      </c>
      <c r="I20" s="486"/>
      <c r="J20" s="103" t="s">
        <v>23</v>
      </c>
      <c r="K20" s="107" t="e">
        <f>(F25-K18)/K18*100</f>
        <v>#DIV/0!</v>
      </c>
      <c r="L20" s="526"/>
      <c r="M20" s="526"/>
      <c r="N20" s="526"/>
      <c r="O20" s="250"/>
      <c r="P20" s="247"/>
      <c r="Q20" s="191"/>
      <c r="R20" s="99"/>
      <c r="S20" s="99"/>
      <c r="T20" s="99">
        <v>33</v>
      </c>
      <c r="U20" s="99"/>
      <c r="V20" s="99"/>
      <c r="W20" s="99"/>
      <c r="X20" s="389" t="s">
        <v>213</v>
      </c>
      <c r="Y20" s="390"/>
      <c r="Z20" s="390"/>
      <c r="AA20" s="298" t="s">
        <v>212</v>
      </c>
      <c r="AB20" s="302">
        <f>D118</f>
        <v>688.64</v>
      </c>
      <c r="AC20" s="99">
        <v>21</v>
      </c>
      <c r="AD20" s="99"/>
    </row>
    <row r="21" spans="1:60" ht="15.95" customHeight="1" x14ac:dyDescent="0.2">
      <c r="A21" s="97"/>
      <c r="B21" s="503" t="s">
        <v>17</v>
      </c>
      <c r="C21" s="504"/>
      <c r="D21" s="504"/>
      <c r="E21" s="105">
        <f>PI()*$E$19^2/4*E20</f>
        <v>0</v>
      </c>
      <c r="F21" s="106">
        <f>PI()*$E$19^2/4*F20</f>
        <v>0</v>
      </c>
      <c r="G21" s="249"/>
      <c r="H21" s="485" t="s">
        <v>113</v>
      </c>
      <c r="I21" s="486"/>
      <c r="J21" s="103" t="s">
        <v>156</v>
      </c>
      <c r="K21" s="104" t="e">
        <f>K18/E21</f>
        <v>#DIV/0!</v>
      </c>
      <c r="L21" s="239"/>
      <c r="M21" s="246"/>
      <c r="N21" s="239"/>
      <c r="O21" s="239"/>
      <c r="P21" s="239"/>
      <c r="Q21" s="192"/>
      <c r="W21" s="99"/>
      <c r="X21" s="389" t="s">
        <v>215</v>
      </c>
      <c r="Y21" s="390"/>
      <c r="Z21" s="390"/>
      <c r="AA21" s="298" t="s">
        <v>212</v>
      </c>
      <c r="AB21" s="306">
        <v>718.26900000000001</v>
      </c>
      <c r="AC21" s="99">
        <v>22</v>
      </c>
      <c r="AD21" s="99"/>
    </row>
    <row r="22" spans="1:60" ht="15.95" customHeight="1" x14ac:dyDescent="0.25">
      <c r="A22" s="97"/>
      <c r="B22" s="503" t="s">
        <v>19</v>
      </c>
      <c r="C22" s="504"/>
      <c r="D22" s="504"/>
      <c r="E22" s="105">
        <f>(PI()*($E$19)^2)/4</f>
        <v>0</v>
      </c>
      <c r="F22" s="106">
        <f>PI()*$E$19^2/4</f>
        <v>0</v>
      </c>
      <c r="G22" s="249"/>
      <c r="H22" s="485" t="s">
        <v>114</v>
      </c>
      <c r="I22" s="486"/>
      <c r="J22" s="103" t="s">
        <v>156</v>
      </c>
      <c r="K22" s="104" t="e">
        <f>K21*(1+K19/100)</f>
        <v>#DIV/0!</v>
      </c>
      <c r="L22" s="239"/>
      <c r="M22" s="246"/>
      <c r="N22" s="251"/>
      <c r="O22" s="251"/>
      <c r="P22" s="247"/>
      <c r="Q22" s="191"/>
      <c r="R22" s="99"/>
      <c r="S22" s="99"/>
      <c r="T22" s="99"/>
      <c r="U22" s="99"/>
      <c r="V22" s="99"/>
      <c r="W22" s="99"/>
      <c r="X22" s="389" t="s">
        <v>216</v>
      </c>
      <c r="Y22" s="390"/>
      <c r="Z22" s="390"/>
      <c r="AA22" s="298" t="s">
        <v>217</v>
      </c>
      <c r="AB22" s="307">
        <v>22.2</v>
      </c>
      <c r="AC22" s="99">
        <v>23</v>
      </c>
      <c r="AD22" s="99"/>
    </row>
    <row r="23" spans="1:60" ht="15.95" customHeight="1" x14ac:dyDescent="0.25">
      <c r="A23" s="97"/>
      <c r="B23" s="503" t="s">
        <v>20</v>
      </c>
      <c r="C23" s="504"/>
      <c r="D23" s="504"/>
      <c r="E23" s="186"/>
      <c r="F23" s="430"/>
      <c r="G23" s="249"/>
      <c r="H23" s="485" t="s">
        <v>11</v>
      </c>
      <c r="I23" s="486"/>
      <c r="J23" s="103" t="s">
        <v>157</v>
      </c>
      <c r="K23" s="104" t="e">
        <f>K18/(K30*1)</f>
        <v>#DIV/0!</v>
      </c>
      <c r="L23" s="239"/>
      <c r="M23" s="246"/>
      <c r="N23" s="252"/>
      <c r="O23" s="252"/>
      <c r="P23" s="239"/>
      <c r="Q23" s="192"/>
      <c r="W23" s="99"/>
      <c r="X23" s="389" t="s">
        <v>218</v>
      </c>
      <c r="Y23" s="390"/>
      <c r="Z23" s="390"/>
      <c r="AA23" s="298" t="s">
        <v>156</v>
      </c>
      <c r="AB23" s="308">
        <f>VLOOKUP(AB22,BF26:BH186,2,FALSE)</f>
        <v>0.99773000000000001</v>
      </c>
      <c r="AC23" s="99">
        <v>24</v>
      </c>
      <c r="AD23" s="99"/>
    </row>
    <row r="24" spans="1:60" ht="15.95" customHeight="1" thickBot="1" x14ac:dyDescent="0.3">
      <c r="A24" s="97"/>
      <c r="B24" s="503" t="s">
        <v>21</v>
      </c>
      <c r="C24" s="504"/>
      <c r="D24" s="504"/>
      <c r="E24" s="186"/>
      <c r="F24" s="106">
        <v>105.22</v>
      </c>
      <c r="G24" s="249"/>
      <c r="H24" s="485" t="s">
        <v>14</v>
      </c>
      <c r="I24" s="486"/>
      <c r="J24" s="103" t="s">
        <v>15</v>
      </c>
      <c r="K24" s="104" t="e">
        <f>K23/E22</f>
        <v>#DIV/0!</v>
      </c>
      <c r="L24" s="239"/>
      <c r="M24" s="246"/>
      <c r="N24" s="253"/>
      <c r="O24" s="253"/>
      <c r="P24" s="239"/>
      <c r="Q24" s="192"/>
      <c r="W24" s="99"/>
      <c r="X24" s="389" t="s">
        <v>219</v>
      </c>
      <c r="Y24" s="390"/>
      <c r="Z24" s="390"/>
      <c r="AA24" s="298" t="s">
        <v>156</v>
      </c>
      <c r="AB24" s="311">
        <f>IF(AB20&gt;550,500,IF(AB20&lt;500,250))</f>
        <v>500</v>
      </c>
      <c r="AC24" s="99"/>
      <c r="AD24" s="99"/>
    </row>
    <row r="25" spans="1:60" ht="15.95" customHeight="1" thickBot="1" x14ac:dyDescent="0.3">
      <c r="A25" s="97"/>
      <c r="B25" s="497" t="s">
        <v>107</v>
      </c>
      <c r="C25" s="498"/>
      <c r="D25" s="498"/>
      <c r="E25" s="112">
        <f>E23-E24</f>
        <v>0</v>
      </c>
      <c r="F25" s="113">
        <f>F23-F24</f>
        <v>-105.22</v>
      </c>
      <c r="G25" s="249"/>
      <c r="H25" s="485" t="s">
        <v>168</v>
      </c>
      <c r="I25" s="486"/>
      <c r="J25" s="103" t="s">
        <v>169</v>
      </c>
      <c r="K25" s="107" t="e">
        <f>(E20-K24)/K24</f>
        <v>#DIV/0!</v>
      </c>
      <c r="L25" s="239"/>
      <c r="M25" s="246"/>
      <c r="N25" s="254"/>
      <c r="O25" s="254"/>
      <c r="P25" s="239"/>
      <c r="Q25" s="192"/>
      <c r="W25" s="99"/>
      <c r="X25" s="391" t="s">
        <v>220</v>
      </c>
      <c r="Y25" s="392"/>
      <c r="Z25" s="392"/>
      <c r="AA25" s="393"/>
      <c r="AB25" s="314">
        <f>IF(Z28&gt;0.1,AI56,IF(Z28=0,AI57))</f>
        <v>2.3607115913654257</v>
      </c>
      <c r="AC25" s="99"/>
      <c r="AD25" s="99"/>
      <c r="BF25" s="271" t="s">
        <v>203</v>
      </c>
      <c r="BG25" s="271" t="s">
        <v>204</v>
      </c>
      <c r="BH25" s="271" t="s">
        <v>205</v>
      </c>
    </row>
    <row r="26" spans="1:60" ht="6" customHeight="1" thickBot="1" x14ac:dyDescent="0.3">
      <c r="A26" s="97"/>
      <c r="B26" s="115"/>
      <c r="C26" s="255"/>
      <c r="D26" s="255"/>
      <c r="E26" s="256"/>
      <c r="H26" s="499" t="s">
        <v>170</v>
      </c>
      <c r="I26" s="500"/>
      <c r="J26" s="490" t="s">
        <v>171</v>
      </c>
      <c r="K26" s="492" t="e">
        <f>(F20-K24)/K24</f>
        <v>#DIV/0!</v>
      </c>
      <c r="L26" s="239"/>
      <c r="M26" s="239"/>
      <c r="N26" s="257"/>
      <c r="O26" s="257"/>
      <c r="P26" s="239"/>
      <c r="Q26" s="192"/>
      <c r="W26" s="99"/>
      <c r="X26" s="99"/>
      <c r="Y26" s="99"/>
      <c r="Z26" s="99"/>
      <c r="AA26" s="99"/>
      <c r="AB26" s="99"/>
      <c r="AC26" s="99"/>
      <c r="AD26" s="99"/>
      <c r="BF26" s="272">
        <v>15</v>
      </c>
      <c r="BG26" s="273">
        <v>0.99909999999999999</v>
      </c>
      <c r="BH26" s="273">
        <v>1.0008999999999999</v>
      </c>
    </row>
    <row r="27" spans="1:60" ht="17.25" customHeight="1" thickBot="1" x14ac:dyDescent="0.3">
      <c r="A27" s="97"/>
      <c r="B27" s="462" t="s">
        <v>116</v>
      </c>
      <c r="C27" s="463"/>
      <c r="D27" s="463"/>
      <c r="E27" s="463"/>
      <c r="F27" s="464"/>
      <c r="G27" s="258"/>
      <c r="H27" s="501"/>
      <c r="I27" s="502"/>
      <c r="J27" s="491"/>
      <c r="K27" s="492"/>
      <c r="L27" s="239"/>
      <c r="M27" s="239"/>
      <c r="N27" s="257"/>
      <c r="O27" s="257"/>
      <c r="P27" s="239"/>
      <c r="Q27" s="192"/>
      <c r="W27" s="99"/>
      <c r="X27" s="99"/>
      <c r="Y27" s="99"/>
      <c r="Z27" s="567" t="s">
        <v>221</v>
      </c>
      <c r="AA27" s="567"/>
      <c r="AB27" s="99"/>
      <c r="AC27" s="99"/>
      <c r="AD27" s="99"/>
      <c r="BF27" s="275">
        <v>15.1</v>
      </c>
      <c r="BG27" s="276">
        <v>0.99909000000000003</v>
      </c>
      <c r="BH27" s="276">
        <v>1.00088</v>
      </c>
    </row>
    <row r="28" spans="1:60" ht="15.95" customHeight="1" thickBot="1" x14ac:dyDescent="0.3">
      <c r="A28" s="97"/>
      <c r="B28" s="495" t="s">
        <v>26</v>
      </c>
      <c r="C28" s="496"/>
      <c r="D28" s="496"/>
      <c r="E28" s="187"/>
      <c r="F28" s="188"/>
      <c r="G28" s="258"/>
      <c r="H28" s="485" t="s">
        <v>22</v>
      </c>
      <c r="I28" s="486"/>
      <c r="J28" s="103" t="s">
        <v>23</v>
      </c>
      <c r="K28" s="117" t="e">
        <f>((E25-K18)/(E22*1*(E20-K24)))*100</f>
        <v>#DIV/0!</v>
      </c>
      <c r="L28" s="239"/>
      <c r="M28" s="239"/>
      <c r="N28" s="257"/>
      <c r="O28" s="257"/>
      <c r="P28" s="239"/>
      <c r="Q28" s="192"/>
      <c r="W28" s="99"/>
      <c r="X28" s="99"/>
      <c r="Y28" s="99"/>
      <c r="Z28" s="568"/>
      <c r="AA28" s="569"/>
      <c r="AB28" s="99"/>
      <c r="AC28" s="99"/>
      <c r="AD28" s="99"/>
      <c r="AS28" s="483" t="s">
        <v>9</v>
      </c>
      <c r="AT28" s="484"/>
      <c r="BF28" s="275">
        <v>15.2</v>
      </c>
      <c r="BG28" s="276">
        <v>0.99907000000000001</v>
      </c>
      <c r="BH28" s="276">
        <v>1.0008699999999999</v>
      </c>
    </row>
    <row r="29" spans="1:60" ht="15.95" customHeight="1" x14ac:dyDescent="0.25">
      <c r="A29" s="97"/>
      <c r="B29" s="487" t="s">
        <v>117</v>
      </c>
      <c r="C29" s="488"/>
      <c r="D29" s="488"/>
      <c r="E29" s="186"/>
      <c r="F29" s="189"/>
      <c r="G29" s="259"/>
      <c r="H29" s="485" t="s">
        <v>25</v>
      </c>
      <c r="I29" s="486"/>
      <c r="J29" s="103" t="s">
        <v>23</v>
      </c>
      <c r="K29" s="117" t="e">
        <f>((F25-K18)/(E22*1*(F20-K24)))*100</f>
        <v>#DIV/0!</v>
      </c>
      <c r="L29" s="239"/>
      <c r="M29" s="239"/>
      <c r="N29" s="257"/>
      <c r="O29" s="257"/>
      <c r="P29" s="239"/>
      <c r="Q29" s="192"/>
      <c r="V29" s="154"/>
      <c r="W29" s="99"/>
      <c r="X29" s="99"/>
      <c r="Y29" s="99"/>
      <c r="Z29" s="570" t="s">
        <v>222</v>
      </c>
      <c r="AA29" s="571"/>
      <c r="AB29" s="99"/>
      <c r="AC29" s="99"/>
      <c r="AD29" s="99"/>
      <c r="AS29" s="118" t="s">
        <v>12</v>
      </c>
      <c r="AT29" s="119">
        <v>46.98</v>
      </c>
      <c r="BF29" s="275">
        <v>15.3</v>
      </c>
      <c r="BG29" s="276">
        <v>0.99905999999999995</v>
      </c>
      <c r="BH29" s="276">
        <v>1.00085</v>
      </c>
    </row>
    <row r="30" spans="1:60" ht="15.95" customHeight="1" x14ac:dyDescent="0.35">
      <c r="A30" s="97"/>
      <c r="B30" s="487" t="s">
        <v>118</v>
      </c>
      <c r="C30" s="488"/>
      <c r="D30" s="488"/>
      <c r="E30" s="186"/>
      <c r="F30" s="189"/>
      <c r="G30" s="249"/>
      <c r="H30" s="485" t="s">
        <v>167</v>
      </c>
      <c r="I30" s="486"/>
      <c r="J30" s="120" t="s">
        <v>165</v>
      </c>
      <c r="K30" s="104" t="e">
        <f>GS!G26</f>
        <v>#VALUE!</v>
      </c>
      <c r="L30" s="489"/>
      <c r="M30" s="489"/>
      <c r="N30" s="489"/>
      <c r="O30" s="260"/>
      <c r="P30" s="239"/>
      <c r="Q30" s="192"/>
      <c r="W30" s="99"/>
      <c r="X30" s="99"/>
      <c r="Y30" s="99"/>
      <c r="Z30" s="572">
        <f>100-X30</f>
        <v>100</v>
      </c>
      <c r="AA30" s="573"/>
      <c r="AB30" s="99"/>
      <c r="AC30" s="99"/>
      <c r="AD30" s="99"/>
      <c r="AS30" s="118" t="s">
        <v>16</v>
      </c>
      <c r="AT30" s="119">
        <v>53.26</v>
      </c>
      <c r="BF30" s="275">
        <v>15.4</v>
      </c>
      <c r="BG30" s="276">
        <v>0.99904000000000004</v>
      </c>
      <c r="BH30" s="276">
        <v>1.00084</v>
      </c>
    </row>
    <row r="31" spans="1:60" ht="15.95" customHeight="1" x14ac:dyDescent="0.25">
      <c r="A31" s="97"/>
      <c r="B31" s="487" t="s">
        <v>28</v>
      </c>
      <c r="C31" s="488"/>
      <c r="D31" s="488"/>
      <c r="E31" s="186"/>
      <c r="F31" s="189"/>
      <c r="G31" s="249"/>
      <c r="H31" s="485" t="s">
        <v>146</v>
      </c>
      <c r="I31" s="486"/>
      <c r="J31" s="103" t="s">
        <v>172</v>
      </c>
      <c r="K31" s="121" t="e">
        <f>E25/(PI()*((E19/2)^2)*E20)</f>
        <v>#DIV/0!</v>
      </c>
      <c r="L31" s="452"/>
      <c r="M31" s="452"/>
      <c r="N31" s="452"/>
      <c r="O31" s="240"/>
      <c r="P31" s="239"/>
      <c r="Q31" s="192"/>
      <c r="W31" s="99"/>
      <c r="X31" s="99"/>
      <c r="Y31" s="99"/>
      <c r="Z31" s="99"/>
      <c r="AA31" s="99"/>
      <c r="AB31" s="99"/>
      <c r="AC31" s="99"/>
      <c r="AD31" s="99"/>
      <c r="AS31" s="118" t="s">
        <v>18</v>
      </c>
      <c r="AT31" s="119">
        <v>18.02</v>
      </c>
      <c r="BF31" s="275">
        <v>15.5</v>
      </c>
      <c r="BG31" s="276">
        <v>0.99902000000000002</v>
      </c>
      <c r="BH31" s="276">
        <v>1.00082</v>
      </c>
    </row>
    <row r="32" spans="1:60" ht="15.95" customHeight="1" thickBot="1" x14ac:dyDescent="0.3">
      <c r="A32" s="97"/>
      <c r="B32" s="493" t="s">
        <v>29</v>
      </c>
      <c r="C32" s="494"/>
      <c r="D32" s="494"/>
      <c r="E32" s="123" t="e">
        <f>(((E29-E30)/(E30-E31))*100)</f>
        <v>#DIV/0!</v>
      </c>
      <c r="F32" s="123" t="e">
        <f>(((F29-F30)/(F30-F31))*100)</f>
        <v>#DIV/0!</v>
      </c>
      <c r="G32" s="249"/>
      <c r="H32" s="551" t="s">
        <v>147</v>
      </c>
      <c r="I32" s="552"/>
      <c r="J32" s="124" t="s">
        <v>173</v>
      </c>
      <c r="K32" s="125" t="e">
        <f>$K$31/(1+E32/100)</f>
        <v>#DIV/0!</v>
      </c>
      <c r="L32" s="239"/>
      <c r="M32" s="239"/>
      <c r="N32" s="239"/>
      <c r="O32" s="239"/>
      <c r="P32" s="239"/>
      <c r="Q32" s="192"/>
      <c r="W32" s="99"/>
      <c r="X32" s="99"/>
      <c r="Y32" s="99"/>
      <c r="Z32" s="99"/>
      <c r="AA32" s="99"/>
      <c r="AB32" s="99"/>
      <c r="AC32" s="99"/>
      <c r="AD32" s="99"/>
      <c r="AS32" s="126"/>
      <c r="AT32" s="127">
        <f>AT29/((AT30-AT31)-((AT30-AT29)/0.86))</f>
        <v>1.6816002397362904</v>
      </c>
      <c r="BF32" s="275">
        <v>15.6</v>
      </c>
      <c r="BG32" s="276">
        <v>0.99900999999999995</v>
      </c>
      <c r="BH32" s="276">
        <v>1.0007999999999999</v>
      </c>
    </row>
    <row r="33" spans="1:60" ht="15.95" customHeight="1" thickBot="1" x14ac:dyDescent="0.3">
      <c r="A33" s="97"/>
      <c r="B33" s="115"/>
      <c r="C33" s="255"/>
      <c r="D33" s="255"/>
      <c r="E33" s="256"/>
      <c r="F33" s="256"/>
      <c r="G33" s="256"/>
      <c r="H33" s="256"/>
      <c r="L33" s="489"/>
      <c r="M33" s="489"/>
      <c r="N33" s="489"/>
      <c r="O33" s="260"/>
      <c r="P33" s="239"/>
      <c r="Q33" s="192"/>
      <c r="W33" s="99"/>
      <c r="X33" s="99"/>
      <c r="Y33" s="99"/>
      <c r="Z33" s="99"/>
      <c r="AA33" s="99"/>
      <c r="AB33" s="99"/>
      <c r="AC33" s="99"/>
      <c r="AD33" s="99"/>
      <c r="AS33" s="128" t="s">
        <v>24</v>
      </c>
      <c r="AT33" s="98" t="e">
        <f>+E25/(1+E32/100)</f>
        <v>#DIV/0!</v>
      </c>
      <c r="BF33" s="275">
        <v>15.7</v>
      </c>
      <c r="BG33" s="276">
        <v>0.99899000000000004</v>
      </c>
      <c r="BH33" s="276">
        <v>1.0007900000000001</v>
      </c>
    </row>
    <row r="34" spans="1:60" ht="15.95" customHeight="1" x14ac:dyDescent="0.2">
      <c r="A34" s="97"/>
      <c r="B34" s="129" t="s">
        <v>30</v>
      </c>
      <c r="C34" s="130" t="s">
        <v>31</v>
      </c>
      <c r="D34" s="129" t="s">
        <v>158</v>
      </c>
      <c r="E34" s="131" t="s">
        <v>32</v>
      </c>
      <c r="F34" s="553" t="s">
        <v>33</v>
      </c>
      <c r="G34" s="554"/>
      <c r="H34" s="132" t="s">
        <v>34</v>
      </c>
      <c r="I34" s="131" t="s">
        <v>111</v>
      </c>
      <c r="J34" s="261"/>
      <c r="L34" s="452"/>
      <c r="M34" s="452"/>
      <c r="N34" s="452"/>
      <c r="O34" s="240"/>
      <c r="P34" s="239"/>
      <c r="Q34" s="192"/>
      <c r="BF34" s="275">
        <v>15.8</v>
      </c>
      <c r="BG34" s="276">
        <v>0.99897999999999998</v>
      </c>
      <c r="BH34" s="276">
        <v>1.0007699999999999</v>
      </c>
    </row>
    <row r="35" spans="1:60" ht="15.95" customHeight="1" x14ac:dyDescent="0.2">
      <c r="A35" s="133"/>
      <c r="B35" s="134" t="s">
        <v>37</v>
      </c>
      <c r="C35" s="135" t="s">
        <v>38</v>
      </c>
      <c r="D35" s="134"/>
      <c r="E35" s="136" t="s">
        <v>39</v>
      </c>
      <c r="F35" s="555" t="s">
        <v>40</v>
      </c>
      <c r="G35" s="556"/>
      <c r="H35" s="137" t="s">
        <v>41</v>
      </c>
      <c r="I35" s="136" t="s">
        <v>115</v>
      </c>
      <c r="J35" s="261"/>
      <c r="L35" s="239"/>
      <c r="M35" s="239"/>
      <c r="N35" s="239"/>
      <c r="O35" s="239"/>
      <c r="P35" s="239"/>
      <c r="Q35" s="192"/>
      <c r="AU35" s="98">
        <v>1E-4</v>
      </c>
      <c r="BF35" s="275">
        <v>15.9</v>
      </c>
      <c r="BG35" s="276">
        <v>0.99895999999999996</v>
      </c>
      <c r="BH35" s="276">
        <v>1.0007600000000001</v>
      </c>
    </row>
    <row r="36" spans="1:60" ht="15.95" customHeight="1" thickBot="1" x14ac:dyDescent="0.25">
      <c r="A36" s="133"/>
      <c r="B36" s="138" t="s">
        <v>42</v>
      </c>
      <c r="C36" s="138" t="s">
        <v>159</v>
      </c>
      <c r="D36" s="138" t="s">
        <v>43</v>
      </c>
      <c r="E36" s="139" t="s">
        <v>44</v>
      </c>
      <c r="F36" s="511" t="s">
        <v>45</v>
      </c>
      <c r="G36" s="512"/>
      <c r="H36" s="140" t="s">
        <v>46</v>
      </c>
      <c r="I36" s="139" t="s">
        <v>160</v>
      </c>
      <c r="J36" s="261"/>
      <c r="L36" s="489"/>
      <c r="M36" s="489"/>
      <c r="N36" s="489"/>
      <c r="O36" s="260"/>
      <c r="P36" s="239"/>
      <c r="Q36" s="192"/>
      <c r="AT36" s="98" t="s">
        <v>27</v>
      </c>
      <c r="BF36" s="272">
        <v>16</v>
      </c>
      <c r="BG36" s="273">
        <v>0.99895</v>
      </c>
      <c r="BH36" s="273">
        <v>1.00074</v>
      </c>
    </row>
    <row r="37" spans="1:60" ht="15.95" customHeight="1" x14ac:dyDescent="0.2">
      <c r="A37" s="97"/>
      <c r="B37" s="141">
        <v>0</v>
      </c>
      <c r="C37" s="143" t="e">
        <f t="shared" ref="C37:C48" si="0">((B37+$AU$35*9.81)/$E$22)*10</f>
        <v>#DIV/0!</v>
      </c>
      <c r="D37" s="142">
        <v>0</v>
      </c>
      <c r="E37" s="143">
        <f>IF(D37="","",$E$20*10-D37)</f>
        <v>0</v>
      </c>
      <c r="F37" s="513" t="e">
        <f>IF(E37="","",($E$20*10-E37)/$E$20*100/10)</f>
        <v>#DIV/0!</v>
      </c>
      <c r="G37" s="514"/>
      <c r="H37" s="144" t="e">
        <f>IF(E37="","",(E37/10-$K$24)/$K$24)</f>
        <v>#DIV/0!</v>
      </c>
      <c r="I37" s="144"/>
      <c r="J37" s="262"/>
      <c r="L37" s="452"/>
      <c r="M37" s="452"/>
      <c r="N37" s="452"/>
      <c r="O37" s="240"/>
      <c r="P37" s="239"/>
      <c r="Q37" s="192"/>
      <c r="BF37" s="275">
        <v>16.100000000000001</v>
      </c>
      <c r="BG37" s="276">
        <v>0.99892999999999998</v>
      </c>
      <c r="BH37" s="276">
        <v>1.0007200000000001</v>
      </c>
    </row>
    <row r="38" spans="1:60" ht="15.95" customHeight="1" x14ac:dyDescent="0.2">
      <c r="A38" s="97"/>
      <c r="B38" s="145">
        <f>ROUND('0.5 kg'!L29*9.8*10,0)</f>
        <v>0</v>
      </c>
      <c r="C38" s="146" t="e">
        <f t="shared" si="0"/>
        <v>#DIV/0!</v>
      </c>
      <c r="D38" s="147">
        <f>IF(B38="","",MAX('0.5 kg'!D19:D49))</f>
        <v>0</v>
      </c>
      <c r="E38" s="148">
        <f>IF(D38="","",$E$20*10-D38)</f>
        <v>0</v>
      </c>
      <c r="F38" s="456" t="e">
        <f>IF(E38="","",($E$20*10-E38)/$E$20*100/10)</f>
        <v>#DIV/0!</v>
      </c>
      <c r="G38" s="457"/>
      <c r="H38" s="149" t="e">
        <f>IF(E38="","",(E38/10-$K$24)/$K$24)</f>
        <v>#DIV/0!</v>
      </c>
      <c r="I38" s="432" t="e">
        <f>'0.5 kg'!L47</f>
        <v>#DIV/0!</v>
      </c>
      <c r="J38" s="262"/>
      <c r="K38" s="239"/>
      <c r="L38" s="489"/>
      <c r="M38" s="489"/>
      <c r="N38" s="489"/>
      <c r="O38" s="260"/>
      <c r="P38" s="239"/>
      <c r="Q38" s="192"/>
      <c r="BF38" s="275">
        <v>16.2</v>
      </c>
      <c r="BG38" s="276">
        <v>0.99890999999999996</v>
      </c>
      <c r="BH38" s="276">
        <v>1.00071</v>
      </c>
    </row>
    <row r="39" spans="1:60" ht="15.95" customHeight="1" x14ac:dyDescent="0.25">
      <c r="A39" s="97"/>
      <c r="B39" s="145">
        <f>ROUND('1,0 kg '!L29*9.8*10,0)</f>
        <v>0</v>
      </c>
      <c r="C39" s="146" t="e">
        <f t="shared" si="0"/>
        <v>#DIV/0!</v>
      </c>
      <c r="D39" s="147">
        <f>IF(B39="","",MAX('1,0 kg '!D19:D48))</f>
        <v>0</v>
      </c>
      <c r="E39" s="148">
        <f>IF(D39="","",$E$20*10-D39)</f>
        <v>0</v>
      </c>
      <c r="F39" s="456" t="e">
        <f>IF(E39="","",($E$20*10-E39)/$E$20*100/10)</f>
        <v>#DIV/0!</v>
      </c>
      <c r="G39" s="457"/>
      <c r="H39" s="149" t="e">
        <f t="shared" ref="H39:H48" si="1">IF(E39="","",(E39/10-$K$24)/$K$24)</f>
        <v>#DIV/0!</v>
      </c>
      <c r="I39" s="432" t="e">
        <f>'1,0 kg '!L47</f>
        <v>#DIV/0!</v>
      </c>
      <c r="J39" s="262"/>
      <c r="L39" s="239"/>
      <c r="M39" s="239"/>
      <c r="N39" s="239"/>
      <c r="O39" s="239"/>
      <c r="P39" s="239"/>
      <c r="Q39" s="193"/>
      <c r="R39" s="150"/>
      <c r="S39" s="150"/>
      <c r="T39" s="150"/>
      <c r="U39" s="150"/>
      <c r="V39" s="150"/>
      <c r="W39" s="150"/>
      <c r="AC39" s="109"/>
      <c r="AS39" s="150"/>
      <c r="AU39" s="98" t="s">
        <v>33</v>
      </c>
      <c r="AV39" s="98" t="s">
        <v>36</v>
      </c>
      <c r="AW39" s="109"/>
      <c r="BF39" s="275">
        <v>16.3</v>
      </c>
      <c r="BG39" s="276">
        <v>0.99890000000000001</v>
      </c>
      <c r="BH39" s="276">
        <v>1.0006900000000001</v>
      </c>
    </row>
    <row r="40" spans="1:60" ht="15.95" customHeight="1" x14ac:dyDescent="0.25">
      <c r="A40" s="97"/>
      <c r="B40" s="145">
        <f>ROUND('2,0 kg '!L29*9.8*10,0)</f>
        <v>0</v>
      </c>
      <c r="C40" s="146" t="e">
        <f t="shared" si="0"/>
        <v>#DIV/0!</v>
      </c>
      <c r="D40" s="147">
        <f>IF(B40="","",MAX('2,0 kg '!D19:D49))</f>
        <v>0</v>
      </c>
      <c r="E40" s="148">
        <f t="shared" ref="E40:E47" si="2">IF(D40="","",$E$20*10-D40)</f>
        <v>0</v>
      </c>
      <c r="F40" s="456" t="e">
        <f t="shared" ref="F40:F48" si="3">IF(E40="","",($E$20*10-E40)/$E$20*100/10)</f>
        <v>#DIV/0!</v>
      </c>
      <c r="G40" s="457"/>
      <c r="H40" s="149" t="e">
        <f t="shared" si="1"/>
        <v>#DIV/0!</v>
      </c>
      <c r="I40" s="432" t="e">
        <f>'2,0 kg '!L47</f>
        <v>#REF!</v>
      </c>
      <c r="J40" s="262"/>
      <c r="L40" s="489"/>
      <c r="M40" s="489"/>
      <c r="N40" s="489"/>
      <c r="O40" s="260"/>
      <c r="P40" s="239"/>
      <c r="Q40" s="194"/>
      <c r="R40" s="151"/>
      <c r="S40" s="151"/>
      <c r="T40" s="151"/>
      <c r="U40" s="151"/>
      <c r="V40" s="151"/>
      <c r="W40" s="151"/>
      <c r="AC40" s="152"/>
      <c r="AS40" s="151"/>
      <c r="AT40" s="98" t="s">
        <v>35</v>
      </c>
      <c r="AU40" s="153"/>
      <c r="AW40" s="115"/>
      <c r="BF40" s="275">
        <v>16.399999999999999</v>
      </c>
      <c r="BG40" s="276">
        <v>0.99887999999999999</v>
      </c>
      <c r="BH40" s="276">
        <v>1.0006699999999999</v>
      </c>
    </row>
    <row r="41" spans="1:60" ht="15.95" customHeight="1" x14ac:dyDescent="0.25">
      <c r="A41" s="97"/>
      <c r="B41" s="145">
        <f>ROUND('4,0 kg  '!L29*9.8*10,0)</f>
        <v>0</v>
      </c>
      <c r="C41" s="146" t="e">
        <f t="shared" si="0"/>
        <v>#DIV/0!</v>
      </c>
      <c r="D41" s="147">
        <f>IF(B41="","",MAX('4,0 kg  '!D19:D49))</f>
        <v>0</v>
      </c>
      <c r="E41" s="148">
        <f t="shared" si="2"/>
        <v>0</v>
      </c>
      <c r="F41" s="456" t="e">
        <f t="shared" si="3"/>
        <v>#DIV/0!</v>
      </c>
      <c r="G41" s="457"/>
      <c r="H41" s="149" t="e">
        <f t="shared" si="1"/>
        <v>#DIV/0!</v>
      </c>
      <c r="I41" s="432" t="e">
        <f>'4,0 kg  '!L47</f>
        <v>#REF!</v>
      </c>
      <c r="J41" s="262"/>
      <c r="L41" s="239"/>
      <c r="M41" s="239"/>
      <c r="N41" s="239"/>
      <c r="O41" s="239"/>
      <c r="P41" s="239"/>
      <c r="Q41" s="194"/>
      <c r="R41" s="151"/>
      <c r="S41" s="151"/>
      <c r="T41" s="151"/>
      <c r="U41" s="151"/>
      <c r="V41" s="151"/>
      <c r="W41" s="151"/>
      <c r="AC41" s="152"/>
      <c r="AS41" s="151"/>
      <c r="AT41" s="154"/>
      <c r="AU41" s="153" t="e">
        <f>+#REF!</f>
        <v>#REF!</v>
      </c>
      <c r="AV41" s="98" t="e">
        <f>+AU41/$E$20</f>
        <v>#REF!</v>
      </c>
      <c r="AW41" s="115"/>
      <c r="BF41" s="275">
        <v>16.5</v>
      </c>
      <c r="BG41" s="276">
        <v>0.99885999999999997</v>
      </c>
      <c r="BH41" s="276">
        <v>1.0006600000000001</v>
      </c>
    </row>
    <row r="42" spans="1:60" ht="15.95" customHeight="1" x14ac:dyDescent="0.25">
      <c r="A42" s="97"/>
      <c r="B42" s="155">
        <f>ROUND('8,0 kg'!L29*9.81*10,0)</f>
        <v>0</v>
      </c>
      <c r="C42" s="146" t="e">
        <f t="shared" si="0"/>
        <v>#DIV/0!</v>
      </c>
      <c r="D42" s="147">
        <f>IF(B42="","",MAX('8,0 kg'!D19:D49))</f>
        <v>0</v>
      </c>
      <c r="E42" s="148">
        <f t="shared" si="2"/>
        <v>0</v>
      </c>
      <c r="F42" s="456" t="e">
        <f t="shared" si="3"/>
        <v>#DIV/0!</v>
      </c>
      <c r="G42" s="457"/>
      <c r="H42" s="149" t="e">
        <f t="shared" si="1"/>
        <v>#DIV/0!</v>
      </c>
      <c r="I42" s="432" t="e">
        <f>'8,0 kg'!L47</f>
        <v>#REF!</v>
      </c>
      <c r="J42" s="262"/>
      <c r="L42" s="489"/>
      <c r="M42" s="489"/>
      <c r="N42" s="489"/>
      <c r="O42" s="260"/>
      <c r="P42" s="263"/>
      <c r="Q42" s="194"/>
      <c r="R42" s="151"/>
      <c r="S42" s="151"/>
      <c r="T42" s="151"/>
      <c r="U42" s="151"/>
      <c r="V42" s="151"/>
      <c r="W42" s="151"/>
      <c r="AC42" s="152"/>
      <c r="AS42" s="151"/>
      <c r="AT42" s="154">
        <f>B42</f>
        <v>0</v>
      </c>
      <c r="AU42" s="153" t="e">
        <f>+#REF!</f>
        <v>#REF!</v>
      </c>
      <c r="AV42" s="98" t="e">
        <f t="shared" ref="AV42:AV47" si="4">+AU42/$E$20</f>
        <v>#REF!</v>
      </c>
      <c r="AW42" s="115"/>
      <c r="BF42" s="275">
        <v>16.600000000000001</v>
      </c>
      <c r="BG42" s="276">
        <v>0.99885000000000002</v>
      </c>
      <c r="BH42" s="276">
        <v>1.00064</v>
      </c>
    </row>
    <row r="43" spans="1:60" ht="15.95" customHeight="1" x14ac:dyDescent="0.25">
      <c r="A43" s="97"/>
      <c r="B43" s="155">
        <f>ROUND('16,0 kg'!L29*9.81*10,0)</f>
        <v>0</v>
      </c>
      <c r="C43" s="146" t="e">
        <f t="shared" si="0"/>
        <v>#DIV/0!</v>
      </c>
      <c r="D43" s="147">
        <f>IF(B43="","",MAX('16,0 kg'!D19:D49))</f>
        <v>0</v>
      </c>
      <c r="E43" s="148">
        <f t="shared" si="2"/>
        <v>0</v>
      </c>
      <c r="F43" s="456" t="e">
        <f t="shared" si="3"/>
        <v>#DIV/0!</v>
      </c>
      <c r="G43" s="457"/>
      <c r="H43" s="149" t="e">
        <f>IF(E43="","",(E43/10-$K$24)/$K$24)</f>
        <v>#DIV/0!</v>
      </c>
      <c r="I43" s="432" t="e">
        <f>'16,0 kg'!L47</f>
        <v>#REF!</v>
      </c>
      <c r="J43" s="262"/>
      <c r="L43" s="239"/>
      <c r="M43" s="239"/>
      <c r="N43" s="239"/>
      <c r="O43" s="239"/>
      <c r="P43" s="263"/>
      <c r="Q43" s="194"/>
      <c r="R43" s="151"/>
      <c r="S43" s="151"/>
      <c r="T43" s="151"/>
      <c r="U43" s="151"/>
      <c r="V43" s="151"/>
      <c r="W43" s="151"/>
      <c r="AS43" s="151"/>
      <c r="AT43" s="154">
        <f>B41</f>
        <v>0</v>
      </c>
      <c r="AU43" s="153" t="e">
        <f>+#REF!</f>
        <v>#REF!</v>
      </c>
      <c r="AV43" s="98" t="e">
        <f t="shared" si="4"/>
        <v>#REF!</v>
      </c>
      <c r="BF43" s="275">
        <v>16.7</v>
      </c>
      <c r="BG43" s="276">
        <v>0.99883</v>
      </c>
      <c r="BH43" s="276">
        <v>1.0006200000000001</v>
      </c>
    </row>
    <row r="44" spans="1:60" ht="15.95" customHeight="1" x14ac:dyDescent="0.2">
      <c r="A44" s="97"/>
      <c r="B44" s="412">
        <f>ROUND('32,0 kg'!L29*9.81*10,0)</f>
        <v>0</v>
      </c>
      <c r="C44" s="413" t="e">
        <f t="shared" si="0"/>
        <v>#DIV/0!</v>
      </c>
      <c r="D44" s="414">
        <f>IF(B44="","",MAX('32,0 kg'!D19:D49))</f>
        <v>0</v>
      </c>
      <c r="E44" s="415">
        <f t="shared" si="2"/>
        <v>0</v>
      </c>
      <c r="F44" s="458" t="e">
        <f>IF(E44="","",($E$20*10-E44)/$E$20*100/10)</f>
        <v>#DIV/0!</v>
      </c>
      <c r="G44" s="459"/>
      <c r="H44" s="149" t="e">
        <f t="shared" si="1"/>
        <v>#DIV/0!</v>
      </c>
      <c r="I44" s="432" t="e">
        <f>'32,0 kg'!L47</f>
        <v>#REF!</v>
      </c>
      <c r="J44" s="262"/>
      <c r="L44" s="489"/>
      <c r="M44" s="489"/>
      <c r="N44" s="264"/>
      <c r="O44" s="264"/>
      <c r="P44" s="264"/>
      <c r="Q44" s="195"/>
      <c r="R44" s="156"/>
      <c r="S44" s="156"/>
      <c r="T44" s="156"/>
      <c r="U44" s="156"/>
      <c r="V44" s="156"/>
      <c r="W44" s="156"/>
      <c r="AS44" s="156"/>
      <c r="AT44" s="154">
        <f>B40</f>
        <v>0</v>
      </c>
      <c r="AU44" s="153" t="e">
        <f>+#REF!</f>
        <v>#REF!</v>
      </c>
      <c r="AV44" s="98" t="e">
        <f t="shared" si="4"/>
        <v>#REF!</v>
      </c>
      <c r="BF44" s="275">
        <v>16.8</v>
      </c>
      <c r="BG44" s="276">
        <v>0.99880999999999998</v>
      </c>
      <c r="BH44" s="276">
        <v>1.00061</v>
      </c>
    </row>
    <row r="45" spans="1:60" ht="15.95" customHeight="1" x14ac:dyDescent="0.2">
      <c r="A45" s="97"/>
      <c r="B45" s="155">
        <f>+B42</f>
        <v>0</v>
      </c>
      <c r="C45" s="146" t="e">
        <f>((B45+$AU$35*9.81)/$E$22)*10</f>
        <v>#DIV/0!</v>
      </c>
      <c r="D45" s="147">
        <f>'Datos '!AA2</f>
        <v>0</v>
      </c>
      <c r="E45" s="148">
        <f t="shared" si="2"/>
        <v>0</v>
      </c>
      <c r="F45" s="456" t="e">
        <f t="shared" si="3"/>
        <v>#DIV/0!</v>
      </c>
      <c r="G45" s="457"/>
      <c r="H45" s="149" t="e">
        <f t="shared" si="1"/>
        <v>#DIV/0!</v>
      </c>
      <c r="I45" s="431"/>
      <c r="J45" s="262"/>
      <c r="L45" s="239"/>
      <c r="M45" s="239"/>
      <c r="N45" s="264"/>
      <c r="O45" s="264"/>
      <c r="P45" s="264"/>
      <c r="Q45" s="195"/>
      <c r="R45" s="156"/>
      <c r="S45" s="156"/>
      <c r="T45" s="156"/>
      <c r="U45" s="156"/>
      <c r="V45" s="156"/>
      <c r="W45" s="156"/>
      <c r="AS45" s="156"/>
      <c r="AT45" s="154">
        <f>B39</f>
        <v>0</v>
      </c>
      <c r="AU45" s="153" t="e">
        <f>+#REF!</f>
        <v>#REF!</v>
      </c>
      <c r="AV45" s="98" t="e">
        <f t="shared" si="4"/>
        <v>#REF!</v>
      </c>
      <c r="BF45" s="275">
        <v>16.899999999999999</v>
      </c>
      <c r="BG45" s="276">
        <v>0.99878999999999996</v>
      </c>
      <c r="BH45" s="276">
        <v>1.0005900000000001</v>
      </c>
    </row>
    <row r="46" spans="1:60" ht="15.95" customHeight="1" x14ac:dyDescent="0.2">
      <c r="A46" s="97"/>
      <c r="B46" s="155">
        <f>+B40</f>
        <v>0</v>
      </c>
      <c r="C46" s="146" t="e">
        <f t="shared" si="0"/>
        <v>#DIV/0!</v>
      </c>
      <c r="D46" s="147">
        <f>'Datos '!AA3</f>
        <v>0</v>
      </c>
      <c r="E46" s="148">
        <f t="shared" si="2"/>
        <v>0</v>
      </c>
      <c r="F46" s="456" t="e">
        <f t="shared" si="3"/>
        <v>#DIV/0!</v>
      </c>
      <c r="G46" s="457"/>
      <c r="H46" s="149" t="e">
        <f t="shared" si="1"/>
        <v>#DIV/0!</v>
      </c>
      <c r="I46" s="149"/>
      <c r="J46" s="262"/>
      <c r="L46" s="239"/>
      <c r="M46" s="239"/>
      <c r="N46" s="239"/>
      <c r="O46" s="239"/>
      <c r="P46" s="264"/>
      <c r="Q46" s="195"/>
      <c r="R46" s="156"/>
      <c r="S46" s="156"/>
      <c r="T46" s="156"/>
      <c r="U46" s="156"/>
      <c r="V46" s="156"/>
      <c r="W46" s="156"/>
      <c r="AS46" s="156"/>
      <c r="AT46" s="154">
        <f>B38</f>
        <v>0</v>
      </c>
      <c r="AU46" s="153" t="e">
        <f>+#REF!</f>
        <v>#REF!</v>
      </c>
      <c r="AV46" s="98" t="e">
        <f t="shared" si="4"/>
        <v>#REF!</v>
      </c>
      <c r="BF46" s="272">
        <v>17</v>
      </c>
      <c r="BG46" s="273">
        <v>0.99878</v>
      </c>
      <c r="BH46" s="273">
        <v>1.00057</v>
      </c>
    </row>
    <row r="47" spans="1:60" ht="15.95" customHeight="1" x14ac:dyDescent="0.2">
      <c r="A47" s="97"/>
      <c r="B47" s="155">
        <f>+B38</f>
        <v>0</v>
      </c>
      <c r="C47" s="146" t="e">
        <f t="shared" si="0"/>
        <v>#DIV/0!</v>
      </c>
      <c r="D47" s="147">
        <f>'Datos '!AA4</f>
        <v>0</v>
      </c>
      <c r="E47" s="148">
        <f t="shared" si="2"/>
        <v>0</v>
      </c>
      <c r="F47" s="456" t="e">
        <f t="shared" si="3"/>
        <v>#DIV/0!</v>
      </c>
      <c r="G47" s="457"/>
      <c r="H47" s="149" t="e">
        <f t="shared" si="1"/>
        <v>#DIV/0!</v>
      </c>
      <c r="I47" s="149"/>
      <c r="J47" s="262"/>
      <c r="L47" s="239"/>
      <c r="M47" s="239"/>
      <c r="N47" s="264"/>
      <c r="O47" s="264"/>
      <c r="P47" s="264"/>
      <c r="Q47" s="195"/>
      <c r="R47" s="156"/>
      <c r="S47" s="156"/>
      <c r="T47" s="156"/>
      <c r="U47" s="156"/>
      <c r="V47" s="156"/>
      <c r="W47" s="156"/>
      <c r="AS47" s="156"/>
      <c r="AT47" s="154">
        <f>B37</f>
        <v>0</v>
      </c>
      <c r="AU47" s="153" t="e">
        <f>+#REF!</f>
        <v>#REF!</v>
      </c>
      <c r="AV47" s="98" t="e">
        <f t="shared" si="4"/>
        <v>#REF!</v>
      </c>
      <c r="BF47" s="275">
        <v>17.100000000000001</v>
      </c>
      <c r="BG47" s="276">
        <v>0.99875999999999998</v>
      </c>
      <c r="BH47" s="276">
        <v>1.0005500000000001</v>
      </c>
    </row>
    <row r="48" spans="1:60" ht="15.95" customHeight="1" thickBot="1" x14ac:dyDescent="0.25">
      <c r="A48" s="97"/>
      <c r="B48" s="157">
        <f>+B37</f>
        <v>0</v>
      </c>
      <c r="C48" s="158" t="e">
        <f t="shared" si="0"/>
        <v>#DIV/0!</v>
      </c>
      <c r="D48" s="147">
        <f>'Datos '!AA5</f>
        <v>0</v>
      </c>
      <c r="E48" s="159">
        <f>IF(D48="","",$E$20*10-D48)</f>
        <v>0</v>
      </c>
      <c r="F48" s="465" t="e">
        <f t="shared" si="3"/>
        <v>#DIV/0!</v>
      </c>
      <c r="G48" s="466"/>
      <c r="H48" s="160" t="e">
        <f t="shared" si="1"/>
        <v>#DIV/0!</v>
      </c>
      <c r="I48" s="160"/>
      <c r="J48" s="262"/>
      <c r="L48" s="239"/>
      <c r="M48" s="239"/>
      <c r="N48" s="239"/>
      <c r="O48" s="239"/>
      <c r="P48" s="239"/>
      <c r="Q48" s="192"/>
      <c r="AT48" s="154" t="str">
        <f>B36</f>
        <v>(N)</v>
      </c>
      <c r="AU48" s="161"/>
      <c r="AV48" s="156"/>
      <c r="BF48" s="275">
        <v>17.2</v>
      </c>
      <c r="BG48" s="276">
        <v>0.99873999999999996</v>
      </c>
      <c r="BH48" s="276">
        <v>1.00054</v>
      </c>
    </row>
    <row r="49" spans="1:60" ht="8.25" customHeight="1" thickBot="1" x14ac:dyDescent="0.25">
      <c r="A49" s="97"/>
      <c r="L49" s="239"/>
      <c r="M49" s="239"/>
      <c r="N49" s="239"/>
      <c r="O49" s="239"/>
      <c r="P49" s="239"/>
      <c r="Q49" s="195"/>
      <c r="R49" s="156"/>
      <c r="S49" s="156"/>
      <c r="T49" s="156"/>
      <c r="U49" s="156"/>
      <c r="V49" s="156"/>
      <c r="W49" s="156"/>
      <c r="AS49" s="156"/>
      <c r="AT49" s="156"/>
      <c r="AU49" s="156"/>
      <c r="BF49" s="275">
        <v>17.3</v>
      </c>
      <c r="BG49" s="276">
        <v>0.99872000000000005</v>
      </c>
      <c r="BH49" s="276">
        <v>1.0005200000000001</v>
      </c>
    </row>
    <row r="50" spans="1:60" ht="24.75" customHeight="1" thickBot="1" x14ac:dyDescent="0.25">
      <c r="A50" s="97"/>
      <c r="B50" s="462" t="s">
        <v>144</v>
      </c>
      <c r="C50" s="463"/>
      <c r="D50" s="463"/>
      <c r="E50" s="463"/>
      <c r="F50" s="464"/>
      <c r="H50" s="467" t="s">
        <v>148</v>
      </c>
      <c r="I50" s="468"/>
      <c r="J50" s="468"/>
      <c r="K50" s="469"/>
      <c r="L50" s="239"/>
      <c r="M50" s="239"/>
      <c r="N50" s="239"/>
      <c r="O50" s="239"/>
      <c r="P50" s="239"/>
      <c r="Q50" s="195"/>
      <c r="R50" s="156"/>
      <c r="S50" s="156"/>
      <c r="T50" s="156"/>
      <c r="U50" s="156"/>
      <c r="V50" s="156"/>
      <c r="W50" s="156"/>
      <c r="AS50" s="156"/>
      <c r="AV50" s="156"/>
      <c r="BF50" s="275">
        <v>17.399999999999999</v>
      </c>
      <c r="BG50" s="276">
        <v>0.99870999999999999</v>
      </c>
      <c r="BH50" s="276">
        <v>1.0004999999999999</v>
      </c>
    </row>
    <row r="51" spans="1:60" ht="21.95" customHeight="1" x14ac:dyDescent="0.2">
      <c r="A51" s="97"/>
      <c r="B51" s="476" t="s">
        <v>53</v>
      </c>
      <c r="C51" s="477"/>
      <c r="D51" s="478"/>
      <c r="E51" s="162" t="s">
        <v>54</v>
      </c>
      <c r="F51" s="163" t="e">
        <f>ABS(H44-H43)/(LOG(C44)-LOG(C43))</f>
        <v>#DIV/0!</v>
      </c>
      <c r="H51" s="470" t="s">
        <v>145</v>
      </c>
      <c r="I51" s="471"/>
      <c r="J51" s="472"/>
      <c r="K51" s="374"/>
      <c r="L51" s="239"/>
      <c r="M51" s="239"/>
      <c r="N51" s="264"/>
      <c r="O51" s="264"/>
      <c r="P51" s="264"/>
      <c r="Q51" s="195"/>
      <c r="R51" s="156"/>
      <c r="S51" s="156"/>
      <c r="T51" s="156"/>
      <c r="U51" s="156"/>
      <c r="V51" s="156"/>
      <c r="W51" s="156"/>
      <c r="BF51" s="275">
        <v>17.5</v>
      </c>
      <c r="BG51" s="276">
        <v>0.99868999999999997</v>
      </c>
      <c r="BH51" s="276">
        <v>1.00048</v>
      </c>
    </row>
    <row r="52" spans="1:60" ht="21.95" customHeight="1" x14ac:dyDescent="0.2">
      <c r="A52" s="97"/>
      <c r="B52" s="505" t="s">
        <v>238</v>
      </c>
      <c r="C52" s="506"/>
      <c r="D52" s="507"/>
      <c r="E52" s="164" t="s">
        <v>112</v>
      </c>
      <c r="F52" s="165" t="e">
        <f>ABS(MIN(H44)-H47)/(LOG(C44)-LOG(C47))</f>
        <v>#DIV/0!</v>
      </c>
      <c r="H52" s="473" t="s">
        <v>183</v>
      </c>
      <c r="I52" s="474"/>
      <c r="J52" s="475"/>
      <c r="K52" s="375"/>
      <c r="L52" s="239"/>
      <c r="M52" s="239"/>
      <c r="N52" s="264"/>
      <c r="O52" s="264"/>
      <c r="P52" s="264"/>
      <c r="Q52" s="195"/>
      <c r="R52" s="156"/>
      <c r="S52" s="156"/>
      <c r="T52" s="156"/>
      <c r="U52" s="156"/>
      <c r="V52" s="156"/>
      <c r="W52" s="156"/>
      <c r="BF52" s="275">
        <v>17.600000000000001</v>
      </c>
      <c r="BG52" s="276">
        <v>0.99866999999999995</v>
      </c>
      <c r="BH52" s="276">
        <v>1.00047</v>
      </c>
    </row>
    <row r="53" spans="1:60" ht="21.95" customHeight="1" thickBot="1" x14ac:dyDescent="0.25">
      <c r="A53" s="97"/>
      <c r="B53" s="505" t="s">
        <v>55</v>
      </c>
      <c r="C53" s="506"/>
      <c r="D53" s="507"/>
      <c r="E53" s="164" t="s">
        <v>56</v>
      </c>
      <c r="F53" s="166" t="e">
        <f>ABS((H41-H40)/(C41-C40))</f>
        <v>#DIV/0!</v>
      </c>
      <c r="H53" s="473" t="s">
        <v>149</v>
      </c>
      <c r="I53" s="474"/>
      <c r="J53" s="475"/>
      <c r="K53" s="377"/>
      <c r="L53" s="239"/>
      <c r="M53" s="239"/>
      <c r="N53" s="264"/>
      <c r="O53" s="264"/>
      <c r="P53" s="264"/>
      <c r="Q53" s="195"/>
      <c r="R53" s="156"/>
      <c r="S53" s="156"/>
      <c r="T53" s="156"/>
      <c r="U53" s="156"/>
      <c r="V53" s="156"/>
      <c r="W53" s="156"/>
      <c r="BF53" s="275">
        <v>17.7</v>
      </c>
      <c r="BG53" s="276">
        <v>0.99865000000000004</v>
      </c>
      <c r="BH53" s="276">
        <v>1.0004500000000001</v>
      </c>
    </row>
    <row r="54" spans="1:60" ht="21.95" customHeight="1" thickBot="1" x14ac:dyDescent="0.4">
      <c r="A54" s="97"/>
      <c r="B54" s="508" t="s">
        <v>57</v>
      </c>
      <c r="C54" s="509"/>
      <c r="D54" s="510"/>
      <c r="E54" s="164" t="s">
        <v>58</v>
      </c>
      <c r="F54" s="166" t="e">
        <f>+F53/(1+K25)</f>
        <v>#DIV/0!</v>
      </c>
      <c r="G54" s="265"/>
      <c r="H54" s="453" t="s">
        <v>154</v>
      </c>
      <c r="I54" s="454"/>
      <c r="J54" s="455"/>
      <c r="K54" s="376" t="s">
        <v>236</v>
      </c>
      <c r="L54" s="239"/>
      <c r="M54" s="239"/>
      <c r="N54" s="264"/>
      <c r="O54" s="264"/>
      <c r="P54" s="264"/>
      <c r="Q54" s="195"/>
      <c r="R54" s="156"/>
      <c r="S54" s="156"/>
      <c r="T54" s="156"/>
      <c r="U54" s="156"/>
      <c r="V54" s="156"/>
      <c r="W54" s="156"/>
      <c r="X54" s="98" t="s">
        <v>48</v>
      </c>
      <c r="Y54" s="98" t="e">
        <f>K24*10</f>
        <v>#DIV/0!</v>
      </c>
      <c r="AI54" s="286" t="s">
        <v>224</v>
      </c>
      <c r="AJ54" s="329" t="s">
        <v>225</v>
      </c>
      <c r="AK54" s="329"/>
      <c r="AL54" s="293" t="s">
        <v>43</v>
      </c>
      <c r="AM54" s="330" t="s">
        <v>212</v>
      </c>
      <c r="AN54" s="329"/>
      <c r="BF54" s="275">
        <v>17.8</v>
      </c>
      <c r="BG54" s="276">
        <v>0.99863000000000002</v>
      </c>
      <c r="BH54" s="276">
        <v>1.0004299999999999</v>
      </c>
    </row>
    <row r="55" spans="1:60" ht="21.95" customHeight="1" thickBot="1" x14ac:dyDescent="0.25">
      <c r="A55" s="97"/>
      <c r="B55" s="460" t="s">
        <v>59</v>
      </c>
      <c r="C55" s="461"/>
      <c r="D55" s="461"/>
      <c r="E55" s="167" t="s">
        <v>60</v>
      </c>
      <c r="F55" s="190"/>
      <c r="G55" s="266"/>
      <c r="H55" s="266"/>
      <c r="L55" s="239"/>
      <c r="M55" s="239"/>
      <c r="N55" s="239"/>
      <c r="O55" s="239"/>
      <c r="P55" s="239"/>
      <c r="Q55" s="195"/>
      <c r="R55" s="156"/>
      <c r="S55" s="156"/>
      <c r="T55" s="156"/>
      <c r="U55" s="156"/>
      <c r="V55" s="156"/>
      <c r="W55" s="156"/>
      <c r="X55" s="168" t="s">
        <v>49</v>
      </c>
      <c r="Y55" s="168" t="s">
        <v>50</v>
      </c>
      <c r="Z55" s="168" t="s">
        <v>51</v>
      </c>
      <c r="AA55" s="169" t="s">
        <v>52</v>
      </c>
      <c r="AI55" s="331">
        <f>+IF(AB19="","",(AB19*AB23)/(AB20+AB19-AB21))</f>
        <v>2.3618452770984333</v>
      </c>
      <c r="AJ55" s="332">
        <f>VLOOKUP(AB22,BF26:BH186,3,FALSE)</f>
        <v>0.99951999999999996</v>
      </c>
      <c r="AK55" s="329"/>
      <c r="AL55" s="333"/>
      <c r="AM55" s="334"/>
      <c r="AN55" s="329"/>
      <c r="BF55" s="275">
        <v>17.899999999999999</v>
      </c>
      <c r="BG55" s="276">
        <v>0.99861999999999995</v>
      </c>
      <c r="BH55" s="276">
        <v>1.00041</v>
      </c>
    </row>
    <row r="56" spans="1:60" ht="21.95" customHeight="1" x14ac:dyDescent="0.2">
      <c r="A56" s="97"/>
      <c r="G56" s="266"/>
      <c r="H56" s="266"/>
      <c r="L56" s="239"/>
      <c r="M56" s="452"/>
      <c r="N56" s="452"/>
      <c r="O56" s="452"/>
      <c r="P56" s="452"/>
      <c r="Q56" s="195"/>
      <c r="R56" s="156"/>
      <c r="S56" s="156"/>
      <c r="T56" s="156"/>
      <c r="U56" s="156"/>
      <c r="V56" s="156"/>
      <c r="W56" s="156"/>
      <c r="X56" s="168"/>
      <c r="Y56" s="168"/>
      <c r="Z56" s="168"/>
      <c r="AA56" s="169"/>
      <c r="AC56" s="576" t="s">
        <v>47</v>
      </c>
      <c r="AD56" s="577"/>
      <c r="AI56" s="338">
        <f>1/((Z28/(100*AI61))+(Z30/(100*AI55)))</f>
        <v>2.3618452770984333</v>
      </c>
      <c r="AJ56" s="339"/>
      <c r="AK56" s="231"/>
      <c r="AL56" s="231"/>
      <c r="AM56" s="231"/>
      <c r="AN56" s="231"/>
      <c r="BF56" s="272">
        <v>18</v>
      </c>
      <c r="BG56" s="273">
        <v>0.99860000000000004</v>
      </c>
      <c r="BH56" s="273">
        <v>1.0003899999999999</v>
      </c>
    </row>
    <row r="57" spans="1:60" ht="14.1" customHeight="1" x14ac:dyDescent="0.2">
      <c r="A57" s="227"/>
      <c r="B57" s="223" t="s">
        <v>3</v>
      </c>
      <c r="C57" s="228"/>
      <c r="D57" s="515"/>
      <c r="E57" s="515"/>
      <c r="F57" s="515"/>
      <c r="G57" s="515"/>
      <c r="H57" s="515"/>
      <c r="I57" s="515"/>
      <c r="J57" s="480" t="s">
        <v>189</v>
      </c>
      <c r="K57" s="480"/>
      <c r="L57" s="480"/>
      <c r="N57" s="480" t="s">
        <v>190</v>
      </c>
      <c r="O57" s="480"/>
      <c r="P57" s="480"/>
      <c r="Q57" s="481"/>
      <c r="R57" s="156"/>
      <c r="S57" s="156"/>
      <c r="T57" s="156"/>
      <c r="U57" s="156"/>
      <c r="V57" s="156"/>
      <c r="W57" s="156"/>
      <c r="X57" s="170"/>
      <c r="Y57" s="171">
        <f>+B38*9.86/10</f>
        <v>0</v>
      </c>
      <c r="Z57" s="170"/>
      <c r="AA57" s="170"/>
      <c r="AC57" s="169">
        <v>8</v>
      </c>
      <c r="AD57" s="172">
        <v>2.9820000000000002</v>
      </c>
      <c r="AE57" s="98" t="e">
        <f>#REF!</f>
        <v>#REF!</v>
      </c>
      <c r="AI57" s="341">
        <f>AI55*AJ55</f>
        <v>2.3607115913654257</v>
      </c>
      <c r="AJ57" s="339"/>
      <c r="AK57" s="231"/>
      <c r="AL57" s="231"/>
      <c r="AM57" s="231"/>
      <c r="AN57" s="342"/>
      <c r="BF57" s="275">
        <v>18.100000000000001</v>
      </c>
      <c r="BG57" s="276">
        <v>0.99858000000000002</v>
      </c>
      <c r="BH57" s="276">
        <v>1.00037</v>
      </c>
    </row>
    <row r="58" spans="1:60" ht="21" customHeight="1" x14ac:dyDescent="0.2">
      <c r="A58" s="227"/>
      <c r="B58" s="515"/>
      <c r="C58" s="515"/>
      <c r="D58" s="515"/>
      <c r="E58" s="515"/>
      <c r="F58" s="515"/>
      <c r="G58" s="515"/>
      <c r="H58" s="515"/>
      <c r="I58" s="515"/>
      <c r="J58" s="231"/>
      <c r="K58" s="267"/>
      <c r="L58" s="267"/>
      <c r="P58" s="264"/>
      <c r="Q58" s="192"/>
      <c r="X58" s="170"/>
      <c r="Y58" s="171"/>
      <c r="Z58" s="170"/>
      <c r="AA58" s="170"/>
      <c r="AI58" s="343">
        <v>30</v>
      </c>
      <c r="AJ58" s="344" t="s">
        <v>228</v>
      </c>
      <c r="AK58" s="342"/>
      <c r="AL58" s="342"/>
      <c r="AM58" s="342"/>
      <c r="AN58" s="288"/>
      <c r="BF58" s="275">
        <v>18.2</v>
      </c>
      <c r="BG58" s="276">
        <v>0.99856</v>
      </c>
      <c r="BH58" s="276">
        <v>1.0003500000000001</v>
      </c>
    </row>
    <row r="59" spans="1:60" ht="41.25" customHeight="1" x14ac:dyDescent="0.25">
      <c r="A59" s="97"/>
      <c r="B59" s="479" t="s">
        <v>195</v>
      </c>
      <c r="C59" s="479"/>
      <c r="D59" s="479"/>
      <c r="E59" s="479"/>
      <c r="F59" s="479"/>
      <c r="G59" s="479"/>
      <c r="H59" s="479"/>
      <c r="I59" s="479"/>
      <c r="J59" s="231"/>
      <c r="K59" s="267"/>
      <c r="L59" s="267"/>
      <c r="M59" s="231"/>
      <c r="N59" s="267"/>
      <c r="O59" s="231"/>
      <c r="P59" s="239"/>
      <c r="Q59" s="192"/>
      <c r="Z59" s="170"/>
      <c r="AA59" s="171"/>
      <c r="AB59" s="170"/>
      <c r="AC59" s="170"/>
      <c r="AI59" s="346">
        <v>11</v>
      </c>
      <c r="AJ59" s="317" t="s">
        <v>229</v>
      </c>
      <c r="AK59" s="288"/>
      <c r="AL59" s="288"/>
      <c r="AM59" s="288"/>
      <c r="AN59" s="231"/>
      <c r="BF59" s="275">
        <v>18.3</v>
      </c>
      <c r="BG59" s="276">
        <v>0.99853999999999998</v>
      </c>
      <c r="BH59" s="276">
        <v>1.00034</v>
      </c>
    </row>
    <row r="60" spans="1:60" ht="41.25" customHeight="1" x14ac:dyDescent="0.2">
      <c r="A60" s="97"/>
      <c r="B60" s="482" t="s">
        <v>196</v>
      </c>
      <c r="C60" s="482"/>
      <c r="D60" s="482"/>
      <c r="E60" s="482"/>
      <c r="F60" s="482"/>
      <c r="G60" s="482"/>
      <c r="H60" s="482"/>
      <c r="I60" s="482"/>
      <c r="Q60" s="108"/>
      <c r="Z60" s="170"/>
      <c r="AA60" s="171"/>
      <c r="AB60" s="170"/>
      <c r="AC60" s="170"/>
      <c r="AI60" s="277"/>
      <c r="AJ60" s="231" t="s">
        <v>230</v>
      </c>
      <c r="AK60" s="231"/>
      <c r="AL60" s="231"/>
      <c r="AM60" s="231"/>
      <c r="AN60" s="329"/>
      <c r="BF60" s="275">
        <v>18.399999999999999</v>
      </c>
      <c r="BG60" s="276">
        <v>0.99851999999999996</v>
      </c>
      <c r="BH60" s="276">
        <v>1.0003200000000001</v>
      </c>
    </row>
    <row r="61" spans="1:60" ht="14.1" customHeight="1" x14ac:dyDescent="0.25">
      <c r="A61" s="173"/>
      <c r="B61" s="482"/>
      <c r="C61" s="482"/>
      <c r="D61" s="482"/>
      <c r="E61" s="482"/>
      <c r="F61" s="482"/>
      <c r="G61" s="482"/>
      <c r="H61" s="482"/>
      <c r="I61" s="482"/>
      <c r="J61" s="574" t="s">
        <v>191</v>
      </c>
      <c r="K61" s="574"/>
      <c r="L61" s="574"/>
      <c r="N61" s="574" t="s">
        <v>239</v>
      </c>
      <c r="O61" s="574"/>
      <c r="P61" s="574"/>
      <c r="Q61" s="575"/>
      <c r="Z61" s="170"/>
      <c r="AA61" s="171"/>
      <c r="AB61" s="170"/>
      <c r="AC61" s="170"/>
      <c r="AI61" s="349">
        <f>AI58/(AI58-AI59)</f>
        <v>1.5789473684210527</v>
      </c>
      <c r="AJ61" s="565" t="s">
        <v>232</v>
      </c>
      <c r="AK61" s="566"/>
      <c r="AL61" s="566"/>
      <c r="AM61" s="566"/>
      <c r="AN61" s="329"/>
      <c r="BF61" s="275">
        <v>18.5</v>
      </c>
      <c r="BG61" s="276">
        <v>0.99850000000000005</v>
      </c>
      <c r="BH61" s="276">
        <v>1.0003</v>
      </c>
    </row>
    <row r="62" spans="1:60" ht="14.1" customHeight="1" x14ac:dyDescent="0.2">
      <c r="A62" s="173"/>
      <c r="B62" s="482"/>
      <c r="C62" s="482"/>
      <c r="D62" s="482"/>
      <c r="E62" s="482"/>
      <c r="F62" s="482"/>
      <c r="G62" s="482"/>
      <c r="H62" s="482"/>
      <c r="I62" s="482"/>
      <c r="J62" s="480" t="s">
        <v>193</v>
      </c>
      <c r="K62" s="480"/>
      <c r="L62" s="480"/>
      <c r="N62" s="480" t="s">
        <v>194</v>
      </c>
      <c r="O62" s="480"/>
      <c r="P62" s="480"/>
      <c r="Q62" s="481"/>
      <c r="Z62" s="170"/>
      <c r="AA62" s="171"/>
      <c r="AB62" s="170"/>
      <c r="AC62" s="170"/>
      <c r="BF62" s="275">
        <v>18.600000000000001</v>
      </c>
      <c r="BG62" s="276">
        <v>0.99848000000000003</v>
      </c>
      <c r="BH62" s="276">
        <v>1.0002800000000001</v>
      </c>
    </row>
    <row r="63" spans="1:60" ht="14.1" customHeight="1" x14ac:dyDescent="0.2">
      <c r="A63" s="173"/>
      <c r="B63" s="482"/>
      <c r="C63" s="482"/>
      <c r="D63" s="482"/>
      <c r="E63" s="482"/>
      <c r="F63" s="482"/>
      <c r="G63" s="482"/>
      <c r="H63" s="482"/>
      <c r="I63" s="482"/>
      <c r="L63" s="267"/>
      <c r="P63" s="268"/>
      <c r="Q63" s="192"/>
      <c r="Z63" s="170"/>
      <c r="AA63" s="171"/>
      <c r="AB63" s="170"/>
      <c r="AC63" s="170"/>
      <c r="BF63" s="275">
        <v>18.7</v>
      </c>
      <c r="BG63" s="276">
        <v>0.99846999999999997</v>
      </c>
      <c r="BH63" s="276">
        <v>1.0002599999999999</v>
      </c>
    </row>
    <row r="64" spans="1:60" ht="14.1" customHeight="1" thickBot="1" x14ac:dyDescent="0.25">
      <c r="A64" s="173"/>
      <c r="B64" s="269"/>
      <c r="C64" s="269"/>
      <c r="D64" s="269"/>
      <c r="E64" s="269"/>
      <c r="F64" s="269"/>
      <c r="G64" s="269"/>
      <c r="H64" s="269"/>
      <c r="I64" s="269"/>
      <c r="J64" s="269"/>
      <c r="K64" s="269"/>
      <c r="L64" s="239"/>
      <c r="M64" s="239"/>
      <c r="N64" s="239"/>
      <c r="O64" s="239"/>
      <c r="P64" s="239"/>
      <c r="Q64" s="192"/>
      <c r="Z64" s="170"/>
      <c r="AA64" s="171"/>
      <c r="AB64" s="170"/>
      <c r="AC64" s="170"/>
      <c r="BF64" s="275">
        <v>18.8</v>
      </c>
      <c r="BG64" s="276">
        <v>0.99844999999999995</v>
      </c>
      <c r="BH64" s="276">
        <v>1.00024</v>
      </c>
    </row>
    <row r="65" spans="1:60" ht="6" customHeight="1" thickTop="1" thickBot="1" x14ac:dyDescent="0.25">
      <c r="A65" s="449"/>
      <c r="B65" s="450"/>
      <c r="C65" s="450"/>
      <c r="D65" s="450"/>
      <c r="E65" s="450"/>
      <c r="F65" s="450"/>
      <c r="G65" s="450"/>
      <c r="H65" s="450"/>
      <c r="I65" s="450"/>
      <c r="J65" s="450"/>
      <c r="K65" s="450"/>
      <c r="L65" s="450"/>
      <c r="M65" s="450"/>
      <c r="N65" s="450"/>
      <c r="O65" s="450"/>
      <c r="P65" s="450"/>
      <c r="Q65" s="451"/>
      <c r="AA65" s="174" t="s">
        <v>61</v>
      </c>
      <c r="AI65" s="175">
        <v>18</v>
      </c>
      <c r="AJ65" s="175">
        <v>19</v>
      </c>
      <c r="AK65" s="175">
        <v>20</v>
      </c>
      <c r="AL65" s="175">
        <v>21</v>
      </c>
      <c r="AM65" s="175">
        <v>22</v>
      </c>
      <c r="AN65" s="175">
        <v>23</v>
      </c>
      <c r="AO65" s="175">
        <v>24</v>
      </c>
      <c r="AP65" s="175">
        <v>25</v>
      </c>
      <c r="AQ65" s="175">
        <v>26</v>
      </c>
      <c r="AR65" s="175">
        <v>27</v>
      </c>
      <c r="AS65" s="175">
        <v>28</v>
      </c>
      <c r="AT65" s="175">
        <v>29</v>
      </c>
      <c r="AU65" s="175">
        <v>30</v>
      </c>
      <c r="BF65" s="275">
        <v>18.899999999999999</v>
      </c>
      <c r="BG65" s="276">
        <v>0.99843000000000004</v>
      </c>
      <c r="BH65" s="276">
        <v>1.0002200000000001</v>
      </c>
    </row>
    <row r="66" spans="1:60" ht="14.1" customHeight="1" thickTop="1" thickBot="1" x14ac:dyDescent="0.3">
      <c r="A66" s="176"/>
      <c r="B66" s="177"/>
      <c r="C66" s="177"/>
      <c r="D66" s="177"/>
      <c r="E66" s="177"/>
      <c r="L66" s="178"/>
      <c r="M66" s="178"/>
      <c r="N66" s="178"/>
      <c r="O66" s="178"/>
      <c r="P66" s="178"/>
      <c r="AI66" s="179">
        <v>0.99862499999999998</v>
      </c>
      <c r="AJ66" s="179">
        <v>0.99853499999999995</v>
      </c>
      <c r="AK66" s="179">
        <v>0.99823399999999995</v>
      </c>
      <c r="AL66" s="179">
        <v>0.99802199999999996</v>
      </c>
      <c r="AM66" s="179">
        <v>0.99780100000000005</v>
      </c>
      <c r="AN66" s="179">
        <v>0.99756900000000004</v>
      </c>
      <c r="AO66" s="179">
        <v>0.99732699999999996</v>
      </c>
      <c r="AP66" s="179">
        <v>0.99707500000000004</v>
      </c>
      <c r="AQ66" s="179">
        <v>0.99681399999999998</v>
      </c>
      <c r="AR66" s="179">
        <v>0.99654399999999999</v>
      </c>
      <c r="AS66" s="179">
        <v>0.99626400000000004</v>
      </c>
      <c r="AT66" s="179">
        <v>0.99597599999999997</v>
      </c>
      <c r="AU66" s="179">
        <v>0.99567799999999995</v>
      </c>
      <c r="BF66" s="272">
        <v>19</v>
      </c>
      <c r="BG66" s="273">
        <v>0.99841000000000002</v>
      </c>
      <c r="BH66" s="273">
        <v>1.0002</v>
      </c>
    </row>
    <row r="67" spans="1:60" ht="38.25" customHeight="1" thickTop="1" thickBot="1" x14ac:dyDescent="0.25">
      <c r="A67" s="180"/>
      <c r="B67" s="229">
        <v>11</v>
      </c>
      <c r="C67" s="447" t="s">
        <v>187</v>
      </c>
      <c r="D67" s="448"/>
      <c r="E67" s="448"/>
      <c r="F67" s="231"/>
      <c r="G67" s="232"/>
      <c r="H67" s="230" t="s">
        <v>188</v>
      </c>
      <c r="I67" s="99"/>
      <c r="J67" s="99"/>
      <c r="K67" s="99"/>
      <c r="M67" s="178"/>
      <c r="N67" s="178"/>
      <c r="O67" s="178"/>
      <c r="P67" s="178"/>
      <c r="Q67" s="182"/>
      <c r="R67" s="182"/>
      <c r="S67" s="182"/>
      <c r="T67" s="182"/>
      <c r="U67" s="182"/>
      <c r="V67" s="182"/>
      <c r="W67" s="182"/>
      <c r="X67" s="182"/>
      <c r="Z67" s="175" t="s">
        <v>62</v>
      </c>
      <c r="AA67" s="175">
        <v>10</v>
      </c>
      <c r="AB67" s="175">
        <v>11</v>
      </c>
      <c r="AC67" s="175">
        <v>12</v>
      </c>
      <c r="BF67" s="275">
        <v>19.100000000000001</v>
      </c>
      <c r="BG67" s="276">
        <v>0.99839</v>
      </c>
      <c r="BH67" s="276">
        <v>1.0001800000000001</v>
      </c>
    </row>
    <row r="68" spans="1:60" ht="14.1" customHeight="1" thickTop="1" thickBot="1" x14ac:dyDescent="0.25">
      <c r="A68" s="99"/>
      <c r="B68" s="177"/>
      <c r="C68" s="177"/>
      <c r="D68" s="177"/>
      <c r="E68" s="177"/>
      <c r="F68" s="181"/>
      <c r="G68" s="181"/>
      <c r="K68" s="183"/>
      <c r="L68" s="99"/>
      <c r="Q68" s="182"/>
      <c r="R68" s="182"/>
      <c r="S68" s="182"/>
      <c r="T68" s="182"/>
      <c r="U68" s="182"/>
      <c r="V68" s="182"/>
      <c r="W68" s="182"/>
      <c r="X68" s="182"/>
      <c r="Y68" s="182"/>
      <c r="Z68" s="184" t="s">
        <v>63</v>
      </c>
      <c r="AA68" s="179">
        <v>0.99972799999999995</v>
      </c>
      <c r="AB68" s="179">
        <v>0.99963400000000002</v>
      </c>
      <c r="AC68" s="179">
        <v>0.99952600000000003</v>
      </c>
      <c r="BF68" s="275">
        <v>19.2</v>
      </c>
      <c r="BG68" s="276">
        <v>0.99836999999999998</v>
      </c>
      <c r="BH68" s="276">
        <v>1.0001599999999999</v>
      </c>
    </row>
    <row r="69" spans="1:60" ht="14.1" customHeight="1" thickTop="1" thickBot="1" x14ac:dyDescent="0.25">
      <c r="A69" s="183"/>
      <c r="B69" s="177"/>
      <c r="C69" s="177"/>
      <c r="D69" s="177"/>
      <c r="E69" s="177"/>
      <c r="K69" s="185"/>
      <c r="L69" s="183"/>
      <c r="M69" s="99"/>
      <c r="N69" s="99"/>
      <c r="O69" s="99"/>
      <c r="P69" s="99"/>
      <c r="Q69" s="156"/>
      <c r="R69" s="156"/>
      <c r="S69" s="156"/>
      <c r="T69" s="156"/>
      <c r="U69" s="156"/>
      <c r="V69" s="156"/>
      <c r="W69" s="156"/>
      <c r="X69" s="156"/>
      <c r="Y69" s="182"/>
      <c r="AD69" s="175">
        <v>13</v>
      </c>
      <c r="BF69" s="275">
        <v>19.3</v>
      </c>
      <c r="BG69" s="276">
        <v>0.99834999999999996</v>
      </c>
      <c r="BH69" s="276">
        <v>1.00014</v>
      </c>
    </row>
    <row r="70" spans="1:60" ht="14.1" customHeight="1" thickTop="1" thickBot="1" x14ac:dyDescent="0.25">
      <c r="A70" s="183"/>
      <c r="C70" s="183"/>
      <c r="D70" s="177"/>
      <c r="E70" s="177"/>
      <c r="K70" s="183"/>
      <c r="L70" s="185"/>
      <c r="M70" s="183"/>
      <c r="N70" s="183"/>
      <c r="O70" s="183"/>
      <c r="Q70" s="156"/>
      <c r="R70" s="156"/>
      <c r="S70" s="156"/>
      <c r="T70" s="156"/>
      <c r="U70" s="156"/>
      <c r="V70" s="156"/>
      <c r="W70" s="156"/>
      <c r="X70" s="156"/>
      <c r="Y70" s="156"/>
      <c r="AD70" s="179">
        <v>0.99940600000000002</v>
      </c>
      <c r="AE70" s="175">
        <v>14</v>
      </c>
      <c r="AF70" s="175">
        <v>15</v>
      </c>
      <c r="AG70" s="175">
        <v>16</v>
      </c>
      <c r="AH70" s="175">
        <v>17</v>
      </c>
      <c r="BF70" s="275">
        <v>19.399999999999999</v>
      </c>
      <c r="BG70" s="276">
        <v>0.99833000000000005</v>
      </c>
      <c r="BH70" s="276">
        <v>1.0001199999999999</v>
      </c>
    </row>
    <row r="71" spans="1:60" ht="10.5" customHeight="1" thickTop="1" thickBot="1" x14ac:dyDescent="0.25">
      <c r="B71" s="183"/>
      <c r="C71" s="183"/>
      <c r="D71" s="183"/>
      <c r="E71" s="183"/>
      <c r="F71" s="183"/>
      <c r="G71" s="183"/>
      <c r="H71" s="183"/>
      <c r="I71" s="183"/>
      <c r="J71" s="183"/>
      <c r="K71" s="183"/>
      <c r="L71" s="183"/>
      <c r="M71" s="185"/>
      <c r="N71" s="185"/>
      <c r="O71" s="185"/>
      <c r="Q71" s="156"/>
      <c r="R71" s="156"/>
      <c r="S71" s="156"/>
      <c r="T71" s="156"/>
      <c r="U71" s="156"/>
      <c r="V71" s="156"/>
      <c r="W71" s="156"/>
      <c r="X71" s="156"/>
      <c r="Y71" s="156"/>
      <c r="AE71" s="179">
        <v>0.99927299999999997</v>
      </c>
      <c r="AF71" s="179">
        <v>0.99912900000000004</v>
      </c>
      <c r="AG71" s="179">
        <v>0.99897199999999997</v>
      </c>
      <c r="AH71" s="179">
        <v>0.99880400000000003</v>
      </c>
      <c r="BF71" s="275">
        <v>19.5</v>
      </c>
      <c r="BG71" s="276">
        <v>0.99831000000000003</v>
      </c>
      <c r="BH71" s="276">
        <v>1.0001</v>
      </c>
    </row>
    <row r="72" spans="1:60" ht="14.1" customHeight="1" thickTop="1" x14ac:dyDescent="0.2">
      <c r="D72" s="183"/>
      <c r="E72" s="183"/>
      <c r="F72" s="183"/>
      <c r="G72" s="183"/>
      <c r="H72" s="183"/>
      <c r="I72" s="183"/>
      <c r="J72" s="183"/>
      <c r="K72" s="183"/>
      <c r="L72" s="183"/>
      <c r="M72" s="183"/>
      <c r="N72" s="183"/>
      <c r="O72" s="183"/>
      <c r="Q72" s="156"/>
      <c r="R72" s="156"/>
      <c r="S72" s="156"/>
      <c r="T72" s="156"/>
      <c r="U72" s="156"/>
      <c r="V72" s="156"/>
      <c r="W72" s="156"/>
      <c r="X72" s="156"/>
      <c r="Y72" s="156"/>
      <c r="Z72" s="182"/>
      <c r="BF72" s="275">
        <v>19.600000000000001</v>
      </c>
      <c r="BG72" s="276">
        <v>0.99829000000000001</v>
      </c>
      <c r="BH72" s="276">
        <v>1.0000800000000001</v>
      </c>
    </row>
    <row r="73" spans="1:60" ht="5.25" customHeight="1" x14ac:dyDescent="0.2">
      <c r="L73" s="183"/>
      <c r="M73" s="183"/>
      <c r="N73" s="183"/>
      <c r="O73" s="183"/>
      <c r="P73" s="183"/>
      <c r="Y73" s="156"/>
      <c r="Z73" s="182"/>
      <c r="BF73" s="275">
        <v>19.7</v>
      </c>
      <c r="BG73" s="276">
        <v>0.99826999999999999</v>
      </c>
      <c r="BH73" s="276">
        <v>1.0000599999999999</v>
      </c>
    </row>
    <row r="74" spans="1:60" x14ac:dyDescent="0.2">
      <c r="M74" s="183"/>
      <c r="N74" s="183"/>
      <c r="O74" s="183"/>
      <c r="P74" s="183"/>
      <c r="Z74" s="182"/>
      <c r="BF74" s="275">
        <v>19.8</v>
      </c>
      <c r="BG74" s="276">
        <v>0.99824999999999997</v>
      </c>
      <c r="BH74" s="276">
        <v>1.00004</v>
      </c>
    </row>
    <row r="75" spans="1:60" x14ac:dyDescent="0.2">
      <c r="Z75" s="182"/>
      <c r="BF75" s="275">
        <v>19.899999999999999</v>
      </c>
      <c r="BG75" s="276">
        <v>0.99822999999999995</v>
      </c>
      <c r="BH75" s="276">
        <v>1.0000199999999999</v>
      </c>
    </row>
    <row r="76" spans="1:60" x14ac:dyDescent="0.2">
      <c r="BF76" s="272">
        <v>20</v>
      </c>
      <c r="BG76" s="273">
        <v>0.99821000000000004</v>
      </c>
      <c r="BH76" s="273">
        <v>1</v>
      </c>
    </row>
    <row r="77" spans="1:60" x14ac:dyDescent="0.2">
      <c r="BF77" s="275">
        <v>20.100000000000001</v>
      </c>
      <c r="BG77" s="276">
        <v>0.99819000000000002</v>
      </c>
      <c r="BH77" s="276">
        <v>0.99997999999999998</v>
      </c>
    </row>
    <row r="78" spans="1:60" x14ac:dyDescent="0.2">
      <c r="BF78" s="275">
        <v>20.2</v>
      </c>
      <c r="BG78" s="276">
        <v>0.99816000000000005</v>
      </c>
      <c r="BH78" s="276">
        <v>0.99995999999999996</v>
      </c>
    </row>
    <row r="79" spans="1:60" s="286" customFormat="1" x14ac:dyDescent="0.2">
      <c r="C79" s="98"/>
      <c r="D79" s="9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75">
        <v>19.600000000000001</v>
      </c>
      <c r="AP79" s="276">
        <v>0.99829000000000001</v>
      </c>
      <c r="AQ79" s="276">
        <v>1.0000800000000001</v>
      </c>
      <c r="AR79" s="288"/>
      <c r="AS79" s="288"/>
      <c r="AT79" s="288"/>
      <c r="BF79" s="275">
        <v>20.3</v>
      </c>
      <c r="BG79" s="276">
        <v>0.99814000000000003</v>
      </c>
      <c r="BH79" s="276">
        <v>0.99994000000000005</v>
      </c>
    </row>
    <row r="80" spans="1:60" s="286" customFormat="1" x14ac:dyDescent="0.2">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75">
        <v>19.7</v>
      </c>
      <c r="AP80" s="276">
        <v>0.99826999999999999</v>
      </c>
      <c r="AQ80" s="276">
        <v>1.0000599999999999</v>
      </c>
      <c r="AR80" s="288"/>
      <c r="AS80" s="288"/>
      <c r="AT80" s="288"/>
      <c r="BF80" s="275">
        <v>20.399999999999999</v>
      </c>
      <c r="BG80" s="276">
        <v>0.99812000000000001</v>
      </c>
      <c r="BH80" s="276">
        <v>0.99992000000000003</v>
      </c>
    </row>
    <row r="81" spans="2:60" s="286" customFormat="1" x14ac:dyDescent="0.2">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75">
        <v>19.8</v>
      </c>
      <c r="AP81" s="276">
        <v>0.99824999999999997</v>
      </c>
      <c r="AQ81" s="276">
        <v>1.00004</v>
      </c>
      <c r="AR81" s="288"/>
      <c r="AS81" s="288"/>
      <c r="AT81" s="288"/>
      <c r="BF81" s="275">
        <v>20.5</v>
      </c>
      <c r="BG81" s="276">
        <v>0.99809999999999999</v>
      </c>
      <c r="BH81" s="276">
        <v>0.99990000000000001</v>
      </c>
    </row>
    <row r="82" spans="2:60" s="286" customFormat="1" x14ac:dyDescent="0.2">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75">
        <v>19.899999999999999</v>
      </c>
      <c r="AP82" s="276">
        <v>0.99822999999999995</v>
      </c>
      <c r="AQ82" s="276">
        <v>1.0000199999999999</v>
      </c>
      <c r="AR82" s="288"/>
      <c r="AS82" s="288"/>
      <c r="AT82" s="288"/>
      <c r="BF82" s="275">
        <v>20.6</v>
      </c>
      <c r="BG82" s="276">
        <v>0.99807999999999997</v>
      </c>
      <c r="BH82" s="276">
        <v>0.99987000000000004</v>
      </c>
    </row>
    <row r="83" spans="2:60" s="286" customFormat="1" x14ac:dyDescent="0.2">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72">
        <v>20</v>
      </c>
      <c r="AP83" s="273">
        <v>0.99821000000000004</v>
      </c>
      <c r="AQ83" s="273">
        <v>1</v>
      </c>
      <c r="AR83" s="288"/>
      <c r="AS83" s="288"/>
      <c r="AT83" s="288"/>
      <c r="BF83" s="275">
        <v>20.7</v>
      </c>
      <c r="BG83" s="276">
        <v>0.99805999999999995</v>
      </c>
      <c r="BH83" s="276">
        <v>0.99985000000000002</v>
      </c>
    </row>
    <row r="84" spans="2:60" s="286" customFormat="1" x14ac:dyDescent="0.2">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75">
        <v>20.100000000000001</v>
      </c>
      <c r="AP84" s="276">
        <v>0.99819000000000002</v>
      </c>
      <c r="AQ84" s="276">
        <v>0.99997999999999998</v>
      </c>
      <c r="AR84" s="288"/>
      <c r="AS84" s="288"/>
      <c r="AT84" s="288"/>
      <c r="BF84" s="275">
        <v>20.8</v>
      </c>
      <c r="BG84" s="276">
        <v>0.99804000000000004</v>
      </c>
      <c r="BH84" s="276">
        <v>0.99983</v>
      </c>
    </row>
    <row r="85" spans="2:60" s="286" customFormat="1" x14ac:dyDescent="0.2">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75">
        <v>20.2</v>
      </c>
      <c r="AP85" s="276">
        <v>0.99816000000000005</v>
      </c>
      <c r="AQ85" s="276">
        <v>0.99995999999999996</v>
      </c>
      <c r="AR85" s="288"/>
      <c r="AS85" s="288"/>
      <c r="AT85" s="288"/>
      <c r="BF85" s="275">
        <v>20.9</v>
      </c>
      <c r="BG85" s="276">
        <v>0.99802000000000002</v>
      </c>
      <c r="BH85" s="276">
        <v>0.99980999999999998</v>
      </c>
    </row>
    <row r="86" spans="2:60" s="286" customFormat="1" x14ac:dyDescent="0.2">
      <c r="B86" s="351">
        <v>1</v>
      </c>
      <c r="C86" s="352"/>
      <c r="D86" s="351">
        <v>2</v>
      </c>
      <c r="E86" s="352"/>
      <c r="F86" s="351">
        <v>3</v>
      </c>
      <c r="G86" s="352"/>
      <c r="H86" s="351">
        <v>4</v>
      </c>
      <c r="I86" s="352"/>
      <c r="J86" s="351">
        <v>5</v>
      </c>
      <c r="K86" s="352"/>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75">
        <v>20.3</v>
      </c>
      <c r="AP86" s="276">
        <v>0.99814000000000003</v>
      </c>
      <c r="AQ86" s="276">
        <v>0.99994000000000005</v>
      </c>
      <c r="AR86" s="288"/>
      <c r="AS86" s="288"/>
      <c r="AT86" s="288"/>
      <c r="BF86" s="272">
        <v>21</v>
      </c>
      <c r="BG86" s="273">
        <v>0.99799000000000004</v>
      </c>
      <c r="BH86" s="273">
        <v>0.99978999999999996</v>
      </c>
    </row>
    <row r="87" spans="2:60" s="286" customFormat="1" x14ac:dyDescent="0.2">
      <c r="B87" s="353" t="s">
        <v>234</v>
      </c>
      <c r="C87" s="353" t="s">
        <v>235</v>
      </c>
      <c r="D87" s="353" t="s">
        <v>234</v>
      </c>
      <c r="E87" s="353" t="s">
        <v>235</v>
      </c>
      <c r="F87" s="353" t="s">
        <v>234</v>
      </c>
      <c r="G87" s="353" t="s">
        <v>235</v>
      </c>
      <c r="H87" s="353" t="s">
        <v>234</v>
      </c>
      <c r="I87" s="353" t="s">
        <v>235</v>
      </c>
      <c r="J87" s="354" t="s">
        <v>234</v>
      </c>
      <c r="K87" s="354" t="s">
        <v>235</v>
      </c>
      <c r="L87" s="351">
        <v>6</v>
      </c>
      <c r="M87" s="352"/>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75">
        <v>20.399999999999999</v>
      </c>
      <c r="AP87" s="276">
        <v>0.99812000000000001</v>
      </c>
      <c r="AQ87" s="276">
        <v>0.99992000000000003</v>
      </c>
      <c r="AR87" s="288"/>
      <c r="AS87" s="288"/>
      <c r="AT87" s="288"/>
      <c r="BF87" s="275">
        <v>21.1</v>
      </c>
      <c r="BG87" s="276">
        <v>0.99797000000000002</v>
      </c>
      <c r="BH87" s="276">
        <v>0.99977000000000005</v>
      </c>
    </row>
    <row r="88" spans="2:60" s="286" customFormat="1" x14ac:dyDescent="0.2">
      <c r="B88" s="353">
        <v>40.799999999999997</v>
      </c>
      <c r="C88" s="353">
        <v>682.68</v>
      </c>
      <c r="D88" s="353">
        <v>40.299999999999997</v>
      </c>
      <c r="E88" s="353">
        <v>689.51</v>
      </c>
      <c r="F88" s="353">
        <v>39.1</v>
      </c>
      <c r="G88" s="353">
        <v>346.88</v>
      </c>
      <c r="H88" s="353">
        <v>40.299999999999997</v>
      </c>
      <c r="I88" s="353">
        <v>341.81</v>
      </c>
      <c r="J88" s="354">
        <v>36.6</v>
      </c>
      <c r="K88" s="354">
        <v>341.6</v>
      </c>
      <c r="L88" s="354" t="s">
        <v>234</v>
      </c>
      <c r="M88" s="354" t="s">
        <v>235</v>
      </c>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75">
        <v>20.5</v>
      </c>
      <c r="AP88" s="276">
        <v>0.99809999999999999</v>
      </c>
      <c r="AQ88" s="276">
        <v>0.99990000000000001</v>
      </c>
      <c r="AR88" s="288"/>
      <c r="AS88" s="288"/>
      <c r="AT88" s="288"/>
      <c r="BF88" s="275">
        <v>21.2</v>
      </c>
      <c r="BG88" s="276">
        <v>0.99795</v>
      </c>
      <c r="BH88" s="276">
        <v>0.99973999999999996</v>
      </c>
    </row>
    <row r="89" spans="2:60" s="286" customFormat="1" x14ac:dyDescent="0.2">
      <c r="B89" s="353">
        <v>38.6</v>
      </c>
      <c r="C89" s="353">
        <v>683.11</v>
      </c>
      <c r="D89" s="353">
        <v>38.200000000000003</v>
      </c>
      <c r="E89" s="353">
        <v>689.95</v>
      </c>
      <c r="F89" s="353">
        <v>37</v>
      </c>
      <c r="G89" s="353">
        <v>346.98</v>
      </c>
      <c r="H89" s="353">
        <v>38.5</v>
      </c>
      <c r="I89" s="353">
        <v>341.9</v>
      </c>
      <c r="J89" s="354">
        <v>29.5</v>
      </c>
      <c r="K89" s="354">
        <v>342.12</v>
      </c>
      <c r="L89" s="354">
        <v>36.4</v>
      </c>
      <c r="M89" s="354">
        <v>353.61</v>
      </c>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75">
        <v>20.6</v>
      </c>
      <c r="AP89" s="276">
        <v>0.99807999999999997</v>
      </c>
      <c r="AQ89" s="276">
        <v>0.99987000000000004</v>
      </c>
      <c r="AR89" s="288"/>
      <c r="AS89" s="288"/>
      <c r="AT89" s="288"/>
      <c r="BF89" s="275">
        <v>21.3</v>
      </c>
      <c r="BG89" s="276">
        <v>0.99792999999999998</v>
      </c>
      <c r="BH89" s="276">
        <v>0.99972000000000005</v>
      </c>
    </row>
    <row r="90" spans="2:60" s="286" customFormat="1" x14ac:dyDescent="0.2">
      <c r="B90" s="353">
        <v>36.9</v>
      </c>
      <c r="C90" s="353">
        <v>683.4</v>
      </c>
      <c r="D90" s="353">
        <v>36.299999999999997</v>
      </c>
      <c r="E90" s="353">
        <v>690.2</v>
      </c>
      <c r="F90" s="353">
        <v>34.799999999999997</v>
      </c>
      <c r="G90" s="353">
        <v>347.22</v>
      </c>
      <c r="H90" s="353">
        <v>35.5</v>
      </c>
      <c r="I90" s="353">
        <v>342.18</v>
      </c>
      <c r="J90" s="354">
        <v>25.7</v>
      </c>
      <c r="K90" s="354">
        <v>342.42</v>
      </c>
      <c r="L90" s="354">
        <v>29.8</v>
      </c>
      <c r="M90" s="354">
        <v>354.15</v>
      </c>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75">
        <v>20.7</v>
      </c>
      <c r="AP90" s="276">
        <v>0.99805999999999995</v>
      </c>
      <c r="AQ90" s="276">
        <v>0.99985000000000002</v>
      </c>
      <c r="AR90" s="288"/>
      <c r="AS90" s="288"/>
      <c r="AT90" s="288"/>
      <c r="BF90" s="275">
        <v>21.4</v>
      </c>
      <c r="BG90" s="276">
        <v>0.99790999999999996</v>
      </c>
      <c r="BH90" s="276">
        <v>0.99970000000000003</v>
      </c>
    </row>
    <row r="91" spans="2:60" s="286" customFormat="1" x14ac:dyDescent="0.2">
      <c r="B91" s="353">
        <v>34.6</v>
      </c>
      <c r="C91" s="353">
        <v>683.67</v>
      </c>
      <c r="D91" s="353">
        <v>33.299999999999997</v>
      </c>
      <c r="E91" s="353">
        <v>690.6</v>
      </c>
      <c r="F91" s="353">
        <v>32.200000000000003</v>
      </c>
      <c r="G91" s="353">
        <v>347.46</v>
      </c>
      <c r="H91" s="353">
        <v>33.799999999999997</v>
      </c>
      <c r="I91" s="353">
        <v>342.4</v>
      </c>
      <c r="J91" s="354">
        <v>23</v>
      </c>
      <c r="K91" s="354">
        <v>342.56</v>
      </c>
      <c r="L91" s="354">
        <v>26.1</v>
      </c>
      <c r="M91" s="354">
        <v>354.35</v>
      </c>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75">
        <v>20.8</v>
      </c>
      <c r="AP91" s="276">
        <v>0.99804000000000004</v>
      </c>
      <c r="AQ91" s="276">
        <v>0.99983</v>
      </c>
      <c r="AR91" s="288"/>
      <c r="AS91" s="288"/>
      <c r="AT91" s="288"/>
      <c r="BF91" s="275">
        <v>21.5</v>
      </c>
      <c r="BG91" s="276">
        <v>0.99789000000000005</v>
      </c>
      <c r="BH91" s="276">
        <v>0.99968000000000001</v>
      </c>
    </row>
    <row r="92" spans="2:60" s="286" customFormat="1" x14ac:dyDescent="0.2">
      <c r="B92" s="353">
        <v>31.6</v>
      </c>
      <c r="C92" s="353">
        <v>684.13</v>
      </c>
      <c r="D92" s="353">
        <v>31.9</v>
      </c>
      <c r="E92" s="353">
        <v>690.79</v>
      </c>
      <c r="F92" s="353">
        <v>27.7</v>
      </c>
      <c r="G92" s="353">
        <v>347.58</v>
      </c>
      <c r="H92" s="353">
        <v>29.9</v>
      </c>
      <c r="I92" s="353">
        <v>342.52</v>
      </c>
      <c r="J92" s="354">
        <v>18.3</v>
      </c>
      <c r="K92" s="354">
        <v>342.77</v>
      </c>
      <c r="L92" s="354">
        <v>23.1</v>
      </c>
      <c r="M92" s="354">
        <v>354.55</v>
      </c>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75">
        <v>20.9</v>
      </c>
      <c r="AP92" s="276">
        <v>0.99802000000000002</v>
      </c>
      <c r="AQ92" s="276">
        <v>0.99980999999999998</v>
      </c>
      <c r="AR92" s="288"/>
      <c r="AS92" s="288"/>
      <c r="AT92" s="288"/>
      <c r="BF92" s="275">
        <v>21.6</v>
      </c>
      <c r="BG92" s="276">
        <v>0.99785999999999997</v>
      </c>
      <c r="BH92" s="276">
        <v>0.99965999999999999</v>
      </c>
    </row>
    <row r="93" spans="2:60" s="286" customFormat="1" x14ac:dyDescent="0.2">
      <c r="B93" s="353">
        <v>30.4</v>
      </c>
      <c r="C93" s="353">
        <v>684.45</v>
      </c>
      <c r="D93" s="353">
        <v>30.8</v>
      </c>
      <c r="E93" s="353">
        <v>690.96</v>
      </c>
      <c r="F93" s="353">
        <v>26.3</v>
      </c>
      <c r="G93" s="353">
        <v>347.65</v>
      </c>
      <c r="H93" s="353">
        <v>27.3</v>
      </c>
      <c r="I93" s="353">
        <v>342.82</v>
      </c>
      <c r="J93" s="355"/>
      <c r="K93" s="355"/>
      <c r="L93" s="354">
        <v>18.3</v>
      </c>
      <c r="M93" s="354">
        <v>354.7</v>
      </c>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72">
        <v>21</v>
      </c>
      <c r="AP93" s="273">
        <v>0.99799000000000004</v>
      </c>
      <c r="AQ93" s="273">
        <v>0.99978999999999996</v>
      </c>
      <c r="AR93" s="288"/>
      <c r="AS93" s="288"/>
      <c r="AT93" s="288"/>
      <c r="BF93" s="275">
        <v>21.7</v>
      </c>
      <c r="BG93" s="276">
        <v>0.99783999999999995</v>
      </c>
      <c r="BH93" s="276">
        <v>0.99963000000000002</v>
      </c>
    </row>
    <row r="94" spans="2:60" s="286" customFormat="1" x14ac:dyDescent="0.2">
      <c r="B94" s="353">
        <v>29.3</v>
      </c>
      <c r="C94" s="353">
        <v>684.61</v>
      </c>
      <c r="D94" s="353">
        <v>24.9</v>
      </c>
      <c r="E94" s="353">
        <v>691.44</v>
      </c>
      <c r="F94" s="353">
        <v>20.399999999999999</v>
      </c>
      <c r="G94" s="353">
        <v>348.1</v>
      </c>
      <c r="H94" s="353">
        <v>25.5</v>
      </c>
      <c r="I94" s="353">
        <v>342.96</v>
      </c>
      <c r="J94" s="355"/>
      <c r="K94" s="355"/>
      <c r="L94" s="355"/>
      <c r="M94" s="355"/>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75">
        <v>21.1</v>
      </c>
      <c r="AP94" s="276">
        <v>0.99797000000000002</v>
      </c>
      <c r="AQ94" s="276">
        <v>0.99977000000000005</v>
      </c>
      <c r="AR94" s="288"/>
      <c r="AS94" s="288"/>
      <c r="AT94" s="288"/>
      <c r="BF94" s="275">
        <v>21.8</v>
      </c>
      <c r="BG94" s="276">
        <v>0.99782000000000004</v>
      </c>
      <c r="BH94" s="276">
        <v>0.99961</v>
      </c>
    </row>
    <row r="95" spans="2:60" s="286" customFormat="1" x14ac:dyDescent="0.2">
      <c r="B95" s="353">
        <v>25.1</v>
      </c>
      <c r="C95" s="353">
        <v>685.16</v>
      </c>
      <c r="D95" s="353">
        <v>22.2</v>
      </c>
      <c r="E95" s="353">
        <v>691.69</v>
      </c>
      <c r="F95" s="353">
        <v>18.100000000000001</v>
      </c>
      <c r="G95" s="353">
        <v>348.17</v>
      </c>
      <c r="H95" s="353">
        <v>20.5</v>
      </c>
      <c r="I95" s="353">
        <v>343.13</v>
      </c>
      <c r="J95" s="355"/>
      <c r="K95" s="355"/>
      <c r="L95" s="355"/>
      <c r="M95" s="355"/>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75">
        <v>21.2</v>
      </c>
      <c r="AP95" s="276">
        <v>0.99795</v>
      </c>
      <c r="AQ95" s="276">
        <v>0.99973999999999996</v>
      </c>
      <c r="AR95" s="288"/>
      <c r="AS95" s="288"/>
      <c r="AT95" s="288"/>
      <c r="BF95" s="275">
        <v>21.9</v>
      </c>
      <c r="BG95" s="276">
        <v>0.99780000000000002</v>
      </c>
      <c r="BH95" s="276">
        <v>0.99958999999999998</v>
      </c>
    </row>
    <row r="96" spans="2:60" s="286" customFormat="1" x14ac:dyDescent="0.2">
      <c r="B96" s="353">
        <v>23.8</v>
      </c>
      <c r="C96" s="353">
        <v>685.27</v>
      </c>
      <c r="D96" s="353">
        <v>21.6</v>
      </c>
      <c r="E96" s="353">
        <v>691.76</v>
      </c>
      <c r="F96" s="355"/>
      <c r="G96" s="355"/>
      <c r="H96" s="353">
        <v>18</v>
      </c>
      <c r="I96" s="353">
        <v>343.21</v>
      </c>
      <c r="J96" s="355"/>
      <c r="K96" s="355"/>
      <c r="L96" s="355"/>
      <c r="M96" s="355"/>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75">
        <v>21.3</v>
      </c>
      <c r="AP96" s="276">
        <v>0.99792999999999998</v>
      </c>
      <c r="AQ96" s="276">
        <v>0.99972000000000005</v>
      </c>
      <c r="AR96" s="288"/>
      <c r="AS96" s="288"/>
      <c r="AT96" s="288"/>
      <c r="BF96" s="272">
        <v>22</v>
      </c>
      <c r="BG96" s="273">
        <v>0.99777000000000005</v>
      </c>
      <c r="BH96" s="273">
        <v>0.99956999999999996</v>
      </c>
    </row>
    <row r="97" spans="1:60" s="286" customFormat="1" x14ac:dyDescent="0.2">
      <c r="B97" s="353">
        <v>22.5</v>
      </c>
      <c r="C97" s="353">
        <v>685.41</v>
      </c>
      <c r="D97" s="353">
        <v>20.9</v>
      </c>
      <c r="E97" s="353">
        <v>691.86</v>
      </c>
      <c r="F97" s="355"/>
      <c r="G97" s="355"/>
      <c r="H97" s="355"/>
      <c r="I97" s="355"/>
      <c r="J97" s="355"/>
      <c r="K97" s="355"/>
      <c r="L97" s="355"/>
      <c r="M97" s="355"/>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75">
        <v>21.4</v>
      </c>
      <c r="AP97" s="276">
        <v>0.99790999999999996</v>
      </c>
      <c r="AQ97" s="276">
        <v>0.99970000000000003</v>
      </c>
      <c r="AR97" s="288"/>
      <c r="AS97" s="288"/>
      <c r="AT97" s="288"/>
      <c r="BF97" s="275">
        <v>22.1</v>
      </c>
      <c r="BG97" s="276">
        <v>0.99775000000000003</v>
      </c>
      <c r="BH97" s="276">
        <v>0.99953999999999998</v>
      </c>
    </row>
    <row r="98" spans="1:60" s="286" customFormat="1" x14ac:dyDescent="0.2">
      <c r="B98" s="353">
        <v>21.6</v>
      </c>
      <c r="C98" s="353">
        <v>685.54</v>
      </c>
      <c r="D98" s="353">
        <v>20.100000000000001</v>
      </c>
      <c r="E98" s="353">
        <v>691.95</v>
      </c>
      <c r="F98" s="355"/>
      <c r="G98" s="355"/>
      <c r="H98" s="355"/>
      <c r="I98" s="355"/>
      <c r="J98" s="355"/>
      <c r="K98" s="355"/>
      <c r="L98" s="355"/>
      <c r="M98" s="355"/>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75">
        <v>21.5</v>
      </c>
      <c r="AP98" s="276">
        <v>0.99789000000000005</v>
      </c>
      <c r="AQ98" s="276">
        <v>0.99968000000000001</v>
      </c>
      <c r="AR98" s="288"/>
      <c r="AS98" s="288"/>
      <c r="AT98" s="288"/>
      <c r="BF98" s="275">
        <v>22.2</v>
      </c>
      <c r="BG98" s="276">
        <v>0.99773000000000001</v>
      </c>
      <c r="BH98" s="276">
        <v>0.99951999999999996</v>
      </c>
    </row>
    <row r="99" spans="1:60" s="286" customFormat="1" x14ac:dyDescent="0.2">
      <c r="B99" s="353">
        <v>21.1</v>
      </c>
      <c r="C99" s="353">
        <v>685.61</v>
      </c>
      <c r="D99" s="353">
        <v>19.7</v>
      </c>
      <c r="E99" s="353">
        <v>692.08</v>
      </c>
      <c r="F99" s="355"/>
      <c r="G99" s="355"/>
      <c r="H99" s="355"/>
      <c r="I99" s="355"/>
      <c r="J99" s="355"/>
      <c r="K99" s="355"/>
      <c r="L99" s="355"/>
      <c r="M99" s="355"/>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75">
        <v>21.6</v>
      </c>
      <c r="AP99" s="276">
        <v>0.99785999999999997</v>
      </c>
      <c r="AQ99" s="276">
        <v>0.99965999999999999</v>
      </c>
      <c r="AR99" s="288"/>
      <c r="AS99" s="288"/>
      <c r="AT99" s="288"/>
      <c r="BF99" s="275">
        <v>22.3</v>
      </c>
      <c r="BG99" s="276">
        <v>0.99770000000000003</v>
      </c>
      <c r="BH99" s="276">
        <v>0.99950000000000006</v>
      </c>
    </row>
    <row r="100" spans="1:60" s="286" customFormat="1" x14ac:dyDescent="0.2">
      <c r="B100" s="353">
        <v>20.9</v>
      </c>
      <c r="C100" s="353">
        <v>685.62</v>
      </c>
      <c r="D100" s="353">
        <v>19.2</v>
      </c>
      <c r="E100" s="353">
        <v>692.23</v>
      </c>
      <c r="F100" s="355"/>
      <c r="G100" s="355"/>
      <c r="H100" s="355"/>
      <c r="I100" s="355"/>
      <c r="J100" s="355"/>
      <c r="K100" s="355"/>
      <c r="L100" s="355"/>
      <c r="M100" s="355"/>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75">
        <v>21.7</v>
      </c>
      <c r="AP100" s="276">
        <v>0.99783999999999995</v>
      </c>
      <c r="AQ100" s="276">
        <v>0.99963000000000002</v>
      </c>
      <c r="AR100" s="288"/>
      <c r="AS100" s="288"/>
      <c r="AT100" s="288"/>
      <c r="BF100" s="275">
        <v>22.4</v>
      </c>
      <c r="BG100" s="276">
        <v>0.99768000000000001</v>
      </c>
      <c r="BH100" s="276">
        <v>0.99946999999999997</v>
      </c>
    </row>
    <row r="101" spans="1:60" s="286" customFormat="1" x14ac:dyDescent="0.2">
      <c r="B101" s="353">
        <v>19.7</v>
      </c>
      <c r="C101" s="353">
        <v>685.73</v>
      </c>
      <c r="D101" s="353">
        <v>18.600000000000001</v>
      </c>
      <c r="E101" s="353">
        <v>692.37</v>
      </c>
      <c r="F101" s="355"/>
      <c r="G101" s="355"/>
      <c r="H101" s="355"/>
      <c r="I101" s="355"/>
      <c r="J101" s="355"/>
      <c r="K101" s="355"/>
      <c r="L101" s="355"/>
      <c r="M101" s="355"/>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75">
        <v>21.8</v>
      </c>
      <c r="AP101" s="276">
        <v>0.99782000000000004</v>
      </c>
      <c r="AQ101" s="276">
        <v>0.99961</v>
      </c>
      <c r="AR101" s="288"/>
      <c r="AS101" s="288"/>
      <c r="AT101" s="288"/>
      <c r="BF101" s="275">
        <v>22.5</v>
      </c>
      <c r="BG101" s="276">
        <v>0.99765999999999999</v>
      </c>
      <c r="BH101" s="276">
        <v>0.99944999999999995</v>
      </c>
    </row>
    <row r="102" spans="1:60" s="286" customFormat="1" x14ac:dyDescent="0.2">
      <c r="B102" s="353">
        <v>18.600000000000001</v>
      </c>
      <c r="C102" s="353">
        <v>685.95</v>
      </c>
      <c r="D102" s="355"/>
      <c r="E102" s="355"/>
      <c r="F102" s="355"/>
      <c r="G102" s="355"/>
      <c r="H102" s="355"/>
      <c r="I102" s="355"/>
      <c r="J102" s="355"/>
      <c r="K102" s="355"/>
      <c r="L102" s="355"/>
      <c r="M102" s="355"/>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75">
        <v>21.9</v>
      </c>
      <c r="AP102" s="276">
        <v>0.99780000000000002</v>
      </c>
      <c r="AQ102" s="276">
        <v>0.99958999999999998</v>
      </c>
      <c r="AR102" s="288"/>
      <c r="AS102" s="288"/>
      <c r="AT102" s="288"/>
      <c r="BF102" s="275">
        <v>22.6</v>
      </c>
      <c r="BG102" s="276">
        <v>0.99763999999999997</v>
      </c>
      <c r="BH102" s="276">
        <v>0.99943000000000004</v>
      </c>
    </row>
    <row r="103" spans="1:60" s="286" customFormat="1" x14ac:dyDescent="0.2">
      <c r="C103" s="355"/>
      <c r="E103" s="355"/>
      <c r="G103" s="355"/>
      <c r="I103" s="355"/>
      <c r="K103" s="355"/>
      <c r="L103" s="355"/>
      <c r="M103" s="355"/>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72">
        <v>22</v>
      </c>
      <c r="AP103" s="273">
        <v>0.99777000000000005</v>
      </c>
      <c r="AQ103" s="273">
        <v>0.99956999999999996</v>
      </c>
      <c r="AR103" s="288"/>
      <c r="AS103" s="288"/>
      <c r="AT103" s="288"/>
      <c r="BF103" s="275">
        <v>22.7</v>
      </c>
      <c r="BG103" s="276">
        <v>0.99761</v>
      </c>
      <c r="BH103" s="276">
        <v>0.99939999999999996</v>
      </c>
    </row>
    <row r="104" spans="1:60" s="286" customFormat="1" x14ac:dyDescent="0.2">
      <c r="C104" s="356"/>
      <c r="E104" s="355"/>
      <c r="G104" s="355"/>
      <c r="I104" s="355"/>
      <c r="K104" s="355"/>
      <c r="M104" s="355"/>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75">
        <v>22.1</v>
      </c>
      <c r="AP104" s="276">
        <v>0.99775000000000003</v>
      </c>
      <c r="AQ104" s="276">
        <v>0.99953999999999998</v>
      </c>
      <c r="AR104" s="288"/>
      <c r="AS104" s="288"/>
      <c r="AT104" s="288"/>
      <c r="BF104" s="275">
        <v>22.8</v>
      </c>
      <c r="BG104" s="276">
        <v>0.99758999999999998</v>
      </c>
      <c r="BH104" s="276">
        <v>0.99938000000000005</v>
      </c>
    </row>
    <row r="105" spans="1:60" s="286" customFormat="1" x14ac:dyDescent="0.2">
      <c r="B105" s="357"/>
      <c r="C105" s="358"/>
      <c r="M105" s="355"/>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75">
        <v>22.2</v>
      </c>
      <c r="AP105" s="276">
        <v>0.99773000000000001</v>
      </c>
      <c r="AQ105" s="276">
        <v>0.99951999999999996</v>
      </c>
      <c r="AR105" s="288"/>
      <c r="AS105" s="288"/>
      <c r="AT105" s="288"/>
      <c r="BF105" s="275">
        <v>22.9</v>
      </c>
      <c r="BG105" s="276">
        <v>0.99756</v>
      </c>
      <c r="BH105" s="276">
        <v>0.99936000000000003</v>
      </c>
    </row>
    <row r="106" spans="1:60" s="286" customFormat="1" x14ac:dyDescent="0.2">
      <c r="B106" s="357"/>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75">
        <v>22.3</v>
      </c>
      <c r="AP106" s="276">
        <v>0.99770000000000003</v>
      </c>
      <c r="AQ106" s="276">
        <v>0.99950000000000006</v>
      </c>
      <c r="AR106" s="288"/>
      <c r="AS106" s="288"/>
      <c r="AT106" s="288"/>
      <c r="BF106" s="272">
        <v>23</v>
      </c>
      <c r="BG106" s="273">
        <v>0.99753999999999998</v>
      </c>
      <c r="BH106" s="273">
        <v>0.99933000000000005</v>
      </c>
    </row>
    <row r="107" spans="1:60" s="286" customFormat="1" ht="15.75" thickBot="1" x14ac:dyDescent="0.25">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75">
        <v>22.4</v>
      </c>
      <c r="AP107" s="276">
        <v>0.99768000000000001</v>
      </c>
      <c r="AQ107" s="276">
        <v>0.99946999999999997</v>
      </c>
      <c r="AR107" s="288"/>
      <c r="AS107" s="288"/>
      <c r="AT107" s="288"/>
      <c r="BF107" s="275">
        <v>23.1</v>
      </c>
      <c r="BG107" s="276">
        <v>0.99751999999999996</v>
      </c>
      <c r="BH107" s="276">
        <v>0.99931000000000003</v>
      </c>
    </row>
    <row r="108" spans="1:60" s="286" customFormat="1" ht="15.75" thickBot="1" x14ac:dyDescent="0.25">
      <c r="A108" s="286">
        <v>1</v>
      </c>
      <c r="B108" s="359">
        <v>1</v>
      </c>
      <c r="C108" s="360">
        <v>2</v>
      </c>
      <c r="D108" s="361">
        <v>3</v>
      </c>
      <c r="E108" s="361">
        <v>4</v>
      </c>
      <c r="F108" s="361">
        <v>5</v>
      </c>
      <c r="G108" s="362">
        <v>6</v>
      </c>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75">
        <v>22.5</v>
      </c>
      <c r="AP108" s="276">
        <v>0.99765999999999999</v>
      </c>
      <c r="AQ108" s="276">
        <v>0.99944999999999995</v>
      </c>
      <c r="AR108" s="288"/>
      <c r="AS108" s="288"/>
      <c r="AT108" s="288"/>
      <c r="BF108" s="275">
        <v>23.2</v>
      </c>
      <c r="BG108" s="276">
        <v>0.99748999999999999</v>
      </c>
      <c r="BH108" s="276">
        <v>0.99929000000000001</v>
      </c>
    </row>
    <row r="109" spans="1:60" s="286" customFormat="1" ht="15.75" x14ac:dyDescent="0.25">
      <c r="A109" s="286">
        <v>2</v>
      </c>
      <c r="B109" s="363">
        <f>$G$23</f>
        <v>0</v>
      </c>
      <c r="C109" s="363">
        <f t="shared" ref="C109:G109" si="5">$G$23</f>
        <v>0</v>
      </c>
      <c r="D109" s="363">
        <f t="shared" si="5"/>
        <v>0</v>
      </c>
      <c r="E109" s="363">
        <f t="shared" si="5"/>
        <v>0</v>
      </c>
      <c r="F109" s="363">
        <f t="shared" si="5"/>
        <v>0</v>
      </c>
      <c r="G109" s="363">
        <f t="shared" si="5"/>
        <v>0</v>
      </c>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75">
        <v>22.6</v>
      </c>
      <c r="AP109" s="276">
        <v>0.99763999999999997</v>
      </c>
      <c r="AQ109" s="276">
        <v>0.99943000000000004</v>
      </c>
      <c r="AR109" s="288"/>
      <c r="AS109" s="288"/>
      <c r="AT109" s="288"/>
      <c r="BF109" s="275">
        <v>23.3</v>
      </c>
      <c r="BG109" s="276">
        <v>0.99746999999999997</v>
      </c>
      <c r="BH109" s="276">
        <v>0.99926000000000004</v>
      </c>
    </row>
    <row r="110" spans="1:60" s="286" customFormat="1" ht="16.5" thickBot="1" x14ac:dyDescent="0.3">
      <c r="A110" s="286">
        <v>3</v>
      </c>
      <c r="B110" s="364">
        <f>-0.1428*(B109)+688.64</f>
        <v>688.64</v>
      </c>
      <c r="C110" s="365">
        <f>-0.1158*(C109)+694.37</f>
        <v>694.37</v>
      </c>
      <c r="D110" s="366">
        <f>-0.0614*D109+349.31</f>
        <v>349.31</v>
      </c>
      <c r="E110" s="367">
        <f>-0.0655*E109 + 344.51</f>
        <v>344.51</v>
      </c>
      <c r="F110" s="368">
        <f>-0.0652*F109+344.03</f>
        <v>344.03</v>
      </c>
      <c r="G110" s="369">
        <f>-0.061*G109+355.9</f>
        <v>355.9</v>
      </c>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75">
        <v>22.7</v>
      </c>
      <c r="AP110" s="276">
        <v>0.99761</v>
      </c>
      <c r="AQ110" s="276">
        <v>0.99939999999999996</v>
      </c>
      <c r="AR110" s="288"/>
      <c r="AS110" s="288"/>
      <c r="AT110" s="288"/>
      <c r="BF110" s="275">
        <v>23.4</v>
      </c>
      <c r="BG110" s="276">
        <v>0.99744999999999995</v>
      </c>
      <c r="BH110" s="276">
        <v>0.99924000000000002</v>
      </c>
    </row>
    <row r="111" spans="1:60" s="286" customFormat="1" x14ac:dyDescent="0.2">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75">
        <v>22.8</v>
      </c>
      <c r="AP111" s="276">
        <v>0.99758999999999998</v>
      </c>
      <c r="AQ111" s="276">
        <v>0.99938000000000005</v>
      </c>
      <c r="AR111" s="288"/>
      <c r="AS111" s="288"/>
      <c r="AT111" s="288"/>
      <c r="BF111" s="275">
        <v>23.5</v>
      </c>
      <c r="BG111" s="276">
        <v>0.99741999999999997</v>
      </c>
      <c r="BH111" s="276">
        <v>0.99921000000000004</v>
      </c>
    </row>
    <row r="112" spans="1:60" s="286" customFormat="1" x14ac:dyDescent="0.2">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75">
        <v>22.9</v>
      </c>
      <c r="AP112" s="276">
        <v>0.99756</v>
      </c>
      <c r="AQ112" s="276">
        <v>0.99936000000000003</v>
      </c>
      <c r="AR112" s="288"/>
      <c r="AS112" s="288"/>
      <c r="AT112" s="288"/>
      <c r="BF112" s="275">
        <v>23.6</v>
      </c>
      <c r="BG112" s="276">
        <v>0.99739999999999995</v>
      </c>
      <c r="BH112" s="276">
        <v>0.99919000000000002</v>
      </c>
    </row>
    <row r="113" spans="3:60" s="286" customFormat="1" x14ac:dyDescent="0.2">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72">
        <v>23</v>
      </c>
      <c r="AP113" s="273">
        <v>0.99753999999999998</v>
      </c>
      <c r="AQ113" s="273">
        <v>0.99933000000000005</v>
      </c>
      <c r="AR113" s="288"/>
      <c r="AS113" s="288"/>
      <c r="AT113" s="288"/>
      <c r="BF113" s="275">
        <v>23.7</v>
      </c>
      <c r="BG113" s="276">
        <v>0.99736999999999998</v>
      </c>
      <c r="BH113" s="276">
        <v>0.99917</v>
      </c>
    </row>
    <row r="114" spans="3:60" s="286" customFormat="1" x14ac:dyDescent="0.2">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75">
        <v>23.1</v>
      </c>
      <c r="AP114" s="276">
        <v>0.99751999999999996</v>
      </c>
      <c r="AQ114" s="276">
        <v>0.99931000000000003</v>
      </c>
      <c r="AR114" s="288"/>
      <c r="AS114" s="288"/>
      <c r="AT114" s="288"/>
      <c r="BF114" s="275">
        <v>23.8</v>
      </c>
      <c r="BG114" s="276">
        <v>0.99734999999999996</v>
      </c>
      <c r="BH114" s="276">
        <v>0.99914000000000003</v>
      </c>
    </row>
    <row r="115" spans="3:60" s="286" customFormat="1" x14ac:dyDescent="0.2">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75">
        <v>23.2</v>
      </c>
      <c r="AP115" s="276">
        <v>0.99748999999999999</v>
      </c>
      <c r="AQ115" s="276">
        <v>0.99929000000000001</v>
      </c>
      <c r="AR115" s="288"/>
      <c r="AS115" s="288"/>
      <c r="AT115" s="288"/>
      <c r="BF115" s="275">
        <v>23.9</v>
      </c>
      <c r="BG115" s="276">
        <v>0.99731999999999998</v>
      </c>
      <c r="BH115" s="276">
        <v>0.99912000000000001</v>
      </c>
    </row>
    <row r="116" spans="3:60" s="286" customFormat="1" ht="15.75" thickBot="1" x14ac:dyDescent="0.25">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75">
        <v>23.3</v>
      </c>
      <c r="AP116" s="276">
        <v>0.99746999999999997</v>
      </c>
      <c r="AQ116" s="276">
        <v>0.99926000000000004</v>
      </c>
      <c r="AR116" s="288"/>
      <c r="AS116" s="288"/>
      <c r="AT116" s="288"/>
      <c r="BF116" s="272">
        <v>24</v>
      </c>
      <c r="BG116" s="273">
        <v>0.99729999999999996</v>
      </c>
      <c r="BH116" s="273">
        <v>0.99909000000000003</v>
      </c>
    </row>
    <row r="117" spans="3:60" s="286" customFormat="1" ht="15.75" thickBot="1" x14ac:dyDescent="0.25">
      <c r="C117" s="370">
        <f>AB18</f>
        <v>1</v>
      </c>
      <c r="D117" s="371"/>
      <c r="E117" s="286">
        <v>2</v>
      </c>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75">
        <v>23.4</v>
      </c>
      <c r="AP117" s="276">
        <v>0.99744999999999995</v>
      </c>
      <c r="AQ117" s="276">
        <v>0.99924000000000002</v>
      </c>
      <c r="AR117" s="288"/>
      <c r="AS117" s="288"/>
      <c r="AT117" s="288"/>
      <c r="BF117" s="275">
        <v>24.1</v>
      </c>
      <c r="BG117" s="276">
        <v>0.99726999999999999</v>
      </c>
      <c r="BH117" s="276">
        <v>0.99907000000000001</v>
      </c>
    </row>
    <row r="118" spans="3:60" s="286" customFormat="1" ht="15.75" thickBot="1" x14ac:dyDescent="0.25">
      <c r="C118" s="372">
        <f>HLOOKUP(C117,B108:G110,E117,FALSE)</f>
        <v>0</v>
      </c>
      <c r="D118" s="372">
        <f>HLOOKUP(C117,B108:G110,E118,FALSE)</f>
        <v>688.64</v>
      </c>
      <c r="E118" s="286">
        <v>3</v>
      </c>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75">
        <v>23.5</v>
      </c>
      <c r="AP118" s="276">
        <v>0.99741999999999997</v>
      </c>
      <c r="AQ118" s="276">
        <v>0.99921000000000004</v>
      </c>
      <c r="AR118" s="288"/>
      <c r="AS118" s="288"/>
      <c r="AT118" s="288"/>
      <c r="BF118" s="275">
        <v>24.2</v>
      </c>
      <c r="BG118" s="276">
        <v>0.99724999999999997</v>
      </c>
      <c r="BH118" s="276">
        <v>0.99904000000000004</v>
      </c>
    </row>
    <row r="119" spans="3:60" s="286" customFormat="1" x14ac:dyDescent="0.2">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75">
        <v>23.6</v>
      </c>
      <c r="AP119" s="276">
        <v>0.99739999999999995</v>
      </c>
      <c r="AQ119" s="276">
        <v>0.99919000000000002</v>
      </c>
      <c r="AR119" s="288"/>
      <c r="AS119" s="288"/>
      <c r="AT119" s="288"/>
      <c r="BF119" s="275">
        <v>24.3</v>
      </c>
      <c r="BG119" s="276">
        <v>0.99722999999999995</v>
      </c>
      <c r="BH119" s="276">
        <v>0.99902000000000002</v>
      </c>
    </row>
    <row r="120" spans="3:60" s="286" customFormat="1" x14ac:dyDescent="0.2">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75">
        <v>23.7</v>
      </c>
      <c r="AP120" s="276">
        <v>0.99736999999999998</v>
      </c>
      <c r="AQ120" s="276">
        <v>0.99917</v>
      </c>
      <c r="AR120" s="288"/>
      <c r="AS120" s="288"/>
      <c r="AT120" s="288"/>
      <c r="BF120" s="275">
        <v>24.4</v>
      </c>
      <c r="BG120" s="276">
        <v>0.99719999999999998</v>
      </c>
      <c r="BH120" s="276">
        <v>0.99899000000000004</v>
      </c>
    </row>
    <row r="121" spans="3:60" s="286" customFormat="1" x14ac:dyDescent="0.2">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75">
        <v>23.8</v>
      </c>
      <c r="AP121" s="276">
        <v>0.99734999999999996</v>
      </c>
      <c r="AQ121" s="276">
        <v>0.99914000000000003</v>
      </c>
      <c r="AR121" s="288"/>
      <c r="AS121" s="288"/>
      <c r="AT121" s="288"/>
      <c r="BF121" s="275">
        <v>24.5</v>
      </c>
      <c r="BG121" s="276">
        <v>0.99717</v>
      </c>
      <c r="BH121" s="276">
        <v>0.99897000000000002</v>
      </c>
    </row>
    <row r="122" spans="3:60" s="286" customFormat="1" x14ac:dyDescent="0.2">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75">
        <v>23.9</v>
      </c>
      <c r="AP122" s="276">
        <v>0.99731999999999998</v>
      </c>
      <c r="AQ122" s="276">
        <v>0.99912000000000001</v>
      </c>
      <c r="AR122" s="288"/>
      <c r="AS122" s="288"/>
      <c r="AT122" s="288"/>
      <c r="BF122" s="275">
        <v>24.6</v>
      </c>
      <c r="BG122" s="276">
        <v>0.99714999999999998</v>
      </c>
      <c r="BH122" s="276">
        <v>0.99894000000000005</v>
      </c>
    </row>
    <row r="123" spans="3:60" s="286" customFormat="1" x14ac:dyDescent="0.2">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72">
        <v>24</v>
      </c>
      <c r="AP123" s="273">
        <v>0.99729999999999996</v>
      </c>
      <c r="AQ123" s="273">
        <v>0.99909000000000003</v>
      </c>
      <c r="AR123" s="288"/>
      <c r="AS123" s="288"/>
      <c r="AT123" s="288"/>
      <c r="BF123" s="275">
        <v>24.7</v>
      </c>
      <c r="BG123" s="276">
        <v>0.99712000000000001</v>
      </c>
      <c r="BH123" s="276">
        <v>0.99892000000000003</v>
      </c>
    </row>
    <row r="124" spans="3:60" s="286" customFormat="1" x14ac:dyDescent="0.2">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75">
        <v>24.1</v>
      </c>
      <c r="AP124" s="276">
        <v>0.99726999999999999</v>
      </c>
      <c r="AQ124" s="276">
        <v>0.99907000000000001</v>
      </c>
      <c r="AR124" s="288"/>
      <c r="AS124" s="288"/>
      <c r="AT124" s="288"/>
      <c r="BF124" s="275">
        <v>24.8</v>
      </c>
      <c r="BG124" s="276">
        <v>0.99709999999999999</v>
      </c>
      <c r="BH124" s="276">
        <v>0.99888999999999994</v>
      </c>
    </row>
    <row r="125" spans="3:60" s="286" customFormat="1" x14ac:dyDescent="0.2">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75">
        <v>24.2</v>
      </c>
      <c r="AP125" s="276">
        <v>0.99724999999999997</v>
      </c>
      <c r="AQ125" s="276">
        <v>0.99904000000000004</v>
      </c>
      <c r="AR125" s="288"/>
      <c r="AS125" s="288"/>
      <c r="AT125" s="288"/>
      <c r="BF125" s="275">
        <v>24.9</v>
      </c>
      <c r="BG125" s="276">
        <v>0.99707000000000001</v>
      </c>
      <c r="BH125" s="276">
        <v>0.99887000000000004</v>
      </c>
    </row>
    <row r="126" spans="3:60" s="286" customFormat="1" x14ac:dyDescent="0.2">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75">
        <v>24.3</v>
      </c>
      <c r="AP126" s="276">
        <v>0.99722999999999995</v>
      </c>
      <c r="AQ126" s="276">
        <v>0.99902000000000002</v>
      </c>
      <c r="AR126" s="288"/>
      <c r="AS126" s="288"/>
      <c r="AT126" s="288"/>
      <c r="BF126" s="272">
        <v>25</v>
      </c>
      <c r="BG126" s="273">
        <v>0.99704999999999999</v>
      </c>
      <c r="BH126" s="273">
        <v>0.99883999999999995</v>
      </c>
    </row>
    <row r="127" spans="3:60" s="286" customFormat="1" x14ac:dyDescent="0.2">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75">
        <v>24.4</v>
      </c>
      <c r="AP127" s="276">
        <v>0.99719999999999998</v>
      </c>
      <c r="AQ127" s="276">
        <v>0.99899000000000004</v>
      </c>
      <c r="AR127" s="288"/>
      <c r="AS127" s="288"/>
      <c r="AT127" s="288"/>
      <c r="BF127" s="275">
        <v>25.1</v>
      </c>
      <c r="BG127" s="276">
        <v>0.99702000000000002</v>
      </c>
      <c r="BH127" s="276">
        <v>0.99880999999999998</v>
      </c>
    </row>
    <row r="128" spans="3:60" s="286" customFormat="1" x14ac:dyDescent="0.2">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75">
        <v>24.5</v>
      </c>
      <c r="AP128" s="276">
        <v>0.99717</v>
      </c>
      <c r="AQ128" s="276">
        <v>0.99897000000000002</v>
      </c>
      <c r="AR128" s="288"/>
      <c r="AS128" s="288"/>
      <c r="AT128" s="288"/>
      <c r="BF128" s="275">
        <v>25.2</v>
      </c>
      <c r="BG128" s="276">
        <v>0.997</v>
      </c>
      <c r="BH128" s="276">
        <v>0.99878999999999996</v>
      </c>
    </row>
    <row r="129" spans="15:60" s="286" customFormat="1" x14ac:dyDescent="0.2">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75">
        <v>24.6</v>
      </c>
      <c r="AP129" s="276">
        <v>0.99714999999999998</v>
      </c>
      <c r="AQ129" s="276">
        <v>0.99894000000000005</v>
      </c>
      <c r="AR129" s="288"/>
      <c r="AS129" s="288"/>
      <c r="AT129" s="288"/>
      <c r="BF129" s="275">
        <v>25.3</v>
      </c>
      <c r="BG129" s="276">
        <v>0.99697000000000002</v>
      </c>
      <c r="BH129" s="276">
        <v>0.99875999999999998</v>
      </c>
    </row>
    <row r="130" spans="15:60" s="286" customFormat="1" x14ac:dyDescent="0.2">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75">
        <v>24.7</v>
      </c>
      <c r="AP130" s="276">
        <v>0.99712000000000001</v>
      </c>
      <c r="AQ130" s="276">
        <v>0.99892000000000003</v>
      </c>
      <c r="AR130" s="288"/>
      <c r="AS130" s="288"/>
      <c r="AT130" s="288"/>
      <c r="BF130" s="275">
        <v>25.4</v>
      </c>
      <c r="BG130" s="276">
        <v>0.99694000000000005</v>
      </c>
      <c r="BH130" s="276">
        <v>0.99873999999999996</v>
      </c>
    </row>
    <row r="131" spans="15:60" s="286" customFormat="1" x14ac:dyDescent="0.2">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75">
        <v>24.8</v>
      </c>
      <c r="AP131" s="276">
        <v>0.99709999999999999</v>
      </c>
      <c r="AQ131" s="276">
        <v>0.99888999999999994</v>
      </c>
      <c r="AR131" s="288"/>
      <c r="AS131" s="288"/>
      <c r="AT131" s="288"/>
      <c r="BF131" s="275">
        <v>25.5</v>
      </c>
      <c r="BG131" s="276">
        <v>0.99692000000000003</v>
      </c>
      <c r="BH131" s="276">
        <v>0.99870999999999999</v>
      </c>
    </row>
    <row r="132" spans="15:60" s="286" customFormat="1" x14ac:dyDescent="0.2">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75">
        <v>24.9</v>
      </c>
      <c r="AP132" s="276">
        <v>0.99707000000000001</v>
      </c>
      <c r="AQ132" s="276">
        <v>0.99887000000000004</v>
      </c>
      <c r="AR132" s="288"/>
      <c r="AS132" s="288"/>
      <c r="AT132" s="288"/>
      <c r="BF132" s="275">
        <v>25.6</v>
      </c>
      <c r="BG132" s="276">
        <v>0.99689000000000005</v>
      </c>
      <c r="BH132" s="276">
        <v>0.99868000000000001</v>
      </c>
    </row>
    <row r="133" spans="15:60" s="286" customFormat="1" x14ac:dyDescent="0.2">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72">
        <v>25</v>
      </c>
      <c r="AP133" s="273">
        <v>0.99704999999999999</v>
      </c>
      <c r="AQ133" s="273">
        <v>0.99883999999999995</v>
      </c>
      <c r="AR133" s="288"/>
      <c r="AS133" s="288"/>
      <c r="AT133" s="288"/>
      <c r="BF133" s="275">
        <v>25.7</v>
      </c>
      <c r="BG133" s="276">
        <v>0.99687000000000003</v>
      </c>
      <c r="BH133" s="276">
        <v>0.99865999999999999</v>
      </c>
    </row>
    <row r="134" spans="15:60" s="286" customFormat="1" x14ac:dyDescent="0.2">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75">
        <v>25.1</v>
      </c>
      <c r="AP134" s="276">
        <v>0.99702000000000002</v>
      </c>
      <c r="AQ134" s="276">
        <v>0.99880999999999998</v>
      </c>
      <c r="AR134" s="288"/>
      <c r="AS134" s="288"/>
      <c r="AT134" s="288"/>
      <c r="BF134" s="275">
        <v>25.8</v>
      </c>
      <c r="BG134" s="276">
        <v>0.99683999999999995</v>
      </c>
      <c r="BH134" s="276">
        <v>0.99863000000000002</v>
      </c>
    </row>
    <row r="135" spans="15:60" s="286" customFormat="1" x14ac:dyDescent="0.2">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75">
        <v>25.2</v>
      </c>
      <c r="AP135" s="276">
        <v>0.997</v>
      </c>
      <c r="AQ135" s="276">
        <v>0.99878999999999996</v>
      </c>
      <c r="AR135" s="288"/>
      <c r="AS135" s="288"/>
      <c r="AT135" s="288"/>
      <c r="BF135" s="275">
        <v>25.9</v>
      </c>
      <c r="BG135" s="276">
        <v>0.99680999999999997</v>
      </c>
      <c r="BH135" s="276">
        <v>0.99860000000000004</v>
      </c>
    </row>
    <row r="136" spans="15:60" s="286" customFormat="1" x14ac:dyDescent="0.2">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75">
        <v>25.3</v>
      </c>
      <c r="AP136" s="276">
        <v>0.99697000000000002</v>
      </c>
      <c r="AQ136" s="276">
        <v>0.99875999999999998</v>
      </c>
      <c r="AR136" s="288"/>
      <c r="AS136" s="288"/>
      <c r="AT136" s="288"/>
      <c r="BF136" s="272">
        <v>26</v>
      </c>
      <c r="BG136" s="273">
        <v>0.99678999999999995</v>
      </c>
      <c r="BH136" s="273">
        <v>0.99858000000000002</v>
      </c>
    </row>
    <row r="137" spans="15:60" s="286" customFormat="1" x14ac:dyDescent="0.2">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75">
        <v>25.4</v>
      </c>
      <c r="AP137" s="276">
        <v>0.99694000000000005</v>
      </c>
      <c r="AQ137" s="276">
        <v>0.99873999999999996</v>
      </c>
      <c r="AR137" s="288"/>
      <c r="AS137" s="288"/>
      <c r="AT137" s="288"/>
      <c r="BF137" s="275">
        <v>26.1</v>
      </c>
      <c r="BG137" s="276">
        <v>0.99675999999999998</v>
      </c>
      <c r="BH137" s="276">
        <v>0.99855000000000005</v>
      </c>
    </row>
    <row r="138" spans="15:60" s="286" customFormat="1" x14ac:dyDescent="0.2">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75">
        <v>25.5</v>
      </c>
      <c r="AP138" s="276">
        <v>0.99692000000000003</v>
      </c>
      <c r="AQ138" s="276">
        <v>0.99870999999999999</v>
      </c>
      <c r="AR138" s="288"/>
      <c r="AS138" s="288"/>
      <c r="AT138" s="288"/>
      <c r="BF138" s="275">
        <v>26.2</v>
      </c>
      <c r="BG138" s="276">
        <v>0.99673</v>
      </c>
      <c r="BH138" s="276">
        <v>0.99851999999999996</v>
      </c>
    </row>
    <row r="139" spans="15:60" s="286" customFormat="1" x14ac:dyDescent="0.2">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75">
        <v>25.6</v>
      </c>
      <c r="AP139" s="276">
        <v>0.99689000000000005</v>
      </c>
      <c r="AQ139" s="276">
        <v>0.99868000000000001</v>
      </c>
      <c r="AR139" s="288"/>
      <c r="AS139" s="288"/>
      <c r="AT139" s="288"/>
      <c r="BF139" s="275">
        <v>26.3</v>
      </c>
      <c r="BG139" s="276">
        <v>0.99670999999999998</v>
      </c>
      <c r="BH139" s="276">
        <v>0.99850000000000005</v>
      </c>
    </row>
    <row r="140" spans="15:60" s="286" customFormat="1" x14ac:dyDescent="0.2">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75">
        <v>25.7</v>
      </c>
      <c r="AP140" s="276">
        <v>0.99687000000000003</v>
      </c>
      <c r="AQ140" s="276">
        <v>0.99865999999999999</v>
      </c>
      <c r="AR140" s="288"/>
      <c r="AS140" s="288"/>
      <c r="AT140" s="288"/>
      <c r="BF140" s="275">
        <v>26.4</v>
      </c>
      <c r="BG140" s="276">
        <v>0.99668000000000001</v>
      </c>
      <c r="BH140" s="276">
        <v>0.99846999999999997</v>
      </c>
    </row>
    <row r="141" spans="15:60" s="286" customFormat="1" x14ac:dyDescent="0.2">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75">
        <v>25.8</v>
      </c>
      <c r="AP141" s="276">
        <v>0.99683999999999995</v>
      </c>
      <c r="AQ141" s="276">
        <v>0.99863000000000002</v>
      </c>
      <c r="AR141" s="288"/>
      <c r="AS141" s="288"/>
      <c r="AT141" s="288"/>
      <c r="BF141" s="275">
        <v>26.5</v>
      </c>
      <c r="BG141" s="276">
        <v>0.99665000000000004</v>
      </c>
      <c r="BH141" s="276">
        <v>0.99843999999999999</v>
      </c>
    </row>
    <row r="142" spans="15:60" s="286" customFormat="1" x14ac:dyDescent="0.2">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75">
        <v>25.9</v>
      </c>
      <c r="AP142" s="276">
        <v>0.99680999999999997</v>
      </c>
      <c r="AQ142" s="276">
        <v>0.99860000000000004</v>
      </c>
      <c r="AR142" s="288"/>
      <c r="AS142" s="288"/>
      <c r="AT142" s="288"/>
      <c r="BF142" s="275">
        <v>26.6</v>
      </c>
      <c r="BG142" s="276">
        <v>0.99663000000000002</v>
      </c>
      <c r="BH142" s="276">
        <v>0.99841999999999997</v>
      </c>
    </row>
    <row r="143" spans="15:60" s="286" customFormat="1" x14ac:dyDescent="0.2">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72">
        <v>26</v>
      </c>
      <c r="AP143" s="273">
        <v>0.99678999999999995</v>
      </c>
      <c r="AQ143" s="273">
        <v>0.99858000000000002</v>
      </c>
      <c r="AR143" s="288"/>
      <c r="AS143" s="288"/>
      <c r="AT143" s="288"/>
      <c r="BF143" s="275">
        <v>26.7</v>
      </c>
      <c r="BG143" s="276">
        <v>0.99660000000000004</v>
      </c>
      <c r="BH143" s="276">
        <v>0.99839</v>
      </c>
    </row>
    <row r="144" spans="15:60" s="286" customFormat="1" x14ac:dyDescent="0.2">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75">
        <v>26.1</v>
      </c>
      <c r="AP144" s="276">
        <v>0.99675999999999998</v>
      </c>
      <c r="AQ144" s="276">
        <v>0.99855000000000005</v>
      </c>
      <c r="AR144" s="288"/>
      <c r="AS144" s="288"/>
      <c r="AT144" s="288"/>
      <c r="BF144" s="275">
        <v>26.8</v>
      </c>
      <c r="BG144" s="276">
        <v>0.99656999999999996</v>
      </c>
      <c r="BH144" s="276">
        <v>0.99836000000000003</v>
      </c>
    </row>
    <row r="145" spans="2:60" s="286" customFormat="1" x14ac:dyDescent="0.2">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75">
        <v>26.2</v>
      </c>
      <c r="AP145" s="276">
        <v>0.99673</v>
      </c>
      <c r="AQ145" s="276">
        <v>0.99851999999999996</v>
      </c>
      <c r="AR145" s="288"/>
      <c r="AS145" s="288"/>
      <c r="AT145" s="288"/>
      <c r="BF145" s="275">
        <v>26.9</v>
      </c>
      <c r="BG145" s="276">
        <v>0.99653999999999998</v>
      </c>
      <c r="BH145" s="276">
        <v>0.99833000000000005</v>
      </c>
    </row>
    <row r="146" spans="2:60" s="286" customFormat="1" x14ac:dyDescent="0.2">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75">
        <v>26.3</v>
      </c>
      <c r="AP146" s="276">
        <v>0.99670999999999998</v>
      </c>
      <c r="AQ146" s="276">
        <v>0.99850000000000005</v>
      </c>
      <c r="AR146" s="288"/>
      <c r="AS146" s="288"/>
      <c r="AT146" s="288"/>
      <c r="BF146" s="272">
        <v>27</v>
      </c>
      <c r="BG146" s="273">
        <v>0.99651999999999996</v>
      </c>
      <c r="BH146" s="273">
        <v>0.99831000000000003</v>
      </c>
    </row>
    <row r="147" spans="2:60" s="286" customFormat="1" x14ac:dyDescent="0.2">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75">
        <v>26.4</v>
      </c>
      <c r="AP147" s="276">
        <v>0.99668000000000001</v>
      </c>
      <c r="AQ147" s="276">
        <v>0.99846999999999997</v>
      </c>
      <c r="AR147" s="288"/>
      <c r="AS147" s="288"/>
      <c r="AT147" s="288"/>
      <c r="BF147" s="275">
        <v>27.1</v>
      </c>
      <c r="BG147" s="276">
        <v>0.99648999999999999</v>
      </c>
      <c r="BH147" s="276">
        <v>0.99827999999999995</v>
      </c>
    </row>
    <row r="148" spans="2:60" s="286" customFormat="1" x14ac:dyDescent="0.2">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75">
        <v>26.5</v>
      </c>
      <c r="AP148" s="276">
        <v>0.99665000000000004</v>
      </c>
      <c r="AQ148" s="276">
        <v>0.99843999999999999</v>
      </c>
      <c r="AR148" s="288"/>
      <c r="AS148" s="288"/>
      <c r="AT148" s="288"/>
      <c r="BF148" s="275">
        <v>27.2</v>
      </c>
      <c r="BG148" s="276">
        <v>0.99646000000000001</v>
      </c>
      <c r="BH148" s="276">
        <v>0.99824999999999997</v>
      </c>
    </row>
    <row r="149" spans="2:60" s="286" customFormat="1" x14ac:dyDescent="0.2">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75">
        <v>26.6</v>
      </c>
      <c r="AP149" s="276">
        <v>0.99663000000000002</v>
      </c>
      <c r="AQ149" s="276">
        <v>0.99841999999999997</v>
      </c>
      <c r="AR149" s="288"/>
      <c r="AS149" s="288"/>
      <c r="AT149" s="288"/>
      <c r="BF149" s="275">
        <v>27.3</v>
      </c>
      <c r="BG149" s="276">
        <v>0.99643000000000004</v>
      </c>
      <c r="BH149" s="276">
        <v>0.99822</v>
      </c>
    </row>
    <row r="150" spans="2:60" s="286" customFormat="1" x14ac:dyDescent="0.2">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75">
        <v>26.7</v>
      </c>
      <c r="AP150" s="276">
        <v>0.99660000000000004</v>
      </c>
      <c r="AQ150" s="276">
        <v>0.99839</v>
      </c>
      <c r="AR150" s="288"/>
      <c r="AS150" s="288"/>
      <c r="AT150" s="288"/>
      <c r="BF150" s="275">
        <v>27.4</v>
      </c>
      <c r="BG150" s="276">
        <v>0.99641000000000002</v>
      </c>
      <c r="BH150" s="276">
        <v>0.99819999999999998</v>
      </c>
    </row>
    <row r="151" spans="2:60" s="286" customFormat="1" x14ac:dyDescent="0.2">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75">
        <v>26.8</v>
      </c>
      <c r="AP151" s="276">
        <v>0.99656999999999996</v>
      </c>
      <c r="AQ151" s="276">
        <v>0.99836000000000003</v>
      </c>
      <c r="AR151" s="288"/>
      <c r="AS151" s="288"/>
      <c r="AT151" s="288"/>
      <c r="BF151" s="275">
        <v>27.5</v>
      </c>
      <c r="BG151" s="276">
        <v>0.99638000000000004</v>
      </c>
      <c r="BH151" s="276">
        <v>0.99817</v>
      </c>
    </row>
    <row r="152" spans="2:60" s="286" customFormat="1" x14ac:dyDescent="0.2">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75">
        <v>26.9</v>
      </c>
      <c r="AP152" s="276">
        <v>0.99653999999999998</v>
      </c>
      <c r="AQ152" s="276">
        <v>0.99833000000000005</v>
      </c>
      <c r="AR152" s="288"/>
      <c r="AS152" s="288"/>
      <c r="AT152" s="288"/>
      <c r="BF152" s="275">
        <v>27.6</v>
      </c>
      <c r="BG152" s="276">
        <v>0.99634999999999996</v>
      </c>
      <c r="BH152" s="276">
        <v>0.99814000000000003</v>
      </c>
    </row>
    <row r="153" spans="2:60" s="286" customFormat="1" x14ac:dyDescent="0.2">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72">
        <v>27</v>
      </c>
      <c r="AP153" s="273">
        <v>0.99651999999999996</v>
      </c>
      <c r="AQ153" s="273">
        <v>0.99831000000000003</v>
      </c>
      <c r="AR153" s="288"/>
      <c r="AS153" s="288"/>
      <c r="AT153" s="288"/>
      <c r="BF153" s="275">
        <v>27.7</v>
      </c>
      <c r="BG153" s="276">
        <v>0.99631999999999998</v>
      </c>
      <c r="BH153" s="276">
        <v>0.99811000000000005</v>
      </c>
    </row>
    <row r="154" spans="2:60" s="286" customFormat="1" x14ac:dyDescent="0.2">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75">
        <v>27.1</v>
      </c>
      <c r="AP154" s="276">
        <v>0.99648999999999999</v>
      </c>
      <c r="AQ154" s="276">
        <v>0.99827999999999995</v>
      </c>
      <c r="AR154" s="288"/>
      <c r="AS154" s="288"/>
      <c r="AT154" s="288"/>
      <c r="BF154" s="275">
        <v>27.8</v>
      </c>
      <c r="BG154" s="276">
        <v>0.99629000000000001</v>
      </c>
      <c r="BH154" s="276">
        <v>0.99807999999999997</v>
      </c>
    </row>
    <row r="155" spans="2:60" s="286" customFormat="1" x14ac:dyDescent="0.2">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75">
        <v>27.2</v>
      </c>
      <c r="AP155" s="276">
        <v>0.99646000000000001</v>
      </c>
      <c r="AQ155" s="276">
        <v>0.99824999999999997</v>
      </c>
      <c r="AR155" s="288"/>
      <c r="AS155" s="288"/>
      <c r="AT155" s="288"/>
      <c r="BF155" s="275">
        <v>27.9</v>
      </c>
      <c r="BG155" s="276">
        <v>0.99626999999999999</v>
      </c>
      <c r="BH155" s="276">
        <v>0.99805999999999995</v>
      </c>
    </row>
    <row r="156" spans="2:60" s="286" customFormat="1" x14ac:dyDescent="0.2">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75">
        <v>27.3</v>
      </c>
      <c r="AP156" s="276">
        <v>0.99643000000000004</v>
      </c>
      <c r="AQ156" s="276">
        <v>0.99822</v>
      </c>
      <c r="AR156" s="288"/>
      <c r="AS156" s="288"/>
      <c r="AT156" s="288"/>
      <c r="BF156" s="272">
        <v>28</v>
      </c>
      <c r="BG156" s="273">
        <v>0.99624000000000001</v>
      </c>
      <c r="BH156" s="273">
        <v>0.99802999999999997</v>
      </c>
    </row>
    <row r="157" spans="2:60" x14ac:dyDescent="0.2">
      <c r="BF157" s="275">
        <v>28.1</v>
      </c>
      <c r="BG157" s="276">
        <v>0.99621000000000004</v>
      </c>
      <c r="BH157" s="276">
        <v>0.998</v>
      </c>
    </row>
    <row r="158" spans="2:60" x14ac:dyDescent="0.2">
      <c r="BF158" s="275">
        <v>28.2</v>
      </c>
      <c r="BG158" s="276">
        <v>0.99617999999999995</v>
      </c>
      <c r="BH158" s="276">
        <v>0.99797000000000002</v>
      </c>
    </row>
    <row r="159" spans="2:60" x14ac:dyDescent="0.2">
      <c r="B159" s="98" t="s">
        <v>150</v>
      </c>
      <c r="BF159" s="275">
        <v>28.3</v>
      </c>
      <c r="BG159" s="276">
        <v>0.99614999999999998</v>
      </c>
      <c r="BH159" s="276">
        <v>0.99794000000000005</v>
      </c>
    </row>
    <row r="160" spans="2:60" x14ac:dyDescent="0.2">
      <c r="B160" s="98" t="s">
        <v>151</v>
      </c>
      <c r="BF160" s="275">
        <v>28.4</v>
      </c>
      <c r="BG160" s="276">
        <v>0.99612000000000001</v>
      </c>
      <c r="BH160" s="276">
        <v>0.99790999999999996</v>
      </c>
    </row>
    <row r="161" spans="2:60" x14ac:dyDescent="0.2">
      <c r="B161" s="98" t="s">
        <v>152</v>
      </c>
      <c r="BF161" s="275">
        <v>28.5</v>
      </c>
      <c r="BG161" s="276">
        <v>0.99609000000000003</v>
      </c>
      <c r="BH161" s="276">
        <v>0.99787999999999999</v>
      </c>
    </row>
    <row r="162" spans="2:60" x14ac:dyDescent="0.2">
      <c r="B162" s="98" t="s">
        <v>153</v>
      </c>
      <c r="BF162" s="275">
        <v>28.6</v>
      </c>
      <c r="BG162" s="276">
        <v>0.99607000000000001</v>
      </c>
      <c r="BH162" s="276">
        <v>0.99785000000000001</v>
      </c>
    </row>
    <row r="163" spans="2:60" x14ac:dyDescent="0.2">
      <c r="BF163" s="275">
        <v>28.7</v>
      </c>
      <c r="BG163" s="276">
        <v>0.99604000000000004</v>
      </c>
      <c r="BH163" s="276">
        <v>0.99782999999999999</v>
      </c>
    </row>
    <row r="164" spans="2:60" x14ac:dyDescent="0.2">
      <c r="BF164" s="275">
        <v>28.8</v>
      </c>
      <c r="BG164" s="276">
        <v>0.99600999999999995</v>
      </c>
      <c r="BH164" s="276">
        <v>0.99780000000000002</v>
      </c>
    </row>
    <row r="165" spans="2:60" x14ac:dyDescent="0.2">
      <c r="BF165" s="275">
        <v>28.9</v>
      </c>
      <c r="BG165" s="276">
        <v>0.99597999999999998</v>
      </c>
      <c r="BH165" s="276">
        <v>0.99777000000000005</v>
      </c>
    </row>
    <row r="166" spans="2:60" x14ac:dyDescent="0.2">
      <c r="BF166" s="272">
        <v>29</v>
      </c>
      <c r="BG166" s="273">
        <v>0.99595</v>
      </c>
      <c r="BH166" s="273">
        <v>0.99773999999999996</v>
      </c>
    </row>
    <row r="167" spans="2:60" x14ac:dyDescent="0.2">
      <c r="BF167" s="275">
        <v>29.099999999999898</v>
      </c>
      <c r="BG167" s="276">
        <v>0.99592000000000003</v>
      </c>
      <c r="BH167" s="276">
        <v>0.99770999999999999</v>
      </c>
    </row>
    <row r="168" spans="2:60" x14ac:dyDescent="0.2">
      <c r="BF168" s="275">
        <v>29.1999999999999</v>
      </c>
      <c r="BG168" s="276">
        <v>0.99589000000000005</v>
      </c>
      <c r="BH168" s="276">
        <v>0.99768000000000001</v>
      </c>
    </row>
    <row r="169" spans="2:60" x14ac:dyDescent="0.2">
      <c r="BF169" s="275">
        <v>29.299999999999901</v>
      </c>
      <c r="BG169" s="276">
        <v>0.99585999999999997</v>
      </c>
      <c r="BH169" s="276">
        <v>0.99765000000000004</v>
      </c>
    </row>
    <row r="170" spans="2:60" x14ac:dyDescent="0.2">
      <c r="BF170" s="275">
        <v>29.399999999999899</v>
      </c>
      <c r="BG170" s="276">
        <v>0.99582999999999999</v>
      </c>
      <c r="BH170" s="276">
        <v>0.99761999999999995</v>
      </c>
    </row>
    <row r="171" spans="2:60" x14ac:dyDescent="0.2">
      <c r="BF171" s="275">
        <v>29.499999999999901</v>
      </c>
      <c r="BG171" s="276">
        <v>0.99580000000000002</v>
      </c>
      <c r="BH171" s="276">
        <v>0.99758999999999998</v>
      </c>
    </row>
    <row r="172" spans="2:60" x14ac:dyDescent="0.2">
      <c r="BF172" s="275">
        <v>29.599999999999898</v>
      </c>
      <c r="BG172" s="276">
        <v>0.99577000000000004</v>
      </c>
      <c r="BH172" s="276">
        <v>0.99756</v>
      </c>
    </row>
    <row r="173" spans="2:60" x14ac:dyDescent="0.2">
      <c r="BF173" s="275">
        <v>29.6999999999999</v>
      </c>
      <c r="BG173" s="276">
        <v>0.99573999999999996</v>
      </c>
      <c r="BH173" s="276">
        <v>0.99753000000000003</v>
      </c>
    </row>
    <row r="174" spans="2:60" x14ac:dyDescent="0.2">
      <c r="BF174" s="275">
        <v>29.799999999999901</v>
      </c>
      <c r="BG174" s="276">
        <v>0.99570999999999998</v>
      </c>
      <c r="BH174" s="276">
        <v>0.99750000000000005</v>
      </c>
    </row>
    <row r="175" spans="2:60" x14ac:dyDescent="0.2">
      <c r="BF175" s="275">
        <v>29.899999999999899</v>
      </c>
      <c r="BG175" s="276">
        <v>0.99568000000000001</v>
      </c>
      <c r="BH175" s="276">
        <v>0.99746999999999997</v>
      </c>
    </row>
    <row r="176" spans="2:60" x14ac:dyDescent="0.2">
      <c r="BF176" s="272">
        <v>29.999999999999901</v>
      </c>
      <c r="BG176" s="273">
        <v>0.99565000000000003</v>
      </c>
      <c r="BH176" s="273">
        <v>0.99743999999999999</v>
      </c>
    </row>
    <row r="177" spans="58:60" x14ac:dyDescent="0.2">
      <c r="BF177" s="275">
        <v>30.099999999999898</v>
      </c>
      <c r="BG177" s="276">
        <v>0.99561999999999995</v>
      </c>
      <c r="BH177" s="276">
        <v>0.99741000000000002</v>
      </c>
    </row>
    <row r="178" spans="58:60" x14ac:dyDescent="0.2">
      <c r="BF178" s="275">
        <v>30.1999999999999</v>
      </c>
      <c r="BG178" s="276">
        <v>0.99558999999999997</v>
      </c>
      <c r="BH178" s="276">
        <v>0.99738000000000004</v>
      </c>
    </row>
    <row r="179" spans="58:60" x14ac:dyDescent="0.2">
      <c r="BF179" s="275">
        <v>30.299999999999901</v>
      </c>
      <c r="BG179" s="276">
        <v>0.995559999999999</v>
      </c>
      <c r="BH179" s="276">
        <v>0.99734999999999996</v>
      </c>
    </row>
    <row r="180" spans="58:60" x14ac:dyDescent="0.2">
      <c r="BF180" s="275">
        <v>30.399999999999899</v>
      </c>
      <c r="BG180" s="276">
        <v>0.99552999999999903</v>
      </c>
      <c r="BH180" s="276">
        <v>0.99731999999999998</v>
      </c>
    </row>
    <row r="181" spans="58:60" x14ac:dyDescent="0.2">
      <c r="BF181" s="275">
        <v>30.499999999999901</v>
      </c>
      <c r="BG181" s="276">
        <v>0.99549999999999905</v>
      </c>
      <c r="BH181" s="276">
        <v>0.99729000000000001</v>
      </c>
    </row>
    <row r="182" spans="58:60" x14ac:dyDescent="0.2">
      <c r="BF182" s="275">
        <v>30.599999999999898</v>
      </c>
      <c r="BG182" s="276">
        <v>0.99546999999999897</v>
      </c>
      <c r="BH182" s="276">
        <v>0.99726000000000004</v>
      </c>
    </row>
    <row r="183" spans="58:60" x14ac:dyDescent="0.2">
      <c r="BF183" s="275">
        <v>30.6999999999999</v>
      </c>
      <c r="BG183" s="276">
        <v>0.99543999999999899</v>
      </c>
      <c r="BH183" s="276">
        <v>0.99722999999999995</v>
      </c>
    </row>
    <row r="184" spans="58:60" x14ac:dyDescent="0.2">
      <c r="BF184" s="275">
        <v>30.799999999999901</v>
      </c>
      <c r="BG184" s="276">
        <v>0.99540999999999902</v>
      </c>
      <c r="BH184" s="276">
        <v>0.99719999999999998</v>
      </c>
    </row>
    <row r="185" spans="58:60" x14ac:dyDescent="0.2">
      <c r="BF185" s="275">
        <v>30.899999999999899</v>
      </c>
      <c r="BG185" s="276">
        <v>0.99537999999999904</v>
      </c>
      <c r="BH185" s="276">
        <v>0.99716000000000005</v>
      </c>
    </row>
  </sheetData>
  <sheetProtection insertColumns="0" insertRows="0"/>
  <mergeCells count="127">
    <mergeCell ref="AJ61:AM61"/>
    <mergeCell ref="Z27:AA27"/>
    <mergeCell ref="Z28:AA28"/>
    <mergeCell ref="Z29:AA29"/>
    <mergeCell ref="Z30:AA30"/>
    <mergeCell ref="N61:Q61"/>
    <mergeCell ref="J61:L61"/>
    <mergeCell ref="AC56:AD56"/>
    <mergeCell ref="B58:I58"/>
    <mergeCell ref="D9:I9"/>
    <mergeCell ref="B10:C10"/>
    <mergeCell ref="D10:I10"/>
    <mergeCell ref="B52:D52"/>
    <mergeCell ref="H31:I31"/>
    <mergeCell ref="H32:I32"/>
    <mergeCell ref="F34:G34"/>
    <mergeCell ref="F35:G35"/>
    <mergeCell ref="D12:E12"/>
    <mergeCell ref="B13:C13"/>
    <mergeCell ref="D13:P13"/>
    <mergeCell ref="B14:C14"/>
    <mergeCell ref="D14:P14"/>
    <mergeCell ref="J12:L12"/>
    <mergeCell ref="O12:P12"/>
    <mergeCell ref="L30:N30"/>
    <mergeCell ref="M10:P10"/>
    <mergeCell ref="J9:L9"/>
    <mergeCell ref="J10:L10"/>
    <mergeCell ref="F12:G12"/>
    <mergeCell ref="H17:I17"/>
    <mergeCell ref="H18:I18"/>
    <mergeCell ref="H19:I19"/>
    <mergeCell ref="L42:N42"/>
    <mergeCell ref="AR3:AU5"/>
    <mergeCell ref="B5:N5"/>
    <mergeCell ref="B6:C6"/>
    <mergeCell ref="D6:I6"/>
    <mergeCell ref="M6:P6"/>
    <mergeCell ref="J6:L6"/>
    <mergeCell ref="A1:D4"/>
    <mergeCell ref="O1:Q1"/>
    <mergeCell ref="O2:Q2"/>
    <mergeCell ref="O3:Q3"/>
    <mergeCell ref="O4:Q4"/>
    <mergeCell ref="E1:N1"/>
    <mergeCell ref="E2:N4"/>
    <mergeCell ref="B8:C8"/>
    <mergeCell ref="D8:I8"/>
    <mergeCell ref="M8:P8"/>
    <mergeCell ref="J7:L7"/>
    <mergeCell ref="J8:L8"/>
    <mergeCell ref="H24:I24"/>
    <mergeCell ref="H25:I25"/>
    <mergeCell ref="H28:I28"/>
    <mergeCell ref="B19:D19"/>
    <mergeCell ref="B20:D20"/>
    <mergeCell ref="B21:D21"/>
    <mergeCell ref="B22:D22"/>
    <mergeCell ref="H20:I20"/>
    <mergeCell ref="H21:I21"/>
    <mergeCell ref="B17:F17"/>
    <mergeCell ref="B18:D18"/>
    <mergeCell ref="B12:C12"/>
    <mergeCell ref="B11:N11"/>
    <mergeCell ref="L20:N20"/>
    <mergeCell ref="H23:I23"/>
    <mergeCell ref="B7:C7"/>
    <mergeCell ref="D7:I7"/>
    <mergeCell ref="M7:P7"/>
    <mergeCell ref="B9:C9"/>
    <mergeCell ref="B25:D25"/>
    <mergeCell ref="H26:I27"/>
    <mergeCell ref="B24:D24"/>
    <mergeCell ref="H22:I22"/>
    <mergeCell ref="J57:L57"/>
    <mergeCell ref="N57:Q57"/>
    <mergeCell ref="B53:D53"/>
    <mergeCell ref="B54:D54"/>
    <mergeCell ref="F41:G41"/>
    <mergeCell ref="F36:G36"/>
    <mergeCell ref="F37:G37"/>
    <mergeCell ref="F38:G38"/>
    <mergeCell ref="L44:M44"/>
    <mergeCell ref="L36:N36"/>
    <mergeCell ref="F39:G39"/>
    <mergeCell ref="L40:N40"/>
    <mergeCell ref="D57:I57"/>
    <mergeCell ref="B23:D23"/>
    <mergeCell ref="F40:G40"/>
    <mergeCell ref="L37:N37"/>
    <mergeCell ref="L38:N38"/>
    <mergeCell ref="AS28:AT28"/>
    <mergeCell ref="H29:I29"/>
    <mergeCell ref="B27:F27"/>
    <mergeCell ref="H30:I30"/>
    <mergeCell ref="B30:D30"/>
    <mergeCell ref="L33:N33"/>
    <mergeCell ref="L31:N31"/>
    <mergeCell ref="B31:D31"/>
    <mergeCell ref="L34:N34"/>
    <mergeCell ref="J26:J27"/>
    <mergeCell ref="K26:K27"/>
    <mergeCell ref="B32:D32"/>
    <mergeCell ref="B28:D28"/>
    <mergeCell ref="B29:D29"/>
    <mergeCell ref="C67:E67"/>
    <mergeCell ref="A65:Q65"/>
    <mergeCell ref="M56:P56"/>
    <mergeCell ref="H54:J54"/>
    <mergeCell ref="F42:G42"/>
    <mergeCell ref="F43:G43"/>
    <mergeCell ref="F44:G44"/>
    <mergeCell ref="F45:G45"/>
    <mergeCell ref="F46:G46"/>
    <mergeCell ref="B55:D55"/>
    <mergeCell ref="B50:F50"/>
    <mergeCell ref="F47:G47"/>
    <mergeCell ref="F48:G48"/>
    <mergeCell ref="H50:K50"/>
    <mergeCell ref="H51:J51"/>
    <mergeCell ref="H52:J52"/>
    <mergeCell ref="H53:J53"/>
    <mergeCell ref="B51:D51"/>
    <mergeCell ref="B59:I59"/>
    <mergeCell ref="J62:L62"/>
    <mergeCell ref="N62:Q62"/>
    <mergeCell ref="B60:I63"/>
  </mergeCells>
  <phoneticPr fontId="5" type="noConversion"/>
  <conditionalFormatting sqref="D6:D10 M6:P6 M7:M8 N9:P9 D12 F12 H12:J12 M12:O12 B6:B10 B12:B14">
    <cfRule type="containsBlanks" dxfId="73" priority="16">
      <formula>LEN(TRIM(B6))=0</formula>
    </cfRule>
  </conditionalFormatting>
  <conditionalFormatting sqref="D6:I10">
    <cfRule type="containsBlanks" dxfId="72" priority="14">
      <formula>LEN(TRIM(D6))=0</formula>
    </cfRule>
  </conditionalFormatting>
  <conditionalFormatting sqref="D6:J10">
    <cfRule type="containsBlanks" dxfId="71" priority="12">
      <formula>LEN(TRIM(D6))=0</formula>
    </cfRule>
  </conditionalFormatting>
  <conditionalFormatting sqref="D13:P14">
    <cfRule type="containsBlanks" dxfId="70" priority="15">
      <formula>LEN(TRIM(D13))=0</formula>
    </cfRule>
  </conditionalFormatting>
  <conditionalFormatting sqref="E19:E20">
    <cfRule type="containsBlanks" dxfId="69" priority="10">
      <formula>LEN(TRIM(E19))=0</formula>
    </cfRule>
  </conditionalFormatting>
  <conditionalFormatting sqref="E23:F23 E24">
    <cfRule type="containsBlanks" dxfId="68" priority="9">
      <formula>LEN(TRIM(E23))=0</formula>
    </cfRule>
  </conditionalFormatting>
  <conditionalFormatting sqref="E28:F31">
    <cfRule type="containsBlanks" dxfId="67" priority="8">
      <formula>LEN(TRIM(E28))=0</formula>
    </cfRule>
  </conditionalFormatting>
  <conditionalFormatting sqref="F55">
    <cfRule type="containsBlanks" dxfId="66" priority="7">
      <formula>LEN(TRIM(F55))=0</formula>
    </cfRule>
  </conditionalFormatting>
  <conditionalFormatting sqref="K28:K29">
    <cfRule type="cellIs" dxfId="65" priority="17" operator="greaterThan">
      <formula>100</formula>
    </cfRule>
  </conditionalFormatting>
  <conditionalFormatting sqref="K30">
    <cfRule type="containsBlanks" dxfId="64" priority="5">
      <formula>LEN(TRIM(K30))=0</formula>
    </cfRule>
  </conditionalFormatting>
  <conditionalFormatting sqref="K51:K54">
    <cfRule type="containsBlanks" dxfId="63" priority="6">
      <formula>LEN(TRIM(K51))=0</formula>
    </cfRule>
  </conditionalFormatting>
  <conditionalFormatting sqref="M6:P8 N9:P9 D12:F12 I12 M12 D13:P14">
    <cfRule type="containsBlanks" dxfId="62" priority="11">
      <formula>LEN(TRIM(D6))=0</formula>
    </cfRule>
    <cfRule type="containsBlanks" dxfId="61" priority="13">
      <formula>LEN(TRIM(D6))=0</formula>
    </cfRule>
  </conditionalFormatting>
  <conditionalFormatting sqref="Z28">
    <cfRule type="containsBlanks" dxfId="60" priority="2">
      <formula>LEN(TRIM(Z28))=0</formula>
    </cfRule>
  </conditionalFormatting>
  <conditionalFormatting sqref="Z30">
    <cfRule type="containsBlanks" dxfId="59" priority="1">
      <formula>LEN(TRIM(Z30))=0</formula>
    </cfRule>
  </conditionalFormatting>
  <conditionalFormatting sqref="AB18:AB19 AB21:AB22">
    <cfRule type="containsBlanks" dxfId="58" priority="3">
      <formula>LEN(TRIM(AB18))=0</formula>
    </cfRule>
  </conditionalFormatting>
  <conditionalFormatting sqref="AL55:AM55">
    <cfRule type="containsBlanks" dxfId="57" priority="4">
      <formula>LEN(TRIM(AL55))=0</formula>
    </cfRule>
  </conditionalFormatting>
  <dataValidations disablePrompts="1" count="4">
    <dataValidation type="list" allowBlank="1" showInputMessage="1" showErrorMessage="1" sqref="D12:E12" xr:uid="{00000000-0002-0000-0000-000000000000}">
      <formula1>$AR$6:$AR$14</formula1>
    </dataValidation>
    <dataValidation type="list" allowBlank="1" showInputMessage="1" showErrorMessage="1" sqref="K53" xr:uid="{00000000-0002-0000-0000-000001000000}">
      <formula1>$B$149:$B$152</formula1>
    </dataValidation>
    <dataValidation type="list" allowBlank="1" showInputMessage="1" showErrorMessage="1" sqref="K51" xr:uid="{00000000-0002-0000-0000-000002000000}">
      <formula1>$B$159:$B$163</formula1>
    </dataValidation>
    <dataValidation type="list" allowBlank="1" showInputMessage="1" showErrorMessage="1" sqref="K52" xr:uid="{00000000-0002-0000-0000-000003000000}">
      <formula1>$B$155:$B$157</formula1>
    </dataValidation>
  </dataValidations>
  <printOptions horizontalCentered="1" verticalCentered="1" gridLinesSet="0"/>
  <pageMargins left="0.19685039370078741" right="0.19685039370078741" top="0.19685039370078741" bottom="0.39370078740157483" header="0.31496062992125984" footer="0.31496062992125984"/>
  <pageSetup scale="49" fitToWidth="0" orientation="landscape" r:id="rId1"/>
  <headerFooter alignWithMargins="0">
    <oddFooter>&amp;CGEODELTA INGENIERÍA 
Barrio el laurel, Móvil: 3187902368 Bogotá DC - Colombia
e-mail: laboratoriogeodelta@gmail.com</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68"/>
  <sheetViews>
    <sheetView showGridLines="0" view="pageBreakPreview" topLeftCell="A38" zoomScale="80" zoomScaleNormal="100" zoomScaleSheetLayoutView="80" workbookViewId="0">
      <selection activeCell="D14" sqref="D14:N14"/>
    </sheetView>
  </sheetViews>
  <sheetFormatPr baseColWidth="10" defaultColWidth="11.42578125" defaultRowHeight="15" x14ac:dyDescent="0.2"/>
  <cols>
    <col min="1" max="1" width="3.28515625" style="62" customWidth="1"/>
    <col min="2" max="2" width="14.42578125" style="62" customWidth="1"/>
    <col min="3" max="3" width="15.28515625" style="62" customWidth="1"/>
    <col min="4" max="4" width="19" style="62" customWidth="1"/>
    <col min="5" max="5" width="18" style="62" customWidth="1"/>
    <col min="6" max="6" width="17.85546875" style="62" customWidth="1"/>
    <col min="7" max="7" width="17.7109375" style="62" customWidth="1"/>
    <col min="8" max="8" width="18.5703125" style="62" bestFit="1" customWidth="1"/>
    <col min="9" max="9" width="22.85546875" style="62" customWidth="1"/>
    <col min="10" max="10" width="21.140625" style="62" customWidth="1"/>
    <col min="11" max="11" width="8.28515625" style="62" customWidth="1"/>
    <col min="12" max="14" width="13.7109375" style="62" customWidth="1"/>
    <col min="15" max="15" width="2" style="62" customWidth="1"/>
    <col min="16" max="16" width="12.140625" style="62" bestFit="1" customWidth="1"/>
    <col min="17" max="16384" width="11.42578125" style="62"/>
  </cols>
  <sheetData>
    <row r="1" spans="1:45" s="36" customFormat="1" ht="17.25" customHeight="1" x14ac:dyDescent="0.2">
      <c r="A1" s="532"/>
      <c r="B1" s="533"/>
      <c r="C1" s="533"/>
      <c r="D1" s="726"/>
      <c r="E1" s="397"/>
      <c r="F1" s="546" t="s">
        <v>119</v>
      </c>
      <c r="G1" s="546"/>
      <c r="H1" s="546"/>
      <c r="I1" s="546"/>
      <c r="J1" s="546"/>
      <c r="K1" s="546"/>
      <c r="L1" s="622"/>
      <c r="M1" s="614" t="str">
        <f>Resultados!O1</f>
        <v>CÓDIGO: GDA-FLC-009</v>
      </c>
      <c r="N1" s="615"/>
      <c r="O1" s="616"/>
      <c r="P1" s="35"/>
      <c r="Q1" s="35"/>
      <c r="R1" s="35" t="s">
        <v>126</v>
      </c>
      <c r="S1" s="35"/>
      <c r="T1" s="35"/>
      <c r="U1" s="35"/>
      <c r="V1" s="35"/>
      <c r="W1" s="35"/>
      <c r="Z1" s="37" t="s">
        <v>120</v>
      </c>
      <c r="AA1" s="36" t="s">
        <v>121</v>
      </c>
    </row>
    <row r="2" spans="1:45" s="36" customFormat="1" ht="17.25" customHeight="1" x14ac:dyDescent="0.2">
      <c r="A2" s="534"/>
      <c r="B2" s="725"/>
      <c r="C2" s="725"/>
      <c r="D2" s="727"/>
      <c r="E2" s="67"/>
      <c r="F2" s="547" t="s">
        <v>185</v>
      </c>
      <c r="G2" s="547"/>
      <c r="H2" s="547"/>
      <c r="I2" s="547"/>
      <c r="J2" s="547"/>
      <c r="K2" s="547"/>
      <c r="L2" s="623"/>
      <c r="M2" s="617" t="str">
        <f>Resultados!O2</f>
        <v>VERSIÓN :03</v>
      </c>
      <c r="N2" s="618"/>
      <c r="O2" s="619"/>
      <c r="P2" s="35"/>
      <c r="Q2" s="35"/>
      <c r="R2" s="35" t="s">
        <v>174</v>
      </c>
      <c r="S2" s="35"/>
      <c r="T2" s="35"/>
      <c r="U2" s="35"/>
      <c r="V2" s="35"/>
      <c r="W2" s="35"/>
      <c r="Z2" s="37" t="s">
        <v>122</v>
      </c>
      <c r="AA2" s="36" t="s">
        <v>123</v>
      </c>
    </row>
    <row r="3" spans="1:45" s="36" customFormat="1" ht="17.25" customHeight="1" x14ac:dyDescent="0.2">
      <c r="A3" s="534"/>
      <c r="B3" s="725"/>
      <c r="C3" s="725"/>
      <c r="D3" s="727"/>
      <c r="E3" s="67"/>
      <c r="F3" s="547"/>
      <c r="G3" s="547"/>
      <c r="H3" s="547"/>
      <c r="I3" s="547"/>
      <c r="J3" s="547"/>
      <c r="K3" s="547"/>
      <c r="L3" s="623"/>
      <c r="M3" s="617" t="s">
        <v>175</v>
      </c>
      <c r="N3" s="618"/>
      <c r="O3" s="619"/>
      <c r="P3" s="35"/>
      <c r="Q3" s="35"/>
      <c r="R3" s="35" t="s">
        <v>131</v>
      </c>
      <c r="S3" s="35"/>
      <c r="T3" s="35"/>
      <c r="U3" s="35"/>
      <c r="V3" s="35"/>
      <c r="W3" s="35"/>
      <c r="AP3" s="620" t="s">
        <v>124</v>
      </c>
      <c r="AQ3" s="620"/>
      <c r="AR3" s="620"/>
      <c r="AS3" s="620"/>
    </row>
    <row r="4" spans="1:45" s="36" customFormat="1" ht="17.25" customHeight="1" thickBot="1" x14ac:dyDescent="0.25">
      <c r="A4" s="535"/>
      <c r="B4" s="536"/>
      <c r="C4" s="536"/>
      <c r="D4" s="621"/>
      <c r="E4" s="398"/>
      <c r="F4" s="548"/>
      <c r="G4" s="548"/>
      <c r="H4" s="548"/>
      <c r="I4" s="548"/>
      <c r="J4" s="548"/>
      <c r="K4" s="548"/>
      <c r="L4" s="624"/>
      <c r="M4" s="535" t="str">
        <f>Resultados!O4</f>
        <v>FECHA: 08-08-2025</v>
      </c>
      <c r="N4" s="536"/>
      <c r="O4" s="621"/>
      <c r="P4" s="35"/>
      <c r="Q4" s="35"/>
      <c r="R4" s="35" t="s">
        <v>135</v>
      </c>
      <c r="S4" s="35"/>
      <c r="T4" s="35"/>
      <c r="U4" s="35"/>
      <c r="V4" s="35"/>
      <c r="W4" s="35"/>
      <c r="AP4" s="620"/>
      <c r="AQ4" s="620"/>
      <c r="AR4" s="620"/>
      <c r="AS4" s="620"/>
    </row>
    <row r="5" spans="1:45" s="36" customFormat="1" ht="3.95" customHeight="1" thickBot="1" x14ac:dyDescent="0.25">
      <c r="A5" s="38"/>
      <c r="B5" s="528"/>
      <c r="C5" s="528"/>
      <c r="D5" s="528"/>
      <c r="E5" s="528"/>
      <c r="F5" s="528"/>
      <c r="G5" s="528"/>
      <c r="H5" s="528"/>
      <c r="I5" s="528"/>
      <c r="J5" s="528"/>
      <c r="K5" s="528"/>
      <c r="L5" s="528"/>
      <c r="M5" s="528"/>
      <c r="N5" s="40"/>
      <c r="O5" s="41"/>
      <c r="P5" s="42"/>
      <c r="Q5" s="42"/>
      <c r="R5" s="42" t="s">
        <v>138</v>
      </c>
      <c r="S5" s="42"/>
      <c r="T5" s="42"/>
      <c r="U5" s="42"/>
      <c r="V5" s="42"/>
      <c r="W5" s="42"/>
      <c r="AP5" s="620"/>
      <c r="AQ5" s="620"/>
      <c r="AR5" s="620"/>
      <c r="AS5" s="620"/>
    </row>
    <row r="6" spans="1:45" s="36" customFormat="1" ht="22.5" customHeight="1" x14ac:dyDescent="0.2">
      <c r="A6" s="34"/>
      <c r="B6" s="524" t="s">
        <v>0</v>
      </c>
      <c r="C6" s="524"/>
      <c r="D6" s="629">
        <f>Resultados!D6</f>
        <v>0</v>
      </c>
      <c r="E6" s="629"/>
      <c r="F6" s="629"/>
      <c r="G6" s="629"/>
      <c r="H6" s="629"/>
      <c r="I6" s="629"/>
      <c r="J6" s="531" t="s">
        <v>125</v>
      </c>
      <c r="K6" s="531"/>
      <c r="L6" s="637">
        <f>Resultados!M6</f>
        <v>0</v>
      </c>
      <c r="M6" s="637"/>
      <c r="N6" s="637"/>
      <c r="O6" s="44"/>
      <c r="P6" s="45"/>
      <c r="Q6" s="45"/>
      <c r="R6" s="45"/>
      <c r="S6" s="45"/>
      <c r="T6" s="45"/>
      <c r="U6" s="45"/>
      <c r="V6" s="45"/>
      <c r="W6" s="45"/>
      <c r="AP6" s="46" t="s">
        <v>126</v>
      </c>
      <c r="AQ6" s="37"/>
      <c r="AR6" s="37"/>
      <c r="AS6" s="37"/>
    </row>
    <row r="7" spans="1:45" s="36" customFormat="1" ht="27" customHeight="1" x14ac:dyDescent="0.2">
      <c r="A7" s="38"/>
      <c r="B7" s="516" t="s">
        <v>1</v>
      </c>
      <c r="C7" s="516"/>
      <c r="D7" s="612">
        <f>Resultados!D7</f>
        <v>0</v>
      </c>
      <c r="E7" s="612"/>
      <c r="F7" s="612"/>
      <c r="G7" s="612"/>
      <c r="H7" s="612"/>
      <c r="I7" s="612"/>
      <c r="J7" s="520" t="s">
        <v>127</v>
      </c>
      <c r="K7" s="520"/>
      <c r="L7" s="613">
        <f>Resultados!M7</f>
        <v>0</v>
      </c>
      <c r="M7" s="613"/>
      <c r="N7" s="613"/>
      <c r="O7" s="47"/>
      <c r="P7" s="45"/>
      <c r="Q7" s="45"/>
      <c r="R7" s="45"/>
      <c r="S7" s="45"/>
      <c r="T7" s="45"/>
      <c r="U7" s="45"/>
      <c r="V7" s="45"/>
      <c r="W7" s="45"/>
      <c r="AP7" s="46" t="s">
        <v>128</v>
      </c>
      <c r="AQ7" s="37"/>
      <c r="AR7" s="37"/>
      <c r="AS7" s="37"/>
    </row>
    <row r="8" spans="1:45" s="36" customFormat="1" ht="22.5" customHeight="1" x14ac:dyDescent="0.2">
      <c r="A8" s="38"/>
      <c r="B8" s="516" t="s">
        <v>129</v>
      </c>
      <c r="C8" s="516"/>
      <c r="D8" s="560">
        <f>Resultados!D8</f>
        <v>0</v>
      </c>
      <c r="E8" s="560"/>
      <c r="F8" s="560"/>
      <c r="G8" s="560"/>
      <c r="H8" s="560"/>
      <c r="I8" s="560"/>
      <c r="J8" s="520" t="s">
        <v>130</v>
      </c>
      <c r="K8" s="520"/>
      <c r="L8" s="613">
        <f>Resultados!M8</f>
        <v>0</v>
      </c>
      <c r="M8" s="613"/>
      <c r="N8" s="613"/>
      <c r="O8" s="47"/>
      <c r="P8" s="45"/>
      <c r="Q8" s="45"/>
      <c r="R8" s="45"/>
      <c r="S8" s="45"/>
      <c r="T8" s="45"/>
      <c r="U8" s="45"/>
      <c r="V8" s="45"/>
      <c r="W8" s="45"/>
      <c r="AP8" s="46" t="s">
        <v>131</v>
      </c>
      <c r="AQ8" s="37"/>
      <c r="AR8" s="37"/>
      <c r="AS8" s="37"/>
    </row>
    <row r="9" spans="1:45" s="36" customFormat="1" ht="15.75" customHeight="1" x14ac:dyDescent="0.2">
      <c r="A9" s="38"/>
      <c r="B9" s="516" t="s">
        <v>132</v>
      </c>
      <c r="C9" s="516"/>
      <c r="D9" s="560">
        <f>Resultados!D9</f>
        <v>0</v>
      </c>
      <c r="E9" s="560"/>
      <c r="F9" s="560"/>
      <c r="G9" s="560"/>
      <c r="H9" s="560"/>
      <c r="I9" s="560"/>
      <c r="J9" s="520" t="s">
        <v>133</v>
      </c>
      <c r="K9" s="520"/>
      <c r="L9" s="48" t="s">
        <v>134</v>
      </c>
      <c r="M9" s="632" t="str">
        <f>_xlfn.CONCAT(Resultados!N9, " ","-"," ",Resultados!P9)</f>
        <v xml:space="preserve"> - </v>
      </c>
      <c r="N9" s="633"/>
      <c r="O9" s="47"/>
      <c r="P9" s="45">
        <v>25</v>
      </c>
      <c r="Q9" s="45"/>
      <c r="R9" s="45"/>
      <c r="S9" s="45"/>
      <c r="T9" s="45"/>
      <c r="U9" s="45"/>
      <c r="V9" s="45"/>
      <c r="W9" s="45"/>
      <c r="AP9" s="46" t="s">
        <v>135</v>
      </c>
      <c r="AQ9" s="37"/>
      <c r="AR9" s="37"/>
      <c r="AS9" s="37"/>
    </row>
    <row r="10" spans="1:45" s="36" customFormat="1" ht="22.5" customHeight="1" x14ac:dyDescent="0.2">
      <c r="A10" s="38"/>
      <c r="B10" s="550" t="s">
        <v>136</v>
      </c>
      <c r="C10" s="550"/>
      <c r="D10" s="560">
        <f>Resultados!D10</f>
        <v>0</v>
      </c>
      <c r="E10" s="560"/>
      <c r="F10" s="560"/>
      <c r="G10" s="560"/>
      <c r="H10" s="560"/>
      <c r="I10" s="560"/>
      <c r="J10" s="561" t="s">
        <v>137</v>
      </c>
      <c r="K10" s="561"/>
      <c r="L10" s="560" t="str">
        <f>Resultados!M10</f>
        <v xml:space="preserve"> --</v>
      </c>
      <c r="M10" s="560"/>
      <c r="N10" s="560"/>
      <c r="O10" s="49"/>
      <c r="P10" s="50"/>
      <c r="Q10" s="50"/>
      <c r="R10" s="50"/>
      <c r="S10" s="50"/>
      <c r="T10" s="50"/>
      <c r="U10" s="50"/>
      <c r="V10" s="50"/>
      <c r="W10" s="50"/>
      <c r="AP10" s="46" t="s">
        <v>138</v>
      </c>
      <c r="AQ10" s="37"/>
      <c r="AR10" s="37"/>
      <c r="AS10" s="37"/>
    </row>
    <row r="11" spans="1:45" s="36" customFormat="1" ht="3.95" customHeight="1" thickBot="1" x14ac:dyDescent="0.25">
      <c r="A11" s="38"/>
      <c r="B11" s="525"/>
      <c r="C11" s="525"/>
      <c r="D11" s="525"/>
      <c r="E11" s="525"/>
      <c r="F11" s="525"/>
      <c r="G11" s="525"/>
      <c r="H11" s="525"/>
      <c r="I11" s="525"/>
      <c r="J11" s="525"/>
      <c r="K11" s="525"/>
      <c r="L11" s="525"/>
      <c r="M11" s="525"/>
      <c r="N11" s="51"/>
      <c r="O11" s="41"/>
      <c r="P11" s="42"/>
      <c r="Q11" s="42"/>
      <c r="R11" s="42"/>
      <c r="S11" s="42"/>
      <c r="T11" s="42"/>
      <c r="U11" s="42"/>
      <c r="V11" s="42"/>
      <c r="W11" s="42"/>
      <c r="AP11" s="46"/>
      <c r="AQ11" s="37"/>
      <c r="AR11" s="37"/>
      <c r="AS11" s="37"/>
    </row>
    <row r="12" spans="1:45" s="36" customFormat="1" ht="22.5" customHeight="1" x14ac:dyDescent="0.2">
      <c r="A12" s="34"/>
      <c r="B12" s="524" t="s">
        <v>2</v>
      </c>
      <c r="C12" s="524"/>
      <c r="D12" s="611">
        <f>Resultados!X2</f>
        <v>0</v>
      </c>
      <c r="E12" s="611"/>
      <c r="F12" s="611"/>
      <c r="G12" s="399">
        <f>Resultados!F12</f>
        <v>0</v>
      </c>
      <c r="H12" s="88" t="s">
        <v>139</v>
      </c>
      <c r="I12" s="92">
        <f>Resultados!I12</f>
        <v>0</v>
      </c>
      <c r="J12" s="558" t="s">
        <v>140</v>
      </c>
      <c r="K12" s="558"/>
      <c r="L12" s="95">
        <f>Resultados!M12</f>
        <v>0</v>
      </c>
      <c r="M12" s="54" t="s">
        <v>141</v>
      </c>
      <c r="N12" s="96">
        <f>Resultados!O12</f>
        <v>0</v>
      </c>
      <c r="O12" s="55">
        <v>2.75</v>
      </c>
      <c r="P12" s="56"/>
      <c r="Q12" s="56"/>
      <c r="R12" s="56"/>
      <c r="S12" s="56"/>
      <c r="T12" s="56"/>
      <c r="U12" s="56"/>
      <c r="V12" s="56"/>
      <c r="W12" s="56"/>
      <c r="AP12" s="46"/>
      <c r="AQ12" s="37"/>
      <c r="AR12" s="37"/>
      <c r="AS12" s="37"/>
    </row>
    <row r="13" spans="1:45" s="36" customFormat="1" ht="22.5" customHeight="1" x14ac:dyDescent="0.2">
      <c r="A13" s="38"/>
      <c r="B13" s="516" t="s">
        <v>142</v>
      </c>
      <c r="C13" s="516"/>
      <c r="D13" s="630">
        <f>Resultados!D13</f>
        <v>0</v>
      </c>
      <c r="E13" s="630"/>
      <c r="F13" s="630"/>
      <c r="G13" s="630"/>
      <c r="H13" s="630"/>
      <c r="I13" s="630"/>
      <c r="J13" s="630"/>
      <c r="K13" s="630"/>
      <c r="L13" s="630"/>
      <c r="M13" s="630"/>
      <c r="N13" s="630"/>
      <c r="O13" s="57"/>
      <c r="P13" s="58"/>
      <c r="Q13" s="58"/>
      <c r="R13" s="58"/>
      <c r="S13" s="58"/>
      <c r="T13" s="58"/>
      <c r="U13" s="58"/>
      <c r="V13" s="58"/>
      <c r="W13" s="58"/>
      <c r="AP13" s="46"/>
      <c r="AQ13" s="37"/>
      <c r="AR13" s="37"/>
      <c r="AS13" s="37"/>
    </row>
    <row r="14" spans="1:45" s="36" customFormat="1" ht="22.5" customHeight="1" x14ac:dyDescent="0.2">
      <c r="A14" s="38"/>
      <c r="B14" s="516" t="s">
        <v>143</v>
      </c>
      <c r="C14" s="516"/>
      <c r="D14" s="631"/>
      <c r="E14" s="631"/>
      <c r="F14" s="560"/>
      <c r="G14" s="560"/>
      <c r="H14" s="560"/>
      <c r="I14" s="560"/>
      <c r="J14" s="560"/>
      <c r="K14" s="560"/>
      <c r="L14" s="560"/>
      <c r="M14" s="560"/>
      <c r="N14" s="560"/>
      <c r="O14" s="49"/>
      <c r="P14" s="50"/>
      <c r="Q14" s="50"/>
      <c r="R14" s="50"/>
      <c r="S14" s="50"/>
      <c r="T14" s="50"/>
      <c r="U14" s="50"/>
      <c r="V14" s="50"/>
      <c r="W14" s="50"/>
      <c r="AP14" s="46"/>
      <c r="AQ14" s="37"/>
      <c r="AR14" s="37"/>
      <c r="AS14" s="37"/>
    </row>
    <row r="15" spans="1:45" s="36" customFormat="1" ht="6.95" customHeight="1" thickBot="1" x14ac:dyDescent="0.25">
      <c r="A15" s="39"/>
      <c r="B15" s="59"/>
      <c r="C15" s="59"/>
      <c r="D15" s="60"/>
      <c r="E15" s="60"/>
      <c r="F15" s="60"/>
      <c r="G15" s="60"/>
      <c r="H15" s="60"/>
      <c r="I15" s="60"/>
      <c r="J15" s="60"/>
      <c r="K15" s="60"/>
      <c r="L15" s="60"/>
      <c r="M15" s="60"/>
      <c r="N15" s="60"/>
      <c r="O15" s="61"/>
      <c r="P15" s="50"/>
      <c r="Q15" s="50"/>
      <c r="R15" s="50"/>
      <c r="S15" s="50"/>
      <c r="T15" s="50"/>
      <c r="U15" s="50"/>
      <c r="V15" s="50"/>
      <c r="W15" s="50"/>
    </row>
    <row r="16" spans="1:45" ht="10.5" customHeight="1" x14ac:dyDescent="0.25">
      <c r="A16" s="97"/>
      <c r="B16" s="196"/>
      <c r="C16" s="197"/>
      <c r="D16" s="197"/>
      <c r="E16" s="197"/>
      <c r="F16" s="198"/>
      <c r="G16" s="199"/>
      <c r="H16" s="99"/>
      <c r="I16" s="200"/>
      <c r="J16" s="200"/>
      <c r="K16" s="200"/>
      <c r="L16" s="200"/>
      <c r="M16" s="200"/>
      <c r="N16" s="200"/>
      <c r="O16" s="201"/>
      <c r="P16" s="68"/>
    </row>
    <row r="17" spans="1:25" ht="8.4499999999999993" customHeight="1" thickBot="1" x14ac:dyDescent="0.3">
      <c r="A17" s="97"/>
      <c r="B17" s="202"/>
      <c r="C17" s="98"/>
      <c r="D17" s="98"/>
      <c r="E17" s="98"/>
      <c r="F17" s="98"/>
      <c r="G17" s="98"/>
      <c r="H17" s="98"/>
      <c r="I17" s="98"/>
      <c r="J17" s="110"/>
      <c r="K17" s="110"/>
      <c r="L17" s="110"/>
      <c r="M17" s="110"/>
      <c r="N17" s="110"/>
      <c r="O17" s="203"/>
      <c r="P17" s="66"/>
    </row>
    <row r="18" spans="1:25" ht="48" customHeight="1" thickBot="1" x14ac:dyDescent="0.3">
      <c r="A18" s="97"/>
      <c r="B18" s="405" t="s">
        <v>67</v>
      </c>
      <c r="C18" s="406" t="s">
        <v>68</v>
      </c>
      <c r="D18" s="406" t="s">
        <v>240</v>
      </c>
      <c r="E18" s="406" t="s">
        <v>241</v>
      </c>
      <c r="F18" s="407" t="s">
        <v>69</v>
      </c>
      <c r="G18" s="408" t="s">
        <v>70</v>
      </c>
      <c r="H18" s="204"/>
      <c r="I18" s="205"/>
      <c r="J18" s="205"/>
      <c r="K18" s="111"/>
      <c r="L18" s="606" t="s">
        <v>64</v>
      </c>
      <c r="M18" s="607"/>
      <c r="N18" s="608"/>
      <c r="O18" s="206"/>
      <c r="X18" s="62">
        <v>0.1626877698164928</v>
      </c>
      <c r="Y18" s="62">
        <f>X18*0.12</f>
        <v>1.9522532377979136E-2</v>
      </c>
    </row>
    <row r="19" spans="1:25" ht="15.95" customHeight="1" x14ac:dyDescent="0.25">
      <c r="A19" s="97"/>
      <c r="B19" s="401">
        <v>0</v>
      </c>
      <c r="C19" s="402">
        <v>0</v>
      </c>
      <c r="D19" s="403">
        <f>'Datos '!C39</f>
        <v>0</v>
      </c>
      <c r="E19" s="403">
        <f>D19</f>
        <v>0</v>
      </c>
      <c r="F19" s="403">
        <f>(Resultados!E20)*10</f>
        <v>0</v>
      </c>
      <c r="G19" s="404">
        <v>0</v>
      </c>
      <c r="H19" s="98"/>
      <c r="I19" s="98"/>
      <c r="J19" s="98"/>
      <c r="K19" s="114"/>
      <c r="L19" s="609" t="s">
        <v>161</v>
      </c>
      <c r="M19" s="610"/>
      <c r="N19" s="602">
        <v>0</v>
      </c>
      <c r="O19" s="108"/>
      <c r="Q19" s="69" t="s">
        <v>71</v>
      </c>
      <c r="R19" s="70" t="s">
        <v>72</v>
      </c>
      <c r="S19" s="71"/>
      <c r="X19" s="62">
        <v>0.1701</v>
      </c>
      <c r="Y19" s="62">
        <f t="shared" ref="Y19:Y43" si="0">X19*0.12</f>
        <v>2.0412E-2</v>
      </c>
    </row>
    <row r="20" spans="1:25" ht="15.95" customHeight="1" x14ac:dyDescent="0.25">
      <c r="A20" s="97"/>
      <c r="B20" s="207" t="s">
        <v>73</v>
      </c>
      <c r="C20" s="208">
        <v>0.32</v>
      </c>
      <c r="D20" s="403">
        <f>'Datos '!C40</f>
        <v>0</v>
      </c>
      <c r="E20" s="403">
        <f t="shared" ref="E20:E49" si="1">D20</f>
        <v>0</v>
      </c>
      <c r="F20" s="221">
        <f>$F$19-E20</f>
        <v>0</v>
      </c>
      <c r="G20" s="219" t="e">
        <f>(E20/$F$19)*100</f>
        <v>#DIV/0!</v>
      </c>
      <c r="H20" s="98"/>
      <c r="I20" s="98"/>
      <c r="J20" s="98"/>
      <c r="K20" s="116"/>
      <c r="L20" s="598"/>
      <c r="M20" s="599"/>
      <c r="N20" s="603"/>
      <c r="O20" s="108"/>
      <c r="Q20" s="63"/>
      <c r="S20" s="64"/>
      <c r="X20" s="62">
        <v>0.17910000000000001</v>
      </c>
      <c r="Y20" s="62">
        <f t="shared" si="0"/>
        <v>2.1492000000000001E-2</v>
      </c>
    </row>
    <row r="21" spans="1:25" ht="15.95" customHeight="1" x14ac:dyDescent="0.25">
      <c r="A21" s="97"/>
      <c r="B21" s="207" t="s">
        <v>74</v>
      </c>
      <c r="C21" s="208">
        <v>0.55000000000000004</v>
      </c>
      <c r="D21" s="403">
        <f>'Datos '!C41</f>
        <v>0</v>
      </c>
      <c r="E21" s="403">
        <f t="shared" si="1"/>
        <v>0</v>
      </c>
      <c r="F21" s="221">
        <f t="shared" ref="F21:F48" si="2">$F$19-D21</f>
        <v>0</v>
      </c>
      <c r="G21" s="219" t="e">
        <f t="shared" ref="G21:G49" si="3">(E21/$F$19)*100</f>
        <v>#DIV/0!</v>
      </c>
      <c r="H21" s="98"/>
      <c r="I21" s="98"/>
      <c r="J21" s="98"/>
      <c r="K21" s="210"/>
      <c r="L21" s="598" t="s">
        <v>162</v>
      </c>
      <c r="M21" s="599"/>
      <c r="N21" s="604">
        <f>(N19+N25)/2</f>
        <v>0</v>
      </c>
      <c r="O21" s="108"/>
      <c r="Q21" s="63" t="s">
        <v>75</v>
      </c>
      <c r="R21" s="429" t="e">
        <f>SLOPE(G21:G24,C21:C24)</f>
        <v>#DIV/0!</v>
      </c>
      <c r="S21" s="64"/>
      <c r="X21" s="62">
        <v>0.19350000000000001</v>
      </c>
      <c r="Y21" s="62">
        <f t="shared" si="0"/>
        <v>2.3220000000000001E-2</v>
      </c>
    </row>
    <row r="22" spans="1:25" ht="15.95" customHeight="1" x14ac:dyDescent="0.2">
      <c r="A22" s="97"/>
      <c r="B22" s="207" t="s">
        <v>76</v>
      </c>
      <c r="C22" s="208">
        <v>0.71</v>
      </c>
      <c r="D22" s="403">
        <f>'Datos '!C42</f>
        <v>0</v>
      </c>
      <c r="E22" s="403">
        <f t="shared" si="1"/>
        <v>0</v>
      </c>
      <c r="F22" s="221">
        <f t="shared" si="2"/>
        <v>0</v>
      </c>
      <c r="G22" s="219" t="e">
        <f t="shared" si="3"/>
        <v>#DIV/0!</v>
      </c>
      <c r="H22" s="98"/>
      <c r="I22" s="98"/>
      <c r="J22" s="98"/>
      <c r="K22" s="98"/>
      <c r="L22" s="598"/>
      <c r="M22" s="599"/>
      <c r="N22" s="603"/>
      <c r="O22" s="108"/>
      <c r="Q22" s="63" t="s">
        <v>77</v>
      </c>
      <c r="R22" s="62" t="e">
        <f>INTERCEPT(G21:G24,C21:C24)</f>
        <v>#DIV/0!</v>
      </c>
      <c r="S22" s="64"/>
      <c r="X22" s="62">
        <v>0.2079</v>
      </c>
      <c r="Y22" s="62">
        <f t="shared" si="0"/>
        <v>2.4947999999999998E-2</v>
      </c>
    </row>
    <row r="23" spans="1:25" ht="15.95" customHeight="1" x14ac:dyDescent="0.25">
      <c r="A23" s="97"/>
      <c r="B23" s="207">
        <v>1</v>
      </c>
      <c r="C23" s="208">
        <v>1</v>
      </c>
      <c r="D23" s="403">
        <f>'Datos '!C43</f>
        <v>0</v>
      </c>
      <c r="E23" s="403">
        <f t="shared" si="1"/>
        <v>0</v>
      </c>
      <c r="F23" s="221">
        <f t="shared" si="2"/>
        <v>0</v>
      </c>
      <c r="G23" s="219" t="e">
        <f t="shared" si="3"/>
        <v>#DIV/0!</v>
      </c>
      <c r="H23" s="98"/>
      <c r="I23" s="98"/>
      <c r="J23" s="98"/>
      <c r="K23" s="109"/>
      <c r="L23" s="598" t="s">
        <v>163</v>
      </c>
      <c r="M23" s="599"/>
      <c r="N23" s="604">
        <f>+((0.9)*(N25-N19))+N19</f>
        <v>0</v>
      </c>
      <c r="O23" s="211"/>
      <c r="Q23" s="63"/>
      <c r="S23" s="64"/>
      <c r="X23" s="62">
        <v>0.22950000000000001</v>
      </c>
      <c r="Y23" s="62">
        <f t="shared" si="0"/>
        <v>2.7539999999999999E-2</v>
      </c>
    </row>
    <row r="24" spans="1:25" ht="15.95" customHeight="1" x14ac:dyDescent="0.2">
      <c r="A24" s="97"/>
      <c r="B24" s="207">
        <v>2</v>
      </c>
      <c r="C24" s="208">
        <v>1.4142135623730951</v>
      </c>
      <c r="D24" s="403">
        <f>'Datos '!C44</f>
        <v>0</v>
      </c>
      <c r="E24" s="403">
        <f t="shared" si="1"/>
        <v>0</v>
      </c>
      <c r="F24" s="221">
        <f t="shared" si="2"/>
        <v>0</v>
      </c>
      <c r="G24" s="219" t="e">
        <f t="shared" si="3"/>
        <v>#DIV/0!</v>
      </c>
      <c r="H24" s="98"/>
      <c r="I24" s="98"/>
      <c r="J24" s="98"/>
      <c r="K24" s="98"/>
      <c r="L24" s="598"/>
      <c r="M24" s="599"/>
      <c r="N24" s="603"/>
      <c r="O24" s="108"/>
      <c r="Q24" s="63" t="s">
        <v>110</v>
      </c>
      <c r="R24" s="62" t="s">
        <v>79</v>
      </c>
      <c r="S24" s="72">
        <v>20</v>
      </c>
      <c r="X24" s="62">
        <v>0.24480000000000002</v>
      </c>
      <c r="Y24" s="62">
        <f t="shared" si="0"/>
        <v>2.9375999999999999E-2</v>
      </c>
    </row>
    <row r="25" spans="1:25" ht="15.95" customHeight="1" thickBot="1" x14ac:dyDescent="0.25">
      <c r="A25" s="97"/>
      <c r="B25" s="207">
        <v>3</v>
      </c>
      <c r="C25" s="208">
        <v>1.7320508075688772</v>
      </c>
      <c r="D25" s="403">
        <f>'Datos '!C45</f>
        <v>0</v>
      </c>
      <c r="E25" s="403">
        <f t="shared" si="1"/>
        <v>0</v>
      </c>
      <c r="F25" s="221">
        <f t="shared" si="2"/>
        <v>0</v>
      </c>
      <c r="G25" s="219" t="e">
        <f t="shared" si="3"/>
        <v>#DIV/0!</v>
      </c>
      <c r="H25" s="98" t="s">
        <v>168</v>
      </c>
      <c r="I25" s="98"/>
      <c r="J25" s="98" t="s">
        <v>169</v>
      </c>
      <c r="K25" s="98"/>
      <c r="L25" s="598" t="s">
        <v>164</v>
      </c>
      <c r="M25" s="599"/>
      <c r="N25" s="604">
        <f>L41/100</f>
        <v>0</v>
      </c>
      <c r="O25" s="108"/>
      <c r="Q25" s="73" t="s">
        <v>79</v>
      </c>
      <c r="R25" s="74" t="e">
        <f>(S24-R22)/R21</f>
        <v>#DIV/0!</v>
      </c>
      <c r="S25" s="75"/>
      <c r="X25" s="62">
        <v>0.25650000000000001</v>
      </c>
      <c r="Y25" s="62">
        <f t="shared" si="0"/>
        <v>3.0779999999999998E-2</v>
      </c>
    </row>
    <row r="26" spans="1:25" ht="15.95" customHeight="1" thickBot="1" x14ac:dyDescent="0.25">
      <c r="A26" s="97"/>
      <c r="B26" s="207">
        <v>4</v>
      </c>
      <c r="C26" s="208">
        <v>2</v>
      </c>
      <c r="D26" s="403">
        <f>'Datos '!C46</f>
        <v>0</v>
      </c>
      <c r="E26" s="403">
        <f t="shared" si="1"/>
        <v>0</v>
      </c>
      <c r="F26" s="221">
        <f t="shared" si="2"/>
        <v>0</v>
      </c>
      <c r="G26" s="219" t="e">
        <f t="shared" si="3"/>
        <v>#DIV/0!</v>
      </c>
      <c r="H26" s="98" t="s">
        <v>170</v>
      </c>
      <c r="I26" s="98"/>
      <c r="J26" s="98" t="s">
        <v>171</v>
      </c>
      <c r="K26" s="98"/>
      <c r="L26" s="600"/>
      <c r="M26" s="601"/>
      <c r="N26" s="605"/>
      <c r="O26" s="108"/>
      <c r="X26" s="62">
        <v>0.27179999999999999</v>
      </c>
      <c r="Y26" s="62">
        <f t="shared" si="0"/>
        <v>3.2615999999999999E-2</v>
      </c>
    </row>
    <row r="27" spans="1:25" ht="17.25" customHeight="1" thickBot="1" x14ac:dyDescent="0.25">
      <c r="A27" s="97"/>
      <c r="B27" s="207">
        <v>6</v>
      </c>
      <c r="C27" s="208">
        <v>2.4494897427831779</v>
      </c>
      <c r="D27" s="403">
        <f>'Datos '!C47</f>
        <v>0</v>
      </c>
      <c r="E27" s="403">
        <f t="shared" si="1"/>
        <v>0</v>
      </c>
      <c r="F27" s="221">
        <f t="shared" si="2"/>
        <v>0</v>
      </c>
      <c r="G27" s="219" t="e">
        <f t="shared" si="3"/>
        <v>#DIV/0!</v>
      </c>
      <c r="H27" s="98"/>
      <c r="I27" s="98"/>
      <c r="J27" s="98"/>
      <c r="K27" s="98"/>
      <c r="L27" s="98"/>
      <c r="M27" s="98"/>
      <c r="N27" s="98"/>
      <c r="O27" s="108"/>
      <c r="Q27" s="69" t="s">
        <v>80</v>
      </c>
      <c r="R27" s="70"/>
      <c r="S27" s="71"/>
      <c r="X27" s="62">
        <v>0.28079999999999999</v>
      </c>
      <c r="Y27" s="62">
        <f t="shared" si="0"/>
        <v>3.3695999999999997E-2</v>
      </c>
    </row>
    <row r="28" spans="1:25" ht="15.95" customHeight="1" thickBot="1" x14ac:dyDescent="0.25">
      <c r="A28" s="97"/>
      <c r="B28" s="207">
        <v>9</v>
      </c>
      <c r="C28" s="208">
        <v>3</v>
      </c>
      <c r="D28" s="403">
        <f>'Datos '!C48</f>
        <v>0</v>
      </c>
      <c r="E28" s="403">
        <f t="shared" si="1"/>
        <v>0</v>
      </c>
      <c r="F28" s="221">
        <f t="shared" si="2"/>
        <v>0</v>
      </c>
      <c r="G28" s="219" t="e">
        <f t="shared" si="3"/>
        <v>#DIV/0!</v>
      </c>
      <c r="H28" s="98"/>
      <c r="I28" s="98"/>
      <c r="J28" s="98"/>
      <c r="K28" s="98"/>
      <c r="L28" s="586" t="s">
        <v>65</v>
      </c>
      <c r="M28" s="587"/>
      <c r="N28" s="588"/>
      <c r="O28" s="108"/>
      <c r="Q28" s="63"/>
      <c r="S28" s="64"/>
      <c r="X28" s="62">
        <v>0.2853</v>
      </c>
      <c r="Y28" s="62">
        <f t="shared" si="0"/>
        <v>3.4235999999999996E-2</v>
      </c>
    </row>
    <row r="29" spans="1:25" ht="15.95" customHeight="1" thickBot="1" x14ac:dyDescent="0.25">
      <c r="A29" s="97"/>
      <c r="B29" s="207">
        <v>12</v>
      </c>
      <c r="C29" s="208">
        <v>3.4641016151377544</v>
      </c>
      <c r="D29" s="403">
        <f>'Datos '!C49</f>
        <v>0</v>
      </c>
      <c r="E29" s="403">
        <f t="shared" si="1"/>
        <v>0</v>
      </c>
      <c r="F29" s="221">
        <f t="shared" si="2"/>
        <v>0</v>
      </c>
      <c r="G29" s="219" t="e">
        <f t="shared" si="3"/>
        <v>#DIV/0!</v>
      </c>
      <c r="H29" s="98"/>
      <c r="I29" s="98"/>
      <c r="J29" s="98"/>
      <c r="K29" s="98"/>
      <c r="L29" s="592"/>
      <c r="M29" s="593"/>
      <c r="N29" s="594"/>
      <c r="O29" s="108"/>
      <c r="Q29" s="63" t="s">
        <v>75</v>
      </c>
      <c r="R29" s="62" t="e">
        <f>R21*0.85</f>
        <v>#DIV/0!</v>
      </c>
      <c r="S29" s="64"/>
      <c r="X29" s="62">
        <v>0.28710000000000002</v>
      </c>
      <c r="Y29" s="62">
        <f t="shared" si="0"/>
        <v>3.4452000000000003E-2</v>
      </c>
    </row>
    <row r="30" spans="1:25" ht="15.95" customHeight="1" thickBot="1" x14ac:dyDescent="0.25">
      <c r="A30" s="97"/>
      <c r="B30" s="207">
        <v>16</v>
      </c>
      <c r="C30" s="208">
        <v>4</v>
      </c>
      <c r="D30" s="403">
        <f>'Datos '!C50</f>
        <v>0</v>
      </c>
      <c r="E30" s="403">
        <f t="shared" si="1"/>
        <v>0</v>
      </c>
      <c r="F30" s="221">
        <f t="shared" si="2"/>
        <v>0</v>
      </c>
      <c r="G30" s="219" t="e">
        <f t="shared" si="3"/>
        <v>#DIV/0!</v>
      </c>
      <c r="H30" s="98"/>
      <c r="I30" s="98"/>
      <c r="J30" s="98"/>
      <c r="K30" s="98"/>
      <c r="L30" s="98"/>
      <c r="M30" s="98"/>
      <c r="N30" s="98"/>
      <c r="O30" s="108"/>
      <c r="Q30" s="63" t="s">
        <v>77</v>
      </c>
      <c r="R30" s="62" t="e">
        <f>R22</f>
        <v>#DIV/0!</v>
      </c>
      <c r="S30" s="64"/>
      <c r="X30" s="62">
        <v>0.28889999999999999</v>
      </c>
      <c r="Y30" s="62">
        <f t="shared" si="0"/>
        <v>3.4667999999999997E-2</v>
      </c>
    </row>
    <row r="31" spans="1:25" ht="15.95" customHeight="1" thickBot="1" x14ac:dyDescent="0.25">
      <c r="A31" s="97"/>
      <c r="B31" s="207">
        <v>25</v>
      </c>
      <c r="C31" s="208">
        <v>5</v>
      </c>
      <c r="D31" s="403">
        <f>'Datos '!C51</f>
        <v>0</v>
      </c>
      <c r="E31" s="403">
        <f t="shared" si="1"/>
        <v>0</v>
      </c>
      <c r="F31" s="221">
        <f t="shared" si="2"/>
        <v>0</v>
      </c>
      <c r="G31" s="219" t="e">
        <f t="shared" si="3"/>
        <v>#DIV/0!</v>
      </c>
      <c r="H31" s="98"/>
      <c r="I31" s="98"/>
      <c r="J31" s="98"/>
      <c r="K31" s="98"/>
      <c r="L31" s="589" t="s">
        <v>66</v>
      </c>
      <c r="M31" s="590"/>
      <c r="N31" s="591"/>
      <c r="O31" s="108"/>
      <c r="Q31" s="63"/>
      <c r="R31" s="62" t="s">
        <v>78</v>
      </c>
      <c r="S31" s="72">
        <v>20</v>
      </c>
      <c r="X31" s="62">
        <v>0.2898</v>
      </c>
      <c r="Y31" s="62">
        <f t="shared" si="0"/>
        <v>3.4776000000000001E-2</v>
      </c>
    </row>
    <row r="32" spans="1:25" ht="15.95" customHeight="1" thickBot="1" x14ac:dyDescent="0.25">
      <c r="A32" s="97"/>
      <c r="B32" s="207">
        <v>36</v>
      </c>
      <c r="C32" s="208">
        <v>6</v>
      </c>
      <c r="D32" s="403">
        <f>'Datos '!C52</f>
        <v>0</v>
      </c>
      <c r="E32" s="403">
        <f t="shared" si="1"/>
        <v>0</v>
      </c>
      <c r="F32" s="221">
        <f t="shared" si="2"/>
        <v>0</v>
      </c>
      <c r="G32" s="219" t="e">
        <f t="shared" si="3"/>
        <v>#DIV/0!</v>
      </c>
      <c r="H32" s="98"/>
      <c r="I32" s="98"/>
      <c r="J32" s="98"/>
      <c r="K32" s="98"/>
      <c r="L32" s="595" t="e">
        <f>L29*9.85/Resultados!E22</f>
        <v>#DIV/0!</v>
      </c>
      <c r="M32" s="596"/>
      <c r="N32" s="597"/>
      <c r="O32" s="108"/>
      <c r="Q32" s="73" t="s">
        <v>79</v>
      </c>
      <c r="R32" s="74" t="e">
        <f>(S31-R30)/R29</f>
        <v>#DIV/0!</v>
      </c>
      <c r="S32" s="75"/>
      <c r="X32" s="62">
        <v>0.29025000000000001</v>
      </c>
      <c r="Y32" s="62">
        <f t="shared" si="0"/>
        <v>3.483E-2</v>
      </c>
    </row>
    <row r="33" spans="1:25" ht="15.95" customHeight="1" thickBot="1" x14ac:dyDescent="0.25">
      <c r="A33" s="97"/>
      <c r="B33" s="207">
        <v>49</v>
      </c>
      <c r="C33" s="208">
        <v>7</v>
      </c>
      <c r="D33" s="403">
        <f>'Datos '!C53</f>
        <v>0</v>
      </c>
      <c r="E33" s="403">
        <f t="shared" si="1"/>
        <v>0</v>
      </c>
      <c r="F33" s="221">
        <f t="shared" si="2"/>
        <v>0</v>
      </c>
      <c r="G33" s="219" t="e">
        <f t="shared" si="3"/>
        <v>#DIV/0!</v>
      </c>
      <c r="H33" s="98"/>
      <c r="I33" s="98"/>
      <c r="J33" s="98"/>
      <c r="K33" s="98"/>
      <c r="L33" s="98"/>
      <c r="M33" s="98"/>
      <c r="N33" s="98"/>
      <c r="O33" s="108"/>
      <c r="X33" s="62">
        <v>0.29070000000000001</v>
      </c>
      <c r="Y33" s="62">
        <f t="shared" si="0"/>
        <v>3.4883999999999998E-2</v>
      </c>
    </row>
    <row r="34" spans="1:25" ht="15.95" customHeight="1" thickBot="1" x14ac:dyDescent="0.3">
      <c r="A34" s="97"/>
      <c r="B34" s="207">
        <v>64</v>
      </c>
      <c r="C34" s="208">
        <v>8</v>
      </c>
      <c r="D34" s="403">
        <f>'Datos '!C54</f>
        <v>0</v>
      </c>
      <c r="E34" s="403">
        <f t="shared" si="1"/>
        <v>0</v>
      </c>
      <c r="F34" s="221">
        <f t="shared" si="2"/>
        <v>0</v>
      </c>
      <c r="G34" s="219" t="e">
        <f t="shared" si="3"/>
        <v>#DIV/0!</v>
      </c>
      <c r="H34" s="98"/>
      <c r="I34" s="98"/>
      <c r="J34" s="98"/>
      <c r="K34" s="98"/>
      <c r="L34" s="578" t="s">
        <v>84</v>
      </c>
      <c r="M34" s="579"/>
      <c r="N34" s="580"/>
      <c r="O34" s="108"/>
      <c r="Q34" s="69" t="s">
        <v>81</v>
      </c>
      <c r="R34" s="71"/>
      <c r="X34" s="62">
        <v>0.29115000000000002</v>
      </c>
      <c r="Y34" s="62">
        <f t="shared" si="0"/>
        <v>3.4938000000000004E-2</v>
      </c>
    </row>
    <row r="35" spans="1:25" ht="15.95" customHeight="1" thickBot="1" x14ac:dyDescent="0.25">
      <c r="A35" s="97"/>
      <c r="B35" s="207">
        <v>81</v>
      </c>
      <c r="C35" s="208">
        <v>9</v>
      </c>
      <c r="D35" s="403">
        <f>'Datos '!C55</f>
        <v>0</v>
      </c>
      <c r="E35" s="403">
        <f t="shared" si="1"/>
        <v>0</v>
      </c>
      <c r="F35" s="221">
        <f t="shared" si="2"/>
        <v>0</v>
      </c>
      <c r="G35" s="219" t="e">
        <f t="shared" si="3"/>
        <v>#DIV/0!</v>
      </c>
      <c r="H35" s="212"/>
      <c r="I35" s="98"/>
      <c r="J35" s="98"/>
      <c r="K35" s="98"/>
      <c r="L35" s="583">
        <f>LOOKUP(L38,C19:C49,G19:G49)</f>
        <v>0</v>
      </c>
      <c r="M35" s="584"/>
      <c r="N35" s="585"/>
      <c r="O35" s="108"/>
      <c r="Q35" s="63"/>
      <c r="R35" s="64"/>
      <c r="X35" s="62">
        <v>0.29160000000000003</v>
      </c>
      <c r="Y35" s="62">
        <f t="shared" si="0"/>
        <v>3.4992000000000002E-2</v>
      </c>
    </row>
    <row r="36" spans="1:25" ht="15.95" customHeight="1" thickBot="1" x14ac:dyDescent="0.25">
      <c r="A36" s="97"/>
      <c r="B36" s="207">
        <v>100</v>
      </c>
      <c r="C36" s="208">
        <v>10</v>
      </c>
      <c r="D36" s="403">
        <f>'Datos '!C56</f>
        <v>0</v>
      </c>
      <c r="E36" s="403">
        <f t="shared" si="1"/>
        <v>0</v>
      </c>
      <c r="F36" s="221">
        <f t="shared" si="2"/>
        <v>0</v>
      </c>
      <c r="G36" s="219" t="e">
        <f>(E36/$F$19)*100</f>
        <v>#DIV/0!</v>
      </c>
      <c r="H36" s="213"/>
      <c r="I36" s="98"/>
      <c r="J36" s="98"/>
      <c r="K36" s="98"/>
      <c r="L36" s="98"/>
      <c r="M36" s="98"/>
      <c r="N36" s="98"/>
      <c r="O36" s="108"/>
      <c r="Q36" s="65" t="s">
        <v>82</v>
      </c>
      <c r="R36" s="76" t="s">
        <v>83</v>
      </c>
      <c r="X36" s="62">
        <v>0.29205000000000003</v>
      </c>
      <c r="Y36" s="62">
        <f t="shared" si="0"/>
        <v>3.5046000000000001E-2</v>
      </c>
    </row>
    <row r="37" spans="1:25" ht="15.95" customHeight="1" thickBot="1" x14ac:dyDescent="0.3">
      <c r="A37" s="97"/>
      <c r="B37" s="207">
        <v>120</v>
      </c>
      <c r="C37" s="208">
        <v>10.954451150103322</v>
      </c>
      <c r="D37" s="403">
        <f>'Datos '!C57</f>
        <v>0</v>
      </c>
      <c r="E37" s="403">
        <f t="shared" si="1"/>
        <v>0</v>
      </c>
      <c r="F37" s="221">
        <f t="shared" si="2"/>
        <v>0</v>
      </c>
      <c r="G37" s="219" t="e">
        <f t="shared" si="3"/>
        <v>#DIV/0!</v>
      </c>
      <c r="H37" s="98"/>
      <c r="I37" s="98"/>
      <c r="J37" s="98"/>
      <c r="K37" s="98"/>
      <c r="L37" s="578" t="s">
        <v>244</v>
      </c>
      <c r="M37" s="579"/>
      <c r="N37" s="580"/>
      <c r="O37" s="108"/>
      <c r="P37" s="62" t="s">
        <v>242</v>
      </c>
      <c r="Q37" s="77">
        <f>S24</f>
        <v>20</v>
      </c>
      <c r="R37" s="76" t="e">
        <f>R25</f>
        <v>#DIV/0!</v>
      </c>
      <c r="X37" s="62">
        <v>0.29250000000000004</v>
      </c>
      <c r="Y37" s="62">
        <f t="shared" si="0"/>
        <v>3.5100000000000006E-2</v>
      </c>
    </row>
    <row r="38" spans="1:25" ht="15.95" customHeight="1" thickBot="1" x14ac:dyDescent="0.25">
      <c r="A38" s="97"/>
      <c r="B38" s="207">
        <v>144</v>
      </c>
      <c r="C38" s="208">
        <v>12</v>
      </c>
      <c r="D38" s="403">
        <f>'Datos '!C58</f>
        <v>0</v>
      </c>
      <c r="E38" s="403">
        <f t="shared" si="1"/>
        <v>0</v>
      </c>
      <c r="F38" s="221">
        <f t="shared" si="2"/>
        <v>0</v>
      </c>
      <c r="G38" s="219" t="e">
        <f t="shared" si="3"/>
        <v>#DIV/0!</v>
      </c>
      <c r="H38" s="98"/>
      <c r="I38" s="98"/>
      <c r="J38" s="98"/>
      <c r="K38" s="98"/>
      <c r="L38" s="583"/>
      <c r="M38" s="584"/>
      <c r="N38" s="585"/>
      <c r="O38" s="108"/>
      <c r="Q38" s="65" t="e">
        <f>R22</f>
        <v>#DIV/0!</v>
      </c>
      <c r="R38" s="76">
        <v>0</v>
      </c>
      <c r="X38" s="62">
        <v>0.29295000000000004</v>
      </c>
      <c r="Y38" s="62">
        <f t="shared" si="0"/>
        <v>3.5154000000000005E-2</v>
      </c>
    </row>
    <row r="39" spans="1:25" ht="15.95" customHeight="1" thickBot="1" x14ac:dyDescent="0.25">
      <c r="A39" s="97"/>
      <c r="B39" s="207">
        <v>169</v>
      </c>
      <c r="C39" s="208">
        <v>13</v>
      </c>
      <c r="D39" s="403">
        <f>'Datos '!C59</f>
        <v>0</v>
      </c>
      <c r="E39" s="403">
        <f t="shared" si="1"/>
        <v>0</v>
      </c>
      <c r="F39" s="221">
        <f t="shared" si="2"/>
        <v>0</v>
      </c>
      <c r="G39" s="219" t="e">
        <f t="shared" si="3"/>
        <v>#DIV/0!</v>
      </c>
      <c r="H39" s="98"/>
      <c r="I39" s="98"/>
      <c r="J39" s="98"/>
      <c r="K39" s="98"/>
      <c r="L39" s="98"/>
      <c r="M39" s="98"/>
      <c r="N39" s="98"/>
      <c r="O39" s="108"/>
      <c r="Q39" s="63"/>
      <c r="R39" s="64"/>
      <c r="X39" s="62">
        <v>0.29339999999999999</v>
      </c>
      <c r="Y39" s="62">
        <f t="shared" si="0"/>
        <v>3.5207999999999996E-2</v>
      </c>
    </row>
    <row r="40" spans="1:25" ht="15.95" customHeight="1" thickBot="1" x14ac:dyDescent="0.3">
      <c r="A40" s="97"/>
      <c r="B40" s="207">
        <v>196</v>
      </c>
      <c r="C40" s="208">
        <v>14</v>
      </c>
      <c r="D40" s="403">
        <f>'Datos '!C60</f>
        <v>0</v>
      </c>
      <c r="E40" s="403">
        <f t="shared" si="1"/>
        <v>0</v>
      </c>
      <c r="F40" s="221">
        <f t="shared" si="2"/>
        <v>0</v>
      </c>
      <c r="G40" s="219" t="e">
        <f t="shared" si="3"/>
        <v>#DIV/0!</v>
      </c>
      <c r="H40" s="98"/>
      <c r="I40" s="98"/>
      <c r="J40" s="98"/>
      <c r="K40" s="98"/>
      <c r="L40" s="578" t="s">
        <v>85</v>
      </c>
      <c r="M40" s="579"/>
      <c r="N40" s="580"/>
      <c r="O40" s="108"/>
      <c r="Q40" s="63"/>
      <c r="R40" s="64"/>
      <c r="X40" s="62">
        <v>0.29394000000000003</v>
      </c>
      <c r="Y40" s="62">
        <f t="shared" si="0"/>
        <v>3.52728E-2</v>
      </c>
    </row>
    <row r="41" spans="1:25" ht="15.95" customHeight="1" thickBot="1" x14ac:dyDescent="0.25">
      <c r="A41" s="97"/>
      <c r="B41" s="207">
        <v>225</v>
      </c>
      <c r="C41" s="208">
        <v>15</v>
      </c>
      <c r="D41" s="403">
        <f>'Datos '!C61</f>
        <v>0</v>
      </c>
      <c r="E41" s="403">
        <f t="shared" si="1"/>
        <v>0</v>
      </c>
      <c r="F41" s="221">
        <f t="shared" si="2"/>
        <v>0</v>
      </c>
      <c r="G41" s="219" t="e">
        <f t="shared" si="3"/>
        <v>#DIV/0!</v>
      </c>
      <c r="H41" s="98"/>
      <c r="I41" s="98"/>
      <c r="J41" s="98"/>
      <c r="K41" s="98"/>
      <c r="L41" s="583">
        <f>(L35*(1/9))+L35</f>
        <v>0</v>
      </c>
      <c r="M41" s="584"/>
      <c r="N41" s="585"/>
      <c r="O41" s="108"/>
      <c r="Q41" s="65" t="s">
        <v>82</v>
      </c>
      <c r="R41" s="76" t="s">
        <v>83</v>
      </c>
      <c r="X41" s="62">
        <v>0.29430000000000001</v>
      </c>
      <c r="Y41" s="62">
        <f t="shared" si="0"/>
        <v>3.5316E-2</v>
      </c>
    </row>
    <row r="42" spans="1:25" ht="15.95" customHeight="1" thickBot="1" x14ac:dyDescent="0.25">
      <c r="A42" s="97"/>
      <c r="B42" s="207">
        <v>256</v>
      </c>
      <c r="C42" s="208">
        <v>16</v>
      </c>
      <c r="D42" s="403">
        <f>'Datos '!C62</f>
        <v>0</v>
      </c>
      <c r="E42" s="403">
        <f t="shared" si="1"/>
        <v>0</v>
      </c>
      <c r="F42" s="221">
        <f t="shared" si="2"/>
        <v>0</v>
      </c>
      <c r="G42" s="219" t="e">
        <f t="shared" si="3"/>
        <v>#DIV/0!</v>
      </c>
      <c r="H42" s="98"/>
      <c r="I42" s="98"/>
      <c r="J42" s="98"/>
      <c r="K42" s="98"/>
      <c r="L42" s="98"/>
      <c r="M42" s="98"/>
      <c r="N42" s="98"/>
      <c r="O42" s="108"/>
      <c r="Q42" s="77">
        <f>S31</f>
        <v>20</v>
      </c>
      <c r="R42" s="76" t="e">
        <f>R32</f>
        <v>#DIV/0!</v>
      </c>
      <c r="X42" s="62">
        <v>0.29493000000000003</v>
      </c>
      <c r="Y42" s="62">
        <f t="shared" si="0"/>
        <v>3.5391600000000002E-2</v>
      </c>
    </row>
    <row r="43" spans="1:25" ht="15.95" customHeight="1" thickBot="1" x14ac:dyDescent="0.3">
      <c r="A43" s="97"/>
      <c r="B43" s="207">
        <v>289</v>
      </c>
      <c r="C43" s="208">
        <v>17</v>
      </c>
      <c r="D43" s="403">
        <f>'Datos '!C63</f>
        <v>0</v>
      </c>
      <c r="E43" s="403">
        <f t="shared" si="1"/>
        <v>0</v>
      </c>
      <c r="F43" s="221">
        <f t="shared" si="2"/>
        <v>0</v>
      </c>
      <c r="G43" s="219" t="e">
        <f t="shared" si="3"/>
        <v>#DIV/0!</v>
      </c>
      <c r="H43" s="98"/>
      <c r="I43" s="98"/>
      <c r="J43" s="98"/>
      <c r="K43" s="98"/>
      <c r="L43" s="578" t="s">
        <v>86</v>
      </c>
      <c r="M43" s="579"/>
      <c r="N43" s="580"/>
      <c r="O43" s="108"/>
      <c r="Q43" s="65" t="e">
        <f>R30</f>
        <v>#DIV/0!</v>
      </c>
      <c r="R43" s="76">
        <v>0</v>
      </c>
      <c r="X43" s="62">
        <v>0.29520000000000002</v>
      </c>
      <c r="Y43" s="62">
        <f t="shared" si="0"/>
        <v>3.5424000000000004E-2</v>
      </c>
    </row>
    <row r="44" spans="1:25" ht="15.95" customHeight="1" thickBot="1" x14ac:dyDescent="0.25">
      <c r="A44" s="97"/>
      <c r="B44" s="207">
        <v>324</v>
      </c>
      <c r="C44" s="208">
        <v>18</v>
      </c>
      <c r="D44" s="403">
        <f>'Datos '!C64</f>
        <v>0</v>
      </c>
      <c r="E44" s="403">
        <f t="shared" si="1"/>
        <v>0</v>
      </c>
      <c r="F44" s="221">
        <f t="shared" si="2"/>
        <v>0</v>
      </c>
      <c r="G44" s="219" t="e">
        <f>(E44/$F$19)*100</f>
        <v>#DIV/0!</v>
      </c>
      <c r="H44" s="98"/>
      <c r="I44" s="98"/>
      <c r="J44" s="98"/>
      <c r="K44" s="98"/>
      <c r="L44" s="583">
        <f>LOOKUP(L41,G19:G49,C19:C49)</f>
        <v>0</v>
      </c>
      <c r="M44" s="584"/>
      <c r="N44" s="585"/>
      <c r="O44" s="108"/>
      <c r="Q44" s="73"/>
      <c r="R44" s="75"/>
      <c r="X44" s="62">
        <v>0.29592000000000002</v>
      </c>
      <c r="Y44" s="62">
        <f>X44*0.12</f>
        <v>3.5510399999999998E-2</v>
      </c>
    </row>
    <row r="45" spans="1:25" ht="15.95" customHeight="1" thickBot="1" x14ac:dyDescent="0.25">
      <c r="A45" s="97"/>
      <c r="B45" s="207">
        <v>361</v>
      </c>
      <c r="C45" s="208">
        <v>19</v>
      </c>
      <c r="D45" s="403">
        <f>'Datos '!C65</f>
        <v>0</v>
      </c>
      <c r="E45" s="403">
        <f t="shared" si="1"/>
        <v>0</v>
      </c>
      <c r="F45" s="221">
        <f t="shared" si="2"/>
        <v>0</v>
      </c>
      <c r="G45" s="219" t="e">
        <f t="shared" si="3"/>
        <v>#DIV/0!</v>
      </c>
      <c r="K45" s="98"/>
      <c r="L45" s="98"/>
      <c r="M45" s="98"/>
      <c r="N45" s="98"/>
      <c r="O45" s="108"/>
    </row>
    <row r="46" spans="1:25" ht="15.95" customHeight="1" thickBot="1" x14ac:dyDescent="0.3">
      <c r="A46" s="97"/>
      <c r="B46" s="207">
        <v>400</v>
      </c>
      <c r="C46" s="208">
        <v>20</v>
      </c>
      <c r="D46" s="403">
        <f>'Datos '!C66</f>
        <v>0</v>
      </c>
      <c r="E46" s="403">
        <f t="shared" si="1"/>
        <v>0</v>
      </c>
      <c r="F46" s="221">
        <f t="shared" si="2"/>
        <v>0</v>
      </c>
      <c r="G46" s="219" t="e">
        <f t="shared" si="3"/>
        <v>#DIV/0!</v>
      </c>
      <c r="H46" s="98"/>
      <c r="I46" s="98"/>
      <c r="J46" s="98"/>
      <c r="K46" s="98"/>
      <c r="L46" s="578" t="s">
        <v>237</v>
      </c>
      <c r="M46" s="579"/>
      <c r="N46" s="580"/>
      <c r="O46" s="108"/>
      <c r="P46" s="411" t="e">
        <f>(0.848*(((LOOKUP(L38,C19:C49,F19:F49)/10)/2)^2)/((L38*L38)*60))</f>
        <v>#DIV/0!</v>
      </c>
    </row>
    <row r="47" spans="1:25" ht="15.95" customHeight="1" thickBot="1" x14ac:dyDescent="0.25">
      <c r="A47" s="97"/>
      <c r="B47" s="207">
        <v>441</v>
      </c>
      <c r="C47" s="208">
        <v>21</v>
      </c>
      <c r="D47" s="403">
        <f>'Datos '!C67</f>
        <v>0</v>
      </c>
      <c r="E47" s="403">
        <f>D47</f>
        <v>0</v>
      </c>
      <c r="F47" s="221">
        <f t="shared" si="2"/>
        <v>0</v>
      </c>
      <c r="G47" s="219" t="e">
        <f t="shared" si="3"/>
        <v>#DIV/0!</v>
      </c>
      <c r="H47" s="115"/>
      <c r="I47" s="115"/>
      <c r="J47" s="115"/>
      <c r="K47" s="98"/>
      <c r="L47" s="634" t="e">
        <f>(0.848*(((VLOOKUP((L38),C19:F49,4))/10)/2)^2)/((L38^2)*60)</f>
        <v>#DIV/0!</v>
      </c>
      <c r="M47" s="635"/>
      <c r="N47" s="636"/>
      <c r="O47" s="108"/>
    </row>
    <row r="48" spans="1:25" ht="15.95" customHeight="1" x14ac:dyDescent="0.2">
      <c r="A48" s="97"/>
      <c r="B48" s="207">
        <v>484</v>
      </c>
      <c r="C48" s="208">
        <v>22</v>
      </c>
      <c r="D48" s="403">
        <f>'Datos '!C68</f>
        <v>0</v>
      </c>
      <c r="E48" s="403">
        <f t="shared" si="1"/>
        <v>0</v>
      </c>
      <c r="F48" s="221">
        <f t="shared" si="2"/>
        <v>0</v>
      </c>
      <c r="G48" s="219" t="e">
        <f t="shared" si="3"/>
        <v>#DIV/0!</v>
      </c>
      <c r="H48" s="98"/>
      <c r="I48" s="98"/>
      <c r="J48" s="98"/>
      <c r="K48" s="115"/>
      <c r="L48" s="98"/>
      <c r="M48" s="98"/>
      <c r="N48" s="98"/>
      <c r="O48" s="108"/>
    </row>
    <row r="49" spans="1:22" ht="17.25" customHeight="1" thickBot="1" x14ac:dyDescent="0.25">
      <c r="A49" s="97"/>
      <c r="B49" s="214">
        <v>1440</v>
      </c>
      <c r="C49" s="122">
        <v>37.947331922020552</v>
      </c>
      <c r="D49" s="410">
        <f>'Datos '!C69</f>
        <v>0</v>
      </c>
      <c r="E49" s="410">
        <f t="shared" si="1"/>
        <v>0</v>
      </c>
      <c r="F49" s="222">
        <f>$F$19-D49</f>
        <v>0</v>
      </c>
      <c r="G49" s="220" t="e">
        <f t="shared" si="3"/>
        <v>#DIV/0!</v>
      </c>
      <c r="H49" s="409"/>
      <c r="I49" s="409"/>
      <c r="J49" s="409"/>
      <c r="K49" s="98"/>
      <c r="L49" s="156"/>
      <c r="M49" s="156"/>
      <c r="N49" s="215"/>
      <c r="O49" s="216"/>
      <c r="P49" s="78"/>
    </row>
    <row r="50" spans="1:22" x14ac:dyDescent="0.2">
      <c r="A50" s="97"/>
      <c r="B50" s="98"/>
      <c r="C50" s="98"/>
      <c r="D50" s="98"/>
      <c r="E50" s="98"/>
      <c r="F50" s="98"/>
      <c r="G50" s="98"/>
      <c r="H50" s="98"/>
      <c r="I50" s="98"/>
      <c r="J50" s="98"/>
      <c r="K50" s="98"/>
      <c r="L50" s="98"/>
      <c r="M50" s="98"/>
      <c r="N50" s="98"/>
      <c r="O50" s="108"/>
    </row>
    <row r="51" spans="1:22" ht="18" customHeight="1" x14ac:dyDescent="0.2">
      <c r="A51" s="173"/>
      <c r="B51" s="581" t="s">
        <v>195</v>
      </c>
      <c r="C51" s="581"/>
      <c r="D51" s="581"/>
      <c r="E51" s="581"/>
      <c r="F51" s="581"/>
      <c r="G51" s="581"/>
      <c r="H51" s="581"/>
      <c r="I51" s="581"/>
      <c r="J51" s="581"/>
      <c r="K51" s="581"/>
      <c r="L51" s="581"/>
      <c r="M51" s="581"/>
      <c r="N51" s="581"/>
      <c r="O51" s="108"/>
    </row>
    <row r="52" spans="1:22" ht="15.75" customHeight="1" x14ac:dyDescent="0.2">
      <c r="A52" s="173"/>
      <c r="B52" s="582" t="s">
        <v>196</v>
      </c>
      <c r="C52" s="582"/>
      <c r="D52" s="582"/>
      <c r="E52" s="582"/>
      <c r="F52" s="582"/>
      <c r="G52" s="582"/>
      <c r="H52" s="582"/>
      <c r="I52" s="582"/>
      <c r="J52" s="582"/>
      <c r="K52" s="582"/>
      <c r="L52" s="582"/>
      <c r="M52" s="582"/>
      <c r="N52" s="582"/>
      <c r="O52" s="217"/>
    </row>
    <row r="53" spans="1:22" ht="15.75" customHeight="1" x14ac:dyDescent="0.2">
      <c r="A53" s="173"/>
      <c r="B53" s="582"/>
      <c r="C53" s="582"/>
      <c r="D53" s="582"/>
      <c r="E53" s="582"/>
      <c r="F53" s="582"/>
      <c r="G53" s="582"/>
      <c r="H53" s="582"/>
      <c r="I53" s="582"/>
      <c r="J53" s="582"/>
      <c r="K53" s="582"/>
      <c r="L53" s="582"/>
      <c r="M53" s="582"/>
      <c r="N53" s="582"/>
      <c r="O53" s="217"/>
    </row>
    <row r="54" spans="1:22" ht="12.75" customHeight="1" x14ac:dyDescent="0.2">
      <c r="A54" s="173"/>
      <c r="B54" s="582"/>
      <c r="C54" s="582"/>
      <c r="D54" s="582"/>
      <c r="E54" s="582"/>
      <c r="F54" s="582"/>
      <c r="G54" s="582"/>
      <c r="H54" s="582"/>
      <c r="I54" s="582"/>
      <c r="J54" s="582"/>
      <c r="K54" s="582"/>
      <c r="L54" s="582"/>
      <c r="M54" s="582"/>
      <c r="N54" s="582"/>
      <c r="O54" s="108"/>
    </row>
    <row r="55" spans="1:22" x14ac:dyDescent="0.2">
      <c r="A55" s="173"/>
      <c r="B55" s="582"/>
      <c r="C55" s="582"/>
      <c r="D55" s="582"/>
      <c r="E55" s="582"/>
      <c r="F55" s="582"/>
      <c r="G55" s="582"/>
      <c r="H55" s="582"/>
      <c r="I55" s="582"/>
      <c r="J55" s="582"/>
      <c r="K55" s="582"/>
      <c r="L55" s="582"/>
      <c r="M55" s="582"/>
      <c r="N55" s="582"/>
      <c r="O55" s="108"/>
    </row>
    <row r="56" spans="1:22" x14ac:dyDescent="0.2">
      <c r="A56" s="97"/>
      <c r="B56" s="582"/>
      <c r="C56" s="582"/>
      <c r="D56" s="582"/>
      <c r="E56" s="582"/>
      <c r="F56" s="582"/>
      <c r="G56" s="582"/>
      <c r="H56" s="582"/>
      <c r="I56" s="582"/>
      <c r="J56" s="582"/>
      <c r="K56" s="582"/>
      <c r="L56" s="582"/>
      <c r="M56" s="582"/>
      <c r="N56" s="582"/>
      <c r="O56" s="108"/>
    </row>
    <row r="57" spans="1:22" x14ac:dyDescent="0.2">
      <c r="A57" s="627"/>
      <c r="B57" s="628"/>
      <c r="C57" s="628"/>
      <c r="D57" s="628"/>
      <c r="E57" s="628"/>
      <c r="F57" s="628"/>
      <c r="G57" s="628"/>
      <c r="H57" s="628"/>
      <c r="I57" s="628"/>
      <c r="J57" s="628"/>
      <c r="K57" s="223"/>
      <c r="L57" s="223"/>
      <c r="M57" s="223"/>
      <c r="N57" s="223"/>
      <c r="O57" s="224"/>
    </row>
    <row r="58" spans="1:22" ht="15" customHeight="1" thickBot="1" x14ac:dyDescent="0.25">
      <c r="A58" s="625"/>
      <c r="B58" s="626"/>
      <c r="C58" s="626"/>
      <c r="D58" s="626"/>
      <c r="E58" s="626"/>
      <c r="F58" s="626"/>
      <c r="G58" s="626"/>
      <c r="H58" s="626"/>
      <c r="I58" s="626"/>
      <c r="J58" s="626"/>
      <c r="K58" s="225"/>
      <c r="L58" s="225"/>
      <c r="M58" s="225"/>
      <c r="N58" s="225"/>
      <c r="O58" s="226"/>
    </row>
    <row r="61" spans="1:22" ht="15.75" thickBot="1" x14ac:dyDescent="0.25"/>
    <row r="62" spans="1:22" x14ac:dyDescent="0.2">
      <c r="Q62" s="69"/>
      <c r="R62" s="70"/>
      <c r="S62" s="70"/>
      <c r="T62" s="70"/>
      <c r="U62" s="70"/>
      <c r="V62" s="71"/>
    </row>
    <row r="63" spans="1:22" x14ac:dyDescent="0.2">
      <c r="Q63" s="63"/>
      <c r="V63" s="64"/>
    </row>
    <row r="64" spans="1:22" x14ac:dyDescent="0.2">
      <c r="Q64" s="63"/>
      <c r="V64" s="64"/>
    </row>
    <row r="65" spans="17:22" x14ac:dyDescent="0.2">
      <c r="Q65" s="63"/>
      <c r="V65" s="64"/>
    </row>
    <row r="66" spans="17:22" x14ac:dyDescent="0.2">
      <c r="Q66" s="79" t="s">
        <v>87</v>
      </c>
      <c r="R66" s="80" t="s">
        <v>88</v>
      </c>
      <c r="S66" s="80" t="s">
        <v>89</v>
      </c>
      <c r="T66" s="80" t="s">
        <v>90</v>
      </c>
      <c r="U66" s="80" t="s">
        <v>91</v>
      </c>
      <c r="V66" s="81" t="s">
        <v>92</v>
      </c>
    </row>
    <row r="67" spans="17:22" ht="15.75" x14ac:dyDescent="0.2">
      <c r="Q67" s="82">
        <v>4</v>
      </c>
      <c r="R67" s="83">
        <f>VLOOKUP(Q67,C19:G34,4)</f>
        <v>0</v>
      </c>
      <c r="S67" s="84" t="e">
        <f>+Q67+((U67-Q67)/(V67-R67))*(T67-R67)</f>
        <v>#DIV/0!</v>
      </c>
      <c r="T67" s="84">
        <f>+L41</f>
        <v>0</v>
      </c>
      <c r="U67" s="85">
        <v>8</v>
      </c>
      <c r="V67" s="86">
        <f>VLOOKUP(U67,C19:G34,4)</f>
        <v>0</v>
      </c>
    </row>
    <row r="68" spans="17:22" ht="15.75" thickBot="1" x14ac:dyDescent="0.25">
      <c r="Q68" s="73"/>
      <c r="R68" s="74"/>
      <c r="S68" s="74"/>
      <c r="T68" s="74"/>
      <c r="U68" s="74"/>
      <c r="V68" s="75"/>
    </row>
  </sheetData>
  <mergeCells count="64">
    <mergeCell ref="A58:J58"/>
    <mergeCell ref="A57:J57"/>
    <mergeCell ref="D6:I6"/>
    <mergeCell ref="D10:I10"/>
    <mergeCell ref="B6:C6"/>
    <mergeCell ref="J6:K6"/>
    <mergeCell ref="D13:N13"/>
    <mergeCell ref="D14:N14"/>
    <mergeCell ref="M9:N9"/>
    <mergeCell ref="L38:N38"/>
    <mergeCell ref="L41:N41"/>
    <mergeCell ref="L44:N44"/>
    <mergeCell ref="L47:N47"/>
    <mergeCell ref="L46:N46"/>
    <mergeCell ref="L40:N40"/>
    <mergeCell ref="L6:N6"/>
    <mergeCell ref="M1:O1"/>
    <mergeCell ref="M2:O2"/>
    <mergeCell ref="M3:O3"/>
    <mergeCell ref="AP3:AS5"/>
    <mergeCell ref="M4:O4"/>
    <mergeCell ref="B5:M5"/>
    <mergeCell ref="F1:L1"/>
    <mergeCell ref="A1:D4"/>
    <mergeCell ref="F2:L4"/>
    <mergeCell ref="B7:C7"/>
    <mergeCell ref="D7:I7"/>
    <mergeCell ref="J7:K7"/>
    <mergeCell ref="L7:N7"/>
    <mergeCell ref="B8:C8"/>
    <mergeCell ref="D8:I8"/>
    <mergeCell ref="J8:K8"/>
    <mergeCell ref="L8:N8"/>
    <mergeCell ref="B9:C9"/>
    <mergeCell ref="D9:I9"/>
    <mergeCell ref="J9:K9"/>
    <mergeCell ref="B10:C10"/>
    <mergeCell ref="J10:K10"/>
    <mergeCell ref="L10:N10"/>
    <mergeCell ref="B11:M11"/>
    <mergeCell ref="B12:C12"/>
    <mergeCell ref="D12:F12"/>
    <mergeCell ref="J12:K12"/>
    <mergeCell ref="B13:C13"/>
    <mergeCell ref="B14:C14"/>
    <mergeCell ref="L18:N18"/>
    <mergeCell ref="L19:M20"/>
    <mergeCell ref="L21:M22"/>
    <mergeCell ref="L23:M24"/>
    <mergeCell ref="L25:M26"/>
    <mergeCell ref="N19:N20"/>
    <mergeCell ref="N21:N22"/>
    <mergeCell ref="N23:N24"/>
    <mergeCell ref="N25:N26"/>
    <mergeCell ref="L28:N28"/>
    <mergeCell ref="L31:N31"/>
    <mergeCell ref="L29:N29"/>
    <mergeCell ref="L32:N32"/>
    <mergeCell ref="L34:N34"/>
    <mergeCell ref="L37:N37"/>
    <mergeCell ref="L43:N43"/>
    <mergeCell ref="B51:N51"/>
    <mergeCell ref="B52:N56"/>
    <mergeCell ref="L35:N35"/>
  </mergeCells>
  <phoneticPr fontId="5" type="noConversion"/>
  <conditionalFormatting sqref="D12:E14">
    <cfRule type="containsBlanks" dxfId="56" priority="3">
      <formula>LEN(TRIM(D12))=0</formula>
    </cfRule>
  </conditionalFormatting>
  <conditionalFormatting sqref="D12:G12">
    <cfRule type="containsBlanks" dxfId="55" priority="1">
      <formula>LEN(TRIM(D12))=0</formula>
    </cfRule>
    <cfRule type="containsBlanks" dxfId="54" priority="2">
      <formula>LEN(TRIM(D12))=0</formula>
    </cfRule>
  </conditionalFormatting>
  <conditionalFormatting sqref="D6:I10">
    <cfRule type="containsBlanks" dxfId="53" priority="7">
      <formula>LEN(TRIM(D6))=0</formula>
    </cfRule>
  </conditionalFormatting>
  <conditionalFormatting sqref="D6:J10 L6:N6 L7:L8 M9 G12:J12 L12:N12 D13:E14 B6:B10 B12:B14">
    <cfRule type="containsBlanks" dxfId="52" priority="9">
      <formula>LEN(TRIM(B6))=0</formula>
    </cfRule>
  </conditionalFormatting>
  <conditionalFormatting sqref="L6:N8 M9 I12 L12 N12 D13:E14">
    <cfRule type="containsBlanks" dxfId="51" priority="6">
      <formula>LEN(TRIM(D6))=0</formula>
    </cfRule>
  </conditionalFormatting>
  <conditionalFormatting sqref="L6:N8 M9 I12 L12 N12">
    <cfRule type="containsBlanks" dxfId="50" priority="4">
      <formula>LEN(TRIM(I6))=0</formula>
    </cfRule>
  </conditionalFormatting>
  <printOptions horizontalCentered="1" verticalCentered="1" gridLinesSet="0"/>
  <pageMargins left="0.19685039370078741" right="0.19685039370078741" top="0.19685039370078741" bottom="0.39370078740157483" header="0.31496062992125984" footer="0.31496062992125984"/>
  <pageSetup scale="57" orientation="landscape" r:id="rId1"/>
  <headerFooter alignWithMargins="0">
    <oddFooter>&amp;CGEODELTA INGENIERÍA 
Barrio el laurel, Móvil: 3187902368 Bogotá DC - Colombia
e-mail: laboratoriogeodelta@gmail.com</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68"/>
  <sheetViews>
    <sheetView showGridLines="0" view="pageBreakPreview" topLeftCell="A38" zoomScale="80" zoomScaleNormal="100" zoomScaleSheetLayoutView="80" workbookViewId="0">
      <selection activeCell="D8" sqref="D8:I8"/>
    </sheetView>
  </sheetViews>
  <sheetFormatPr baseColWidth="10" defaultColWidth="11.42578125" defaultRowHeight="15" x14ac:dyDescent="0.2"/>
  <cols>
    <col min="1" max="1" width="3.28515625" style="62" customWidth="1"/>
    <col min="2" max="2" width="14.42578125" style="62" customWidth="1"/>
    <col min="3" max="3" width="15.28515625" style="62" customWidth="1"/>
    <col min="4" max="4" width="19" style="62" customWidth="1"/>
    <col min="5" max="5" width="18" style="62" customWidth="1"/>
    <col min="6" max="6" width="17.85546875" style="62" customWidth="1"/>
    <col min="7" max="7" width="17.7109375" style="62" customWidth="1"/>
    <col min="8" max="8" width="18.5703125" style="62" bestFit="1" customWidth="1"/>
    <col min="9" max="9" width="22.85546875" style="62" customWidth="1"/>
    <col min="10" max="10" width="21.140625" style="62" customWidth="1"/>
    <col min="11" max="11" width="8.28515625" style="62" customWidth="1"/>
    <col min="12" max="14" width="13.7109375" style="62" customWidth="1"/>
    <col min="15" max="15" width="2" style="62" customWidth="1"/>
    <col min="16" max="16384" width="11.42578125" style="62"/>
  </cols>
  <sheetData>
    <row r="1" spans="1:45" s="36" customFormat="1" ht="17.25" customHeight="1" x14ac:dyDescent="0.2">
      <c r="A1" s="532"/>
      <c r="B1" s="533"/>
      <c r="C1" s="533"/>
      <c r="D1" s="726"/>
      <c r="E1" s="397"/>
      <c r="F1" s="546" t="s">
        <v>119</v>
      </c>
      <c r="G1" s="546"/>
      <c r="H1" s="546"/>
      <c r="I1" s="546"/>
      <c r="J1" s="546"/>
      <c r="K1" s="546"/>
      <c r="L1" s="622"/>
      <c r="M1" s="614" t="str">
        <f>Resultados!O1</f>
        <v>CÓDIGO: GDA-FLC-009</v>
      </c>
      <c r="N1" s="615"/>
      <c r="O1" s="616"/>
      <c r="P1" s="35"/>
      <c r="Q1" s="35"/>
      <c r="R1" s="35" t="s">
        <v>126</v>
      </c>
      <c r="S1" s="35"/>
      <c r="T1" s="35"/>
      <c r="U1" s="35"/>
      <c r="V1" s="35"/>
      <c r="W1" s="35"/>
      <c r="Z1" s="37" t="s">
        <v>120</v>
      </c>
      <c r="AA1" s="36" t="s">
        <v>121</v>
      </c>
    </row>
    <row r="2" spans="1:45" s="36" customFormat="1" ht="17.25" customHeight="1" x14ac:dyDescent="0.2">
      <c r="A2" s="534"/>
      <c r="B2" s="725"/>
      <c r="C2" s="725"/>
      <c r="D2" s="727"/>
      <c r="E2" s="67"/>
      <c r="F2" s="638" t="s">
        <v>185</v>
      </c>
      <c r="G2" s="638"/>
      <c r="H2" s="638"/>
      <c r="I2" s="638"/>
      <c r="J2" s="638"/>
      <c r="K2" s="638"/>
      <c r="L2" s="639"/>
      <c r="M2" s="617" t="str">
        <f>Resultados!O2</f>
        <v>VERSIÓN :03</v>
      </c>
      <c r="N2" s="618"/>
      <c r="O2" s="619"/>
      <c r="P2" s="35"/>
      <c r="Q2" s="35"/>
      <c r="R2" s="35" t="s">
        <v>174</v>
      </c>
      <c r="S2" s="35"/>
      <c r="T2" s="35"/>
      <c r="U2" s="35"/>
      <c r="V2" s="35"/>
      <c r="W2" s="35"/>
      <c r="Z2" s="37" t="s">
        <v>122</v>
      </c>
      <c r="AA2" s="36" t="s">
        <v>123</v>
      </c>
    </row>
    <row r="3" spans="1:45" s="36" customFormat="1" ht="17.25" customHeight="1" x14ac:dyDescent="0.2">
      <c r="A3" s="534"/>
      <c r="B3" s="725"/>
      <c r="C3" s="725"/>
      <c r="D3" s="727"/>
      <c r="E3" s="67"/>
      <c r="F3" s="638"/>
      <c r="G3" s="638"/>
      <c r="H3" s="638"/>
      <c r="I3" s="638"/>
      <c r="J3" s="638"/>
      <c r="K3" s="638"/>
      <c r="L3" s="639"/>
      <c r="M3" s="617" t="s">
        <v>176</v>
      </c>
      <c r="N3" s="618"/>
      <c r="O3" s="619"/>
      <c r="P3" s="35"/>
      <c r="Q3" s="35"/>
      <c r="R3" s="35" t="s">
        <v>131</v>
      </c>
      <c r="S3" s="35"/>
      <c r="T3" s="35"/>
      <c r="U3" s="35"/>
      <c r="V3" s="35"/>
      <c r="W3" s="35"/>
      <c r="AP3" s="620" t="s">
        <v>124</v>
      </c>
      <c r="AQ3" s="620"/>
      <c r="AR3" s="620"/>
      <c r="AS3" s="620"/>
    </row>
    <row r="4" spans="1:45" s="36" customFormat="1" ht="17.25" customHeight="1" thickBot="1" x14ac:dyDescent="0.25">
      <c r="A4" s="535"/>
      <c r="B4" s="536"/>
      <c r="C4" s="536"/>
      <c r="D4" s="621"/>
      <c r="E4" s="398"/>
      <c r="F4" s="640"/>
      <c r="G4" s="640"/>
      <c r="H4" s="640"/>
      <c r="I4" s="640"/>
      <c r="J4" s="640"/>
      <c r="K4" s="640"/>
      <c r="L4" s="641"/>
      <c r="M4" s="535" t="str">
        <f>Resultados!O4</f>
        <v>FECHA: 08-08-2025</v>
      </c>
      <c r="N4" s="536"/>
      <c r="O4" s="621"/>
      <c r="P4" s="35"/>
      <c r="Q4" s="35"/>
      <c r="R4" s="35" t="s">
        <v>135</v>
      </c>
      <c r="S4" s="35"/>
      <c r="T4" s="35"/>
      <c r="U4" s="35"/>
      <c r="V4" s="35"/>
      <c r="W4" s="35"/>
      <c r="AP4" s="620"/>
      <c r="AQ4" s="620"/>
      <c r="AR4" s="620"/>
      <c r="AS4" s="620"/>
    </row>
    <row r="5" spans="1:45" s="36" customFormat="1" ht="3.95" customHeight="1" thickBot="1" x14ac:dyDescent="0.25">
      <c r="A5" s="38"/>
      <c r="B5" s="528"/>
      <c r="C5" s="528"/>
      <c r="D5" s="528"/>
      <c r="E5" s="528"/>
      <c r="F5" s="528"/>
      <c r="G5" s="528"/>
      <c r="H5" s="528"/>
      <c r="I5" s="528"/>
      <c r="J5" s="528"/>
      <c r="K5" s="528"/>
      <c r="L5" s="528"/>
      <c r="M5" s="528"/>
      <c r="N5" s="40"/>
      <c r="O5" s="41"/>
      <c r="P5" s="42"/>
      <c r="Q5" s="42"/>
      <c r="R5" s="42" t="s">
        <v>138</v>
      </c>
      <c r="S5" s="42"/>
      <c r="T5" s="42"/>
      <c r="U5" s="42"/>
      <c r="V5" s="42"/>
      <c r="W5" s="42"/>
      <c r="AP5" s="620"/>
      <c r="AQ5" s="620"/>
      <c r="AR5" s="620"/>
      <c r="AS5" s="620"/>
    </row>
    <row r="6" spans="1:45" s="36" customFormat="1" ht="22.5" customHeight="1" x14ac:dyDescent="0.2">
      <c r="A6" s="34"/>
      <c r="B6" s="524" t="s">
        <v>0</v>
      </c>
      <c r="C6" s="524"/>
      <c r="D6" s="629">
        <f>Resultados!D6</f>
        <v>0</v>
      </c>
      <c r="E6" s="629"/>
      <c r="F6" s="629"/>
      <c r="G6" s="629"/>
      <c r="H6" s="629"/>
      <c r="I6" s="629"/>
      <c r="J6" s="531" t="s">
        <v>125</v>
      </c>
      <c r="K6" s="531"/>
      <c r="L6" s="637">
        <f>Resultados!M6</f>
        <v>0</v>
      </c>
      <c r="M6" s="637"/>
      <c r="N6" s="637"/>
      <c r="O6" s="44"/>
      <c r="P6" s="45"/>
      <c r="Q6" s="45"/>
      <c r="R6" s="45"/>
      <c r="S6" s="45"/>
      <c r="T6" s="45"/>
      <c r="U6" s="45"/>
      <c r="V6" s="45"/>
      <c r="W6" s="45"/>
      <c r="AP6" s="46" t="s">
        <v>126</v>
      </c>
      <c r="AQ6" s="37"/>
      <c r="AR6" s="37"/>
      <c r="AS6" s="37"/>
    </row>
    <row r="7" spans="1:45" s="36" customFormat="1" ht="27" customHeight="1" x14ac:dyDescent="0.2">
      <c r="A7" s="38"/>
      <c r="B7" s="516" t="s">
        <v>1</v>
      </c>
      <c r="C7" s="516"/>
      <c r="D7" s="612">
        <f>Resultados!D7</f>
        <v>0</v>
      </c>
      <c r="E7" s="612"/>
      <c r="F7" s="612"/>
      <c r="G7" s="612"/>
      <c r="H7" s="612"/>
      <c r="I7" s="612"/>
      <c r="J7" s="520" t="s">
        <v>127</v>
      </c>
      <c r="K7" s="520"/>
      <c r="L7" s="613">
        <f>Resultados!M7</f>
        <v>0</v>
      </c>
      <c r="M7" s="613"/>
      <c r="N7" s="613"/>
      <c r="O7" s="47"/>
      <c r="P7" s="45"/>
      <c r="Q7" s="45"/>
      <c r="R7" s="45"/>
      <c r="S7" s="45"/>
      <c r="T7" s="45"/>
      <c r="U7" s="45"/>
      <c r="V7" s="45"/>
      <c r="W7" s="45"/>
      <c r="AP7" s="46" t="s">
        <v>128</v>
      </c>
      <c r="AQ7" s="37"/>
      <c r="AR7" s="37"/>
      <c r="AS7" s="37"/>
    </row>
    <row r="8" spans="1:45" s="36" customFormat="1" ht="22.5" customHeight="1" x14ac:dyDescent="0.2">
      <c r="A8" s="38"/>
      <c r="B8" s="516" t="s">
        <v>129</v>
      </c>
      <c r="C8" s="516"/>
      <c r="D8" s="560">
        <f>Resultados!D8</f>
        <v>0</v>
      </c>
      <c r="E8" s="560"/>
      <c r="F8" s="560"/>
      <c r="G8" s="560"/>
      <c r="H8" s="560"/>
      <c r="I8" s="560"/>
      <c r="J8" s="520" t="s">
        <v>130</v>
      </c>
      <c r="K8" s="520"/>
      <c r="L8" s="613">
        <f>Resultados!M8</f>
        <v>0</v>
      </c>
      <c r="M8" s="613"/>
      <c r="N8" s="613"/>
      <c r="O8" s="47"/>
      <c r="P8" s="45"/>
      <c r="Q8" s="45"/>
      <c r="R8" s="45"/>
      <c r="S8" s="45"/>
      <c r="T8" s="45"/>
      <c r="U8" s="45"/>
      <c r="V8" s="45"/>
      <c r="W8" s="45"/>
      <c r="AP8" s="46" t="s">
        <v>131</v>
      </c>
      <c r="AQ8" s="37"/>
      <c r="AR8" s="37"/>
      <c r="AS8" s="37"/>
    </row>
    <row r="9" spans="1:45" s="36" customFormat="1" ht="15.75" customHeight="1" x14ac:dyDescent="0.2">
      <c r="A9" s="38"/>
      <c r="B9" s="516" t="s">
        <v>132</v>
      </c>
      <c r="C9" s="516"/>
      <c r="D9" s="560">
        <f>Resultados!D9</f>
        <v>0</v>
      </c>
      <c r="E9" s="560"/>
      <c r="F9" s="560"/>
      <c r="G9" s="560"/>
      <c r="H9" s="560"/>
      <c r="I9" s="560"/>
      <c r="J9" s="520" t="s">
        <v>133</v>
      </c>
      <c r="K9" s="520"/>
      <c r="L9" s="48" t="s">
        <v>134</v>
      </c>
      <c r="M9" s="632" t="str">
        <f>_xlfn.CONCAT(Resultados!N9," ","-"," ",Resultados!P9)</f>
        <v xml:space="preserve"> - </v>
      </c>
      <c r="N9" s="633"/>
      <c r="O9" s="47"/>
      <c r="P9" s="45">
        <v>25</v>
      </c>
      <c r="Q9" s="45"/>
      <c r="R9" s="45"/>
      <c r="S9" s="45"/>
      <c r="T9" s="45"/>
      <c r="U9" s="45"/>
      <c r="V9" s="45"/>
      <c r="W9" s="45"/>
      <c r="AP9" s="46" t="s">
        <v>135</v>
      </c>
      <c r="AQ9" s="37"/>
      <c r="AR9" s="37"/>
      <c r="AS9" s="37"/>
    </row>
    <row r="10" spans="1:45" s="36" customFormat="1" ht="22.5" customHeight="1" x14ac:dyDescent="0.2">
      <c r="A10" s="38"/>
      <c r="B10" s="550" t="s">
        <v>136</v>
      </c>
      <c r="C10" s="550"/>
      <c r="D10" s="560">
        <f>Resultados!D10</f>
        <v>0</v>
      </c>
      <c r="E10" s="560"/>
      <c r="F10" s="560"/>
      <c r="G10" s="560"/>
      <c r="H10" s="560"/>
      <c r="I10" s="560"/>
      <c r="J10" s="561" t="s">
        <v>137</v>
      </c>
      <c r="K10" s="561"/>
      <c r="L10" s="560" t="str">
        <f>Resultados!M10</f>
        <v xml:space="preserve"> --</v>
      </c>
      <c r="M10" s="560"/>
      <c r="N10" s="560"/>
      <c r="O10" s="49"/>
      <c r="P10" s="50"/>
      <c r="Q10" s="50"/>
      <c r="R10" s="50"/>
      <c r="S10" s="50"/>
      <c r="T10" s="50"/>
      <c r="U10" s="50"/>
      <c r="V10" s="50"/>
      <c r="W10" s="50"/>
      <c r="AP10" s="46" t="s">
        <v>138</v>
      </c>
      <c r="AQ10" s="37"/>
      <c r="AR10" s="37"/>
      <c r="AS10" s="37"/>
    </row>
    <row r="11" spans="1:45" s="36" customFormat="1" ht="3.95" customHeight="1" thickBot="1" x14ac:dyDescent="0.25">
      <c r="A11" s="38"/>
      <c r="B11" s="525"/>
      <c r="C11" s="525"/>
      <c r="D11" s="525"/>
      <c r="E11" s="525"/>
      <c r="F11" s="525"/>
      <c r="G11" s="525"/>
      <c r="H11" s="525"/>
      <c r="I11" s="525"/>
      <c r="J11" s="525"/>
      <c r="K11" s="525"/>
      <c r="L11" s="525"/>
      <c r="M11" s="525"/>
      <c r="N11" s="51"/>
      <c r="O11" s="41"/>
      <c r="P11" s="42"/>
      <c r="Q11" s="42"/>
      <c r="R11" s="42"/>
      <c r="S11" s="42"/>
      <c r="T11" s="42"/>
      <c r="U11" s="42"/>
      <c r="V11" s="42"/>
      <c r="W11" s="42"/>
      <c r="AP11" s="46"/>
      <c r="AQ11" s="37"/>
      <c r="AR11" s="37"/>
      <c r="AS11" s="37"/>
    </row>
    <row r="12" spans="1:45" s="36" customFormat="1" ht="22.5" customHeight="1" x14ac:dyDescent="0.2">
      <c r="A12" s="34"/>
      <c r="B12" s="524" t="s">
        <v>2</v>
      </c>
      <c r="C12" s="524"/>
      <c r="D12" s="611">
        <f>Resultados!X2</f>
        <v>0</v>
      </c>
      <c r="E12" s="611"/>
      <c r="F12" s="611"/>
      <c r="G12" s="399">
        <f>Resultados!F12</f>
        <v>0</v>
      </c>
      <c r="H12" s="88" t="s">
        <v>139</v>
      </c>
      <c r="I12" s="92">
        <f>Resultados!I12</f>
        <v>0</v>
      </c>
      <c r="J12" s="558" t="s">
        <v>140</v>
      </c>
      <c r="K12" s="558"/>
      <c r="L12" s="95">
        <f>Resultados!M12</f>
        <v>0</v>
      </c>
      <c r="M12" s="54" t="s">
        <v>141</v>
      </c>
      <c r="N12" s="96">
        <f>Resultados!O12</f>
        <v>0</v>
      </c>
      <c r="O12" s="55">
        <v>2.75</v>
      </c>
      <c r="P12" s="56"/>
      <c r="Q12" s="56"/>
      <c r="R12" s="56"/>
      <c r="S12" s="56"/>
      <c r="T12" s="56"/>
      <c r="U12" s="56"/>
      <c r="V12" s="56"/>
      <c r="W12" s="56"/>
      <c r="AP12" s="46"/>
      <c r="AQ12" s="37"/>
      <c r="AR12" s="37"/>
      <c r="AS12" s="37"/>
    </row>
    <row r="13" spans="1:45" s="36" customFormat="1" ht="22.5" customHeight="1" x14ac:dyDescent="0.2">
      <c r="A13" s="38"/>
      <c r="B13" s="516" t="s">
        <v>142</v>
      </c>
      <c r="C13" s="516"/>
      <c r="D13" s="630">
        <f>Resultados!D13</f>
        <v>0</v>
      </c>
      <c r="E13" s="630"/>
      <c r="F13" s="630"/>
      <c r="G13" s="630"/>
      <c r="H13" s="630"/>
      <c r="I13" s="630"/>
      <c r="J13" s="630"/>
      <c r="K13" s="630"/>
      <c r="L13" s="630"/>
      <c r="M13" s="630"/>
      <c r="N13" s="630"/>
      <c r="O13" s="57"/>
      <c r="P13" s="58"/>
      <c r="Q13" s="58"/>
      <c r="R13" s="58"/>
      <c r="S13" s="58"/>
      <c r="T13" s="58"/>
      <c r="U13" s="58"/>
      <c r="V13" s="58"/>
      <c r="W13" s="58"/>
      <c r="AP13" s="46"/>
      <c r="AQ13" s="37"/>
      <c r="AR13" s="37"/>
      <c r="AS13" s="37"/>
    </row>
    <row r="14" spans="1:45" s="36" customFormat="1" ht="22.5" customHeight="1" x14ac:dyDescent="0.2">
      <c r="A14" s="38"/>
      <c r="B14" s="516" t="s">
        <v>143</v>
      </c>
      <c r="C14" s="516"/>
      <c r="D14" s="560">
        <f>Resultados!D14</f>
        <v>0</v>
      </c>
      <c r="E14" s="560"/>
      <c r="F14" s="560"/>
      <c r="G14" s="560"/>
      <c r="H14" s="560"/>
      <c r="I14" s="560"/>
      <c r="J14" s="560"/>
      <c r="K14" s="560"/>
      <c r="L14" s="560"/>
      <c r="M14" s="560"/>
      <c r="N14" s="560"/>
      <c r="O14" s="49"/>
      <c r="P14" s="50"/>
      <c r="Q14" s="50"/>
      <c r="R14" s="50"/>
      <c r="S14" s="50"/>
      <c r="T14" s="50"/>
      <c r="U14" s="50"/>
      <c r="V14" s="50"/>
      <c r="W14" s="50"/>
      <c r="AP14" s="46"/>
      <c r="AQ14" s="37"/>
      <c r="AR14" s="37"/>
      <c r="AS14" s="37"/>
    </row>
    <row r="15" spans="1:45" s="36" customFormat="1" ht="6.95" customHeight="1" thickBot="1" x14ac:dyDescent="0.25">
      <c r="A15" s="39"/>
      <c r="B15" s="59"/>
      <c r="C15" s="59"/>
      <c r="D15" s="60"/>
      <c r="E15" s="60"/>
      <c r="F15" s="60"/>
      <c r="G15" s="60"/>
      <c r="H15" s="60"/>
      <c r="I15" s="60"/>
      <c r="J15" s="60"/>
      <c r="K15" s="60"/>
      <c r="L15" s="60"/>
      <c r="M15" s="60"/>
      <c r="N15" s="60"/>
      <c r="O15" s="61"/>
      <c r="P15" s="50"/>
      <c r="Q15" s="50"/>
      <c r="R15" s="50"/>
      <c r="S15" s="50"/>
      <c r="T15" s="50"/>
      <c r="U15" s="50"/>
      <c r="V15" s="50"/>
      <c r="W15" s="50"/>
    </row>
    <row r="16" spans="1:45" ht="10.5" customHeight="1" x14ac:dyDescent="0.25">
      <c r="A16" s="97"/>
      <c r="B16" s="196"/>
      <c r="C16" s="197"/>
      <c r="D16" s="197"/>
      <c r="E16" s="197"/>
      <c r="F16" s="198"/>
      <c r="G16" s="199"/>
      <c r="H16" s="99"/>
      <c r="I16" s="200"/>
      <c r="J16" s="200"/>
      <c r="K16" s="200"/>
      <c r="L16" s="200"/>
      <c r="M16" s="200"/>
      <c r="N16" s="200"/>
      <c r="O16" s="201"/>
      <c r="P16" s="68"/>
    </row>
    <row r="17" spans="1:25" ht="8.4499999999999993" customHeight="1" thickBot="1" x14ac:dyDescent="0.3">
      <c r="A17" s="97"/>
      <c r="B17" s="202"/>
      <c r="C17" s="98"/>
      <c r="D17" s="98"/>
      <c r="E17" s="98"/>
      <c r="F17" s="98"/>
      <c r="G17" s="98"/>
      <c r="H17" s="98"/>
      <c r="I17" s="98"/>
      <c r="J17" s="110"/>
      <c r="K17" s="110"/>
      <c r="L17" s="110"/>
      <c r="M17" s="110"/>
      <c r="N17" s="110"/>
      <c r="O17" s="203"/>
      <c r="P17" s="66"/>
    </row>
    <row r="18" spans="1:25" ht="48" customHeight="1" thickBot="1" x14ac:dyDescent="0.3">
      <c r="A18" s="97"/>
      <c r="B18" s="405" t="s">
        <v>67</v>
      </c>
      <c r="C18" s="406" t="s">
        <v>68</v>
      </c>
      <c r="D18" s="406" t="s">
        <v>240</v>
      </c>
      <c r="E18" s="406" t="s">
        <v>241</v>
      </c>
      <c r="F18" s="407" t="s">
        <v>69</v>
      </c>
      <c r="G18" s="408" t="s">
        <v>70</v>
      </c>
      <c r="H18" s="204"/>
      <c r="I18" s="205"/>
      <c r="J18" s="205"/>
      <c r="K18" s="111"/>
      <c r="L18" s="606" t="s">
        <v>64</v>
      </c>
      <c r="M18" s="607"/>
      <c r="N18" s="608"/>
      <c r="O18" s="206"/>
      <c r="X18" s="62">
        <v>0.1626877698164928</v>
      </c>
      <c r="Y18" s="62">
        <f>X18*0.12</f>
        <v>1.9522532377979136E-2</v>
      </c>
    </row>
    <row r="19" spans="1:25" ht="15.95" customHeight="1" x14ac:dyDescent="0.25">
      <c r="A19" s="97"/>
      <c r="B19" s="401">
        <v>0</v>
      </c>
      <c r="C19" s="402">
        <v>0</v>
      </c>
      <c r="D19" s="209">
        <f>MAX('0.5 kg'!D19:D49)</f>
        <v>0</v>
      </c>
      <c r="E19" s="209" t="e">
        <f>#REF!-#REF!</f>
        <v>#REF!</v>
      </c>
      <c r="F19" s="403">
        <f>MIN('0.5 kg'!F19:F49)</f>
        <v>0</v>
      </c>
      <c r="G19" s="404">
        <v>0</v>
      </c>
      <c r="H19" s="98"/>
      <c r="I19" s="98"/>
      <c r="J19" s="98"/>
      <c r="K19" s="114"/>
      <c r="L19" s="609" t="s">
        <v>161</v>
      </c>
      <c r="M19" s="610"/>
      <c r="N19" s="602">
        <v>0</v>
      </c>
      <c r="O19" s="108"/>
      <c r="Q19" s="69" t="s">
        <v>71</v>
      </c>
      <c r="R19" s="70" t="s">
        <v>72</v>
      </c>
      <c r="S19" s="71"/>
      <c r="X19" s="62">
        <v>0.1701</v>
      </c>
      <c r="Y19" s="62">
        <f t="shared" ref="Y19:Y43" si="0">X19*0.12</f>
        <v>2.0412E-2</v>
      </c>
    </row>
    <row r="20" spans="1:25" ht="15.95" customHeight="1" x14ac:dyDescent="0.25">
      <c r="A20" s="97"/>
      <c r="B20" s="207" t="s">
        <v>73</v>
      </c>
      <c r="C20" s="208">
        <v>0.32</v>
      </c>
      <c r="D20" s="209">
        <f>'Datos '!D39</f>
        <v>0</v>
      </c>
      <c r="E20" s="209" t="e">
        <f>D19-#REF!</f>
        <v>#REF!</v>
      </c>
      <c r="F20" s="221" t="e">
        <f>$F$19-E20</f>
        <v>#REF!</v>
      </c>
      <c r="G20" s="219" t="e">
        <f>(E20/$F$19)*100</f>
        <v>#REF!</v>
      </c>
      <c r="H20" s="98"/>
      <c r="I20" s="98"/>
      <c r="J20" s="98"/>
      <c r="K20" s="116"/>
      <c r="L20" s="598"/>
      <c r="M20" s="599"/>
      <c r="N20" s="603"/>
      <c r="O20" s="108"/>
      <c r="Q20" s="63"/>
      <c r="S20" s="64"/>
      <c r="X20" s="62">
        <v>0.17910000000000001</v>
      </c>
      <c r="Y20" s="62">
        <f t="shared" si="0"/>
        <v>2.1492000000000001E-2</v>
      </c>
    </row>
    <row r="21" spans="1:25" ht="15.95" customHeight="1" x14ac:dyDescent="0.25">
      <c r="A21" s="97"/>
      <c r="B21" s="207" t="s">
        <v>74</v>
      </c>
      <c r="C21" s="208">
        <v>0.55000000000000004</v>
      </c>
      <c r="D21" s="209">
        <f>'Datos '!D40</f>
        <v>0</v>
      </c>
      <c r="E21" s="209" t="e">
        <f>D20-#REF!</f>
        <v>#REF!</v>
      </c>
      <c r="F21" s="221" t="e">
        <f t="shared" ref="F21:F48" si="1">$F$19-E21</f>
        <v>#REF!</v>
      </c>
      <c r="G21" s="219" t="e">
        <f t="shared" ref="G21:G49" si="2">(E21/$F$19)*100</f>
        <v>#REF!</v>
      </c>
      <c r="H21" s="98"/>
      <c r="I21" s="98"/>
      <c r="J21" s="98"/>
      <c r="K21" s="210"/>
      <c r="L21" s="598" t="s">
        <v>162</v>
      </c>
      <c r="M21" s="599"/>
      <c r="N21" s="604">
        <f>(N19+N25)/2</f>
        <v>0</v>
      </c>
      <c r="O21" s="108"/>
      <c r="Q21" s="63" t="s">
        <v>75</v>
      </c>
      <c r="R21" s="62" t="e">
        <f>SLOPE(G21:G25,C21:C25)</f>
        <v>#REF!</v>
      </c>
      <c r="S21" s="64"/>
      <c r="X21" s="62">
        <v>0.19350000000000001</v>
      </c>
      <c r="Y21" s="62">
        <f t="shared" si="0"/>
        <v>2.3220000000000001E-2</v>
      </c>
    </row>
    <row r="22" spans="1:25" ht="15.95" customHeight="1" x14ac:dyDescent="0.2">
      <c r="A22" s="97"/>
      <c r="B22" s="207" t="s">
        <v>76</v>
      </c>
      <c r="C22" s="208">
        <v>0.71</v>
      </c>
      <c r="D22" s="209">
        <f>'Datos '!D41</f>
        <v>0</v>
      </c>
      <c r="E22" s="209" t="e">
        <f>D21-#REF!</f>
        <v>#REF!</v>
      </c>
      <c r="F22" s="221" t="e">
        <f t="shared" si="1"/>
        <v>#REF!</v>
      </c>
      <c r="G22" s="219" t="e">
        <f t="shared" si="2"/>
        <v>#REF!</v>
      </c>
      <c r="H22" s="98"/>
      <c r="I22" s="98"/>
      <c r="J22" s="98"/>
      <c r="K22" s="98"/>
      <c r="L22" s="598"/>
      <c r="M22" s="599"/>
      <c r="N22" s="603"/>
      <c r="O22" s="108"/>
      <c r="Q22" s="63" t="s">
        <v>77</v>
      </c>
      <c r="R22" s="62" t="e">
        <f>INTERCEPT(G21:G25,C21:C25)</f>
        <v>#REF!</v>
      </c>
      <c r="S22" s="64"/>
      <c r="X22" s="62">
        <v>0.2079</v>
      </c>
      <c r="Y22" s="62">
        <f t="shared" si="0"/>
        <v>2.4947999999999998E-2</v>
      </c>
    </row>
    <row r="23" spans="1:25" ht="15.95" customHeight="1" x14ac:dyDescent="0.25">
      <c r="A23" s="97"/>
      <c r="B23" s="207">
        <v>1</v>
      </c>
      <c r="C23" s="208">
        <v>1</v>
      </c>
      <c r="D23" s="209">
        <f>'Datos '!D42</f>
        <v>0</v>
      </c>
      <c r="E23" s="209" t="e">
        <f>D22-#REF!</f>
        <v>#REF!</v>
      </c>
      <c r="F23" s="221" t="e">
        <f t="shared" si="1"/>
        <v>#REF!</v>
      </c>
      <c r="G23" s="219" t="e">
        <f t="shared" si="2"/>
        <v>#REF!</v>
      </c>
      <c r="H23" s="98"/>
      <c r="I23" s="98"/>
      <c r="J23" s="98"/>
      <c r="K23" s="109"/>
      <c r="L23" s="598" t="s">
        <v>163</v>
      </c>
      <c r="M23" s="599"/>
      <c r="N23" s="604">
        <f>+((0.9)*(N25-N19))+N19</f>
        <v>0</v>
      </c>
      <c r="O23" s="211"/>
      <c r="Q23" s="63"/>
      <c r="S23" s="64"/>
      <c r="X23" s="62">
        <v>0.22950000000000001</v>
      </c>
      <c r="Y23" s="62">
        <f t="shared" si="0"/>
        <v>2.7539999999999999E-2</v>
      </c>
    </row>
    <row r="24" spans="1:25" ht="15.95" customHeight="1" x14ac:dyDescent="0.2">
      <c r="A24" s="97"/>
      <c r="B24" s="207">
        <v>2</v>
      </c>
      <c r="C24" s="208">
        <v>1.4142135623730951</v>
      </c>
      <c r="D24" s="209">
        <f>'Datos '!D43</f>
        <v>0</v>
      </c>
      <c r="E24" s="209" t="e">
        <f>D23-#REF!</f>
        <v>#REF!</v>
      </c>
      <c r="F24" s="221" t="e">
        <f t="shared" si="1"/>
        <v>#REF!</v>
      </c>
      <c r="G24" s="219" t="e">
        <f t="shared" si="2"/>
        <v>#REF!</v>
      </c>
      <c r="H24" s="98"/>
      <c r="I24" s="98"/>
      <c r="J24" s="98"/>
      <c r="K24" s="98"/>
      <c r="L24" s="598"/>
      <c r="M24" s="599"/>
      <c r="N24" s="603"/>
      <c r="O24" s="108"/>
      <c r="Q24" s="63" t="s">
        <v>110</v>
      </c>
      <c r="R24" s="62" t="s">
        <v>79</v>
      </c>
      <c r="S24" s="72">
        <v>10</v>
      </c>
      <c r="X24" s="62">
        <v>0.24480000000000002</v>
      </c>
      <c r="Y24" s="62">
        <f t="shared" si="0"/>
        <v>2.9375999999999999E-2</v>
      </c>
    </row>
    <row r="25" spans="1:25" ht="15.95" customHeight="1" thickBot="1" x14ac:dyDescent="0.25">
      <c r="A25" s="97"/>
      <c r="B25" s="207">
        <v>3</v>
      </c>
      <c r="C25" s="208">
        <v>1.7320508075688772</v>
      </c>
      <c r="D25" s="209">
        <f>'Datos '!D44</f>
        <v>0</v>
      </c>
      <c r="E25" s="209" t="e">
        <f>D24-#REF!</f>
        <v>#REF!</v>
      </c>
      <c r="F25" s="221" t="e">
        <f t="shared" si="1"/>
        <v>#REF!</v>
      </c>
      <c r="G25" s="219" t="e">
        <f t="shared" si="2"/>
        <v>#REF!</v>
      </c>
      <c r="H25" s="98" t="s">
        <v>168</v>
      </c>
      <c r="I25" s="98"/>
      <c r="J25" s="98" t="s">
        <v>169</v>
      </c>
      <c r="K25" s="98"/>
      <c r="L25" s="598" t="s">
        <v>164</v>
      </c>
      <c r="M25" s="599"/>
      <c r="N25" s="604">
        <f>L41/100</f>
        <v>0</v>
      </c>
      <c r="O25" s="108"/>
      <c r="Q25" s="73" t="s">
        <v>79</v>
      </c>
      <c r="R25" s="74" t="e">
        <f>(S24-R22)/R21</f>
        <v>#REF!</v>
      </c>
      <c r="S25" s="75"/>
      <c r="X25" s="62">
        <v>0.25650000000000001</v>
      </c>
      <c r="Y25" s="62">
        <f t="shared" si="0"/>
        <v>3.0779999999999998E-2</v>
      </c>
    </row>
    <row r="26" spans="1:25" ht="15.95" customHeight="1" thickBot="1" x14ac:dyDescent="0.25">
      <c r="A26" s="97"/>
      <c r="B26" s="207">
        <v>4</v>
      </c>
      <c r="C26" s="208">
        <v>2</v>
      </c>
      <c r="D26" s="209">
        <f>'Datos '!D45</f>
        <v>0</v>
      </c>
      <c r="E26" s="209" t="e">
        <f>D25-#REF!</f>
        <v>#REF!</v>
      </c>
      <c r="F26" s="221" t="e">
        <f t="shared" si="1"/>
        <v>#REF!</v>
      </c>
      <c r="G26" s="219" t="e">
        <f t="shared" si="2"/>
        <v>#REF!</v>
      </c>
      <c r="H26" s="98" t="s">
        <v>170</v>
      </c>
      <c r="I26" s="98"/>
      <c r="J26" s="98" t="s">
        <v>171</v>
      </c>
      <c r="K26" s="98"/>
      <c r="L26" s="600"/>
      <c r="M26" s="601"/>
      <c r="N26" s="605"/>
      <c r="O26" s="108"/>
      <c r="X26" s="62">
        <v>0.27179999999999999</v>
      </c>
      <c r="Y26" s="62">
        <f t="shared" si="0"/>
        <v>3.2615999999999999E-2</v>
      </c>
    </row>
    <row r="27" spans="1:25" ht="17.25" customHeight="1" thickBot="1" x14ac:dyDescent="0.25">
      <c r="A27" s="97"/>
      <c r="B27" s="207">
        <v>6</v>
      </c>
      <c r="C27" s="208">
        <v>2.4494897427831779</v>
      </c>
      <c r="D27" s="209">
        <f>'Datos '!D46</f>
        <v>0</v>
      </c>
      <c r="E27" s="209" t="e">
        <f>D26-#REF!</f>
        <v>#REF!</v>
      </c>
      <c r="F27" s="221" t="e">
        <f t="shared" si="1"/>
        <v>#REF!</v>
      </c>
      <c r="G27" s="219" t="e">
        <f t="shared" si="2"/>
        <v>#REF!</v>
      </c>
      <c r="H27" s="98"/>
      <c r="I27" s="98"/>
      <c r="J27" s="98"/>
      <c r="K27" s="98"/>
      <c r="L27" s="98"/>
      <c r="M27" s="98"/>
      <c r="N27" s="98"/>
      <c r="O27" s="108"/>
      <c r="Q27" s="69" t="s">
        <v>80</v>
      </c>
      <c r="R27" s="70"/>
      <c r="S27" s="71"/>
      <c r="X27" s="62">
        <v>0.28079999999999999</v>
      </c>
      <c r="Y27" s="62">
        <f t="shared" si="0"/>
        <v>3.3695999999999997E-2</v>
      </c>
    </row>
    <row r="28" spans="1:25" ht="15.95" customHeight="1" thickBot="1" x14ac:dyDescent="0.25">
      <c r="A28" s="97"/>
      <c r="B28" s="207">
        <v>9</v>
      </c>
      <c r="C28" s="208">
        <v>3</v>
      </c>
      <c r="D28" s="209">
        <f>'Datos '!D47</f>
        <v>0</v>
      </c>
      <c r="E28" s="209" t="e">
        <f>D27-#REF!</f>
        <v>#REF!</v>
      </c>
      <c r="F28" s="221" t="e">
        <f t="shared" si="1"/>
        <v>#REF!</v>
      </c>
      <c r="G28" s="219" t="e">
        <f t="shared" si="2"/>
        <v>#REF!</v>
      </c>
      <c r="H28" s="98"/>
      <c r="I28" s="98"/>
      <c r="J28" s="98"/>
      <c r="K28" s="98"/>
      <c r="L28" s="648" t="s">
        <v>65</v>
      </c>
      <c r="M28" s="649"/>
      <c r="N28" s="650"/>
      <c r="O28" s="108"/>
      <c r="Q28" s="63"/>
      <c r="S28" s="64"/>
      <c r="X28" s="62">
        <v>0.2853</v>
      </c>
      <c r="Y28" s="62">
        <f t="shared" si="0"/>
        <v>3.4235999999999996E-2</v>
      </c>
    </row>
    <row r="29" spans="1:25" ht="15.95" customHeight="1" thickBot="1" x14ac:dyDescent="0.25">
      <c r="A29" s="97"/>
      <c r="B29" s="207">
        <v>12</v>
      </c>
      <c r="C29" s="208">
        <v>3.4641016151377544</v>
      </c>
      <c r="D29" s="209">
        <f>'Datos '!D48</f>
        <v>0</v>
      </c>
      <c r="E29" s="209" t="e">
        <f>D28-#REF!</f>
        <v>#REF!</v>
      </c>
      <c r="F29" s="221" t="e">
        <f t="shared" si="1"/>
        <v>#REF!</v>
      </c>
      <c r="G29" s="219" t="e">
        <f t="shared" si="2"/>
        <v>#REF!</v>
      </c>
      <c r="H29" s="98"/>
      <c r="I29" s="98"/>
      <c r="J29" s="98"/>
      <c r="K29" s="98"/>
      <c r="L29" s="651"/>
      <c r="M29" s="652"/>
      <c r="N29" s="653"/>
      <c r="O29" s="108"/>
      <c r="Q29" s="63" t="s">
        <v>75</v>
      </c>
      <c r="R29" s="62" t="e">
        <f>R21*0.85</f>
        <v>#REF!</v>
      </c>
      <c r="S29" s="64"/>
      <c r="X29" s="62">
        <v>0.28710000000000002</v>
      </c>
      <c r="Y29" s="62">
        <f t="shared" si="0"/>
        <v>3.4452000000000003E-2</v>
      </c>
    </row>
    <row r="30" spans="1:25" ht="15.95" customHeight="1" thickBot="1" x14ac:dyDescent="0.25">
      <c r="A30" s="97"/>
      <c r="B30" s="207">
        <v>16</v>
      </c>
      <c r="C30" s="208">
        <v>4</v>
      </c>
      <c r="D30" s="209">
        <f>'Datos '!D49</f>
        <v>0</v>
      </c>
      <c r="E30" s="209" t="e">
        <f>D29-#REF!</f>
        <v>#REF!</v>
      </c>
      <c r="F30" s="221" t="e">
        <f t="shared" si="1"/>
        <v>#REF!</v>
      </c>
      <c r="G30" s="219" t="e">
        <f t="shared" si="2"/>
        <v>#REF!</v>
      </c>
      <c r="H30" s="98"/>
      <c r="I30" s="98"/>
      <c r="J30" s="98"/>
      <c r="K30" s="98"/>
      <c r="L30" s="98"/>
      <c r="M30" s="98"/>
      <c r="N30" s="98"/>
      <c r="O30" s="108"/>
      <c r="Q30" s="63" t="s">
        <v>77</v>
      </c>
      <c r="R30" s="62" t="e">
        <f>R22</f>
        <v>#REF!</v>
      </c>
      <c r="S30" s="64"/>
      <c r="X30" s="62">
        <v>0.28889999999999999</v>
      </c>
      <c r="Y30" s="62">
        <f t="shared" si="0"/>
        <v>3.4667999999999997E-2</v>
      </c>
    </row>
    <row r="31" spans="1:25" ht="15.95" customHeight="1" thickBot="1" x14ac:dyDescent="0.25">
      <c r="A31" s="97"/>
      <c r="B31" s="207">
        <v>25</v>
      </c>
      <c r="C31" s="208">
        <v>5</v>
      </c>
      <c r="D31" s="209">
        <f>'Datos '!D50</f>
        <v>0</v>
      </c>
      <c r="E31" s="209" t="e">
        <f>D30-#REF!</f>
        <v>#REF!</v>
      </c>
      <c r="F31" s="221" t="e">
        <f t="shared" si="1"/>
        <v>#REF!</v>
      </c>
      <c r="G31" s="219" t="e">
        <f t="shared" si="2"/>
        <v>#REF!</v>
      </c>
      <c r="H31" s="98"/>
      <c r="I31" s="98"/>
      <c r="J31" s="98"/>
      <c r="K31" s="98"/>
      <c r="L31" s="645" t="s">
        <v>66</v>
      </c>
      <c r="M31" s="646"/>
      <c r="N31" s="647"/>
      <c r="O31" s="108"/>
      <c r="Q31" s="63"/>
      <c r="R31" s="62" t="s">
        <v>78</v>
      </c>
      <c r="S31" s="72">
        <v>10</v>
      </c>
      <c r="X31" s="62">
        <v>0.2898</v>
      </c>
      <c r="Y31" s="62">
        <f t="shared" si="0"/>
        <v>3.4776000000000001E-2</v>
      </c>
    </row>
    <row r="32" spans="1:25" ht="15.95" customHeight="1" thickBot="1" x14ac:dyDescent="0.25">
      <c r="A32" s="97"/>
      <c r="B32" s="207">
        <v>36</v>
      </c>
      <c r="C32" s="208">
        <v>6</v>
      </c>
      <c r="D32" s="209">
        <f>'Datos '!D51</f>
        <v>0</v>
      </c>
      <c r="E32" s="209" t="e">
        <f>D31-#REF!</f>
        <v>#REF!</v>
      </c>
      <c r="F32" s="221" t="e">
        <f t="shared" si="1"/>
        <v>#REF!</v>
      </c>
      <c r="G32" s="219" t="e">
        <f t="shared" si="2"/>
        <v>#REF!</v>
      </c>
      <c r="H32" s="98"/>
      <c r="I32" s="98"/>
      <c r="J32" s="98"/>
      <c r="K32" s="98"/>
      <c r="L32" s="595" t="e">
        <f>L29*9.85/Resultados!E22</f>
        <v>#DIV/0!</v>
      </c>
      <c r="M32" s="596"/>
      <c r="N32" s="597"/>
      <c r="O32" s="108"/>
      <c r="Q32" s="73" t="s">
        <v>79</v>
      </c>
      <c r="R32" s="74" t="e">
        <f>(S31-R30)/R29</f>
        <v>#REF!</v>
      </c>
      <c r="S32" s="75"/>
      <c r="X32" s="62">
        <v>0.29025000000000001</v>
      </c>
      <c r="Y32" s="62">
        <f t="shared" si="0"/>
        <v>3.483E-2</v>
      </c>
    </row>
    <row r="33" spans="1:25" ht="15.95" customHeight="1" thickBot="1" x14ac:dyDescent="0.25">
      <c r="A33" s="97"/>
      <c r="B33" s="207">
        <v>49</v>
      </c>
      <c r="C33" s="208">
        <v>7</v>
      </c>
      <c r="D33" s="209">
        <f>'Datos '!D52</f>
        <v>0</v>
      </c>
      <c r="E33" s="209" t="e">
        <f>D32-#REF!</f>
        <v>#REF!</v>
      </c>
      <c r="F33" s="221" t="e">
        <f t="shared" si="1"/>
        <v>#REF!</v>
      </c>
      <c r="G33" s="219" t="e">
        <f t="shared" si="2"/>
        <v>#REF!</v>
      </c>
      <c r="H33" s="98"/>
      <c r="I33" s="98"/>
      <c r="J33" s="98"/>
      <c r="K33" s="98"/>
      <c r="L33" s="98"/>
      <c r="M33" s="98"/>
      <c r="N33" s="98"/>
      <c r="O33" s="108"/>
      <c r="X33" s="62">
        <v>0.29070000000000001</v>
      </c>
      <c r="Y33" s="62">
        <f t="shared" si="0"/>
        <v>3.4883999999999998E-2</v>
      </c>
    </row>
    <row r="34" spans="1:25" ht="15.95" customHeight="1" thickBot="1" x14ac:dyDescent="0.3">
      <c r="A34" s="97"/>
      <c r="B34" s="207">
        <v>64</v>
      </c>
      <c r="C34" s="208">
        <v>8</v>
      </c>
      <c r="D34" s="209">
        <f>'Datos '!D53</f>
        <v>0</v>
      </c>
      <c r="E34" s="209" t="e">
        <f>D33-#REF!</f>
        <v>#REF!</v>
      </c>
      <c r="F34" s="221" t="e">
        <f t="shared" si="1"/>
        <v>#REF!</v>
      </c>
      <c r="G34" s="219" t="e">
        <f t="shared" si="2"/>
        <v>#REF!</v>
      </c>
      <c r="H34" s="98"/>
      <c r="I34" s="98"/>
      <c r="J34" s="98"/>
      <c r="K34" s="98"/>
      <c r="L34" s="642" t="s">
        <v>84</v>
      </c>
      <c r="M34" s="643"/>
      <c r="N34" s="644"/>
      <c r="O34" s="108"/>
      <c r="Q34" s="69" t="s">
        <v>81</v>
      </c>
      <c r="R34" s="71"/>
      <c r="X34" s="62">
        <v>0.29115000000000002</v>
      </c>
      <c r="Y34" s="62">
        <f t="shared" si="0"/>
        <v>3.4938000000000004E-2</v>
      </c>
    </row>
    <row r="35" spans="1:25" ht="15.95" customHeight="1" thickBot="1" x14ac:dyDescent="0.25">
      <c r="A35" s="97"/>
      <c r="B35" s="207">
        <v>81</v>
      </c>
      <c r="C35" s="208">
        <v>9</v>
      </c>
      <c r="D35" s="209">
        <f>'Datos '!D54</f>
        <v>0</v>
      </c>
      <c r="E35" s="209" t="e">
        <f>D34-#REF!</f>
        <v>#REF!</v>
      </c>
      <c r="F35" s="221" t="e">
        <f t="shared" si="1"/>
        <v>#REF!</v>
      </c>
      <c r="G35" s="219" t="e">
        <f t="shared" si="2"/>
        <v>#REF!</v>
      </c>
      <c r="H35" s="212"/>
      <c r="I35" s="98"/>
      <c r="J35" s="98"/>
      <c r="K35" s="98"/>
      <c r="L35" s="583">
        <f>LOOKUP(L38,C19:C49,G19:G49)</f>
        <v>0</v>
      </c>
      <c r="M35" s="584"/>
      <c r="N35" s="585"/>
      <c r="O35" s="108"/>
      <c r="Q35" s="63"/>
      <c r="R35" s="64"/>
      <c r="X35" s="62">
        <v>0.29160000000000003</v>
      </c>
      <c r="Y35" s="62">
        <f t="shared" si="0"/>
        <v>3.4992000000000002E-2</v>
      </c>
    </row>
    <row r="36" spans="1:25" ht="15.95" customHeight="1" thickBot="1" x14ac:dyDescent="0.25">
      <c r="A36" s="97"/>
      <c r="B36" s="207">
        <v>100</v>
      </c>
      <c r="C36" s="208">
        <v>10</v>
      </c>
      <c r="D36" s="209">
        <f>'Datos '!D55</f>
        <v>0</v>
      </c>
      <c r="E36" s="209" t="e">
        <f>D35-#REF!</f>
        <v>#REF!</v>
      </c>
      <c r="F36" s="221" t="e">
        <f t="shared" si="1"/>
        <v>#REF!</v>
      </c>
      <c r="G36" s="219" t="e">
        <f t="shared" si="2"/>
        <v>#REF!</v>
      </c>
      <c r="H36" s="213"/>
      <c r="I36" s="98"/>
      <c r="J36" s="98"/>
      <c r="K36" s="98"/>
      <c r="L36" s="98"/>
      <c r="M36" s="98"/>
      <c r="N36" s="98"/>
      <c r="O36" s="108"/>
      <c r="Q36" s="65" t="s">
        <v>82</v>
      </c>
      <c r="R36" s="76" t="s">
        <v>83</v>
      </c>
      <c r="X36" s="62">
        <v>0.29205000000000003</v>
      </c>
      <c r="Y36" s="62">
        <f t="shared" si="0"/>
        <v>3.5046000000000001E-2</v>
      </c>
    </row>
    <row r="37" spans="1:25" ht="15.95" customHeight="1" thickBot="1" x14ac:dyDescent="0.3">
      <c r="A37" s="97"/>
      <c r="B37" s="207">
        <v>120</v>
      </c>
      <c r="C37" s="208">
        <v>10.954451150103322</v>
      </c>
      <c r="D37" s="209">
        <f>'Datos '!D56</f>
        <v>0</v>
      </c>
      <c r="E37" s="209" t="e">
        <f>D36-#REF!</f>
        <v>#REF!</v>
      </c>
      <c r="F37" s="221" t="e">
        <f t="shared" si="1"/>
        <v>#REF!</v>
      </c>
      <c r="G37" s="219" t="e">
        <f t="shared" si="2"/>
        <v>#REF!</v>
      </c>
      <c r="H37" s="98"/>
      <c r="I37" s="98"/>
      <c r="J37" s="98"/>
      <c r="K37" s="98"/>
      <c r="L37" s="642" t="s">
        <v>243</v>
      </c>
      <c r="M37" s="643"/>
      <c r="N37" s="644"/>
      <c r="O37" s="108"/>
      <c r="Q37" s="77">
        <f>S24</f>
        <v>10</v>
      </c>
      <c r="R37" s="76" t="e">
        <f>R25</f>
        <v>#REF!</v>
      </c>
      <c r="X37" s="62">
        <v>0.29250000000000004</v>
      </c>
      <c r="Y37" s="62">
        <f t="shared" si="0"/>
        <v>3.5100000000000006E-2</v>
      </c>
    </row>
    <row r="38" spans="1:25" ht="15.95" customHeight="1" thickBot="1" x14ac:dyDescent="0.25">
      <c r="A38" s="97"/>
      <c r="B38" s="207">
        <v>144</v>
      </c>
      <c r="C38" s="208">
        <v>12</v>
      </c>
      <c r="D38" s="209">
        <f>'Datos '!D57</f>
        <v>0</v>
      </c>
      <c r="E38" s="209" t="e">
        <f>D37-#REF!</f>
        <v>#REF!</v>
      </c>
      <c r="F38" s="221" t="e">
        <f t="shared" si="1"/>
        <v>#REF!</v>
      </c>
      <c r="G38" s="219" t="e">
        <f t="shared" si="2"/>
        <v>#REF!</v>
      </c>
      <c r="H38" s="98"/>
      <c r="I38" s="98"/>
      <c r="J38" s="98"/>
      <c r="K38" s="98"/>
      <c r="L38" s="583"/>
      <c r="M38" s="584"/>
      <c r="N38" s="585"/>
      <c r="O38" s="108"/>
      <c r="Q38" s="65" t="e">
        <f>R22</f>
        <v>#REF!</v>
      </c>
      <c r="R38" s="76">
        <v>0</v>
      </c>
      <c r="X38" s="62">
        <v>0.29295000000000004</v>
      </c>
      <c r="Y38" s="62">
        <f t="shared" si="0"/>
        <v>3.5154000000000005E-2</v>
      </c>
    </row>
    <row r="39" spans="1:25" ht="15.95" customHeight="1" thickBot="1" x14ac:dyDescent="0.25">
      <c r="A39" s="97"/>
      <c r="B39" s="207">
        <v>169</v>
      </c>
      <c r="C39" s="208">
        <v>13</v>
      </c>
      <c r="D39" s="209">
        <f>'Datos '!D58</f>
        <v>0</v>
      </c>
      <c r="E39" s="209" t="e">
        <f>D38-#REF!</f>
        <v>#REF!</v>
      </c>
      <c r="F39" s="221" t="e">
        <f t="shared" si="1"/>
        <v>#REF!</v>
      </c>
      <c r="G39" s="219" t="e">
        <f t="shared" si="2"/>
        <v>#REF!</v>
      </c>
      <c r="H39" s="98"/>
      <c r="I39" s="98"/>
      <c r="J39" s="98"/>
      <c r="K39" s="98"/>
      <c r="L39" s="98"/>
      <c r="M39" s="98"/>
      <c r="N39" s="98"/>
      <c r="O39" s="108"/>
      <c r="Q39" s="63"/>
      <c r="R39" s="64"/>
      <c r="X39" s="62">
        <v>0.29339999999999999</v>
      </c>
      <c r="Y39" s="62">
        <f t="shared" si="0"/>
        <v>3.5207999999999996E-2</v>
      </c>
    </row>
    <row r="40" spans="1:25" ht="15.95" customHeight="1" thickBot="1" x14ac:dyDescent="0.3">
      <c r="A40" s="97"/>
      <c r="B40" s="207">
        <v>196</v>
      </c>
      <c r="C40" s="208">
        <v>14</v>
      </c>
      <c r="D40" s="209">
        <f>'Datos '!D59</f>
        <v>0</v>
      </c>
      <c r="E40" s="209" t="e">
        <f>D39-#REF!</f>
        <v>#REF!</v>
      </c>
      <c r="F40" s="221" t="e">
        <f t="shared" si="1"/>
        <v>#REF!</v>
      </c>
      <c r="G40" s="219" t="e">
        <f t="shared" si="2"/>
        <v>#REF!</v>
      </c>
      <c r="H40" s="98"/>
      <c r="I40" s="98"/>
      <c r="J40" s="98"/>
      <c r="K40" s="98"/>
      <c r="L40" s="642" t="s">
        <v>85</v>
      </c>
      <c r="M40" s="643"/>
      <c r="N40" s="644"/>
      <c r="O40" s="108"/>
      <c r="Q40" s="63"/>
      <c r="R40" s="64"/>
      <c r="X40" s="62">
        <v>0.29394000000000003</v>
      </c>
      <c r="Y40" s="62">
        <f t="shared" si="0"/>
        <v>3.52728E-2</v>
      </c>
    </row>
    <row r="41" spans="1:25" ht="15.95" customHeight="1" thickBot="1" x14ac:dyDescent="0.25">
      <c r="A41" s="97"/>
      <c r="B41" s="207">
        <v>225</v>
      </c>
      <c r="C41" s="208">
        <v>15</v>
      </c>
      <c r="D41" s="209">
        <f>'Datos '!D60</f>
        <v>0</v>
      </c>
      <c r="E41" s="209" t="e">
        <f>D40-#REF!</f>
        <v>#REF!</v>
      </c>
      <c r="F41" s="221" t="e">
        <f t="shared" si="1"/>
        <v>#REF!</v>
      </c>
      <c r="G41" s="219" t="e">
        <f t="shared" si="2"/>
        <v>#REF!</v>
      </c>
      <c r="H41" s="98"/>
      <c r="I41" s="98"/>
      <c r="J41" s="98"/>
      <c r="K41" s="98"/>
      <c r="L41" s="583">
        <f>(L35*(1/9))+L35</f>
        <v>0</v>
      </c>
      <c r="M41" s="584"/>
      <c r="N41" s="585"/>
      <c r="O41" s="108"/>
      <c r="Q41" s="65" t="s">
        <v>82</v>
      </c>
      <c r="R41" s="76" t="s">
        <v>83</v>
      </c>
      <c r="X41" s="62">
        <v>0.29430000000000001</v>
      </c>
      <c r="Y41" s="62">
        <f t="shared" si="0"/>
        <v>3.5316E-2</v>
      </c>
    </row>
    <row r="42" spans="1:25" ht="15.95" customHeight="1" thickBot="1" x14ac:dyDescent="0.25">
      <c r="A42" s="97"/>
      <c r="B42" s="207">
        <v>256</v>
      </c>
      <c r="C42" s="208">
        <v>16</v>
      </c>
      <c r="D42" s="209">
        <f>'Datos '!D61</f>
        <v>0</v>
      </c>
      <c r="E42" s="209" t="e">
        <f>D41-#REF!</f>
        <v>#REF!</v>
      </c>
      <c r="F42" s="221" t="e">
        <f t="shared" si="1"/>
        <v>#REF!</v>
      </c>
      <c r="G42" s="219" t="e">
        <f t="shared" si="2"/>
        <v>#REF!</v>
      </c>
      <c r="H42" s="98"/>
      <c r="I42" s="98"/>
      <c r="J42" s="98"/>
      <c r="K42" s="98"/>
      <c r="L42" s="98"/>
      <c r="M42" s="98"/>
      <c r="N42" s="98"/>
      <c r="O42" s="108"/>
      <c r="Q42" s="77">
        <f>S31</f>
        <v>10</v>
      </c>
      <c r="R42" s="76" t="e">
        <f>R32</f>
        <v>#REF!</v>
      </c>
      <c r="X42" s="62">
        <v>0.29493000000000003</v>
      </c>
      <c r="Y42" s="62">
        <f t="shared" si="0"/>
        <v>3.5391600000000002E-2</v>
      </c>
    </row>
    <row r="43" spans="1:25" ht="15.95" customHeight="1" thickBot="1" x14ac:dyDescent="0.3">
      <c r="A43" s="97"/>
      <c r="B43" s="207">
        <v>289</v>
      </c>
      <c r="C43" s="208">
        <v>17</v>
      </c>
      <c r="D43" s="209">
        <f>'Datos '!D62</f>
        <v>0</v>
      </c>
      <c r="E43" s="209" t="e">
        <f>D42-#REF!</f>
        <v>#REF!</v>
      </c>
      <c r="F43" s="221" t="e">
        <f t="shared" si="1"/>
        <v>#REF!</v>
      </c>
      <c r="G43" s="219" t="e">
        <f t="shared" si="2"/>
        <v>#REF!</v>
      </c>
      <c r="H43" s="98"/>
      <c r="I43" s="98"/>
      <c r="J43" s="98"/>
      <c r="K43" s="98"/>
      <c r="L43" s="642" t="s">
        <v>86</v>
      </c>
      <c r="M43" s="643"/>
      <c r="N43" s="644"/>
      <c r="O43" s="108"/>
      <c r="Q43" s="65" t="e">
        <f>R30</f>
        <v>#REF!</v>
      </c>
      <c r="R43" s="76">
        <v>0</v>
      </c>
      <c r="X43" s="62">
        <v>0.29520000000000002</v>
      </c>
      <c r="Y43" s="62">
        <f t="shared" si="0"/>
        <v>3.5424000000000004E-2</v>
      </c>
    </row>
    <row r="44" spans="1:25" ht="15.95" customHeight="1" thickBot="1" x14ac:dyDescent="0.25">
      <c r="A44" s="97"/>
      <c r="B44" s="207">
        <v>324</v>
      </c>
      <c r="C44" s="208">
        <v>18</v>
      </c>
      <c r="D44" s="209">
        <f>'Datos '!D63</f>
        <v>0</v>
      </c>
      <c r="E44" s="209" t="e">
        <f>D43-#REF!</f>
        <v>#REF!</v>
      </c>
      <c r="F44" s="221" t="e">
        <f t="shared" si="1"/>
        <v>#REF!</v>
      </c>
      <c r="G44" s="219" t="e">
        <f t="shared" si="2"/>
        <v>#REF!</v>
      </c>
      <c r="H44" s="98"/>
      <c r="I44" s="98"/>
      <c r="J44" s="98"/>
      <c r="K44" s="98"/>
      <c r="L44" s="583">
        <f>LOOKUP(L41,G19:G49,C19:C49)</f>
        <v>0</v>
      </c>
      <c r="M44" s="584"/>
      <c r="N44" s="585"/>
      <c r="O44" s="108"/>
      <c r="Q44" s="73"/>
      <c r="R44" s="75"/>
      <c r="X44" s="62">
        <v>0.29592000000000002</v>
      </c>
      <c r="Y44" s="62">
        <f>X44*0.12</f>
        <v>3.5510399999999998E-2</v>
      </c>
    </row>
    <row r="45" spans="1:25" ht="15.95" customHeight="1" thickBot="1" x14ac:dyDescent="0.25">
      <c r="A45" s="97"/>
      <c r="B45" s="207">
        <v>361</v>
      </c>
      <c r="C45" s="208">
        <v>19</v>
      </c>
      <c r="D45" s="209">
        <f>'Datos '!D64</f>
        <v>0</v>
      </c>
      <c r="E45" s="209" t="e">
        <f>D44-#REF!</f>
        <v>#REF!</v>
      </c>
      <c r="F45" s="221" t="e">
        <f t="shared" si="1"/>
        <v>#REF!</v>
      </c>
      <c r="G45" s="219" t="e">
        <f t="shared" si="2"/>
        <v>#REF!</v>
      </c>
      <c r="H45" s="98"/>
      <c r="I45" s="98"/>
      <c r="J45" s="98"/>
      <c r="K45" s="98"/>
      <c r="L45" s="98"/>
      <c r="M45" s="98"/>
      <c r="N45" s="98"/>
      <c r="O45" s="108"/>
    </row>
    <row r="46" spans="1:25" ht="15.95" customHeight="1" thickBot="1" x14ac:dyDescent="0.3">
      <c r="A46" s="97"/>
      <c r="B46" s="207">
        <v>400</v>
      </c>
      <c r="C46" s="208">
        <v>20</v>
      </c>
      <c r="D46" s="209">
        <f>'Datos '!D65</f>
        <v>0</v>
      </c>
      <c r="E46" s="209" t="e">
        <f>D45-#REF!</f>
        <v>#REF!</v>
      </c>
      <c r="F46" s="221" t="e">
        <f t="shared" si="1"/>
        <v>#REF!</v>
      </c>
      <c r="G46" s="219" t="e">
        <f t="shared" si="2"/>
        <v>#REF!</v>
      </c>
      <c r="H46" s="98"/>
      <c r="I46" s="98"/>
      <c r="J46" s="98"/>
      <c r="K46" s="98"/>
      <c r="L46" s="642" t="s">
        <v>237</v>
      </c>
      <c r="M46" s="643"/>
      <c r="N46" s="644"/>
      <c r="O46" s="108"/>
    </row>
    <row r="47" spans="1:25" ht="15.95" customHeight="1" thickBot="1" x14ac:dyDescent="0.25">
      <c r="A47" s="97"/>
      <c r="B47" s="207">
        <v>441</v>
      </c>
      <c r="C47" s="208">
        <v>21</v>
      </c>
      <c r="D47" s="209">
        <f>'Datos '!D66</f>
        <v>0</v>
      </c>
      <c r="E47" s="209" t="e">
        <f>D46-#REF!</f>
        <v>#REF!</v>
      </c>
      <c r="F47" s="221" t="e">
        <f t="shared" si="1"/>
        <v>#REF!</v>
      </c>
      <c r="G47" s="219" t="e">
        <f t="shared" si="2"/>
        <v>#REF!</v>
      </c>
      <c r="H47" s="115"/>
      <c r="I47" s="115"/>
      <c r="J47" s="115"/>
      <c r="K47" s="98"/>
      <c r="L47" s="634" t="e">
        <f>(0.848*((VLOOKUP(INT(L38),C19:F49,4))/10/2)^2)/((L38^2)*60)</f>
        <v>#DIV/0!</v>
      </c>
      <c r="M47" s="635"/>
      <c r="N47" s="636"/>
      <c r="O47" s="108"/>
    </row>
    <row r="48" spans="1:25" ht="15.95" customHeight="1" thickBot="1" x14ac:dyDescent="0.25">
      <c r="A48" s="97"/>
      <c r="B48" s="214">
        <v>484</v>
      </c>
      <c r="C48" s="122">
        <v>22</v>
      </c>
      <c r="D48" s="400">
        <f>'Datos '!D67</f>
        <v>0</v>
      </c>
      <c r="E48" s="400" t="e">
        <f>D47-#REF!</f>
        <v>#REF!</v>
      </c>
      <c r="F48" s="222" t="e">
        <f t="shared" si="1"/>
        <v>#REF!</v>
      </c>
      <c r="G48" s="220" t="e">
        <f t="shared" si="2"/>
        <v>#REF!</v>
      </c>
      <c r="H48" s="98"/>
      <c r="I48" s="98"/>
      <c r="J48" s="98"/>
      <c r="K48" s="115"/>
      <c r="L48" s="98"/>
      <c r="M48" s="98"/>
      <c r="N48" s="98"/>
      <c r="O48" s="108"/>
    </row>
    <row r="49" spans="1:22" ht="17.25" customHeight="1" thickBot="1" x14ac:dyDescent="0.25">
      <c r="A49" s="97"/>
      <c r="B49" s="435">
        <v>1440</v>
      </c>
      <c r="C49" s="436">
        <v>37.947331922020552</v>
      </c>
      <c r="D49" s="403">
        <f>'Datos '!D68</f>
        <v>0</v>
      </c>
      <c r="E49" s="410" t="e">
        <f>D48-#REF!</f>
        <v>#REF!</v>
      </c>
      <c r="F49" s="437" t="e">
        <f>$F$19-E49</f>
        <v>#REF!</v>
      </c>
      <c r="G49" s="438" t="e">
        <f t="shared" si="2"/>
        <v>#REF!</v>
      </c>
      <c r="H49" s="409"/>
      <c r="I49" s="409"/>
      <c r="J49" s="409"/>
      <c r="K49" s="98"/>
      <c r="L49" s="156"/>
      <c r="M49" s="156"/>
      <c r="N49" s="215"/>
      <c r="O49" s="216"/>
      <c r="P49" s="78"/>
    </row>
    <row r="50" spans="1:22" x14ac:dyDescent="0.2">
      <c r="A50" s="97"/>
      <c r="B50" s="98"/>
      <c r="C50" s="98"/>
      <c r="D50" s="98"/>
      <c r="E50" s="98"/>
      <c r="F50" s="98"/>
      <c r="G50" s="98"/>
      <c r="H50" s="98"/>
      <c r="I50" s="98"/>
      <c r="J50" s="98"/>
      <c r="K50" s="98"/>
      <c r="L50" s="98"/>
      <c r="M50" s="98"/>
      <c r="N50" s="98"/>
      <c r="O50" s="108"/>
    </row>
    <row r="51" spans="1:22" ht="18" customHeight="1" x14ac:dyDescent="0.2">
      <c r="A51" s="173"/>
      <c r="B51" s="581" t="s">
        <v>195</v>
      </c>
      <c r="C51" s="581"/>
      <c r="D51" s="581"/>
      <c r="E51" s="581"/>
      <c r="F51" s="581"/>
      <c r="G51" s="581"/>
      <c r="H51" s="581"/>
      <c r="I51" s="581"/>
      <c r="J51" s="581"/>
      <c r="K51" s="581"/>
      <c r="L51" s="581"/>
      <c r="M51" s="581"/>
      <c r="N51" s="581"/>
      <c r="O51" s="108"/>
    </row>
    <row r="52" spans="1:22" ht="15.75" customHeight="1" x14ac:dyDescent="0.2">
      <c r="A52" s="173"/>
      <c r="B52" s="582" t="s">
        <v>196</v>
      </c>
      <c r="C52" s="582"/>
      <c r="D52" s="582"/>
      <c r="E52" s="582"/>
      <c r="F52" s="582"/>
      <c r="G52" s="582"/>
      <c r="H52" s="582"/>
      <c r="I52" s="582"/>
      <c r="J52" s="582"/>
      <c r="K52" s="582"/>
      <c r="L52" s="582"/>
      <c r="M52" s="582"/>
      <c r="N52" s="582"/>
      <c r="O52" s="217"/>
    </row>
    <row r="53" spans="1:22" ht="15.75" customHeight="1" x14ac:dyDescent="0.2">
      <c r="A53" s="173"/>
      <c r="B53" s="582"/>
      <c r="C53" s="582"/>
      <c r="D53" s="582"/>
      <c r="E53" s="582"/>
      <c r="F53" s="582"/>
      <c r="G53" s="582"/>
      <c r="H53" s="582"/>
      <c r="I53" s="582"/>
      <c r="J53" s="582"/>
      <c r="K53" s="582"/>
      <c r="L53" s="582"/>
      <c r="M53" s="582"/>
      <c r="N53" s="582"/>
      <c r="O53" s="217"/>
    </row>
    <row r="54" spans="1:22" ht="12.75" customHeight="1" x14ac:dyDescent="0.2">
      <c r="A54" s="173"/>
      <c r="B54" s="582"/>
      <c r="C54" s="582"/>
      <c r="D54" s="582"/>
      <c r="E54" s="582"/>
      <c r="F54" s="582"/>
      <c r="G54" s="582"/>
      <c r="H54" s="582"/>
      <c r="I54" s="582"/>
      <c r="J54" s="582"/>
      <c r="K54" s="582"/>
      <c r="L54" s="582"/>
      <c r="M54" s="582"/>
      <c r="N54" s="582"/>
      <c r="O54" s="108"/>
    </row>
    <row r="55" spans="1:22" x14ac:dyDescent="0.2">
      <c r="A55" s="173"/>
      <c r="B55" s="582"/>
      <c r="C55" s="582"/>
      <c r="D55" s="582"/>
      <c r="E55" s="582"/>
      <c r="F55" s="582"/>
      <c r="G55" s="582"/>
      <c r="H55" s="582"/>
      <c r="I55" s="582"/>
      <c r="J55" s="582"/>
      <c r="K55" s="582"/>
      <c r="L55" s="582"/>
      <c r="M55" s="582"/>
      <c r="N55" s="582"/>
      <c r="O55" s="108"/>
    </row>
    <row r="56" spans="1:22" x14ac:dyDescent="0.2">
      <c r="A56" s="97"/>
      <c r="B56" s="582"/>
      <c r="C56" s="582"/>
      <c r="D56" s="582"/>
      <c r="E56" s="582"/>
      <c r="F56" s="582"/>
      <c r="G56" s="582"/>
      <c r="H56" s="582"/>
      <c r="I56" s="582"/>
      <c r="J56" s="582"/>
      <c r="K56" s="582"/>
      <c r="L56" s="582"/>
      <c r="M56" s="582"/>
      <c r="N56" s="582"/>
      <c r="O56" s="108"/>
    </row>
    <row r="57" spans="1:22" x14ac:dyDescent="0.2">
      <c r="A57" s="627"/>
      <c r="B57" s="628"/>
      <c r="C57" s="628"/>
      <c r="D57" s="628"/>
      <c r="E57" s="628"/>
      <c r="F57" s="628"/>
      <c r="G57" s="628"/>
      <c r="H57" s="628"/>
      <c r="I57" s="628"/>
      <c r="J57" s="628"/>
      <c r="K57" s="223"/>
      <c r="L57" s="223"/>
      <c r="M57" s="223"/>
      <c r="N57" s="223"/>
      <c r="O57" s="224"/>
    </row>
    <row r="58" spans="1:22" ht="15.75" thickBot="1" x14ac:dyDescent="0.25">
      <c r="A58" s="625"/>
      <c r="B58" s="626"/>
      <c r="C58" s="626"/>
      <c r="D58" s="626"/>
      <c r="E58" s="626"/>
      <c r="F58" s="626"/>
      <c r="G58" s="626"/>
      <c r="H58" s="626"/>
      <c r="I58" s="626"/>
      <c r="J58" s="626"/>
      <c r="K58" s="225"/>
      <c r="L58" s="225"/>
      <c r="M58" s="225"/>
      <c r="N58" s="225"/>
      <c r="O58" s="226"/>
    </row>
    <row r="61" spans="1:22" ht="15.75" thickBot="1" x14ac:dyDescent="0.25"/>
    <row r="62" spans="1:22" x14ac:dyDescent="0.2">
      <c r="Q62" s="69"/>
      <c r="R62" s="70"/>
      <c r="S62" s="70"/>
      <c r="T62" s="70"/>
      <c r="U62" s="70"/>
      <c r="V62" s="71"/>
    </row>
    <row r="63" spans="1:22" x14ac:dyDescent="0.2">
      <c r="Q63" s="63"/>
      <c r="V63" s="64"/>
    </row>
    <row r="64" spans="1:22" x14ac:dyDescent="0.2">
      <c r="Q64" s="63"/>
      <c r="V64" s="64"/>
    </row>
    <row r="65" spans="17:22" x14ac:dyDescent="0.2">
      <c r="Q65" s="63"/>
      <c r="V65" s="64"/>
    </row>
    <row r="66" spans="17:22" x14ac:dyDescent="0.2">
      <c r="Q66" s="79" t="s">
        <v>87</v>
      </c>
      <c r="R66" s="80" t="s">
        <v>88</v>
      </c>
      <c r="S66" s="80" t="s">
        <v>89</v>
      </c>
      <c r="T66" s="80" t="s">
        <v>90</v>
      </c>
      <c r="U66" s="80" t="s">
        <v>91</v>
      </c>
      <c r="V66" s="81" t="s">
        <v>92</v>
      </c>
    </row>
    <row r="67" spans="17:22" ht="15.75" x14ac:dyDescent="0.2">
      <c r="Q67" s="82">
        <v>4.95</v>
      </c>
      <c r="R67" s="83" t="e">
        <f>VLOOKUP(Q67,C19:G34,4)</f>
        <v>#REF!</v>
      </c>
      <c r="S67" s="84" t="e">
        <f>+Q67+((U67-Q67)/(V67-R67))*(T67-R67)</f>
        <v>#REF!</v>
      </c>
      <c r="T67" s="84">
        <f>+L41</f>
        <v>0</v>
      </c>
      <c r="U67" s="85">
        <v>9</v>
      </c>
      <c r="V67" s="86" t="e">
        <f>VLOOKUP(U67,C19:G34,4)</f>
        <v>#REF!</v>
      </c>
    </row>
    <row r="68" spans="17:22" ht="15.75" thickBot="1" x14ac:dyDescent="0.25">
      <c r="Q68" s="73"/>
      <c r="R68" s="74"/>
      <c r="S68" s="74"/>
      <c r="T68" s="74"/>
      <c r="U68" s="74"/>
      <c r="V68" s="75"/>
    </row>
  </sheetData>
  <mergeCells count="64">
    <mergeCell ref="L32:N32"/>
    <mergeCell ref="L35:N35"/>
    <mergeCell ref="L37:N37"/>
    <mergeCell ref="B51:N51"/>
    <mergeCell ref="N23:N24"/>
    <mergeCell ref="L31:N31"/>
    <mergeCell ref="L28:N28"/>
    <mergeCell ref="L29:N29"/>
    <mergeCell ref="L18:N18"/>
    <mergeCell ref="L19:M20"/>
    <mergeCell ref="N19:N20"/>
    <mergeCell ref="L21:M22"/>
    <mergeCell ref="N21:N22"/>
    <mergeCell ref="A57:J57"/>
    <mergeCell ref="A58:J58"/>
    <mergeCell ref="D13:N13"/>
    <mergeCell ref="D14:N14"/>
    <mergeCell ref="L38:N38"/>
    <mergeCell ref="L44:N44"/>
    <mergeCell ref="L40:N40"/>
    <mergeCell ref="L41:N41"/>
    <mergeCell ref="L43:N43"/>
    <mergeCell ref="L47:N47"/>
    <mergeCell ref="L46:N46"/>
    <mergeCell ref="L34:N34"/>
    <mergeCell ref="L25:M26"/>
    <mergeCell ref="B52:N56"/>
    <mergeCell ref="L23:M24"/>
    <mergeCell ref="N25:N26"/>
    <mergeCell ref="J9:K9"/>
    <mergeCell ref="M9:N9"/>
    <mergeCell ref="B14:C14"/>
    <mergeCell ref="B13:C13"/>
    <mergeCell ref="B10:C10"/>
    <mergeCell ref="D10:I10"/>
    <mergeCell ref="J10:K10"/>
    <mergeCell ref="B11:M11"/>
    <mergeCell ref="B12:C12"/>
    <mergeCell ref="D12:F12"/>
    <mergeCell ref="J12:K12"/>
    <mergeCell ref="B9:C9"/>
    <mergeCell ref="D9:I9"/>
    <mergeCell ref="L10:N10"/>
    <mergeCell ref="AP3:AS5"/>
    <mergeCell ref="M4:O4"/>
    <mergeCell ref="B5:M5"/>
    <mergeCell ref="A1:D4"/>
    <mergeCell ref="B6:C6"/>
    <mergeCell ref="D6:I6"/>
    <mergeCell ref="J6:K6"/>
    <mergeCell ref="L6:N6"/>
    <mergeCell ref="F2:L4"/>
    <mergeCell ref="F1:L1"/>
    <mergeCell ref="M1:O1"/>
    <mergeCell ref="M2:O2"/>
    <mergeCell ref="M3:O3"/>
    <mergeCell ref="B7:C7"/>
    <mergeCell ref="D7:I7"/>
    <mergeCell ref="J7:K7"/>
    <mergeCell ref="L7:N7"/>
    <mergeCell ref="B8:C8"/>
    <mergeCell ref="D8:I8"/>
    <mergeCell ref="J8:K8"/>
    <mergeCell ref="L8:N8"/>
  </mergeCells>
  <conditionalFormatting sqref="D12:E14">
    <cfRule type="containsBlanks" dxfId="49" priority="3">
      <formula>LEN(TRIM(D12))=0</formula>
    </cfRule>
  </conditionalFormatting>
  <conditionalFormatting sqref="D12:G12">
    <cfRule type="containsBlanks" dxfId="48" priority="1">
      <formula>LEN(TRIM(D12))=0</formula>
    </cfRule>
    <cfRule type="containsBlanks" dxfId="47" priority="2">
      <formula>LEN(TRIM(D12))=0</formula>
    </cfRule>
  </conditionalFormatting>
  <conditionalFormatting sqref="D6:I10">
    <cfRule type="containsBlanks" dxfId="46" priority="7">
      <formula>LEN(TRIM(D6))=0</formula>
    </cfRule>
  </conditionalFormatting>
  <conditionalFormatting sqref="D6:J10 L6:N6 L7:L8 M9 G12:J12 L12:N12 D13:E14 B6:B10 B12:B14">
    <cfRule type="containsBlanks" dxfId="45" priority="8">
      <formula>LEN(TRIM(B6))=0</formula>
    </cfRule>
  </conditionalFormatting>
  <conditionalFormatting sqref="L6:N8 M9 I12 L12 N12 D13:E14">
    <cfRule type="containsBlanks" dxfId="44" priority="6">
      <formula>LEN(TRIM(D6))=0</formula>
    </cfRule>
  </conditionalFormatting>
  <conditionalFormatting sqref="L6:N8 M9 I12 L12 N12">
    <cfRule type="containsBlanks" dxfId="43" priority="4">
      <formula>LEN(TRIM(I6))=0</formula>
    </cfRule>
  </conditionalFormatting>
  <printOptions horizontalCentered="1" verticalCentered="1" gridLinesSet="0"/>
  <pageMargins left="0.19685039370078741" right="0.19685039370078741" top="0.19685039370078741" bottom="0.39370078740157483" header="0.31496062992125984" footer="0.31496062992125984"/>
  <pageSetup scale="57" orientation="landscape" r:id="rId1"/>
  <headerFooter alignWithMargins="0">
    <oddFooter>&amp;CGEODELTA INGENIERÍA 
Barrio el laurel, Móvil: 3187902368 Bogotá DC - Colombia
e-mail: laboratoriogeodelta@gmail.com</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68"/>
  <sheetViews>
    <sheetView showGridLines="0" view="pageBreakPreview" topLeftCell="A46" zoomScaleNormal="100" zoomScaleSheetLayoutView="100" workbookViewId="0">
      <selection activeCell="D9" sqref="D9:I9"/>
    </sheetView>
  </sheetViews>
  <sheetFormatPr baseColWidth="10" defaultColWidth="11.42578125" defaultRowHeight="15" x14ac:dyDescent="0.2"/>
  <cols>
    <col min="1" max="1" width="3.28515625" style="62" customWidth="1"/>
    <col min="2" max="2" width="14.42578125" style="62" customWidth="1"/>
    <col min="3" max="3" width="15.28515625" style="62" customWidth="1"/>
    <col min="4" max="4" width="19" style="62" customWidth="1"/>
    <col min="5" max="5" width="18" style="62" customWidth="1"/>
    <col min="6" max="6" width="17.85546875" style="62" customWidth="1"/>
    <col min="7" max="7" width="17.7109375" style="62" customWidth="1"/>
    <col min="8" max="8" width="18.5703125" style="62" bestFit="1" customWidth="1"/>
    <col min="9" max="9" width="22.85546875" style="62" customWidth="1"/>
    <col min="10" max="10" width="21.140625" style="62" customWidth="1"/>
    <col min="11" max="11" width="8.28515625" style="62" customWidth="1"/>
    <col min="12" max="14" width="13.7109375" style="62" customWidth="1"/>
    <col min="15" max="15" width="2" style="62" customWidth="1"/>
    <col min="16" max="16384" width="11.42578125" style="62"/>
  </cols>
  <sheetData>
    <row r="1" spans="1:45" s="36" customFormat="1" ht="17.25" customHeight="1" x14ac:dyDescent="0.2">
      <c r="A1" s="532"/>
      <c r="B1" s="533"/>
      <c r="C1" s="533"/>
      <c r="D1" s="726"/>
      <c r="E1" s="397"/>
      <c r="F1" s="546" t="s">
        <v>119</v>
      </c>
      <c r="G1" s="546"/>
      <c r="H1" s="546"/>
      <c r="I1" s="546"/>
      <c r="J1" s="546"/>
      <c r="K1" s="546"/>
      <c r="L1" s="622"/>
      <c r="M1" s="614" t="str">
        <f>Resultados!O1</f>
        <v>CÓDIGO: GDA-FLC-009</v>
      </c>
      <c r="N1" s="615"/>
      <c r="O1" s="616"/>
      <c r="P1" s="35"/>
      <c r="Q1" s="35"/>
      <c r="R1" s="35" t="s">
        <v>126</v>
      </c>
      <c r="S1" s="35"/>
      <c r="T1" s="35"/>
      <c r="U1" s="35"/>
      <c r="V1" s="35"/>
      <c r="W1" s="35"/>
      <c r="Z1" s="37" t="s">
        <v>120</v>
      </c>
      <c r="AA1" s="36" t="s">
        <v>121</v>
      </c>
    </row>
    <row r="2" spans="1:45" s="36" customFormat="1" ht="17.25" customHeight="1" x14ac:dyDescent="0.2">
      <c r="A2" s="534"/>
      <c r="B2" s="725"/>
      <c r="C2" s="725"/>
      <c r="D2" s="727"/>
      <c r="E2" s="67"/>
      <c r="F2" s="638" t="s">
        <v>185</v>
      </c>
      <c r="G2" s="638"/>
      <c r="H2" s="638"/>
      <c r="I2" s="638"/>
      <c r="J2" s="638"/>
      <c r="K2" s="638"/>
      <c r="L2" s="639"/>
      <c r="M2" s="617" t="str">
        <f>Resultados!O2</f>
        <v>VERSIÓN :03</v>
      </c>
      <c r="N2" s="618"/>
      <c r="O2" s="619"/>
      <c r="P2" s="35"/>
      <c r="Q2" s="35"/>
      <c r="R2" s="35" t="s">
        <v>174</v>
      </c>
      <c r="S2" s="35"/>
      <c r="T2" s="35"/>
      <c r="U2" s="35"/>
      <c r="V2" s="35"/>
      <c r="W2" s="35"/>
      <c r="Z2" s="37" t="s">
        <v>122</v>
      </c>
      <c r="AA2" s="36" t="s">
        <v>123</v>
      </c>
    </row>
    <row r="3" spans="1:45" s="36" customFormat="1" ht="17.25" customHeight="1" x14ac:dyDescent="0.2">
      <c r="A3" s="534"/>
      <c r="B3" s="725"/>
      <c r="C3" s="725"/>
      <c r="D3" s="727"/>
      <c r="E3" s="67"/>
      <c r="F3" s="638"/>
      <c r="G3" s="638"/>
      <c r="H3" s="638"/>
      <c r="I3" s="638"/>
      <c r="J3" s="638"/>
      <c r="K3" s="638"/>
      <c r="L3" s="639"/>
      <c r="M3" s="617" t="s">
        <v>177</v>
      </c>
      <c r="N3" s="618"/>
      <c r="O3" s="619"/>
      <c r="P3" s="35"/>
      <c r="Q3" s="35"/>
      <c r="R3" s="35" t="s">
        <v>131</v>
      </c>
      <c r="S3" s="35"/>
      <c r="T3" s="35"/>
      <c r="U3" s="35"/>
      <c r="V3" s="35"/>
      <c r="W3" s="35"/>
      <c r="AP3" s="620" t="s">
        <v>124</v>
      </c>
      <c r="AQ3" s="620"/>
      <c r="AR3" s="620"/>
      <c r="AS3" s="620"/>
    </row>
    <row r="4" spans="1:45" s="36" customFormat="1" ht="17.25" customHeight="1" thickBot="1" x14ac:dyDescent="0.25">
      <c r="A4" s="535"/>
      <c r="B4" s="536"/>
      <c r="C4" s="536"/>
      <c r="D4" s="621"/>
      <c r="E4" s="398"/>
      <c r="F4" s="640"/>
      <c r="G4" s="640"/>
      <c r="H4" s="640"/>
      <c r="I4" s="640"/>
      <c r="J4" s="640"/>
      <c r="K4" s="640"/>
      <c r="L4" s="641"/>
      <c r="M4" s="535" t="str">
        <f>Resultados!O4</f>
        <v>FECHA: 08-08-2025</v>
      </c>
      <c r="N4" s="536"/>
      <c r="O4" s="621"/>
      <c r="P4" s="35"/>
      <c r="Q4" s="35"/>
      <c r="R4" s="35" t="s">
        <v>135</v>
      </c>
      <c r="S4" s="35"/>
      <c r="T4" s="35"/>
      <c r="U4" s="35"/>
      <c r="V4" s="35"/>
      <c r="W4" s="35"/>
      <c r="AP4" s="620"/>
      <c r="AQ4" s="620"/>
      <c r="AR4" s="620"/>
      <c r="AS4" s="620"/>
    </row>
    <row r="5" spans="1:45" s="36" customFormat="1" ht="3.95" customHeight="1" thickBot="1" x14ac:dyDescent="0.25">
      <c r="A5" s="38"/>
      <c r="B5" s="528"/>
      <c r="C5" s="528"/>
      <c r="D5" s="528"/>
      <c r="E5" s="528"/>
      <c r="F5" s="528"/>
      <c r="G5" s="528"/>
      <c r="H5" s="528"/>
      <c r="I5" s="528"/>
      <c r="J5" s="528"/>
      <c r="K5" s="528"/>
      <c r="L5" s="528"/>
      <c r="M5" s="528"/>
      <c r="N5" s="40"/>
      <c r="O5" s="41"/>
      <c r="P5" s="42"/>
      <c r="Q5" s="42"/>
      <c r="R5" s="42" t="s">
        <v>138</v>
      </c>
      <c r="S5" s="42"/>
      <c r="T5" s="42"/>
      <c r="U5" s="42"/>
      <c r="V5" s="42"/>
      <c r="W5" s="42"/>
      <c r="AP5" s="620"/>
      <c r="AQ5" s="620"/>
      <c r="AR5" s="620"/>
      <c r="AS5" s="620"/>
    </row>
    <row r="6" spans="1:45" s="36" customFormat="1" ht="22.5" customHeight="1" x14ac:dyDescent="0.2">
      <c r="A6" s="34"/>
      <c r="B6" s="524" t="s">
        <v>0</v>
      </c>
      <c r="C6" s="524"/>
      <c r="D6" s="629">
        <f>Resultados!D6</f>
        <v>0</v>
      </c>
      <c r="E6" s="629"/>
      <c r="F6" s="629"/>
      <c r="G6" s="629"/>
      <c r="H6" s="629"/>
      <c r="I6" s="629"/>
      <c r="J6" s="531" t="s">
        <v>125</v>
      </c>
      <c r="K6" s="531"/>
      <c r="L6" s="637">
        <f>Resultados!M6</f>
        <v>0</v>
      </c>
      <c r="M6" s="637"/>
      <c r="N6" s="637"/>
      <c r="O6" s="44"/>
      <c r="P6" s="45"/>
      <c r="Q6" s="45"/>
      <c r="R6" s="45"/>
      <c r="S6" s="45"/>
      <c r="T6" s="45"/>
      <c r="U6" s="45"/>
      <c r="V6" s="45"/>
      <c r="W6" s="45"/>
      <c r="AP6" s="46" t="s">
        <v>126</v>
      </c>
      <c r="AQ6" s="37"/>
      <c r="AR6" s="37"/>
      <c r="AS6" s="37"/>
    </row>
    <row r="7" spans="1:45" s="36" customFormat="1" ht="27" customHeight="1" x14ac:dyDescent="0.2">
      <c r="A7" s="38"/>
      <c r="B7" s="516" t="s">
        <v>1</v>
      </c>
      <c r="C7" s="516"/>
      <c r="D7" s="612">
        <f>Resultados!D7</f>
        <v>0</v>
      </c>
      <c r="E7" s="612"/>
      <c r="F7" s="612"/>
      <c r="G7" s="612"/>
      <c r="H7" s="612"/>
      <c r="I7" s="612"/>
      <c r="J7" s="520" t="s">
        <v>127</v>
      </c>
      <c r="K7" s="520"/>
      <c r="L7" s="613">
        <f>Resultados!M7</f>
        <v>0</v>
      </c>
      <c r="M7" s="613"/>
      <c r="N7" s="613"/>
      <c r="O7" s="47"/>
      <c r="P7" s="45"/>
      <c r="Q7" s="45"/>
      <c r="R7" s="45"/>
      <c r="S7" s="45"/>
      <c r="T7" s="45"/>
      <c r="U7" s="45"/>
      <c r="V7" s="45"/>
      <c r="W7" s="45"/>
      <c r="AP7" s="46" t="s">
        <v>128</v>
      </c>
      <c r="AQ7" s="37"/>
      <c r="AR7" s="37"/>
      <c r="AS7" s="37"/>
    </row>
    <row r="8" spans="1:45" s="36" customFormat="1" ht="22.5" customHeight="1" x14ac:dyDescent="0.2">
      <c r="A8" s="38"/>
      <c r="B8" s="516" t="s">
        <v>129</v>
      </c>
      <c r="C8" s="516"/>
      <c r="D8" s="560">
        <f>Resultados!D8</f>
        <v>0</v>
      </c>
      <c r="E8" s="560"/>
      <c r="F8" s="560"/>
      <c r="G8" s="560"/>
      <c r="H8" s="560"/>
      <c r="I8" s="560"/>
      <c r="J8" s="520" t="s">
        <v>130</v>
      </c>
      <c r="K8" s="520"/>
      <c r="L8" s="613">
        <f>Resultados!M8</f>
        <v>0</v>
      </c>
      <c r="M8" s="613"/>
      <c r="N8" s="613"/>
      <c r="O8" s="47"/>
      <c r="P8" s="45"/>
      <c r="Q8" s="45"/>
      <c r="R8" s="45"/>
      <c r="S8" s="45"/>
      <c r="T8" s="45"/>
      <c r="U8" s="45"/>
      <c r="V8" s="45"/>
      <c r="W8" s="45"/>
      <c r="AP8" s="46" t="s">
        <v>131</v>
      </c>
      <c r="AQ8" s="37"/>
      <c r="AR8" s="37"/>
      <c r="AS8" s="37"/>
    </row>
    <row r="9" spans="1:45" s="36" customFormat="1" ht="15.75" customHeight="1" x14ac:dyDescent="0.2">
      <c r="A9" s="38"/>
      <c r="B9" s="516" t="s">
        <v>132</v>
      </c>
      <c r="C9" s="516"/>
      <c r="D9" s="560">
        <f>Resultados!D9</f>
        <v>0</v>
      </c>
      <c r="E9" s="560"/>
      <c r="F9" s="560"/>
      <c r="G9" s="560"/>
      <c r="H9" s="560"/>
      <c r="I9" s="560"/>
      <c r="J9" s="520" t="s">
        <v>133</v>
      </c>
      <c r="K9" s="520"/>
      <c r="L9" s="48" t="s">
        <v>134</v>
      </c>
      <c r="M9" s="632" t="str">
        <f>_xlfn.CONCAT(Resultados!N9," ","-"," ",Resultados!P9)</f>
        <v xml:space="preserve"> - </v>
      </c>
      <c r="N9" s="633"/>
      <c r="O9" s="47"/>
      <c r="P9" s="45">
        <v>25</v>
      </c>
      <c r="Q9" s="45"/>
      <c r="R9" s="45"/>
      <c r="S9" s="45"/>
      <c r="T9" s="45"/>
      <c r="U9" s="45"/>
      <c r="V9" s="45"/>
      <c r="W9" s="45"/>
      <c r="AP9" s="46" t="s">
        <v>135</v>
      </c>
      <c r="AQ9" s="37"/>
      <c r="AR9" s="37"/>
      <c r="AS9" s="37"/>
    </row>
    <row r="10" spans="1:45" s="36" customFormat="1" ht="22.5" customHeight="1" x14ac:dyDescent="0.2">
      <c r="A10" s="38"/>
      <c r="B10" s="550" t="s">
        <v>136</v>
      </c>
      <c r="C10" s="550"/>
      <c r="D10" s="560">
        <f>Resultados!D10</f>
        <v>0</v>
      </c>
      <c r="E10" s="560"/>
      <c r="F10" s="560"/>
      <c r="G10" s="560"/>
      <c r="H10" s="560"/>
      <c r="I10" s="560"/>
      <c r="J10" s="561" t="s">
        <v>137</v>
      </c>
      <c r="K10" s="561"/>
      <c r="L10" s="560" t="str">
        <f>Resultados!M10</f>
        <v xml:space="preserve"> --</v>
      </c>
      <c r="M10" s="560"/>
      <c r="N10" s="560"/>
      <c r="O10" s="49"/>
      <c r="P10" s="50"/>
      <c r="Q10" s="50"/>
      <c r="R10" s="50"/>
      <c r="S10" s="50"/>
      <c r="T10" s="50"/>
      <c r="U10" s="50"/>
      <c r="V10" s="50"/>
      <c r="W10" s="50"/>
      <c r="AP10" s="46" t="s">
        <v>138</v>
      </c>
      <c r="AQ10" s="37"/>
      <c r="AR10" s="37"/>
      <c r="AS10" s="37"/>
    </row>
    <row r="11" spans="1:45" s="36" customFormat="1" ht="3.95" customHeight="1" thickBot="1" x14ac:dyDescent="0.25">
      <c r="A11" s="38"/>
      <c r="B11" s="525"/>
      <c r="C11" s="525"/>
      <c r="D11" s="525"/>
      <c r="E11" s="525"/>
      <c r="F11" s="525"/>
      <c r="G11" s="525"/>
      <c r="H11" s="525"/>
      <c r="I11" s="525"/>
      <c r="J11" s="525"/>
      <c r="K11" s="525"/>
      <c r="L11" s="525"/>
      <c r="M11" s="525"/>
      <c r="N11" s="51"/>
      <c r="O11" s="41"/>
      <c r="P11" s="42"/>
      <c r="Q11" s="42"/>
      <c r="R11" s="42"/>
      <c r="S11" s="42"/>
      <c r="T11" s="42"/>
      <c r="U11" s="42"/>
      <c r="V11" s="42"/>
      <c r="W11" s="42"/>
      <c r="AP11" s="46"/>
      <c r="AQ11" s="37"/>
      <c r="AR11" s="37"/>
      <c r="AS11" s="37"/>
    </row>
    <row r="12" spans="1:45" s="36" customFormat="1" ht="22.5" customHeight="1" x14ac:dyDescent="0.2">
      <c r="A12" s="34"/>
      <c r="B12" s="524" t="s">
        <v>2</v>
      </c>
      <c r="C12" s="524"/>
      <c r="D12" s="611">
        <f>Resultados!X2</f>
        <v>0</v>
      </c>
      <c r="E12" s="611"/>
      <c r="F12" s="611"/>
      <c r="G12" s="399">
        <f>Resultados!F12</f>
        <v>0</v>
      </c>
      <c r="H12" s="88" t="s">
        <v>139</v>
      </c>
      <c r="I12" s="92">
        <f>Resultados!I12</f>
        <v>0</v>
      </c>
      <c r="J12" s="558" t="s">
        <v>140</v>
      </c>
      <c r="K12" s="558"/>
      <c r="L12" s="95">
        <f>Resultados!M12</f>
        <v>0</v>
      </c>
      <c r="M12" s="54" t="s">
        <v>141</v>
      </c>
      <c r="N12" s="96">
        <f>Resultados!O12</f>
        <v>0</v>
      </c>
      <c r="O12" s="55">
        <v>2.75</v>
      </c>
      <c r="P12" s="56"/>
      <c r="Q12" s="56"/>
      <c r="R12" s="56"/>
      <c r="S12" s="56"/>
      <c r="T12" s="56"/>
      <c r="U12" s="56"/>
      <c r="V12" s="56"/>
      <c r="W12" s="56"/>
      <c r="AP12" s="46"/>
      <c r="AQ12" s="37"/>
      <c r="AR12" s="37"/>
      <c r="AS12" s="37"/>
    </row>
    <row r="13" spans="1:45" s="36" customFormat="1" ht="22.5" customHeight="1" x14ac:dyDescent="0.2">
      <c r="A13" s="38"/>
      <c r="B13" s="516" t="s">
        <v>142</v>
      </c>
      <c r="C13" s="516"/>
      <c r="D13" s="630">
        <f>Resultados!D13</f>
        <v>0</v>
      </c>
      <c r="E13" s="630"/>
      <c r="F13" s="630"/>
      <c r="G13" s="630"/>
      <c r="H13" s="630"/>
      <c r="I13" s="630"/>
      <c r="J13" s="630"/>
      <c r="K13" s="630"/>
      <c r="L13" s="630"/>
      <c r="M13" s="630"/>
      <c r="N13" s="630"/>
      <c r="O13" s="57"/>
      <c r="P13" s="58"/>
      <c r="Q13" s="58"/>
      <c r="R13" s="58"/>
      <c r="S13" s="58"/>
      <c r="T13" s="58"/>
      <c r="U13" s="58"/>
      <c r="V13" s="58"/>
      <c r="W13" s="58"/>
      <c r="AP13" s="46"/>
      <c r="AQ13" s="37"/>
      <c r="AR13" s="37"/>
      <c r="AS13" s="37"/>
    </row>
    <row r="14" spans="1:45" s="36" customFormat="1" ht="22.5" customHeight="1" x14ac:dyDescent="0.2">
      <c r="A14" s="38"/>
      <c r="B14" s="516" t="s">
        <v>143</v>
      </c>
      <c r="C14" s="516"/>
      <c r="D14" s="560">
        <f>Resultados!D14</f>
        <v>0</v>
      </c>
      <c r="E14" s="560"/>
      <c r="F14" s="560"/>
      <c r="G14" s="560"/>
      <c r="H14" s="560"/>
      <c r="I14" s="560"/>
      <c r="J14" s="560"/>
      <c r="K14" s="560"/>
      <c r="L14" s="560"/>
      <c r="M14" s="560"/>
      <c r="N14" s="560"/>
      <c r="O14" s="49"/>
      <c r="P14" s="50"/>
      <c r="Q14" s="50"/>
      <c r="R14" s="50"/>
      <c r="S14" s="50"/>
      <c r="T14" s="50"/>
      <c r="U14" s="50"/>
      <c r="V14" s="50"/>
      <c r="W14" s="50"/>
      <c r="AP14" s="46"/>
      <c r="AQ14" s="37"/>
      <c r="AR14" s="37"/>
      <c r="AS14" s="37"/>
    </row>
    <row r="15" spans="1:45" s="36" customFormat="1" ht="6.95" customHeight="1" thickBot="1" x14ac:dyDescent="0.25">
      <c r="A15" s="39"/>
      <c r="B15" s="59"/>
      <c r="C15" s="59"/>
      <c r="D15" s="60"/>
      <c r="E15" s="60"/>
      <c r="F15" s="60"/>
      <c r="G15" s="60"/>
      <c r="H15" s="60"/>
      <c r="I15" s="60"/>
      <c r="J15" s="60"/>
      <c r="K15" s="60"/>
      <c r="L15" s="60"/>
      <c r="M15" s="60"/>
      <c r="N15" s="60"/>
      <c r="O15" s="61"/>
      <c r="P15" s="50"/>
      <c r="Q15" s="50"/>
      <c r="R15" s="50"/>
      <c r="S15" s="50"/>
      <c r="T15" s="50"/>
      <c r="U15" s="50"/>
      <c r="V15" s="50"/>
      <c r="W15" s="50"/>
    </row>
    <row r="16" spans="1:45" ht="10.5" customHeight="1" x14ac:dyDescent="0.25">
      <c r="A16" s="97"/>
      <c r="B16" s="196"/>
      <c r="C16" s="197"/>
      <c r="D16" s="197"/>
      <c r="E16" s="197"/>
      <c r="F16" s="198"/>
      <c r="G16" s="199"/>
      <c r="H16" s="99"/>
      <c r="I16" s="200"/>
      <c r="J16" s="200"/>
      <c r="K16" s="200"/>
      <c r="L16" s="200"/>
      <c r="M16" s="200"/>
      <c r="N16" s="200"/>
      <c r="O16" s="201"/>
      <c r="P16" s="68"/>
    </row>
    <row r="17" spans="1:25" ht="8.4499999999999993" customHeight="1" thickBot="1" x14ac:dyDescent="0.3">
      <c r="A17" s="97"/>
      <c r="B17" s="202"/>
      <c r="C17" s="98"/>
      <c r="D17" s="98"/>
      <c r="E17" s="98"/>
      <c r="F17" s="98"/>
      <c r="G17" s="98"/>
      <c r="H17" s="98"/>
      <c r="I17" s="98"/>
      <c r="J17" s="110"/>
      <c r="K17" s="110"/>
      <c r="L17" s="110"/>
      <c r="M17" s="110"/>
      <c r="N17" s="110"/>
      <c r="O17" s="203"/>
      <c r="P17" s="66"/>
    </row>
    <row r="18" spans="1:25" ht="48" customHeight="1" thickBot="1" x14ac:dyDescent="0.3">
      <c r="A18" s="97"/>
      <c r="B18" s="405" t="s">
        <v>67</v>
      </c>
      <c r="C18" s="406" t="s">
        <v>68</v>
      </c>
      <c r="D18" s="406" t="s">
        <v>240</v>
      </c>
      <c r="E18" s="406" t="s">
        <v>241</v>
      </c>
      <c r="F18" s="407" t="s">
        <v>69</v>
      </c>
      <c r="G18" s="408" t="s">
        <v>70</v>
      </c>
      <c r="H18" s="204"/>
      <c r="I18" s="205"/>
      <c r="J18" s="205"/>
      <c r="K18" s="111"/>
      <c r="L18" s="606" t="s">
        <v>64</v>
      </c>
      <c r="M18" s="607"/>
      <c r="N18" s="608"/>
      <c r="O18" s="206"/>
      <c r="X18" s="62">
        <v>0.1626877698164928</v>
      </c>
      <c r="Y18" s="62">
        <f>X18*0.12</f>
        <v>1.9522532377979136E-2</v>
      </c>
    </row>
    <row r="19" spans="1:25" ht="15.95" customHeight="1" x14ac:dyDescent="0.25">
      <c r="A19" s="97"/>
      <c r="B19" s="401">
        <v>0</v>
      </c>
      <c r="C19" s="402">
        <v>0</v>
      </c>
      <c r="D19" s="403">
        <f>MAX('1,0 kg '!D19:D49)</f>
        <v>0</v>
      </c>
      <c r="E19" s="209">
        <f>D19-$D$19</f>
        <v>0</v>
      </c>
      <c r="F19" s="403" t="e">
        <f>MIN('1,0 kg '!F19:F49)</f>
        <v>#REF!</v>
      </c>
      <c r="G19" s="404">
        <v>0</v>
      </c>
      <c r="H19" s="98"/>
      <c r="I19" s="98"/>
      <c r="J19" s="98"/>
      <c r="K19" s="114"/>
      <c r="L19" s="609" t="s">
        <v>161</v>
      </c>
      <c r="M19" s="610"/>
      <c r="N19" s="602">
        <v>0</v>
      </c>
      <c r="O19" s="108"/>
      <c r="Q19" s="69" t="s">
        <v>71</v>
      </c>
      <c r="R19" s="70" t="s">
        <v>72</v>
      </c>
      <c r="S19" s="71"/>
      <c r="X19" s="62">
        <v>0.1701</v>
      </c>
      <c r="Y19" s="62">
        <f t="shared" ref="Y19:Y43" si="0">X19*0.12</f>
        <v>2.0412E-2</v>
      </c>
    </row>
    <row r="20" spans="1:25" ht="15.95" customHeight="1" x14ac:dyDescent="0.25">
      <c r="A20" s="97"/>
      <c r="B20" s="207" t="s">
        <v>73</v>
      </c>
      <c r="C20" s="208">
        <v>0.32</v>
      </c>
      <c r="D20" s="209">
        <f>'Datos '!E39</f>
        <v>0</v>
      </c>
      <c r="E20" s="209">
        <f>D20-$D$19</f>
        <v>0</v>
      </c>
      <c r="F20" s="221" t="e">
        <f>$F$19-E20</f>
        <v>#REF!</v>
      </c>
      <c r="G20" s="219" t="e">
        <f>(E20/$F$19)*100</f>
        <v>#REF!</v>
      </c>
      <c r="H20" s="98"/>
      <c r="I20" s="98"/>
      <c r="J20" s="98"/>
      <c r="K20" s="116"/>
      <c r="L20" s="598"/>
      <c r="M20" s="599"/>
      <c r="N20" s="603"/>
      <c r="O20" s="108"/>
      <c r="Q20" s="63"/>
      <c r="S20" s="64"/>
      <c r="X20" s="62">
        <v>0.17910000000000001</v>
      </c>
      <c r="Y20" s="62">
        <f t="shared" si="0"/>
        <v>2.1492000000000001E-2</v>
      </c>
    </row>
    <row r="21" spans="1:25" ht="15.95" customHeight="1" x14ac:dyDescent="0.25">
      <c r="A21" s="97"/>
      <c r="B21" s="207" t="s">
        <v>74</v>
      </c>
      <c r="C21" s="208">
        <v>0.55000000000000004</v>
      </c>
      <c r="D21" s="209">
        <f>'Datos '!E40</f>
        <v>0</v>
      </c>
      <c r="E21" s="209">
        <f t="shared" ref="E21:E49" si="1">D21-$D$19</f>
        <v>0</v>
      </c>
      <c r="F21" s="221" t="e">
        <f t="shared" ref="F21:F49" si="2">$F$19-E21</f>
        <v>#REF!</v>
      </c>
      <c r="G21" s="219" t="e">
        <f t="shared" ref="G21:G49" si="3">(E21/$F$19)*100</f>
        <v>#REF!</v>
      </c>
      <c r="H21" s="98"/>
      <c r="I21" s="98"/>
      <c r="J21" s="98"/>
      <c r="K21" s="210"/>
      <c r="L21" s="598" t="s">
        <v>162</v>
      </c>
      <c r="M21" s="599"/>
      <c r="N21" s="604">
        <f>(N19+N25)/2</f>
        <v>0</v>
      </c>
      <c r="O21" s="108"/>
      <c r="Q21" s="63" t="s">
        <v>75</v>
      </c>
      <c r="R21" s="62" t="e">
        <f>SLOPE(G22:G28,C22:C28)</f>
        <v>#REF!</v>
      </c>
      <c r="S21" s="64"/>
      <c r="X21" s="62">
        <v>0.19350000000000001</v>
      </c>
      <c r="Y21" s="62">
        <f t="shared" si="0"/>
        <v>2.3220000000000001E-2</v>
      </c>
    </row>
    <row r="22" spans="1:25" ht="15.95" customHeight="1" x14ac:dyDescent="0.2">
      <c r="A22" s="97"/>
      <c r="B22" s="207" t="s">
        <v>76</v>
      </c>
      <c r="C22" s="208">
        <v>0.71</v>
      </c>
      <c r="D22" s="209">
        <f>'Datos '!E41</f>
        <v>0</v>
      </c>
      <c r="E22" s="209">
        <f t="shared" si="1"/>
        <v>0</v>
      </c>
      <c r="F22" s="221" t="e">
        <f t="shared" si="2"/>
        <v>#REF!</v>
      </c>
      <c r="G22" s="219" t="e">
        <f t="shared" si="3"/>
        <v>#REF!</v>
      </c>
      <c r="H22" s="98"/>
      <c r="I22" s="98"/>
      <c r="J22" s="98"/>
      <c r="K22" s="98"/>
      <c r="L22" s="598"/>
      <c r="M22" s="599"/>
      <c r="N22" s="603"/>
      <c r="O22" s="108"/>
      <c r="Q22" s="63" t="s">
        <v>77</v>
      </c>
      <c r="R22" s="62" t="e">
        <f>INTERCEPT(G22:G28,C22:C28)</f>
        <v>#REF!</v>
      </c>
      <c r="S22" s="64"/>
      <c r="X22" s="62">
        <v>0.2079</v>
      </c>
      <c r="Y22" s="62">
        <f t="shared" si="0"/>
        <v>2.4947999999999998E-2</v>
      </c>
    </row>
    <row r="23" spans="1:25" ht="15.95" customHeight="1" x14ac:dyDescent="0.25">
      <c r="A23" s="97"/>
      <c r="B23" s="207">
        <v>1</v>
      </c>
      <c r="C23" s="208">
        <v>1</v>
      </c>
      <c r="D23" s="209">
        <f>'Datos '!E42</f>
        <v>0</v>
      </c>
      <c r="E23" s="209">
        <f t="shared" si="1"/>
        <v>0</v>
      </c>
      <c r="F23" s="221" t="e">
        <f t="shared" si="2"/>
        <v>#REF!</v>
      </c>
      <c r="G23" s="219" t="e">
        <f t="shared" si="3"/>
        <v>#REF!</v>
      </c>
      <c r="H23" s="98"/>
      <c r="I23" s="98"/>
      <c r="J23" s="98"/>
      <c r="K23" s="109"/>
      <c r="L23" s="598" t="s">
        <v>163</v>
      </c>
      <c r="M23" s="599"/>
      <c r="N23" s="604">
        <f>+((0.9)*(N25-N19))+N19</f>
        <v>0</v>
      </c>
      <c r="O23" s="211"/>
      <c r="Q23" s="63"/>
      <c r="S23" s="64"/>
      <c r="X23" s="62">
        <v>0.22950000000000001</v>
      </c>
      <c r="Y23" s="62">
        <f t="shared" si="0"/>
        <v>2.7539999999999999E-2</v>
      </c>
    </row>
    <row r="24" spans="1:25" ht="15.95" customHeight="1" x14ac:dyDescent="0.2">
      <c r="A24" s="97"/>
      <c r="B24" s="207">
        <v>2</v>
      </c>
      <c r="C24" s="208">
        <v>1.4142135623730951</v>
      </c>
      <c r="D24" s="209">
        <f>'Datos '!E43</f>
        <v>0</v>
      </c>
      <c r="E24" s="209">
        <f t="shared" si="1"/>
        <v>0</v>
      </c>
      <c r="F24" s="221" t="e">
        <f t="shared" si="2"/>
        <v>#REF!</v>
      </c>
      <c r="G24" s="219" t="e">
        <f t="shared" si="3"/>
        <v>#REF!</v>
      </c>
      <c r="H24" s="98"/>
      <c r="I24" s="98"/>
      <c r="J24" s="98"/>
      <c r="K24" s="98"/>
      <c r="L24" s="598"/>
      <c r="M24" s="599"/>
      <c r="N24" s="603"/>
      <c r="O24" s="108"/>
      <c r="Q24" s="63" t="s">
        <v>110</v>
      </c>
      <c r="R24" s="62" t="s">
        <v>79</v>
      </c>
      <c r="S24" s="72">
        <v>20</v>
      </c>
      <c r="X24" s="62">
        <v>0.24480000000000002</v>
      </c>
      <c r="Y24" s="62">
        <f t="shared" si="0"/>
        <v>2.9375999999999999E-2</v>
      </c>
    </row>
    <row r="25" spans="1:25" ht="15.95" customHeight="1" thickBot="1" x14ac:dyDescent="0.25">
      <c r="A25" s="97"/>
      <c r="B25" s="207">
        <v>3</v>
      </c>
      <c r="C25" s="208">
        <v>1.7320508075688772</v>
      </c>
      <c r="D25" s="209">
        <f>'Datos '!E44</f>
        <v>0</v>
      </c>
      <c r="E25" s="209">
        <f t="shared" si="1"/>
        <v>0</v>
      </c>
      <c r="F25" s="221" t="e">
        <f t="shared" si="2"/>
        <v>#REF!</v>
      </c>
      <c r="G25" s="219" t="e">
        <f t="shared" si="3"/>
        <v>#REF!</v>
      </c>
      <c r="H25" s="98" t="s">
        <v>168</v>
      </c>
      <c r="I25" s="98"/>
      <c r="J25" s="98" t="s">
        <v>169</v>
      </c>
      <c r="K25" s="98"/>
      <c r="L25" s="598" t="s">
        <v>164</v>
      </c>
      <c r="M25" s="599"/>
      <c r="N25" s="604">
        <f>L41/100</f>
        <v>0</v>
      </c>
      <c r="O25" s="108"/>
      <c r="Q25" s="73" t="s">
        <v>79</v>
      </c>
      <c r="R25" s="74" t="e">
        <f>(S24-R22)/R21</f>
        <v>#REF!</v>
      </c>
      <c r="S25" s="75"/>
      <c r="X25" s="62">
        <v>0.25650000000000001</v>
      </c>
      <c r="Y25" s="62">
        <f t="shared" si="0"/>
        <v>3.0779999999999998E-2</v>
      </c>
    </row>
    <row r="26" spans="1:25" ht="15.95" customHeight="1" thickBot="1" x14ac:dyDescent="0.25">
      <c r="A26" s="97"/>
      <c r="B26" s="207">
        <v>4</v>
      </c>
      <c r="C26" s="208">
        <v>2</v>
      </c>
      <c r="D26" s="209">
        <f>'Datos '!E45</f>
        <v>0</v>
      </c>
      <c r="E26" s="209">
        <f t="shared" si="1"/>
        <v>0</v>
      </c>
      <c r="F26" s="221" t="e">
        <f t="shared" si="2"/>
        <v>#REF!</v>
      </c>
      <c r="G26" s="219" t="e">
        <f t="shared" si="3"/>
        <v>#REF!</v>
      </c>
      <c r="H26" s="98" t="s">
        <v>170</v>
      </c>
      <c r="I26" s="98"/>
      <c r="J26" s="98" t="s">
        <v>171</v>
      </c>
      <c r="K26" s="98"/>
      <c r="L26" s="600"/>
      <c r="M26" s="601"/>
      <c r="N26" s="605"/>
      <c r="O26" s="108"/>
      <c r="X26" s="62">
        <v>0.27179999999999999</v>
      </c>
      <c r="Y26" s="62">
        <f t="shared" si="0"/>
        <v>3.2615999999999999E-2</v>
      </c>
    </row>
    <row r="27" spans="1:25" ht="17.25" customHeight="1" thickBot="1" x14ac:dyDescent="0.25">
      <c r="A27" s="97"/>
      <c r="B27" s="207">
        <v>6</v>
      </c>
      <c r="C27" s="208">
        <v>2.4494897427831779</v>
      </c>
      <c r="D27" s="209">
        <f>'Datos '!E46</f>
        <v>0</v>
      </c>
      <c r="E27" s="209">
        <f t="shared" si="1"/>
        <v>0</v>
      </c>
      <c r="F27" s="221" t="e">
        <f t="shared" si="2"/>
        <v>#REF!</v>
      </c>
      <c r="G27" s="219" t="e">
        <f t="shared" si="3"/>
        <v>#REF!</v>
      </c>
      <c r="H27" s="98"/>
      <c r="I27" s="98"/>
      <c r="J27" s="98"/>
      <c r="K27" s="98"/>
      <c r="L27" s="98"/>
      <c r="M27" s="98"/>
      <c r="N27" s="98"/>
      <c r="O27" s="108"/>
      <c r="Q27" s="69" t="s">
        <v>80</v>
      </c>
      <c r="R27" s="70"/>
      <c r="S27" s="71"/>
      <c r="X27" s="62">
        <v>0.28079999999999999</v>
      </c>
      <c r="Y27" s="62">
        <f t="shared" si="0"/>
        <v>3.3695999999999997E-2</v>
      </c>
    </row>
    <row r="28" spans="1:25" ht="15.95" customHeight="1" thickBot="1" x14ac:dyDescent="0.25">
      <c r="A28" s="97"/>
      <c r="B28" s="207">
        <v>9</v>
      </c>
      <c r="C28" s="208">
        <v>3</v>
      </c>
      <c r="D28" s="209">
        <f>'Datos '!E47</f>
        <v>0</v>
      </c>
      <c r="E28" s="209">
        <f t="shared" si="1"/>
        <v>0</v>
      </c>
      <c r="F28" s="221" t="e">
        <f t="shared" si="2"/>
        <v>#REF!</v>
      </c>
      <c r="G28" s="219" t="e">
        <f t="shared" si="3"/>
        <v>#REF!</v>
      </c>
      <c r="H28" s="98"/>
      <c r="I28" s="98"/>
      <c r="J28" s="98"/>
      <c r="K28" s="98"/>
      <c r="L28" s="648" t="s">
        <v>65</v>
      </c>
      <c r="M28" s="649"/>
      <c r="N28" s="650"/>
      <c r="O28" s="108"/>
      <c r="Q28" s="63"/>
      <c r="S28" s="64"/>
      <c r="X28" s="62">
        <v>0.2853</v>
      </c>
      <c r="Y28" s="62">
        <f t="shared" si="0"/>
        <v>3.4235999999999996E-2</v>
      </c>
    </row>
    <row r="29" spans="1:25" ht="15.95" customHeight="1" thickBot="1" x14ac:dyDescent="0.25">
      <c r="A29" s="97"/>
      <c r="B29" s="207">
        <v>12</v>
      </c>
      <c r="C29" s="208">
        <v>3.4641016151377544</v>
      </c>
      <c r="D29" s="209">
        <f>'Datos '!E48</f>
        <v>0</v>
      </c>
      <c r="E29" s="209">
        <f t="shared" si="1"/>
        <v>0</v>
      </c>
      <c r="F29" s="221" t="e">
        <f t="shared" si="2"/>
        <v>#REF!</v>
      </c>
      <c r="G29" s="219" t="e">
        <f t="shared" si="3"/>
        <v>#REF!</v>
      </c>
      <c r="H29" s="98"/>
      <c r="I29" s="98"/>
      <c r="J29" s="98"/>
      <c r="K29" s="98"/>
      <c r="L29" s="651"/>
      <c r="M29" s="652"/>
      <c r="N29" s="653"/>
      <c r="O29" s="108"/>
      <c r="Q29" s="63" t="s">
        <v>75</v>
      </c>
      <c r="R29" s="62" t="e">
        <f>R21*0.85</f>
        <v>#REF!</v>
      </c>
      <c r="S29" s="64"/>
      <c r="X29" s="62">
        <v>0.28710000000000002</v>
      </c>
      <c r="Y29" s="62">
        <f t="shared" si="0"/>
        <v>3.4452000000000003E-2</v>
      </c>
    </row>
    <row r="30" spans="1:25" ht="15.95" customHeight="1" thickBot="1" x14ac:dyDescent="0.25">
      <c r="A30" s="97"/>
      <c r="B30" s="207">
        <v>16</v>
      </c>
      <c r="C30" s="208">
        <v>4</v>
      </c>
      <c r="D30" s="209">
        <f>'Datos '!E49</f>
        <v>0</v>
      </c>
      <c r="E30" s="209">
        <f t="shared" si="1"/>
        <v>0</v>
      </c>
      <c r="F30" s="221" t="e">
        <f t="shared" si="2"/>
        <v>#REF!</v>
      </c>
      <c r="G30" s="219" t="e">
        <f t="shared" si="3"/>
        <v>#REF!</v>
      </c>
      <c r="H30" s="98"/>
      <c r="I30" s="98"/>
      <c r="J30" s="98"/>
      <c r="K30" s="98"/>
      <c r="L30" s="98"/>
      <c r="M30" s="98"/>
      <c r="N30" s="98"/>
      <c r="O30" s="108"/>
      <c r="Q30" s="63" t="s">
        <v>77</v>
      </c>
      <c r="R30" s="62" t="e">
        <f>R22</f>
        <v>#REF!</v>
      </c>
      <c r="S30" s="64"/>
      <c r="X30" s="62">
        <v>0.28889999999999999</v>
      </c>
      <c r="Y30" s="62">
        <f t="shared" si="0"/>
        <v>3.4667999999999997E-2</v>
      </c>
    </row>
    <row r="31" spans="1:25" ht="15.95" customHeight="1" thickBot="1" x14ac:dyDescent="0.25">
      <c r="A31" s="97"/>
      <c r="B31" s="207">
        <v>25</v>
      </c>
      <c r="C31" s="208">
        <v>5</v>
      </c>
      <c r="D31" s="209">
        <f>'Datos '!E50</f>
        <v>0</v>
      </c>
      <c r="E31" s="209">
        <f t="shared" si="1"/>
        <v>0</v>
      </c>
      <c r="F31" s="221" t="e">
        <f t="shared" si="2"/>
        <v>#REF!</v>
      </c>
      <c r="G31" s="219" t="e">
        <f t="shared" si="3"/>
        <v>#REF!</v>
      </c>
      <c r="H31" s="98"/>
      <c r="I31" s="98"/>
      <c r="J31" s="98"/>
      <c r="K31" s="98"/>
      <c r="L31" s="645" t="s">
        <v>66</v>
      </c>
      <c r="M31" s="646"/>
      <c r="N31" s="647"/>
      <c r="O31" s="108"/>
      <c r="Q31" s="63"/>
      <c r="R31" s="62" t="s">
        <v>78</v>
      </c>
      <c r="S31" s="72">
        <v>20</v>
      </c>
      <c r="X31" s="62">
        <v>0.2898</v>
      </c>
      <c r="Y31" s="62">
        <f t="shared" si="0"/>
        <v>3.4776000000000001E-2</v>
      </c>
    </row>
    <row r="32" spans="1:25" ht="15.95" customHeight="1" thickBot="1" x14ac:dyDescent="0.25">
      <c r="A32" s="97"/>
      <c r="B32" s="207">
        <v>36</v>
      </c>
      <c r="C32" s="208">
        <v>6</v>
      </c>
      <c r="D32" s="209">
        <f>'Datos '!E51</f>
        <v>0</v>
      </c>
      <c r="E32" s="209">
        <f t="shared" si="1"/>
        <v>0</v>
      </c>
      <c r="F32" s="221" t="e">
        <f t="shared" si="2"/>
        <v>#REF!</v>
      </c>
      <c r="G32" s="219" t="e">
        <f t="shared" si="3"/>
        <v>#REF!</v>
      </c>
      <c r="H32" s="98"/>
      <c r="I32" s="98"/>
      <c r="J32" s="98"/>
      <c r="K32" s="98"/>
      <c r="L32" s="595" t="e">
        <f>L29*9.85/Resultados!E22</f>
        <v>#DIV/0!</v>
      </c>
      <c r="M32" s="596"/>
      <c r="N32" s="597"/>
      <c r="O32" s="108"/>
      <c r="Q32" s="73" t="s">
        <v>79</v>
      </c>
      <c r="R32" s="74" t="e">
        <f>(S31-R30)/R29</f>
        <v>#REF!</v>
      </c>
      <c r="S32" s="75"/>
      <c r="X32" s="62">
        <v>0.29025000000000001</v>
      </c>
      <c r="Y32" s="62">
        <f t="shared" si="0"/>
        <v>3.483E-2</v>
      </c>
    </row>
    <row r="33" spans="1:25" ht="15.95" customHeight="1" thickBot="1" x14ac:dyDescent="0.25">
      <c r="A33" s="97"/>
      <c r="B33" s="207">
        <v>49</v>
      </c>
      <c r="C33" s="208">
        <v>7</v>
      </c>
      <c r="D33" s="209">
        <f>'Datos '!E52</f>
        <v>0</v>
      </c>
      <c r="E33" s="209">
        <f t="shared" si="1"/>
        <v>0</v>
      </c>
      <c r="F33" s="221" t="e">
        <f t="shared" si="2"/>
        <v>#REF!</v>
      </c>
      <c r="G33" s="219" t="e">
        <f t="shared" si="3"/>
        <v>#REF!</v>
      </c>
      <c r="H33" s="98"/>
      <c r="I33" s="98"/>
      <c r="J33" s="98"/>
      <c r="K33" s="98"/>
      <c r="L33" s="98"/>
      <c r="M33" s="98"/>
      <c r="N33" s="98"/>
      <c r="O33" s="108"/>
      <c r="X33" s="62">
        <v>0.29070000000000001</v>
      </c>
      <c r="Y33" s="62">
        <f t="shared" si="0"/>
        <v>3.4883999999999998E-2</v>
      </c>
    </row>
    <row r="34" spans="1:25" ht="15.95" customHeight="1" thickBot="1" x14ac:dyDescent="0.3">
      <c r="A34" s="97"/>
      <c r="B34" s="207">
        <v>64</v>
      </c>
      <c r="C34" s="208">
        <v>8</v>
      </c>
      <c r="D34" s="209">
        <f>'Datos '!E53</f>
        <v>0</v>
      </c>
      <c r="E34" s="209">
        <f t="shared" si="1"/>
        <v>0</v>
      </c>
      <c r="F34" s="221" t="e">
        <f t="shared" si="2"/>
        <v>#REF!</v>
      </c>
      <c r="G34" s="219" t="e">
        <f t="shared" si="3"/>
        <v>#REF!</v>
      </c>
      <c r="H34" s="98"/>
      <c r="I34" s="98"/>
      <c r="J34" s="98"/>
      <c r="K34" s="98"/>
      <c r="L34" s="642" t="s">
        <v>84</v>
      </c>
      <c r="M34" s="643"/>
      <c r="N34" s="644"/>
      <c r="O34" s="108"/>
      <c r="Q34" s="69" t="s">
        <v>81</v>
      </c>
      <c r="R34" s="71"/>
      <c r="X34" s="62">
        <v>0.29115000000000002</v>
      </c>
      <c r="Y34" s="62">
        <f t="shared" si="0"/>
        <v>3.4938000000000004E-2</v>
      </c>
    </row>
    <row r="35" spans="1:25" ht="15.95" customHeight="1" thickBot="1" x14ac:dyDescent="0.25">
      <c r="A35" s="97"/>
      <c r="B35" s="207">
        <v>81</v>
      </c>
      <c r="C35" s="208">
        <v>9</v>
      </c>
      <c r="D35" s="209">
        <f>'Datos '!E54</f>
        <v>0</v>
      </c>
      <c r="E35" s="209">
        <f t="shared" si="1"/>
        <v>0</v>
      </c>
      <c r="F35" s="221" t="e">
        <f t="shared" si="2"/>
        <v>#REF!</v>
      </c>
      <c r="G35" s="219" t="e">
        <f t="shared" si="3"/>
        <v>#REF!</v>
      </c>
      <c r="H35" s="212"/>
      <c r="I35" s="98"/>
      <c r="J35" s="98"/>
      <c r="K35" s="98"/>
      <c r="L35" s="583">
        <f>LOOKUP(L38,C19:C49,G19:G49)</f>
        <v>0</v>
      </c>
      <c r="M35" s="584"/>
      <c r="N35" s="585"/>
      <c r="O35" s="108"/>
      <c r="Q35" s="63"/>
      <c r="R35" s="64"/>
      <c r="X35" s="62">
        <v>0.29160000000000003</v>
      </c>
      <c r="Y35" s="62">
        <f t="shared" si="0"/>
        <v>3.4992000000000002E-2</v>
      </c>
    </row>
    <row r="36" spans="1:25" ht="15.95" customHeight="1" thickBot="1" x14ac:dyDescent="0.25">
      <c r="A36" s="97"/>
      <c r="B36" s="207">
        <v>100</v>
      </c>
      <c r="C36" s="208">
        <v>10</v>
      </c>
      <c r="D36" s="209">
        <f>'Datos '!E55</f>
        <v>0</v>
      </c>
      <c r="E36" s="209">
        <f t="shared" si="1"/>
        <v>0</v>
      </c>
      <c r="F36" s="221" t="e">
        <f t="shared" si="2"/>
        <v>#REF!</v>
      </c>
      <c r="G36" s="219" t="e">
        <f t="shared" si="3"/>
        <v>#REF!</v>
      </c>
      <c r="H36" s="213"/>
      <c r="I36" s="98"/>
      <c r="J36" s="98"/>
      <c r="K36" s="98"/>
      <c r="L36" s="98"/>
      <c r="M36" s="98"/>
      <c r="N36" s="98"/>
      <c r="O36" s="108"/>
      <c r="Q36" s="65" t="s">
        <v>82</v>
      </c>
      <c r="R36" s="76" t="s">
        <v>83</v>
      </c>
      <c r="X36" s="62">
        <v>0.29205000000000003</v>
      </c>
      <c r="Y36" s="62">
        <f t="shared" si="0"/>
        <v>3.5046000000000001E-2</v>
      </c>
    </row>
    <row r="37" spans="1:25" ht="15.95" customHeight="1" thickBot="1" x14ac:dyDescent="0.3">
      <c r="A37" s="97"/>
      <c r="B37" s="207">
        <v>120</v>
      </c>
      <c r="C37" s="208">
        <v>10.954451150103322</v>
      </c>
      <c r="D37" s="209">
        <f>'Datos '!E56</f>
        <v>0</v>
      </c>
      <c r="E37" s="209">
        <f t="shared" si="1"/>
        <v>0</v>
      </c>
      <c r="F37" s="221" t="e">
        <f t="shared" si="2"/>
        <v>#REF!</v>
      </c>
      <c r="G37" s="219" t="e">
        <f t="shared" si="3"/>
        <v>#REF!</v>
      </c>
      <c r="H37" s="98"/>
      <c r="I37" s="98"/>
      <c r="J37" s="98"/>
      <c r="K37" s="98"/>
      <c r="L37" s="654" t="s">
        <v>245</v>
      </c>
      <c r="M37" s="643"/>
      <c r="N37" s="644"/>
      <c r="O37" s="108"/>
      <c r="Q37" s="77">
        <f>S24</f>
        <v>20</v>
      </c>
      <c r="R37" s="76" t="e">
        <f>R25</f>
        <v>#REF!</v>
      </c>
      <c r="X37" s="62">
        <v>0.29250000000000004</v>
      </c>
      <c r="Y37" s="62">
        <f t="shared" si="0"/>
        <v>3.5100000000000006E-2</v>
      </c>
    </row>
    <row r="38" spans="1:25" ht="15.95" customHeight="1" thickBot="1" x14ac:dyDescent="0.25">
      <c r="A38" s="97"/>
      <c r="B38" s="207">
        <v>144</v>
      </c>
      <c r="C38" s="208">
        <v>12</v>
      </c>
      <c r="D38" s="209">
        <f>'Datos '!E57</f>
        <v>0</v>
      </c>
      <c r="E38" s="209">
        <f t="shared" si="1"/>
        <v>0</v>
      </c>
      <c r="F38" s="221" t="e">
        <f t="shared" si="2"/>
        <v>#REF!</v>
      </c>
      <c r="G38" s="219" t="e">
        <f t="shared" si="3"/>
        <v>#REF!</v>
      </c>
      <c r="H38" s="98"/>
      <c r="I38" s="98"/>
      <c r="J38" s="98"/>
      <c r="K38" s="98"/>
      <c r="L38" s="583"/>
      <c r="M38" s="584"/>
      <c r="N38" s="585"/>
      <c r="O38" s="108"/>
      <c r="Q38" s="65" t="e">
        <f>R22</f>
        <v>#REF!</v>
      </c>
      <c r="R38" s="76">
        <v>0</v>
      </c>
      <c r="X38" s="62">
        <v>0.29295000000000004</v>
      </c>
      <c r="Y38" s="62">
        <f t="shared" si="0"/>
        <v>3.5154000000000005E-2</v>
      </c>
    </row>
    <row r="39" spans="1:25" ht="15.95" customHeight="1" thickBot="1" x14ac:dyDescent="0.25">
      <c r="A39" s="97"/>
      <c r="B39" s="207">
        <v>169</v>
      </c>
      <c r="C39" s="208">
        <v>13</v>
      </c>
      <c r="D39" s="209">
        <f>'Datos '!E58</f>
        <v>0</v>
      </c>
      <c r="E39" s="209">
        <f t="shared" si="1"/>
        <v>0</v>
      </c>
      <c r="F39" s="221" t="e">
        <f t="shared" si="2"/>
        <v>#REF!</v>
      </c>
      <c r="G39" s="219" t="e">
        <f t="shared" si="3"/>
        <v>#REF!</v>
      </c>
      <c r="H39" s="98"/>
      <c r="I39" s="98"/>
      <c r="J39" s="98"/>
      <c r="K39" s="98"/>
      <c r="L39" s="98"/>
      <c r="M39" s="98"/>
      <c r="N39" s="98"/>
      <c r="O39" s="108"/>
      <c r="Q39" s="63"/>
      <c r="R39" s="64"/>
      <c r="X39" s="62">
        <v>0.29339999999999999</v>
      </c>
      <c r="Y39" s="62">
        <f t="shared" si="0"/>
        <v>3.5207999999999996E-2</v>
      </c>
    </row>
    <row r="40" spans="1:25" ht="15.95" customHeight="1" thickBot="1" x14ac:dyDescent="0.3">
      <c r="A40" s="97"/>
      <c r="B40" s="207">
        <v>196</v>
      </c>
      <c r="C40" s="208">
        <v>14</v>
      </c>
      <c r="D40" s="209">
        <f>'Datos '!E59</f>
        <v>0</v>
      </c>
      <c r="E40" s="209">
        <f t="shared" si="1"/>
        <v>0</v>
      </c>
      <c r="F40" s="221" t="e">
        <f t="shared" si="2"/>
        <v>#REF!</v>
      </c>
      <c r="G40" s="219" t="e">
        <f t="shared" si="3"/>
        <v>#REF!</v>
      </c>
      <c r="H40" s="98"/>
      <c r="I40" s="98"/>
      <c r="J40" s="98"/>
      <c r="K40" s="98"/>
      <c r="L40" s="642" t="s">
        <v>85</v>
      </c>
      <c r="M40" s="643"/>
      <c r="N40" s="644"/>
      <c r="O40" s="108"/>
      <c r="Q40" s="63"/>
      <c r="R40" s="64"/>
      <c r="X40" s="62">
        <v>0.29394000000000003</v>
      </c>
      <c r="Y40" s="62">
        <f t="shared" si="0"/>
        <v>3.52728E-2</v>
      </c>
    </row>
    <row r="41" spans="1:25" ht="15.95" customHeight="1" thickBot="1" x14ac:dyDescent="0.25">
      <c r="A41" s="97"/>
      <c r="B41" s="207">
        <v>225</v>
      </c>
      <c r="C41" s="208">
        <v>15</v>
      </c>
      <c r="D41" s="209">
        <f>'Datos '!E60</f>
        <v>0</v>
      </c>
      <c r="E41" s="209">
        <f t="shared" si="1"/>
        <v>0</v>
      </c>
      <c r="F41" s="221" t="e">
        <f t="shared" si="2"/>
        <v>#REF!</v>
      </c>
      <c r="G41" s="219" t="e">
        <f t="shared" si="3"/>
        <v>#REF!</v>
      </c>
      <c r="H41" s="98"/>
      <c r="I41" s="98"/>
      <c r="J41" s="98"/>
      <c r="K41" s="98"/>
      <c r="L41" s="583">
        <f>(L35*(1/9))+L35</f>
        <v>0</v>
      </c>
      <c r="M41" s="584"/>
      <c r="N41" s="585"/>
      <c r="O41" s="108"/>
      <c r="Q41" s="65" t="s">
        <v>82</v>
      </c>
      <c r="R41" s="76" t="s">
        <v>83</v>
      </c>
      <c r="X41" s="62">
        <v>0.29430000000000001</v>
      </c>
      <c r="Y41" s="62">
        <f t="shared" si="0"/>
        <v>3.5316E-2</v>
      </c>
    </row>
    <row r="42" spans="1:25" ht="15.95" customHeight="1" thickBot="1" x14ac:dyDescent="0.25">
      <c r="A42" s="97"/>
      <c r="B42" s="207">
        <v>256</v>
      </c>
      <c r="C42" s="208">
        <v>16</v>
      </c>
      <c r="D42" s="209">
        <f>'Datos '!E61</f>
        <v>0</v>
      </c>
      <c r="E42" s="209">
        <f t="shared" si="1"/>
        <v>0</v>
      </c>
      <c r="F42" s="221" t="e">
        <f t="shared" si="2"/>
        <v>#REF!</v>
      </c>
      <c r="G42" s="219" t="e">
        <f t="shared" si="3"/>
        <v>#REF!</v>
      </c>
      <c r="H42" s="98"/>
      <c r="I42" s="98"/>
      <c r="J42" s="98"/>
      <c r="K42" s="98"/>
      <c r="L42" s="98"/>
      <c r="M42" s="98"/>
      <c r="N42" s="98"/>
      <c r="O42" s="108"/>
      <c r="Q42" s="77">
        <f>S31</f>
        <v>20</v>
      </c>
      <c r="R42" s="76" t="e">
        <f>R32</f>
        <v>#REF!</v>
      </c>
      <c r="X42" s="62">
        <v>0.29493000000000003</v>
      </c>
      <c r="Y42" s="62">
        <f t="shared" si="0"/>
        <v>3.5391600000000002E-2</v>
      </c>
    </row>
    <row r="43" spans="1:25" ht="15.95" customHeight="1" thickBot="1" x14ac:dyDescent="0.3">
      <c r="A43" s="97"/>
      <c r="B43" s="207">
        <v>289</v>
      </c>
      <c r="C43" s="208">
        <v>17</v>
      </c>
      <c r="D43" s="209">
        <f>'Datos '!E62</f>
        <v>0</v>
      </c>
      <c r="E43" s="209">
        <f t="shared" si="1"/>
        <v>0</v>
      </c>
      <c r="F43" s="221" t="e">
        <f t="shared" si="2"/>
        <v>#REF!</v>
      </c>
      <c r="G43" s="219" t="e">
        <f t="shared" si="3"/>
        <v>#REF!</v>
      </c>
      <c r="H43" s="98"/>
      <c r="I43" s="98"/>
      <c r="J43" s="98"/>
      <c r="K43" s="98"/>
      <c r="L43" s="642" t="s">
        <v>86</v>
      </c>
      <c r="M43" s="643"/>
      <c r="N43" s="644"/>
      <c r="O43" s="108"/>
      <c r="Q43" s="65" t="e">
        <f>R30</f>
        <v>#REF!</v>
      </c>
      <c r="R43" s="76">
        <v>0</v>
      </c>
      <c r="X43" s="62">
        <v>0.29520000000000002</v>
      </c>
      <c r="Y43" s="62">
        <f t="shared" si="0"/>
        <v>3.5424000000000004E-2</v>
      </c>
    </row>
    <row r="44" spans="1:25" ht="15.95" customHeight="1" thickBot="1" x14ac:dyDescent="0.25">
      <c r="A44" s="97"/>
      <c r="B44" s="207">
        <v>324</v>
      </c>
      <c r="C44" s="208">
        <v>18</v>
      </c>
      <c r="D44" s="209">
        <f>'Datos '!E63</f>
        <v>0</v>
      </c>
      <c r="E44" s="209">
        <f t="shared" si="1"/>
        <v>0</v>
      </c>
      <c r="F44" s="221" t="e">
        <f t="shared" si="2"/>
        <v>#REF!</v>
      </c>
      <c r="G44" s="219" t="e">
        <f t="shared" si="3"/>
        <v>#REF!</v>
      </c>
      <c r="H44" s="98"/>
      <c r="I44" s="98"/>
      <c r="J44" s="98"/>
      <c r="K44" s="98"/>
      <c r="L44" s="583">
        <f>LOOKUP(L41,G19:G49,C19:C49)</f>
        <v>0</v>
      </c>
      <c r="M44" s="584"/>
      <c r="N44" s="585"/>
      <c r="O44" s="108"/>
      <c r="Q44" s="73"/>
      <c r="R44" s="75"/>
      <c r="X44" s="62">
        <v>0.29592000000000002</v>
      </c>
      <c r="Y44" s="62">
        <f>X44*0.12</f>
        <v>3.5510399999999998E-2</v>
      </c>
    </row>
    <row r="45" spans="1:25" ht="15.95" customHeight="1" thickBot="1" x14ac:dyDescent="0.25">
      <c r="A45" s="97"/>
      <c r="B45" s="207">
        <v>361</v>
      </c>
      <c r="C45" s="208">
        <v>19</v>
      </c>
      <c r="D45" s="209">
        <f>'Datos '!E64</f>
        <v>0</v>
      </c>
      <c r="E45" s="209">
        <f t="shared" si="1"/>
        <v>0</v>
      </c>
      <c r="F45" s="221" t="e">
        <f t="shared" si="2"/>
        <v>#REF!</v>
      </c>
      <c r="G45" s="219" t="e">
        <f t="shared" si="3"/>
        <v>#REF!</v>
      </c>
      <c r="H45" s="98"/>
      <c r="I45" s="98"/>
      <c r="J45" s="98"/>
      <c r="K45" s="98"/>
      <c r="L45" s="98"/>
      <c r="M45" s="98"/>
      <c r="N45" s="98"/>
      <c r="O45" s="108"/>
    </row>
    <row r="46" spans="1:25" ht="15.95" customHeight="1" thickBot="1" x14ac:dyDescent="0.3">
      <c r="A46" s="97"/>
      <c r="B46" s="207">
        <v>400</v>
      </c>
      <c r="C46" s="208">
        <v>20</v>
      </c>
      <c r="D46" s="209">
        <f>'Datos '!E65</f>
        <v>0</v>
      </c>
      <c r="E46" s="209">
        <f t="shared" si="1"/>
        <v>0</v>
      </c>
      <c r="F46" s="221" t="e">
        <f t="shared" si="2"/>
        <v>#REF!</v>
      </c>
      <c r="G46" s="219" t="e">
        <f t="shared" si="3"/>
        <v>#REF!</v>
      </c>
      <c r="H46" s="98"/>
      <c r="I46" s="98"/>
      <c r="J46" s="98"/>
      <c r="K46" s="98"/>
      <c r="L46" s="642" t="s">
        <v>237</v>
      </c>
      <c r="M46" s="643"/>
      <c r="N46" s="644"/>
      <c r="O46" s="108"/>
    </row>
    <row r="47" spans="1:25" ht="15.95" customHeight="1" thickBot="1" x14ac:dyDescent="0.25">
      <c r="A47" s="97"/>
      <c r="B47" s="207">
        <v>441</v>
      </c>
      <c r="C47" s="208">
        <v>21</v>
      </c>
      <c r="D47" s="209">
        <f>'Datos '!E66</f>
        <v>0</v>
      </c>
      <c r="E47" s="209">
        <f t="shared" si="1"/>
        <v>0</v>
      </c>
      <c r="F47" s="221" t="e">
        <f t="shared" si="2"/>
        <v>#REF!</v>
      </c>
      <c r="G47" s="219" t="e">
        <f t="shared" si="3"/>
        <v>#REF!</v>
      </c>
      <c r="H47" s="115"/>
      <c r="I47" s="115"/>
      <c r="J47" s="115"/>
      <c r="K47" s="98"/>
      <c r="L47" s="634" t="e">
        <f>(0.848*((VLOOKUP(INT(L38),C19:F49,4))/10/2)^2)/((L38^2)*60)</f>
        <v>#REF!</v>
      </c>
      <c r="M47" s="635"/>
      <c r="N47" s="636"/>
      <c r="O47" s="108"/>
    </row>
    <row r="48" spans="1:25" ht="15.95" customHeight="1" x14ac:dyDescent="0.2">
      <c r="A48" s="97"/>
      <c r="B48" s="207">
        <v>484</v>
      </c>
      <c r="C48" s="208">
        <v>22</v>
      </c>
      <c r="D48" s="209">
        <f>'Datos '!E67</f>
        <v>0</v>
      </c>
      <c r="E48" s="209">
        <f t="shared" si="1"/>
        <v>0</v>
      </c>
      <c r="F48" s="221" t="e">
        <f t="shared" si="2"/>
        <v>#REF!</v>
      </c>
      <c r="G48" s="219" t="e">
        <f t="shared" si="3"/>
        <v>#REF!</v>
      </c>
      <c r="H48" s="98"/>
      <c r="I48" s="98"/>
      <c r="J48" s="98"/>
      <c r="K48" s="115"/>
      <c r="L48" s="98"/>
      <c r="M48" s="98"/>
      <c r="N48" s="98"/>
      <c r="O48" s="108"/>
    </row>
    <row r="49" spans="1:22" ht="17.25" customHeight="1" thickBot="1" x14ac:dyDescent="0.25">
      <c r="A49" s="97"/>
      <c r="B49" s="214">
        <v>1440</v>
      </c>
      <c r="C49" s="122">
        <v>37.947331922020552</v>
      </c>
      <c r="D49" s="400">
        <f>'Datos '!E68</f>
        <v>0</v>
      </c>
      <c r="E49" s="400">
        <f t="shared" si="1"/>
        <v>0</v>
      </c>
      <c r="F49" s="222" t="e">
        <f t="shared" si="2"/>
        <v>#REF!</v>
      </c>
      <c r="G49" s="220" t="e">
        <f t="shared" si="3"/>
        <v>#REF!</v>
      </c>
      <c r="H49" s="409"/>
      <c r="I49" s="409"/>
      <c r="J49" s="409"/>
      <c r="K49" s="98"/>
      <c r="L49" s="156"/>
      <c r="M49" s="156"/>
      <c r="N49" s="215"/>
      <c r="O49" s="216"/>
      <c r="P49" s="78"/>
    </row>
    <row r="50" spans="1:22" x14ac:dyDescent="0.2">
      <c r="A50" s="97"/>
      <c r="B50" s="98"/>
      <c r="C50" s="98"/>
      <c r="D50" s="98"/>
      <c r="E50" s="98"/>
      <c r="F50" s="98"/>
      <c r="G50" s="98"/>
      <c r="H50" s="98"/>
      <c r="I50" s="98"/>
      <c r="J50" s="98"/>
      <c r="K50" s="98"/>
      <c r="L50" s="98"/>
      <c r="M50" s="98"/>
      <c r="N50" s="98"/>
      <c r="O50" s="108"/>
    </row>
    <row r="51" spans="1:22" ht="18" customHeight="1" x14ac:dyDescent="0.2">
      <c r="A51" s="173"/>
      <c r="B51" s="581" t="s">
        <v>195</v>
      </c>
      <c r="C51" s="581"/>
      <c r="D51" s="581"/>
      <c r="E51" s="581"/>
      <c r="F51" s="581"/>
      <c r="G51" s="581"/>
      <c r="H51" s="581"/>
      <c r="I51" s="581"/>
      <c r="J51" s="581"/>
      <c r="K51" s="581"/>
      <c r="L51" s="581"/>
      <c r="M51" s="581"/>
      <c r="N51" s="581"/>
      <c r="O51" s="108"/>
    </row>
    <row r="52" spans="1:22" ht="15.75" customHeight="1" x14ac:dyDescent="0.2">
      <c r="A52" s="173"/>
      <c r="B52" s="582" t="s">
        <v>196</v>
      </c>
      <c r="C52" s="582"/>
      <c r="D52" s="582"/>
      <c r="E52" s="582"/>
      <c r="F52" s="582"/>
      <c r="G52" s="582"/>
      <c r="H52" s="582"/>
      <c r="I52" s="582"/>
      <c r="J52" s="582"/>
      <c r="K52" s="582"/>
      <c r="L52" s="582"/>
      <c r="M52" s="582"/>
      <c r="N52" s="582"/>
      <c r="O52" s="217"/>
    </row>
    <row r="53" spans="1:22" ht="15.75" customHeight="1" x14ac:dyDescent="0.2">
      <c r="A53" s="173"/>
      <c r="B53" s="582"/>
      <c r="C53" s="582"/>
      <c r="D53" s="582"/>
      <c r="E53" s="582"/>
      <c r="F53" s="582"/>
      <c r="G53" s="582"/>
      <c r="H53" s="582"/>
      <c r="I53" s="582"/>
      <c r="J53" s="582"/>
      <c r="K53" s="582"/>
      <c r="L53" s="582"/>
      <c r="M53" s="582"/>
      <c r="N53" s="582"/>
      <c r="O53" s="217"/>
    </row>
    <row r="54" spans="1:22" ht="12.75" customHeight="1" x14ac:dyDescent="0.2">
      <c r="A54" s="173"/>
      <c r="B54" s="582"/>
      <c r="C54" s="582"/>
      <c r="D54" s="582"/>
      <c r="E54" s="582"/>
      <c r="F54" s="582"/>
      <c r="G54" s="582"/>
      <c r="H54" s="582"/>
      <c r="I54" s="582"/>
      <c r="J54" s="582"/>
      <c r="K54" s="582"/>
      <c r="L54" s="582"/>
      <c r="M54" s="582"/>
      <c r="N54" s="582"/>
      <c r="O54" s="108"/>
    </row>
    <row r="55" spans="1:22" x14ac:dyDescent="0.2">
      <c r="A55" s="173"/>
      <c r="B55" s="582"/>
      <c r="C55" s="582"/>
      <c r="D55" s="582"/>
      <c r="E55" s="582"/>
      <c r="F55" s="582"/>
      <c r="G55" s="582"/>
      <c r="H55" s="582"/>
      <c r="I55" s="582"/>
      <c r="J55" s="582"/>
      <c r="K55" s="582"/>
      <c r="L55" s="582"/>
      <c r="M55" s="582"/>
      <c r="N55" s="582"/>
      <c r="O55" s="108"/>
    </row>
    <row r="56" spans="1:22" x14ac:dyDescent="0.2">
      <c r="A56" s="97"/>
      <c r="B56" s="582"/>
      <c r="C56" s="582"/>
      <c r="D56" s="582"/>
      <c r="E56" s="582"/>
      <c r="F56" s="582"/>
      <c r="G56" s="582"/>
      <c r="H56" s="582"/>
      <c r="I56" s="582"/>
      <c r="J56" s="582"/>
      <c r="K56" s="582"/>
      <c r="L56" s="582"/>
      <c r="M56" s="582"/>
      <c r="N56" s="582"/>
      <c r="O56" s="108"/>
    </row>
    <row r="57" spans="1:22" x14ac:dyDescent="0.2">
      <c r="A57" s="627"/>
      <c r="B57" s="628"/>
      <c r="C57" s="628"/>
      <c r="D57" s="628"/>
      <c r="E57" s="628"/>
      <c r="F57" s="628"/>
      <c r="G57" s="628"/>
      <c r="H57" s="628"/>
      <c r="I57" s="628"/>
      <c r="J57" s="628"/>
      <c r="K57" s="223"/>
      <c r="L57" s="223"/>
      <c r="M57" s="223"/>
      <c r="N57" s="223"/>
      <c r="O57" s="224"/>
    </row>
    <row r="58" spans="1:22" ht="15.75" thickBot="1" x14ac:dyDescent="0.25">
      <c r="A58" s="625"/>
      <c r="B58" s="626"/>
      <c r="C58" s="626"/>
      <c r="D58" s="626"/>
      <c r="E58" s="626"/>
      <c r="F58" s="626"/>
      <c r="G58" s="626"/>
      <c r="H58" s="626"/>
      <c r="I58" s="626"/>
      <c r="J58" s="626"/>
      <c r="K58" s="225"/>
      <c r="L58" s="225"/>
      <c r="M58" s="225"/>
      <c r="N58" s="225"/>
      <c r="O58" s="226"/>
    </row>
    <row r="61" spans="1:22" ht="15.75" thickBot="1" x14ac:dyDescent="0.25"/>
    <row r="62" spans="1:22" x14ac:dyDescent="0.2">
      <c r="Q62" s="69"/>
      <c r="R62" s="70"/>
      <c r="S62" s="70"/>
      <c r="T62" s="70"/>
      <c r="U62" s="70"/>
      <c r="V62" s="71"/>
    </row>
    <row r="63" spans="1:22" x14ac:dyDescent="0.2">
      <c r="Q63" s="63"/>
      <c r="V63" s="64"/>
    </row>
    <row r="64" spans="1:22" x14ac:dyDescent="0.2">
      <c r="Q64" s="63"/>
      <c r="V64" s="64"/>
    </row>
    <row r="65" spans="17:22" x14ac:dyDescent="0.2">
      <c r="Q65" s="63"/>
      <c r="V65" s="64"/>
    </row>
    <row r="66" spans="17:22" x14ac:dyDescent="0.2">
      <c r="Q66" s="79" t="s">
        <v>87</v>
      </c>
      <c r="R66" s="80" t="s">
        <v>88</v>
      </c>
      <c r="S66" s="80" t="s">
        <v>89</v>
      </c>
      <c r="T66" s="80" t="s">
        <v>90</v>
      </c>
      <c r="U66" s="80" t="s">
        <v>91</v>
      </c>
      <c r="V66" s="81" t="s">
        <v>92</v>
      </c>
    </row>
    <row r="67" spans="17:22" ht="15.75" x14ac:dyDescent="0.2">
      <c r="Q67" s="82">
        <v>3.5</v>
      </c>
      <c r="R67" s="83" t="e">
        <f>VLOOKUP(Q67,C19:G34,4)</f>
        <v>#REF!</v>
      </c>
      <c r="S67" s="84" t="e">
        <f>+Q67+((U67-Q67)/(V67-R67))*(T67-R67)</f>
        <v>#REF!</v>
      </c>
      <c r="T67" s="84">
        <f>+L41</f>
        <v>0</v>
      </c>
      <c r="U67" s="85">
        <v>10</v>
      </c>
      <c r="V67" s="86" t="e">
        <f>VLOOKUP(U67,C19:G34,4)</f>
        <v>#REF!</v>
      </c>
    </row>
    <row r="68" spans="17:22" ht="15.75" thickBot="1" x14ac:dyDescent="0.25">
      <c r="Q68" s="73"/>
      <c r="R68" s="74"/>
      <c r="S68" s="74"/>
      <c r="T68" s="74"/>
      <c r="U68" s="74"/>
      <c r="V68" s="75"/>
    </row>
  </sheetData>
  <mergeCells count="64">
    <mergeCell ref="L32:N32"/>
    <mergeCell ref="L35:N35"/>
    <mergeCell ref="L37:N37"/>
    <mergeCell ref="B51:N51"/>
    <mergeCell ref="N23:N24"/>
    <mergeCell ref="L31:N31"/>
    <mergeCell ref="L28:N28"/>
    <mergeCell ref="L29:N29"/>
    <mergeCell ref="L18:N18"/>
    <mergeCell ref="L19:M20"/>
    <mergeCell ref="N19:N20"/>
    <mergeCell ref="L21:M22"/>
    <mergeCell ref="N21:N22"/>
    <mergeCell ref="A57:J57"/>
    <mergeCell ref="A58:J58"/>
    <mergeCell ref="D13:N13"/>
    <mergeCell ref="D14:N14"/>
    <mergeCell ref="L38:N38"/>
    <mergeCell ref="L44:N44"/>
    <mergeCell ref="L40:N40"/>
    <mergeCell ref="L41:N41"/>
    <mergeCell ref="L43:N43"/>
    <mergeCell ref="L47:N47"/>
    <mergeCell ref="L46:N46"/>
    <mergeCell ref="L34:N34"/>
    <mergeCell ref="L25:M26"/>
    <mergeCell ref="B52:N56"/>
    <mergeCell ref="L23:M24"/>
    <mergeCell ref="N25:N26"/>
    <mergeCell ref="J9:K9"/>
    <mergeCell ref="M9:N9"/>
    <mergeCell ref="B14:C14"/>
    <mergeCell ref="B13:C13"/>
    <mergeCell ref="B10:C10"/>
    <mergeCell ref="D10:I10"/>
    <mergeCell ref="J10:K10"/>
    <mergeCell ref="B11:M11"/>
    <mergeCell ref="B12:C12"/>
    <mergeCell ref="D12:F12"/>
    <mergeCell ref="J12:K12"/>
    <mergeCell ref="B9:C9"/>
    <mergeCell ref="D9:I9"/>
    <mergeCell ref="L10:N10"/>
    <mergeCell ref="AP3:AS5"/>
    <mergeCell ref="M4:O4"/>
    <mergeCell ref="B5:M5"/>
    <mergeCell ref="A1:D4"/>
    <mergeCell ref="B6:C6"/>
    <mergeCell ref="D6:I6"/>
    <mergeCell ref="J6:K6"/>
    <mergeCell ref="L6:N6"/>
    <mergeCell ref="F2:L4"/>
    <mergeCell ref="F1:L1"/>
    <mergeCell ref="M1:O1"/>
    <mergeCell ref="M2:O2"/>
    <mergeCell ref="M3:O3"/>
    <mergeCell ref="B7:C7"/>
    <mergeCell ref="D7:I7"/>
    <mergeCell ref="J7:K7"/>
    <mergeCell ref="L7:N7"/>
    <mergeCell ref="B8:C8"/>
    <mergeCell ref="D8:I8"/>
    <mergeCell ref="J8:K8"/>
    <mergeCell ref="L8:N8"/>
  </mergeCells>
  <conditionalFormatting sqref="D12:E14">
    <cfRule type="containsBlanks" dxfId="42" priority="3">
      <formula>LEN(TRIM(D12))=0</formula>
    </cfRule>
  </conditionalFormatting>
  <conditionalFormatting sqref="D12:G12">
    <cfRule type="containsBlanks" dxfId="41" priority="1">
      <formula>LEN(TRIM(D12))=0</formula>
    </cfRule>
    <cfRule type="containsBlanks" dxfId="40" priority="2">
      <formula>LEN(TRIM(D12))=0</formula>
    </cfRule>
  </conditionalFormatting>
  <conditionalFormatting sqref="D6:I10">
    <cfRule type="containsBlanks" dxfId="39" priority="7">
      <formula>LEN(TRIM(D6))=0</formula>
    </cfRule>
  </conditionalFormatting>
  <conditionalFormatting sqref="D6:J10 L6:N6 L7:L8 M9 G12:J12 L12:N12 D13:E14 B6:B10 B12:B14">
    <cfRule type="containsBlanks" dxfId="38" priority="8">
      <formula>LEN(TRIM(B6))=0</formula>
    </cfRule>
  </conditionalFormatting>
  <conditionalFormatting sqref="L6:N8 M9 I12 L12 N12 D13:E14">
    <cfRule type="containsBlanks" dxfId="37" priority="6">
      <formula>LEN(TRIM(D6))=0</formula>
    </cfRule>
  </conditionalFormatting>
  <conditionalFormatting sqref="L6:N8 M9 I12 L12 N12">
    <cfRule type="containsBlanks" dxfId="36" priority="4">
      <formula>LEN(TRIM(I6))=0</formula>
    </cfRule>
  </conditionalFormatting>
  <printOptions horizontalCentered="1" verticalCentered="1" gridLinesSet="0"/>
  <pageMargins left="0.19685039370078741" right="0.19685039370078741" top="0.19685039370078741" bottom="0.39370078740157483" header="0.31496062992125984" footer="0.31496062992125984"/>
  <pageSetup scale="57" orientation="landscape" r:id="rId1"/>
  <headerFooter alignWithMargins="0">
    <oddFooter>&amp;CGEODELTA INGENIERÍA 
Barrio el laurel, Móvil: 3187902368 Bogotá DC - Colombia
e-mail: laboratoriogeodelta@gmail.com</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8"/>
  <sheetViews>
    <sheetView showGridLines="0" view="pageBreakPreview" topLeftCell="A43" zoomScaleNormal="100" zoomScaleSheetLayoutView="100" workbookViewId="0">
      <selection activeCell="H18" sqref="H18"/>
    </sheetView>
  </sheetViews>
  <sheetFormatPr baseColWidth="10" defaultColWidth="11.42578125" defaultRowHeight="15" x14ac:dyDescent="0.2"/>
  <cols>
    <col min="1" max="1" width="3.28515625" style="62" customWidth="1"/>
    <col min="2" max="2" width="14.42578125" style="62" customWidth="1"/>
    <col min="3" max="3" width="15.28515625" style="62" customWidth="1"/>
    <col min="4" max="4" width="19" style="62" customWidth="1"/>
    <col min="5" max="5" width="18" style="62" customWidth="1"/>
    <col min="6" max="6" width="17.85546875" style="62" customWidth="1"/>
    <col min="7" max="7" width="17.7109375" style="62" customWidth="1"/>
    <col min="8" max="8" width="18.5703125" style="62" bestFit="1" customWidth="1"/>
    <col min="9" max="9" width="22.85546875" style="62" customWidth="1"/>
    <col min="10" max="10" width="21.140625" style="62" customWidth="1"/>
    <col min="11" max="11" width="8.28515625" style="62" customWidth="1"/>
    <col min="12" max="14" width="13.7109375" style="62" customWidth="1"/>
    <col min="15" max="15" width="2" style="62" customWidth="1"/>
    <col min="16" max="16384" width="11.42578125" style="62"/>
  </cols>
  <sheetData>
    <row r="1" spans="1:45" s="36" customFormat="1" ht="17.25" customHeight="1" x14ac:dyDescent="0.2">
      <c r="A1" s="532"/>
      <c r="B1" s="533"/>
      <c r="C1" s="533"/>
      <c r="D1" s="726"/>
      <c r="E1" s="397"/>
      <c r="F1" s="546" t="s">
        <v>119</v>
      </c>
      <c r="G1" s="546"/>
      <c r="H1" s="546"/>
      <c r="I1" s="546"/>
      <c r="J1" s="546"/>
      <c r="K1" s="546"/>
      <c r="L1" s="622"/>
      <c r="M1" s="614" t="str">
        <f>Resultados!O1</f>
        <v>CÓDIGO: GDA-FLC-009</v>
      </c>
      <c r="N1" s="615"/>
      <c r="O1" s="616"/>
      <c r="P1" s="35"/>
      <c r="Q1" s="35"/>
      <c r="R1" s="35" t="s">
        <v>126</v>
      </c>
      <c r="S1" s="35"/>
      <c r="T1" s="35"/>
      <c r="U1" s="35"/>
      <c r="V1" s="35"/>
      <c r="W1" s="35"/>
      <c r="Z1" s="37" t="s">
        <v>120</v>
      </c>
      <c r="AA1" s="36" t="s">
        <v>121</v>
      </c>
    </row>
    <row r="2" spans="1:45" s="36" customFormat="1" ht="17.25" customHeight="1" x14ac:dyDescent="0.2">
      <c r="A2" s="534"/>
      <c r="B2" s="725"/>
      <c r="C2" s="725"/>
      <c r="D2" s="727"/>
      <c r="E2" s="67"/>
      <c r="F2" s="638" t="s">
        <v>185</v>
      </c>
      <c r="G2" s="638"/>
      <c r="H2" s="638"/>
      <c r="I2" s="638"/>
      <c r="J2" s="638"/>
      <c r="K2" s="638"/>
      <c r="L2" s="639"/>
      <c r="M2" s="617" t="str">
        <f>Resultados!O2</f>
        <v>VERSIÓN :03</v>
      </c>
      <c r="N2" s="618"/>
      <c r="O2" s="619"/>
      <c r="P2" s="35"/>
      <c r="Q2" s="35"/>
      <c r="R2" s="35" t="s">
        <v>174</v>
      </c>
      <c r="S2" s="35"/>
      <c r="T2" s="35"/>
      <c r="U2" s="35"/>
      <c r="V2" s="35"/>
      <c r="W2" s="35"/>
      <c r="Z2" s="37" t="s">
        <v>122</v>
      </c>
      <c r="AA2" s="36" t="s">
        <v>123</v>
      </c>
    </row>
    <row r="3" spans="1:45" s="36" customFormat="1" ht="17.25" customHeight="1" x14ac:dyDescent="0.2">
      <c r="A3" s="534"/>
      <c r="B3" s="725"/>
      <c r="C3" s="725"/>
      <c r="D3" s="727"/>
      <c r="E3" s="67"/>
      <c r="F3" s="638"/>
      <c r="G3" s="638"/>
      <c r="H3" s="638"/>
      <c r="I3" s="638"/>
      <c r="J3" s="638"/>
      <c r="K3" s="638"/>
      <c r="L3" s="639"/>
      <c r="M3" s="617" t="s">
        <v>178</v>
      </c>
      <c r="N3" s="618"/>
      <c r="O3" s="619"/>
      <c r="P3" s="35"/>
      <c r="Q3" s="35"/>
      <c r="R3" s="35" t="s">
        <v>131</v>
      </c>
      <c r="S3" s="35"/>
      <c r="T3" s="35"/>
      <c r="U3" s="35"/>
      <c r="V3" s="35"/>
      <c r="W3" s="35"/>
      <c r="AP3" s="620" t="s">
        <v>124</v>
      </c>
      <c r="AQ3" s="620"/>
      <c r="AR3" s="620"/>
      <c r="AS3" s="620"/>
    </row>
    <row r="4" spans="1:45" s="36" customFormat="1" ht="17.25" customHeight="1" thickBot="1" x14ac:dyDescent="0.25">
      <c r="A4" s="535"/>
      <c r="B4" s="536"/>
      <c r="C4" s="536"/>
      <c r="D4" s="621"/>
      <c r="E4" s="398"/>
      <c r="F4" s="640"/>
      <c r="G4" s="640"/>
      <c r="H4" s="640"/>
      <c r="I4" s="640"/>
      <c r="J4" s="640"/>
      <c r="K4" s="640"/>
      <c r="L4" s="641"/>
      <c r="M4" s="535" t="str">
        <f>Resultados!O4</f>
        <v>FECHA: 08-08-2025</v>
      </c>
      <c r="N4" s="536"/>
      <c r="O4" s="621"/>
      <c r="P4" s="35"/>
      <c r="Q4" s="35"/>
      <c r="R4" s="35" t="s">
        <v>135</v>
      </c>
      <c r="S4" s="35"/>
      <c r="T4" s="35"/>
      <c r="U4" s="35"/>
      <c r="V4" s="35"/>
      <c r="W4" s="35"/>
      <c r="AP4" s="620"/>
      <c r="AQ4" s="620"/>
      <c r="AR4" s="620"/>
      <c r="AS4" s="620"/>
    </row>
    <row r="5" spans="1:45" s="36" customFormat="1" ht="3.95" customHeight="1" thickBot="1" x14ac:dyDescent="0.25">
      <c r="A5" s="38"/>
      <c r="B5" s="528"/>
      <c r="C5" s="528"/>
      <c r="D5" s="528"/>
      <c r="E5" s="528"/>
      <c r="F5" s="528"/>
      <c r="G5" s="528"/>
      <c r="H5" s="528"/>
      <c r="I5" s="528"/>
      <c r="J5" s="528"/>
      <c r="K5" s="528"/>
      <c r="L5" s="528"/>
      <c r="M5" s="528"/>
      <c r="N5" s="40"/>
      <c r="O5" s="41"/>
      <c r="P5" s="42"/>
      <c r="Q5" s="42"/>
      <c r="R5" s="42" t="s">
        <v>138</v>
      </c>
      <c r="S5" s="42"/>
      <c r="T5" s="42"/>
      <c r="U5" s="42"/>
      <c r="V5" s="42"/>
      <c r="W5" s="42"/>
      <c r="AP5" s="620"/>
      <c r="AQ5" s="620"/>
      <c r="AR5" s="620"/>
      <c r="AS5" s="620"/>
    </row>
    <row r="6" spans="1:45" s="36" customFormat="1" ht="22.5" customHeight="1" x14ac:dyDescent="0.2">
      <c r="A6" s="34"/>
      <c r="B6" s="524" t="s">
        <v>0</v>
      </c>
      <c r="C6" s="524"/>
      <c r="D6" s="629">
        <f>Resultados!D6</f>
        <v>0</v>
      </c>
      <c r="E6" s="629"/>
      <c r="F6" s="629"/>
      <c r="G6" s="629"/>
      <c r="H6" s="629"/>
      <c r="I6" s="629"/>
      <c r="J6" s="531" t="s">
        <v>125</v>
      </c>
      <c r="K6" s="531"/>
      <c r="L6" s="637">
        <f>Resultados!M6</f>
        <v>0</v>
      </c>
      <c r="M6" s="637"/>
      <c r="N6" s="637"/>
      <c r="O6" s="44"/>
      <c r="P6" s="45"/>
      <c r="Q6" s="45"/>
      <c r="R6" s="45"/>
      <c r="S6" s="45"/>
      <c r="T6" s="45"/>
      <c r="U6" s="45"/>
      <c r="V6" s="45"/>
      <c r="W6" s="45"/>
      <c r="AP6" s="46" t="s">
        <v>126</v>
      </c>
      <c r="AQ6" s="37"/>
      <c r="AR6" s="37"/>
      <c r="AS6" s="37"/>
    </row>
    <row r="7" spans="1:45" s="36" customFormat="1" ht="27" customHeight="1" x14ac:dyDescent="0.2">
      <c r="A7" s="38"/>
      <c r="B7" s="516" t="s">
        <v>1</v>
      </c>
      <c r="C7" s="516"/>
      <c r="D7" s="612">
        <f>Resultados!D7</f>
        <v>0</v>
      </c>
      <c r="E7" s="612"/>
      <c r="F7" s="612"/>
      <c r="G7" s="612"/>
      <c r="H7" s="612"/>
      <c r="I7" s="612"/>
      <c r="J7" s="520" t="s">
        <v>127</v>
      </c>
      <c r="K7" s="520"/>
      <c r="L7" s="613">
        <f>Resultados!M7</f>
        <v>0</v>
      </c>
      <c r="M7" s="613"/>
      <c r="N7" s="613"/>
      <c r="O7" s="47"/>
      <c r="P7" s="45"/>
      <c r="Q7" s="45"/>
      <c r="R7" s="45"/>
      <c r="S7" s="45"/>
      <c r="T7" s="45"/>
      <c r="U7" s="45"/>
      <c r="V7" s="45"/>
      <c r="W7" s="45"/>
      <c r="AP7" s="46" t="s">
        <v>128</v>
      </c>
      <c r="AQ7" s="37"/>
      <c r="AR7" s="37"/>
      <c r="AS7" s="37"/>
    </row>
    <row r="8" spans="1:45" s="36" customFormat="1" ht="22.5" customHeight="1" x14ac:dyDescent="0.2">
      <c r="A8" s="38"/>
      <c r="B8" s="516" t="s">
        <v>129</v>
      </c>
      <c r="C8" s="516"/>
      <c r="D8" s="560">
        <f>Resultados!D8</f>
        <v>0</v>
      </c>
      <c r="E8" s="560"/>
      <c r="F8" s="560"/>
      <c r="G8" s="560"/>
      <c r="H8" s="560"/>
      <c r="I8" s="560"/>
      <c r="J8" s="520" t="s">
        <v>130</v>
      </c>
      <c r="K8" s="520"/>
      <c r="L8" s="613">
        <f>Resultados!M8</f>
        <v>0</v>
      </c>
      <c r="M8" s="613"/>
      <c r="N8" s="613"/>
      <c r="O8" s="47"/>
      <c r="P8" s="45"/>
      <c r="Q8" s="45"/>
      <c r="R8" s="45"/>
      <c r="S8" s="45"/>
      <c r="T8" s="45"/>
      <c r="U8" s="45"/>
      <c r="V8" s="45"/>
      <c r="W8" s="45"/>
      <c r="AP8" s="46" t="s">
        <v>131</v>
      </c>
      <c r="AQ8" s="37"/>
      <c r="AR8" s="37"/>
      <c r="AS8" s="37"/>
    </row>
    <row r="9" spans="1:45" s="36" customFormat="1" ht="15.75" customHeight="1" x14ac:dyDescent="0.2">
      <c r="A9" s="38"/>
      <c r="B9" s="516" t="s">
        <v>132</v>
      </c>
      <c r="C9" s="516"/>
      <c r="D9" s="560">
        <f>Resultados!D9</f>
        <v>0</v>
      </c>
      <c r="E9" s="560"/>
      <c r="F9" s="560"/>
      <c r="G9" s="560"/>
      <c r="H9" s="560"/>
      <c r="I9" s="560"/>
      <c r="J9" s="520" t="s">
        <v>133</v>
      </c>
      <c r="K9" s="520"/>
      <c r="L9" s="48" t="s">
        <v>134</v>
      </c>
      <c r="M9" s="632" t="str">
        <f>_xlfn.CONCAT(Resultados!N9," ","-"," ",Resultados!P9)</f>
        <v xml:space="preserve"> - </v>
      </c>
      <c r="N9" s="633"/>
      <c r="O9" s="47"/>
      <c r="P9" s="45">
        <v>25</v>
      </c>
      <c r="Q9" s="45"/>
      <c r="R9" s="45"/>
      <c r="S9" s="45"/>
      <c r="T9" s="45"/>
      <c r="U9" s="45"/>
      <c r="V9" s="45"/>
      <c r="W9" s="45"/>
      <c r="AP9" s="46" t="s">
        <v>135</v>
      </c>
      <c r="AQ9" s="37"/>
      <c r="AR9" s="37"/>
      <c r="AS9" s="37"/>
    </row>
    <row r="10" spans="1:45" s="36" customFormat="1" ht="22.5" customHeight="1" x14ac:dyDescent="0.2">
      <c r="A10" s="38"/>
      <c r="B10" s="550" t="s">
        <v>136</v>
      </c>
      <c r="C10" s="550"/>
      <c r="D10" s="560">
        <f>Resultados!D10</f>
        <v>0</v>
      </c>
      <c r="E10" s="560"/>
      <c r="F10" s="560"/>
      <c r="G10" s="560"/>
      <c r="H10" s="560"/>
      <c r="I10" s="560"/>
      <c r="J10" s="561" t="s">
        <v>137</v>
      </c>
      <c r="K10" s="561"/>
      <c r="L10" s="560" t="str">
        <f>Resultados!M10</f>
        <v xml:space="preserve"> --</v>
      </c>
      <c r="M10" s="560"/>
      <c r="N10" s="560"/>
      <c r="O10" s="49"/>
      <c r="P10" s="50"/>
      <c r="Q10" s="50"/>
      <c r="R10" s="50"/>
      <c r="S10" s="50"/>
      <c r="T10" s="50"/>
      <c r="U10" s="50"/>
      <c r="V10" s="50"/>
      <c r="W10" s="50"/>
      <c r="AP10" s="46" t="s">
        <v>138</v>
      </c>
      <c r="AQ10" s="37"/>
      <c r="AR10" s="37"/>
      <c r="AS10" s="37"/>
    </row>
    <row r="11" spans="1:45" s="36" customFormat="1" ht="3.95" customHeight="1" thickBot="1" x14ac:dyDescent="0.25">
      <c r="A11" s="38"/>
      <c r="B11" s="525"/>
      <c r="C11" s="525"/>
      <c r="D11" s="525"/>
      <c r="E11" s="525"/>
      <c r="F11" s="525"/>
      <c r="G11" s="525"/>
      <c r="H11" s="525"/>
      <c r="I11" s="525"/>
      <c r="J11" s="525"/>
      <c r="K11" s="525"/>
      <c r="L11" s="525"/>
      <c r="M11" s="525"/>
      <c r="N11" s="51"/>
      <c r="O11" s="41"/>
      <c r="P11" s="42"/>
      <c r="Q11" s="42"/>
      <c r="R11" s="42"/>
      <c r="S11" s="42"/>
      <c r="T11" s="42"/>
      <c r="U11" s="42"/>
      <c r="V11" s="42"/>
      <c r="W11" s="42"/>
      <c r="AP11" s="46"/>
      <c r="AQ11" s="37"/>
      <c r="AR11" s="37"/>
      <c r="AS11" s="37"/>
    </row>
    <row r="12" spans="1:45" s="36" customFormat="1" ht="22.5" customHeight="1" x14ac:dyDescent="0.2">
      <c r="A12" s="34"/>
      <c r="B12" s="524" t="s">
        <v>2</v>
      </c>
      <c r="C12" s="524"/>
      <c r="D12" s="611">
        <f>Resultados!X2</f>
        <v>0</v>
      </c>
      <c r="E12" s="611"/>
      <c r="F12" s="611"/>
      <c r="G12" s="399">
        <f>Resultados!F12</f>
        <v>0</v>
      </c>
      <c r="H12" s="88" t="s">
        <v>139</v>
      </c>
      <c r="I12" s="92">
        <f>Resultados!I12</f>
        <v>0</v>
      </c>
      <c r="J12" s="558" t="s">
        <v>140</v>
      </c>
      <c r="K12" s="558"/>
      <c r="L12" s="95">
        <f>Resultados!M12</f>
        <v>0</v>
      </c>
      <c r="M12" s="54" t="s">
        <v>141</v>
      </c>
      <c r="N12" s="96">
        <f>Resultados!O12</f>
        <v>0</v>
      </c>
      <c r="O12" s="55">
        <v>2.75</v>
      </c>
      <c r="P12" s="56"/>
      <c r="Q12" s="56"/>
      <c r="R12" s="56"/>
      <c r="S12" s="56"/>
      <c r="T12" s="56"/>
      <c r="U12" s="56"/>
      <c r="V12" s="56"/>
      <c r="W12" s="56"/>
      <c r="AP12" s="46"/>
      <c r="AQ12" s="37"/>
      <c r="AR12" s="37"/>
      <c r="AS12" s="37"/>
    </row>
    <row r="13" spans="1:45" s="36" customFormat="1" ht="22.5" customHeight="1" x14ac:dyDescent="0.2">
      <c r="A13" s="38"/>
      <c r="B13" s="516" t="s">
        <v>142</v>
      </c>
      <c r="C13" s="516"/>
      <c r="D13" s="630">
        <f>Resultados!D13</f>
        <v>0</v>
      </c>
      <c r="E13" s="630"/>
      <c r="F13" s="630"/>
      <c r="G13" s="630"/>
      <c r="H13" s="630"/>
      <c r="I13" s="630"/>
      <c r="J13" s="630"/>
      <c r="K13" s="630"/>
      <c r="L13" s="630"/>
      <c r="M13" s="630"/>
      <c r="N13" s="630"/>
      <c r="O13" s="57"/>
      <c r="P13" s="58"/>
      <c r="Q13" s="58"/>
      <c r="R13" s="58"/>
      <c r="S13" s="58"/>
      <c r="T13" s="58"/>
      <c r="U13" s="58"/>
      <c r="V13" s="58"/>
      <c r="W13" s="58"/>
      <c r="AP13" s="46"/>
      <c r="AQ13" s="37"/>
      <c r="AR13" s="37"/>
      <c r="AS13" s="37"/>
    </row>
    <row r="14" spans="1:45" s="36" customFormat="1" ht="22.5" customHeight="1" x14ac:dyDescent="0.2">
      <c r="A14" s="38"/>
      <c r="B14" s="516" t="s">
        <v>143</v>
      </c>
      <c r="C14" s="516"/>
      <c r="D14" s="560">
        <f>Resultados!D14</f>
        <v>0</v>
      </c>
      <c r="E14" s="560"/>
      <c r="F14" s="560"/>
      <c r="G14" s="560"/>
      <c r="H14" s="560"/>
      <c r="I14" s="560"/>
      <c r="J14" s="560"/>
      <c r="K14" s="560"/>
      <c r="L14" s="560"/>
      <c r="M14" s="560"/>
      <c r="N14" s="560"/>
      <c r="O14" s="49"/>
      <c r="P14" s="50"/>
      <c r="Q14" s="50"/>
      <c r="R14" s="50"/>
      <c r="S14" s="50"/>
      <c r="T14" s="50"/>
      <c r="U14" s="50"/>
      <c r="V14" s="50"/>
      <c r="W14" s="50"/>
      <c r="AP14" s="46"/>
      <c r="AQ14" s="37"/>
      <c r="AR14" s="37"/>
      <c r="AS14" s="37"/>
    </row>
    <row r="15" spans="1:45" s="36" customFormat="1" ht="6.95" customHeight="1" thickBot="1" x14ac:dyDescent="0.25">
      <c r="A15" s="39"/>
      <c r="B15" s="59"/>
      <c r="C15" s="59"/>
      <c r="D15" s="60"/>
      <c r="E15" s="60"/>
      <c r="F15" s="60"/>
      <c r="G15" s="60"/>
      <c r="H15" s="60"/>
      <c r="I15" s="60"/>
      <c r="J15" s="60"/>
      <c r="K15" s="60"/>
      <c r="L15" s="60"/>
      <c r="M15" s="60"/>
      <c r="N15" s="60"/>
      <c r="O15" s="61"/>
      <c r="P15" s="50"/>
      <c r="Q15" s="50"/>
      <c r="R15" s="50"/>
      <c r="S15" s="50"/>
      <c r="T15" s="50"/>
      <c r="U15" s="50"/>
      <c r="V15" s="50"/>
      <c r="W15" s="50"/>
    </row>
    <row r="16" spans="1:45" ht="10.5" customHeight="1" x14ac:dyDescent="0.25">
      <c r="A16" s="97"/>
      <c r="B16" s="196"/>
      <c r="C16" s="197"/>
      <c r="D16" s="197"/>
      <c r="E16" s="197"/>
      <c r="F16" s="198"/>
      <c r="G16" s="199"/>
      <c r="H16" s="99"/>
      <c r="I16" s="200"/>
      <c r="J16" s="200"/>
      <c r="K16" s="200"/>
      <c r="L16" s="200"/>
      <c r="M16" s="200"/>
      <c r="N16" s="200"/>
      <c r="O16" s="201"/>
      <c r="P16" s="68"/>
    </row>
    <row r="17" spans="1:28" ht="8.4499999999999993" customHeight="1" thickBot="1" x14ac:dyDescent="0.3">
      <c r="A17" s="97"/>
      <c r="B17" s="202"/>
      <c r="C17" s="98"/>
      <c r="D17" s="98"/>
      <c r="E17" s="98"/>
      <c r="F17" s="98"/>
      <c r="G17" s="98"/>
      <c r="H17" s="98"/>
      <c r="I17" s="98"/>
      <c r="J17" s="110"/>
      <c r="K17" s="110"/>
      <c r="L17" s="110"/>
      <c r="M17" s="110"/>
      <c r="N17" s="110"/>
      <c r="O17" s="203"/>
      <c r="P17" s="66"/>
    </row>
    <row r="18" spans="1:28" ht="48" customHeight="1" thickBot="1" x14ac:dyDescent="0.3">
      <c r="A18" s="97"/>
      <c r="B18" s="405" t="s">
        <v>67</v>
      </c>
      <c r="C18" s="406" t="s">
        <v>68</v>
      </c>
      <c r="D18" s="406" t="s">
        <v>240</v>
      </c>
      <c r="E18" s="406" t="s">
        <v>241</v>
      </c>
      <c r="F18" s="407" t="s">
        <v>69</v>
      </c>
      <c r="G18" s="408" t="s">
        <v>70</v>
      </c>
      <c r="H18" s="204"/>
      <c r="I18" s="205"/>
      <c r="J18" s="205"/>
      <c r="K18" s="111"/>
      <c r="L18" s="606" t="s">
        <v>64</v>
      </c>
      <c r="M18" s="607"/>
      <c r="N18" s="608"/>
      <c r="O18" s="206"/>
      <c r="X18" s="62">
        <v>0.1626877698164928</v>
      </c>
      <c r="Y18" s="62">
        <f>X18*0.12</f>
        <v>1.9522532377979136E-2</v>
      </c>
      <c r="AA18" s="62">
        <f>AB18-$AB$18</f>
        <v>0</v>
      </c>
      <c r="AB18" s="62">
        <v>2.0099999999999998</v>
      </c>
    </row>
    <row r="19" spans="1:28" ht="15.95" customHeight="1" x14ac:dyDescent="0.25">
      <c r="A19" s="97"/>
      <c r="B19" s="401">
        <v>0</v>
      </c>
      <c r="C19" s="402">
        <v>0</v>
      </c>
      <c r="D19" s="403">
        <f>MAX('2,0 kg '!D19:D49)</f>
        <v>0</v>
      </c>
      <c r="E19" s="209">
        <f>D19-$D$19</f>
        <v>0</v>
      </c>
      <c r="F19" s="403" t="e">
        <f>MIN('2,0 kg '!F19:F49)</f>
        <v>#REF!</v>
      </c>
      <c r="G19" s="404">
        <v>0</v>
      </c>
      <c r="H19" s="98"/>
      <c r="I19" s="98"/>
      <c r="J19" s="98"/>
      <c r="K19" s="114"/>
      <c r="L19" s="609" t="s">
        <v>161</v>
      </c>
      <c r="M19" s="610"/>
      <c r="N19" s="602">
        <v>0</v>
      </c>
      <c r="O19" s="108"/>
      <c r="Q19" s="69" t="s">
        <v>71</v>
      </c>
      <c r="R19" s="70" t="s">
        <v>72</v>
      </c>
      <c r="S19" s="71"/>
      <c r="U19" s="62">
        <v>0.78100000000000003</v>
      </c>
      <c r="V19" s="62">
        <f>$T$44*U19/$U$44</f>
        <v>1.0462092833876222</v>
      </c>
      <c r="X19" s="62">
        <v>0.1701</v>
      </c>
      <c r="Y19" s="62">
        <f t="shared" ref="Y19:Y43" si="0">X19*0.12</f>
        <v>2.0412E-2</v>
      </c>
      <c r="AA19" s="62">
        <f t="shared" ref="AA19:AA48" si="1">AB19-$AB$18</f>
        <v>0.32800000000000029</v>
      </c>
      <c r="AB19" s="62">
        <v>2.3380000000000001</v>
      </c>
    </row>
    <row r="20" spans="1:28" ht="15.95" customHeight="1" x14ac:dyDescent="0.25">
      <c r="A20" s="97"/>
      <c r="B20" s="207" t="s">
        <v>73</v>
      </c>
      <c r="C20" s="208">
        <v>0.32</v>
      </c>
      <c r="D20" s="209">
        <f>'Datos '!F39</f>
        <v>0</v>
      </c>
      <c r="E20" s="209">
        <f>D20-$D$19</f>
        <v>0</v>
      </c>
      <c r="F20" s="221" t="e">
        <f>$F$19-E20</f>
        <v>#REF!</v>
      </c>
      <c r="G20" s="219" t="e">
        <f>(E20/$F$19)*100</f>
        <v>#REF!</v>
      </c>
      <c r="H20" s="98"/>
      <c r="I20" s="98"/>
      <c r="J20" s="98"/>
      <c r="K20" s="116"/>
      <c r="L20" s="598"/>
      <c r="M20" s="599"/>
      <c r="N20" s="603"/>
      <c r="O20" s="108"/>
      <c r="Q20" s="63"/>
      <c r="S20" s="64"/>
      <c r="U20" s="62">
        <v>0.82599999999999996</v>
      </c>
      <c r="V20" s="62">
        <f t="shared" ref="V20:V44" si="2">$T$44*U20/$U$44</f>
        <v>1.1064902280130293</v>
      </c>
      <c r="X20" s="62">
        <v>0.17910000000000001</v>
      </c>
      <c r="Y20" s="62">
        <f t="shared" si="0"/>
        <v>2.1492000000000001E-2</v>
      </c>
      <c r="AA20" s="62">
        <f t="shared" si="1"/>
        <v>0.43300000000000027</v>
      </c>
      <c r="AB20" s="62">
        <v>2.4430000000000001</v>
      </c>
    </row>
    <row r="21" spans="1:28" ht="15.95" customHeight="1" x14ac:dyDescent="0.25">
      <c r="A21" s="97"/>
      <c r="B21" s="207" t="s">
        <v>74</v>
      </c>
      <c r="C21" s="208">
        <v>0.55000000000000004</v>
      </c>
      <c r="D21" s="209">
        <f>'Datos '!F40</f>
        <v>0</v>
      </c>
      <c r="E21" s="209">
        <f t="shared" ref="E21:E49" si="3">D21-$D$19</f>
        <v>0</v>
      </c>
      <c r="F21" s="221" t="e">
        <f t="shared" ref="F21:F49" si="4">$F$19-E21</f>
        <v>#REF!</v>
      </c>
      <c r="G21" s="219" t="e">
        <f t="shared" ref="G21:G44" si="5">(E21/$F$19)*100</f>
        <v>#REF!</v>
      </c>
      <c r="H21" s="98"/>
      <c r="I21" s="98"/>
      <c r="J21" s="98"/>
      <c r="K21" s="210"/>
      <c r="L21" s="598" t="s">
        <v>162</v>
      </c>
      <c r="M21" s="599"/>
      <c r="N21" s="604">
        <f>(N19+N25)/2</f>
        <v>0</v>
      </c>
      <c r="O21" s="108"/>
      <c r="Q21" s="63" t="s">
        <v>75</v>
      </c>
      <c r="R21" s="62" t="e">
        <f>SLOPE(G21:G25,C21:C25)</f>
        <v>#REF!</v>
      </c>
      <c r="S21" s="64"/>
      <c r="U21" s="62">
        <v>0.82599999999999996</v>
      </c>
      <c r="V21" s="62">
        <f t="shared" si="2"/>
        <v>1.1064902280130293</v>
      </c>
      <c r="X21" s="62">
        <v>0.19350000000000001</v>
      </c>
      <c r="Y21" s="62">
        <f t="shared" si="0"/>
        <v>2.3220000000000001E-2</v>
      </c>
      <c r="AA21" s="62">
        <f t="shared" si="1"/>
        <v>0.49400000000000022</v>
      </c>
      <c r="AB21" s="62">
        <v>2.504</v>
      </c>
    </row>
    <row r="22" spans="1:28" ht="15.95" customHeight="1" x14ac:dyDescent="0.2">
      <c r="A22" s="97"/>
      <c r="B22" s="207" t="s">
        <v>76</v>
      </c>
      <c r="C22" s="208">
        <v>0.71</v>
      </c>
      <c r="D22" s="209">
        <f>'Datos '!F41</f>
        <v>0</v>
      </c>
      <c r="E22" s="209">
        <f t="shared" si="3"/>
        <v>0</v>
      </c>
      <c r="F22" s="221" t="e">
        <f t="shared" si="4"/>
        <v>#REF!</v>
      </c>
      <c r="G22" s="219" t="e">
        <f t="shared" si="5"/>
        <v>#REF!</v>
      </c>
      <c r="H22" s="98"/>
      <c r="I22" s="98"/>
      <c r="J22" s="98"/>
      <c r="K22" s="98"/>
      <c r="L22" s="598"/>
      <c r="M22" s="599"/>
      <c r="N22" s="603"/>
      <c r="O22" s="108"/>
      <c r="Q22" s="63" t="s">
        <v>77</v>
      </c>
      <c r="R22" s="62" t="e">
        <f>INTERCEPT(G21:G25,C21:C25)</f>
        <v>#REF!</v>
      </c>
      <c r="S22" s="64"/>
      <c r="U22" s="62">
        <v>0.83799999999999997</v>
      </c>
      <c r="V22" s="62">
        <f t="shared" si="2"/>
        <v>1.1225651465798046</v>
      </c>
      <c r="X22" s="62">
        <v>0.2079</v>
      </c>
      <c r="Y22" s="62">
        <f t="shared" si="0"/>
        <v>2.4947999999999998E-2</v>
      </c>
      <c r="AA22" s="62">
        <f t="shared" si="1"/>
        <v>0.54700000000000015</v>
      </c>
      <c r="AB22" s="62">
        <v>2.5569999999999999</v>
      </c>
    </row>
    <row r="23" spans="1:28" ht="15.95" customHeight="1" x14ac:dyDescent="0.25">
      <c r="A23" s="97"/>
      <c r="B23" s="207">
        <v>1</v>
      </c>
      <c r="C23" s="208">
        <v>1</v>
      </c>
      <c r="D23" s="209">
        <f>'Datos '!F42</f>
        <v>0</v>
      </c>
      <c r="E23" s="209">
        <f t="shared" si="3"/>
        <v>0</v>
      </c>
      <c r="F23" s="221" t="e">
        <f t="shared" si="4"/>
        <v>#REF!</v>
      </c>
      <c r="G23" s="219" t="e">
        <f t="shared" si="5"/>
        <v>#REF!</v>
      </c>
      <c r="H23" s="98"/>
      <c r="I23" s="98"/>
      <c r="J23" s="98"/>
      <c r="K23" s="109"/>
      <c r="L23" s="598" t="s">
        <v>163</v>
      </c>
      <c r="M23" s="599"/>
      <c r="N23" s="604">
        <f>+((0.9)*(N25-N19))+N19</f>
        <v>0</v>
      </c>
      <c r="O23" s="211"/>
      <c r="Q23" s="63"/>
      <c r="S23" s="64"/>
      <c r="U23" s="62">
        <v>0.85299999999999998</v>
      </c>
      <c r="V23" s="62">
        <f t="shared" si="2"/>
        <v>1.1426587947882736</v>
      </c>
      <c r="X23" s="62">
        <v>0.22950000000000001</v>
      </c>
      <c r="Y23" s="62">
        <f t="shared" si="0"/>
        <v>2.7539999999999999E-2</v>
      </c>
      <c r="AA23" s="62">
        <f t="shared" si="1"/>
        <v>0.59200000000000008</v>
      </c>
      <c r="AB23" s="62">
        <v>2.6019999999999999</v>
      </c>
    </row>
    <row r="24" spans="1:28" ht="15.95" customHeight="1" x14ac:dyDescent="0.2">
      <c r="A24" s="97"/>
      <c r="B24" s="207">
        <v>2</v>
      </c>
      <c r="C24" s="208">
        <v>1.4142135623730951</v>
      </c>
      <c r="D24" s="209">
        <f>'Datos '!F43</f>
        <v>0</v>
      </c>
      <c r="E24" s="209">
        <f t="shared" si="3"/>
        <v>0</v>
      </c>
      <c r="F24" s="221" t="e">
        <f t="shared" si="4"/>
        <v>#REF!</v>
      </c>
      <c r="G24" s="219" t="e">
        <f t="shared" si="5"/>
        <v>#REF!</v>
      </c>
      <c r="H24" s="98"/>
      <c r="I24" s="98"/>
      <c r="J24" s="98"/>
      <c r="K24" s="98"/>
      <c r="L24" s="598"/>
      <c r="M24" s="599"/>
      <c r="N24" s="603"/>
      <c r="O24" s="108"/>
      <c r="Q24" s="63" t="s">
        <v>110</v>
      </c>
      <c r="R24" s="62" t="s">
        <v>79</v>
      </c>
      <c r="S24" s="72">
        <v>20</v>
      </c>
      <c r="U24" s="62">
        <v>0.876</v>
      </c>
      <c r="V24" s="62">
        <f t="shared" si="2"/>
        <v>1.1734690553745928</v>
      </c>
      <c r="X24" s="62">
        <v>0.24480000000000002</v>
      </c>
      <c r="Y24" s="62">
        <f t="shared" si="0"/>
        <v>2.9375999999999999E-2</v>
      </c>
      <c r="AA24" s="62">
        <f t="shared" si="1"/>
        <v>0.6160000000000001</v>
      </c>
      <c r="AB24" s="62">
        <v>2.6259999999999999</v>
      </c>
    </row>
    <row r="25" spans="1:28" ht="15.95" customHeight="1" thickBot="1" x14ac:dyDescent="0.25">
      <c r="A25" s="97"/>
      <c r="B25" s="207">
        <v>3</v>
      </c>
      <c r="C25" s="208">
        <v>1.7320508075688772</v>
      </c>
      <c r="D25" s="209">
        <f>'Datos '!F44</f>
        <v>0</v>
      </c>
      <c r="E25" s="209">
        <f t="shared" si="3"/>
        <v>0</v>
      </c>
      <c r="F25" s="221" t="e">
        <f t="shared" si="4"/>
        <v>#REF!</v>
      </c>
      <c r="G25" s="219" t="e">
        <f t="shared" si="5"/>
        <v>#REF!</v>
      </c>
      <c r="H25" s="98" t="s">
        <v>168</v>
      </c>
      <c r="I25" s="98"/>
      <c r="J25" s="98" t="s">
        <v>169</v>
      </c>
      <c r="K25" s="98"/>
      <c r="L25" s="598" t="s">
        <v>164</v>
      </c>
      <c r="M25" s="599"/>
      <c r="N25" s="604">
        <f>L41/100</f>
        <v>0</v>
      </c>
      <c r="O25" s="108"/>
      <c r="Q25" s="73" t="s">
        <v>79</v>
      </c>
      <c r="R25" s="74" t="e">
        <f>(S24-R22)/R21</f>
        <v>#REF!</v>
      </c>
      <c r="S25" s="75"/>
      <c r="U25" s="62">
        <v>0.89300000000000002</v>
      </c>
      <c r="V25" s="62">
        <f t="shared" si="2"/>
        <v>1.1962418566775244</v>
      </c>
      <c r="X25" s="62">
        <v>0.25650000000000001</v>
      </c>
      <c r="Y25" s="62">
        <f t="shared" si="0"/>
        <v>3.0779999999999998E-2</v>
      </c>
      <c r="AA25" s="62">
        <f t="shared" si="1"/>
        <v>0.63000000000000034</v>
      </c>
      <c r="AB25" s="62">
        <v>2.64</v>
      </c>
    </row>
    <row r="26" spans="1:28" ht="15.95" customHeight="1" thickBot="1" x14ac:dyDescent="0.25">
      <c r="A26" s="97"/>
      <c r="B26" s="207">
        <v>4</v>
      </c>
      <c r="C26" s="208">
        <v>2</v>
      </c>
      <c r="D26" s="209">
        <f>'Datos '!F45</f>
        <v>0</v>
      </c>
      <c r="E26" s="209">
        <f t="shared" si="3"/>
        <v>0</v>
      </c>
      <c r="F26" s="221" t="e">
        <f t="shared" si="4"/>
        <v>#REF!</v>
      </c>
      <c r="G26" s="219" t="e">
        <f t="shared" si="5"/>
        <v>#REF!</v>
      </c>
      <c r="H26" s="98" t="s">
        <v>170</v>
      </c>
      <c r="I26" s="98"/>
      <c r="J26" s="98" t="s">
        <v>171</v>
      </c>
      <c r="K26" s="98"/>
      <c r="L26" s="600"/>
      <c r="M26" s="601"/>
      <c r="N26" s="605"/>
      <c r="O26" s="108"/>
      <c r="U26" s="62">
        <v>0.90700000000000003</v>
      </c>
      <c r="V26" s="62">
        <f t="shared" si="2"/>
        <v>1.2149959283387624</v>
      </c>
      <c r="X26" s="62">
        <v>0.27179999999999999</v>
      </c>
      <c r="Y26" s="62">
        <f t="shared" si="0"/>
        <v>3.2615999999999999E-2</v>
      </c>
      <c r="AA26" s="62">
        <f t="shared" si="1"/>
        <v>0.64300000000000024</v>
      </c>
      <c r="AB26" s="62">
        <v>2.653</v>
      </c>
    </row>
    <row r="27" spans="1:28" ht="17.25" customHeight="1" thickBot="1" x14ac:dyDescent="0.25">
      <c r="A27" s="97"/>
      <c r="B27" s="207">
        <v>6</v>
      </c>
      <c r="C27" s="208">
        <v>2.4494897427831779</v>
      </c>
      <c r="D27" s="209">
        <f>'Datos '!F46</f>
        <v>0</v>
      </c>
      <c r="E27" s="209">
        <f t="shared" si="3"/>
        <v>0</v>
      </c>
      <c r="F27" s="221" t="e">
        <f t="shared" si="4"/>
        <v>#REF!</v>
      </c>
      <c r="G27" s="219" t="e">
        <f t="shared" si="5"/>
        <v>#REF!</v>
      </c>
      <c r="H27" s="98"/>
      <c r="I27" s="98"/>
      <c r="J27" s="98"/>
      <c r="K27" s="98"/>
      <c r="L27" s="98"/>
      <c r="M27" s="98"/>
      <c r="N27" s="98"/>
      <c r="O27" s="108"/>
      <c r="Q27" s="69" t="s">
        <v>80</v>
      </c>
      <c r="R27" s="70"/>
      <c r="S27" s="71"/>
      <c r="U27" s="62">
        <v>0.93100000000000005</v>
      </c>
      <c r="V27" s="62">
        <f t="shared" si="2"/>
        <v>1.2471457654723128</v>
      </c>
      <c r="X27" s="62">
        <v>0.28079999999999999</v>
      </c>
      <c r="Y27" s="62">
        <f t="shared" si="0"/>
        <v>3.3695999999999997E-2</v>
      </c>
      <c r="AA27" s="62">
        <f t="shared" si="1"/>
        <v>0.66600000000000037</v>
      </c>
      <c r="AB27" s="62">
        <v>2.6760000000000002</v>
      </c>
    </row>
    <row r="28" spans="1:28" ht="15.95" customHeight="1" thickBot="1" x14ac:dyDescent="0.25">
      <c r="A28" s="97"/>
      <c r="B28" s="207">
        <v>9</v>
      </c>
      <c r="C28" s="208">
        <v>3</v>
      </c>
      <c r="D28" s="209">
        <f>'Datos '!F47</f>
        <v>0</v>
      </c>
      <c r="E28" s="209">
        <f t="shared" si="3"/>
        <v>0</v>
      </c>
      <c r="F28" s="221" t="e">
        <f t="shared" si="4"/>
        <v>#REF!</v>
      </c>
      <c r="G28" s="219" t="e">
        <f t="shared" si="5"/>
        <v>#REF!</v>
      </c>
      <c r="H28" s="98"/>
      <c r="I28" s="98"/>
      <c r="J28" s="98"/>
      <c r="K28" s="98"/>
      <c r="L28" s="648" t="s">
        <v>65</v>
      </c>
      <c r="M28" s="649"/>
      <c r="N28" s="650"/>
      <c r="O28" s="108"/>
      <c r="Q28" s="63"/>
      <c r="S28" s="64"/>
      <c r="U28" s="62">
        <v>0.95899999999999996</v>
      </c>
      <c r="V28" s="62">
        <f t="shared" si="2"/>
        <v>1.2846539087947884</v>
      </c>
      <c r="X28" s="62">
        <v>0.2853</v>
      </c>
      <c r="Y28" s="62">
        <f t="shared" si="0"/>
        <v>3.4235999999999996E-2</v>
      </c>
      <c r="AA28" s="62">
        <f t="shared" si="1"/>
        <v>0.67700000000000005</v>
      </c>
      <c r="AB28" s="62">
        <v>2.6869999999999998</v>
      </c>
    </row>
    <row r="29" spans="1:28" ht="15.95" customHeight="1" thickBot="1" x14ac:dyDescent="0.25">
      <c r="A29" s="97"/>
      <c r="B29" s="207">
        <v>12</v>
      </c>
      <c r="C29" s="208">
        <v>3.4641016151377544</v>
      </c>
      <c r="D29" s="209">
        <f>'Datos '!F48</f>
        <v>0</v>
      </c>
      <c r="E29" s="209">
        <f t="shared" si="3"/>
        <v>0</v>
      </c>
      <c r="F29" s="221" t="e">
        <f t="shared" si="4"/>
        <v>#REF!</v>
      </c>
      <c r="G29" s="219" t="e">
        <f t="shared" si="5"/>
        <v>#REF!</v>
      </c>
      <c r="H29" s="98"/>
      <c r="I29" s="98"/>
      <c r="J29" s="98"/>
      <c r="K29" s="98"/>
      <c r="L29" s="651"/>
      <c r="M29" s="652"/>
      <c r="N29" s="653"/>
      <c r="O29" s="108"/>
      <c r="Q29" s="63" t="s">
        <v>75</v>
      </c>
      <c r="R29" s="62" t="e">
        <f>R21*0.85</f>
        <v>#REF!</v>
      </c>
      <c r="S29" s="64"/>
      <c r="U29" s="62">
        <v>0.98099999999999998</v>
      </c>
      <c r="V29" s="62">
        <f t="shared" si="2"/>
        <v>1.3141245928338763</v>
      </c>
      <c r="X29" s="62">
        <v>0.28710000000000002</v>
      </c>
      <c r="Y29" s="62">
        <f t="shared" si="0"/>
        <v>3.4452000000000003E-2</v>
      </c>
      <c r="AA29" s="62">
        <f t="shared" si="1"/>
        <v>0.68800000000000017</v>
      </c>
      <c r="AB29" s="62">
        <v>2.698</v>
      </c>
    </row>
    <row r="30" spans="1:28" ht="15.95" customHeight="1" thickBot="1" x14ac:dyDescent="0.25">
      <c r="A30" s="97"/>
      <c r="B30" s="207">
        <v>16</v>
      </c>
      <c r="C30" s="208">
        <v>4</v>
      </c>
      <c r="D30" s="209">
        <f>'Datos '!F49</f>
        <v>0</v>
      </c>
      <c r="E30" s="209">
        <f t="shared" si="3"/>
        <v>0</v>
      </c>
      <c r="F30" s="221" t="e">
        <f t="shared" si="4"/>
        <v>#REF!</v>
      </c>
      <c r="G30" s="219" t="e">
        <f t="shared" si="5"/>
        <v>#REF!</v>
      </c>
      <c r="H30" s="98"/>
      <c r="I30" s="98"/>
      <c r="J30" s="98"/>
      <c r="K30" s="98"/>
      <c r="L30" s="98"/>
      <c r="M30" s="98"/>
      <c r="N30" s="98"/>
      <c r="O30" s="108"/>
      <c r="Q30" s="63" t="s">
        <v>77</v>
      </c>
      <c r="R30" s="62" t="e">
        <f>R22</f>
        <v>#REF!</v>
      </c>
      <c r="S30" s="64"/>
      <c r="U30" s="62">
        <v>1.006</v>
      </c>
      <c r="V30" s="62">
        <f t="shared" si="2"/>
        <v>1.347614006514658</v>
      </c>
      <c r="X30" s="62">
        <v>0.28889999999999999</v>
      </c>
      <c r="Y30" s="62">
        <f t="shared" si="0"/>
        <v>3.4667999999999997E-2</v>
      </c>
      <c r="AA30" s="62">
        <f t="shared" si="1"/>
        <v>0.70500000000000007</v>
      </c>
      <c r="AB30" s="62">
        <v>2.7149999999999999</v>
      </c>
    </row>
    <row r="31" spans="1:28" ht="15.95" customHeight="1" thickBot="1" x14ac:dyDescent="0.25">
      <c r="A31" s="97"/>
      <c r="B31" s="207">
        <v>25</v>
      </c>
      <c r="C31" s="208">
        <v>5</v>
      </c>
      <c r="D31" s="209">
        <f>'Datos '!F50</f>
        <v>0</v>
      </c>
      <c r="E31" s="209">
        <f t="shared" si="3"/>
        <v>0</v>
      </c>
      <c r="F31" s="221" t="e">
        <f t="shared" si="4"/>
        <v>#REF!</v>
      </c>
      <c r="G31" s="219" t="e">
        <f t="shared" si="5"/>
        <v>#REF!</v>
      </c>
      <c r="H31" s="98"/>
      <c r="I31" s="98"/>
      <c r="J31" s="98"/>
      <c r="K31" s="98"/>
      <c r="L31" s="645" t="s">
        <v>66</v>
      </c>
      <c r="M31" s="646"/>
      <c r="N31" s="647"/>
      <c r="O31" s="108"/>
      <c r="Q31" s="63"/>
      <c r="R31" s="62" t="s">
        <v>78</v>
      </c>
      <c r="S31" s="72">
        <v>20</v>
      </c>
      <c r="U31" s="62">
        <v>1.052</v>
      </c>
      <c r="V31" s="62">
        <f t="shared" si="2"/>
        <v>1.4092345276872966</v>
      </c>
      <c r="X31" s="62">
        <v>0.2898</v>
      </c>
      <c r="Y31" s="62">
        <f t="shared" si="0"/>
        <v>3.4776000000000001E-2</v>
      </c>
      <c r="AA31" s="62">
        <f t="shared" si="1"/>
        <v>0.71700000000000008</v>
      </c>
      <c r="AB31" s="62">
        <v>2.7269999999999999</v>
      </c>
    </row>
    <row r="32" spans="1:28" ht="15.95" customHeight="1" thickBot="1" x14ac:dyDescent="0.25">
      <c r="A32" s="97"/>
      <c r="B32" s="207">
        <v>36</v>
      </c>
      <c r="C32" s="208">
        <v>6</v>
      </c>
      <c r="D32" s="209">
        <f>'Datos '!F51</f>
        <v>0</v>
      </c>
      <c r="E32" s="209">
        <f t="shared" si="3"/>
        <v>0</v>
      </c>
      <c r="F32" s="221" t="e">
        <f t="shared" si="4"/>
        <v>#REF!</v>
      </c>
      <c r="G32" s="219" t="e">
        <f t="shared" si="5"/>
        <v>#REF!</v>
      </c>
      <c r="H32" s="98"/>
      <c r="I32" s="98"/>
      <c r="J32" s="98"/>
      <c r="K32" s="98"/>
      <c r="L32" s="595" t="e">
        <f>L29*9.85/Resultados!E22</f>
        <v>#DIV/0!</v>
      </c>
      <c r="M32" s="596"/>
      <c r="N32" s="597"/>
      <c r="O32" s="108"/>
      <c r="Q32" s="73" t="s">
        <v>79</v>
      </c>
      <c r="R32" s="74" t="e">
        <f>(S31-R30)/R29</f>
        <v>#REF!</v>
      </c>
      <c r="S32" s="75"/>
      <c r="U32" s="62">
        <v>1.0860000000000001</v>
      </c>
      <c r="V32" s="62">
        <f t="shared" si="2"/>
        <v>1.4547801302931598</v>
      </c>
      <c r="X32" s="62">
        <v>0.29025000000000001</v>
      </c>
      <c r="Y32" s="62">
        <f t="shared" si="0"/>
        <v>3.483E-2</v>
      </c>
      <c r="AA32" s="62">
        <f t="shared" si="1"/>
        <v>0.72700000000000031</v>
      </c>
      <c r="AB32" s="62">
        <v>2.7370000000000001</v>
      </c>
    </row>
    <row r="33" spans="1:28" ht="15.95" customHeight="1" thickBot="1" x14ac:dyDescent="0.25">
      <c r="A33" s="97"/>
      <c r="B33" s="207">
        <v>49</v>
      </c>
      <c r="C33" s="208">
        <v>7</v>
      </c>
      <c r="D33" s="209">
        <f>'Datos '!F52</f>
        <v>0</v>
      </c>
      <c r="E33" s="209">
        <f t="shared" si="3"/>
        <v>0</v>
      </c>
      <c r="F33" s="221" t="e">
        <f t="shared" si="4"/>
        <v>#REF!</v>
      </c>
      <c r="G33" s="219" t="e">
        <f t="shared" si="5"/>
        <v>#REF!</v>
      </c>
      <c r="H33" s="98"/>
      <c r="I33" s="98"/>
      <c r="J33" s="98"/>
      <c r="K33" s="98"/>
      <c r="L33" s="98"/>
      <c r="M33" s="98"/>
      <c r="N33" s="98"/>
      <c r="O33" s="108"/>
      <c r="U33" s="62">
        <v>1.1140000000000001</v>
      </c>
      <c r="V33" s="62">
        <f t="shared" si="2"/>
        <v>1.4922882736156353</v>
      </c>
      <c r="X33" s="62">
        <v>0.29070000000000001</v>
      </c>
      <c r="Y33" s="62">
        <f t="shared" si="0"/>
        <v>3.4883999999999998E-2</v>
      </c>
      <c r="AA33" s="62">
        <f t="shared" si="1"/>
        <v>0.73600000000000021</v>
      </c>
      <c r="AB33" s="62">
        <v>2.746</v>
      </c>
    </row>
    <row r="34" spans="1:28" ht="15.95" customHeight="1" thickBot="1" x14ac:dyDescent="0.3">
      <c r="A34" s="97"/>
      <c r="B34" s="207">
        <v>64</v>
      </c>
      <c r="C34" s="208">
        <v>8</v>
      </c>
      <c r="D34" s="209">
        <f>'Datos '!F53</f>
        <v>0</v>
      </c>
      <c r="E34" s="209">
        <f t="shared" si="3"/>
        <v>0</v>
      </c>
      <c r="F34" s="221" t="e">
        <f t="shared" si="4"/>
        <v>#REF!</v>
      </c>
      <c r="G34" s="219" t="e">
        <f t="shared" si="5"/>
        <v>#REF!</v>
      </c>
      <c r="H34" s="98"/>
      <c r="I34" s="98"/>
      <c r="J34" s="98"/>
      <c r="K34" s="98"/>
      <c r="L34" s="642" t="s">
        <v>84</v>
      </c>
      <c r="M34" s="643"/>
      <c r="N34" s="644"/>
      <c r="O34" s="108"/>
      <c r="Q34" s="69" t="s">
        <v>81</v>
      </c>
      <c r="R34" s="71"/>
      <c r="U34" s="62">
        <v>1.137</v>
      </c>
      <c r="V34" s="62">
        <f t="shared" si="2"/>
        <v>1.5230985342019545</v>
      </c>
      <c r="X34" s="62">
        <v>0.29115000000000002</v>
      </c>
      <c r="Y34" s="62">
        <f t="shared" si="0"/>
        <v>3.4938000000000004E-2</v>
      </c>
      <c r="AA34" s="62">
        <f t="shared" si="1"/>
        <v>0.74300000000000033</v>
      </c>
      <c r="AB34" s="62">
        <v>2.7530000000000001</v>
      </c>
    </row>
    <row r="35" spans="1:28" ht="15.95" customHeight="1" thickBot="1" x14ac:dyDescent="0.25">
      <c r="A35" s="97"/>
      <c r="B35" s="207">
        <v>81</v>
      </c>
      <c r="C35" s="208">
        <v>9</v>
      </c>
      <c r="D35" s="209">
        <f>'Datos '!F54</f>
        <v>0</v>
      </c>
      <c r="E35" s="209">
        <f t="shared" si="3"/>
        <v>0</v>
      </c>
      <c r="F35" s="221" t="e">
        <f t="shared" si="4"/>
        <v>#REF!</v>
      </c>
      <c r="G35" s="219" t="e">
        <f t="shared" si="5"/>
        <v>#REF!</v>
      </c>
      <c r="H35" s="212"/>
      <c r="I35" s="98"/>
      <c r="J35" s="98"/>
      <c r="K35" s="98"/>
      <c r="L35" s="583">
        <f>LOOKUP(L38,C19:C49,G19:G49)</f>
        <v>0</v>
      </c>
      <c r="M35" s="584"/>
      <c r="N35" s="585"/>
      <c r="O35" s="108"/>
      <c r="Q35" s="63"/>
      <c r="R35" s="64"/>
      <c r="U35" s="62">
        <v>1.155</v>
      </c>
      <c r="V35" s="62">
        <f t="shared" si="2"/>
        <v>1.5472109120521174</v>
      </c>
      <c r="X35" s="62">
        <v>0.29160000000000003</v>
      </c>
      <c r="Y35" s="62">
        <f t="shared" si="0"/>
        <v>3.4992000000000002E-2</v>
      </c>
      <c r="AA35" s="62">
        <f t="shared" si="1"/>
        <v>0.74900000000000011</v>
      </c>
      <c r="AB35" s="62">
        <v>2.7589999999999999</v>
      </c>
    </row>
    <row r="36" spans="1:28" ht="15.95" customHeight="1" thickBot="1" x14ac:dyDescent="0.25">
      <c r="A36" s="97"/>
      <c r="B36" s="207">
        <v>100</v>
      </c>
      <c r="C36" s="208">
        <v>10</v>
      </c>
      <c r="D36" s="209">
        <f>'Datos '!F55</f>
        <v>0</v>
      </c>
      <c r="E36" s="209">
        <f t="shared" si="3"/>
        <v>0</v>
      </c>
      <c r="F36" s="221" t="e">
        <f t="shared" si="4"/>
        <v>#REF!</v>
      </c>
      <c r="G36" s="219" t="e">
        <f t="shared" si="5"/>
        <v>#REF!</v>
      </c>
      <c r="H36" s="213"/>
      <c r="I36" s="98"/>
      <c r="J36" s="98"/>
      <c r="K36" s="98"/>
      <c r="L36" s="98"/>
      <c r="M36" s="98"/>
      <c r="N36" s="98"/>
      <c r="O36" s="108"/>
      <c r="Q36" s="65" t="s">
        <v>82</v>
      </c>
      <c r="R36" s="76" t="s">
        <v>83</v>
      </c>
      <c r="U36" s="62">
        <v>1.169</v>
      </c>
      <c r="V36" s="62">
        <f t="shared" si="2"/>
        <v>1.5659649837133551</v>
      </c>
      <c r="X36" s="62">
        <v>0.29205000000000003</v>
      </c>
      <c r="Y36" s="62">
        <f t="shared" si="0"/>
        <v>3.5046000000000001E-2</v>
      </c>
      <c r="AA36" s="62">
        <f t="shared" si="1"/>
        <v>0.754</v>
      </c>
      <c r="AB36" s="62">
        <v>2.7639999999999998</v>
      </c>
    </row>
    <row r="37" spans="1:28" ht="15.95" customHeight="1" thickBot="1" x14ac:dyDescent="0.3">
      <c r="A37" s="97"/>
      <c r="B37" s="207">
        <v>120</v>
      </c>
      <c r="C37" s="208">
        <v>10.954451150103322</v>
      </c>
      <c r="D37" s="209">
        <f>'Datos '!F56</f>
        <v>0</v>
      </c>
      <c r="E37" s="209">
        <f t="shared" si="3"/>
        <v>0</v>
      </c>
      <c r="F37" s="221" t="e">
        <f t="shared" si="4"/>
        <v>#REF!</v>
      </c>
      <c r="G37" s="219" t="e">
        <f t="shared" si="5"/>
        <v>#REF!</v>
      </c>
      <c r="H37" s="98"/>
      <c r="I37" s="98"/>
      <c r="J37" s="98"/>
      <c r="K37" s="98"/>
      <c r="L37" s="654" t="s">
        <v>245</v>
      </c>
      <c r="M37" s="643"/>
      <c r="N37" s="644"/>
      <c r="O37" s="108"/>
      <c r="Q37" s="77">
        <f>S24</f>
        <v>20</v>
      </c>
      <c r="R37" s="76" t="e">
        <f>R25</f>
        <v>#REF!</v>
      </c>
      <c r="U37" s="62">
        <v>1.18</v>
      </c>
      <c r="V37" s="62">
        <f t="shared" si="2"/>
        <v>1.5807003257328989</v>
      </c>
      <c r="X37" s="62">
        <v>0.29250000000000004</v>
      </c>
      <c r="Y37" s="62">
        <f t="shared" si="0"/>
        <v>3.5100000000000006E-2</v>
      </c>
      <c r="AA37" s="62">
        <f t="shared" si="1"/>
        <v>0.76000000000000023</v>
      </c>
      <c r="AB37" s="62">
        <v>2.77</v>
      </c>
    </row>
    <row r="38" spans="1:28" ht="15.95" customHeight="1" thickBot="1" x14ac:dyDescent="0.25">
      <c r="A38" s="97"/>
      <c r="B38" s="207">
        <v>144</v>
      </c>
      <c r="C38" s="208">
        <v>12</v>
      </c>
      <c r="D38" s="209">
        <f>'Datos '!F57</f>
        <v>0</v>
      </c>
      <c r="E38" s="209">
        <f t="shared" si="3"/>
        <v>0</v>
      </c>
      <c r="F38" s="221" t="e">
        <f t="shared" si="4"/>
        <v>#REF!</v>
      </c>
      <c r="G38" s="219" t="e">
        <f t="shared" si="5"/>
        <v>#REF!</v>
      </c>
      <c r="H38" s="98"/>
      <c r="I38" s="98"/>
      <c r="J38" s="98"/>
      <c r="K38" s="98"/>
      <c r="L38" s="583"/>
      <c r="M38" s="584"/>
      <c r="N38" s="585"/>
      <c r="O38" s="108"/>
      <c r="Q38" s="65" t="e">
        <f>R22</f>
        <v>#REF!</v>
      </c>
      <c r="R38" s="76">
        <v>0</v>
      </c>
      <c r="U38" s="62">
        <v>1.1910000000000001</v>
      </c>
      <c r="V38" s="62">
        <f t="shared" si="2"/>
        <v>1.5954356677524431</v>
      </c>
      <c r="X38" s="62">
        <v>0.29295000000000004</v>
      </c>
      <c r="Y38" s="62">
        <f t="shared" si="0"/>
        <v>3.5154000000000005E-2</v>
      </c>
      <c r="AA38" s="62">
        <f t="shared" si="1"/>
        <v>0.76500000000000012</v>
      </c>
      <c r="AB38" s="62">
        <v>2.7749999999999999</v>
      </c>
    </row>
    <row r="39" spans="1:28" ht="15.95" customHeight="1" thickBot="1" x14ac:dyDescent="0.25">
      <c r="A39" s="97"/>
      <c r="B39" s="207">
        <v>169</v>
      </c>
      <c r="C39" s="208">
        <v>13</v>
      </c>
      <c r="D39" s="209">
        <f>'Datos '!F58</f>
        <v>0</v>
      </c>
      <c r="E39" s="209">
        <f t="shared" si="3"/>
        <v>0</v>
      </c>
      <c r="F39" s="221" t="e">
        <f t="shared" si="4"/>
        <v>#REF!</v>
      </c>
      <c r="G39" s="219" t="e">
        <f t="shared" si="5"/>
        <v>#REF!</v>
      </c>
      <c r="H39" s="98"/>
      <c r="I39" s="98"/>
      <c r="J39" s="98"/>
      <c r="K39" s="98"/>
      <c r="L39" s="98"/>
      <c r="M39" s="98"/>
      <c r="N39" s="98"/>
      <c r="O39" s="108"/>
      <c r="Q39" s="63"/>
      <c r="R39" s="64"/>
      <c r="U39" s="62">
        <v>1.1990000000000001</v>
      </c>
      <c r="V39" s="62">
        <f t="shared" si="2"/>
        <v>1.6061522801302932</v>
      </c>
      <c r="X39" s="62">
        <v>0.29339999999999999</v>
      </c>
      <c r="Y39" s="62">
        <f t="shared" si="0"/>
        <v>3.5207999999999996E-2</v>
      </c>
      <c r="AA39" s="62">
        <f t="shared" si="1"/>
        <v>0.76900000000000013</v>
      </c>
      <c r="AB39" s="62">
        <v>2.7789999999999999</v>
      </c>
    </row>
    <row r="40" spans="1:28" ht="15.95" customHeight="1" thickBot="1" x14ac:dyDescent="0.3">
      <c r="A40" s="97"/>
      <c r="B40" s="207">
        <v>196</v>
      </c>
      <c r="C40" s="208">
        <v>14</v>
      </c>
      <c r="D40" s="209">
        <f>'Datos '!F59</f>
        <v>0</v>
      </c>
      <c r="E40" s="209">
        <f t="shared" si="3"/>
        <v>0</v>
      </c>
      <c r="F40" s="221" t="e">
        <f t="shared" si="4"/>
        <v>#REF!</v>
      </c>
      <c r="G40" s="219" t="e">
        <f t="shared" si="5"/>
        <v>#REF!</v>
      </c>
      <c r="H40" s="98"/>
      <c r="I40" s="98"/>
      <c r="J40" s="98"/>
      <c r="K40" s="98"/>
      <c r="L40" s="642" t="s">
        <v>85</v>
      </c>
      <c r="M40" s="643"/>
      <c r="N40" s="644"/>
      <c r="O40" s="108"/>
      <c r="Q40" s="63"/>
      <c r="R40" s="64"/>
      <c r="U40" s="62">
        <v>1.2050000000000001</v>
      </c>
      <c r="V40" s="62">
        <f t="shared" si="2"/>
        <v>1.6141897394136808</v>
      </c>
      <c r="X40" s="62">
        <v>0.29394000000000003</v>
      </c>
      <c r="Y40" s="62">
        <f t="shared" si="0"/>
        <v>3.52728E-2</v>
      </c>
      <c r="AA40" s="62">
        <f t="shared" si="1"/>
        <v>0.77300000000000013</v>
      </c>
      <c r="AB40" s="62">
        <v>2.7829999999999999</v>
      </c>
    </row>
    <row r="41" spans="1:28" ht="15.95" customHeight="1" thickBot="1" x14ac:dyDescent="0.25">
      <c r="A41" s="97"/>
      <c r="B41" s="207">
        <v>225</v>
      </c>
      <c r="C41" s="208">
        <v>15</v>
      </c>
      <c r="D41" s="209">
        <f>'Datos '!F60</f>
        <v>0</v>
      </c>
      <c r="E41" s="209">
        <f t="shared" si="3"/>
        <v>0</v>
      </c>
      <c r="F41" s="221" t="e">
        <f t="shared" si="4"/>
        <v>#REF!</v>
      </c>
      <c r="G41" s="219" t="e">
        <f t="shared" si="5"/>
        <v>#REF!</v>
      </c>
      <c r="H41" s="98"/>
      <c r="I41" s="98"/>
      <c r="J41" s="98"/>
      <c r="K41" s="98"/>
      <c r="L41" s="583">
        <f>(L35*(1/9))+L35</f>
        <v>0</v>
      </c>
      <c r="M41" s="584"/>
      <c r="N41" s="585"/>
      <c r="O41" s="108"/>
      <c r="Q41" s="65" t="s">
        <v>82</v>
      </c>
      <c r="R41" s="76" t="s">
        <v>83</v>
      </c>
      <c r="U41" s="62">
        <v>1.212</v>
      </c>
      <c r="V41" s="62">
        <f t="shared" si="2"/>
        <v>1.6235667752442997</v>
      </c>
      <c r="X41" s="62">
        <v>0.29430000000000001</v>
      </c>
      <c r="Y41" s="62">
        <f t="shared" si="0"/>
        <v>3.5316E-2</v>
      </c>
      <c r="AA41" s="62">
        <f t="shared" si="1"/>
        <v>0.77700000000000014</v>
      </c>
      <c r="AB41" s="62">
        <v>2.7869999999999999</v>
      </c>
    </row>
    <row r="42" spans="1:28" ht="15.95" customHeight="1" thickBot="1" x14ac:dyDescent="0.25">
      <c r="A42" s="97"/>
      <c r="B42" s="207">
        <v>256</v>
      </c>
      <c r="C42" s="208">
        <v>16</v>
      </c>
      <c r="D42" s="209">
        <f>'Datos '!F61</f>
        <v>0</v>
      </c>
      <c r="E42" s="209">
        <f t="shared" si="3"/>
        <v>0</v>
      </c>
      <c r="F42" s="221" t="e">
        <f t="shared" si="4"/>
        <v>#REF!</v>
      </c>
      <c r="G42" s="219" t="e">
        <f t="shared" si="5"/>
        <v>#REF!</v>
      </c>
      <c r="H42" s="98"/>
      <c r="I42" s="98"/>
      <c r="J42" s="98"/>
      <c r="K42" s="98"/>
      <c r="L42" s="98"/>
      <c r="M42" s="98"/>
      <c r="N42" s="98"/>
      <c r="O42" s="108"/>
      <c r="Q42" s="77">
        <f>S31</f>
        <v>20</v>
      </c>
      <c r="R42" s="76" t="e">
        <f>R32</f>
        <v>#REF!</v>
      </c>
      <c r="U42" s="62">
        <v>1.218</v>
      </c>
      <c r="V42" s="62">
        <f t="shared" si="2"/>
        <v>1.6316042345276873</v>
      </c>
      <c r="X42" s="62">
        <v>0.29493000000000003</v>
      </c>
      <c r="Y42" s="62">
        <f t="shared" si="0"/>
        <v>3.5391600000000002E-2</v>
      </c>
      <c r="AA42" s="62">
        <f t="shared" si="1"/>
        <v>0.78000000000000025</v>
      </c>
      <c r="AB42" s="62">
        <v>2.79</v>
      </c>
    </row>
    <row r="43" spans="1:28" ht="15.95" customHeight="1" thickBot="1" x14ac:dyDescent="0.3">
      <c r="A43" s="97"/>
      <c r="B43" s="207">
        <v>289</v>
      </c>
      <c r="C43" s="208">
        <v>17</v>
      </c>
      <c r="D43" s="209">
        <f>'Datos '!F62</f>
        <v>0</v>
      </c>
      <c r="E43" s="209">
        <f t="shared" si="3"/>
        <v>0</v>
      </c>
      <c r="F43" s="221" t="e">
        <f t="shared" si="4"/>
        <v>#REF!</v>
      </c>
      <c r="G43" s="219" t="e">
        <f>(E43/$F$19)*100</f>
        <v>#REF!</v>
      </c>
      <c r="H43" s="98"/>
      <c r="I43" s="98"/>
      <c r="J43" s="98"/>
      <c r="K43" s="98"/>
      <c r="L43" s="642" t="s">
        <v>86</v>
      </c>
      <c r="M43" s="643"/>
      <c r="N43" s="644"/>
      <c r="O43" s="108"/>
      <c r="Q43" s="65" t="e">
        <f>R30</f>
        <v>#REF!</v>
      </c>
      <c r="R43" s="76">
        <v>0</v>
      </c>
      <c r="U43" s="62">
        <v>1.2230000000000001</v>
      </c>
      <c r="V43" s="62">
        <f t="shared" si="2"/>
        <v>1.6383021172638437</v>
      </c>
      <c r="X43" s="62">
        <v>0.29520000000000002</v>
      </c>
      <c r="Y43" s="62">
        <f t="shared" si="0"/>
        <v>3.5424000000000004E-2</v>
      </c>
      <c r="AA43" s="62">
        <f t="shared" si="1"/>
        <v>0.78300000000000036</v>
      </c>
      <c r="AB43" s="62">
        <v>2.7930000000000001</v>
      </c>
    </row>
    <row r="44" spans="1:28" ht="15.95" customHeight="1" thickBot="1" x14ac:dyDescent="0.25">
      <c r="A44" s="97"/>
      <c r="B44" s="207">
        <v>324</v>
      </c>
      <c r="C44" s="208">
        <v>18</v>
      </c>
      <c r="D44" s="209">
        <f>'Datos '!F63</f>
        <v>0</v>
      </c>
      <c r="E44" s="209">
        <f t="shared" si="3"/>
        <v>0</v>
      </c>
      <c r="F44" s="221" t="e">
        <f t="shared" si="4"/>
        <v>#REF!</v>
      </c>
      <c r="G44" s="219" t="e">
        <f t="shared" si="5"/>
        <v>#REF!</v>
      </c>
      <c r="H44" s="98"/>
      <c r="I44" s="98"/>
      <c r="J44" s="98"/>
      <c r="K44" s="98"/>
      <c r="L44" s="583">
        <f>LOOKUP(L41,G19:G49,C19:C49)</f>
        <v>0</v>
      </c>
      <c r="M44" s="584"/>
      <c r="N44" s="585"/>
      <c r="O44" s="108"/>
      <c r="Q44" s="73"/>
      <c r="R44" s="75"/>
      <c r="T44" s="62">
        <v>1.645</v>
      </c>
      <c r="U44" s="62">
        <v>1.228</v>
      </c>
      <c r="V44" s="62">
        <f t="shared" si="2"/>
        <v>1.645</v>
      </c>
      <c r="X44" s="62">
        <v>0.29592000000000002</v>
      </c>
      <c r="Y44" s="62">
        <f>X44*0.12</f>
        <v>3.5510399999999998E-2</v>
      </c>
      <c r="AA44" s="62">
        <f t="shared" si="1"/>
        <v>0.78800000000000026</v>
      </c>
      <c r="AB44" s="62">
        <v>2.798</v>
      </c>
    </row>
    <row r="45" spans="1:28" ht="15.95" customHeight="1" thickBot="1" x14ac:dyDescent="0.25">
      <c r="A45" s="97"/>
      <c r="B45" s="207">
        <v>361</v>
      </c>
      <c r="C45" s="208">
        <v>19</v>
      </c>
      <c r="D45" s="209">
        <f>'Datos '!F64</f>
        <v>0</v>
      </c>
      <c r="E45" s="209">
        <f t="shared" si="3"/>
        <v>0</v>
      </c>
      <c r="F45" s="221" t="e">
        <f t="shared" si="4"/>
        <v>#REF!</v>
      </c>
      <c r="G45" s="219" t="e">
        <f>(E45/$F$19)*100</f>
        <v>#REF!</v>
      </c>
      <c r="H45" s="98"/>
      <c r="I45" s="98"/>
      <c r="J45" s="98"/>
      <c r="K45" s="98"/>
      <c r="L45" s="98"/>
      <c r="M45" s="98"/>
      <c r="N45" s="98"/>
      <c r="O45" s="108"/>
      <c r="AA45" s="62">
        <f t="shared" si="1"/>
        <v>0.79</v>
      </c>
      <c r="AB45" s="62">
        <v>2.8</v>
      </c>
    </row>
    <row r="46" spans="1:28" ht="15.95" customHeight="1" thickBot="1" x14ac:dyDescent="0.3">
      <c r="A46" s="97"/>
      <c r="B46" s="207">
        <v>400</v>
      </c>
      <c r="C46" s="208">
        <v>20</v>
      </c>
      <c r="D46" s="209">
        <f>'Datos '!F65</f>
        <v>0</v>
      </c>
      <c r="E46" s="209">
        <f t="shared" si="3"/>
        <v>0</v>
      </c>
      <c r="F46" s="221" t="e">
        <f t="shared" si="4"/>
        <v>#REF!</v>
      </c>
      <c r="G46" s="219" t="e">
        <f t="shared" ref="G46:G48" si="6">(E46/$F$19)*100</f>
        <v>#REF!</v>
      </c>
      <c r="H46" s="98"/>
      <c r="I46" s="98"/>
      <c r="J46" s="98"/>
      <c r="K46" s="98"/>
      <c r="L46" s="642" t="s">
        <v>237</v>
      </c>
      <c r="M46" s="643"/>
      <c r="N46" s="644"/>
      <c r="O46" s="108"/>
      <c r="AA46" s="62">
        <f t="shared" si="1"/>
        <v>0.79400000000000004</v>
      </c>
      <c r="AB46" s="62">
        <v>2.8039999999999998</v>
      </c>
    </row>
    <row r="47" spans="1:28" ht="15.95" customHeight="1" thickBot="1" x14ac:dyDescent="0.25">
      <c r="A47" s="97"/>
      <c r="B47" s="207">
        <v>441</v>
      </c>
      <c r="C47" s="208">
        <v>21</v>
      </c>
      <c r="D47" s="209">
        <f>'Datos '!F66</f>
        <v>0</v>
      </c>
      <c r="E47" s="209">
        <f t="shared" si="3"/>
        <v>0</v>
      </c>
      <c r="F47" s="221" t="e">
        <f t="shared" si="4"/>
        <v>#REF!</v>
      </c>
      <c r="G47" s="219" t="e">
        <f t="shared" si="6"/>
        <v>#REF!</v>
      </c>
      <c r="H47" s="115"/>
      <c r="I47" s="115"/>
      <c r="J47" s="115"/>
      <c r="K47" s="98"/>
      <c r="L47" s="634" t="e">
        <f>(0.848*((VLOOKUP(INT(L38),C19:F49,4))/10/2)^2)/((L38^2)*60)</f>
        <v>#REF!</v>
      </c>
      <c r="M47" s="635"/>
      <c r="N47" s="636"/>
      <c r="O47" s="108"/>
      <c r="AA47" s="62">
        <f t="shared" si="1"/>
        <v>0.79700000000000015</v>
      </c>
      <c r="AB47" s="62">
        <v>2.8069999999999999</v>
      </c>
    </row>
    <row r="48" spans="1:28" ht="15.95" customHeight="1" x14ac:dyDescent="0.2">
      <c r="A48" s="97"/>
      <c r="B48" s="207">
        <v>484</v>
      </c>
      <c r="C48" s="208">
        <v>22</v>
      </c>
      <c r="D48" s="209">
        <f>'Datos '!F67</f>
        <v>0</v>
      </c>
      <c r="E48" s="209">
        <f t="shared" si="3"/>
        <v>0</v>
      </c>
      <c r="F48" s="221" t="e">
        <f t="shared" si="4"/>
        <v>#REF!</v>
      </c>
      <c r="G48" s="219" t="e">
        <f t="shared" si="6"/>
        <v>#REF!</v>
      </c>
      <c r="H48" s="98"/>
      <c r="I48" s="98"/>
      <c r="J48" s="98"/>
      <c r="K48" s="115"/>
      <c r="L48" s="98"/>
      <c r="M48" s="98"/>
      <c r="N48" s="98"/>
      <c r="O48" s="108"/>
      <c r="AA48" s="62">
        <f t="shared" si="1"/>
        <v>0.80500000000000016</v>
      </c>
      <c r="AB48" s="62">
        <v>2.8149999999999999</v>
      </c>
    </row>
    <row r="49" spans="1:22" ht="17.25" customHeight="1" thickBot="1" x14ac:dyDescent="0.25">
      <c r="A49" s="97"/>
      <c r="B49" s="214">
        <v>1440</v>
      </c>
      <c r="C49" s="122">
        <v>37.947331922020602</v>
      </c>
      <c r="D49" s="400">
        <f>'Datos '!F68</f>
        <v>0</v>
      </c>
      <c r="E49" s="400">
        <f t="shared" si="3"/>
        <v>0</v>
      </c>
      <c r="F49" s="222" t="e">
        <f t="shared" si="4"/>
        <v>#REF!</v>
      </c>
      <c r="G49" s="220" t="e">
        <f>(E49/$F$19)*100</f>
        <v>#REF!</v>
      </c>
      <c r="H49" s="409"/>
      <c r="I49" s="409"/>
      <c r="J49" s="409"/>
      <c r="K49" s="98"/>
      <c r="L49" s="156"/>
      <c r="M49" s="156"/>
      <c r="N49" s="215"/>
      <c r="O49" s="216"/>
      <c r="P49" s="78"/>
    </row>
    <row r="50" spans="1:22" x14ac:dyDescent="0.2">
      <c r="A50" s="97"/>
      <c r="B50" s="98"/>
      <c r="C50" s="98"/>
      <c r="D50" s="98"/>
      <c r="E50" s="98"/>
      <c r="F50" s="98"/>
      <c r="G50" s="98"/>
      <c r="H50" s="98"/>
      <c r="I50" s="98"/>
      <c r="J50" s="98"/>
      <c r="K50" s="98"/>
      <c r="L50" s="98"/>
      <c r="M50" s="98"/>
      <c r="N50" s="98"/>
      <c r="O50" s="108"/>
    </row>
    <row r="51" spans="1:22" ht="18" customHeight="1" x14ac:dyDescent="0.2">
      <c r="A51" s="173"/>
      <c r="B51" s="581" t="s">
        <v>195</v>
      </c>
      <c r="C51" s="581"/>
      <c r="D51" s="581"/>
      <c r="E51" s="581"/>
      <c r="F51" s="581"/>
      <c r="G51" s="581"/>
      <c r="H51" s="581"/>
      <c r="I51" s="581"/>
      <c r="J51" s="581"/>
      <c r="K51" s="581"/>
      <c r="L51" s="581"/>
      <c r="M51" s="581"/>
      <c r="N51" s="581"/>
      <c r="O51" s="108"/>
    </row>
    <row r="52" spans="1:22" ht="15.75" customHeight="1" x14ac:dyDescent="0.2">
      <c r="A52" s="173"/>
      <c r="B52" s="582" t="s">
        <v>196</v>
      </c>
      <c r="C52" s="582"/>
      <c r="D52" s="582"/>
      <c r="E52" s="582"/>
      <c r="F52" s="582"/>
      <c r="G52" s="582"/>
      <c r="H52" s="582"/>
      <c r="I52" s="582"/>
      <c r="J52" s="582"/>
      <c r="K52" s="582"/>
      <c r="L52" s="582"/>
      <c r="M52" s="582"/>
      <c r="N52" s="582"/>
      <c r="O52" s="217"/>
    </row>
    <row r="53" spans="1:22" ht="15.75" customHeight="1" x14ac:dyDescent="0.2">
      <c r="A53" s="173"/>
      <c r="B53" s="582"/>
      <c r="C53" s="582"/>
      <c r="D53" s="582"/>
      <c r="E53" s="582"/>
      <c r="F53" s="582"/>
      <c r="G53" s="582"/>
      <c r="H53" s="582"/>
      <c r="I53" s="582"/>
      <c r="J53" s="582"/>
      <c r="K53" s="582"/>
      <c r="L53" s="582"/>
      <c r="M53" s="582"/>
      <c r="N53" s="582"/>
      <c r="O53" s="217"/>
    </row>
    <row r="54" spans="1:22" ht="12.75" customHeight="1" x14ac:dyDescent="0.2">
      <c r="A54" s="173"/>
      <c r="B54" s="582"/>
      <c r="C54" s="582"/>
      <c r="D54" s="582"/>
      <c r="E54" s="582"/>
      <c r="F54" s="582"/>
      <c r="G54" s="582"/>
      <c r="H54" s="582"/>
      <c r="I54" s="582"/>
      <c r="J54" s="582"/>
      <c r="K54" s="582"/>
      <c r="L54" s="582"/>
      <c r="M54" s="582"/>
      <c r="N54" s="582"/>
      <c r="O54" s="108"/>
    </row>
    <row r="55" spans="1:22" x14ac:dyDescent="0.2">
      <c r="A55" s="173"/>
      <c r="B55" s="582"/>
      <c r="C55" s="582"/>
      <c r="D55" s="582"/>
      <c r="E55" s="582"/>
      <c r="F55" s="582"/>
      <c r="G55" s="582"/>
      <c r="H55" s="582"/>
      <c r="I55" s="582"/>
      <c r="J55" s="582"/>
      <c r="K55" s="582"/>
      <c r="L55" s="582"/>
      <c r="M55" s="582"/>
      <c r="N55" s="582"/>
      <c r="O55" s="108"/>
    </row>
    <row r="56" spans="1:22" x14ac:dyDescent="0.2">
      <c r="A56" s="97"/>
      <c r="B56" s="582"/>
      <c r="C56" s="582"/>
      <c r="D56" s="582"/>
      <c r="E56" s="582"/>
      <c r="F56" s="582"/>
      <c r="G56" s="582"/>
      <c r="H56" s="582"/>
      <c r="I56" s="582"/>
      <c r="J56" s="582"/>
      <c r="K56" s="582"/>
      <c r="L56" s="582"/>
      <c r="M56" s="582"/>
      <c r="N56" s="582"/>
      <c r="O56" s="108"/>
    </row>
    <row r="57" spans="1:22" x14ac:dyDescent="0.2">
      <c r="A57" s="627"/>
      <c r="B57" s="628"/>
      <c r="C57" s="628"/>
      <c r="D57" s="628"/>
      <c r="E57" s="628"/>
      <c r="F57" s="628"/>
      <c r="G57" s="628"/>
      <c r="H57" s="628"/>
      <c r="I57" s="628"/>
      <c r="J57" s="628"/>
      <c r="K57" s="223"/>
      <c r="L57" s="223"/>
      <c r="M57" s="223"/>
      <c r="N57" s="223"/>
      <c r="O57" s="224"/>
    </row>
    <row r="58" spans="1:22" ht="15.75" thickBot="1" x14ac:dyDescent="0.25">
      <c r="A58" s="625"/>
      <c r="B58" s="626"/>
      <c r="C58" s="626"/>
      <c r="D58" s="626"/>
      <c r="E58" s="626"/>
      <c r="F58" s="626"/>
      <c r="G58" s="626"/>
      <c r="H58" s="626"/>
      <c r="I58" s="626"/>
      <c r="J58" s="626"/>
      <c r="K58" s="225"/>
      <c r="L58" s="225"/>
      <c r="M58" s="225"/>
      <c r="N58" s="225"/>
      <c r="O58" s="226"/>
    </row>
    <row r="61" spans="1:22" ht="15.75" thickBot="1" x14ac:dyDescent="0.25"/>
    <row r="62" spans="1:22" x14ac:dyDescent="0.2">
      <c r="Q62" s="69"/>
      <c r="R62" s="70"/>
      <c r="S62" s="70"/>
      <c r="T62" s="70"/>
      <c r="U62" s="70"/>
      <c r="V62" s="71"/>
    </row>
    <row r="63" spans="1:22" x14ac:dyDescent="0.2">
      <c r="Q63" s="63"/>
      <c r="V63" s="64"/>
    </row>
    <row r="64" spans="1:22" x14ac:dyDescent="0.2">
      <c r="Q64" s="63"/>
      <c r="V64" s="64"/>
    </row>
    <row r="65" spans="17:22" x14ac:dyDescent="0.2">
      <c r="Q65" s="63"/>
      <c r="V65" s="64"/>
    </row>
    <row r="66" spans="17:22" x14ac:dyDescent="0.2">
      <c r="Q66" s="79" t="s">
        <v>87</v>
      </c>
      <c r="R66" s="80" t="s">
        <v>88</v>
      </c>
      <c r="S66" s="80" t="s">
        <v>89</v>
      </c>
      <c r="T66" s="80" t="s">
        <v>90</v>
      </c>
      <c r="U66" s="80" t="s">
        <v>91</v>
      </c>
      <c r="V66" s="81" t="s">
        <v>92</v>
      </c>
    </row>
    <row r="67" spans="17:22" ht="15.75" x14ac:dyDescent="0.2">
      <c r="Q67" s="82">
        <v>3.5</v>
      </c>
      <c r="R67" s="83" t="e">
        <f>VLOOKUP(Q67,C19:G34,4)</f>
        <v>#REF!</v>
      </c>
      <c r="S67" s="84" t="e">
        <f>+Q67+((U67-Q67)/(V67-R67))*(T67-R67)</f>
        <v>#REF!</v>
      </c>
      <c r="T67" s="84">
        <f>+L41</f>
        <v>0</v>
      </c>
      <c r="U67" s="85">
        <v>10</v>
      </c>
      <c r="V67" s="86" t="e">
        <f>VLOOKUP(U67,C19:G34,4)</f>
        <v>#REF!</v>
      </c>
    </row>
    <row r="68" spans="17:22" ht="15.75" thickBot="1" x14ac:dyDescent="0.25">
      <c r="Q68" s="73"/>
      <c r="R68" s="74"/>
      <c r="S68" s="74"/>
      <c r="T68" s="74"/>
      <c r="U68" s="74"/>
      <c r="V68" s="75"/>
    </row>
  </sheetData>
  <mergeCells count="64">
    <mergeCell ref="L32:N32"/>
    <mergeCell ref="L35:N35"/>
    <mergeCell ref="L37:N37"/>
    <mergeCell ref="B51:N51"/>
    <mergeCell ref="N23:N24"/>
    <mergeCell ref="L31:N31"/>
    <mergeCell ref="L28:N28"/>
    <mergeCell ref="L29:N29"/>
    <mergeCell ref="L18:N18"/>
    <mergeCell ref="L19:M20"/>
    <mergeCell ref="N19:N20"/>
    <mergeCell ref="L21:M22"/>
    <mergeCell ref="N21:N22"/>
    <mergeCell ref="A57:J57"/>
    <mergeCell ref="A58:J58"/>
    <mergeCell ref="D13:N13"/>
    <mergeCell ref="D14:N14"/>
    <mergeCell ref="L38:N38"/>
    <mergeCell ref="L44:N44"/>
    <mergeCell ref="L40:N40"/>
    <mergeCell ref="L41:N41"/>
    <mergeCell ref="L43:N43"/>
    <mergeCell ref="L47:N47"/>
    <mergeCell ref="L46:N46"/>
    <mergeCell ref="L34:N34"/>
    <mergeCell ref="L25:M26"/>
    <mergeCell ref="B52:N56"/>
    <mergeCell ref="L23:M24"/>
    <mergeCell ref="N25:N26"/>
    <mergeCell ref="J9:K9"/>
    <mergeCell ref="M9:N9"/>
    <mergeCell ref="B14:C14"/>
    <mergeCell ref="B13:C13"/>
    <mergeCell ref="B10:C10"/>
    <mergeCell ref="D10:I10"/>
    <mergeCell ref="J10:K10"/>
    <mergeCell ref="B11:M11"/>
    <mergeCell ref="B12:C12"/>
    <mergeCell ref="D12:F12"/>
    <mergeCell ref="J12:K12"/>
    <mergeCell ref="B9:C9"/>
    <mergeCell ref="D9:I9"/>
    <mergeCell ref="L10:N10"/>
    <mergeCell ref="AP3:AS5"/>
    <mergeCell ref="M4:O4"/>
    <mergeCell ref="B5:M5"/>
    <mergeCell ref="A1:D4"/>
    <mergeCell ref="B6:C6"/>
    <mergeCell ref="D6:I6"/>
    <mergeCell ref="J6:K6"/>
    <mergeCell ref="L6:N6"/>
    <mergeCell ref="F2:L4"/>
    <mergeCell ref="F1:L1"/>
    <mergeCell ref="M1:O1"/>
    <mergeCell ref="M2:O2"/>
    <mergeCell ref="M3:O3"/>
    <mergeCell ref="B7:C7"/>
    <mergeCell ref="D7:I7"/>
    <mergeCell ref="J7:K7"/>
    <mergeCell ref="L7:N7"/>
    <mergeCell ref="B8:C8"/>
    <mergeCell ref="D8:I8"/>
    <mergeCell ref="J8:K8"/>
    <mergeCell ref="L8:N8"/>
  </mergeCells>
  <conditionalFormatting sqref="D12:E14">
    <cfRule type="containsBlanks" dxfId="35" priority="3">
      <formula>LEN(TRIM(D12))=0</formula>
    </cfRule>
  </conditionalFormatting>
  <conditionalFormatting sqref="D12:G12">
    <cfRule type="containsBlanks" dxfId="34" priority="1">
      <formula>LEN(TRIM(D12))=0</formula>
    </cfRule>
    <cfRule type="containsBlanks" dxfId="33" priority="2">
      <formula>LEN(TRIM(D12))=0</formula>
    </cfRule>
  </conditionalFormatting>
  <conditionalFormatting sqref="D6:I10">
    <cfRule type="containsBlanks" dxfId="32" priority="7">
      <formula>LEN(TRIM(D6))=0</formula>
    </cfRule>
  </conditionalFormatting>
  <conditionalFormatting sqref="D6:J10 L6:N6 L7:L8 M9 G12:J12 L12:N12 D13:E14 B6:B10 B12:B14">
    <cfRule type="containsBlanks" dxfId="31" priority="8">
      <formula>LEN(TRIM(B6))=0</formula>
    </cfRule>
  </conditionalFormatting>
  <conditionalFormatting sqref="L6:N8 M9 I12 L12 N12 D13:E14">
    <cfRule type="containsBlanks" dxfId="30" priority="6">
      <formula>LEN(TRIM(D6))=0</formula>
    </cfRule>
  </conditionalFormatting>
  <conditionalFormatting sqref="L6:N8 M9 I12 L12 N12">
    <cfRule type="containsBlanks" dxfId="29" priority="4">
      <formula>LEN(TRIM(I6))=0</formula>
    </cfRule>
  </conditionalFormatting>
  <printOptions horizontalCentered="1" verticalCentered="1" gridLinesSet="0"/>
  <pageMargins left="0.19685039370078741" right="0.19685039370078741" top="0.19685039370078741" bottom="0.39370078740157483" header="0.31496062992125984" footer="0.31496062992125984"/>
  <pageSetup scale="57" orientation="landscape" r:id="rId1"/>
  <headerFooter alignWithMargins="0">
    <oddFooter>&amp;CGEODELTA INGENIERÍA 
Barrio el laurel, Móvil: 3187902368 Bogotá DC - Colombia
e-mail: laboratoriogeodelta@gmail.com</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S68"/>
  <sheetViews>
    <sheetView showGridLines="0" view="pageBreakPreview" zoomScale="130" zoomScaleNormal="100" zoomScaleSheetLayoutView="130" workbookViewId="0">
      <selection sqref="A1:D4"/>
    </sheetView>
  </sheetViews>
  <sheetFormatPr baseColWidth="10" defaultColWidth="11.42578125" defaultRowHeight="15" x14ac:dyDescent="0.2"/>
  <cols>
    <col min="1" max="1" width="3.28515625" style="62" customWidth="1"/>
    <col min="2" max="2" width="14.42578125" style="62" customWidth="1"/>
    <col min="3" max="3" width="15.28515625" style="62" customWidth="1"/>
    <col min="4" max="4" width="19" style="62" customWidth="1"/>
    <col min="5" max="5" width="18" style="62" customWidth="1"/>
    <col min="6" max="6" width="17.85546875" style="62" customWidth="1"/>
    <col min="7" max="7" width="17.7109375" style="62" customWidth="1"/>
    <col min="8" max="8" width="18.5703125" style="62" bestFit="1" customWidth="1"/>
    <col min="9" max="9" width="22.85546875" style="62" customWidth="1"/>
    <col min="10" max="10" width="21.140625" style="62" customWidth="1"/>
    <col min="11" max="11" width="8.28515625" style="62" customWidth="1"/>
    <col min="12" max="14" width="13.7109375" style="62" customWidth="1"/>
    <col min="15" max="15" width="2" style="62" customWidth="1"/>
    <col min="16" max="16384" width="11.42578125" style="62"/>
  </cols>
  <sheetData>
    <row r="1" spans="1:45" s="36" customFormat="1" ht="17.25" customHeight="1" x14ac:dyDescent="0.2">
      <c r="A1" s="532"/>
      <c r="B1" s="533"/>
      <c r="C1" s="533"/>
      <c r="D1" s="726"/>
      <c r="E1" s="397"/>
      <c r="F1" s="546" t="s">
        <v>119</v>
      </c>
      <c r="G1" s="546"/>
      <c r="H1" s="546"/>
      <c r="I1" s="546"/>
      <c r="J1" s="546"/>
      <c r="K1" s="546"/>
      <c r="L1" s="622"/>
      <c r="M1" s="614" t="str">
        <f>Resultados!O1</f>
        <v>CÓDIGO: GDA-FLC-009</v>
      </c>
      <c r="N1" s="615"/>
      <c r="O1" s="616"/>
      <c r="P1" s="35"/>
      <c r="Q1" s="35"/>
      <c r="R1" s="35" t="s">
        <v>126</v>
      </c>
      <c r="S1" s="35"/>
      <c r="T1" s="35"/>
      <c r="U1" s="35"/>
      <c r="V1" s="35"/>
      <c r="W1" s="35"/>
      <c r="Z1" s="37" t="s">
        <v>120</v>
      </c>
      <c r="AA1" s="36" t="s">
        <v>121</v>
      </c>
    </row>
    <row r="2" spans="1:45" s="36" customFormat="1" ht="17.25" customHeight="1" x14ac:dyDescent="0.2">
      <c r="A2" s="534"/>
      <c r="B2" s="725"/>
      <c r="C2" s="725"/>
      <c r="D2" s="727"/>
      <c r="E2" s="67"/>
      <c r="F2" s="638" t="s">
        <v>185</v>
      </c>
      <c r="G2" s="638"/>
      <c r="H2" s="638"/>
      <c r="I2" s="638"/>
      <c r="J2" s="638"/>
      <c r="K2" s="638"/>
      <c r="L2" s="639"/>
      <c r="M2" s="617" t="str">
        <f>Resultados!O2</f>
        <v>VERSIÓN :03</v>
      </c>
      <c r="N2" s="618"/>
      <c r="O2" s="619"/>
      <c r="P2" s="35"/>
      <c r="Q2" s="35"/>
      <c r="R2" s="35" t="s">
        <v>174</v>
      </c>
      <c r="S2" s="35"/>
      <c r="T2" s="35"/>
      <c r="U2" s="35"/>
      <c r="V2" s="35"/>
      <c r="W2" s="35"/>
      <c r="Z2" s="37" t="s">
        <v>122</v>
      </c>
      <c r="AA2" s="36" t="s">
        <v>123</v>
      </c>
    </row>
    <row r="3" spans="1:45" s="36" customFormat="1" ht="17.25" customHeight="1" x14ac:dyDescent="0.2">
      <c r="A3" s="534"/>
      <c r="B3" s="725"/>
      <c r="C3" s="725"/>
      <c r="D3" s="727"/>
      <c r="E3" s="67"/>
      <c r="F3" s="638"/>
      <c r="G3" s="638"/>
      <c r="H3" s="638"/>
      <c r="I3" s="638"/>
      <c r="J3" s="638"/>
      <c r="K3" s="638"/>
      <c r="L3" s="639"/>
      <c r="M3" s="617" t="s">
        <v>179</v>
      </c>
      <c r="N3" s="618"/>
      <c r="O3" s="619"/>
      <c r="P3" s="35"/>
      <c r="Q3" s="35"/>
      <c r="R3" s="35" t="s">
        <v>131</v>
      </c>
      <c r="S3" s="35"/>
      <c r="T3" s="35"/>
      <c r="U3" s="35"/>
      <c r="V3" s="35"/>
      <c r="W3" s="35"/>
      <c r="AP3" s="620" t="s">
        <v>124</v>
      </c>
      <c r="AQ3" s="620"/>
      <c r="AR3" s="620"/>
      <c r="AS3" s="620"/>
    </row>
    <row r="4" spans="1:45" s="36" customFormat="1" ht="17.25" customHeight="1" thickBot="1" x14ac:dyDescent="0.25">
      <c r="A4" s="535"/>
      <c r="B4" s="536"/>
      <c r="C4" s="536"/>
      <c r="D4" s="621"/>
      <c r="E4" s="398"/>
      <c r="F4" s="640"/>
      <c r="G4" s="640"/>
      <c r="H4" s="640"/>
      <c r="I4" s="640"/>
      <c r="J4" s="640"/>
      <c r="K4" s="640"/>
      <c r="L4" s="641"/>
      <c r="M4" s="535" t="str">
        <f>Resultados!O4</f>
        <v>FECHA: 08-08-2025</v>
      </c>
      <c r="N4" s="536"/>
      <c r="O4" s="621"/>
      <c r="P4" s="35"/>
      <c r="Q4" s="35"/>
      <c r="R4" s="35" t="s">
        <v>135</v>
      </c>
      <c r="S4" s="35"/>
      <c r="T4" s="35"/>
      <c r="U4" s="35"/>
      <c r="V4" s="35"/>
      <c r="W4" s="35"/>
      <c r="AP4" s="620"/>
      <c r="AQ4" s="620"/>
      <c r="AR4" s="620"/>
      <c r="AS4" s="620"/>
    </row>
    <row r="5" spans="1:45" s="36" customFormat="1" ht="3.95" customHeight="1" thickBot="1" x14ac:dyDescent="0.25">
      <c r="A5" s="38"/>
      <c r="B5" s="528"/>
      <c r="C5" s="528"/>
      <c r="D5" s="528"/>
      <c r="E5" s="528"/>
      <c r="F5" s="528"/>
      <c r="G5" s="528"/>
      <c r="H5" s="528"/>
      <c r="I5" s="528"/>
      <c r="J5" s="528"/>
      <c r="K5" s="528"/>
      <c r="L5" s="528"/>
      <c r="M5" s="528"/>
      <c r="N5" s="40"/>
      <c r="O5" s="41"/>
      <c r="P5" s="42"/>
      <c r="Q5" s="42"/>
      <c r="R5" s="42" t="s">
        <v>138</v>
      </c>
      <c r="S5" s="42"/>
      <c r="T5" s="42"/>
      <c r="U5" s="42"/>
      <c r="V5" s="42"/>
      <c r="W5" s="42"/>
      <c r="AP5" s="620"/>
      <c r="AQ5" s="620"/>
      <c r="AR5" s="620"/>
      <c r="AS5" s="620"/>
    </row>
    <row r="6" spans="1:45" s="36" customFormat="1" ht="22.5" customHeight="1" x14ac:dyDescent="0.2">
      <c r="A6" s="34"/>
      <c r="B6" s="524" t="s">
        <v>0</v>
      </c>
      <c r="C6" s="524"/>
      <c r="D6" s="629">
        <f>Resultados!D6</f>
        <v>0</v>
      </c>
      <c r="E6" s="629"/>
      <c r="F6" s="629"/>
      <c r="G6" s="629"/>
      <c r="H6" s="629"/>
      <c r="I6" s="629"/>
      <c r="J6" s="531" t="s">
        <v>125</v>
      </c>
      <c r="K6" s="531"/>
      <c r="L6" s="637">
        <f>Resultados!M6</f>
        <v>0</v>
      </c>
      <c r="M6" s="637"/>
      <c r="N6" s="637"/>
      <c r="O6" s="44"/>
      <c r="P6" s="45"/>
      <c r="Q6" s="45"/>
      <c r="R6" s="45"/>
      <c r="S6" s="45"/>
      <c r="T6" s="45"/>
      <c r="U6" s="45"/>
      <c r="V6" s="45"/>
      <c r="W6" s="45"/>
      <c r="AP6" s="46" t="s">
        <v>126</v>
      </c>
      <c r="AQ6" s="37"/>
      <c r="AR6" s="37"/>
      <c r="AS6" s="37"/>
    </row>
    <row r="7" spans="1:45" s="36" customFormat="1" ht="27" customHeight="1" x14ac:dyDescent="0.2">
      <c r="A7" s="38"/>
      <c r="B7" s="516" t="s">
        <v>1</v>
      </c>
      <c r="C7" s="516"/>
      <c r="D7" s="612">
        <f>Resultados!D7</f>
        <v>0</v>
      </c>
      <c r="E7" s="612"/>
      <c r="F7" s="612"/>
      <c r="G7" s="612"/>
      <c r="H7" s="612"/>
      <c r="I7" s="612"/>
      <c r="J7" s="520" t="s">
        <v>127</v>
      </c>
      <c r="K7" s="520"/>
      <c r="L7" s="613">
        <f>Resultados!M7</f>
        <v>0</v>
      </c>
      <c r="M7" s="613"/>
      <c r="N7" s="613"/>
      <c r="O7" s="47"/>
      <c r="P7" s="45"/>
      <c r="Q7" s="45"/>
      <c r="R7" s="45"/>
      <c r="S7" s="45"/>
      <c r="T7" s="45"/>
      <c r="U7" s="45"/>
      <c r="V7" s="45"/>
      <c r="W7" s="45"/>
      <c r="AP7" s="46" t="s">
        <v>128</v>
      </c>
      <c r="AQ7" s="37"/>
      <c r="AR7" s="37"/>
      <c r="AS7" s="37"/>
    </row>
    <row r="8" spans="1:45" s="36" customFormat="1" ht="22.5" customHeight="1" x14ac:dyDescent="0.2">
      <c r="A8" s="38"/>
      <c r="B8" s="516" t="s">
        <v>129</v>
      </c>
      <c r="C8" s="516"/>
      <c r="D8" s="560">
        <f>Resultados!D8</f>
        <v>0</v>
      </c>
      <c r="E8" s="560"/>
      <c r="F8" s="560"/>
      <c r="G8" s="560"/>
      <c r="H8" s="560"/>
      <c r="I8" s="560"/>
      <c r="J8" s="520" t="s">
        <v>130</v>
      </c>
      <c r="K8" s="520"/>
      <c r="L8" s="613">
        <f>Resultados!M8</f>
        <v>0</v>
      </c>
      <c r="M8" s="613"/>
      <c r="N8" s="613"/>
      <c r="O8" s="47"/>
      <c r="P8" s="45"/>
      <c r="Q8" s="45"/>
      <c r="R8" s="45"/>
      <c r="S8" s="45"/>
      <c r="T8" s="45"/>
      <c r="U8" s="45"/>
      <c r="V8" s="45"/>
      <c r="W8" s="45"/>
      <c r="AP8" s="46" t="s">
        <v>131</v>
      </c>
      <c r="AQ8" s="37"/>
      <c r="AR8" s="37"/>
      <c r="AS8" s="37"/>
    </row>
    <row r="9" spans="1:45" s="36" customFormat="1" ht="15.75" customHeight="1" x14ac:dyDescent="0.2">
      <c r="A9" s="38"/>
      <c r="B9" s="516" t="s">
        <v>132</v>
      </c>
      <c r="C9" s="516"/>
      <c r="D9" s="560">
        <f>Resultados!D9</f>
        <v>0</v>
      </c>
      <c r="E9" s="560"/>
      <c r="F9" s="560"/>
      <c r="G9" s="560"/>
      <c r="H9" s="560"/>
      <c r="I9" s="560"/>
      <c r="J9" s="520" t="s">
        <v>133</v>
      </c>
      <c r="K9" s="520"/>
      <c r="L9" s="48" t="s">
        <v>134</v>
      </c>
      <c r="M9" s="632" t="str">
        <f>_xlfn.CONCAT(Resultados!N9," ","-"," ",Resultados!P9)</f>
        <v xml:space="preserve"> - </v>
      </c>
      <c r="N9" s="633"/>
      <c r="O9" s="47"/>
      <c r="P9" s="45">
        <v>25</v>
      </c>
      <c r="Q9" s="45"/>
      <c r="R9" s="45"/>
      <c r="S9" s="45"/>
      <c r="T9" s="45"/>
      <c r="U9" s="45"/>
      <c r="V9" s="45"/>
      <c r="W9" s="45"/>
      <c r="AP9" s="46" t="s">
        <v>135</v>
      </c>
      <c r="AQ9" s="37"/>
      <c r="AR9" s="37"/>
      <c r="AS9" s="37"/>
    </row>
    <row r="10" spans="1:45" s="36" customFormat="1" ht="22.5" customHeight="1" x14ac:dyDescent="0.2">
      <c r="A10" s="38"/>
      <c r="B10" s="550" t="s">
        <v>136</v>
      </c>
      <c r="C10" s="550"/>
      <c r="D10" s="560">
        <f>Resultados!D10</f>
        <v>0</v>
      </c>
      <c r="E10" s="560"/>
      <c r="F10" s="560"/>
      <c r="G10" s="560"/>
      <c r="H10" s="560"/>
      <c r="I10" s="560"/>
      <c r="J10" s="561" t="s">
        <v>137</v>
      </c>
      <c r="K10" s="561"/>
      <c r="L10" s="560" t="str">
        <f>Resultados!M10</f>
        <v xml:space="preserve"> --</v>
      </c>
      <c r="M10" s="560"/>
      <c r="N10" s="560"/>
      <c r="O10" s="49"/>
      <c r="P10" s="50"/>
      <c r="Q10" s="50"/>
      <c r="R10" s="50"/>
      <c r="S10" s="50"/>
      <c r="T10" s="50"/>
      <c r="U10" s="50"/>
      <c r="V10" s="50"/>
      <c r="W10" s="50"/>
      <c r="AP10" s="46" t="s">
        <v>138</v>
      </c>
      <c r="AQ10" s="37"/>
      <c r="AR10" s="37"/>
      <c r="AS10" s="37"/>
    </row>
    <row r="11" spans="1:45" s="36" customFormat="1" ht="3.95" customHeight="1" thickBot="1" x14ac:dyDescent="0.25">
      <c r="A11" s="38"/>
      <c r="B11" s="525"/>
      <c r="C11" s="525"/>
      <c r="D11" s="525"/>
      <c r="E11" s="525"/>
      <c r="F11" s="525"/>
      <c r="G11" s="525"/>
      <c r="H11" s="525"/>
      <c r="I11" s="525"/>
      <c r="J11" s="525"/>
      <c r="K11" s="525"/>
      <c r="L11" s="525"/>
      <c r="M11" s="525"/>
      <c r="N11" s="51"/>
      <c r="O11" s="41"/>
      <c r="P11" s="42"/>
      <c r="Q11" s="42"/>
      <c r="R11" s="42"/>
      <c r="S11" s="42"/>
      <c r="T11" s="42"/>
      <c r="U11" s="42"/>
      <c r="V11" s="42"/>
      <c r="W11" s="42"/>
      <c r="AP11" s="46"/>
      <c r="AQ11" s="37"/>
      <c r="AR11" s="37"/>
      <c r="AS11" s="37"/>
    </row>
    <row r="12" spans="1:45" s="36" customFormat="1" ht="22.5" customHeight="1" x14ac:dyDescent="0.2">
      <c r="A12" s="34"/>
      <c r="B12" s="524" t="s">
        <v>2</v>
      </c>
      <c r="C12" s="524"/>
      <c r="D12" s="611">
        <f>Resultados!X2</f>
        <v>0</v>
      </c>
      <c r="E12" s="611"/>
      <c r="F12" s="611"/>
      <c r="G12" s="399">
        <f>Resultados!F12</f>
        <v>0</v>
      </c>
      <c r="H12" s="88" t="s">
        <v>139</v>
      </c>
      <c r="I12" s="92">
        <f>Resultados!I12</f>
        <v>0</v>
      </c>
      <c r="J12" s="558" t="s">
        <v>140</v>
      </c>
      <c r="K12" s="558"/>
      <c r="L12" s="95">
        <f>Resultados!M12</f>
        <v>0</v>
      </c>
      <c r="M12" s="54" t="s">
        <v>141</v>
      </c>
      <c r="N12" s="96">
        <f>Resultados!O12</f>
        <v>0</v>
      </c>
      <c r="O12" s="55">
        <v>2.75</v>
      </c>
      <c r="P12" s="56"/>
      <c r="Q12" s="56"/>
      <c r="R12" s="56"/>
      <c r="S12" s="56"/>
      <c r="T12" s="56"/>
      <c r="U12" s="56"/>
      <c r="V12" s="56"/>
      <c r="W12" s="56"/>
      <c r="AP12" s="46"/>
      <c r="AQ12" s="37"/>
      <c r="AR12" s="37"/>
      <c r="AS12" s="37"/>
    </row>
    <row r="13" spans="1:45" s="36" customFormat="1" ht="22.5" customHeight="1" x14ac:dyDescent="0.2">
      <c r="A13" s="38"/>
      <c r="B13" s="516" t="s">
        <v>142</v>
      </c>
      <c r="C13" s="516"/>
      <c r="D13" s="630">
        <f>Resultados!D13</f>
        <v>0</v>
      </c>
      <c r="E13" s="630"/>
      <c r="F13" s="630"/>
      <c r="G13" s="630"/>
      <c r="H13" s="630"/>
      <c r="I13" s="630"/>
      <c r="J13" s="630"/>
      <c r="K13" s="630"/>
      <c r="L13" s="630"/>
      <c r="M13" s="630"/>
      <c r="N13" s="630"/>
      <c r="O13" s="57"/>
      <c r="P13" s="58"/>
      <c r="Q13" s="58"/>
      <c r="R13" s="58"/>
      <c r="S13" s="58"/>
      <c r="T13" s="58"/>
      <c r="U13" s="58"/>
      <c r="V13" s="58"/>
      <c r="W13" s="58"/>
      <c r="AP13" s="46"/>
      <c r="AQ13" s="37"/>
      <c r="AR13" s="37"/>
      <c r="AS13" s="37"/>
    </row>
    <row r="14" spans="1:45" s="36" customFormat="1" ht="22.5" customHeight="1" x14ac:dyDescent="0.2">
      <c r="A14" s="38"/>
      <c r="B14" s="516" t="s">
        <v>143</v>
      </c>
      <c r="C14" s="516"/>
      <c r="D14" s="560">
        <f>Resultados!D14</f>
        <v>0</v>
      </c>
      <c r="E14" s="560"/>
      <c r="F14" s="560"/>
      <c r="G14" s="560"/>
      <c r="H14" s="560"/>
      <c r="I14" s="560"/>
      <c r="J14" s="560"/>
      <c r="K14" s="560"/>
      <c r="L14" s="560"/>
      <c r="M14" s="560"/>
      <c r="N14" s="560"/>
      <c r="O14" s="49"/>
      <c r="P14" s="50"/>
      <c r="Q14" s="50"/>
      <c r="R14" s="50"/>
      <c r="S14" s="50"/>
      <c r="T14" s="50"/>
      <c r="U14" s="50"/>
      <c r="V14" s="50"/>
      <c r="W14" s="50"/>
      <c r="AP14" s="46"/>
      <c r="AQ14" s="37"/>
      <c r="AR14" s="37"/>
      <c r="AS14" s="37"/>
    </row>
    <row r="15" spans="1:45" s="36" customFormat="1" ht="6.95" customHeight="1" thickBot="1" x14ac:dyDescent="0.25">
      <c r="A15" s="39"/>
      <c r="B15" s="59"/>
      <c r="C15" s="59"/>
      <c r="D15" s="60"/>
      <c r="E15" s="60"/>
      <c r="F15" s="60"/>
      <c r="G15" s="60"/>
      <c r="H15" s="60"/>
      <c r="I15" s="60"/>
      <c r="J15" s="60"/>
      <c r="K15" s="60"/>
      <c r="L15" s="60"/>
      <c r="M15" s="60"/>
      <c r="N15" s="60"/>
      <c r="O15" s="61"/>
      <c r="P15" s="50"/>
      <c r="Q15" s="50"/>
      <c r="R15" s="50"/>
      <c r="S15" s="50"/>
      <c r="T15" s="50"/>
      <c r="U15" s="50"/>
      <c r="V15" s="50"/>
      <c r="W15" s="50"/>
    </row>
    <row r="16" spans="1:45" ht="10.5" customHeight="1" x14ac:dyDescent="0.25">
      <c r="A16" s="97"/>
      <c r="B16" s="196"/>
      <c r="C16" s="197"/>
      <c r="D16" s="197"/>
      <c r="E16" s="197"/>
      <c r="F16" s="198"/>
      <c r="G16" s="199"/>
      <c r="H16" s="99"/>
      <c r="I16" s="200"/>
      <c r="J16" s="200"/>
      <c r="K16" s="200"/>
      <c r="L16" s="200"/>
      <c r="M16" s="200"/>
      <c r="N16" s="200"/>
      <c r="O16" s="201"/>
      <c r="P16" s="68"/>
    </row>
    <row r="17" spans="1:25" ht="8.4499999999999993" customHeight="1" thickBot="1" x14ac:dyDescent="0.3">
      <c r="A17" s="97"/>
      <c r="B17" s="202"/>
      <c r="C17" s="98"/>
      <c r="D17" s="98"/>
      <c r="E17" s="98"/>
      <c r="F17" s="98"/>
      <c r="G17" s="98"/>
      <c r="H17" s="98"/>
      <c r="I17" s="98"/>
      <c r="J17" s="110"/>
      <c r="K17" s="110"/>
      <c r="L17" s="110"/>
      <c r="M17" s="110"/>
      <c r="N17" s="110"/>
      <c r="O17" s="203"/>
      <c r="P17" s="66"/>
    </row>
    <row r="18" spans="1:25" ht="48" customHeight="1" thickBot="1" x14ac:dyDescent="0.3">
      <c r="A18" s="97"/>
      <c r="B18" s="405" t="s">
        <v>67</v>
      </c>
      <c r="C18" s="406" t="s">
        <v>68</v>
      </c>
      <c r="D18" s="406" t="s">
        <v>240</v>
      </c>
      <c r="E18" s="406" t="s">
        <v>241</v>
      </c>
      <c r="F18" s="407" t="s">
        <v>69</v>
      </c>
      <c r="G18" s="408" t="s">
        <v>70</v>
      </c>
      <c r="H18" s="204"/>
      <c r="I18" s="205"/>
      <c r="J18" s="205"/>
      <c r="K18" s="111"/>
      <c r="L18" s="606" t="s">
        <v>64</v>
      </c>
      <c r="M18" s="607"/>
      <c r="N18" s="608"/>
      <c r="O18" s="206"/>
      <c r="X18" s="62">
        <v>0.1626877698164928</v>
      </c>
      <c r="Y18" s="62">
        <f>X18*0.12</f>
        <v>1.9522532377979136E-2</v>
      </c>
    </row>
    <row r="19" spans="1:25" ht="15.95" customHeight="1" x14ac:dyDescent="0.25">
      <c r="A19" s="97"/>
      <c r="B19" s="401">
        <v>0</v>
      </c>
      <c r="C19" s="402">
        <v>0</v>
      </c>
      <c r="D19" s="403">
        <f>MAX('4,0 kg  '!D19:D49)</f>
        <v>0</v>
      </c>
      <c r="E19" s="209">
        <f>D19-$D$19</f>
        <v>0</v>
      </c>
      <c r="F19" s="403" t="e">
        <f>MIN('4,0 kg  '!F19:F49)</f>
        <v>#REF!</v>
      </c>
      <c r="G19" s="404">
        <v>0</v>
      </c>
      <c r="H19" s="98"/>
      <c r="I19" s="98"/>
      <c r="J19" s="98"/>
      <c r="K19" s="114"/>
      <c r="L19" s="609" t="s">
        <v>161</v>
      </c>
      <c r="M19" s="610"/>
      <c r="N19" s="602">
        <v>0</v>
      </c>
      <c r="O19" s="108"/>
      <c r="Q19" s="69" t="s">
        <v>71</v>
      </c>
      <c r="R19" s="70" t="s">
        <v>72</v>
      </c>
      <c r="S19" s="71"/>
      <c r="X19" s="62">
        <v>0.1701</v>
      </c>
      <c r="Y19" s="62">
        <f t="shared" ref="Y19:Y43" si="0">X19*0.12</f>
        <v>2.0412E-2</v>
      </c>
    </row>
    <row r="20" spans="1:25" ht="15.95" customHeight="1" x14ac:dyDescent="0.25">
      <c r="A20" s="97"/>
      <c r="B20" s="207" t="s">
        <v>73</v>
      </c>
      <c r="C20" s="208">
        <v>0.32</v>
      </c>
      <c r="D20" s="209">
        <f>'Datos '!G39</f>
        <v>0</v>
      </c>
      <c r="E20" s="209">
        <f>D20-$D$19</f>
        <v>0</v>
      </c>
      <c r="F20" s="221" t="e">
        <f>$F$19-E20</f>
        <v>#REF!</v>
      </c>
      <c r="G20" s="219" t="e">
        <f>(E20/$F$19)*100</f>
        <v>#REF!</v>
      </c>
      <c r="H20" s="98"/>
      <c r="I20" s="98"/>
      <c r="J20" s="98"/>
      <c r="K20" s="116"/>
      <c r="L20" s="598"/>
      <c r="M20" s="599"/>
      <c r="N20" s="603"/>
      <c r="O20" s="108"/>
      <c r="Q20" s="63"/>
      <c r="S20" s="64"/>
      <c r="X20" s="62">
        <v>0.17910000000000001</v>
      </c>
      <c r="Y20" s="62">
        <f t="shared" si="0"/>
        <v>2.1492000000000001E-2</v>
      </c>
    </row>
    <row r="21" spans="1:25" ht="15.95" customHeight="1" x14ac:dyDescent="0.25">
      <c r="A21" s="97"/>
      <c r="B21" s="207" t="s">
        <v>74</v>
      </c>
      <c r="C21" s="208">
        <v>0.55000000000000004</v>
      </c>
      <c r="D21" s="209">
        <f>'Datos '!G40</f>
        <v>0</v>
      </c>
      <c r="E21" s="209">
        <f t="shared" ref="E21:E49" si="1">D21-$D$19</f>
        <v>0</v>
      </c>
      <c r="F21" s="221" t="e">
        <f t="shared" ref="F21:F49" si="2">$F$19-E21</f>
        <v>#REF!</v>
      </c>
      <c r="G21" s="219" t="e">
        <f t="shared" ref="G21:G49" si="3">(E21/$F$19)*100</f>
        <v>#REF!</v>
      </c>
      <c r="H21" s="98"/>
      <c r="I21" s="98"/>
      <c r="J21" s="98"/>
      <c r="K21" s="210"/>
      <c r="L21" s="598" t="s">
        <v>162</v>
      </c>
      <c r="M21" s="599"/>
      <c r="N21" s="604">
        <f>(N19+N25)/2</f>
        <v>0</v>
      </c>
      <c r="O21" s="108"/>
      <c r="Q21" s="63" t="s">
        <v>75</v>
      </c>
      <c r="R21" s="62" t="e">
        <f>SLOPE(G21:G27,C21:C27)</f>
        <v>#REF!</v>
      </c>
      <c r="S21" s="64"/>
      <c r="X21" s="62">
        <v>0.19350000000000001</v>
      </c>
      <c r="Y21" s="62">
        <f t="shared" si="0"/>
        <v>2.3220000000000001E-2</v>
      </c>
    </row>
    <row r="22" spans="1:25" ht="15.95" customHeight="1" x14ac:dyDescent="0.2">
      <c r="A22" s="97"/>
      <c r="B22" s="207" t="s">
        <v>76</v>
      </c>
      <c r="C22" s="208">
        <v>0.71</v>
      </c>
      <c r="D22" s="209">
        <f>'Datos '!G41</f>
        <v>0</v>
      </c>
      <c r="E22" s="209">
        <f t="shared" si="1"/>
        <v>0</v>
      </c>
      <c r="F22" s="221" t="e">
        <f t="shared" si="2"/>
        <v>#REF!</v>
      </c>
      <c r="G22" s="219" t="e">
        <f t="shared" si="3"/>
        <v>#REF!</v>
      </c>
      <c r="H22" s="98"/>
      <c r="I22" s="98"/>
      <c r="J22" s="98"/>
      <c r="K22" s="98"/>
      <c r="L22" s="598"/>
      <c r="M22" s="599"/>
      <c r="N22" s="603"/>
      <c r="O22" s="108"/>
      <c r="Q22" s="63" t="s">
        <v>77</v>
      </c>
      <c r="R22" s="62" t="e">
        <f>INTERCEPT(G21:G27,C21:C27)</f>
        <v>#REF!</v>
      </c>
      <c r="S22" s="64"/>
      <c r="X22" s="62">
        <v>0.2079</v>
      </c>
      <c r="Y22" s="62">
        <f t="shared" si="0"/>
        <v>2.4947999999999998E-2</v>
      </c>
    </row>
    <row r="23" spans="1:25" ht="15.95" customHeight="1" x14ac:dyDescent="0.25">
      <c r="A23" s="97"/>
      <c r="B23" s="207">
        <v>1</v>
      </c>
      <c r="C23" s="208">
        <v>1</v>
      </c>
      <c r="D23" s="209">
        <f>'Datos '!G42</f>
        <v>0</v>
      </c>
      <c r="E23" s="209">
        <f t="shared" si="1"/>
        <v>0</v>
      </c>
      <c r="F23" s="221" t="e">
        <f t="shared" si="2"/>
        <v>#REF!</v>
      </c>
      <c r="G23" s="219" t="e">
        <f t="shared" si="3"/>
        <v>#REF!</v>
      </c>
      <c r="H23" s="98"/>
      <c r="I23" s="98"/>
      <c r="J23" s="98"/>
      <c r="K23" s="109"/>
      <c r="L23" s="598" t="s">
        <v>163</v>
      </c>
      <c r="M23" s="599"/>
      <c r="N23" s="604">
        <f>+((0.9)*(N25-N19))+N19</f>
        <v>0</v>
      </c>
      <c r="O23" s="211"/>
      <c r="Q23" s="63"/>
      <c r="S23" s="64"/>
      <c r="X23" s="62">
        <v>0.22950000000000001</v>
      </c>
      <c r="Y23" s="62">
        <f t="shared" si="0"/>
        <v>2.7539999999999999E-2</v>
      </c>
    </row>
    <row r="24" spans="1:25" ht="15.95" customHeight="1" x14ac:dyDescent="0.2">
      <c r="A24" s="97"/>
      <c r="B24" s="207">
        <v>2</v>
      </c>
      <c r="C24" s="208">
        <v>1.4142135623730951</v>
      </c>
      <c r="D24" s="209">
        <f>'Datos '!G43</f>
        <v>0</v>
      </c>
      <c r="E24" s="209">
        <f t="shared" si="1"/>
        <v>0</v>
      </c>
      <c r="F24" s="221" t="e">
        <f t="shared" si="2"/>
        <v>#REF!</v>
      </c>
      <c r="G24" s="219" t="e">
        <f t="shared" si="3"/>
        <v>#REF!</v>
      </c>
      <c r="H24" s="98"/>
      <c r="I24" s="98"/>
      <c r="J24" s="98"/>
      <c r="K24" s="98"/>
      <c r="L24" s="598"/>
      <c r="M24" s="599"/>
      <c r="N24" s="603"/>
      <c r="O24" s="108"/>
      <c r="Q24" s="63" t="s">
        <v>110</v>
      </c>
      <c r="R24" s="62" t="s">
        <v>79</v>
      </c>
      <c r="S24" s="72">
        <v>30</v>
      </c>
      <c r="X24" s="62">
        <v>0.24480000000000002</v>
      </c>
      <c r="Y24" s="62">
        <f t="shared" si="0"/>
        <v>2.9375999999999999E-2</v>
      </c>
    </row>
    <row r="25" spans="1:25" ht="15.95" customHeight="1" thickBot="1" x14ac:dyDescent="0.25">
      <c r="A25" s="97"/>
      <c r="B25" s="207">
        <v>3</v>
      </c>
      <c r="C25" s="208">
        <v>1.7320508075688772</v>
      </c>
      <c r="D25" s="209">
        <f>'Datos '!G44</f>
        <v>0</v>
      </c>
      <c r="E25" s="209">
        <f t="shared" si="1"/>
        <v>0</v>
      </c>
      <c r="F25" s="221" t="e">
        <f t="shared" si="2"/>
        <v>#REF!</v>
      </c>
      <c r="G25" s="219" t="e">
        <f t="shared" si="3"/>
        <v>#REF!</v>
      </c>
      <c r="H25" s="98" t="s">
        <v>168</v>
      </c>
      <c r="I25" s="98"/>
      <c r="J25" s="98" t="s">
        <v>169</v>
      </c>
      <c r="K25" s="98"/>
      <c r="L25" s="598" t="s">
        <v>164</v>
      </c>
      <c r="M25" s="599"/>
      <c r="N25" s="604">
        <f>L41/100</f>
        <v>0</v>
      </c>
      <c r="O25" s="108"/>
      <c r="Q25" s="73" t="s">
        <v>79</v>
      </c>
      <c r="R25" s="74" t="e">
        <f>(S24-R22)/R21</f>
        <v>#REF!</v>
      </c>
      <c r="S25" s="75"/>
      <c r="X25" s="62">
        <v>0.25650000000000001</v>
      </c>
      <c r="Y25" s="62">
        <f t="shared" si="0"/>
        <v>3.0779999999999998E-2</v>
      </c>
    </row>
    <row r="26" spans="1:25" ht="15.95" customHeight="1" thickBot="1" x14ac:dyDescent="0.25">
      <c r="A26" s="97"/>
      <c r="B26" s="207">
        <v>4</v>
      </c>
      <c r="C26" s="208">
        <v>2</v>
      </c>
      <c r="D26" s="209">
        <f>'Datos '!G45</f>
        <v>0</v>
      </c>
      <c r="E26" s="209">
        <f t="shared" si="1"/>
        <v>0</v>
      </c>
      <c r="F26" s="221" t="e">
        <f t="shared" si="2"/>
        <v>#REF!</v>
      </c>
      <c r="G26" s="219" t="e">
        <f t="shared" si="3"/>
        <v>#REF!</v>
      </c>
      <c r="H26" s="98" t="s">
        <v>170</v>
      </c>
      <c r="I26" s="98"/>
      <c r="J26" s="98" t="s">
        <v>171</v>
      </c>
      <c r="K26" s="98"/>
      <c r="L26" s="600"/>
      <c r="M26" s="601"/>
      <c r="N26" s="605"/>
      <c r="O26" s="108"/>
      <c r="X26" s="62">
        <v>0.27179999999999999</v>
      </c>
      <c r="Y26" s="62">
        <f t="shared" si="0"/>
        <v>3.2615999999999999E-2</v>
      </c>
    </row>
    <row r="27" spans="1:25" ht="17.25" customHeight="1" thickBot="1" x14ac:dyDescent="0.25">
      <c r="A27" s="97"/>
      <c r="B27" s="207">
        <v>6</v>
      </c>
      <c r="C27" s="208">
        <v>2.4494897427831779</v>
      </c>
      <c r="D27" s="209">
        <f>'Datos '!G46</f>
        <v>0</v>
      </c>
      <c r="E27" s="209">
        <f t="shared" si="1"/>
        <v>0</v>
      </c>
      <c r="F27" s="221" t="e">
        <f t="shared" si="2"/>
        <v>#REF!</v>
      </c>
      <c r="G27" s="219" t="e">
        <f t="shared" si="3"/>
        <v>#REF!</v>
      </c>
      <c r="H27" s="98"/>
      <c r="I27" s="98"/>
      <c r="J27" s="98"/>
      <c r="K27" s="98"/>
      <c r="L27" s="98"/>
      <c r="M27" s="98"/>
      <c r="N27" s="98"/>
      <c r="O27" s="108"/>
      <c r="Q27" s="69" t="s">
        <v>80</v>
      </c>
      <c r="R27" s="70"/>
      <c r="S27" s="71"/>
      <c r="X27" s="62">
        <v>0.28079999999999999</v>
      </c>
      <c r="Y27" s="62">
        <f t="shared" si="0"/>
        <v>3.3695999999999997E-2</v>
      </c>
    </row>
    <row r="28" spans="1:25" ht="15.95" customHeight="1" thickBot="1" x14ac:dyDescent="0.25">
      <c r="A28" s="97"/>
      <c r="B28" s="207">
        <v>9</v>
      </c>
      <c r="C28" s="208">
        <v>3</v>
      </c>
      <c r="D28" s="209">
        <f>'Datos '!G47</f>
        <v>0</v>
      </c>
      <c r="E28" s="209">
        <f t="shared" si="1"/>
        <v>0</v>
      </c>
      <c r="F28" s="221" t="e">
        <f t="shared" si="2"/>
        <v>#REF!</v>
      </c>
      <c r="G28" s="219" t="e">
        <f t="shared" si="3"/>
        <v>#REF!</v>
      </c>
      <c r="H28" s="98"/>
      <c r="I28" s="98"/>
      <c r="J28" s="98"/>
      <c r="K28" s="98"/>
      <c r="L28" s="648" t="s">
        <v>65</v>
      </c>
      <c r="M28" s="649"/>
      <c r="N28" s="650"/>
      <c r="O28" s="108"/>
      <c r="Q28" s="63"/>
      <c r="S28" s="64"/>
      <c r="X28" s="62">
        <v>0.2853</v>
      </c>
      <c r="Y28" s="62">
        <f t="shared" si="0"/>
        <v>3.4235999999999996E-2</v>
      </c>
    </row>
    <row r="29" spans="1:25" ht="15.95" customHeight="1" thickBot="1" x14ac:dyDescent="0.25">
      <c r="A29" s="97"/>
      <c r="B29" s="207">
        <v>12</v>
      </c>
      <c r="C29" s="208">
        <v>3.4641016151377544</v>
      </c>
      <c r="D29" s="209">
        <f>'Datos '!G48</f>
        <v>0</v>
      </c>
      <c r="E29" s="209">
        <f t="shared" si="1"/>
        <v>0</v>
      </c>
      <c r="F29" s="221" t="e">
        <f t="shared" si="2"/>
        <v>#REF!</v>
      </c>
      <c r="G29" s="219" t="e">
        <f t="shared" si="3"/>
        <v>#REF!</v>
      </c>
      <c r="H29" s="98"/>
      <c r="I29" s="98"/>
      <c r="J29" s="98"/>
      <c r="K29" s="98"/>
      <c r="L29" s="651"/>
      <c r="M29" s="652"/>
      <c r="N29" s="653"/>
      <c r="O29" s="108"/>
      <c r="Q29" s="63" t="s">
        <v>75</v>
      </c>
      <c r="R29" s="62" t="e">
        <f>R21*0.85</f>
        <v>#REF!</v>
      </c>
      <c r="S29" s="64"/>
      <c r="X29" s="62">
        <v>0.28710000000000002</v>
      </c>
      <c r="Y29" s="62">
        <f t="shared" si="0"/>
        <v>3.4452000000000003E-2</v>
      </c>
    </row>
    <row r="30" spans="1:25" ht="15.95" customHeight="1" thickBot="1" x14ac:dyDescent="0.25">
      <c r="A30" s="97"/>
      <c r="B30" s="207">
        <v>16</v>
      </c>
      <c r="C30" s="208">
        <v>4</v>
      </c>
      <c r="D30" s="209">
        <f>'Datos '!G49</f>
        <v>0</v>
      </c>
      <c r="E30" s="209">
        <f t="shared" si="1"/>
        <v>0</v>
      </c>
      <c r="F30" s="221" t="e">
        <f t="shared" si="2"/>
        <v>#REF!</v>
      </c>
      <c r="G30" s="219" t="e">
        <f t="shared" si="3"/>
        <v>#REF!</v>
      </c>
      <c r="H30" s="98"/>
      <c r="I30" s="98"/>
      <c r="J30" s="98"/>
      <c r="K30" s="98"/>
      <c r="L30" s="98"/>
      <c r="M30" s="98"/>
      <c r="N30" s="98"/>
      <c r="O30" s="108"/>
      <c r="Q30" s="63" t="s">
        <v>77</v>
      </c>
      <c r="R30" s="62" t="e">
        <f>R22</f>
        <v>#REF!</v>
      </c>
      <c r="S30" s="64"/>
      <c r="X30" s="62">
        <v>0.28889999999999999</v>
      </c>
      <c r="Y30" s="62">
        <f t="shared" si="0"/>
        <v>3.4667999999999997E-2</v>
      </c>
    </row>
    <row r="31" spans="1:25" ht="15.95" customHeight="1" thickBot="1" x14ac:dyDescent="0.25">
      <c r="A31" s="97"/>
      <c r="B31" s="207">
        <v>25</v>
      </c>
      <c r="C31" s="208">
        <v>5</v>
      </c>
      <c r="D31" s="209">
        <f>'Datos '!G50</f>
        <v>0</v>
      </c>
      <c r="E31" s="209">
        <f t="shared" si="1"/>
        <v>0</v>
      </c>
      <c r="F31" s="221" t="e">
        <f t="shared" si="2"/>
        <v>#REF!</v>
      </c>
      <c r="G31" s="219" t="e">
        <f t="shared" si="3"/>
        <v>#REF!</v>
      </c>
      <c r="H31" s="98"/>
      <c r="I31" s="98"/>
      <c r="J31" s="98"/>
      <c r="K31" s="98"/>
      <c r="L31" s="645" t="s">
        <v>66</v>
      </c>
      <c r="M31" s="646"/>
      <c r="N31" s="647"/>
      <c r="O31" s="108"/>
      <c r="Q31" s="63"/>
      <c r="R31" s="62" t="s">
        <v>78</v>
      </c>
      <c r="S31" s="72">
        <v>30</v>
      </c>
      <c r="X31" s="62">
        <v>0.2898</v>
      </c>
      <c r="Y31" s="62">
        <f t="shared" si="0"/>
        <v>3.4776000000000001E-2</v>
      </c>
    </row>
    <row r="32" spans="1:25" ht="15.95" customHeight="1" thickBot="1" x14ac:dyDescent="0.25">
      <c r="A32" s="97"/>
      <c r="B32" s="207">
        <v>36</v>
      </c>
      <c r="C32" s="208">
        <v>6</v>
      </c>
      <c r="D32" s="209">
        <f>'Datos '!G51</f>
        <v>0</v>
      </c>
      <c r="E32" s="209">
        <f t="shared" si="1"/>
        <v>0</v>
      </c>
      <c r="F32" s="221" t="e">
        <f t="shared" si="2"/>
        <v>#REF!</v>
      </c>
      <c r="G32" s="219" t="e">
        <f t="shared" si="3"/>
        <v>#REF!</v>
      </c>
      <c r="H32" s="98"/>
      <c r="I32" s="98"/>
      <c r="J32" s="98"/>
      <c r="K32" s="98"/>
      <c r="L32" s="595" t="e">
        <f>L29*9.85/Resultados!E22</f>
        <v>#DIV/0!</v>
      </c>
      <c r="M32" s="596"/>
      <c r="N32" s="597"/>
      <c r="O32" s="108"/>
      <c r="Q32" s="73" t="s">
        <v>79</v>
      </c>
      <c r="R32" s="74" t="e">
        <f>(S31-R30)/R29</f>
        <v>#REF!</v>
      </c>
      <c r="S32" s="75"/>
      <c r="X32" s="62">
        <v>0.29025000000000001</v>
      </c>
      <c r="Y32" s="62">
        <f t="shared" si="0"/>
        <v>3.483E-2</v>
      </c>
    </row>
    <row r="33" spans="1:25" ht="15.95" customHeight="1" thickBot="1" x14ac:dyDescent="0.25">
      <c r="A33" s="97"/>
      <c r="B33" s="207">
        <v>49</v>
      </c>
      <c r="C33" s="208">
        <v>7</v>
      </c>
      <c r="D33" s="209">
        <f>'Datos '!G52</f>
        <v>0</v>
      </c>
      <c r="E33" s="209">
        <f t="shared" si="1"/>
        <v>0</v>
      </c>
      <c r="F33" s="221" t="e">
        <f t="shared" si="2"/>
        <v>#REF!</v>
      </c>
      <c r="G33" s="219" t="e">
        <f t="shared" si="3"/>
        <v>#REF!</v>
      </c>
      <c r="H33" s="98"/>
      <c r="I33" s="98"/>
      <c r="J33" s="98"/>
      <c r="K33" s="98"/>
      <c r="L33" s="98"/>
      <c r="M33" s="98"/>
      <c r="N33" s="98"/>
      <c r="O33" s="108"/>
      <c r="X33" s="62">
        <v>0.29070000000000001</v>
      </c>
      <c r="Y33" s="62">
        <f t="shared" si="0"/>
        <v>3.4883999999999998E-2</v>
      </c>
    </row>
    <row r="34" spans="1:25" ht="15.95" customHeight="1" thickBot="1" x14ac:dyDescent="0.3">
      <c r="A34" s="97"/>
      <c r="B34" s="207">
        <v>64</v>
      </c>
      <c r="C34" s="208">
        <v>8</v>
      </c>
      <c r="D34" s="209">
        <f>'Datos '!G53</f>
        <v>0</v>
      </c>
      <c r="E34" s="209">
        <f t="shared" si="1"/>
        <v>0</v>
      </c>
      <c r="F34" s="221" t="e">
        <f t="shared" si="2"/>
        <v>#REF!</v>
      </c>
      <c r="G34" s="219" t="e">
        <f t="shared" si="3"/>
        <v>#REF!</v>
      </c>
      <c r="H34" s="98"/>
      <c r="I34" s="98"/>
      <c r="J34" s="98"/>
      <c r="K34" s="98"/>
      <c r="L34" s="642" t="s">
        <v>84</v>
      </c>
      <c r="M34" s="643"/>
      <c r="N34" s="644"/>
      <c r="O34" s="108"/>
      <c r="Q34" s="69" t="s">
        <v>81</v>
      </c>
      <c r="R34" s="71"/>
      <c r="X34" s="62">
        <v>0.29115000000000002</v>
      </c>
      <c r="Y34" s="62">
        <f t="shared" si="0"/>
        <v>3.4938000000000004E-2</v>
      </c>
    </row>
    <row r="35" spans="1:25" ht="15.95" customHeight="1" thickBot="1" x14ac:dyDescent="0.25">
      <c r="A35" s="97"/>
      <c r="B35" s="207">
        <v>81</v>
      </c>
      <c r="C35" s="208">
        <v>9</v>
      </c>
      <c r="D35" s="209">
        <f>'Datos '!G54</f>
        <v>0</v>
      </c>
      <c r="E35" s="209">
        <f t="shared" si="1"/>
        <v>0</v>
      </c>
      <c r="F35" s="221" t="e">
        <f t="shared" si="2"/>
        <v>#REF!</v>
      </c>
      <c r="G35" s="219" t="e">
        <f t="shared" si="3"/>
        <v>#REF!</v>
      </c>
      <c r="H35" s="212"/>
      <c r="I35" s="98"/>
      <c r="J35" s="98"/>
      <c r="K35" s="98"/>
      <c r="L35" s="583">
        <f>LOOKUP(L38,C19:C49,G19:G49)</f>
        <v>0</v>
      </c>
      <c r="M35" s="584"/>
      <c r="N35" s="585"/>
      <c r="O35" s="108"/>
      <c r="Q35" s="63"/>
      <c r="R35" s="64"/>
      <c r="X35" s="62">
        <v>0.29160000000000003</v>
      </c>
      <c r="Y35" s="62">
        <f t="shared" si="0"/>
        <v>3.4992000000000002E-2</v>
      </c>
    </row>
    <row r="36" spans="1:25" ht="15.95" customHeight="1" thickBot="1" x14ac:dyDescent="0.25">
      <c r="A36" s="97"/>
      <c r="B36" s="207">
        <v>100</v>
      </c>
      <c r="C36" s="208">
        <v>10</v>
      </c>
      <c r="D36" s="209">
        <f>'Datos '!G55</f>
        <v>0</v>
      </c>
      <c r="E36" s="209">
        <f t="shared" si="1"/>
        <v>0</v>
      </c>
      <c r="F36" s="221" t="e">
        <f t="shared" si="2"/>
        <v>#REF!</v>
      </c>
      <c r="G36" s="219" t="e">
        <f t="shared" si="3"/>
        <v>#REF!</v>
      </c>
      <c r="H36" s="213"/>
      <c r="I36" s="98"/>
      <c r="J36" s="98"/>
      <c r="K36" s="98"/>
      <c r="L36" s="98"/>
      <c r="M36" s="98"/>
      <c r="N36" s="98"/>
      <c r="O36" s="108"/>
      <c r="Q36" s="65" t="s">
        <v>82</v>
      </c>
      <c r="R36" s="76" t="s">
        <v>83</v>
      </c>
      <c r="X36" s="62">
        <v>0.29205000000000003</v>
      </c>
      <c r="Y36" s="62">
        <f t="shared" si="0"/>
        <v>3.5046000000000001E-2</v>
      </c>
    </row>
    <row r="37" spans="1:25" ht="15.95" customHeight="1" thickBot="1" x14ac:dyDescent="0.3">
      <c r="A37" s="97"/>
      <c r="B37" s="207">
        <v>120</v>
      </c>
      <c r="C37" s="208">
        <v>10.954451150103322</v>
      </c>
      <c r="D37" s="209">
        <f>'Datos '!G56</f>
        <v>0</v>
      </c>
      <c r="E37" s="209">
        <f t="shared" si="1"/>
        <v>0</v>
      </c>
      <c r="F37" s="221" t="e">
        <f t="shared" si="2"/>
        <v>#REF!</v>
      </c>
      <c r="G37" s="219" t="e">
        <f t="shared" si="3"/>
        <v>#REF!</v>
      </c>
      <c r="H37" s="98"/>
      <c r="I37" s="98"/>
      <c r="J37" s="98"/>
      <c r="K37" s="98"/>
      <c r="L37" s="654" t="s">
        <v>245</v>
      </c>
      <c r="M37" s="643"/>
      <c r="N37" s="644"/>
      <c r="O37" s="108"/>
      <c r="Q37" s="77">
        <f>S24</f>
        <v>30</v>
      </c>
      <c r="R37" s="76" t="e">
        <f>R25</f>
        <v>#REF!</v>
      </c>
      <c r="X37" s="62">
        <v>0.29250000000000004</v>
      </c>
      <c r="Y37" s="62">
        <f t="shared" si="0"/>
        <v>3.5100000000000006E-2</v>
      </c>
    </row>
    <row r="38" spans="1:25" ht="15.95" customHeight="1" thickBot="1" x14ac:dyDescent="0.25">
      <c r="A38" s="97"/>
      <c r="B38" s="207">
        <v>144</v>
      </c>
      <c r="C38" s="208">
        <v>12</v>
      </c>
      <c r="D38" s="209">
        <f>'Datos '!G57</f>
        <v>0</v>
      </c>
      <c r="E38" s="209">
        <f t="shared" si="1"/>
        <v>0</v>
      </c>
      <c r="F38" s="221" t="e">
        <f t="shared" si="2"/>
        <v>#REF!</v>
      </c>
      <c r="G38" s="219" t="e">
        <f t="shared" si="3"/>
        <v>#REF!</v>
      </c>
      <c r="H38" s="98"/>
      <c r="I38" s="98"/>
      <c r="J38" s="98"/>
      <c r="K38" s="98"/>
      <c r="L38" s="583"/>
      <c r="M38" s="584"/>
      <c r="N38" s="585"/>
      <c r="O38" s="108"/>
      <c r="Q38" s="65" t="e">
        <f>R22</f>
        <v>#REF!</v>
      </c>
      <c r="R38" s="76">
        <v>0</v>
      </c>
      <c r="X38" s="62">
        <v>0.29295000000000004</v>
      </c>
      <c r="Y38" s="62">
        <f t="shared" si="0"/>
        <v>3.5154000000000005E-2</v>
      </c>
    </row>
    <row r="39" spans="1:25" ht="15.95" customHeight="1" thickBot="1" x14ac:dyDescent="0.25">
      <c r="A39" s="97"/>
      <c r="B39" s="207">
        <v>169</v>
      </c>
      <c r="C39" s="208">
        <v>13</v>
      </c>
      <c r="D39" s="209">
        <f>'Datos '!G58</f>
        <v>0</v>
      </c>
      <c r="E39" s="209">
        <f>D39-$D$19</f>
        <v>0</v>
      </c>
      <c r="F39" s="221" t="e">
        <f t="shared" si="2"/>
        <v>#REF!</v>
      </c>
      <c r="G39" s="219" t="e">
        <f t="shared" si="3"/>
        <v>#REF!</v>
      </c>
      <c r="H39" s="98"/>
      <c r="I39" s="98"/>
      <c r="J39" s="98"/>
      <c r="K39" s="98"/>
      <c r="L39" s="98"/>
      <c r="M39" s="98"/>
      <c r="N39" s="98"/>
      <c r="O39" s="108"/>
      <c r="Q39" s="63"/>
      <c r="R39" s="64"/>
      <c r="X39" s="62">
        <v>0.29339999999999999</v>
      </c>
      <c r="Y39" s="62">
        <f t="shared" si="0"/>
        <v>3.5207999999999996E-2</v>
      </c>
    </row>
    <row r="40" spans="1:25" ht="15.95" customHeight="1" thickBot="1" x14ac:dyDescent="0.3">
      <c r="A40" s="97"/>
      <c r="B40" s="207">
        <v>196</v>
      </c>
      <c r="C40" s="208">
        <v>14</v>
      </c>
      <c r="D40" s="209">
        <f>'Datos '!G59</f>
        <v>0</v>
      </c>
      <c r="E40" s="209">
        <f>D40-$D$19</f>
        <v>0</v>
      </c>
      <c r="F40" s="221" t="e">
        <f t="shared" si="2"/>
        <v>#REF!</v>
      </c>
      <c r="G40" s="219" t="e">
        <f t="shared" si="3"/>
        <v>#REF!</v>
      </c>
      <c r="H40" s="98"/>
      <c r="I40" s="98"/>
      <c r="J40" s="98"/>
      <c r="K40" s="98"/>
      <c r="L40" s="642" t="s">
        <v>85</v>
      </c>
      <c r="M40" s="643"/>
      <c r="N40" s="644"/>
      <c r="O40" s="108"/>
      <c r="Q40" s="63"/>
      <c r="R40" s="64"/>
      <c r="X40" s="62">
        <v>0.29394000000000003</v>
      </c>
      <c r="Y40" s="62">
        <f t="shared" si="0"/>
        <v>3.52728E-2</v>
      </c>
    </row>
    <row r="41" spans="1:25" ht="15.95" customHeight="1" thickBot="1" x14ac:dyDescent="0.25">
      <c r="A41" s="97"/>
      <c r="B41" s="207">
        <v>225</v>
      </c>
      <c r="C41" s="208">
        <v>15</v>
      </c>
      <c r="D41" s="209">
        <f>'Datos '!G60</f>
        <v>0</v>
      </c>
      <c r="E41" s="209">
        <f>D41-$D$19</f>
        <v>0</v>
      </c>
      <c r="F41" s="221" t="e">
        <f t="shared" si="2"/>
        <v>#REF!</v>
      </c>
      <c r="G41" s="219" t="e">
        <f t="shared" si="3"/>
        <v>#REF!</v>
      </c>
      <c r="H41" s="98"/>
      <c r="I41" s="98"/>
      <c r="J41" s="98"/>
      <c r="K41" s="98"/>
      <c r="L41" s="583">
        <f>(L35*(1/9))+L35</f>
        <v>0</v>
      </c>
      <c r="M41" s="584"/>
      <c r="N41" s="585"/>
      <c r="O41" s="108"/>
      <c r="Q41" s="65" t="s">
        <v>82</v>
      </c>
      <c r="R41" s="76" t="s">
        <v>83</v>
      </c>
      <c r="X41" s="62">
        <v>0.29430000000000001</v>
      </c>
      <c r="Y41" s="62">
        <f t="shared" si="0"/>
        <v>3.5316E-2</v>
      </c>
    </row>
    <row r="42" spans="1:25" ht="15.95" customHeight="1" thickBot="1" x14ac:dyDescent="0.25">
      <c r="A42" s="97"/>
      <c r="B42" s="207">
        <v>256</v>
      </c>
      <c r="C42" s="208">
        <v>16</v>
      </c>
      <c r="D42" s="209">
        <f>'Datos '!G61</f>
        <v>0</v>
      </c>
      <c r="E42" s="209">
        <f t="shared" si="1"/>
        <v>0</v>
      </c>
      <c r="F42" s="221" t="e">
        <f t="shared" si="2"/>
        <v>#REF!</v>
      </c>
      <c r="G42" s="219" t="e">
        <f t="shared" si="3"/>
        <v>#REF!</v>
      </c>
      <c r="H42" s="98"/>
      <c r="I42" s="98"/>
      <c r="J42" s="98"/>
      <c r="K42" s="98"/>
      <c r="L42" s="98"/>
      <c r="M42" s="98"/>
      <c r="N42" s="98"/>
      <c r="O42" s="108"/>
      <c r="Q42" s="77">
        <f>S31</f>
        <v>30</v>
      </c>
      <c r="R42" s="76" t="e">
        <f>R32</f>
        <v>#REF!</v>
      </c>
      <c r="X42" s="62">
        <v>0.29493000000000003</v>
      </c>
      <c r="Y42" s="62">
        <f t="shared" si="0"/>
        <v>3.5391600000000002E-2</v>
      </c>
    </row>
    <row r="43" spans="1:25" ht="15.95" customHeight="1" thickBot="1" x14ac:dyDescent="0.3">
      <c r="A43" s="97"/>
      <c r="B43" s="207">
        <v>289</v>
      </c>
      <c r="C43" s="208">
        <v>17</v>
      </c>
      <c r="D43" s="209">
        <f>'Datos '!G62</f>
        <v>0</v>
      </c>
      <c r="E43" s="209">
        <f t="shared" si="1"/>
        <v>0</v>
      </c>
      <c r="F43" s="221" t="e">
        <f t="shared" si="2"/>
        <v>#REF!</v>
      </c>
      <c r="G43" s="219" t="e">
        <f t="shared" si="3"/>
        <v>#REF!</v>
      </c>
      <c r="H43" s="98"/>
      <c r="I43" s="98"/>
      <c r="J43" s="98"/>
      <c r="K43" s="98"/>
      <c r="L43" s="642" t="s">
        <v>86</v>
      </c>
      <c r="M43" s="643"/>
      <c r="N43" s="644"/>
      <c r="O43" s="108"/>
      <c r="Q43" s="65" t="e">
        <f>R30</f>
        <v>#REF!</v>
      </c>
      <c r="R43" s="76">
        <v>0</v>
      </c>
      <c r="X43" s="62">
        <v>0.29520000000000002</v>
      </c>
      <c r="Y43" s="62">
        <f t="shared" si="0"/>
        <v>3.5424000000000004E-2</v>
      </c>
    </row>
    <row r="44" spans="1:25" ht="15.95" customHeight="1" thickBot="1" x14ac:dyDescent="0.25">
      <c r="A44" s="97"/>
      <c r="B44" s="207">
        <v>324</v>
      </c>
      <c r="C44" s="208">
        <v>18</v>
      </c>
      <c r="D44" s="209">
        <f>'Datos '!G63</f>
        <v>0</v>
      </c>
      <c r="E44" s="209">
        <f t="shared" si="1"/>
        <v>0</v>
      </c>
      <c r="F44" s="221" t="e">
        <f t="shared" si="2"/>
        <v>#REF!</v>
      </c>
      <c r="G44" s="219" t="e">
        <f t="shared" si="3"/>
        <v>#REF!</v>
      </c>
      <c r="H44" s="98"/>
      <c r="I44" s="98"/>
      <c r="J44" s="98"/>
      <c r="K44" s="98"/>
      <c r="L44" s="583">
        <f>LOOKUP(L41,G19:G49,C19:C49)</f>
        <v>0</v>
      </c>
      <c r="M44" s="584"/>
      <c r="N44" s="585"/>
      <c r="O44" s="108"/>
      <c r="Q44" s="73"/>
      <c r="R44" s="75"/>
      <c r="X44" s="62">
        <v>0.29592000000000002</v>
      </c>
      <c r="Y44" s="62">
        <f>X44*0.12</f>
        <v>3.5510399999999998E-2</v>
      </c>
    </row>
    <row r="45" spans="1:25" ht="15.95" customHeight="1" thickBot="1" x14ac:dyDescent="0.25">
      <c r="A45" s="97"/>
      <c r="B45" s="207">
        <v>361</v>
      </c>
      <c r="C45" s="208">
        <v>19</v>
      </c>
      <c r="D45" s="209">
        <f>'Datos '!G64</f>
        <v>0</v>
      </c>
      <c r="E45" s="209">
        <f t="shared" si="1"/>
        <v>0</v>
      </c>
      <c r="F45" s="221" t="e">
        <f t="shared" si="2"/>
        <v>#REF!</v>
      </c>
      <c r="G45" s="219" t="e">
        <f t="shared" si="3"/>
        <v>#REF!</v>
      </c>
      <c r="H45" s="98"/>
      <c r="I45" s="98"/>
      <c r="J45" s="98"/>
      <c r="K45" s="98"/>
      <c r="L45" s="98"/>
      <c r="M45" s="98"/>
      <c r="N45" s="98"/>
      <c r="O45" s="108"/>
    </row>
    <row r="46" spans="1:25" ht="15.95" customHeight="1" thickBot="1" x14ac:dyDescent="0.3">
      <c r="A46" s="97"/>
      <c r="B46" s="207">
        <v>400</v>
      </c>
      <c r="C46" s="208">
        <v>20</v>
      </c>
      <c r="D46" s="209">
        <f>'Datos '!G65</f>
        <v>0</v>
      </c>
      <c r="E46" s="209">
        <f t="shared" si="1"/>
        <v>0</v>
      </c>
      <c r="F46" s="221" t="e">
        <f t="shared" si="2"/>
        <v>#REF!</v>
      </c>
      <c r="G46" s="219" t="e">
        <f t="shared" si="3"/>
        <v>#REF!</v>
      </c>
      <c r="H46" s="98"/>
      <c r="I46" s="98"/>
      <c r="J46" s="98"/>
      <c r="K46" s="98"/>
      <c r="L46" s="642" t="s">
        <v>237</v>
      </c>
      <c r="M46" s="643"/>
      <c r="N46" s="644"/>
      <c r="O46" s="108"/>
    </row>
    <row r="47" spans="1:25" ht="15.95" customHeight="1" thickBot="1" x14ac:dyDescent="0.25">
      <c r="A47" s="97"/>
      <c r="B47" s="207">
        <v>441</v>
      </c>
      <c r="C47" s="208">
        <v>21</v>
      </c>
      <c r="D47" s="209">
        <f>'Datos '!G66</f>
        <v>0</v>
      </c>
      <c r="E47" s="209">
        <f t="shared" si="1"/>
        <v>0</v>
      </c>
      <c r="F47" s="221" t="e">
        <f t="shared" si="2"/>
        <v>#REF!</v>
      </c>
      <c r="G47" s="219" t="e">
        <f t="shared" si="3"/>
        <v>#REF!</v>
      </c>
      <c r="H47" s="115"/>
      <c r="I47" s="115"/>
      <c r="J47" s="115"/>
      <c r="K47" s="98"/>
      <c r="L47" s="634" t="e">
        <f>(0.848*((VLOOKUP(INT(L38),C19:F49,4))/10/2)^2)/((L38^2)*60)</f>
        <v>#REF!</v>
      </c>
      <c r="M47" s="635"/>
      <c r="N47" s="636"/>
      <c r="O47" s="108"/>
    </row>
    <row r="48" spans="1:25" ht="15.95" customHeight="1" x14ac:dyDescent="0.2">
      <c r="A48" s="97"/>
      <c r="B48" s="207">
        <v>484</v>
      </c>
      <c r="C48" s="208">
        <v>22</v>
      </c>
      <c r="D48" s="209">
        <f>'Datos '!G67</f>
        <v>0</v>
      </c>
      <c r="E48" s="209">
        <f t="shared" si="1"/>
        <v>0</v>
      </c>
      <c r="F48" s="221" t="e">
        <f t="shared" si="2"/>
        <v>#REF!</v>
      </c>
      <c r="G48" s="219" t="e">
        <f t="shared" si="3"/>
        <v>#REF!</v>
      </c>
      <c r="H48" s="98"/>
      <c r="I48" s="98"/>
      <c r="J48" s="98"/>
      <c r="K48" s="115"/>
      <c r="L48" s="98"/>
      <c r="M48" s="98"/>
      <c r="N48" s="98"/>
      <c r="O48" s="108"/>
    </row>
    <row r="49" spans="1:22" ht="17.25" customHeight="1" thickBot="1" x14ac:dyDescent="0.25">
      <c r="A49" s="97"/>
      <c r="B49" s="214">
        <v>1440</v>
      </c>
      <c r="C49" s="122">
        <v>37.947331922020552</v>
      </c>
      <c r="D49" s="400">
        <f>'Datos '!G68</f>
        <v>0</v>
      </c>
      <c r="E49" s="400">
        <f t="shared" si="1"/>
        <v>0</v>
      </c>
      <c r="F49" s="222" t="e">
        <f t="shared" si="2"/>
        <v>#REF!</v>
      </c>
      <c r="G49" s="220" t="e">
        <f t="shared" si="3"/>
        <v>#REF!</v>
      </c>
      <c r="H49" s="409"/>
      <c r="I49" s="409"/>
      <c r="J49" s="409"/>
      <c r="K49" s="98"/>
      <c r="L49" s="156"/>
      <c r="M49" s="156"/>
      <c r="N49" s="215"/>
      <c r="O49" s="216"/>
      <c r="P49" s="78"/>
    </row>
    <row r="50" spans="1:22" x14ac:dyDescent="0.2">
      <c r="A50" s="97"/>
      <c r="B50" s="98"/>
      <c r="C50" s="98"/>
      <c r="D50" s="98"/>
      <c r="E50" s="98"/>
      <c r="F50" s="98"/>
      <c r="G50" s="98"/>
      <c r="H50" s="98"/>
      <c r="I50" s="98"/>
      <c r="J50" s="98"/>
      <c r="K50" s="98"/>
      <c r="L50" s="98"/>
      <c r="M50" s="98"/>
      <c r="N50" s="98"/>
      <c r="O50" s="108"/>
    </row>
    <row r="51" spans="1:22" ht="18" customHeight="1" x14ac:dyDescent="0.2">
      <c r="A51" s="173"/>
      <c r="B51" s="581" t="s">
        <v>195</v>
      </c>
      <c r="C51" s="581"/>
      <c r="D51" s="581"/>
      <c r="E51" s="581"/>
      <c r="F51" s="581"/>
      <c r="G51" s="581"/>
      <c r="H51" s="581"/>
      <c r="I51" s="581"/>
      <c r="J51" s="581"/>
      <c r="K51" s="581"/>
      <c r="L51" s="581"/>
      <c r="M51" s="581"/>
      <c r="N51" s="581"/>
      <c r="O51" s="108"/>
    </row>
    <row r="52" spans="1:22" ht="15.75" customHeight="1" x14ac:dyDescent="0.2">
      <c r="A52" s="173"/>
      <c r="B52" s="582" t="s">
        <v>196</v>
      </c>
      <c r="C52" s="582"/>
      <c r="D52" s="582"/>
      <c r="E52" s="582"/>
      <c r="F52" s="582"/>
      <c r="G52" s="582"/>
      <c r="H52" s="582"/>
      <c r="I52" s="582"/>
      <c r="J52" s="582"/>
      <c r="K52" s="582"/>
      <c r="L52" s="582"/>
      <c r="M52" s="582"/>
      <c r="N52" s="582"/>
      <c r="O52" s="217"/>
    </row>
    <row r="53" spans="1:22" ht="15.75" customHeight="1" x14ac:dyDescent="0.2">
      <c r="A53" s="173"/>
      <c r="B53" s="582"/>
      <c r="C53" s="582"/>
      <c r="D53" s="582"/>
      <c r="E53" s="582"/>
      <c r="F53" s="582"/>
      <c r="G53" s="582"/>
      <c r="H53" s="582"/>
      <c r="I53" s="582"/>
      <c r="J53" s="582"/>
      <c r="K53" s="582"/>
      <c r="L53" s="582"/>
      <c r="M53" s="582"/>
      <c r="N53" s="582"/>
      <c r="O53" s="217"/>
    </row>
    <row r="54" spans="1:22" ht="12.75" customHeight="1" x14ac:dyDescent="0.2">
      <c r="A54" s="173"/>
      <c r="B54" s="582"/>
      <c r="C54" s="582"/>
      <c r="D54" s="582"/>
      <c r="E54" s="582"/>
      <c r="F54" s="582"/>
      <c r="G54" s="582"/>
      <c r="H54" s="582"/>
      <c r="I54" s="582"/>
      <c r="J54" s="582"/>
      <c r="K54" s="582"/>
      <c r="L54" s="582"/>
      <c r="M54" s="582"/>
      <c r="N54" s="582"/>
      <c r="O54" s="108"/>
    </row>
    <row r="55" spans="1:22" x14ac:dyDescent="0.2">
      <c r="A55" s="173"/>
      <c r="B55" s="582"/>
      <c r="C55" s="582"/>
      <c r="D55" s="582"/>
      <c r="E55" s="582"/>
      <c r="F55" s="582"/>
      <c r="G55" s="582"/>
      <c r="H55" s="582"/>
      <c r="I55" s="582"/>
      <c r="J55" s="582"/>
      <c r="K55" s="582"/>
      <c r="L55" s="582"/>
      <c r="M55" s="582"/>
      <c r="N55" s="582"/>
      <c r="O55" s="108"/>
    </row>
    <row r="56" spans="1:22" x14ac:dyDescent="0.2">
      <c r="A56" s="97"/>
      <c r="B56" s="582"/>
      <c r="C56" s="582"/>
      <c r="D56" s="582"/>
      <c r="E56" s="582"/>
      <c r="F56" s="582"/>
      <c r="G56" s="582"/>
      <c r="H56" s="582"/>
      <c r="I56" s="582"/>
      <c r="J56" s="582"/>
      <c r="K56" s="582"/>
      <c r="L56" s="582"/>
      <c r="M56" s="582"/>
      <c r="N56" s="582"/>
      <c r="O56" s="108"/>
    </row>
    <row r="57" spans="1:22" x14ac:dyDescent="0.2">
      <c r="A57" s="627"/>
      <c r="B57" s="628"/>
      <c r="C57" s="628"/>
      <c r="D57" s="628"/>
      <c r="E57" s="628"/>
      <c r="F57" s="628"/>
      <c r="G57" s="628"/>
      <c r="H57" s="628"/>
      <c r="I57" s="628"/>
      <c r="J57" s="628"/>
      <c r="K57" s="223"/>
      <c r="L57" s="223"/>
      <c r="M57" s="223"/>
      <c r="N57" s="223"/>
      <c r="O57" s="224"/>
    </row>
    <row r="58" spans="1:22" ht="15.75" thickBot="1" x14ac:dyDescent="0.25">
      <c r="A58" s="625"/>
      <c r="B58" s="626"/>
      <c r="C58" s="626"/>
      <c r="D58" s="626"/>
      <c r="E58" s="626"/>
      <c r="F58" s="626"/>
      <c r="G58" s="626"/>
      <c r="H58" s="626"/>
      <c r="I58" s="626"/>
      <c r="J58" s="626"/>
      <c r="K58" s="225"/>
      <c r="L58" s="225"/>
      <c r="M58" s="225"/>
      <c r="N58" s="225"/>
      <c r="O58" s="226"/>
    </row>
    <row r="61" spans="1:22" ht="15.75" thickBot="1" x14ac:dyDescent="0.25"/>
    <row r="62" spans="1:22" x14ac:dyDescent="0.2">
      <c r="Q62" s="69"/>
      <c r="R62" s="70"/>
      <c r="S62" s="70"/>
      <c r="T62" s="70"/>
      <c r="U62" s="70"/>
      <c r="V62" s="71"/>
    </row>
    <row r="63" spans="1:22" x14ac:dyDescent="0.2">
      <c r="Q63" s="63"/>
      <c r="V63" s="64"/>
    </row>
    <row r="64" spans="1:22" x14ac:dyDescent="0.2">
      <c r="Q64" s="63"/>
      <c r="V64" s="64"/>
    </row>
    <row r="65" spans="17:22" x14ac:dyDescent="0.2">
      <c r="Q65" s="63"/>
      <c r="V65" s="64"/>
    </row>
    <row r="66" spans="17:22" x14ac:dyDescent="0.2">
      <c r="Q66" s="79" t="s">
        <v>87</v>
      </c>
      <c r="R66" s="80" t="s">
        <v>88</v>
      </c>
      <c r="S66" s="80" t="s">
        <v>89</v>
      </c>
      <c r="T66" s="80" t="s">
        <v>90</v>
      </c>
      <c r="U66" s="80" t="s">
        <v>91</v>
      </c>
      <c r="V66" s="81" t="s">
        <v>92</v>
      </c>
    </row>
    <row r="67" spans="17:22" ht="15.75" x14ac:dyDescent="0.2">
      <c r="Q67" s="82">
        <v>5</v>
      </c>
      <c r="R67" s="83" t="e">
        <f>VLOOKUP(Q67,C19:G34,4)</f>
        <v>#REF!</v>
      </c>
      <c r="S67" s="84" t="e">
        <f>+Q67+((U67-Q67)/(V67-R67))*(T67-R67)</f>
        <v>#REF!</v>
      </c>
      <c r="T67" s="84">
        <f>+L41</f>
        <v>0</v>
      </c>
      <c r="U67" s="85">
        <v>6</v>
      </c>
      <c r="V67" s="86" t="e">
        <f>VLOOKUP(U67,C19:G34,4)</f>
        <v>#REF!</v>
      </c>
    </row>
    <row r="68" spans="17:22" ht="15.75" thickBot="1" x14ac:dyDescent="0.25">
      <c r="Q68" s="73"/>
      <c r="R68" s="74"/>
      <c r="S68" s="74"/>
      <c r="T68" s="74"/>
      <c r="U68" s="74"/>
      <c r="V68" s="75"/>
    </row>
  </sheetData>
  <mergeCells count="64">
    <mergeCell ref="L32:N32"/>
    <mergeCell ref="L35:N35"/>
    <mergeCell ref="L37:N37"/>
    <mergeCell ref="B51:N51"/>
    <mergeCell ref="N23:N24"/>
    <mergeCell ref="L31:N31"/>
    <mergeCell ref="L28:N28"/>
    <mergeCell ref="L29:N29"/>
    <mergeCell ref="L18:N18"/>
    <mergeCell ref="L19:M20"/>
    <mergeCell ref="N19:N20"/>
    <mergeCell ref="L21:M22"/>
    <mergeCell ref="N21:N22"/>
    <mergeCell ref="A57:J57"/>
    <mergeCell ref="A58:J58"/>
    <mergeCell ref="D13:N13"/>
    <mergeCell ref="D14:N14"/>
    <mergeCell ref="L38:N38"/>
    <mergeCell ref="L44:N44"/>
    <mergeCell ref="L40:N40"/>
    <mergeCell ref="L41:N41"/>
    <mergeCell ref="L43:N43"/>
    <mergeCell ref="L47:N47"/>
    <mergeCell ref="L46:N46"/>
    <mergeCell ref="L34:N34"/>
    <mergeCell ref="L25:M26"/>
    <mergeCell ref="B52:N56"/>
    <mergeCell ref="L23:M24"/>
    <mergeCell ref="N25:N26"/>
    <mergeCell ref="J9:K9"/>
    <mergeCell ref="M9:N9"/>
    <mergeCell ref="B14:C14"/>
    <mergeCell ref="B13:C13"/>
    <mergeCell ref="B10:C10"/>
    <mergeCell ref="D10:I10"/>
    <mergeCell ref="J10:K10"/>
    <mergeCell ref="B11:M11"/>
    <mergeCell ref="B12:C12"/>
    <mergeCell ref="D12:F12"/>
    <mergeCell ref="J12:K12"/>
    <mergeCell ref="B9:C9"/>
    <mergeCell ref="D9:I9"/>
    <mergeCell ref="L10:N10"/>
    <mergeCell ref="AP3:AS5"/>
    <mergeCell ref="M4:O4"/>
    <mergeCell ref="B5:M5"/>
    <mergeCell ref="A1:D4"/>
    <mergeCell ref="B6:C6"/>
    <mergeCell ref="D6:I6"/>
    <mergeCell ref="J6:K6"/>
    <mergeCell ref="L6:N6"/>
    <mergeCell ref="F2:L4"/>
    <mergeCell ref="F1:L1"/>
    <mergeCell ref="M1:O1"/>
    <mergeCell ref="M2:O2"/>
    <mergeCell ref="M3:O3"/>
    <mergeCell ref="B7:C7"/>
    <mergeCell ref="D7:I7"/>
    <mergeCell ref="J7:K7"/>
    <mergeCell ref="L7:N7"/>
    <mergeCell ref="B8:C8"/>
    <mergeCell ref="D8:I8"/>
    <mergeCell ref="J8:K8"/>
    <mergeCell ref="L8:N8"/>
  </mergeCells>
  <conditionalFormatting sqref="D12:E14">
    <cfRule type="containsBlanks" dxfId="28" priority="3">
      <formula>LEN(TRIM(D12))=0</formula>
    </cfRule>
  </conditionalFormatting>
  <conditionalFormatting sqref="D12:G12">
    <cfRule type="containsBlanks" dxfId="27" priority="1">
      <formula>LEN(TRIM(D12))=0</formula>
    </cfRule>
    <cfRule type="containsBlanks" dxfId="26" priority="2">
      <formula>LEN(TRIM(D12))=0</formula>
    </cfRule>
  </conditionalFormatting>
  <conditionalFormatting sqref="D6:I10">
    <cfRule type="containsBlanks" dxfId="25" priority="7">
      <formula>LEN(TRIM(D6))=0</formula>
    </cfRule>
  </conditionalFormatting>
  <conditionalFormatting sqref="D6:J10 L6:N6 L7:L8 M9 G12:J12 L12:N12 D13:E14 B6:B10 B12:B14">
    <cfRule type="containsBlanks" dxfId="24" priority="8">
      <formula>LEN(TRIM(B6))=0</formula>
    </cfRule>
  </conditionalFormatting>
  <conditionalFormatting sqref="L6:N8 M9 I12 L12 N12 D13:E14">
    <cfRule type="containsBlanks" dxfId="23" priority="6">
      <formula>LEN(TRIM(D6))=0</formula>
    </cfRule>
  </conditionalFormatting>
  <conditionalFormatting sqref="L6:N8 M9 I12 L12 N12">
    <cfRule type="containsBlanks" dxfId="22" priority="4">
      <formula>LEN(TRIM(I6))=0</formula>
    </cfRule>
  </conditionalFormatting>
  <printOptions horizontalCentered="1" verticalCentered="1" gridLinesSet="0"/>
  <pageMargins left="0.19685039370078741" right="0.19685039370078741" top="0.19685039370078741" bottom="0.39370078740157483" header="0.31496062992125984" footer="0.31496062992125984"/>
  <pageSetup scale="57" orientation="landscape" r:id="rId1"/>
  <headerFooter alignWithMargins="0">
    <oddFooter>&amp;CGEODELTA INGENIERÍA 
Barrio el laurel, Móvil: 3187902368 Bogotá DC - Colombia
e-mail: laboratoriogeodelta@gmail.com</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S68"/>
  <sheetViews>
    <sheetView showGridLines="0" view="pageBreakPreview" zoomScale="124" zoomScaleNormal="100" zoomScaleSheetLayoutView="124" workbookViewId="0">
      <selection sqref="A1:D4"/>
    </sheetView>
  </sheetViews>
  <sheetFormatPr baseColWidth="10" defaultColWidth="11.42578125" defaultRowHeight="15" x14ac:dyDescent="0.2"/>
  <cols>
    <col min="1" max="1" width="3.28515625" style="62" customWidth="1"/>
    <col min="2" max="2" width="14.42578125" style="62" customWidth="1"/>
    <col min="3" max="3" width="15.28515625" style="62" customWidth="1"/>
    <col min="4" max="4" width="19" style="62" customWidth="1"/>
    <col min="5" max="5" width="18" style="62" customWidth="1"/>
    <col min="6" max="6" width="17.85546875" style="62" customWidth="1"/>
    <col min="7" max="7" width="17.7109375" style="62" customWidth="1"/>
    <col min="8" max="8" width="18.5703125" style="62" bestFit="1" customWidth="1"/>
    <col min="9" max="9" width="22.85546875" style="62" customWidth="1"/>
    <col min="10" max="10" width="21.140625" style="62" customWidth="1"/>
    <col min="11" max="11" width="8.28515625" style="62" customWidth="1"/>
    <col min="12" max="14" width="13.7109375" style="62" customWidth="1"/>
    <col min="15" max="15" width="2" style="62" customWidth="1"/>
    <col min="16" max="16384" width="11.42578125" style="62"/>
  </cols>
  <sheetData>
    <row r="1" spans="1:45" s="36" customFormat="1" ht="17.25" customHeight="1" x14ac:dyDescent="0.2">
      <c r="A1" s="532"/>
      <c r="B1" s="533"/>
      <c r="C1" s="533"/>
      <c r="D1" s="726"/>
      <c r="E1" s="397"/>
      <c r="F1" s="546" t="s">
        <v>119</v>
      </c>
      <c r="G1" s="546"/>
      <c r="H1" s="546"/>
      <c r="I1" s="546"/>
      <c r="J1" s="546"/>
      <c r="K1" s="546"/>
      <c r="L1" s="622"/>
      <c r="M1" s="614" t="str">
        <f>Resultados!O1</f>
        <v>CÓDIGO: GDA-FLC-009</v>
      </c>
      <c r="N1" s="615"/>
      <c r="O1" s="616"/>
      <c r="P1" s="35"/>
      <c r="Q1" s="35"/>
      <c r="R1" s="35" t="s">
        <v>126</v>
      </c>
      <c r="S1" s="35"/>
      <c r="T1" s="35"/>
      <c r="U1" s="35"/>
      <c r="V1" s="35"/>
      <c r="W1" s="35"/>
      <c r="Z1" s="37" t="s">
        <v>120</v>
      </c>
      <c r="AA1" s="36" t="s">
        <v>121</v>
      </c>
    </row>
    <row r="2" spans="1:45" s="36" customFormat="1" ht="17.25" customHeight="1" x14ac:dyDescent="0.2">
      <c r="A2" s="534"/>
      <c r="B2" s="725"/>
      <c r="C2" s="725"/>
      <c r="D2" s="727"/>
      <c r="E2" s="67"/>
      <c r="F2" s="638" t="s">
        <v>185</v>
      </c>
      <c r="G2" s="638"/>
      <c r="H2" s="638"/>
      <c r="I2" s="638"/>
      <c r="J2" s="638"/>
      <c r="K2" s="638"/>
      <c r="L2" s="639"/>
      <c r="M2" s="617" t="str">
        <f>Resultados!O2</f>
        <v>VERSIÓN :03</v>
      </c>
      <c r="N2" s="618"/>
      <c r="O2" s="619"/>
      <c r="P2" s="35"/>
      <c r="Q2" s="35"/>
      <c r="R2" s="35" t="s">
        <v>174</v>
      </c>
      <c r="S2" s="35"/>
      <c r="T2" s="35"/>
      <c r="U2" s="35"/>
      <c r="V2" s="35"/>
      <c r="W2" s="35"/>
      <c r="Z2" s="37" t="s">
        <v>122</v>
      </c>
      <c r="AA2" s="36" t="s">
        <v>123</v>
      </c>
    </row>
    <row r="3" spans="1:45" s="36" customFormat="1" ht="17.25" customHeight="1" x14ac:dyDescent="0.2">
      <c r="A3" s="534"/>
      <c r="B3" s="725"/>
      <c r="C3" s="725"/>
      <c r="D3" s="727"/>
      <c r="E3" s="67"/>
      <c r="F3" s="638"/>
      <c r="G3" s="638"/>
      <c r="H3" s="638"/>
      <c r="I3" s="638"/>
      <c r="J3" s="638"/>
      <c r="K3" s="638"/>
      <c r="L3" s="639"/>
      <c r="M3" s="617" t="s">
        <v>180</v>
      </c>
      <c r="N3" s="618"/>
      <c r="O3" s="619"/>
      <c r="P3" s="35"/>
      <c r="Q3" s="35"/>
      <c r="R3" s="35" t="s">
        <v>131</v>
      </c>
      <c r="S3" s="35"/>
      <c r="T3" s="35"/>
      <c r="U3" s="35"/>
      <c r="V3" s="35"/>
      <c r="W3" s="35"/>
      <c r="AP3" s="620" t="s">
        <v>124</v>
      </c>
      <c r="AQ3" s="620"/>
      <c r="AR3" s="620"/>
      <c r="AS3" s="620"/>
    </row>
    <row r="4" spans="1:45" s="36" customFormat="1" ht="17.25" customHeight="1" thickBot="1" x14ac:dyDescent="0.25">
      <c r="A4" s="535"/>
      <c r="B4" s="536"/>
      <c r="C4" s="536"/>
      <c r="D4" s="621"/>
      <c r="E4" s="398"/>
      <c r="F4" s="640"/>
      <c r="G4" s="640"/>
      <c r="H4" s="640"/>
      <c r="I4" s="640"/>
      <c r="J4" s="640"/>
      <c r="K4" s="640"/>
      <c r="L4" s="641"/>
      <c r="M4" s="535" t="str">
        <f>Resultados!O4</f>
        <v>FECHA: 08-08-2025</v>
      </c>
      <c r="N4" s="536"/>
      <c r="O4" s="621"/>
      <c r="P4" s="35"/>
      <c r="Q4" s="35"/>
      <c r="R4" s="35" t="s">
        <v>135</v>
      </c>
      <c r="S4" s="35"/>
      <c r="T4" s="35"/>
      <c r="U4" s="35"/>
      <c r="V4" s="35"/>
      <c r="W4" s="35"/>
      <c r="AP4" s="620"/>
      <c r="AQ4" s="620"/>
      <c r="AR4" s="620"/>
      <c r="AS4" s="620"/>
    </row>
    <row r="5" spans="1:45" s="36" customFormat="1" ht="3.95" customHeight="1" thickBot="1" x14ac:dyDescent="0.25">
      <c r="A5" s="38"/>
      <c r="B5" s="528"/>
      <c r="C5" s="528"/>
      <c r="D5" s="528"/>
      <c r="E5" s="528"/>
      <c r="F5" s="528"/>
      <c r="G5" s="528"/>
      <c r="H5" s="528"/>
      <c r="I5" s="528"/>
      <c r="J5" s="528"/>
      <c r="K5" s="528"/>
      <c r="L5" s="528"/>
      <c r="M5" s="528"/>
      <c r="N5" s="40"/>
      <c r="O5" s="41"/>
      <c r="P5" s="42"/>
      <c r="Q5" s="42"/>
      <c r="R5" s="42" t="s">
        <v>138</v>
      </c>
      <c r="S5" s="42"/>
      <c r="T5" s="42"/>
      <c r="U5" s="42"/>
      <c r="V5" s="42"/>
      <c r="W5" s="42"/>
      <c r="AP5" s="620"/>
      <c r="AQ5" s="620"/>
      <c r="AR5" s="620"/>
      <c r="AS5" s="620"/>
    </row>
    <row r="6" spans="1:45" s="36" customFormat="1" ht="22.5" customHeight="1" x14ac:dyDescent="0.2">
      <c r="A6" s="34"/>
      <c r="B6" s="524" t="s">
        <v>0</v>
      </c>
      <c r="C6" s="524"/>
      <c r="D6" s="629">
        <f>Resultados!D6</f>
        <v>0</v>
      </c>
      <c r="E6" s="629"/>
      <c r="F6" s="629"/>
      <c r="G6" s="629"/>
      <c r="H6" s="629"/>
      <c r="I6" s="629"/>
      <c r="J6" s="531" t="s">
        <v>125</v>
      </c>
      <c r="K6" s="531"/>
      <c r="L6" s="637">
        <f>Resultados!M6</f>
        <v>0</v>
      </c>
      <c r="M6" s="637"/>
      <c r="N6" s="637"/>
      <c r="O6" s="44"/>
      <c r="P6" s="45"/>
      <c r="Q6" s="45"/>
      <c r="R6" s="45"/>
      <c r="S6" s="45"/>
      <c r="T6" s="45"/>
      <c r="U6" s="45"/>
      <c r="V6" s="45"/>
      <c r="W6" s="45"/>
      <c r="AP6" s="46" t="s">
        <v>126</v>
      </c>
      <c r="AQ6" s="37"/>
      <c r="AR6" s="37"/>
      <c r="AS6" s="37"/>
    </row>
    <row r="7" spans="1:45" s="36" customFormat="1" ht="27" customHeight="1" x14ac:dyDescent="0.2">
      <c r="A7" s="38"/>
      <c r="B7" s="516" t="s">
        <v>1</v>
      </c>
      <c r="C7" s="516"/>
      <c r="D7" s="612">
        <f>Resultados!D7</f>
        <v>0</v>
      </c>
      <c r="E7" s="612"/>
      <c r="F7" s="612"/>
      <c r="G7" s="612"/>
      <c r="H7" s="612"/>
      <c r="I7" s="612"/>
      <c r="J7" s="520" t="s">
        <v>127</v>
      </c>
      <c r="K7" s="520"/>
      <c r="L7" s="613">
        <f>Resultados!M7</f>
        <v>0</v>
      </c>
      <c r="M7" s="613"/>
      <c r="N7" s="613"/>
      <c r="O7" s="47"/>
      <c r="P7" s="45"/>
      <c r="Q7" s="45"/>
      <c r="R7" s="45"/>
      <c r="S7" s="45"/>
      <c r="T7" s="45"/>
      <c r="U7" s="45"/>
      <c r="V7" s="45"/>
      <c r="W7" s="45"/>
      <c r="AP7" s="46" t="s">
        <v>128</v>
      </c>
      <c r="AQ7" s="37"/>
      <c r="AR7" s="37"/>
      <c r="AS7" s="37"/>
    </row>
    <row r="8" spans="1:45" s="36" customFormat="1" ht="22.5" customHeight="1" x14ac:dyDescent="0.2">
      <c r="A8" s="38"/>
      <c r="B8" s="516" t="s">
        <v>129</v>
      </c>
      <c r="C8" s="516"/>
      <c r="D8" s="560">
        <f>Resultados!D8</f>
        <v>0</v>
      </c>
      <c r="E8" s="560"/>
      <c r="F8" s="560"/>
      <c r="G8" s="560"/>
      <c r="H8" s="560"/>
      <c r="I8" s="560"/>
      <c r="J8" s="520" t="s">
        <v>130</v>
      </c>
      <c r="K8" s="520"/>
      <c r="L8" s="613">
        <f>Resultados!M8</f>
        <v>0</v>
      </c>
      <c r="M8" s="613"/>
      <c r="N8" s="613"/>
      <c r="O8" s="47"/>
      <c r="P8" s="45"/>
      <c r="Q8" s="45"/>
      <c r="R8" s="45"/>
      <c r="S8" s="45"/>
      <c r="T8" s="45"/>
      <c r="U8" s="45"/>
      <c r="V8" s="45"/>
      <c r="W8" s="45"/>
      <c r="AP8" s="46" t="s">
        <v>131</v>
      </c>
      <c r="AQ8" s="37"/>
      <c r="AR8" s="37"/>
      <c r="AS8" s="37"/>
    </row>
    <row r="9" spans="1:45" s="36" customFormat="1" ht="15.75" customHeight="1" x14ac:dyDescent="0.2">
      <c r="A9" s="38"/>
      <c r="B9" s="516" t="s">
        <v>132</v>
      </c>
      <c r="C9" s="516"/>
      <c r="D9" s="560">
        <f>Resultados!D9</f>
        <v>0</v>
      </c>
      <c r="E9" s="560"/>
      <c r="F9" s="560"/>
      <c r="G9" s="560"/>
      <c r="H9" s="560"/>
      <c r="I9" s="560"/>
      <c r="J9" s="520" t="s">
        <v>133</v>
      </c>
      <c r="K9" s="520"/>
      <c r="L9" s="48" t="s">
        <v>134</v>
      </c>
      <c r="M9" s="632" t="str">
        <f>_xlfn.CONCAT(Resultados!N9," ","-"," ",Resultados!P9)</f>
        <v xml:space="preserve"> - </v>
      </c>
      <c r="N9" s="633"/>
      <c r="O9" s="47"/>
      <c r="P9" s="45">
        <v>25</v>
      </c>
      <c r="Q9" s="45"/>
      <c r="R9" s="45"/>
      <c r="S9" s="45"/>
      <c r="T9" s="45"/>
      <c r="U9" s="45"/>
      <c r="V9" s="45"/>
      <c r="W9" s="45"/>
      <c r="AP9" s="46" t="s">
        <v>135</v>
      </c>
      <c r="AQ9" s="37"/>
      <c r="AR9" s="37"/>
      <c r="AS9" s="37"/>
    </row>
    <row r="10" spans="1:45" s="36" customFormat="1" ht="22.5" customHeight="1" x14ac:dyDescent="0.2">
      <c r="A10" s="38"/>
      <c r="B10" s="550" t="s">
        <v>136</v>
      </c>
      <c r="C10" s="550"/>
      <c r="D10" s="560">
        <f>Resultados!D10</f>
        <v>0</v>
      </c>
      <c r="E10" s="560"/>
      <c r="F10" s="560"/>
      <c r="G10" s="560"/>
      <c r="H10" s="560"/>
      <c r="I10" s="560"/>
      <c r="J10" s="561" t="s">
        <v>137</v>
      </c>
      <c r="K10" s="561"/>
      <c r="L10" s="560" t="str">
        <f>Resultados!M10</f>
        <v xml:space="preserve"> --</v>
      </c>
      <c r="M10" s="560"/>
      <c r="N10" s="560"/>
      <c r="O10" s="49"/>
      <c r="P10" s="50"/>
      <c r="Q10" s="50"/>
      <c r="R10" s="50"/>
      <c r="S10" s="50"/>
      <c r="T10" s="50"/>
      <c r="U10" s="50"/>
      <c r="V10" s="50"/>
      <c r="W10" s="50"/>
      <c r="AP10" s="46" t="s">
        <v>138</v>
      </c>
      <c r="AQ10" s="37"/>
      <c r="AR10" s="37"/>
      <c r="AS10" s="37"/>
    </row>
    <row r="11" spans="1:45" s="36" customFormat="1" ht="3.95" customHeight="1" thickBot="1" x14ac:dyDescent="0.25">
      <c r="A11" s="38"/>
      <c r="B11" s="525"/>
      <c r="C11" s="525"/>
      <c r="D11" s="525"/>
      <c r="E11" s="525"/>
      <c r="F11" s="525"/>
      <c r="G11" s="525"/>
      <c r="H11" s="525"/>
      <c r="I11" s="525"/>
      <c r="J11" s="525"/>
      <c r="K11" s="525"/>
      <c r="L11" s="525"/>
      <c r="M11" s="525"/>
      <c r="N11" s="51"/>
      <c r="O11" s="41"/>
      <c r="P11" s="42"/>
      <c r="Q11" s="42"/>
      <c r="R11" s="42"/>
      <c r="S11" s="42"/>
      <c r="T11" s="42"/>
      <c r="U11" s="42"/>
      <c r="V11" s="42"/>
      <c r="W11" s="42"/>
      <c r="AP11" s="46"/>
      <c r="AQ11" s="37"/>
      <c r="AR11" s="37"/>
      <c r="AS11" s="37"/>
    </row>
    <row r="12" spans="1:45" s="36" customFormat="1" ht="22.5" customHeight="1" x14ac:dyDescent="0.2">
      <c r="A12" s="34"/>
      <c r="B12" s="524" t="s">
        <v>2</v>
      </c>
      <c r="C12" s="524"/>
      <c r="D12" s="611">
        <f>Resultados!X2</f>
        <v>0</v>
      </c>
      <c r="E12" s="611"/>
      <c r="F12" s="611"/>
      <c r="G12" s="399">
        <f>Resultados!F12</f>
        <v>0</v>
      </c>
      <c r="H12" s="88" t="s">
        <v>139</v>
      </c>
      <c r="I12" s="92">
        <f>Resultados!I12</f>
        <v>0</v>
      </c>
      <c r="J12" s="558" t="s">
        <v>140</v>
      </c>
      <c r="K12" s="558"/>
      <c r="L12" s="95">
        <f>Resultados!M12</f>
        <v>0</v>
      </c>
      <c r="M12" s="54" t="s">
        <v>141</v>
      </c>
      <c r="N12" s="96">
        <f>Resultados!O12</f>
        <v>0</v>
      </c>
      <c r="O12" s="55">
        <v>2.75</v>
      </c>
      <c r="P12" s="56"/>
      <c r="Q12" s="56"/>
      <c r="R12" s="56"/>
      <c r="S12" s="56"/>
      <c r="T12" s="56"/>
      <c r="U12" s="56"/>
      <c r="V12" s="56"/>
      <c r="W12" s="56"/>
      <c r="AP12" s="46"/>
      <c r="AQ12" s="37"/>
      <c r="AR12" s="37"/>
      <c r="AS12" s="37"/>
    </row>
    <row r="13" spans="1:45" s="36" customFormat="1" ht="22.5" customHeight="1" x14ac:dyDescent="0.2">
      <c r="A13" s="38"/>
      <c r="B13" s="516" t="s">
        <v>142</v>
      </c>
      <c r="C13" s="516"/>
      <c r="D13" s="630">
        <f>Resultados!D13</f>
        <v>0</v>
      </c>
      <c r="E13" s="630"/>
      <c r="F13" s="630"/>
      <c r="G13" s="630"/>
      <c r="H13" s="630"/>
      <c r="I13" s="630"/>
      <c r="J13" s="630"/>
      <c r="K13" s="630"/>
      <c r="L13" s="630"/>
      <c r="M13" s="630"/>
      <c r="N13" s="630"/>
      <c r="O13" s="57"/>
      <c r="P13" s="58"/>
      <c r="Q13" s="58"/>
      <c r="R13" s="58"/>
      <c r="S13" s="58"/>
      <c r="T13" s="58"/>
      <c r="U13" s="58"/>
      <c r="V13" s="58"/>
      <c r="W13" s="58"/>
      <c r="AP13" s="46"/>
      <c r="AQ13" s="37"/>
      <c r="AR13" s="37"/>
      <c r="AS13" s="37"/>
    </row>
    <row r="14" spans="1:45" s="36" customFormat="1" ht="22.5" customHeight="1" x14ac:dyDescent="0.2">
      <c r="A14" s="38"/>
      <c r="B14" s="516" t="s">
        <v>143</v>
      </c>
      <c r="C14" s="516"/>
      <c r="D14" s="560">
        <f>Resultados!D14</f>
        <v>0</v>
      </c>
      <c r="E14" s="560"/>
      <c r="F14" s="560"/>
      <c r="G14" s="560"/>
      <c r="H14" s="560"/>
      <c r="I14" s="560"/>
      <c r="J14" s="560"/>
      <c r="K14" s="560"/>
      <c r="L14" s="560"/>
      <c r="M14" s="560"/>
      <c r="N14" s="560"/>
      <c r="O14" s="49"/>
      <c r="P14" s="50"/>
      <c r="Q14" s="50"/>
      <c r="R14" s="50"/>
      <c r="S14" s="50"/>
      <c r="T14" s="50"/>
      <c r="U14" s="50"/>
      <c r="V14" s="50"/>
      <c r="W14" s="50"/>
      <c r="AP14" s="46"/>
      <c r="AQ14" s="37"/>
      <c r="AR14" s="37"/>
      <c r="AS14" s="37"/>
    </row>
    <row r="15" spans="1:45" s="36" customFormat="1" ht="6.95" customHeight="1" thickBot="1" x14ac:dyDescent="0.25">
      <c r="A15" s="39"/>
      <c r="B15" s="59"/>
      <c r="C15" s="59"/>
      <c r="D15" s="60"/>
      <c r="E15" s="60"/>
      <c r="F15" s="60"/>
      <c r="G15" s="60"/>
      <c r="H15" s="60"/>
      <c r="I15" s="60"/>
      <c r="J15" s="60"/>
      <c r="K15" s="60"/>
      <c r="L15" s="60"/>
      <c r="M15" s="60"/>
      <c r="N15" s="60"/>
      <c r="O15" s="61"/>
      <c r="P15" s="50"/>
      <c r="Q15" s="50"/>
      <c r="R15" s="50"/>
      <c r="S15" s="50"/>
      <c r="T15" s="50"/>
      <c r="U15" s="50"/>
      <c r="V15" s="50"/>
      <c r="W15" s="50"/>
    </row>
    <row r="16" spans="1:45" ht="10.5" customHeight="1" x14ac:dyDescent="0.25">
      <c r="A16" s="97"/>
      <c r="B16" s="196"/>
      <c r="C16" s="197"/>
      <c r="D16" s="197"/>
      <c r="E16" s="197"/>
      <c r="F16" s="198"/>
      <c r="G16" s="199"/>
      <c r="H16" s="99"/>
      <c r="I16" s="200"/>
      <c r="J16" s="200"/>
      <c r="K16" s="200"/>
      <c r="L16" s="200"/>
      <c r="M16" s="200"/>
      <c r="N16" s="200"/>
      <c r="O16" s="201"/>
      <c r="P16" s="68"/>
    </row>
    <row r="17" spans="1:25" ht="8.4499999999999993" customHeight="1" thickBot="1" x14ac:dyDescent="0.3">
      <c r="A17" s="97"/>
      <c r="B17" s="202"/>
      <c r="C17" s="98"/>
      <c r="D17" s="98"/>
      <c r="E17" s="98"/>
      <c r="F17" s="98"/>
      <c r="G17" s="98"/>
      <c r="H17" s="98"/>
      <c r="I17" s="98"/>
      <c r="J17" s="110"/>
      <c r="K17" s="110"/>
      <c r="L17" s="110"/>
      <c r="M17" s="110"/>
      <c r="N17" s="110"/>
      <c r="O17" s="203"/>
      <c r="P17" s="66"/>
    </row>
    <row r="18" spans="1:25" ht="48" customHeight="1" thickBot="1" x14ac:dyDescent="0.3">
      <c r="A18" s="97"/>
      <c r="B18" s="405" t="s">
        <v>67</v>
      </c>
      <c r="C18" s="406" t="s">
        <v>68</v>
      </c>
      <c r="D18" s="406" t="s">
        <v>240</v>
      </c>
      <c r="E18" s="406" t="s">
        <v>241</v>
      </c>
      <c r="F18" s="407" t="s">
        <v>69</v>
      </c>
      <c r="G18" s="408" t="s">
        <v>70</v>
      </c>
      <c r="H18" s="204"/>
      <c r="I18" s="205"/>
      <c r="J18" s="205"/>
      <c r="K18" s="111"/>
      <c r="L18" s="606" t="s">
        <v>64</v>
      </c>
      <c r="M18" s="607"/>
      <c r="N18" s="608"/>
      <c r="O18" s="206"/>
      <c r="X18" s="62">
        <v>0.1626877698164928</v>
      </c>
      <c r="Y18" s="62">
        <f>X18*0.12</f>
        <v>1.9522532377979136E-2</v>
      </c>
    </row>
    <row r="19" spans="1:25" ht="15.95" customHeight="1" x14ac:dyDescent="0.25">
      <c r="A19" s="97"/>
      <c r="B19" s="401">
        <v>0</v>
      </c>
      <c r="C19" s="402">
        <v>0</v>
      </c>
      <c r="D19" s="403">
        <f>MAX('8,0 kg'!D19:D49)</f>
        <v>0</v>
      </c>
      <c r="E19" s="209">
        <f>D19-$D$19</f>
        <v>0</v>
      </c>
      <c r="F19" s="403" t="e">
        <f>MIN('8,0 kg'!F19:F49)</f>
        <v>#REF!</v>
      </c>
      <c r="G19" s="404">
        <v>0</v>
      </c>
      <c r="H19" s="98"/>
      <c r="I19" s="98"/>
      <c r="J19" s="98"/>
      <c r="K19" s="114"/>
      <c r="L19" s="609" t="s">
        <v>161</v>
      </c>
      <c r="M19" s="610"/>
      <c r="N19" s="602">
        <v>0</v>
      </c>
      <c r="O19" s="108"/>
      <c r="Q19" s="69" t="s">
        <v>71</v>
      </c>
      <c r="R19" s="70" t="s">
        <v>72</v>
      </c>
      <c r="S19" s="71"/>
      <c r="V19" s="62">
        <v>3.3069999999999999</v>
      </c>
      <c r="X19" s="62">
        <v>0.1701</v>
      </c>
      <c r="Y19" s="62">
        <f t="shared" ref="Y19:Y43" si="0">X19*0.12</f>
        <v>2.0412E-2</v>
      </c>
    </row>
    <row r="20" spans="1:25" ht="15.95" customHeight="1" x14ac:dyDescent="0.25">
      <c r="A20" s="97"/>
      <c r="B20" s="207" t="s">
        <v>73</v>
      </c>
      <c r="C20" s="208">
        <v>0.32</v>
      </c>
      <c r="D20" s="209">
        <f>'Datos '!H39</f>
        <v>0</v>
      </c>
      <c r="E20" s="209">
        <f>D20-$D$19</f>
        <v>0</v>
      </c>
      <c r="F20" s="221" t="e">
        <f>$F$19-E20</f>
        <v>#REF!</v>
      </c>
      <c r="G20" s="219" t="e">
        <f>(E20/$F$19)*100</f>
        <v>#REF!</v>
      </c>
      <c r="H20" s="98"/>
      <c r="I20" s="98"/>
      <c r="J20" s="98"/>
      <c r="K20" s="116"/>
      <c r="L20" s="598"/>
      <c r="M20" s="599"/>
      <c r="N20" s="603"/>
      <c r="O20" s="108"/>
      <c r="Q20" s="63"/>
      <c r="S20" s="64"/>
      <c r="V20" s="62">
        <v>3.4129999999999998</v>
      </c>
      <c r="X20" s="62">
        <v>0.17910000000000001</v>
      </c>
      <c r="Y20" s="62">
        <f t="shared" si="0"/>
        <v>2.1492000000000001E-2</v>
      </c>
    </row>
    <row r="21" spans="1:25" ht="15.95" customHeight="1" x14ac:dyDescent="0.25">
      <c r="A21" s="97"/>
      <c r="B21" s="207" t="s">
        <v>74</v>
      </c>
      <c r="C21" s="208">
        <v>0.55000000000000004</v>
      </c>
      <c r="D21" s="209">
        <f>'Datos '!H40</f>
        <v>0</v>
      </c>
      <c r="E21" s="209">
        <f t="shared" ref="E21:E49" si="1">D21-$D$19</f>
        <v>0</v>
      </c>
      <c r="F21" s="221" t="e">
        <f t="shared" ref="F21:F49" si="2">$F$19-E21</f>
        <v>#REF!</v>
      </c>
      <c r="G21" s="219" t="e">
        <f t="shared" ref="G21:G49" si="3">(E21/$F$19)*100</f>
        <v>#REF!</v>
      </c>
      <c r="H21" s="98"/>
      <c r="I21" s="98"/>
      <c r="J21" s="98"/>
      <c r="K21" s="210"/>
      <c r="L21" s="598" t="s">
        <v>162</v>
      </c>
      <c r="M21" s="599"/>
      <c r="N21" s="604">
        <f>(N19+N25)/2</f>
        <v>0</v>
      </c>
      <c r="O21" s="108"/>
      <c r="Q21" s="63" t="s">
        <v>75</v>
      </c>
      <c r="R21" s="62" t="e">
        <f>SLOPE(G21:G27,C21:C27)</f>
        <v>#REF!</v>
      </c>
      <c r="S21" s="64"/>
      <c r="V21" s="62">
        <v>3.46</v>
      </c>
      <c r="X21" s="62">
        <v>0.19350000000000001</v>
      </c>
      <c r="Y21" s="62">
        <f t="shared" si="0"/>
        <v>2.3220000000000001E-2</v>
      </c>
    </row>
    <row r="22" spans="1:25" ht="15.95" customHeight="1" x14ac:dyDescent="0.2">
      <c r="A22" s="97"/>
      <c r="B22" s="207" t="s">
        <v>76</v>
      </c>
      <c r="C22" s="208">
        <v>0.71</v>
      </c>
      <c r="D22" s="209">
        <f>'Datos '!H41</f>
        <v>0</v>
      </c>
      <c r="E22" s="209">
        <f t="shared" si="1"/>
        <v>0</v>
      </c>
      <c r="F22" s="221" t="e">
        <f t="shared" si="2"/>
        <v>#REF!</v>
      </c>
      <c r="G22" s="219" t="e">
        <f t="shared" si="3"/>
        <v>#REF!</v>
      </c>
      <c r="H22" s="98"/>
      <c r="I22" s="98"/>
      <c r="J22" s="98"/>
      <c r="K22" s="98"/>
      <c r="L22" s="598"/>
      <c r="M22" s="599"/>
      <c r="N22" s="603"/>
      <c r="O22" s="108"/>
      <c r="Q22" s="63" t="s">
        <v>77</v>
      </c>
      <c r="R22" s="62" t="e">
        <f>INTERCEPT(G21:G27,C21:C27)</f>
        <v>#REF!</v>
      </c>
      <c r="S22" s="64"/>
      <c r="V22" s="62">
        <v>3.504</v>
      </c>
      <c r="X22" s="62">
        <v>0.2079</v>
      </c>
      <c r="Y22" s="62">
        <f t="shared" si="0"/>
        <v>2.4947999999999998E-2</v>
      </c>
    </row>
    <row r="23" spans="1:25" ht="15.95" customHeight="1" x14ac:dyDescent="0.25">
      <c r="A23" s="97"/>
      <c r="B23" s="207">
        <v>1</v>
      </c>
      <c r="C23" s="208">
        <v>1</v>
      </c>
      <c r="D23" s="209">
        <f>'Datos '!H42</f>
        <v>0</v>
      </c>
      <c r="E23" s="209">
        <f t="shared" si="1"/>
        <v>0</v>
      </c>
      <c r="F23" s="221" t="e">
        <f t="shared" si="2"/>
        <v>#REF!</v>
      </c>
      <c r="G23" s="219" t="e">
        <f t="shared" si="3"/>
        <v>#REF!</v>
      </c>
      <c r="H23" s="98"/>
      <c r="I23" s="98"/>
      <c r="J23" s="98"/>
      <c r="K23" s="109"/>
      <c r="L23" s="598" t="s">
        <v>163</v>
      </c>
      <c r="M23" s="599"/>
      <c r="N23" s="604">
        <f>+((0.9)*(N25-N19))+N19</f>
        <v>0</v>
      </c>
      <c r="O23" s="211"/>
      <c r="Q23" s="63"/>
      <c r="S23" s="64"/>
      <c r="V23" s="62">
        <v>3.5640000000000001</v>
      </c>
      <c r="X23" s="62">
        <v>0.22950000000000001</v>
      </c>
      <c r="Y23" s="62">
        <f t="shared" si="0"/>
        <v>2.7539999999999999E-2</v>
      </c>
    </row>
    <row r="24" spans="1:25" ht="15.95" customHeight="1" x14ac:dyDescent="0.2">
      <c r="A24" s="97"/>
      <c r="B24" s="207">
        <v>2</v>
      </c>
      <c r="C24" s="208">
        <v>1.4142135623730951</v>
      </c>
      <c r="D24" s="209">
        <f>'Datos '!H43</f>
        <v>0</v>
      </c>
      <c r="E24" s="209">
        <f t="shared" si="1"/>
        <v>0</v>
      </c>
      <c r="F24" s="221" t="e">
        <f t="shared" si="2"/>
        <v>#REF!</v>
      </c>
      <c r="G24" s="219" t="e">
        <f t="shared" si="3"/>
        <v>#REF!</v>
      </c>
      <c r="H24" s="98"/>
      <c r="I24" s="98"/>
      <c r="J24" s="98"/>
      <c r="K24" s="98"/>
      <c r="L24" s="598"/>
      <c r="M24" s="599"/>
      <c r="N24" s="603"/>
      <c r="O24" s="108"/>
      <c r="Q24" s="63" t="s">
        <v>110</v>
      </c>
      <c r="R24" s="62" t="s">
        <v>79</v>
      </c>
      <c r="S24" s="72">
        <v>30</v>
      </c>
      <c r="V24" s="62">
        <v>3.6509999999999998</v>
      </c>
      <c r="X24" s="62">
        <v>0.24480000000000002</v>
      </c>
      <c r="Y24" s="62">
        <f t="shared" si="0"/>
        <v>2.9375999999999999E-2</v>
      </c>
    </row>
    <row r="25" spans="1:25" ht="15.95" customHeight="1" thickBot="1" x14ac:dyDescent="0.25">
      <c r="A25" s="97"/>
      <c r="B25" s="207">
        <v>3</v>
      </c>
      <c r="C25" s="208">
        <v>1.7320508075688772</v>
      </c>
      <c r="D25" s="209">
        <f>'Datos '!H44</f>
        <v>0</v>
      </c>
      <c r="E25" s="209">
        <f t="shared" si="1"/>
        <v>0</v>
      </c>
      <c r="F25" s="221" t="e">
        <f t="shared" si="2"/>
        <v>#REF!</v>
      </c>
      <c r="G25" s="219" t="e">
        <f t="shared" si="3"/>
        <v>#REF!</v>
      </c>
      <c r="H25" s="98" t="s">
        <v>168</v>
      </c>
      <c r="I25" s="98"/>
      <c r="J25" s="98" t="s">
        <v>169</v>
      </c>
      <c r="K25" s="98"/>
      <c r="L25" s="598" t="s">
        <v>164</v>
      </c>
      <c r="M25" s="599"/>
      <c r="N25" s="604">
        <f>L41/100</f>
        <v>0</v>
      </c>
      <c r="O25" s="108"/>
      <c r="Q25" s="73" t="s">
        <v>79</v>
      </c>
      <c r="R25" s="74" t="e">
        <f>(S24-R22)/R21</f>
        <v>#REF!</v>
      </c>
      <c r="S25" s="75"/>
      <c r="V25" s="62">
        <v>3.7170000000000001</v>
      </c>
      <c r="X25" s="62">
        <v>0.25650000000000001</v>
      </c>
      <c r="Y25" s="62">
        <f t="shared" si="0"/>
        <v>3.0779999999999998E-2</v>
      </c>
    </row>
    <row r="26" spans="1:25" ht="15.95" customHeight="1" thickBot="1" x14ac:dyDescent="0.25">
      <c r="A26" s="97"/>
      <c r="B26" s="207">
        <v>4</v>
      </c>
      <c r="C26" s="208">
        <v>2</v>
      </c>
      <c r="D26" s="209">
        <f>'Datos '!H45</f>
        <v>0</v>
      </c>
      <c r="E26" s="209">
        <f t="shared" si="1"/>
        <v>0</v>
      </c>
      <c r="F26" s="221" t="e">
        <f t="shared" si="2"/>
        <v>#REF!</v>
      </c>
      <c r="G26" s="219" t="e">
        <f t="shared" si="3"/>
        <v>#REF!</v>
      </c>
      <c r="H26" s="98" t="s">
        <v>170</v>
      </c>
      <c r="I26" s="98"/>
      <c r="J26" s="98" t="s">
        <v>171</v>
      </c>
      <c r="K26" s="98"/>
      <c r="L26" s="600"/>
      <c r="M26" s="601"/>
      <c r="N26" s="605"/>
      <c r="O26" s="108"/>
      <c r="V26" s="62">
        <v>3.774</v>
      </c>
      <c r="X26" s="62">
        <v>0.27179999999999999</v>
      </c>
      <c r="Y26" s="62">
        <f t="shared" si="0"/>
        <v>3.2615999999999999E-2</v>
      </c>
    </row>
    <row r="27" spans="1:25" ht="17.25" customHeight="1" thickBot="1" x14ac:dyDescent="0.25">
      <c r="A27" s="97"/>
      <c r="B27" s="207">
        <v>6</v>
      </c>
      <c r="C27" s="208">
        <v>2.4494897427831779</v>
      </c>
      <c r="D27" s="209">
        <f>'Datos '!H46</f>
        <v>0</v>
      </c>
      <c r="E27" s="209">
        <f t="shared" si="1"/>
        <v>0</v>
      </c>
      <c r="F27" s="221" t="e">
        <f t="shared" si="2"/>
        <v>#REF!</v>
      </c>
      <c r="G27" s="219" t="e">
        <f t="shared" si="3"/>
        <v>#REF!</v>
      </c>
      <c r="H27" s="98"/>
      <c r="I27" s="98"/>
      <c r="J27" s="98"/>
      <c r="K27" s="98"/>
      <c r="L27" s="98"/>
      <c r="M27" s="98"/>
      <c r="N27" s="98"/>
      <c r="O27" s="108"/>
      <c r="Q27" s="69" t="s">
        <v>80</v>
      </c>
      <c r="R27" s="70"/>
      <c r="S27" s="71"/>
      <c r="V27" s="62">
        <v>3.8679999999999999</v>
      </c>
      <c r="X27" s="62">
        <v>0.28079999999999999</v>
      </c>
      <c r="Y27" s="62">
        <f t="shared" si="0"/>
        <v>3.3695999999999997E-2</v>
      </c>
    </row>
    <row r="28" spans="1:25" ht="15.95" customHeight="1" thickBot="1" x14ac:dyDescent="0.25">
      <c r="A28" s="97"/>
      <c r="B28" s="207">
        <v>9</v>
      </c>
      <c r="C28" s="208">
        <v>3</v>
      </c>
      <c r="D28" s="209">
        <f>'Datos '!H47</f>
        <v>0</v>
      </c>
      <c r="E28" s="209">
        <f t="shared" si="1"/>
        <v>0</v>
      </c>
      <c r="F28" s="221" t="e">
        <f t="shared" si="2"/>
        <v>#REF!</v>
      </c>
      <c r="G28" s="219" t="e">
        <f t="shared" si="3"/>
        <v>#REF!</v>
      </c>
      <c r="H28" s="98"/>
      <c r="I28" s="98"/>
      <c r="J28" s="98"/>
      <c r="K28" s="98"/>
      <c r="L28" s="648" t="s">
        <v>65</v>
      </c>
      <c r="M28" s="649"/>
      <c r="N28" s="650"/>
      <c r="O28" s="108"/>
      <c r="Q28" s="63"/>
      <c r="S28" s="64"/>
      <c r="V28" s="62">
        <v>3.9830000000000001</v>
      </c>
      <c r="X28" s="62">
        <v>0.2853</v>
      </c>
      <c r="Y28" s="62">
        <f t="shared" si="0"/>
        <v>3.4235999999999996E-2</v>
      </c>
    </row>
    <row r="29" spans="1:25" ht="15.95" customHeight="1" thickBot="1" x14ac:dyDescent="0.25">
      <c r="A29" s="97"/>
      <c r="B29" s="207">
        <v>12</v>
      </c>
      <c r="C29" s="208">
        <v>3.4641016151377544</v>
      </c>
      <c r="D29" s="209">
        <f>'Datos '!H48</f>
        <v>0</v>
      </c>
      <c r="E29" s="209">
        <f t="shared" si="1"/>
        <v>0</v>
      </c>
      <c r="F29" s="221" t="e">
        <f t="shared" si="2"/>
        <v>#REF!</v>
      </c>
      <c r="G29" s="219" t="e">
        <f t="shared" si="3"/>
        <v>#REF!</v>
      </c>
      <c r="H29" s="98"/>
      <c r="I29" s="98"/>
      <c r="J29" s="98"/>
      <c r="K29" s="98"/>
      <c r="L29" s="651"/>
      <c r="M29" s="652"/>
      <c r="N29" s="653"/>
      <c r="O29" s="108"/>
      <c r="Q29" s="63" t="s">
        <v>75</v>
      </c>
      <c r="R29" s="62" t="e">
        <f>R21*0.85</f>
        <v>#REF!</v>
      </c>
      <c r="S29" s="64"/>
      <c r="V29" s="62">
        <v>4.0789999999999997</v>
      </c>
      <c r="X29" s="62">
        <v>0.28710000000000002</v>
      </c>
      <c r="Y29" s="62">
        <f t="shared" si="0"/>
        <v>3.4452000000000003E-2</v>
      </c>
    </row>
    <row r="30" spans="1:25" ht="15.95" customHeight="1" thickBot="1" x14ac:dyDescent="0.25">
      <c r="A30" s="97"/>
      <c r="B30" s="207">
        <v>16</v>
      </c>
      <c r="C30" s="208">
        <v>4</v>
      </c>
      <c r="D30" s="209">
        <f>'Datos '!H49</f>
        <v>0</v>
      </c>
      <c r="E30" s="209">
        <f t="shared" si="1"/>
        <v>0</v>
      </c>
      <c r="F30" s="221" t="e">
        <f t="shared" si="2"/>
        <v>#REF!</v>
      </c>
      <c r="G30" s="219" t="e">
        <f t="shared" si="3"/>
        <v>#REF!</v>
      </c>
      <c r="H30" s="98"/>
      <c r="I30" s="98"/>
      <c r="J30" s="98"/>
      <c r="K30" s="98"/>
      <c r="L30" s="98"/>
      <c r="M30" s="98"/>
      <c r="N30" s="98"/>
      <c r="O30" s="108"/>
      <c r="Q30" s="63" t="s">
        <v>77</v>
      </c>
      <c r="R30" s="62" t="e">
        <f>R22</f>
        <v>#REF!</v>
      </c>
      <c r="S30" s="64"/>
      <c r="V30" s="62">
        <v>4.1890000000000001</v>
      </c>
      <c r="X30" s="62">
        <v>0.28889999999999999</v>
      </c>
      <c r="Y30" s="62">
        <f t="shared" si="0"/>
        <v>3.4667999999999997E-2</v>
      </c>
    </row>
    <row r="31" spans="1:25" ht="15.95" customHeight="1" thickBot="1" x14ac:dyDescent="0.25">
      <c r="A31" s="97"/>
      <c r="B31" s="207">
        <v>25</v>
      </c>
      <c r="C31" s="208">
        <v>5</v>
      </c>
      <c r="D31" s="209">
        <f>'Datos '!H50</f>
        <v>0</v>
      </c>
      <c r="E31" s="209">
        <f t="shared" si="1"/>
        <v>0</v>
      </c>
      <c r="F31" s="221" t="e">
        <f t="shared" si="2"/>
        <v>#REF!</v>
      </c>
      <c r="G31" s="219" t="e">
        <f t="shared" si="3"/>
        <v>#REF!</v>
      </c>
      <c r="H31" s="98"/>
      <c r="I31" s="98"/>
      <c r="J31" s="98"/>
      <c r="K31" s="98"/>
      <c r="L31" s="645" t="s">
        <v>66</v>
      </c>
      <c r="M31" s="646"/>
      <c r="N31" s="647"/>
      <c r="O31" s="108"/>
      <c r="Q31" s="63"/>
      <c r="R31" s="62" t="s">
        <v>78</v>
      </c>
      <c r="S31" s="72">
        <v>30</v>
      </c>
      <c r="V31" s="62">
        <v>4.3680000000000003</v>
      </c>
      <c r="X31" s="62">
        <v>0.2898</v>
      </c>
      <c r="Y31" s="62">
        <f t="shared" si="0"/>
        <v>3.4776000000000001E-2</v>
      </c>
    </row>
    <row r="32" spans="1:25" ht="15.95" customHeight="1" thickBot="1" x14ac:dyDescent="0.25">
      <c r="A32" s="97"/>
      <c r="B32" s="207">
        <v>36</v>
      </c>
      <c r="C32" s="208">
        <v>6</v>
      </c>
      <c r="D32" s="209">
        <f>'Datos '!H51</f>
        <v>0</v>
      </c>
      <c r="E32" s="209">
        <f t="shared" si="1"/>
        <v>0</v>
      </c>
      <c r="F32" s="221" t="e">
        <f t="shared" si="2"/>
        <v>#REF!</v>
      </c>
      <c r="G32" s="219" t="e">
        <f t="shared" si="3"/>
        <v>#REF!</v>
      </c>
      <c r="H32" s="98"/>
      <c r="I32" s="98"/>
      <c r="J32" s="98"/>
      <c r="K32" s="98"/>
      <c r="L32" s="595" t="e">
        <f>L29*9.85/Resultados!E22</f>
        <v>#DIV/0!</v>
      </c>
      <c r="M32" s="596"/>
      <c r="N32" s="597"/>
      <c r="O32" s="108"/>
      <c r="Q32" s="73" t="s">
        <v>79</v>
      </c>
      <c r="R32" s="74" t="e">
        <f>(S31-R30)/R29</f>
        <v>#REF!</v>
      </c>
      <c r="S32" s="75"/>
      <c r="V32" s="62">
        <v>4.5609999999999999</v>
      </c>
      <c r="X32" s="62">
        <v>0.29025000000000001</v>
      </c>
      <c r="Y32" s="62">
        <f t="shared" si="0"/>
        <v>3.483E-2</v>
      </c>
    </row>
    <row r="33" spans="1:25" ht="15.95" customHeight="1" thickBot="1" x14ac:dyDescent="0.25">
      <c r="A33" s="97"/>
      <c r="B33" s="207">
        <v>49</v>
      </c>
      <c r="C33" s="208">
        <v>7</v>
      </c>
      <c r="D33" s="209">
        <f>'Datos '!H52</f>
        <v>0</v>
      </c>
      <c r="E33" s="209">
        <f t="shared" si="1"/>
        <v>0</v>
      </c>
      <c r="F33" s="221" t="e">
        <f t="shared" si="2"/>
        <v>#REF!</v>
      </c>
      <c r="G33" s="219" t="e">
        <f t="shared" si="3"/>
        <v>#REF!</v>
      </c>
      <c r="H33" s="98"/>
      <c r="I33" s="98"/>
      <c r="J33" s="98"/>
      <c r="K33" s="98"/>
      <c r="L33" s="98"/>
      <c r="M33" s="98"/>
      <c r="N33" s="98"/>
      <c r="O33" s="108"/>
      <c r="V33" s="62">
        <v>4.7350000000000003</v>
      </c>
      <c r="X33" s="62">
        <v>0.29070000000000001</v>
      </c>
      <c r="Y33" s="62">
        <f t="shared" si="0"/>
        <v>3.4883999999999998E-2</v>
      </c>
    </row>
    <row r="34" spans="1:25" ht="15.95" customHeight="1" thickBot="1" x14ac:dyDescent="0.3">
      <c r="A34" s="97"/>
      <c r="B34" s="207">
        <v>64</v>
      </c>
      <c r="C34" s="208">
        <v>8</v>
      </c>
      <c r="D34" s="209">
        <f>'Datos '!H53</f>
        <v>0</v>
      </c>
      <c r="E34" s="209">
        <f t="shared" si="1"/>
        <v>0</v>
      </c>
      <c r="F34" s="221" t="e">
        <f t="shared" si="2"/>
        <v>#REF!</v>
      </c>
      <c r="G34" s="219" t="e">
        <f t="shared" si="3"/>
        <v>#REF!</v>
      </c>
      <c r="H34" s="98"/>
      <c r="I34" s="98"/>
      <c r="J34" s="98"/>
      <c r="K34" s="98"/>
      <c r="L34" s="642" t="s">
        <v>84</v>
      </c>
      <c r="M34" s="643"/>
      <c r="N34" s="644"/>
      <c r="O34" s="108"/>
      <c r="Q34" s="69" t="s">
        <v>81</v>
      </c>
      <c r="R34" s="71"/>
      <c r="V34" s="62">
        <v>4.8840000000000003</v>
      </c>
      <c r="X34" s="62">
        <v>0.29115000000000002</v>
      </c>
      <c r="Y34" s="62">
        <f t="shared" si="0"/>
        <v>3.4938000000000004E-2</v>
      </c>
    </row>
    <row r="35" spans="1:25" ht="15.95" customHeight="1" thickBot="1" x14ac:dyDescent="0.25">
      <c r="A35" s="97"/>
      <c r="B35" s="207">
        <v>81</v>
      </c>
      <c r="C35" s="208">
        <v>9</v>
      </c>
      <c r="D35" s="209">
        <f>'Datos '!H54</f>
        <v>0</v>
      </c>
      <c r="E35" s="209">
        <f t="shared" si="1"/>
        <v>0</v>
      </c>
      <c r="F35" s="221" t="e">
        <f t="shared" si="2"/>
        <v>#REF!</v>
      </c>
      <c r="G35" s="219" t="e">
        <f t="shared" si="3"/>
        <v>#REF!</v>
      </c>
      <c r="H35" s="212"/>
      <c r="I35" s="98"/>
      <c r="J35" s="98"/>
      <c r="K35" s="98"/>
      <c r="L35" s="583">
        <f>LOOKUP(L38,C19:C49,G19:G49)</f>
        <v>0</v>
      </c>
      <c r="M35" s="584"/>
      <c r="N35" s="585"/>
      <c r="O35" s="108"/>
      <c r="Q35" s="63"/>
      <c r="R35" s="64"/>
      <c r="V35" s="62">
        <v>5.0090000000000003</v>
      </c>
      <c r="X35" s="62">
        <v>0.29160000000000003</v>
      </c>
      <c r="Y35" s="62">
        <f t="shared" si="0"/>
        <v>3.4992000000000002E-2</v>
      </c>
    </row>
    <row r="36" spans="1:25" ht="15.95" customHeight="1" thickBot="1" x14ac:dyDescent="0.25">
      <c r="A36" s="97"/>
      <c r="B36" s="207">
        <v>100</v>
      </c>
      <c r="C36" s="208">
        <v>10</v>
      </c>
      <c r="D36" s="209">
        <f>'Datos '!H55</f>
        <v>0</v>
      </c>
      <c r="E36" s="209">
        <f t="shared" si="1"/>
        <v>0</v>
      </c>
      <c r="F36" s="221" t="e">
        <f t="shared" si="2"/>
        <v>#REF!</v>
      </c>
      <c r="G36" s="219" t="e">
        <f t="shared" si="3"/>
        <v>#REF!</v>
      </c>
      <c r="H36" s="213"/>
      <c r="I36" s="98"/>
      <c r="J36" s="98"/>
      <c r="K36" s="98"/>
      <c r="L36" s="98"/>
      <c r="M36" s="98"/>
      <c r="N36" s="98"/>
      <c r="O36" s="108"/>
      <c r="Q36" s="65" t="s">
        <v>82</v>
      </c>
      <c r="R36" s="76" t="s">
        <v>83</v>
      </c>
      <c r="V36" s="62">
        <v>5.1020000000000003</v>
      </c>
      <c r="X36" s="62">
        <v>0.29205000000000003</v>
      </c>
      <c r="Y36" s="62">
        <f t="shared" si="0"/>
        <v>3.5046000000000001E-2</v>
      </c>
    </row>
    <row r="37" spans="1:25" ht="15.95" customHeight="1" thickBot="1" x14ac:dyDescent="0.3">
      <c r="A37" s="97"/>
      <c r="B37" s="207">
        <v>120</v>
      </c>
      <c r="C37" s="208">
        <v>10.954451150103322</v>
      </c>
      <c r="D37" s="209">
        <f>'Datos '!H56</f>
        <v>0</v>
      </c>
      <c r="E37" s="209">
        <f t="shared" si="1"/>
        <v>0</v>
      </c>
      <c r="F37" s="221" t="e">
        <f t="shared" si="2"/>
        <v>#REF!</v>
      </c>
      <c r="G37" s="219" t="e">
        <f t="shared" si="3"/>
        <v>#REF!</v>
      </c>
      <c r="H37" s="98"/>
      <c r="I37" s="98"/>
      <c r="J37" s="98"/>
      <c r="K37" s="98"/>
      <c r="L37" s="654" t="s">
        <v>245</v>
      </c>
      <c r="M37" s="643"/>
      <c r="N37" s="644"/>
      <c r="O37" s="108"/>
      <c r="Q37" s="77">
        <f>S24</f>
        <v>30</v>
      </c>
      <c r="R37" s="76" t="e">
        <f>R25</f>
        <v>#REF!</v>
      </c>
      <c r="V37" s="62">
        <v>5.1639999999999997</v>
      </c>
      <c r="X37" s="62">
        <v>0.29250000000000004</v>
      </c>
      <c r="Y37" s="62">
        <f t="shared" si="0"/>
        <v>3.5100000000000006E-2</v>
      </c>
    </row>
    <row r="38" spans="1:25" ht="15.95" customHeight="1" thickBot="1" x14ac:dyDescent="0.25">
      <c r="A38" s="97"/>
      <c r="B38" s="207">
        <v>144</v>
      </c>
      <c r="C38" s="208">
        <v>12</v>
      </c>
      <c r="D38" s="209">
        <f>'Datos '!H57</f>
        <v>0</v>
      </c>
      <c r="E38" s="209">
        <f t="shared" si="1"/>
        <v>0</v>
      </c>
      <c r="F38" s="221" t="e">
        <f t="shared" si="2"/>
        <v>#REF!</v>
      </c>
      <c r="G38" s="219" t="e">
        <f t="shared" si="3"/>
        <v>#REF!</v>
      </c>
      <c r="H38" s="98"/>
      <c r="I38" s="98"/>
      <c r="J38" s="98"/>
      <c r="K38" s="98"/>
      <c r="L38" s="583"/>
      <c r="M38" s="584"/>
      <c r="N38" s="585"/>
      <c r="O38" s="108"/>
      <c r="Q38" s="65" t="e">
        <f>R22</f>
        <v>#REF!</v>
      </c>
      <c r="R38" s="76">
        <v>0</v>
      </c>
      <c r="V38" s="62">
        <v>5.2149999999999999</v>
      </c>
      <c r="X38" s="62">
        <v>0.29295000000000004</v>
      </c>
      <c r="Y38" s="62">
        <f t="shared" si="0"/>
        <v>3.5154000000000005E-2</v>
      </c>
    </row>
    <row r="39" spans="1:25" ht="15.95" customHeight="1" thickBot="1" x14ac:dyDescent="0.25">
      <c r="A39" s="97"/>
      <c r="B39" s="207">
        <v>169</v>
      </c>
      <c r="C39" s="208">
        <v>13</v>
      </c>
      <c r="D39" s="209">
        <f>'Datos '!H58</f>
        <v>0</v>
      </c>
      <c r="E39" s="209">
        <f t="shared" si="1"/>
        <v>0</v>
      </c>
      <c r="F39" s="221" t="e">
        <f t="shared" si="2"/>
        <v>#REF!</v>
      </c>
      <c r="G39" s="219" t="e">
        <f t="shared" si="3"/>
        <v>#REF!</v>
      </c>
      <c r="H39" s="98"/>
      <c r="I39" s="98"/>
      <c r="J39" s="98"/>
      <c r="K39" s="98"/>
      <c r="L39" s="98"/>
      <c r="M39" s="98"/>
      <c r="N39" s="98"/>
      <c r="O39" s="108"/>
      <c r="Q39" s="63"/>
      <c r="R39" s="64"/>
      <c r="V39" s="62">
        <v>5.2539999999999996</v>
      </c>
      <c r="X39" s="62">
        <v>0.29339999999999999</v>
      </c>
      <c r="Y39" s="62">
        <f t="shared" si="0"/>
        <v>3.5207999999999996E-2</v>
      </c>
    </row>
    <row r="40" spans="1:25" ht="15.95" customHeight="1" thickBot="1" x14ac:dyDescent="0.3">
      <c r="A40" s="97"/>
      <c r="B40" s="207">
        <v>196</v>
      </c>
      <c r="C40" s="208">
        <v>14</v>
      </c>
      <c r="D40" s="209">
        <f>'Datos '!H59</f>
        <v>0</v>
      </c>
      <c r="E40" s="209">
        <f t="shared" si="1"/>
        <v>0</v>
      </c>
      <c r="F40" s="221" t="e">
        <f t="shared" si="2"/>
        <v>#REF!</v>
      </c>
      <c r="G40" s="219" t="e">
        <f t="shared" si="3"/>
        <v>#REF!</v>
      </c>
      <c r="H40" s="98"/>
      <c r="I40" s="98"/>
      <c r="J40" s="98"/>
      <c r="K40" s="98"/>
      <c r="L40" s="642" t="s">
        <v>85</v>
      </c>
      <c r="M40" s="643"/>
      <c r="N40" s="644"/>
      <c r="O40" s="108"/>
      <c r="Q40" s="63"/>
      <c r="R40" s="64"/>
      <c r="V40" s="62">
        <v>5.274</v>
      </c>
      <c r="X40" s="62">
        <v>0.29394000000000003</v>
      </c>
      <c r="Y40" s="62">
        <f t="shared" si="0"/>
        <v>3.52728E-2</v>
      </c>
    </row>
    <row r="41" spans="1:25" ht="15.95" customHeight="1" thickBot="1" x14ac:dyDescent="0.25">
      <c r="A41" s="97"/>
      <c r="B41" s="207">
        <v>225</v>
      </c>
      <c r="C41" s="208">
        <v>15</v>
      </c>
      <c r="D41" s="209">
        <f>'Datos '!H60</f>
        <v>0</v>
      </c>
      <c r="E41" s="209">
        <f t="shared" si="1"/>
        <v>0</v>
      </c>
      <c r="F41" s="221" t="e">
        <f t="shared" si="2"/>
        <v>#REF!</v>
      </c>
      <c r="G41" s="219" t="e">
        <f t="shared" si="3"/>
        <v>#REF!</v>
      </c>
      <c r="H41" s="98"/>
      <c r="I41" s="98"/>
      <c r="J41" s="98"/>
      <c r="K41" s="98"/>
      <c r="L41" s="583">
        <f>(L35*(1/9))+L35</f>
        <v>0</v>
      </c>
      <c r="M41" s="584"/>
      <c r="N41" s="585"/>
      <c r="O41" s="108"/>
      <c r="Q41" s="65" t="s">
        <v>82</v>
      </c>
      <c r="R41" s="76" t="s">
        <v>83</v>
      </c>
      <c r="V41" s="62">
        <v>5.3019999999999996</v>
      </c>
      <c r="X41" s="62">
        <v>0.29430000000000001</v>
      </c>
      <c r="Y41" s="62">
        <f t="shared" si="0"/>
        <v>3.5316E-2</v>
      </c>
    </row>
    <row r="42" spans="1:25" ht="15.95" customHeight="1" thickBot="1" x14ac:dyDescent="0.25">
      <c r="A42" s="97"/>
      <c r="B42" s="207">
        <v>256</v>
      </c>
      <c r="C42" s="208">
        <v>16</v>
      </c>
      <c r="D42" s="209">
        <f>'Datos '!H61</f>
        <v>0</v>
      </c>
      <c r="E42" s="209">
        <f t="shared" si="1"/>
        <v>0</v>
      </c>
      <c r="F42" s="221" t="e">
        <f t="shared" si="2"/>
        <v>#REF!</v>
      </c>
      <c r="G42" s="219" t="e">
        <f t="shared" si="3"/>
        <v>#REF!</v>
      </c>
      <c r="H42" s="98"/>
      <c r="I42" s="98"/>
      <c r="J42" s="98"/>
      <c r="K42" s="98"/>
      <c r="L42" s="98"/>
      <c r="M42" s="98"/>
      <c r="N42" s="98"/>
      <c r="O42" s="108"/>
      <c r="Q42" s="77">
        <f>S31</f>
        <v>30</v>
      </c>
      <c r="R42" s="76" t="e">
        <f>R32</f>
        <v>#REF!</v>
      </c>
      <c r="V42" s="62">
        <v>5.3230000000000004</v>
      </c>
      <c r="X42" s="62">
        <v>0.29493000000000003</v>
      </c>
      <c r="Y42" s="62">
        <f t="shared" si="0"/>
        <v>3.5391600000000002E-2</v>
      </c>
    </row>
    <row r="43" spans="1:25" ht="15.95" customHeight="1" thickBot="1" x14ac:dyDescent="0.3">
      <c r="A43" s="97"/>
      <c r="B43" s="207">
        <v>289</v>
      </c>
      <c r="C43" s="208">
        <v>17</v>
      </c>
      <c r="D43" s="209">
        <f>'Datos '!H62</f>
        <v>0</v>
      </c>
      <c r="E43" s="209">
        <f t="shared" si="1"/>
        <v>0</v>
      </c>
      <c r="F43" s="221" t="e">
        <f t="shared" si="2"/>
        <v>#REF!</v>
      </c>
      <c r="G43" s="219" t="e">
        <f t="shared" si="3"/>
        <v>#REF!</v>
      </c>
      <c r="H43" s="98"/>
      <c r="I43" s="98"/>
      <c r="J43" s="98"/>
      <c r="K43" s="98"/>
      <c r="L43" s="642" t="s">
        <v>86</v>
      </c>
      <c r="M43" s="643"/>
      <c r="N43" s="644"/>
      <c r="O43" s="108"/>
      <c r="Q43" s="65" t="e">
        <f>R30</f>
        <v>#REF!</v>
      </c>
      <c r="R43" s="76">
        <v>0</v>
      </c>
      <c r="V43" s="62">
        <v>5.3390000000000004</v>
      </c>
      <c r="X43" s="62">
        <v>0.29520000000000002</v>
      </c>
      <c r="Y43" s="62">
        <f t="shared" si="0"/>
        <v>3.5424000000000004E-2</v>
      </c>
    </row>
    <row r="44" spans="1:25" ht="15.95" customHeight="1" thickBot="1" x14ac:dyDescent="0.25">
      <c r="A44" s="97"/>
      <c r="B44" s="207">
        <v>324</v>
      </c>
      <c r="C44" s="208">
        <v>18</v>
      </c>
      <c r="D44" s="209">
        <f>'Datos '!H63</f>
        <v>0</v>
      </c>
      <c r="E44" s="209">
        <f t="shared" si="1"/>
        <v>0</v>
      </c>
      <c r="F44" s="221" t="e">
        <f t="shared" si="2"/>
        <v>#REF!</v>
      </c>
      <c r="G44" s="219" t="e">
        <f t="shared" si="3"/>
        <v>#REF!</v>
      </c>
      <c r="H44" s="98"/>
      <c r="I44" s="98"/>
      <c r="J44" s="98"/>
      <c r="K44" s="98"/>
      <c r="L44" s="583">
        <f>LOOKUP(L41,G19:G49,C19:C49)</f>
        <v>0</v>
      </c>
      <c r="M44" s="584"/>
      <c r="N44" s="585"/>
      <c r="O44" s="108"/>
      <c r="Q44" s="73"/>
      <c r="R44" s="75"/>
      <c r="V44" s="62">
        <v>5.3449999999999998</v>
      </c>
      <c r="X44" s="62">
        <v>0.29592000000000002</v>
      </c>
      <c r="Y44" s="62">
        <f>X44*0.12</f>
        <v>3.5510399999999998E-2</v>
      </c>
    </row>
    <row r="45" spans="1:25" ht="15.95" customHeight="1" thickBot="1" x14ac:dyDescent="0.25">
      <c r="A45" s="97"/>
      <c r="B45" s="207">
        <v>361</v>
      </c>
      <c r="C45" s="208">
        <v>19</v>
      </c>
      <c r="D45" s="209">
        <f>'Datos '!H64</f>
        <v>0</v>
      </c>
      <c r="E45" s="209">
        <f t="shared" si="1"/>
        <v>0</v>
      </c>
      <c r="F45" s="221" t="e">
        <f t="shared" si="2"/>
        <v>#REF!</v>
      </c>
      <c r="G45" s="219" t="e">
        <f t="shared" si="3"/>
        <v>#REF!</v>
      </c>
      <c r="H45" s="98"/>
      <c r="I45" s="98"/>
      <c r="J45" s="98"/>
      <c r="K45" s="98"/>
      <c r="L45" s="98"/>
      <c r="M45" s="98"/>
      <c r="N45" s="98"/>
      <c r="O45" s="108"/>
      <c r="V45" s="62">
        <v>5.351</v>
      </c>
    </row>
    <row r="46" spans="1:25" ht="15.95" customHeight="1" thickBot="1" x14ac:dyDescent="0.3">
      <c r="A46" s="97"/>
      <c r="B46" s="207">
        <v>400</v>
      </c>
      <c r="C46" s="208">
        <v>20</v>
      </c>
      <c r="D46" s="209">
        <f>'Datos '!H65</f>
        <v>0</v>
      </c>
      <c r="E46" s="209">
        <f t="shared" si="1"/>
        <v>0</v>
      </c>
      <c r="F46" s="221" t="e">
        <f t="shared" si="2"/>
        <v>#REF!</v>
      </c>
      <c r="G46" s="219" t="e">
        <f t="shared" si="3"/>
        <v>#REF!</v>
      </c>
      <c r="H46" s="98"/>
      <c r="I46" s="98"/>
      <c r="J46" s="98"/>
      <c r="K46" s="98"/>
      <c r="L46" s="642" t="s">
        <v>237</v>
      </c>
      <c r="M46" s="643"/>
      <c r="N46" s="644"/>
      <c r="O46" s="108"/>
      <c r="V46" s="62">
        <v>5.3550000000000004</v>
      </c>
    </row>
    <row r="47" spans="1:25" ht="15.95" customHeight="1" thickBot="1" x14ac:dyDescent="0.25">
      <c r="A47" s="97"/>
      <c r="B47" s="207">
        <v>441</v>
      </c>
      <c r="C47" s="208">
        <v>21</v>
      </c>
      <c r="D47" s="209">
        <f>'Datos '!H66</f>
        <v>0</v>
      </c>
      <c r="E47" s="209">
        <f t="shared" si="1"/>
        <v>0</v>
      </c>
      <c r="F47" s="221" t="e">
        <f t="shared" si="2"/>
        <v>#REF!</v>
      </c>
      <c r="G47" s="219" t="e">
        <f t="shared" si="3"/>
        <v>#REF!</v>
      </c>
      <c r="H47" s="115"/>
      <c r="I47" s="115"/>
      <c r="J47" s="115"/>
      <c r="K47" s="98"/>
      <c r="L47" s="634" t="e">
        <f>(0.848*((VLOOKUP(INT(L38),C19:F49,4))/10/2)^2)/((L38^2)*60)</f>
        <v>#REF!</v>
      </c>
      <c r="M47" s="635"/>
      <c r="N47" s="636"/>
      <c r="O47" s="108"/>
      <c r="V47" s="62">
        <v>5.3579999999999997</v>
      </c>
    </row>
    <row r="48" spans="1:25" ht="15.95" customHeight="1" x14ac:dyDescent="0.2">
      <c r="A48" s="97"/>
      <c r="B48" s="207">
        <v>484</v>
      </c>
      <c r="C48" s="208">
        <v>22</v>
      </c>
      <c r="D48" s="209">
        <f>'Datos '!H67</f>
        <v>0</v>
      </c>
      <c r="E48" s="209">
        <f t="shared" si="1"/>
        <v>0</v>
      </c>
      <c r="F48" s="221" t="e">
        <f t="shared" si="2"/>
        <v>#REF!</v>
      </c>
      <c r="G48" s="219" t="e">
        <f t="shared" si="3"/>
        <v>#REF!</v>
      </c>
      <c r="H48" s="98"/>
      <c r="I48" s="98"/>
      <c r="J48" s="98"/>
      <c r="K48" s="115"/>
      <c r="L48" s="98"/>
      <c r="M48" s="98"/>
      <c r="N48" s="98"/>
      <c r="O48" s="108"/>
      <c r="V48" s="62">
        <v>5.3639999999999999</v>
      </c>
    </row>
    <row r="49" spans="1:22" ht="17.25" customHeight="1" thickBot="1" x14ac:dyDescent="0.25">
      <c r="A49" s="97"/>
      <c r="B49" s="214">
        <v>1440</v>
      </c>
      <c r="C49" s="122">
        <v>37.947331922020552</v>
      </c>
      <c r="D49" s="400">
        <f>'Datos '!H68</f>
        <v>0</v>
      </c>
      <c r="E49" s="400">
        <f t="shared" si="1"/>
        <v>0</v>
      </c>
      <c r="F49" s="222" t="e">
        <f t="shared" si="2"/>
        <v>#REF!</v>
      </c>
      <c r="G49" s="220" t="e">
        <f t="shared" si="3"/>
        <v>#REF!</v>
      </c>
      <c r="H49" s="409"/>
      <c r="I49" s="409"/>
      <c r="J49" s="409"/>
      <c r="K49" s="98"/>
      <c r="L49" s="156"/>
      <c r="M49" s="156"/>
      <c r="N49" s="215"/>
      <c r="O49" s="216"/>
      <c r="P49" s="78"/>
      <c r="V49" s="62">
        <v>5.3819999999999997</v>
      </c>
    </row>
    <row r="50" spans="1:22" x14ac:dyDescent="0.2">
      <c r="A50" s="97"/>
      <c r="B50" s="98"/>
      <c r="C50" s="98"/>
      <c r="D50" s="98"/>
      <c r="E50" s="98"/>
      <c r="F50" s="98"/>
      <c r="G50" s="98"/>
      <c r="H50" s="98"/>
      <c r="I50" s="98"/>
      <c r="J50" s="98"/>
      <c r="K50" s="98"/>
      <c r="L50" s="98"/>
      <c r="M50" s="98"/>
      <c r="N50" s="98"/>
      <c r="O50" s="108"/>
    </row>
    <row r="51" spans="1:22" ht="18" customHeight="1" x14ac:dyDescent="0.2">
      <c r="A51" s="173"/>
      <c r="B51" s="581" t="s">
        <v>195</v>
      </c>
      <c r="C51" s="581"/>
      <c r="D51" s="581"/>
      <c r="E51" s="581"/>
      <c r="F51" s="581"/>
      <c r="G51" s="581"/>
      <c r="H51" s="581"/>
      <c r="I51" s="581"/>
      <c r="J51" s="581"/>
      <c r="K51" s="581"/>
      <c r="L51" s="581"/>
      <c r="M51" s="581"/>
      <c r="N51" s="581"/>
      <c r="O51" s="108"/>
    </row>
    <row r="52" spans="1:22" ht="15.75" customHeight="1" x14ac:dyDescent="0.2">
      <c r="A52" s="173"/>
      <c r="B52" s="582" t="s">
        <v>196</v>
      </c>
      <c r="C52" s="582"/>
      <c r="D52" s="582"/>
      <c r="E52" s="582"/>
      <c r="F52" s="582"/>
      <c r="G52" s="582"/>
      <c r="H52" s="582"/>
      <c r="I52" s="582"/>
      <c r="J52" s="582"/>
      <c r="K52" s="582"/>
      <c r="L52" s="582"/>
      <c r="M52" s="582"/>
      <c r="N52" s="582"/>
      <c r="O52" s="217"/>
    </row>
    <row r="53" spans="1:22" ht="15.75" customHeight="1" x14ac:dyDescent="0.2">
      <c r="A53" s="173"/>
      <c r="B53" s="582"/>
      <c r="C53" s="582"/>
      <c r="D53" s="582"/>
      <c r="E53" s="582"/>
      <c r="F53" s="582"/>
      <c r="G53" s="582"/>
      <c r="H53" s="582"/>
      <c r="I53" s="582"/>
      <c r="J53" s="582"/>
      <c r="K53" s="582"/>
      <c r="L53" s="582"/>
      <c r="M53" s="582"/>
      <c r="N53" s="582"/>
      <c r="O53" s="217"/>
    </row>
    <row r="54" spans="1:22" ht="12.75" customHeight="1" x14ac:dyDescent="0.2">
      <c r="A54" s="173"/>
      <c r="B54" s="582"/>
      <c r="C54" s="582"/>
      <c r="D54" s="582"/>
      <c r="E54" s="582"/>
      <c r="F54" s="582"/>
      <c r="G54" s="582"/>
      <c r="H54" s="582"/>
      <c r="I54" s="582"/>
      <c r="J54" s="582"/>
      <c r="K54" s="582"/>
      <c r="L54" s="582"/>
      <c r="M54" s="582"/>
      <c r="N54" s="582"/>
      <c r="O54" s="108"/>
    </row>
    <row r="55" spans="1:22" x14ac:dyDescent="0.2">
      <c r="A55" s="173"/>
      <c r="B55" s="582"/>
      <c r="C55" s="582"/>
      <c r="D55" s="582"/>
      <c r="E55" s="582"/>
      <c r="F55" s="582"/>
      <c r="G55" s="582"/>
      <c r="H55" s="582"/>
      <c r="I55" s="582"/>
      <c r="J55" s="582"/>
      <c r="K55" s="582"/>
      <c r="L55" s="582"/>
      <c r="M55" s="582"/>
      <c r="N55" s="582"/>
      <c r="O55" s="108"/>
    </row>
    <row r="56" spans="1:22" x14ac:dyDescent="0.2">
      <c r="A56" s="97"/>
      <c r="B56" s="582"/>
      <c r="C56" s="582"/>
      <c r="D56" s="582"/>
      <c r="E56" s="582"/>
      <c r="F56" s="582"/>
      <c r="G56" s="582"/>
      <c r="H56" s="582"/>
      <c r="I56" s="582"/>
      <c r="J56" s="582"/>
      <c r="K56" s="582"/>
      <c r="L56" s="582"/>
      <c r="M56" s="582"/>
      <c r="N56" s="582"/>
      <c r="O56" s="108"/>
    </row>
    <row r="57" spans="1:22" x14ac:dyDescent="0.2">
      <c r="A57" s="627"/>
      <c r="B57" s="628"/>
      <c r="C57" s="628"/>
      <c r="D57" s="628"/>
      <c r="E57" s="628"/>
      <c r="F57" s="628"/>
      <c r="G57" s="628"/>
      <c r="H57" s="628"/>
      <c r="I57" s="628"/>
      <c r="J57" s="628"/>
      <c r="K57" s="223"/>
      <c r="L57" s="223"/>
      <c r="M57" s="223"/>
      <c r="N57" s="223"/>
      <c r="O57" s="224"/>
    </row>
    <row r="58" spans="1:22" ht="15.75" thickBot="1" x14ac:dyDescent="0.25">
      <c r="A58" s="625"/>
      <c r="B58" s="626"/>
      <c r="C58" s="626"/>
      <c r="D58" s="626"/>
      <c r="E58" s="626"/>
      <c r="F58" s="626"/>
      <c r="G58" s="626"/>
      <c r="H58" s="626"/>
      <c r="I58" s="626"/>
      <c r="J58" s="626"/>
      <c r="K58" s="225"/>
      <c r="L58" s="225"/>
      <c r="M58" s="225"/>
      <c r="N58" s="225"/>
      <c r="O58" s="226"/>
    </row>
    <row r="61" spans="1:22" ht="15.75" thickBot="1" x14ac:dyDescent="0.25"/>
    <row r="62" spans="1:22" x14ac:dyDescent="0.2">
      <c r="Q62" s="69"/>
      <c r="R62" s="70"/>
      <c r="S62" s="70"/>
      <c r="T62" s="70"/>
      <c r="U62" s="70"/>
      <c r="V62" s="71"/>
    </row>
    <row r="63" spans="1:22" x14ac:dyDescent="0.2">
      <c r="Q63" s="63"/>
      <c r="V63" s="64"/>
    </row>
    <row r="64" spans="1:22" x14ac:dyDescent="0.2">
      <c r="Q64" s="63"/>
      <c r="V64" s="64"/>
    </row>
    <row r="65" spans="17:22" x14ac:dyDescent="0.2">
      <c r="Q65" s="63"/>
      <c r="V65" s="64"/>
    </row>
    <row r="66" spans="17:22" x14ac:dyDescent="0.2">
      <c r="Q66" s="79" t="s">
        <v>87</v>
      </c>
      <c r="R66" s="80" t="s">
        <v>88</v>
      </c>
      <c r="S66" s="80" t="s">
        <v>89</v>
      </c>
      <c r="T66" s="80" t="s">
        <v>90</v>
      </c>
      <c r="U66" s="80" t="s">
        <v>91</v>
      </c>
      <c r="V66" s="81" t="s">
        <v>92</v>
      </c>
    </row>
    <row r="67" spans="17:22" ht="15.75" x14ac:dyDescent="0.2">
      <c r="Q67" s="82">
        <v>5</v>
      </c>
      <c r="R67" s="83" t="e">
        <f>VLOOKUP(Q67,C19:G34,4)</f>
        <v>#REF!</v>
      </c>
      <c r="S67" s="84" t="e">
        <f>+Q67+((U67-Q67)/(V67-R67))*(T67-R67)</f>
        <v>#REF!</v>
      </c>
      <c r="T67" s="84">
        <f>+L41</f>
        <v>0</v>
      </c>
      <c r="U67" s="85">
        <v>6</v>
      </c>
      <c r="V67" s="86" t="e">
        <f>VLOOKUP(U67,C19:G34,4)</f>
        <v>#REF!</v>
      </c>
    </row>
    <row r="68" spans="17:22" ht="15.75" thickBot="1" x14ac:dyDescent="0.25">
      <c r="Q68" s="73"/>
      <c r="R68" s="74"/>
      <c r="S68" s="74"/>
      <c r="T68" s="74"/>
      <c r="U68" s="74"/>
      <c r="V68" s="75"/>
    </row>
  </sheetData>
  <mergeCells count="64">
    <mergeCell ref="L32:N32"/>
    <mergeCell ref="L35:N35"/>
    <mergeCell ref="L37:N37"/>
    <mergeCell ref="B51:N51"/>
    <mergeCell ref="N23:N24"/>
    <mergeCell ref="L31:N31"/>
    <mergeCell ref="L28:N28"/>
    <mergeCell ref="L29:N29"/>
    <mergeCell ref="L18:N18"/>
    <mergeCell ref="L19:M20"/>
    <mergeCell ref="N19:N20"/>
    <mergeCell ref="L21:M22"/>
    <mergeCell ref="N21:N22"/>
    <mergeCell ref="A57:J57"/>
    <mergeCell ref="A58:J58"/>
    <mergeCell ref="D13:N13"/>
    <mergeCell ref="D14:N14"/>
    <mergeCell ref="L38:N38"/>
    <mergeCell ref="L44:N44"/>
    <mergeCell ref="L40:N40"/>
    <mergeCell ref="L41:N41"/>
    <mergeCell ref="L43:N43"/>
    <mergeCell ref="L47:N47"/>
    <mergeCell ref="L46:N46"/>
    <mergeCell ref="L34:N34"/>
    <mergeCell ref="L25:M26"/>
    <mergeCell ref="B52:N56"/>
    <mergeCell ref="L23:M24"/>
    <mergeCell ref="N25:N26"/>
    <mergeCell ref="J9:K9"/>
    <mergeCell ref="M9:N9"/>
    <mergeCell ref="B14:C14"/>
    <mergeCell ref="B13:C13"/>
    <mergeCell ref="B10:C10"/>
    <mergeCell ref="D10:I10"/>
    <mergeCell ref="J10:K10"/>
    <mergeCell ref="B11:M11"/>
    <mergeCell ref="B12:C12"/>
    <mergeCell ref="D12:F12"/>
    <mergeCell ref="J12:K12"/>
    <mergeCell ref="B9:C9"/>
    <mergeCell ref="D9:I9"/>
    <mergeCell ref="L10:N10"/>
    <mergeCell ref="AP3:AS5"/>
    <mergeCell ref="M4:O4"/>
    <mergeCell ref="B5:M5"/>
    <mergeCell ref="A1:D4"/>
    <mergeCell ref="B6:C6"/>
    <mergeCell ref="D6:I6"/>
    <mergeCell ref="J6:K6"/>
    <mergeCell ref="L6:N6"/>
    <mergeCell ref="F2:L4"/>
    <mergeCell ref="F1:L1"/>
    <mergeCell ref="M1:O1"/>
    <mergeCell ref="M2:O2"/>
    <mergeCell ref="M3:O3"/>
    <mergeCell ref="B7:C7"/>
    <mergeCell ref="D7:I7"/>
    <mergeCell ref="J7:K7"/>
    <mergeCell ref="L7:N7"/>
    <mergeCell ref="B8:C8"/>
    <mergeCell ref="D8:I8"/>
    <mergeCell ref="J8:K8"/>
    <mergeCell ref="L8:N8"/>
  </mergeCells>
  <conditionalFormatting sqref="D12:E14">
    <cfRule type="containsBlanks" dxfId="21" priority="3">
      <formula>LEN(TRIM(D12))=0</formula>
    </cfRule>
  </conditionalFormatting>
  <conditionalFormatting sqref="D12:G12">
    <cfRule type="containsBlanks" dxfId="20" priority="1">
      <formula>LEN(TRIM(D12))=0</formula>
    </cfRule>
    <cfRule type="containsBlanks" dxfId="19" priority="2">
      <formula>LEN(TRIM(D12))=0</formula>
    </cfRule>
  </conditionalFormatting>
  <conditionalFormatting sqref="D6:I10">
    <cfRule type="containsBlanks" dxfId="18" priority="7">
      <formula>LEN(TRIM(D6))=0</formula>
    </cfRule>
  </conditionalFormatting>
  <conditionalFormatting sqref="D6:J10 L6:N6 L7:L8 M9 G12:J12 L12:N12 D13:E14 B6:B10 B12:B14">
    <cfRule type="containsBlanks" dxfId="17" priority="8">
      <formula>LEN(TRIM(B6))=0</formula>
    </cfRule>
  </conditionalFormatting>
  <conditionalFormatting sqref="L6:N8 M9 I12 L12 N12 D13:E14">
    <cfRule type="containsBlanks" dxfId="16" priority="6">
      <formula>LEN(TRIM(D6))=0</formula>
    </cfRule>
  </conditionalFormatting>
  <conditionalFormatting sqref="L6:N8 M9 I12 L12 N12">
    <cfRule type="containsBlanks" dxfId="15" priority="4">
      <formula>LEN(TRIM(I6))=0</formula>
    </cfRule>
  </conditionalFormatting>
  <printOptions horizontalCentered="1" verticalCentered="1" gridLinesSet="0"/>
  <pageMargins left="0.19685039370078741" right="0.19685039370078741" top="0.19685039370078741" bottom="0.39370078740157483" header="0.31496062992125984" footer="0.31496062992125984"/>
  <pageSetup scale="57" orientation="landscape" r:id="rId1"/>
  <headerFooter alignWithMargins="0">
    <oddFooter>&amp;CGEODELTA INGENIERÍA 
Barrio el laurel, Móvil: 3187902368 Bogotá DC - Colombia
e-mail: laboratoriogeodelta@gmail.com</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S68"/>
  <sheetViews>
    <sheetView showGridLines="0" view="pageBreakPreview" zoomScaleNormal="100" zoomScaleSheetLayoutView="100" workbookViewId="0">
      <selection sqref="A1:D4"/>
    </sheetView>
  </sheetViews>
  <sheetFormatPr baseColWidth="10" defaultColWidth="11.42578125" defaultRowHeight="15" x14ac:dyDescent="0.2"/>
  <cols>
    <col min="1" max="1" width="3.28515625" style="62" customWidth="1"/>
    <col min="2" max="2" width="14.42578125" style="62" customWidth="1"/>
    <col min="3" max="3" width="15.28515625" style="62" customWidth="1"/>
    <col min="4" max="4" width="19" style="62" customWidth="1"/>
    <col min="5" max="5" width="18" style="62" customWidth="1"/>
    <col min="6" max="6" width="17.85546875" style="62" customWidth="1"/>
    <col min="7" max="7" width="17.7109375" style="62" customWidth="1"/>
    <col min="8" max="8" width="18.5703125" style="62" bestFit="1" customWidth="1"/>
    <col min="9" max="9" width="22.85546875" style="62" customWidth="1"/>
    <col min="10" max="10" width="21.140625" style="62" customWidth="1"/>
    <col min="11" max="11" width="8.28515625" style="62" customWidth="1"/>
    <col min="12" max="14" width="13.7109375" style="62" customWidth="1"/>
    <col min="15" max="15" width="2" style="62" customWidth="1"/>
    <col min="16" max="16384" width="11.42578125" style="62"/>
  </cols>
  <sheetData>
    <row r="1" spans="1:45" s="36" customFormat="1" ht="17.25" customHeight="1" x14ac:dyDescent="0.2">
      <c r="A1" s="532"/>
      <c r="B1" s="533"/>
      <c r="C1" s="533"/>
      <c r="D1" s="726"/>
      <c r="E1" s="397"/>
      <c r="F1" s="546" t="s">
        <v>119</v>
      </c>
      <c r="G1" s="546"/>
      <c r="H1" s="546"/>
      <c r="I1" s="546"/>
      <c r="J1" s="546"/>
      <c r="K1" s="546"/>
      <c r="L1" s="622"/>
      <c r="M1" s="614" t="str">
        <f>Resultados!O1</f>
        <v>CÓDIGO: GDA-FLC-009</v>
      </c>
      <c r="N1" s="615"/>
      <c r="O1" s="616"/>
      <c r="P1" s="35"/>
      <c r="Q1" s="35"/>
      <c r="R1" s="35" t="s">
        <v>126</v>
      </c>
      <c r="S1" s="35"/>
      <c r="T1" s="35"/>
      <c r="U1" s="35"/>
      <c r="V1" s="35"/>
      <c r="W1" s="35"/>
      <c r="Z1" s="37" t="s">
        <v>120</v>
      </c>
      <c r="AA1" s="36" t="s">
        <v>121</v>
      </c>
    </row>
    <row r="2" spans="1:45" s="36" customFormat="1" ht="17.25" customHeight="1" x14ac:dyDescent="0.2">
      <c r="A2" s="534"/>
      <c r="B2" s="725"/>
      <c r="C2" s="725"/>
      <c r="D2" s="727"/>
      <c r="E2" s="67"/>
      <c r="F2" s="638" t="s">
        <v>185</v>
      </c>
      <c r="G2" s="638"/>
      <c r="H2" s="638"/>
      <c r="I2" s="638"/>
      <c r="J2" s="638"/>
      <c r="K2" s="638"/>
      <c r="L2" s="639"/>
      <c r="M2" s="617" t="str">
        <f>Resultados!O2</f>
        <v>VERSIÓN :03</v>
      </c>
      <c r="N2" s="618"/>
      <c r="O2" s="619"/>
      <c r="P2" s="35"/>
      <c r="Q2" s="35"/>
      <c r="R2" s="35" t="s">
        <v>174</v>
      </c>
      <c r="S2" s="35"/>
      <c r="T2" s="35"/>
      <c r="U2" s="35"/>
      <c r="V2" s="35"/>
      <c r="W2" s="35"/>
      <c r="Z2" s="37" t="s">
        <v>122</v>
      </c>
      <c r="AA2" s="36" t="s">
        <v>123</v>
      </c>
    </row>
    <row r="3" spans="1:45" s="36" customFormat="1" ht="17.25" customHeight="1" x14ac:dyDescent="0.2">
      <c r="A3" s="534"/>
      <c r="B3" s="725"/>
      <c r="C3" s="725"/>
      <c r="D3" s="727"/>
      <c r="E3" s="67"/>
      <c r="F3" s="638"/>
      <c r="G3" s="638"/>
      <c r="H3" s="638"/>
      <c r="I3" s="638"/>
      <c r="J3" s="638"/>
      <c r="K3" s="638"/>
      <c r="L3" s="639"/>
      <c r="M3" s="617" t="s">
        <v>181</v>
      </c>
      <c r="N3" s="618"/>
      <c r="O3" s="619"/>
      <c r="P3" s="35"/>
      <c r="Q3" s="35"/>
      <c r="R3" s="35" t="s">
        <v>131</v>
      </c>
      <c r="S3" s="35"/>
      <c r="T3" s="35"/>
      <c r="U3" s="35"/>
      <c r="V3" s="35"/>
      <c r="W3" s="35"/>
      <c r="AP3" s="620" t="s">
        <v>124</v>
      </c>
      <c r="AQ3" s="620"/>
      <c r="AR3" s="620"/>
      <c r="AS3" s="620"/>
    </row>
    <row r="4" spans="1:45" s="36" customFormat="1" ht="17.25" customHeight="1" thickBot="1" x14ac:dyDescent="0.25">
      <c r="A4" s="535"/>
      <c r="B4" s="536"/>
      <c r="C4" s="536"/>
      <c r="D4" s="621"/>
      <c r="E4" s="398"/>
      <c r="F4" s="640"/>
      <c r="G4" s="640"/>
      <c r="H4" s="640"/>
      <c r="I4" s="640"/>
      <c r="J4" s="640"/>
      <c r="K4" s="640"/>
      <c r="L4" s="641"/>
      <c r="M4" s="535" t="str">
        <f>Resultados!O4</f>
        <v>FECHA: 08-08-2025</v>
      </c>
      <c r="N4" s="536"/>
      <c r="O4" s="621"/>
      <c r="P4" s="35"/>
      <c r="Q4" s="35"/>
      <c r="R4" s="35" t="s">
        <v>135</v>
      </c>
      <c r="S4" s="35"/>
      <c r="T4" s="35"/>
      <c r="U4" s="35"/>
      <c r="V4" s="35"/>
      <c r="W4" s="35"/>
      <c r="AP4" s="620"/>
      <c r="AQ4" s="620"/>
      <c r="AR4" s="620"/>
      <c r="AS4" s="620"/>
    </row>
    <row r="5" spans="1:45" s="36" customFormat="1" ht="3.95" customHeight="1" thickBot="1" x14ac:dyDescent="0.25">
      <c r="A5" s="38"/>
      <c r="B5" s="528"/>
      <c r="C5" s="528"/>
      <c r="D5" s="528"/>
      <c r="E5" s="528"/>
      <c r="F5" s="528"/>
      <c r="G5" s="528"/>
      <c r="H5" s="528"/>
      <c r="I5" s="528"/>
      <c r="J5" s="528"/>
      <c r="K5" s="528"/>
      <c r="L5" s="528"/>
      <c r="M5" s="528"/>
      <c r="N5" s="40"/>
      <c r="O5" s="41"/>
      <c r="P5" s="42"/>
      <c r="Q5" s="42"/>
      <c r="R5" s="42" t="s">
        <v>138</v>
      </c>
      <c r="S5" s="42"/>
      <c r="T5" s="42"/>
      <c r="U5" s="42"/>
      <c r="V5" s="42"/>
      <c r="W5" s="42"/>
      <c r="AP5" s="620"/>
      <c r="AQ5" s="620"/>
      <c r="AR5" s="620"/>
      <c r="AS5" s="620"/>
    </row>
    <row r="6" spans="1:45" s="36" customFormat="1" ht="22.5" customHeight="1" x14ac:dyDescent="0.2">
      <c r="A6" s="34"/>
      <c r="B6" s="524" t="s">
        <v>0</v>
      </c>
      <c r="C6" s="524"/>
      <c r="D6" s="629">
        <f>Resultados!D6</f>
        <v>0</v>
      </c>
      <c r="E6" s="629"/>
      <c r="F6" s="629"/>
      <c r="G6" s="629"/>
      <c r="H6" s="629"/>
      <c r="I6" s="629"/>
      <c r="J6" s="531" t="s">
        <v>125</v>
      </c>
      <c r="K6" s="531"/>
      <c r="L6" s="637">
        <f>Resultados!M6</f>
        <v>0</v>
      </c>
      <c r="M6" s="637"/>
      <c r="N6" s="637"/>
      <c r="O6" s="44"/>
      <c r="P6" s="45"/>
      <c r="Q6" s="45"/>
      <c r="R6" s="45"/>
      <c r="S6" s="45"/>
      <c r="T6" s="45"/>
      <c r="U6" s="45"/>
      <c r="V6" s="45"/>
      <c r="W6" s="45"/>
      <c r="AP6" s="46" t="s">
        <v>126</v>
      </c>
      <c r="AQ6" s="37"/>
      <c r="AR6" s="37"/>
      <c r="AS6" s="37"/>
    </row>
    <row r="7" spans="1:45" s="36" customFormat="1" ht="27" customHeight="1" x14ac:dyDescent="0.2">
      <c r="A7" s="38"/>
      <c r="B7" s="516" t="s">
        <v>1</v>
      </c>
      <c r="C7" s="516"/>
      <c r="D7" s="612">
        <f>Resultados!D7</f>
        <v>0</v>
      </c>
      <c r="E7" s="612"/>
      <c r="F7" s="612"/>
      <c r="G7" s="612"/>
      <c r="H7" s="612"/>
      <c r="I7" s="612"/>
      <c r="J7" s="520" t="s">
        <v>127</v>
      </c>
      <c r="K7" s="520"/>
      <c r="L7" s="613">
        <f>Resultados!M7</f>
        <v>0</v>
      </c>
      <c r="M7" s="613"/>
      <c r="N7" s="613"/>
      <c r="O7" s="47"/>
      <c r="P7" s="45"/>
      <c r="Q7" s="45"/>
      <c r="R7" s="45"/>
      <c r="S7" s="45"/>
      <c r="T7" s="45"/>
      <c r="U7" s="45"/>
      <c r="V7" s="45"/>
      <c r="W7" s="45"/>
      <c r="AP7" s="46" t="s">
        <v>128</v>
      </c>
      <c r="AQ7" s="37"/>
      <c r="AR7" s="37"/>
      <c r="AS7" s="37"/>
    </row>
    <row r="8" spans="1:45" s="36" customFormat="1" ht="22.5" customHeight="1" x14ac:dyDescent="0.2">
      <c r="A8" s="38"/>
      <c r="B8" s="516" t="s">
        <v>129</v>
      </c>
      <c r="C8" s="516"/>
      <c r="D8" s="560">
        <f>Resultados!D8</f>
        <v>0</v>
      </c>
      <c r="E8" s="560"/>
      <c r="F8" s="560"/>
      <c r="G8" s="560"/>
      <c r="H8" s="560"/>
      <c r="I8" s="560"/>
      <c r="J8" s="520" t="s">
        <v>130</v>
      </c>
      <c r="K8" s="520"/>
      <c r="L8" s="613">
        <f>Resultados!M8</f>
        <v>0</v>
      </c>
      <c r="M8" s="613"/>
      <c r="N8" s="613"/>
      <c r="O8" s="47"/>
      <c r="P8" s="45"/>
      <c r="Q8" s="45"/>
      <c r="R8" s="45"/>
      <c r="S8" s="45"/>
      <c r="T8" s="45"/>
      <c r="U8" s="45"/>
      <c r="V8" s="45"/>
      <c r="W8" s="45"/>
      <c r="AP8" s="46" t="s">
        <v>131</v>
      </c>
      <c r="AQ8" s="37"/>
      <c r="AR8" s="37"/>
      <c r="AS8" s="37"/>
    </row>
    <row r="9" spans="1:45" s="36" customFormat="1" ht="15.75" customHeight="1" x14ac:dyDescent="0.2">
      <c r="A9" s="38"/>
      <c r="B9" s="516" t="s">
        <v>132</v>
      </c>
      <c r="C9" s="516"/>
      <c r="D9" s="560">
        <f>Resultados!D9</f>
        <v>0</v>
      </c>
      <c r="E9" s="560"/>
      <c r="F9" s="560"/>
      <c r="G9" s="560"/>
      <c r="H9" s="560"/>
      <c r="I9" s="560"/>
      <c r="J9" s="520" t="s">
        <v>133</v>
      </c>
      <c r="K9" s="520"/>
      <c r="L9" s="48" t="s">
        <v>134</v>
      </c>
      <c r="M9" s="632" t="str">
        <f>_xlfn.CONCAT(Resultados!N9," ","-"," ",Resultados!P9)</f>
        <v xml:space="preserve"> - </v>
      </c>
      <c r="N9" s="633"/>
      <c r="O9" s="47"/>
      <c r="P9" s="45">
        <v>25</v>
      </c>
      <c r="Q9" s="45"/>
      <c r="R9" s="45"/>
      <c r="S9" s="45"/>
      <c r="T9" s="45"/>
      <c r="U9" s="45"/>
      <c r="V9" s="45"/>
      <c r="W9" s="45"/>
      <c r="AP9" s="46" t="s">
        <v>135</v>
      </c>
      <c r="AQ9" s="37"/>
      <c r="AR9" s="37"/>
      <c r="AS9" s="37"/>
    </row>
    <row r="10" spans="1:45" s="36" customFormat="1" ht="22.5" customHeight="1" x14ac:dyDescent="0.2">
      <c r="A10" s="38"/>
      <c r="B10" s="550" t="s">
        <v>136</v>
      </c>
      <c r="C10" s="550"/>
      <c r="D10" s="560">
        <f>Resultados!D10</f>
        <v>0</v>
      </c>
      <c r="E10" s="560"/>
      <c r="F10" s="560"/>
      <c r="G10" s="560"/>
      <c r="H10" s="560"/>
      <c r="I10" s="560"/>
      <c r="J10" s="561" t="s">
        <v>137</v>
      </c>
      <c r="K10" s="561"/>
      <c r="L10" s="560" t="str">
        <f>Resultados!M10</f>
        <v xml:space="preserve"> --</v>
      </c>
      <c r="M10" s="560"/>
      <c r="N10" s="560"/>
      <c r="O10" s="49"/>
      <c r="P10" s="50"/>
      <c r="Q10" s="50"/>
      <c r="R10" s="50"/>
      <c r="S10" s="50"/>
      <c r="T10" s="50"/>
      <c r="U10" s="50"/>
      <c r="V10" s="50"/>
      <c r="W10" s="50"/>
      <c r="AP10" s="46" t="s">
        <v>138</v>
      </c>
      <c r="AQ10" s="37"/>
      <c r="AR10" s="37"/>
      <c r="AS10" s="37"/>
    </row>
    <row r="11" spans="1:45" s="36" customFormat="1" ht="3.95" customHeight="1" thickBot="1" x14ac:dyDescent="0.25">
      <c r="A11" s="38"/>
      <c r="B11" s="525"/>
      <c r="C11" s="525"/>
      <c r="D11" s="525"/>
      <c r="E11" s="525"/>
      <c r="F11" s="525"/>
      <c r="G11" s="525"/>
      <c r="H11" s="525"/>
      <c r="I11" s="525"/>
      <c r="J11" s="525"/>
      <c r="K11" s="525"/>
      <c r="L11" s="525"/>
      <c r="M11" s="525"/>
      <c r="N11" s="51"/>
      <c r="O11" s="41"/>
      <c r="P11" s="42"/>
      <c r="Q11" s="42"/>
      <c r="R11" s="42"/>
      <c r="S11" s="42"/>
      <c r="T11" s="42"/>
      <c r="U11" s="42"/>
      <c r="V11" s="42"/>
      <c r="W11" s="42"/>
      <c r="AP11" s="46"/>
      <c r="AQ11" s="37"/>
      <c r="AR11" s="37"/>
      <c r="AS11" s="37"/>
    </row>
    <row r="12" spans="1:45" s="36" customFormat="1" ht="22.5" customHeight="1" x14ac:dyDescent="0.2">
      <c r="A12" s="34"/>
      <c r="B12" s="524" t="s">
        <v>2</v>
      </c>
      <c r="C12" s="524"/>
      <c r="D12" s="611">
        <f>Resultados!X2</f>
        <v>0</v>
      </c>
      <c r="E12" s="611"/>
      <c r="F12" s="611"/>
      <c r="G12" s="399">
        <f>Resultados!F12</f>
        <v>0</v>
      </c>
      <c r="H12" s="88" t="s">
        <v>139</v>
      </c>
      <c r="I12" s="92">
        <f>Resultados!I12</f>
        <v>0</v>
      </c>
      <c r="J12" s="558" t="s">
        <v>140</v>
      </c>
      <c r="K12" s="558"/>
      <c r="L12" s="95">
        <f>Resultados!M12</f>
        <v>0</v>
      </c>
      <c r="M12" s="54" t="s">
        <v>141</v>
      </c>
      <c r="N12" s="96">
        <f>Resultados!O12</f>
        <v>0</v>
      </c>
      <c r="O12" s="55">
        <v>2.75</v>
      </c>
      <c r="P12" s="56"/>
      <c r="Q12" s="56"/>
      <c r="R12" s="56"/>
      <c r="S12" s="56"/>
      <c r="T12" s="56"/>
      <c r="U12" s="56"/>
      <c r="V12" s="56"/>
      <c r="W12" s="56"/>
      <c r="AP12" s="46"/>
      <c r="AQ12" s="37"/>
      <c r="AR12" s="37"/>
      <c r="AS12" s="37"/>
    </row>
    <row r="13" spans="1:45" s="36" customFormat="1" ht="22.5" customHeight="1" x14ac:dyDescent="0.2">
      <c r="A13" s="38"/>
      <c r="B13" s="516" t="s">
        <v>142</v>
      </c>
      <c r="C13" s="516"/>
      <c r="D13" s="630">
        <f>Resultados!D13</f>
        <v>0</v>
      </c>
      <c r="E13" s="630"/>
      <c r="F13" s="630"/>
      <c r="G13" s="630"/>
      <c r="H13" s="630"/>
      <c r="I13" s="630"/>
      <c r="J13" s="630"/>
      <c r="K13" s="630"/>
      <c r="L13" s="630"/>
      <c r="M13" s="630"/>
      <c r="N13" s="630"/>
      <c r="O13" s="57"/>
      <c r="P13" s="58"/>
      <c r="Q13" s="58"/>
      <c r="R13" s="58"/>
      <c r="S13" s="58"/>
      <c r="T13" s="58"/>
      <c r="U13" s="58"/>
      <c r="V13" s="58"/>
      <c r="W13" s="58"/>
      <c r="AP13" s="46"/>
      <c r="AQ13" s="37"/>
      <c r="AR13" s="37"/>
      <c r="AS13" s="37"/>
    </row>
    <row r="14" spans="1:45" s="36" customFormat="1" ht="22.5" customHeight="1" x14ac:dyDescent="0.2">
      <c r="A14" s="38"/>
      <c r="B14" s="516" t="s">
        <v>143</v>
      </c>
      <c r="C14" s="516"/>
      <c r="D14" s="560">
        <f>Resultados!D14</f>
        <v>0</v>
      </c>
      <c r="E14" s="560"/>
      <c r="F14" s="560"/>
      <c r="G14" s="560"/>
      <c r="H14" s="560"/>
      <c r="I14" s="560"/>
      <c r="J14" s="560"/>
      <c r="K14" s="560"/>
      <c r="L14" s="560"/>
      <c r="M14" s="560"/>
      <c r="N14" s="560"/>
      <c r="O14" s="49"/>
      <c r="P14" s="50"/>
      <c r="Q14" s="50"/>
      <c r="R14" s="50"/>
      <c r="S14" s="50"/>
      <c r="T14" s="50"/>
      <c r="U14" s="50"/>
      <c r="V14" s="50"/>
      <c r="W14" s="50"/>
      <c r="AP14" s="46"/>
      <c r="AQ14" s="37"/>
      <c r="AR14" s="37"/>
      <c r="AS14" s="37"/>
    </row>
    <row r="15" spans="1:45" s="36" customFormat="1" ht="6.95" customHeight="1" thickBot="1" x14ac:dyDescent="0.25">
      <c r="A15" s="39"/>
      <c r="B15" s="59"/>
      <c r="C15" s="59"/>
      <c r="D15" s="60"/>
      <c r="E15" s="60"/>
      <c r="F15" s="60"/>
      <c r="G15" s="60"/>
      <c r="H15" s="60"/>
      <c r="I15" s="60"/>
      <c r="J15" s="60"/>
      <c r="K15" s="60"/>
      <c r="L15" s="60"/>
      <c r="M15" s="60"/>
      <c r="N15" s="60"/>
      <c r="O15" s="61"/>
      <c r="P15" s="50"/>
      <c r="Q15" s="50"/>
      <c r="R15" s="50"/>
      <c r="S15" s="50"/>
      <c r="T15" s="50"/>
      <c r="U15" s="50"/>
      <c r="V15" s="50"/>
      <c r="W15" s="50"/>
    </row>
    <row r="16" spans="1:45" ht="10.5" customHeight="1" x14ac:dyDescent="0.25">
      <c r="A16" s="97"/>
      <c r="B16" s="196"/>
      <c r="C16" s="197"/>
      <c r="D16" s="197"/>
      <c r="E16" s="197"/>
      <c r="F16" s="198"/>
      <c r="G16" s="199"/>
      <c r="H16" s="99"/>
      <c r="I16" s="200"/>
      <c r="J16" s="200"/>
      <c r="K16" s="200"/>
      <c r="L16" s="200"/>
      <c r="M16" s="200"/>
      <c r="N16" s="200"/>
      <c r="O16" s="201"/>
      <c r="P16" s="68"/>
    </row>
    <row r="17" spans="1:25" ht="8.4499999999999993" customHeight="1" thickBot="1" x14ac:dyDescent="0.3">
      <c r="A17" s="97"/>
      <c r="B17" s="202"/>
      <c r="C17" s="98"/>
      <c r="D17" s="98"/>
      <c r="E17" s="98"/>
      <c r="F17" s="98"/>
      <c r="G17" s="98"/>
      <c r="H17" s="98"/>
      <c r="I17" s="98"/>
      <c r="J17" s="110"/>
      <c r="K17" s="110"/>
      <c r="L17" s="110"/>
      <c r="M17" s="110"/>
      <c r="N17" s="110"/>
      <c r="O17" s="203"/>
      <c r="P17" s="66"/>
    </row>
    <row r="18" spans="1:25" ht="48" customHeight="1" thickBot="1" x14ac:dyDescent="0.3">
      <c r="A18" s="97"/>
      <c r="B18" s="416" t="s">
        <v>67</v>
      </c>
      <c r="C18" s="417" t="s">
        <v>68</v>
      </c>
      <c r="D18" s="417" t="s">
        <v>240</v>
      </c>
      <c r="E18" s="417" t="s">
        <v>241</v>
      </c>
      <c r="F18" s="418" t="s">
        <v>69</v>
      </c>
      <c r="G18" s="419" t="s">
        <v>70</v>
      </c>
      <c r="H18" s="204"/>
      <c r="I18" s="205"/>
      <c r="J18" s="205"/>
      <c r="K18" s="111"/>
      <c r="L18" s="606" t="s">
        <v>64</v>
      </c>
      <c r="M18" s="607"/>
      <c r="N18" s="608"/>
      <c r="O18" s="206"/>
      <c r="X18" s="62">
        <v>0.1626877698164928</v>
      </c>
      <c r="Y18" s="62">
        <f>X18*0.12</f>
        <v>1.9522532377979136E-2</v>
      </c>
    </row>
    <row r="19" spans="1:25" ht="15.95" customHeight="1" x14ac:dyDescent="0.25">
      <c r="A19" s="97"/>
      <c r="B19" s="420">
        <v>0</v>
      </c>
      <c r="C19" s="421">
        <v>0</v>
      </c>
      <c r="D19" s="403">
        <f>MAX('16,0 kg'!D19:D49)</f>
        <v>0</v>
      </c>
      <c r="E19" s="209">
        <f>D19-$D$19</f>
        <v>0</v>
      </c>
      <c r="F19" s="403" t="e">
        <f>MIN('16,0 kg'!F19:F49)</f>
        <v>#REF!</v>
      </c>
      <c r="G19" s="422">
        <v>0</v>
      </c>
      <c r="H19" s="98"/>
      <c r="I19" s="98"/>
      <c r="J19" s="98"/>
      <c r="K19" s="114"/>
      <c r="L19" s="609" t="s">
        <v>161</v>
      </c>
      <c r="M19" s="610"/>
      <c r="N19" s="602">
        <v>0</v>
      </c>
      <c r="O19" s="108"/>
      <c r="Q19" s="69" t="s">
        <v>71</v>
      </c>
      <c r="R19" s="70" t="s">
        <v>72</v>
      </c>
      <c r="S19" s="71"/>
      <c r="X19" s="62">
        <v>0.1701</v>
      </c>
      <c r="Y19" s="62">
        <f t="shared" ref="Y19:Y43" si="0">X19*0.12</f>
        <v>2.0412E-2</v>
      </c>
    </row>
    <row r="20" spans="1:25" ht="15.95" customHeight="1" x14ac:dyDescent="0.25">
      <c r="A20" s="97"/>
      <c r="B20" s="423" t="s">
        <v>73</v>
      </c>
      <c r="C20" s="424">
        <v>0.32</v>
      </c>
      <c r="D20" s="209">
        <f>'Datos '!I39</f>
        <v>0</v>
      </c>
      <c r="E20" s="209">
        <f>D20-$D$19</f>
        <v>0</v>
      </c>
      <c r="F20" s="221" t="e">
        <f>$F$19-E20</f>
        <v>#REF!</v>
      </c>
      <c r="G20" s="425" t="e">
        <f>(E20/$F$19)*100</f>
        <v>#REF!</v>
      </c>
      <c r="H20" s="98"/>
      <c r="I20" s="98"/>
      <c r="J20" s="98"/>
      <c r="K20" s="116"/>
      <c r="L20" s="598"/>
      <c r="M20" s="599"/>
      <c r="N20" s="603"/>
      <c r="O20" s="108"/>
      <c r="Q20" s="63"/>
      <c r="S20" s="64"/>
      <c r="X20" s="62">
        <v>0.17910000000000001</v>
      </c>
      <c r="Y20" s="62">
        <f t="shared" si="0"/>
        <v>2.1492000000000001E-2</v>
      </c>
    </row>
    <row r="21" spans="1:25" ht="15.95" customHeight="1" x14ac:dyDescent="0.25">
      <c r="A21" s="97"/>
      <c r="B21" s="423" t="s">
        <v>74</v>
      </c>
      <c r="C21" s="424">
        <v>0.55000000000000004</v>
      </c>
      <c r="D21" s="209">
        <f>'Datos '!I40</f>
        <v>0</v>
      </c>
      <c r="E21" s="209">
        <f t="shared" ref="E21:E49" si="1">D21-$D$19</f>
        <v>0</v>
      </c>
      <c r="F21" s="221" t="e">
        <f t="shared" ref="F21:F49" si="2">$F$19-E21</f>
        <v>#REF!</v>
      </c>
      <c r="G21" s="425" t="e">
        <f t="shared" ref="G21:G49" si="3">(E21/$F$19)*100</f>
        <v>#REF!</v>
      </c>
      <c r="H21" s="98"/>
      <c r="I21" s="98"/>
      <c r="J21" s="98"/>
      <c r="K21" s="210"/>
      <c r="L21" s="598" t="s">
        <v>162</v>
      </c>
      <c r="M21" s="599"/>
      <c r="N21" s="604">
        <f>(N19+N25)/2</f>
        <v>0</v>
      </c>
      <c r="O21" s="108"/>
      <c r="Q21" s="63" t="s">
        <v>75</v>
      </c>
      <c r="R21" s="62" t="e">
        <f>SLOPE(G21:G27,C21:C27)</f>
        <v>#REF!</v>
      </c>
      <c r="S21" s="64"/>
      <c r="X21" s="62">
        <v>0.19350000000000001</v>
      </c>
      <c r="Y21" s="62">
        <f t="shared" si="0"/>
        <v>2.3220000000000001E-2</v>
      </c>
    </row>
    <row r="22" spans="1:25" ht="15.95" customHeight="1" x14ac:dyDescent="0.2">
      <c r="A22" s="97"/>
      <c r="B22" s="423" t="s">
        <v>76</v>
      </c>
      <c r="C22" s="424">
        <v>0.71</v>
      </c>
      <c r="D22" s="209">
        <f>'Datos '!I41</f>
        <v>0</v>
      </c>
      <c r="E22" s="209">
        <f t="shared" si="1"/>
        <v>0</v>
      </c>
      <c r="F22" s="221" t="e">
        <f t="shared" si="2"/>
        <v>#REF!</v>
      </c>
      <c r="G22" s="425" t="e">
        <f t="shared" si="3"/>
        <v>#REF!</v>
      </c>
      <c r="H22" s="98"/>
      <c r="I22" s="98"/>
      <c r="J22" s="98"/>
      <c r="K22" s="98"/>
      <c r="L22" s="598"/>
      <c r="M22" s="599"/>
      <c r="N22" s="603"/>
      <c r="O22" s="108"/>
      <c r="Q22" s="63" t="s">
        <v>77</v>
      </c>
      <c r="R22" s="62" t="e">
        <f>INTERCEPT(G21:G27,C21:C27)</f>
        <v>#REF!</v>
      </c>
      <c r="S22" s="64"/>
      <c r="X22" s="62">
        <v>0.2079</v>
      </c>
      <c r="Y22" s="62">
        <f t="shared" si="0"/>
        <v>2.4947999999999998E-2</v>
      </c>
    </row>
    <row r="23" spans="1:25" ht="15.95" customHeight="1" x14ac:dyDescent="0.25">
      <c r="A23" s="97"/>
      <c r="B23" s="423">
        <v>1</v>
      </c>
      <c r="C23" s="424">
        <v>1</v>
      </c>
      <c r="D23" s="209">
        <f>'Datos '!I42</f>
        <v>0</v>
      </c>
      <c r="E23" s="209">
        <f t="shared" si="1"/>
        <v>0</v>
      </c>
      <c r="F23" s="221" t="e">
        <f t="shared" si="2"/>
        <v>#REF!</v>
      </c>
      <c r="G23" s="425" t="e">
        <f t="shared" si="3"/>
        <v>#REF!</v>
      </c>
      <c r="H23" s="98"/>
      <c r="I23" s="98"/>
      <c r="J23" s="98"/>
      <c r="K23" s="109"/>
      <c r="L23" s="598" t="s">
        <v>163</v>
      </c>
      <c r="M23" s="599"/>
      <c r="N23" s="604">
        <f>+((0.9)*(N25-N19))+N19</f>
        <v>0</v>
      </c>
      <c r="O23" s="211"/>
      <c r="Q23" s="63"/>
      <c r="S23" s="64"/>
      <c r="X23" s="62">
        <v>0.22950000000000001</v>
      </c>
      <c r="Y23" s="62">
        <f t="shared" si="0"/>
        <v>2.7539999999999999E-2</v>
      </c>
    </row>
    <row r="24" spans="1:25" ht="15.95" customHeight="1" x14ac:dyDescent="0.2">
      <c r="A24" s="97"/>
      <c r="B24" s="423">
        <v>2</v>
      </c>
      <c r="C24" s="424">
        <v>1.4142135623730951</v>
      </c>
      <c r="D24" s="209">
        <f>'Datos '!I43</f>
        <v>0</v>
      </c>
      <c r="E24" s="209">
        <f t="shared" si="1"/>
        <v>0</v>
      </c>
      <c r="F24" s="221" t="e">
        <f t="shared" si="2"/>
        <v>#REF!</v>
      </c>
      <c r="G24" s="425" t="e">
        <f t="shared" si="3"/>
        <v>#REF!</v>
      </c>
      <c r="H24" s="98"/>
      <c r="I24" s="98"/>
      <c r="J24" s="98"/>
      <c r="K24" s="98"/>
      <c r="L24" s="598"/>
      <c r="M24" s="599"/>
      <c r="N24" s="603"/>
      <c r="O24" s="108"/>
      <c r="Q24" s="63" t="s">
        <v>110</v>
      </c>
      <c r="R24" s="62" t="s">
        <v>79</v>
      </c>
      <c r="S24" s="72">
        <v>40</v>
      </c>
      <c r="X24" s="62">
        <v>0.24480000000000002</v>
      </c>
      <c r="Y24" s="62">
        <f t="shared" si="0"/>
        <v>2.9375999999999999E-2</v>
      </c>
    </row>
    <row r="25" spans="1:25" ht="15.95" customHeight="1" thickBot="1" x14ac:dyDescent="0.25">
      <c r="A25" s="97"/>
      <c r="B25" s="423">
        <v>3</v>
      </c>
      <c r="C25" s="424">
        <v>1.7320508075688772</v>
      </c>
      <c r="D25" s="209">
        <f>'Datos '!I44</f>
        <v>0</v>
      </c>
      <c r="E25" s="209">
        <f t="shared" si="1"/>
        <v>0</v>
      </c>
      <c r="F25" s="221" t="e">
        <f t="shared" si="2"/>
        <v>#REF!</v>
      </c>
      <c r="G25" s="425" t="e">
        <f t="shared" si="3"/>
        <v>#REF!</v>
      </c>
      <c r="H25" s="98" t="s">
        <v>168</v>
      </c>
      <c r="I25" s="98"/>
      <c r="J25" s="98" t="s">
        <v>169</v>
      </c>
      <c r="K25" s="98"/>
      <c r="L25" s="598" t="s">
        <v>164</v>
      </c>
      <c r="M25" s="599"/>
      <c r="N25" s="604">
        <f>L41/100</f>
        <v>0</v>
      </c>
      <c r="O25" s="108"/>
      <c r="Q25" s="73" t="s">
        <v>79</v>
      </c>
      <c r="R25" s="74" t="e">
        <f>(S24-R22)/R21</f>
        <v>#REF!</v>
      </c>
      <c r="S25" s="75"/>
      <c r="X25" s="62">
        <v>0.25650000000000001</v>
      </c>
      <c r="Y25" s="62">
        <f t="shared" si="0"/>
        <v>3.0779999999999998E-2</v>
      </c>
    </row>
    <row r="26" spans="1:25" ht="15.95" customHeight="1" thickBot="1" x14ac:dyDescent="0.25">
      <c r="A26" s="97"/>
      <c r="B26" s="423">
        <v>4</v>
      </c>
      <c r="C26" s="424">
        <v>2</v>
      </c>
      <c r="D26" s="209">
        <f>'Datos '!I45</f>
        <v>0</v>
      </c>
      <c r="E26" s="209">
        <f t="shared" si="1"/>
        <v>0</v>
      </c>
      <c r="F26" s="221" t="e">
        <f t="shared" si="2"/>
        <v>#REF!</v>
      </c>
      <c r="G26" s="425" t="e">
        <f t="shared" si="3"/>
        <v>#REF!</v>
      </c>
      <c r="H26" s="98" t="s">
        <v>170</v>
      </c>
      <c r="I26" s="98"/>
      <c r="J26" s="98" t="s">
        <v>171</v>
      </c>
      <c r="K26" s="98"/>
      <c r="L26" s="600"/>
      <c r="M26" s="601"/>
      <c r="N26" s="605"/>
      <c r="O26" s="108"/>
      <c r="X26" s="62">
        <v>0.27179999999999999</v>
      </c>
      <c r="Y26" s="62">
        <f t="shared" si="0"/>
        <v>3.2615999999999999E-2</v>
      </c>
    </row>
    <row r="27" spans="1:25" ht="17.25" customHeight="1" thickBot="1" x14ac:dyDescent="0.25">
      <c r="A27" s="97"/>
      <c r="B27" s="423">
        <v>6</v>
      </c>
      <c r="C27" s="424">
        <v>2.4494897427831779</v>
      </c>
      <c r="D27" s="209">
        <f>'Datos '!I46</f>
        <v>0</v>
      </c>
      <c r="E27" s="209">
        <f t="shared" si="1"/>
        <v>0</v>
      </c>
      <c r="F27" s="221" t="e">
        <f t="shared" si="2"/>
        <v>#REF!</v>
      </c>
      <c r="G27" s="425" t="e">
        <f t="shared" si="3"/>
        <v>#REF!</v>
      </c>
      <c r="H27" s="98"/>
      <c r="I27" s="98"/>
      <c r="J27" s="98"/>
      <c r="K27" s="98"/>
      <c r="L27" s="98"/>
      <c r="M27" s="98"/>
      <c r="N27" s="98"/>
      <c r="O27" s="108"/>
      <c r="Q27" s="69" t="s">
        <v>80</v>
      </c>
      <c r="R27" s="70"/>
      <c r="S27" s="71"/>
      <c r="X27" s="62">
        <v>0.28079999999999999</v>
      </c>
      <c r="Y27" s="62">
        <f t="shared" si="0"/>
        <v>3.3695999999999997E-2</v>
      </c>
    </row>
    <row r="28" spans="1:25" ht="15.95" customHeight="1" thickBot="1" x14ac:dyDescent="0.25">
      <c r="A28" s="97"/>
      <c r="B28" s="423">
        <v>9</v>
      </c>
      <c r="C28" s="424">
        <v>3</v>
      </c>
      <c r="D28" s="209">
        <f>'Datos '!I47</f>
        <v>0</v>
      </c>
      <c r="E28" s="209">
        <f t="shared" si="1"/>
        <v>0</v>
      </c>
      <c r="F28" s="221" t="e">
        <f t="shared" si="2"/>
        <v>#REF!</v>
      </c>
      <c r="G28" s="425" t="e">
        <f t="shared" si="3"/>
        <v>#REF!</v>
      </c>
      <c r="H28" s="98"/>
      <c r="I28" s="98"/>
      <c r="J28" s="98"/>
      <c r="K28" s="98"/>
      <c r="L28" s="648" t="s">
        <v>65</v>
      </c>
      <c r="M28" s="649"/>
      <c r="N28" s="650"/>
      <c r="O28" s="108"/>
      <c r="Q28" s="63"/>
      <c r="S28" s="64"/>
      <c r="X28" s="62">
        <v>0.2853</v>
      </c>
      <c r="Y28" s="62">
        <f t="shared" si="0"/>
        <v>3.4235999999999996E-2</v>
      </c>
    </row>
    <row r="29" spans="1:25" ht="15.95" customHeight="1" thickBot="1" x14ac:dyDescent="0.25">
      <c r="A29" s="97"/>
      <c r="B29" s="423">
        <v>12</v>
      </c>
      <c r="C29" s="424">
        <v>3.4641016151377544</v>
      </c>
      <c r="D29" s="209">
        <f>'Datos '!I48</f>
        <v>0</v>
      </c>
      <c r="E29" s="209">
        <f t="shared" si="1"/>
        <v>0</v>
      </c>
      <c r="F29" s="221" t="e">
        <f t="shared" si="2"/>
        <v>#REF!</v>
      </c>
      <c r="G29" s="425" t="e">
        <f t="shared" si="3"/>
        <v>#REF!</v>
      </c>
      <c r="H29" s="98"/>
      <c r="I29" s="98"/>
      <c r="J29" s="98"/>
      <c r="K29" s="98"/>
      <c r="L29" s="651"/>
      <c r="M29" s="652"/>
      <c r="N29" s="653"/>
      <c r="O29" s="108"/>
      <c r="Q29" s="63" t="s">
        <v>75</v>
      </c>
      <c r="R29" s="62" t="e">
        <f>R21*0.85</f>
        <v>#REF!</v>
      </c>
      <c r="S29" s="64"/>
      <c r="X29" s="62">
        <v>0.28710000000000002</v>
      </c>
      <c r="Y29" s="62">
        <f t="shared" si="0"/>
        <v>3.4452000000000003E-2</v>
      </c>
    </row>
    <row r="30" spans="1:25" ht="15.95" customHeight="1" thickBot="1" x14ac:dyDescent="0.25">
      <c r="A30" s="97"/>
      <c r="B30" s="423">
        <v>16</v>
      </c>
      <c r="C30" s="424">
        <v>4</v>
      </c>
      <c r="D30" s="209">
        <f>'Datos '!I49</f>
        <v>0</v>
      </c>
      <c r="E30" s="209">
        <f t="shared" si="1"/>
        <v>0</v>
      </c>
      <c r="F30" s="221" t="e">
        <f t="shared" si="2"/>
        <v>#REF!</v>
      </c>
      <c r="G30" s="425" t="e">
        <f t="shared" si="3"/>
        <v>#REF!</v>
      </c>
      <c r="H30" s="98"/>
      <c r="I30" s="98"/>
      <c r="J30" s="98"/>
      <c r="K30" s="98"/>
      <c r="L30" s="98"/>
      <c r="M30" s="98"/>
      <c r="N30" s="98"/>
      <c r="O30" s="108"/>
      <c r="Q30" s="63" t="s">
        <v>77</v>
      </c>
      <c r="R30" s="62" t="e">
        <f>R22</f>
        <v>#REF!</v>
      </c>
      <c r="S30" s="64"/>
      <c r="X30" s="62">
        <v>0.28889999999999999</v>
      </c>
      <c r="Y30" s="62">
        <f t="shared" si="0"/>
        <v>3.4667999999999997E-2</v>
      </c>
    </row>
    <row r="31" spans="1:25" ht="15.95" customHeight="1" thickBot="1" x14ac:dyDescent="0.25">
      <c r="A31" s="97"/>
      <c r="B31" s="423">
        <v>25</v>
      </c>
      <c r="C31" s="424">
        <v>5</v>
      </c>
      <c r="D31" s="209">
        <f>'Datos '!I50</f>
        <v>0</v>
      </c>
      <c r="E31" s="209">
        <f t="shared" si="1"/>
        <v>0</v>
      </c>
      <c r="F31" s="221" t="e">
        <f t="shared" si="2"/>
        <v>#REF!</v>
      </c>
      <c r="G31" s="425" t="e">
        <f t="shared" si="3"/>
        <v>#REF!</v>
      </c>
      <c r="H31" s="98"/>
      <c r="I31" s="98"/>
      <c r="J31" s="98"/>
      <c r="K31" s="98"/>
      <c r="L31" s="645" t="s">
        <v>66</v>
      </c>
      <c r="M31" s="646"/>
      <c r="N31" s="647"/>
      <c r="O31" s="108"/>
      <c r="Q31" s="63"/>
      <c r="R31" s="62" t="s">
        <v>78</v>
      </c>
      <c r="S31" s="72">
        <v>40</v>
      </c>
      <c r="X31" s="62">
        <v>0.2898</v>
      </c>
      <c r="Y31" s="62">
        <f t="shared" si="0"/>
        <v>3.4776000000000001E-2</v>
      </c>
    </row>
    <row r="32" spans="1:25" ht="15.95" customHeight="1" thickBot="1" x14ac:dyDescent="0.25">
      <c r="A32" s="97"/>
      <c r="B32" s="423">
        <v>36</v>
      </c>
      <c r="C32" s="424">
        <v>6</v>
      </c>
      <c r="D32" s="209">
        <f>'Datos '!I51</f>
        <v>0</v>
      </c>
      <c r="E32" s="209">
        <f t="shared" si="1"/>
        <v>0</v>
      </c>
      <c r="F32" s="221" t="e">
        <f t="shared" si="2"/>
        <v>#REF!</v>
      </c>
      <c r="G32" s="425" t="e">
        <f t="shared" si="3"/>
        <v>#REF!</v>
      </c>
      <c r="H32" s="98"/>
      <c r="I32" s="98"/>
      <c r="J32" s="98"/>
      <c r="K32" s="98"/>
      <c r="L32" s="595" t="e">
        <f>L29*9.85/Resultados!E22</f>
        <v>#DIV/0!</v>
      </c>
      <c r="M32" s="596"/>
      <c r="N32" s="597"/>
      <c r="O32" s="108"/>
      <c r="Q32" s="73" t="s">
        <v>79</v>
      </c>
      <c r="R32" s="74" t="e">
        <f>(S31-R30)/R29</f>
        <v>#REF!</v>
      </c>
      <c r="S32" s="75"/>
      <c r="X32" s="62">
        <v>0.29025000000000001</v>
      </c>
      <c r="Y32" s="62">
        <f t="shared" si="0"/>
        <v>3.483E-2</v>
      </c>
    </row>
    <row r="33" spans="1:25" ht="15.95" customHeight="1" thickBot="1" x14ac:dyDescent="0.25">
      <c r="A33" s="97"/>
      <c r="B33" s="423">
        <v>49</v>
      </c>
      <c r="C33" s="424">
        <v>7</v>
      </c>
      <c r="D33" s="209">
        <f>'Datos '!I52</f>
        <v>0</v>
      </c>
      <c r="E33" s="209">
        <f t="shared" si="1"/>
        <v>0</v>
      </c>
      <c r="F33" s="221" t="e">
        <f t="shared" si="2"/>
        <v>#REF!</v>
      </c>
      <c r="G33" s="425" t="e">
        <f t="shared" si="3"/>
        <v>#REF!</v>
      </c>
      <c r="H33" s="98"/>
      <c r="I33" s="98"/>
      <c r="J33" s="98"/>
      <c r="K33" s="98"/>
      <c r="L33" s="98"/>
      <c r="M33" s="98"/>
      <c r="N33" s="98"/>
      <c r="O33" s="108"/>
      <c r="X33" s="62">
        <v>0.29070000000000001</v>
      </c>
      <c r="Y33" s="62">
        <f t="shared" si="0"/>
        <v>3.4883999999999998E-2</v>
      </c>
    </row>
    <row r="34" spans="1:25" ht="15.95" customHeight="1" thickBot="1" x14ac:dyDescent="0.3">
      <c r="A34" s="97"/>
      <c r="B34" s="423">
        <v>64</v>
      </c>
      <c r="C34" s="424">
        <v>8</v>
      </c>
      <c r="D34" s="209">
        <f>'Datos '!I53</f>
        <v>0</v>
      </c>
      <c r="E34" s="209">
        <f t="shared" si="1"/>
        <v>0</v>
      </c>
      <c r="F34" s="221" t="e">
        <f t="shared" si="2"/>
        <v>#REF!</v>
      </c>
      <c r="G34" s="425" t="e">
        <f t="shared" si="3"/>
        <v>#REF!</v>
      </c>
      <c r="H34" s="98"/>
      <c r="I34" s="98"/>
      <c r="J34" s="98"/>
      <c r="K34" s="98"/>
      <c r="L34" s="642" t="s">
        <v>84</v>
      </c>
      <c r="M34" s="643"/>
      <c r="N34" s="644"/>
      <c r="O34" s="108"/>
      <c r="Q34" s="69" t="s">
        <v>81</v>
      </c>
      <c r="R34" s="71"/>
      <c r="X34" s="62">
        <v>0.29115000000000002</v>
      </c>
      <c r="Y34" s="62">
        <f t="shared" si="0"/>
        <v>3.4938000000000004E-2</v>
      </c>
    </row>
    <row r="35" spans="1:25" ht="15.95" customHeight="1" thickBot="1" x14ac:dyDescent="0.25">
      <c r="A35" s="97"/>
      <c r="B35" s="423">
        <v>81</v>
      </c>
      <c r="C35" s="424">
        <v>9</v>
      </c>
      <c r="D35" s="209">
        <f>'Datos '!I54</f>
        <v>0</v>
      </c>
      <c r="E35" s="209">
        <f t="shared" si="1"/>
        <v>0</v>
      </c>
      <c r="F35" s="221" t="e">
        <f t="shared" si="2"/>
        <v>#REF!</v>
      </c>
      <c r="G35" s="425" t="e">
        <f t="shared" si="3"/>
        <v>#REF!</v>
      </c>
      <c r="H35" s="212"/>
      <c r="I35" s="98"/>
      <c r="J35" s="98"/>
      <c r="K35" s="98"/>
      <c r="L35" s="583">
        <f>LOOKUP(L38,C19:C49,G19:G49)</f>
        <v>0</v>
      </c>
      <c r="M35" s="584"/>
      <c r="N35" s="585"/>
      <c r="O35" s="108"/>
      <c r="Q35" s="63"/>
      <c r="R35" s="64"/>
      <c r="X35" s="62">
        <v>0.29160000000000003</v>
      </c>
      <c r="Y35" s="62">
        <f t="shared" si="0"/>
        <v>3.4992000000000002E-2</v>
      </c>
    </row>
    <row r="36" spans="1:25" ht="15.95" customHeight="1" thickBot="1" x14ac:dyDescent="0.25">
      <c r="A36" s="97"/>
      <c r="B36" s="423">
        <v>100</v>
      </c>
      <c r="C36" s="424">
        <v>10</v>
      </c>
      <c r="D36" s="209">
        <f>'Datos '!I55</f>
        <v>0</v>
      </c>
      <c r="E36" s="209">
        <f t="shared" si="1"/>
        <v>0</v>
      </c>
      <c r="F36" s="221" t="e">
        <f t="shared" si="2"/>
        <v>#REF!</v>
      </c>
      <c r="G36" s="425" t="e">
        <f t="shared" si="3"/>
        <v>#REF!</v>
      </c>
      <c r="H36" s="213"/>
      <c r="I36" s="98"/>
      <c r="J36" s="98"/>
      <c r="K36" s="98"/>
      <c r="L36" s="98"/>
      <c r="M36" s="98"/>
      <c r="N36" s="98"/>
      <c r="O36" s="108"/>
      <c r="Q36" s="65" t="s">
        <v>82</v>
      </c>
      <c r="R36" s="76" t="s">
        <v>83</v>
      </c>
      <c r="X36" s="62">
        <v>0.29205000000000003</v>
      </c>
      <c r="Y36" s="62">
        <f t="shared" si="0"/>
        <v>3.5046000000000001E-2</v>
      </c>
    </row>
    <row r="37" spans="1:25" ht="15.95" customHeight="1" thickBot="1" x14ac:dyDescent="0.3">
      <c r="A37" s="97"/>
      <c r="B37" s="423">
        <v>120</v>
      </c>
      <c r="C37" s="424">
        <v>10.954451150103322</v>
      </c>
      <c r="D37" s="209">
        <f>'Datos '!I56</f>
        <v>0</v>
      </c>
      <c r="E37" s="209">
        <f t="shared" si="1"/>
        <v>0</v>
      </c>
      <c r="F37" s="221" t="e">
        <f t="shared" si="2"/>
        <v>#REF!</v>
      </c>
      <c r="G37" s="425" t="e">
        <f t="shared" si="3"/>
        <v>#REF!</v>
      </c>
      <c r="H37" s="98"/>
      <c r="I37" s="98"/>
      <c r="J37" s="98"/>
      <c r="K37" s="98"/>
      <c r="L37" s="654" t="s">
        <v>245</v>
      </c>
      <c r="M37" s="643"/>
      <c r="N37" s="644"/>
      <c r="O37" s="108"/>
      <c r="Q37" s="77">
        <f>S24</f>
        <v>40</v>
      </c>
      <c r="R37" s="76" t="e">
        <f>R25</f>
        <v>#REF!</v>
      </c>
      <c r="X37" s="62">
        <v>0.29250000000000004</v>
      </c>
      <c r="Y37" s="62">
        <f t="shared" si="0"/>
        <v>3.5100000000000006E-2</v>
      </c>
    </row>
    <row r="38" spans="1:25" ht="15.95" customHeight="1" thickBot="1" x14ac:dyDescent="0.25">
      <c r="A38" s="97"/>
      <c r="B38" s="423">
        <v>144</v>
      </c>
      <c r="C38" s="424">
        <v>12</v>
      </c>
      <c r="D38" s="209">
        <f>'Datos '!I57</f>
        <v>0</v>
      </c>
      <c r="E38" s="209">
        <f t="shared" si="1"/>
        <v>0</v>
      </c>
      <c r="F38" s="221" t="e">
        <f t="shared" si="2"/>
        <v>#REF!</v>
      </c>
      <c r="G38" s="425" t="e">
        <f t="shared" si="3"/>
        <v>#REF!</v>
      </c>
      <c r="H38" s="98"/>
      <c r="I38" s="98"/>
      <c r="J38" s="98"/>
      <c r="K38" s="98"/>
      <c r="L38" s="583"/>
      <c r="M38" s="584"/>
      <c r="N38" s="585"/>
      <c r="O38" s="108"/>
      <c r="Q38" s="65" t="e">
        <f>R22</f>
        <v>#REF!</v>
      </c>
      <c r="R38" s="76">
        <v>0</v>
      </c>
      <c r="X38" s="62">
        <v>0.29295000000000004</v>
      </c>
      <c r="Y38" s="62">
        <f t="shared" si="0"/>
        <v>3.5154000000000005E-2</v>
      </c>
    </row>
    <row r="39" spans="1:25" ht="15.95" customHeight="1" thickBot="1" x14ac:dyDescent="0.25">
      <c r="A39" s="97"/>
      <c r="B39" s="423">
        <v>169</v>
      </c>
      <c r="C39" s="424">
        <v>13</v>
      </c>
      <c r="D39" s="209">
        <f>'Datos '!I58</f>
        <v>0</v>
      </c>
      <c r="E39" s="209">
        <f t="shared" si="1"/>
        <v>0</v>
      </c>
      <c r="F39" s="221" t="e">
        <f t="shared" si="2"/>
        <v>#REF!</v>
      </c>
      <c r="G39" s="425" t="e">
        <f t="shared" si="3"/>
        <v>#REF!</v>
      </c>
      <c r="H39" s="98"/>
      <c r="I39" s="98"/>
      <c r="J39" s="98"/>
      <c r="K39" s="98"/>
      <c r="L39" s="98"/>
      <c r="M39" s="98"/>
      <c r="N39" s="98"/>
      <c r="O39" s="108"/>
      <c r="Q39" s="63"/>
      <c r="R39" s="64"/>
      <c r="X39" s="62">
        <v>0.29339999999999999</v>
      </c>
      <c r="Y39" s="62">
        <f t="shared" si="0"/>
        <v>3.5207999999999996E-2</v>
      </c>
    </row>
    <row r="40" spans="1:25" ht="15.95" customHeight="1" thickBot="1" x14ac:dyDescent="0.3">
      <c r="A40" s="97"/>
      <c r="B40" s="423">
        <v>196</v>
      </c>
      <c r="C40" s="424">
        <v>14</v>
      </c>
      <c r="D40" s="209">
        <f>'Datos '!I59</f>
        <v>0</v>
      </c>
      <c r="E40" s="209">
        <f t="shared" si="1"/>
        <v>0</v>
      </c>
      <c r="F40" s="221" t="e">
        <f t="shared" si="2"/>
        <v>#REF!</v>
      </c>
      <c r="G40" s="425" t="e">
        <f t="shared" si="3"/>
        <v>#REF!</v>
      </c>
      <c r="H40" s="98"/>
      <c r="I40" s="98"/>
      <c r="J40" s="98"/>
      <c r="K40" s="98"/>
      <c r="L40" s="642" t="s">
        <v>85</v>
      </c>
      <c r="M40" s="643"/>
      <c r="N40" s="644"/>
      <c r="O40" s="108"/>
      <c r="Q40" s="63"/>
      <c r="R40" s="64"/>
      <c r="X40" s="62">
        <v>0.29394000000000003</v>
      </c>
      <c r="Y40" s="62">
        <f t="shared" si="0"/>
        <v>3.52728E-2</v>
      </c>
    </row>
    <row r="41" spans="1:25" ht="15.95" customHeight="1" thickBot="1" x14ac:dyDescent="0.25">
      <c r="A41" s="97"/>
      <c r="B41" s="423">
        <v>225</v>
      </c>
      <c r="C41" s="424">
        <v>15</v>
      </c>
      <c r="D41" s="209">
        <f>'Datos '!I60</f>
        <v>0</v>
      </c>
      <c r="E41" s="209">
        <f t="shared" si="1"/>
        <v>0</v>
      </c>
      <c r="F41" s="221" t="e">
        <f t="shared" si="2"/>
        <v>#REF!</v>
      </c>
      <c r="G41" s="425" t="e">
        <f t="shared" si="3"/>
        <v>#REF!</v>
      </c>
      <c r="H41" s="98"/>
      <c r="I41" s="98"/>
      <c r="J41" s="98"/>
      <c r="K41" s="98"/>
      <c r="L41" s="583">
        <f>(L35*(1/9))+L35</f>
        <v>0</v>
      </c>
      <c r="M41" s="584"/>
      <c r="N41" s="585"/>
      <c r="O41" s="108"/>
      <c r="Q41" s="65" t="s">
        <v>82</v>
      </c>
      <c r="R41" s="76" t="s">
        <v>83</v>
      </c>
      <c r="X41" s="62">
        <v>0.29430000000000001</v>
      </c>
      <c r="Y41" s="62">
        <f t="shared" si="0"/>
        <v>3.5316E-2</v>
      </c>
    </row>
    <row r="42" spans="1:25" ht="15.95" customHeight="1" thickBot="1" x14ac:dyDescent="0.25">
      <c r="A42" s="97"/>
      <c r="B42" s="423">
        <v>256</v>
      </c>
      <c r="C42" s="424">
        <v>16</v>
      </c>
      <c r="D42" s="209">
        <f>'Datos '!I61</f>
        <v>0</v>
      </c>
      <c r="E42" s="209">
        <f t="shared" si="1"/>
        <v>0</v>
      </c>
      <c r="F42" s="221" t="e">
        <f t="shared" si="2"/>
        <v>#REF!</v>
      </c>
      <c r="G42" s="425" t="e">
        <f t="shared" si="3"/>
        <v>#REF!</v>
      </c>
      <c r="H42" s="98"/>
      <c r="I42" s="98"/>
      <c r="J42" s="98"/>
      <c r="K42" s="98"/>
      <c r="L42" s="98"/>
      <c r="M42" s="98"/>
      <c r="N42" s="98"/>
      <c r="O42" s="108"/>
      <c r="Q42" s="77">
        <f>S31</f>
        <v>40</v>
      </c>
      <c r="R42" s="76" t="e">
        <f>R32</f>
        <v>#REF!</v>
      </c>
      <c r="X42" s="62">
        <v>0.29493000000000003</v>
      </c>
      <c r="Y42" s="62">
        <f t="shared" si="0"/>
        <v>3.5391600000000002E-2</v>
      </c>
    </row>
    <row r="43" spans="1:25" ht="15.95" customHeight="1" thickBot="1" x14ac:dyDescent="0.3">
      <c r="A43" s="97"/>
      <c r="B43" s="423">
        <v>289</v>
      </c>
      <c r="C43" s="424">
        <v>17</v>
      </c>
      <c r="D43" s="209">
        <f>'Datos '!I62</f>
        <v>0</v>
      </c>
      <c r="E43" s="209">
        <f t="shared" si="1"/>
        <v>0</v>
      </c>
      <c r="F43" s="221" t="e">
        <f t="shared" si="2"/>
        <v>#REF!</v>
      </c>
      <c r="G43" s="425" t="e">
        <f t="shared" si="3"/>
        <v>#REF!</v>
      </c>
      <c r="H43" s="98"/>
      <c r="I43" s="98"/>
      <c r="J43" s="98"/>
      <c r="K43" s="98"/>
      <c r="L43" s="642" t="s">
        <v>86</v>
      </c>
      <c r="M43" s="643"/>
      <c r="N43" s="644"/>
      <c r="O43" s="108"/>
      <c r="Q43" s="65" t="e">
        <f>R30</f>
        <v>#REF!</v>
      </c>
      <c r="R43" s="76">
        <v>0</v>
      </c>
      <c r="X43" s="62">
        <v>0.29520000000000002</v>
      </c>
      <c r="Y43" s="62">
        <f t="shared" si="0"/>
        <v>3.5424000000000004E-2</v>
      </c>
    </row>
    <row r="44" spans="1:25" ht="15.95" customHeight="1" thickBot="1" x14ac:dyDescent="0.25">
      <c r="A44" s="97"/>
      <c r="B44" s="423">
        <v>324</v>
      </c>
      <c r="C44" s="424">
        <v>18</v>
      </c>
      <c r="D44" s="209">
        <f>'Datos '!I63</f>
        <v>0</v>
      </c>
      <c r="E44" s="209">
        <f t="shared" si="1"/>
        <v>0</v>
      </c>
      <c r="F44" s="221" t="e">
        <f t="shared" si="2"/>
        <v>#REF!</v>
      </c>
      <c r="G44" s="425" t="e">
        <f t="shared" si="3"/>
        <v>#REF!</v>
      </c>
      <c r="H44" s="98"/>
      <c r="I44" s="98"/>
      <c r="J44" s="98"/>
      <c r="K44" s="98"/>
      <c r="L44" s="583">
        <f>LOOKUP(L41,G19:G49,C19:C49)</f>
        <v>0</v>
      </c>
      <c r="M44" s="584"/>
      <c r="N44" s="585"/>
      <c r="O44" s="108"/>
      <c r="Q44" s="73"/>
      <c r="R44" s="75"/>
      <c r="X44" s="62">
        <v>0.29592000000000002</v>
      </c>
      <c r="Y44" s="62">
        <f>X44*0.12</f>
        <v>3.5510399999999998E-2</v>
      </c>
    </row>
    <row r="45" spans="1:25" ht="15.95" customHeight="1" thickBot="1" x14ac:dyDescent="0.25">
      <c r="A45" s="97"/>
      <c r="B45" s="423">
        <v>361</v>
      </c>
      <c r="C45" s="424">
        <v>19</v>
      </c>
      <c r="D45" s="209">
        <f>'Datos '!I64</f>
        <v>0</v>
      </c>
      <c r="E45" s="209">
        <f t="shared" si="1"/>
        <v>0</v>
      </c>
      <c r="F45" s="221" t="e">
        <f t="shared" si="2"/>
        <v>#REF!</v>
      </c>
      <c r="G45" s="425" t="e">
        <f t="shared" si="3"/>
        <v>#REF!</v>
      </c>
      <c r="H45" s="98"/>
      <c r="I45" s="98"/>
      <c r="J45" s="98"/>
      <c r="K45" s="98"/>
      <c r="L45" s="98"/>
      <c r="M45" s="98"/>
      <c r="N45" s="98"/>
      <c r="O45" s="108"/>
    </row>
    <row r="46" spans="1:25" ht="15.95" customHeight="1" thickBot="1" x14ac:dyDescent="0.3">
      <c r="A46" s="97"/>
      <c r="B46" s="423">
        <v>400</v>
      </c>
      <c r="C46" s="424">
        <v>20</v>
      </c>
      <c r="D46" s="209">
        <f>'Datos '!I65</f>
        <v>0</v>
      </c>
      <c r="E46" s="209">
        <f t="shared" si="1"/>
        <v>0</v>
      </c>
      <c r="F46" s="221" t="e">
        <f t="shared" si="2"/>
        <v>#REF!</v>
      </c>
      <c r="G46" s="425" t="e">
        <f t="shared" si="3"/>
        <v>#REF!</v>
      </c>
      <c r="H46" s="98"/>
      <c r="I46" s="98"/>
      <c r="J46" s="98"/>
      <c r="K46" s="98"/>
      <c r="L46" s="642" t="s">
        <v>237</v>
      </c>
      <c r="M46" s="643"/>
      <c r="N46" s="644"/>
      <c r="O46" s="108"/>
    </row>
    <row r="47" spans="1:25" ht="15.95" customHeight="1" thickBot="1" x14ac:dyDescent="0.25">
      <c r="A47" s="97"/>
      <c r="B47" s="423">
        <v>441</v>
      </c>
      <c r="C47" s="424">
        <v>21</v>
      </c>
      <c r="D47" s="209">
        <f>'Datos '!I66</f>
        <v>0</v>
      </c>
      <c r="E47" s="209">
        <f t="shared" si="1"/>
        <v>0</v>
      </c>
      <c r="F47" s="221" t="e">
        <f t="shared" si="2"/>
        <v>#REF!</v>
      </c>
      <c r="G47" s="425" t="e">
        <f t="shared" si="3"/>
        <v>#REF!</v>
      </c>
      <c r="H47" s="115"/>
      <c r="I47" s="115"/>
      <c r="J47" s="115"/>
      <c r="K47" s="98"/>
      <c r="L47" s="634" t="e">
        <f>(0.848*((VLOOKUP(INT(L38),C19:F49,4))/10/2)^2)/((L38^2)*60)</f>
        <v>#REF!</v>
      </c>
      <c r="M47" s="635"/>
      <c r="N47" s="636"/>
      <c r="O47" s="108"/>
    </row>
    <row r="48" spans="1:25" ht="15.95" customHeight="1" x14ac:dyDescent="0.2">
      <c r="A48" s="97"/>
      <c r="B48" s="423">
        <v>484</v>
      </c>
      <c r="C48" s="424">
        <v>22</v>
      </c>
      <c r="D48" s="209">
        <f>'Datos '!I67</f>
        <v>0</v>
      </c>
      <c r="E48" s="209">
        <f t="shared" si="1"/>
        <v>0</v>
      </c>
      <c r="F48" s="221" t="e">
        <f t="shared" si="2"/>
        <v>#REF!</v>
      </c>
      <c r="G48" s="425" t="e">
        <f t="shared" si="3"/>
        <v>#REF!</v>
      </c>
      <c r="H48" s="98"/>
      <c r="I48" s="98"/>
      <c r="J48" s="98"/>
      <c r="K48" s="115"/>
      <c r="L48" s="98"/>
      <c r="M48" s="98"/>
      <c r="N48" s="98"/>
      <c r="O48" s="108"/>
    </row>
    <row r="49" spans="1:22" ht="17.25" customHeight="1" thickBot="1" x14ac:dyDescent="0.25">
      <c r="A49" s="97"/>
      <c r="B49" s="426">
        <v>1440</v>
      </c>
      <c r="C49" s="427">
        <v>37.947331922020552</v>
      </c>
      <c r="D49" s="400">
        <f>'Datos '!I68</f>
        <v>0</v>
      </c>
      <c r="E49" s="400">
        <f t="shared" si="1"/>
        <v>0</v>
      </c>
      <c r="F49" s="222" t="e">
        <f t="shared" si="2"/>
        <v>#REF!</v>
      </c>
      <c r="G49" s="428" t="e">
        <f t="shared" si="3"/>
        <v>#REF!</v>
      </c>
      <c r="H49" s="409"/>
      <c r="I49" s="409"/>
      <c r="J49" s="409"/>
      <c r="K49" s="98"/>
      <c r="L49" s="156"/>
      <c r="M49" s="156"/>
      <c r="N49" s="215"/>
      <c r="O49" s="216"/>
      <c r="P49" s="78"/>
    </row>
    <row r="50" spans="1:22" x14ac:dyDescent="0.2">
      <c r="A50" s="97"/>
      <c r="B50" s="98"/>
      <c r="C50" s="98"/>
      <c r="D50" s="98"/>
      <c r="E50" s="98"/>
      <c r="F50" s="98"/>
      <c r="G50" s="98"/>
      <c r="H50" s="98"/>
      <c r="I50" s="98"/>
      <c r="J50" s="98"/>
      <c r="K50" s="98"/>
      <c r="L50" s="98"/>
      <c r="M50" s="98"/>
      <c r="N50" s="98"/>
      <c r="O50" s="108"/>
    </row>
    <row r="51" spans="1:22" ht="18" customHeight="1" x14ac:dyDescent="0.2">
      <c r="A51" s="173"/>
      <c r="B51" s="581" t="s">
        <v>195</v>
      </c>
      <c r="C51" s="581"/>
      <c r="D51" s="581"/>
      <c r="E51" s="581"/>
      <c r="F51" s="581"/>
      <c r="G51" s="581"/>
      <c r="H51" s="581"/>
      <c r="I51" s="581"/>
      <c r="J51" s="581"/>
      <c r="K51" s="581"/>
      <c r="L51" s="581"/>
      <c r="M51" s="581"/>
      <c r="N51" s="581"/>
      <c r="O51" s="108"/>
    </row>
    <row r="52" spans="1:22" ht="15.75" customHeight="1" x14ac:dyDescent="0.2">
      <c r="A52" s="173"/>
      <c r="B52" s="582" t="s">
        <v>196</v>
      </c>
      <c r="C52" s="582"/>
      <c r="D52" s="582"/>
      <c r="E52" s="582"/>
      <c r="F52" s="582"/>
      <c r="G52" s="582"/>
      <c r="H52" s="582"/>
      <c r="I52" s="582"/>
      <c r="J52" s="582"/>
      <c r="K52" s="582"/>
      <c r="L52" s="582"/>
      <c r="M52" s="582"/>
      <c r="N52" s="582"/>
      <c r="O52" s="217"/>
    </row>
    <row r="53" spans="1:22" ht="15.75" customHeight="1" x14ac:dyDescent="0.2">
      <c r="A53" s="173"/>
      <c r="B53" s="582"/>
      <c r="C53" s="582"/>
      <c r="D53" s="582"/>
      <c r="E53" s="582"/>
      <c r="F53" s="582"/>
      <c r="G53" s="582"/>
      <c r="H53" s="582"/>
      <c r="I53" s="582"/>
      <c r="J53" s="582"/>
      <c r="K53" s="582"/>
      <c r="L53" s="582"/>
      <c r="M53" s="582"/>
      <c r="N53" s="582"/>
      <c r="O53" s="217"/>
    </row>
    <row r="54" spans="1:22" ht="12.75" customHeight="1" x14ac:dyDescent="0.2">
      <c r="A54" s="173"/>
      <c r="B54" s="582"/>
      <c r="C54" s="582"/>
      <c r="D54" s="582"/>
      <c r="E54" s="582"/>
      <c r="F54" s="582"/>
      <c r="G54" s="582"/>
      <c r="H54" s="582"/>
      <c r="I54" s="582"/>
      <c r="J54" s="582"/>
      <c r="K54" s="582"/>
      <c r="L54" s="582"/>
      <c r="M54" s="582"/>
      <c r="N54" s="582"/>
      <c r="O54" s="108"/>
    </row>
    <row r="55" spans="1:22" x14ac:dyDescent="0.2">
      <c r="A55" s="173"/>
      <c r="B55" s="582"/>
      <c r="C55" s="582"/>
      <c r="D55" s="582"/>
      <c r="E55" s="582"/>
      <c r="F55" s="582"/>
      <c r="G55" s="582"/>
      <c r="H55" s="582"/>
      <c r="I55" s="582"/>
      <c r="J55" s="582"/>
      <c r="K55" s="582"/>
      <c r="L55" s="582"/>
      <c r="M55" s="582"/>
      <c r="N55" s="582"/>
      <c r="O55" s="108"/>
    </row>
    <row r="56" spans="1:22" x14ac:dyDescent="0.2">
      <c r="A56" s="97"/>
      <c r="B56" s="582"/>
      <c r="C56" s="582"/>
      <c r="D56" s="582"/>
      <c r="E56" s="582"/>
      <c r="F56" s="582"/>
      <c r="G56" s="582"/>
      <c r="H56" s="582"/>
      <c r="I56" s="582"/>
      <c r="J56" s="582"/>
      <c r="K56" s="582"/>
      <c r="L56" s="582"/>
      <c r="M56" s="582"/>
      <c r="N56" s="582"/>
      <c r="O56" s="108"/>
    </row>
    <row r="57" spans="1:22" x14ac:dyDescent="0.2">
      <c r="A57" s="655" t="s">
        <v>166</v>
      </c>
      <c r="B57" s="656"/>
      <c r="C57" s="656"/>
      <c r="D57" s="656"/>
      <c r="E57" s="656"/>
      <c r="F57" s="656"/>
      <c r="G57" s="656"/>
      <c r="H57" s="656"/>
      <c r="I57" s="656"/>
      <c r="J57" s="656"/>
      <c r="K57" s="656"/>
      <c r="L57" s="656"/>
      <c r="M57" s="656"/>
      <c r="N57" s="656"/>
      <c r="O57" s="657"/>
    </row>
    <row r="58" spans="1:22" ht="15.75" thickBot="1" x14ac:dyDescent="0.25">
      <c r="A58" s="658"/>
      <c r="B58" s="659"/>
      <c r="C58" s="659"/>
      <c r="D58" s="659"/>
      <c r="E58" s="659"/>
      <c r="F58" s="659"/>
      <c r="G58" s="659"/>
      <c r="H58" s="659"/>
      <c r="I58" s="659"/>
      <c r="J58" s="659"/>
      <c r="K58" s="659"/>
      <c r="L58" s="659"/>
      <c r="M58" s="659"/>
      <c r="N58" s="659"/>
      <c r="O58" s="660"/>
    </row>
    <row r="61" spans="1:22" ht="15.75" thickBot="1" x14ac:dyDescent="0.25"/>
    <row r="62" spans="1:22" x14ac:dyDescent="0.2">
      <c r="Q62" s="69"/>
      <c r="R62" s="70"/>
      <c r="S62" s="70"/>
      <c r="T62" s="70"/>
      <c r="U62" s="70"/>
      <c r="V62" s="71"/>
    </row>
    <row r="63" spans="1:22" x14ac:dyDescent="0.2">
      <c r="Q63" s="63"/>
      <c r="V63" s="64"/>
    </row>
    <row r="64" spans="1:22" x14ac:dyDescent="0.2">
      <c r="Q64" s="63"/>
      <c r="V64" s="64"/>
    </row>
    <row r="65" spans="17:22" x14ac:dyDescent="0.2">
      <c r="Q65" s="63"/>
      <c r="V65" s="64"/>
    </row>
    <row r="66" spans="17:22" x14ac:dyDescent="0.2">
      <c r="Q66" s="79" t="s">
        <v>87</v>
      </c>
      <c r="R66" s="80" t="s">
        <v>88</v>
      </c>
      <c r="S66" s="80" t="s">
        <v>89</v>
      </c>
      <c r="T66" s="80" t="s">
        <v>90</v>
      </c>
      <c r="U66" s="80" t="s">
        <v>91</v>
      </c>
      <c r="V66" s="81" t="s">
        <v>92</v>
      </c>
    </row>
    <row r="67" spans="17:22" ht="15.75" x14ac:dyDescent="0.2">
      <c r="Q67" s="82">
        <v>10</v>
      </c>
      <c r="R67" s="83" t="e">
        <f>VLOOKUP(Q67,C19:G34,4)</f>
        <v>#REF!</v>
      </c>
      <c r="S67" s="84" t="e">
        <f>+Q67+((U67-Q67)/(V67-R67))*(T67-R67)</f>
        <v>#REF!</v>
      </c>
      <c r="T67" s="84">
        <f>+L41</f>
        <v>0</v>
      </c>
      <c r="U67" s="85">
        <v>6</v>
      </c>
      <c r="V67" s="86" t="e">
        <f>VLOOKUP(U67,C19:G34,4)</f>
        <v>#REF!</v>
      </c>
    </row>
    <row r="68" spans="17:22" ht="15.75" thickBot="1" x14ac:dyDescent="0.25">
      <c r="Q68" s="73"/>
      <c r="R68" s="74"/>
      <c r="S68" s="74"/>
      <c r="T68" s="74"/>
      <c r="U68" s="74"/>
      <c r="V68" s="75"/>
    </row>
  </sheetData>
  <mergeCells count="63">
    <mergeCell ref="A57:O58"/>
    <mergeCell ref="B51:N51"/>
    <mergeCell ref="B52:N56"/>
    <mergeCell ref="L34:N34"/>
    <mergeCell ref="L35:N35"/>
    <mergeCell ref="L38:N38"/>
    <mergeCell ref="L44:N44"/>
    <mergeCell ref="L47:N47"/>
    <mergeCell ref="L46:N46"/>
    <mergeCell ref="L37:N37"/>
    <mergeCell ref="L40:N40"/>
    <mergeCell ref="L41:N41"/>
    <mergeCell ref="L43:N43"/>
    <mergeCell ref="L25:M26"/>
    <mergeCell ref="N25:N26"/>
    <mergeCell ref="L28:N28"/>
    <mergeCell ref="L29:N29"/>
    <mergeCell ref="L31:N31"/>
    <mergeCell ref="L32:N32"/>
    <mergeCell ref="L10:N10"/>
    <mergeCell ref="B11:M11"/>
    <mergeCell ref="L23:M24"/>
    <mergeCell ref="N23:N24"/>
    <mergeCell ref="B14:C14"/>
    <mergeCell ref="D14:N14"/>
    <mergeCell ref="B13:C13"/>
    <mergeCell ref="D13:N13"/>
    <mergeCell ref="L18:N18"/>
    <mergeCell ref="L19:M20"/>
    <mergeCell ref="N19:N20"/>
    <mergeCell ref="L21:M22"/>
    <mergeCell ref="N21:N22"/>
    <mergeCell ref="B12:C12"/>
    <mergeCell ref="D12:F12"/>
    <mergeCell ref="J12:K12"/>
    <mergeCell ref="B8:C8"/>
    <mergeCell ref="D8:I8"/>
    <mergeCell ref="J8:K8"/>
    <mergeCell ref="B10:C10"/>
    <mergeCell ref="D10:I10"/>
    <mergeCell ref="J10:K10"/>
    <mergeCell ref="L8:N8"/>
    <mergeCell ref="B9:C9"/>
    <mergeCell ref="D9:I9"/>
    <mergeCell ref="J9:K9"/>
    <mergeCell ref="M9:N9"/>
    <mergeCell ref="B6:C6"/>
    <mergeCell ref="D6:I6"/>
    <mergeCell ref="J6:K6"/>
    <mergeCell ref="L6:N6"/>
    <mergeCell ref="B7:C7"/>
    <mergeCell ref="D7:I7"/>
    <mergeCell ref="J7:K7"/>
    <mergeCell ref="L7:N7"/>
    <mergeCell ref="F1:L1"/>
    <mergeCell ref="M1:O1"/>
    <mergeCell ref="M2:O2"/>
    <mergeCell ref="M3:O3"/>
    <mergeCell ref="AP3:AS5"/>
    <mergeCell ref="M4:O4"/>
    <mergeCell ref="B5:M5"/>
    <mergeCell ref="F2:L4"/>
    <mergeCell ref="A1:D4"/>
  </mergeCells>
  <conditionalFormatting sqref="D12:E14">
    <cfRule type="containsBlanks" dxfId="14" priority="3">
      <formula>LEN(TRIM(D12))=0</formula>
    </cfRule>
  </conditionalFormatting>
  <conditionalFormatting sqref="D12:G12">
    <cfRule type="containsBlanks" dxfId="13" priority="1">
      <formula>LEN(TRIM(D12))=0</formula>
    </cfRule>
    <cfRule type="containsBlanks" dxfId="12" priority="2">
      <formula>LEN(TRIM(D12))=0</formula>
    </cfRule>
  </conditionalFormatting>
  <conditionalFormatting sqref="D6:I10">
    <cfRule type="containsBlanks" dxfId="11" priority="7">
      <formula>LEN(TRIM(D6))=0</formula>
    </cfRule>
  </conditionalFormatting>
  <conditionalFormatting sqref="D6:J10 L6:N6 L7:L8 M9 G12:J12 L12:N12 D13:E14 B6:B10 B12:B14">
    <cfRule type="containsBlanks" dxfId="10" priority="8">
      <formula>LEN(TRIM(B6))=0</formula>
    </cfRule>
  </conditionalFormatting>
  <conditionalFormatting sqref="L6:N8 M9 I12 L12 N12 D13:E14">
    <cfRule type="containsBlanks" dxfId="9" priority="6">
      <formula>LEN(TRIM(D6))=0</formula>
    </cfRule>
  </conditionalFormatting>
  <conditionalFormatting sqref="L6:N8 M9 I12 L12 N12">
    <cfRule type="containsBlanks" dxfId="8" priority="4">
      <formula>LEN(TRIM(I6))=0</formula>
    </cfRule>
  </conditionalFormatting>
  <printOptions horizontalCentered="1" verticalCentered="1" gridLinesSet="0"/>
  <pageMargins left="0.19685039370078741" right="0.19685039370078741" top="0.19685039370078741" bottom="0.39370078740157483" header="0.31496062992125984" footer="0.31496062992125984"/>
  <pageSetup scale="57" orientation="landscape" r:id="rId1"/>
  <headerFooter alignWithMargins="0">
    <oddFooter>&amp;CGEODELTA INGENIERÍA 
Barrio el laurel, Móvil: 3187902368 Bogotá DC - Colombia
e-mail: laboratoriogeodelta@gmail.com</oddFooter>
  </headerFooter>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70"/>
  <sheetViews>
    <sheetView zoomScale="85" zoomScaleNormal="85" workbookViewId="0">
      <selection activeCell="R41" sqref="R41"/>
    </sheetView>
  </sheetViews>
  <sheetFormatPr baseColWidth="10" defaultColWidth="11.42578125" defaultRowHeight="12.75" x14ac:dyDescent="0.2"/>
  <cols>
    <col min="1" max="1" width="12.5703125" style="1" bestFit="1" customWidth="1"/>
    <col min="2" max="2" width="11.42578125" style="1"/>
    <col min="3" max="3" width="15.85546875" style="1" bestFit="1" customWidth="1"/>
    <col min="4" max="4" width="11.42578125" style="1"/>
    <col min="5" max="5" width="11.42578125" style="3"/>
    <col min="6" max="6" width="11.42578125" style="1" customWidth="1"/>
    <col min="7" max="7" width="13.140625" style="1" customWidth="1"/>
    <col min="8" max="8" width="11.42578125" style="1"/>
    <col min="9" max="9" width="15.85546875" style="1" customWidth="1"/>
    <col min="10" max="10" width="11.42578125" style="1" customWidth="1"/>
    <col min="11" max="11" width="11.42578125" style="1"/>
    <col min="12" max="12" width="15.85546875" style="1" customWidth="1"/>
    <col min="13" max="13" width="11.42578125" style="1" customWidth="1"/>
    <col min="14" max="14" width="11.42578125" style="1"/>
    <col min="15" max="15" width="15.85546875" style="1" customWidth="1"/>
    <col min="16" max="16" width="11.42578125" style="1" customWidth="1"/>
    <col min="17" max="17" width="11.42578125" style="1"/>
    <col min="18" max="18" width="15.85546875" style="1" customWidth="1"/>
    <col min="19" max="19" width="11.42578125" style="1" customWidth="1"/>
    <col min="20" max="20" width="11.42578125" style="1"/>
    <col min="21" max="21" width="15.85546875" style="1" customWidth="1"/>
    <col min="22" max="16384" width="11.42578125" style="1"/>
  </cols>
  <sheetData>
    <row r="1" spans="1:28" ht="45.75" thickBot="1" x14ac:dyDescent="0.25">
      <c r="A1" s="665" t="s">
        <v>93</v>
      </c>
      <c r="B1" s="665"/>
      <c r="C1" s="666"/>
      <c r="D1" s="665" t="s">
        <v>94</v>
      </c>
      <c r="E1" s="665"/>
      <c r="F1" s="665"/>
      <c r="G1" s="665" t="s">
        <v>95</v>
      </c>
      <c r="H1" s="665"/>
      <c r="I1" s="665"/>
      <c r="J1" s="665" t="s">
        <v>96</v>
      </c>
      <c r="K1" s="665"/>
      <c r="L1" s="665"/>
      <c r="M1" s="665" t="s">
        <v>97</v>
      </c>
      <c r="N1" s="665"/>
      <c r="O1" s="665"/>
      <c r="P1" s="665" t="s">
        <v>98</v>
      </c>
      <c r="Q1" s="665"/>
      <c r="R1" s="665"/>
      <c r="S1" s="665" t="s">
        <v>99</v>
      </c>
      <c r="T1" s="665"/>
      <c r="U1" s="665"/>
      <c r="W1" s="663" t="s">
        <v>100</v>
      </c>
      <c r="X1" s="664"/>
      <c r="Z1" s="12" t="s">
        <v>101</v>
      </c>
      <c r="AA1" s="661" t="s">
        <v>102</v>
      </c>
      <c r="AB1" s="662"/>
    </row>
    <row r="2" spans="1:28" ht="15" x14ac:dyDescent="0.2">
      <c r="A2" s="665"/>
      <c r="B2" s="665"/>
      <c r="C2" s="666"/>
      <c r="D2" s="665"/>
      <c r="E2" s="665"/>
      <c r="F2" s="665"/>
      <c r="G2" s="665"/>
      <c r="H2" s="665"/>
      <c r="I2" s="665"/>
      <c r="J2" s="665"/>
      <c r="K2" s="665"/>
      <c r="L2" s="665"/>
      <c r="M2" s="665"/>
      <c r="N2" s="665"/>
      <c r="O2" s="665"/>
      <c r="P2" s="665"/>
      <c r="Q2" s="665"/>
      <c r="R2" s="665"/>
      <c r="S2" s="665"/>
      <c r="T2" s="665"/>
      <c r="U2" s="665"/>
      <c r="W2" s="4">
        <v>0.25</v>
      </c>
      <c r="X2" s="10"/>
      <c r="Z2" s="13">
        <v>8</v>
      </c>
      <c r="AA2" s="14"/>
      <c r="AB2" s="15"/>
    </row>
    <row r="3" spans="1:28" ht="15" x14ac:dyDescent="0.2">
      <c r="A3" s="32" t="s">
        <v>103</v>
      </c>
      <c r="B3" s="32"/>
      <c r="C3" s="32" t="s">
        <v>104</v>
      </c>
      <c r="D3" s="32" t="s">
        <v>103</v>
      </c>
      <c r="E3" s="8"/>
      <c r="F3" s="32" t="s">
        <v>104</v>
      </c>
      <c r="G3" s="32" t="s">
        <v>103</v>
      </c>
      <c r="H3" s="32"/>
      <c r="I3" s="32" t="s">
        <v>104</v>
      </c>
      <c r="J3" s="32" t="s">
        <v>103</v>
      </c>
      <c r="K3" s="32"/>
      <c r="L3" s="32" t="s">
        <v>104</v>
      </c>
      <c r="M3" s="32" t="s">
        <v>103</v>
      </c>
      <c r="N3" s="32"/>
      <c r="O3" s="32" t="s">
        <v>104</v>
      </c>
      <c r="P3" s="32" t="s">
        <v>103</v>
      </c>
      <c r="Q3" s="32"/>
      <c r="R3" s="32" t="s">
        <v>104</v>
      </c>
      <c r="S3" s="32" t="s">
        <v>103</v>
      </c>
      <c r="T3" s="32"/>
      <c r="U3" s="32" t="s">
        <v>104</v>
      </c>
      <c r="W3" s="5">
        <v>0.5</v>
      </c>
      <c r="X3" s="10"/>
      <c r="Z3" s="16">
        <v>2</v>
      </c>
      <c r="AA3" s="17"/>
      <c r="AB3" s="18"/>
    </row>
    <row r="4" spans="1:28" ht="15" x14ac:dyDescent="0.2">
      <c r="A4" s="32">
        <v>0</v>
      </c>
      <c r="B4" s="9">
        <f>VLOOKUP(A4,'DATOS MAQUINA '!B:D,3)</f>
        <v>0</v>
      </c>
      <c r="C4" s="7">
        <f>+C39</f>
        <v>0</v>
      </c>
      <c r="D4" s="32">
        <v>0</v>
      </c>
      <c r="E4" s="9">
        <f>VLOOKUP(D4,'DATOS MAQUINA '!E:G,3)</f>
        <v>0</v>
      </c>
      <c r="F4" s="7">
        <f>+D39</f>
        <v>0</v>
      </c>
      <c r="G4" s="32">
        <v>0</v>
      </c>
      <c r="H4" s="9">
        <f>VLOOKUP(G4,'DATOS MAQUINA '!H:J,3)</f>
        <v>0</v>
      </c>
      <c r="I4" s="7">
        <f>+E39</f>
        <v>0</v>
      </c>
      <c r="J4" s="32">
        <v>0</v>
      </c>
      <c r="K4" s="9">
        <f>VLOOKUP(J4,'DATOS MAQUINA '!K:M,3)</f>
        <v>0</v>
      </c>
      <c r="L4" s="7">
        <f>+F39</f>
        <v>0</v>
      </c>
      <c r="M4" s="32">
        <v>0</v>
      </c>
      <c r="N4" s="9">
        <f>VLOOKUP(M4,'DATOS MAQUINA '!N:P,3)</f>
        <v>0</v>
      </c>
      <c r="O4" s="7">
        <f>+G39</f>
        <v>0</v>
      </c>
      <c r="P4" s="32">
        <v>0</v>
      </c>
      <c r="Q4" s="9">
        <f>VLOOKUP(P4,'DATOS MAQUINA '!Q:S,3)</f>
        <v>0</v>
      </c>
      <c r="R4" s="7">
        <f>+H39</f>
        <v>0</v>
      </c>
      <c r="S4" s="32">
        <v>0</v>
      </c>
      <c r="T4" s="9">
        <f>VLOOKUP(S4,'DATOS MAQUINA '!T:V,3)</f>
        <v>0</v>
      </c>
      <c r="U4" s="7">
        <f>+I39</f>
        <v>0</v>
      </c>
      <c r="W4" s="5">
        <v>1</v>
      </c>
      <c r="X4" s="10"/>
      <c r="Z4" s="16">
        <v>0.5</v>
      </c>
      <c r="AA4" s="17"/>
      <c r="AB4" s="18"/>
    </row>
    <row r="5" spans="1:28" ht="15" x14ac:dyDescent="0.2">
      <c r="A5" s="31">
        <v>0.1</v>
      </c>
      <c r="B5" s="9">
        <f>VLOOKUP(A5,'DATOS MAQUINA '!B:D,3)</f>
        <v>0</v>
      </c>
      <c r="C5" s="7">
        <f>+C40</f>
        <v>0</v>
      </c>
      <c r="D5" s="31">
        <v>0.1</v>
      </c>
      <c r="E5" s="9">
        <f>VLOOKUP(D5,'DATOS MAQUINA '!E:G,3)</f>
        <v>0</v>
      </c>
      <c r="F5" s="7">
        <f t="shared" ref="F5:F34" si="0">+D40</f>
        <v>0</v>
      </c>
      <c r="G5" s="31">
        <v>0.1</v>
      </c>
      <c r="H5" s="9">
        <f>VLOOKUP(G5,'DATOS MAQUINA '!H:J,3)</f>
        <v>0</v>
      </c>
      <c r="I5" s="7">
        <f t="shared" ref="I5:I34" si="1">+E40</f>
        <v>0</v>
      </c>
      <c r="J5" s="31">
        <v>0.1</v>
      </c>
      <c r="K5" s="9">
        <f>VLOOKUP(J5,'DATOS MAQUINA '!K:M,3)</f>
        <v>0</v>
      </c>
      <c r="L5" s="7">
        <f t="shared" ref="L5:L34" si="2">+F40</f>
        <v>0</v>
      </c>
      <c r="M5" s="31">
        <v>0.1</v>
      </c>
      <c r="N5" s="9">
        <f>VLOOKUP(M5,'DATOS MAQUINA '!N:P,3)</f>
        <v>0</v>
      </c>
      <c r="O5" s="7">
        <f t="shared" ref="O5:O34" si="3">+G40</f>
        <v>0</v>
      </c>
      <c r="P5" s="31">
        <v>0.1</v>
      </c>
      <c r="Q5" s="9">
        <f>VLOOKUP(P5,'DATOS MAQUINA '!Q:S,3)</f>
        <v>0</v>
      </c>
      <c r="R5" s="7">
        <f>+H40</f>
        <v>0</v>
      </c>
      <c r="S5" s="31">
        <v>0.1</v>
      </c>
      <c r="T5" s="9">
        <f>VLOOKUP(S5,'DATOS MAQUINA '!T:V,3)</f>
        <v>0</v>
      </c>
      <c r="U5" s="7">
        <f t="shared" ref="U5:U18" si="4">+I40</f>
        <v>0</v>
      </c>
      <c r="W5" s="5">
        <v>2</v>
      </c>
      <c r="X5" s="10"/>
      <c r="Z5" s="19">
        <v>0</v>
      </c>
      <c r="AA5" s="20"/>
      <c r="AB5" s="21"/>
    </row>
    <row r="6" spans="1:28" x14ac:dyDescent="0.2">
      <c r="A6" s="31">
        <v>0.25</v>
      </c>
      <c r="B6" s="9">
        <f>VLOOKUP(A6,'DATOS MAQUINA '!B:D,3)</f>
        <v>0</v>
      </c>
      <c r="C6" s="7">
        <f t="shared" ref="C6:C34" si="5">+C41</f>
        <v>0</v>
      </c>
      <c r="D6" s="31">
        <v>0.25</v>
      </c>
      <c r="E6" s="9">
        <f>VLOOKUP(D6,'DATOS MAQUINA '!E:G,3)</f>
        <v>0</v>
      </c>
      <c r="F6" s="7">
        <f t="shared" si="0"/>
        <v>0</v>
      </c>
      <c r="G6" s="31">
        <v>0.25</v>
      </c>
      <c r="H6" s="9">
        <f>VLOOKUP(G6,'DATOS MAQUINA '!H:J,3)</f>
        <v>0</v>
      </c>
      <c r="I6" s="7">
        <f t="shared" si="1"/>
        <v>0</v>
      </c>
      <c r="J6" s="31">
        <v>0.25</v>
      </c>
      <c r="K6" s="9">
        <f>VLOOKUP(J6,'DATOS MAQUINA '!K:M,3)</f>
        <v>0</v>
      </c>
      <c r="L6" s="7">
        <f t="shared" si="2"/>
        <v>0</v>
      </c>
      <c r="M6" s="31">
        <v>0.25</v>
      </c>
      <c r="N6" s="9">
        <f>VLOOKUP(M6,'DATOS MAQUINA '!N:P,3)</f>
        <v>0</v>
      </c>
      <c r="O6" s="7">
        <f t="shared" si="3"/>
        <v>0</v>
      </c>
      <c r="P6" s="31">
        <v>0.25</v>
      </c>
      <c r="Q6" s="9">
        <f>VLOOKUP(P6,'DATOS MAQUINA '!Q:S,3)</f>
        <v>0</v>
      </c>
      <c r="R6" s="7">
        <f>+H41</f>
        <v>0</v>
      </c>
      <c r="S6" s="31">
        <v>0.25</v>
      </c>
      <c r="T6" s="9">
        <f>VLOOKUP(S6,'DATOS MAQUINA '!T:V,3)</f>
        <v>0</v>
      </c>
      <c r="U6" s="7">
        <f t="shared" si="4"/>
        <v>0</v>
      </c>
      <c r="W6" s="5">
        <v>4</v>
      </c>
      <c r="X6" s="10"/>
    </row>
    <row r="7" spans="1:28" x14ac:dyDescent="0.2">
      <c r="A7" s="31">
        <v>0.5</v>
      </c>
      <c r="B7" s="9">
        <f>VLOOKUP(A7,'DATOS MAQUINA '!B:D,3)</f>
        <v>0</v>
      </c>
      <c r="C7" s="7">
        <f t="shared" si="5"/>
        <v>0</v>
      </c>
      <c r="D7" s="31">
        <v>0.5</v>
      </c>
      <c r="E7" s="9">
        <f>VLOOKUP(D7,'DATOS MAQUINA '!E:G,3)</f>
        <v>0</v>
      </c>
      <c r="F7" s="7">
        <f t="shared" si="0"/>
        <v>0</v>
      </c>
      <c r="G7" s="31">
        <v>0.5</v>
      </c>
      <c r="H7" s="9">
        <f>VLOOKUP(G7,'DATOS MAQUINA '!H:J,3)</f>
        <v>0</v>
      </c>
      <c r="I7" s="7">
        <f t="shared" si="1"/>
        <v>0</v>
      </c>
      <c r="J7" s="31">
        <v>0.5</v>
      </c>
      <c r="K7" s="9">
        <f>VLOOKUP(J7,'DATOS MAQUINA '!K:M,3)</f>
        <v>0</v>
      </c>
      <c r="L7" s="7">
        <f t="shared" si="2"/>
        <v>0</v>
      </c>
      <c r="M7" s="31">
        <v>0.5</v>
      </c>
      <c r="N7" s="9">
        <f>VLOOKUP(M7,'DATOS MAQUINA '!N:P,3)</f>
        <v>0</v>
      </c>
      <c r="O7" s="7">
        <f t="shared" si="3"/>
        <v>0</v>
      </c>
      <c r="P7" s="31">
        <v>0.5</v>
      </c>
      <c r="Q7" s="9">
        <f>VLOOKUP(P7,'DATOS MAQUINA '!Q:S,3)</f>
        <v>0</v>
      </c>
      <c r="R7" s="7">
        <f t="shared" ref="R7:R34" si="6">+H42</f>
        <v>0</v>
      </c>
      <c r="S7" s="31">
        <v>0.5</v>
      </c>
      <c r="T7" s="9">
        <f>VLOOKUP(S7,'DATOS MAQUINA '!T:V,3)</f>
        <v>0</v>
      </c>
      <c r="U7" s="7">
        <f t="shared" si="4"/>
        <v>0</v>
      </c>
      <c r="W7" s="5">
        <v>8</v>
      </c>
      <c r="X7" s="10"/>
    </row>
    <row r="8" spans="1:28" ht="13.5" thickBot="1" x14ac:dyDescent="0.25">
      <c r="A8" s="32">
        <v>1</v>
      </c>
      <c r="B8" s="9">
        <f>VLOOKUP(A8,'DATOS MAQUINA '!B:D,3)</f>
        <v>0</v>
      </c>
      <c r="C8" s="7">
        <f t="shared" si="5"/>
        <v>0</v>
      </c>
      <c r="D8" s="32">
        <v>1</v>
      </c>
      <c r="E8" s="9">
        <f>VLOOKUP(D8,'DATOS MAQUINA '!E:G,3)</f>
        <v>0</v>
      </c>
      <c r="F8" s="7">
        <f t="shared" si="0"/>
        <v>0</v>
      </c>
      <c r="G8" s="32">
        <v>1</v>
      </c>
      <c r="H8" s="9">
        <f>VLOOKUP(G8,'DATOS MAQUINA '!H:J,3)</f>
        <v>0</v>
      </c>
      <c r="I8" s="7">
        <f t="shared" si="1"/>
        <v>0</v>
      </c>
      <c r="J8" s="32">
        <v>1</v>
      </c>
      <c r="K8" s="9">
        <f>VLOOKUP(J8,'DATOS MAQUINA '!K:M,3)</f>
        <v>0</v>
      </c>
      <c r="L8" s="7">
        <f t="shared" si="2"/>
        <v>0</v>
      </c>
      <c r="M8" s="32">
        <v>1</v>
      </c>
      <c r="N8" s="9">
        <f>VLOOKUP(M8,'DATOS MAQUINA '!N:P,3)</f>
        <v>0</v>
      </c>
      <c r="O8" s="7">
        <f t="shared" si="3"/>
        <v>0</v>
      </c>
      <c r="P8" s="32">
        <v>1</v>
      </c>
      <c r="Q8" s="9">
        <f>VLOOKUP(P8,'DATOS MAQUINA '!Q:S,3)</f>
        <v>0</v>
      </c>
      <c r="R8" s="7">
        <f t="shared" si="6"/>
        <v>0</v>
      </c>
      <c r="S8" s="32">
        <v>1</v>
      </c>
      <c r="T8" s="9">
        <f>VLOOKUP(S8,'DATOS MAQUINA '!T:V,3)</f>
        <v>0</v>
      </c>
      <c r="U8" s="7">
        <f t="shared" si="4"/>
        <v>0</v>
      </c>
      <c r="W8" s="5">
        <v>16</v>
      </c>
      <c r="X8" s="11"/>
    </row>
    <row r="9" spans="1:28" ht="13.5" thickBot="1" x14ac:dyDescent="0.25">
      <c r="A9" s="32">
        <v>2</v>
      </c>
      <c r="B9" s="9">
        <f>VLOOKUP(A9,'DATOS MAQUINA '!B:D,3)</f>
        <v>0</v>
      </c>
      <c r="C9" s="7">
        <f t="shared" si="5"/>
        <v>0</v>
      </c>
      <c r="D9" s="32">
        <v>2</v>
      </c>
      <c r="E9" s="9">
        <f>VLOOKUP(D9,'DATOS MAQUINA '!E:G,3)</f>
        <v>0</v>
      </c>
      <c r="F9" s="7">
        <f t="shared" si="0"/>
        <v>0</v>
      </c>
      <c r="G9" s="32">
        <v>2</v>
      </c>
      <c r="H9" s="9">
        <f>VLOOKUP(G9,'DATOS MAQUINA '!H:J,3)</f>
        <v>0</v>
      </c>
      <c r="I9" s="7">
        <f t="shared" si="1"/>
        <v>0</v>
      </c>
      <c r="J9" s="32">
        <v>2</v>
      </c>
      <c r="K9" s="9">
        <f>VLOOKUP(J9,'DATOS MAQUINA '!K:M,3)</f>
        <v>0</v>
      </c>
      <c r="L9" s="7">
        <f t="shared" si="2"/>
        <v>0</v>
      </c>
      <c r="M9" s="32">
        <v>2</v>
      </c>
      <c r="N9" s="9">
        <f>VLOOKUP(M9,'DATOS MAQUINA '!N:P,3)</f>
        <v>0</v>
      </c>
      <c r="O9" s="7">
        <f t="shared" si="3"/>
        <v>0</v>
      </c>
      <c r="P9" s="32">
        <v>2</v>
      </c>
      <c r="Q9" s="9">
        <f>VLOOKUP(P9,'DATOS MAQUINA '!Q:S,3)</f>
        <v>0</v>
      </c>
      <c r="R9" s="7">
        <f t="shared" si="6"/>
        <v>0</v>
      </c>
      <c r="S9" s="32">
        <v>2</v>
      </c>
      <c r="T9" s="9">
        <f>VLOOKUP(S9,'DATOS MAQUINA '!T:V,3)</f>
        <v>0</v>
      </c>
      <c r="U9" s="7">
        <f>+I44</f>
        <v>0</v>
      </c>
      <c r="W9" s="6">
        <v>32</v>
      </c>
      <c r="X9" s="11"/>
      <c r="Z9" s="3"/>
    </row>
    <row r="10" spans="1:28" x14ac:dyDescent="0.2">
      <c r="A10" s="32">
        <v>3</v>
      </c>
      <c r="B10" s="9">
        <f>VLOOKUP(A10,'DATOS MAQUINA '!B:D,3)</f>
        <v>0</v>
      </c>
      <c r="C10" s="7">
        <f t="shared" si="5"/>
        <v>0</v>
      </c>
      <c r="D10" s="32">
        <v>3</v>
      </c>
      <c r="E10" s="9">
        <f>VLOOKUP(D10,'DATOS MAQUINA '!E:G,3)</f>
        <v>0</v>
      </c>
      <c r="F10" s="7">
        <f t="shared" si="0"/>
        <v>0</v>
      </c>
      <c r="G10" s="32">
        <v>3</v>
      </c>
      <c r="H10" s="9">
        <f>VLOOKUP(G10,'DATOS MAQUINA '!H:J,3)</f>
        <v>0</v>
      </c>
      <c r="I10" s="7">
        <f t="shared" si="1"/>
        <v>0</v>
      </c>
      <c r="J10" s="32">
        <v>3</v>
      </c>
      <c r="K10" s="9">
        <f>VLOOKUP(J10,'DATOS MAQUINA '!K:M,3)</f>
        <v>0</v>
      </c>
      <c r="L10" s="7">
        <f t="shared" si="2"/>
        <v>0</v>
      </c>
      <c r="M10" s="32">
        <v>3</v>
      </c>
      <c r="N10" s="9">
        <f>VLOOKUP(M10,'DATOS MAQUINA '!N:P,3)</f>
        <v>0</v>
      </c>
      <c r="O10" s="7">
        <f t="shared" si="3"/>
        <v>0</v>
      </c>
      <c r="P10" s="32">
        <v>3</v>
      </c>
      <c r="Q10" s="9">
        <f>VLOOKUP(P10,'DATOS MAQUINA '!Q:S,3)</f>
        <v>0</v>
      </c>
      <c r="R10" s="7">
        <f t="shared" si="6"/>
        <v>0</v>
      </c>
      <c r="S10" s="32">
        <v>3</v>
      </c>
      <c r="T10" s="9">
        <f>VLOOKUP(S10,'DATOS MAQUINA '!T:V,3)</f>
        <v>0</v>
      </c>
      <c r="U10" s="7">
        <f t="shared" si="4"/>
        <v>0</v>
      </c>
      <c r="W10" s="2"/>
      <c r="X10" s="2"/>
      <c r="Z10" s="3"/>
    </row>
    <row r="11" spans="1:28" s="2" customFormat="1" x14ac:dyDescent="0.2">
      <c r="A11" s="32">
        <v>4</v>
      </c>
      <c r="B11" s="9">
        <f>VLOOKUP(A11,'DATOS MAQUINA '!B:D,3)</f>
        <v>0</v>
      </c>
      <c r="C11" s="7">
        <f t="shared" si="5"/>
        <v>0</v>
      </c>
      <c r="D11" s="32">
        <v>4</v>
      </c>
      <c r="E11" s="9">
        <f>VLOOKUP(D11,'DATOS MAQUINA '!E:G,3)</f>
        <v>0</v>
      </c>
      <c r="F11" s="7">
        <f t="shared" si="0"/>
        <v>0</v>
      </c>
      <c r="G11" s="32">
        <v>4</v>
      </c>
      <c r="H11" s="9">
        <f>VLOOKUP(G11,'DATOS MAQUINA '!H:J,3)</f>
        <v>0</v>
      </c>
      <c r="I11" s="7">
        <f t="shared" si="1"/>
        <v>0</v>
      </c>
      <c r="J11" s="32">
        <v>4</v>
      </c>
      <c r="K11" s="9">
        <f>VLOOKUP(J11,'DATOS MAQUINA '!K:M,3)</f>
        <v>0</v>
      </c>
      <c r="L11" s="7">
        <f t="shared" si="2"/>
        <v>0</v>
      </c>
      <c r="M11" s="32">
        <v>4</v>
      </c>
      <c r="N11" s="9">
        <f>VLOOKUP(M11,'DATOS MAQUINA '!N:P,3)</f>
        <v>0</v>
      </c>
      <c r="O11" s="7">
        <f t="shared" si="3"/>
        <v>0</v>
      </c>
      <c r="P11" s="32">
        <v>4</v>
      </c>
      <c r="Q11" s="9">
        <f>VLOOKUP(P11,'DATOS MAQUINA '!Q:S,3)</f>
        <v>0</v>
      </c>
      <c r="R11" s="7">
        <f t="shared" si="6"/>
        <v>0</v>
      </c>
      <c r="S11" s="32">
        <v>4</v>
      </c>
      <c r="T11" s="9">
        <f>VLOOKUP(S11,'DATOS MAQUINA '!T:V,3)</f>
        <v>0</v>
      </c>
      <c r="U11" s="7">
        <f t="shared" si="4"/>
        <v>0</v>
      </c>
      <c r="W11" s="1"/>
      <c r="X11" s="1"/>
      <c r="Y11" s="1"/>
      <c r="Z11" s="3"/>
    </row>
    <row r="12" spans="1:28" x14ac:dyDescent="0.2">
      <c r="A12" s="32">
        <v>6</v>
      </c>
      <c r="B12" s="9">
        <f>VLOOKUP(A12,'DATOS MAQUINA '!B:D,3)</f>
        <v>0</v>
      </c>
      <c r="C12" s="7">
        <f t="shared" si="5"/>
        <v>0</v>
      </c>
      <c r="D12" s="32">
        <v>6</v>
      </c>
      <c r="E12" s="9">
        <f>VLOOKUP(D12,'DATOS MAQUINA '!E:G,3)</f>
        <v>0</v>
      </c>
      <c r="F12" s="7">
        <f t="shared" si="0"/>
        <v>0</v>
      </c>
      <c r="G12" s="32">
        <v>6</v>
      </c>
      <c r="H12" s="9">
        <f>VLOOKUP(G12,'DATOS MAQUINA '!H:J,3)</f>
        <v>0</v>
      </c>
      <c r="I12" s="7">
        <f t="shared" si="1"/>
        <v>0</v>
      </c>
      <c r="J12" s="32">
        <v>6</v>
      </c>
      <c r="K12" s="9">
        <f>VLOOKUP(J12,'DATOS MAQUINA '!K:M,3)</f>
        <v>0</v>
      </c>
      <c r="L12" s="7">
        <f t="shared" si="2"/>
        <v>0</v>
      </c>
      <c r="M12" s="32">
        <v>6</v>
      </c>
      <c r="N12" s="9">
        <f>VLOOKUP(M12,'DATOS MAQUINA '!N:P,3)</f>
        <v>0</v>
      </c>
      <c r="O12" s="7">
        <f t="shared" si="3"/>
        <v>0</v>
      </c>
      <c r="P12" s="32">
        <v>6</v>
      </c>
      <c r="Q12" s="9">
        <f>VLOOKUP(P12,'DATOS MAQUINA '!Q:S,3)</f>
        <v>0</v>
      </c>
      <c r="R12" s="7">
        <f t="shared" si="6"/>
        <v>0</v>
      </c>
      <c r="S12" s="32">
        <v>6</v>
      </c>
      <c r="T12" s="9">
        <f>VLOOKUP(S12,'DATOS MAQUINA '!T:V,3)</f>
        <v>0</v>
      </c>
      <c r="U12" s="7">
        <f t="shared" si="4"/>
        <v>0</v>
      </c>
      <c r="Z12" s="3"/>
    </row>
    <row r="13" spans="1:28" x14ac:dyDescent="0.2">
      <c r="A13" s="32">
        <v>9</v>
      </c>
      <c r="B13" s="9">
        <f>VLOOKUP(A13,'DATOS MAQUINA '!B:D,3)</f>
        <v>0</v>
      </c>
      <c r="C13" s="7">
        <f t="shared" si="5"/>
        <v>0</v>
      </c>
      <c r="D13" s="32">
        <v>9</v>
      </c>
      <c r="E13" s="9">
        <f>VLOOKUP(D13,'DATOS MAQUINA '!E:G,3)</f>
        <v>0</v>
      </c>
      <c r="F13" s="7">
        <f t="shared" si="0"/>
        <v>0</v>
      </c>
      <c r="G13" s="32">
        <v>9</v>
      </c>
      <c r="H13" s="9">
        <f>VLOOKUP(G13,'DATOS MAQUINA '!H:J,3)</f>
        <v>0</v>
      </c>
      <c r="I13" s="7">
        <f t="shared" si="1"/>
        <v>0</v>
      </c>
      <c r="J13" s="32">
        <v>9</v>
      </c>
      <c r="K13" s="9">
        <f>VLOOKUP(J13,'DATOS MAQUINA '!K:M,3)</f>
        <v>0</v>
      </c>
      <c r="L13" s="7">
        <f t="shared" si="2"/>
        <v>0</v>
      </c>
      <c r="M13" s="32">
        <v>9</v>
      </c>
      <c r="N13" s="9">
        <f>VLOOKUP(M13,'DATOS MAQUINA '!N:P,3)</f>
        <v>0</v>
      </c>
      <c r="O13" s="7">
        <f t="shared" si="3"/>
        <v>0</v>
      </c>
      <c r="P13" s="32">
        <v>9</v>
      </c>
      <c r="Q13" s="9">
        <f>VLOOKUP(P13,'DATOS MAQUINA '!Q:S,3)</f>
        <v>0</v>
      </c>
      <c r="R13" s="7">
        <f t="shared" si="6"/>
        <v>0</v>
      </c>
      <c r="S13" s="32">
        <v>9</v>
      </c>
      <c r="T13" s="9">
        <f>VLOOKUP(S13,'DATOS MAQUINA '!T:V,3)</f>
        <v>0</v>
      </c>
      <c r="U13" s="7">
        <f t="shared" si="4"/>
        <v>0</v>
      </c>
      <c r="Z13" s="3"/>
    </row>
    <row r="14" spans="1:28" s="2" customFormat="1" x14ac:dyDescent="0.2">
      <c r="A14" s="32">
        <v>12</v>
      </c>
      <c r="B14" s="9">
        <f>VLOOKUP(A14,'DATOS MAQUINA '!B:D,3)</f>
        <v>0</v>
      </c>
      <c r="C14" s="7">
        <f t="shared" si="5"/>
        <v>0</v>
      </c>
      <c r="D14" s="32">
        <v>12</v>
      </c>
      <c r="E14" s="9">
        <f>VLOOKUP(D14,'DATOS MAQUINA '!E:G,3)</f>
        <v>0</v>
      </c>
      <c r="F14" s="7">
        <f t="shared" si="0"/>
        <v>0</v>
      </c>
      <c r="G14" s="32">
        <v>12</v>
      </c>
      <c r="H14" s="9">
        <f>VLOOKUP(G14,'DATOS MAQUINA '!H:J,3)</f>
        <v>0</v>
      </c>
      <c r="I14" s="7">
        <f t="shared" si="1"/>
        <v>0</v>
      </c>
      <c r="J14" s="32">
        <v>12</v>
      </c>
      <c r="K14" s="9">
        <f>VLOOKUP(J14,'DATOS MAQUINA '!K:M,3)</f>
        <v>0</v>
      </c>
      <c r="L14" s="7">
        <f t="shared" si="2"/>
        <v>0</v>
      </c>
      <c r="M14" s="32">
        <v>12</v>
      </c>
      <c r="N14" s="9">
        <f>VLOOKUP(M14,'DATOS MAQUINA '!N:P,3)</f>
        <v>0</v>
      </c>
      <c r="O14" s="7">
        <f t="shared" si="3"/>
        <v>0</v>
      </c>
      <c r="P14" s="32">
        <v>12</v>
      </c>
      <c r="Q14" s="9">
        <f>VLOOKUP(P14,'DATOS MAQUINA '!Q:S,3)</f>
        <v>0</v>
      </c>
      <c r="R14" s="7">
        <f t="shared" si="6"/>
        <v>0</v>
      </c>
      <c r="S14" s="32">
        <v>12</v>
      </c>
      <c r="T14" s="9">
        <f>VLOOKUP(S14,'DATOS MAQUINA '!T:V,3)</f>
        <v>0</v>
      </c>
      <c r="U14" s="7">
        <f t="shared" si="4"/>
        <v>0</v>
      </c>
      <c r="Z14" s="3"/>
    </row>
    <row r="15" spans="1:28" x14ac:dyDescent="0.2">
      <c r="A15" s="32">
        <v>16</v>
      </c>
      <c r="B15" s="9">
        <f>VLOOKUP(A15,'DATOS MAQUINA '!B:D,3)</f>
        <v>0</v>
      </c>
      <c r="C15" s="7">
        <f t="shared" si="5"/>
        <v>0</v>
      </c>
      <c r="D15" s="32">
        <v>16</v>
      </c>
      <c r="E15" s="9">
        <f>VLOOKUP(D15,'DATOS MAQUINA '!E:G,3)</f>
        <v>0</v>
      </c>
      <c r="F15" s="7">
        <f t="shared" si="0"/>
        <v>0</v>
      </c>
      <c r="G15" s="32">
        <v>16</v>
      </c>
      <c r="H15" s="9">
        <f>VLOOKUP(G15,'DATOS MAQUINA '!H:J,3)</f>
        <v>0</v>
      </c>
      <c r="I15" s="7">
        <f t="shared" si="1"/>
        <v>0</v>
      </c>
      <c r="J15" s="32">
        <v>16</v>
      </c>
      <c r="K15" s="9">
        <f>VLOOKUP(J15,'DATOS MAQUINA '!K:M,3)</f>
        <v>0</v>
      </c>
      <c r="L15" s="7">
        <f t="shared" si="2"/>
        <v>0</v>
      </c>
      <c r="M15" s="32">
        <v>16</v>
      </c>
      <c r="N15" s="9">
        <f>VLOOKUP(M15,'DATOS MAQUINA '!N:P,3)</f>
        <v>0</v>
      </c>
      <c r="O15" s="7">
        <f t="shared" si="3"/>
        <v>0</v>
      </c>
      <c r="P15" s="32">
        <v>16</v>
      </c>
      <c r="Q15" s="9">
        <f>VLOOKUP(P15,'DATOS MAQUINA '!Q:S,3)</f>
        <v>0</v>
      </c>
      <c r="R15" s="7">
        <f t="shared" si="6"/>
        <v>0</v>
      </c>
      <c r="S15" s="32">
        <v>16</v>
      </c>
      <c r="T15" s="9">
        <f>VLOOKUP(S15,'DATOS MAQUINA '!T:V,3)</f>
        <v>0</v>
      </c>
      <c r="U15" s="7">
        <f t="shared" si="4"/>
        <v>0</v>
      </c>
      <c r="Z15" s="3"/>
    </row>
    <row r="16" spans="1:28" x14ac:dyDescent="0.2">
      <c r="A16" s="32">
        <v>25</v>
      </c>
      <c r="B16" s="9">
        <f>VLOOKUP(A16,'DATOS MAQUINA '!B:D,3)</f>
        <v>0</v>
      </c>
      <c r="C16" s="7">
        <f t="shared" si="5"/>
        <v>0</v>
      </c>
      <c r="D16" s="32">
        <v>25</v>
      </c>
      <c r="E16" s="9">
        <f>VLOOKUP(D16,'DATOS MAQUINA '!E:G,3)</f>
        <v>0</v>
      </c>
      <c r="F16" s="7">
        <f t="shared" si="0"/>
        <v>0</v>
      </c>
      <c r="G16" s="32">
        <v>25</v>
      </c>
      <c r="H16" s="9">
        <f>VLOOKUP(G16,'DATOS MAQUINA '!H:J,3)</f>
        <v>0</v>
      </c>
      <c r="I16" s="7">
        <f t="shared" si="1"/>
        <v>0</v>
      </c>
      <c r="J16" s="32">
        <v>25</v>
      </c>
      <c r="K16" s="9">
        <f>VLOOKUP(J16,'DATOS MAQUINA '!K:M,3)</f>
        <v>0</v>
      </c>
      <c r="L16" s="7">
        <f t="shared" si="2"/>
        <v>0</v>
      </c>
      <c r="M16" s="32">
        <v>25</v>
      </c>
      <c r="N16" s="9">
        <f>VLOOKUP(M16,'DATOS MAQUINA '!N:P,3)</f>
        <v>0</v>
      </c>
      <c r="O16" s="7">
        <f t="shared" si="3"/>
        <v>0</v>
      </c>
      <c r="P16" s="32">
        <v>25</v>
      </c>
      <c r="Q16" s="9">
        <f>VLOOKUP(P16,'DATOS MAQUINA '!Q:S,3)</f>
        <v>0</v>
      </c>
      <c r="R16" s="7">
        <f t="shared" si="6"/>
        <v>0</v>
      </c>
      <c r="S16" s="32">
        <v>25</v>
      </c>
      <c r="T16" s="9">
        <f>VLOOKUP(S16,'DATOS MAQUINA '!T:V,3)</f>
        <v>0</v>
      </c>
      <c r="U16" s="7">
        <f t="shared" si="4"/>
        <v>0</v>
      </c>
      <c r="Z16" s="3"/>
    </row>
    <row r="17" spans="1:26" x14ac:dyDescent="0.2">
      <c r="A17" s="32">
        <v>36</v>
      </c>
      <c r="B17" s="9">
        <f>VLOOKUP(A17,'DATOS MAQUINA '!B:D,3)</f>
        <v>0</v>
      </c>
      <c r="C17" s="7">
        <f t="shared" si="5"/>
        <v>0</v>
      </c>
      <c r="D17" s="32">
        <v>36</v>
      </c>
      <c r="E17" s="9">
        <f>VLOOKUP(D17,'DATOS MAQUINA '!E:G,3)</f>
        <v>0</v>
      </c>
      <c r="F17" s="7">
        <f t="shared" si="0"/>
        <v>0</v>
      </c>
      <c r="G17" s="32">
        <v>36</v>
      </c>
      <c r="H17" s="9">
        <f>VLOOKUP(G17,'DATOS MAQUINA '!H:J,3)</f>
        <v>0</v>
      </c>
      <c r="I17" s="7">
        <f t="shared" si="1"/>
        <v>0</v>
      </c>
      <c r="J17" s="32">
        <v>36</v>
      </c>
      <c r="K17" s="9">
        <f>VLOOKUP(J17,'DATOS MAQUINA '!K:M,3)</f>
        <v>0</v>
      </c>
      <c r="L17" s="7">
        <f t="shared" si="2"/>
        <v>0</v>
      </c>
      <c r="M17" s="32">
        <v>36</v>
      </c>
      <c r="N17" s="9">
        <f>VLOOKUP(M17,'DATOS MAQUINA '!N:P,3)</f>
        <v>0</v>
      </c>
      <c r="O17" s="7">
        <f t="shared" si="3"/>
        <v>0</v>
      </c>
      <c r="P17" s="32">
        <v>36</v>
      </c>
      <c r="Q17" s="9">
        <f>VLOOKUP(P17,'DATOS MAQUINA '!Q:S,3)</f>
        <v>0</v>
      </c>
      <c r="R17" s="7">
        <f t="shared" si="6"/>
        <v>0</v>
      </c>
      <c r="S17" s="32">
        <v>36</v>
      </c>
      <c r="T17" s="9">
        <f>VLOOKUP(S17,'DATOS MAQUINA '!T:V,3)</f>
        <v>0</v>
      </c>
      <c r="U17" s="7">
        <f t="shared" si="4"/>
        <v>0</v>
      </c>
      <c r="Z17" s="3"/>
    </row>
    <row r="18" spans="1:26" x14ac:dyDescent="0.2">
      <c r="A18" s="32">
        <v>49</v>
      </c>
      <c r="B18" s="9">
        <f>VLOOKUP(A18,'DATOS MAQUINA '!B:D,3)</f>
        <v>0</v>
      </c>
      <c r="C18" s="7">
        <f t="shared" si="5"/>
        <v>0</v>
      </c>
      <c r="D18" s="32">
        <v>49</v>
      </c>
      <c r="E18" s="9">
        <f>VLOOKUP(D18,'DATOS MAQUINA '!E:G,3)</f>
        <v>0</v>
      </c>
      <c r="F18" s="7">
        <f t="shared" si="0"/>
        <v>0</v>
      </c>
      <c r="G18" s="32">
        <v>49</v>
      </c>
      <c r="H18" s="9">
        <f>VLOOKUP(G18,'DATOS MAQUINA '!H:J,3)</f>
        <v>0</v>
      </c>
      <c r="I18" s="7">
        <f t="shared" si="1"/>
        <v>0</v>
      </c>
      <c r="J18" s="32">
        <v>49</v>
      </c>
      <c r="K18" s="9">
        <f>VLOOKUP(J18,'DATOS MAQUINA '!K:M,3)</f>
        <v>0</v>
      </c>
      <c r="L18" s="7">
        <f t="shared" si="2"/>
        <v>0</v>
      </c>
      <c r="M18" s="32">
        <v>49</v>
      </c>
      <c r="N18" s="9">
        <f>VLOOKUP(M18,'DATOS MAQUINA '!N:P,3)</f>
        <v>0</v>
      </c>
      <c r="O18" s="7">
        <f t="shared" si="3"/>
        <v>0</v>
      </c>
      <c r="P18" s="32">
        <v>49</v>
      </c>
      <c r="Q18" s="9">
        <f>VLOOKUP(P18,'DATOS MAQUINA '!Q:S,3)</f>
        <v>0</v>
      </c>
      <c r="R18" s="7">
        <f t="shared" si="6"/>
        <v>0</v>
      </c>
      <c r="S18" s="32">
        <v>49</v>
      </c>
      <c r="T18" s="9">
        <f>VLOOKUP(S18,'DATOS MAQUINA '!T:V,3)</f>
        <v>0</v>
      </c>
      <c r="U18" s="7">
        <f t="shared" si="4"/>
        <v>0</v>
      </c>
      <c r="Z18" s="3"/>
    </row>
    <row r="19" spans="1:26" x14ac:dyDescent="0.2">
      <c r="A19" s="32">
        <v>64</v>
      </c>
      <c r="B19" s="9">
        <f>VLOOKUP(A19,'DATOS MAQUINA '!B:D,3)</f>
        <v>0</v>
      </c>
      <c r="C19" s="7">
        <f t="shared" si="5"/>
        <v>0</v>
      </c>
      <c r="D19" s="32">
        <v>64</v>
      </c>
      <c r="E19" s="9">
        <f>VLOOKUP(D19,'DATOS MAQUINA '!E:G,3)</f>
        <v>0</v>
      </c>
      <c r="F19" s="7">
        <f t="shared" si="0"/>
        <v>0</v>
      </c>
      <c r="G19" s="32">
        <v>64</v>
      </c>
      <c r="H19" s="9">
        <f>VLOOKUP(G19,'DATOS MAQUINA '!H:J,3)</f>
        <v>0</v>
      </c>
      <c r="I19" s="7">
        <f t="shared" si="1"/>
        <v>0</v>
      </c>
      <c r="J19" s="32">
        <v>64</v>
      </c>
      <c r="K19" s="9">
        <f>VLOOKUP(J19,'DATOS MAQUINA '!K:M,3)</f>
        <v>0</v>
      </c>
      <c r="L19" s="7">
        <f t="shared" si="2"/>
        <v>0</v>
      </c>
      <c r="M19" s="32">
        <v>64</v>
      </c>
      <c r="N19" s="9">
        <f>VLOOKUP(M19,'DATOS MAQUINA '!N:P,3)</f>
        <v>0</v>
      </c>
      <c r="O19" s="7">
        <f t="shared" si="3"/>
        <v>0</v>
      </c>
      <c r="P19" s="32">
        <v>64</v>
      </c>
      <c r="Q19" s="9">
        <f>VLOOKUP(P19,'DATOS MAQUINA '!Q:S,3)</f>
        <v>0</v>
      </c>
      <c r="R19" s="7">
        <f t="shared" si="6"/>
        <v>0</v>
      </c>
      <c r="S19" s="32">
        <v>64</v>
      </c>
      <c r="T19" s="9">
        <f>VLOOKUP(S19,'DATOS MAQUINA '!T:V,3)</f>
        <v>0</v>
      </c>
      <c r="U19" s="7">
        <f t="shared" ref="U19:U34" si="7">+I59</f>
        <v>0</v>
      </c>
      <c r="Z19" s="3"/>
    </row>
    <row r="20" spans="1:26" x14ac:dyDescent="0.2">
      <c r="A20" s="32">
        <v>81</v>
      </c>
      <c r="B20" s="9">
        <f>VLOOKUP(A20,'DATOS MAQUINA '!B:D,3)</f>
        <v>0</v>
      </c>
      <c r="C20" s="7">
        <f t="shared" si="5"/>
        <v>0</v>
      </c>
      <c r="D20" s="32">
        <v>81</v>
      </c>
      <c r="E20" s="9">
        <f>VLOOKUP(D20,'DATOS MAQUINA '!E:G,3)</f>
        <v>0</v>
      </c>
      <c r="F20" s="7">
        <f t="shared" si="0"/>
        <v>0</v>
      </c>
      <c r="G20" s="32">
        <v>81</v>
      </c>
      <c r="H20" s="9">
        <f>VLOOKUP(G20,'DATOS MAQUINA '!H:J,3)</f>
        <v>0</v>
      </c>
      <c r="I20" s="7">
        <f t="shared" si="1"/>
        <v>0</v>
      </c>
      <c r="J20" s="32">
        <v>81</v>
      </c>
      <c r="K20" s="9">
        <f>VLOOKUP(J20,'DATOS MAQUINA '!K:M,3)</f>
        <v>0</v>
      </c>
      <c r="L20" s="7">
        <f t="shared" si="2"/>
        <v>0</v>
      </c>
      <c r="M20" s="32">
        <v>81</v>
      </c>
      <c r="N20" s="9">
        <f>VLOOKUP(M20,'DATOS MAQUINA '!N:P,3)</f>
        <v>0</v>
      </c>
      <c r="O20" s="7">
        <f t="shared" si="3"/>
        <v>0</v>
      </c>
      <c r="P20" s="32">
        <v>81</v>
      </c>
      <c r="Q20" s="9">
        <f>VLOOKUP(P20,'DATOS MAQUINA '!Q:S,3)</f>
        <v>0</v>
      </c>
      <c r="R20" s="7">
        <f t="shared" si="6"/>
        <v>0</v>
      </c>
      <c r="S20" s="32">
        <v>81</v>
      </c>
      <c r="T20" s="9">
        <f>VLOOKUP(S20,'DATOS MAQUINA '!T:V,3)</f>
        <v>0</v>
      </c>
      <c r="U20" s="7">
        <f t="shared" si="7"/>
        <v>0</v>
      </c>
      <c r="Z20" s="3"/>
    </row>
    <row r="21" spans="1:26" x14ac:dyDescent="0.2">
      <c r="A21" s="32">
        <v>100</v>
      </c>
      <c r="B21" s="9">
        <f>VLOOKUP(A21,'DATOS MAQUINA '!B:D,3)</f>
        <v>0</v>
      </c>
      <c r="C21" s="7">
        <f t="shared" si="5"/>
        <v>0</v>
      </c>
      <c r="D21" s="32">
        <v>100</v>
      </c>
      <c r="E21" s="9">
        <f>VLOOKUP(D21,'DATOS MAQUINA '!E:G,3)</f>
        <v>0</v>
      </c>
      <c r="F21" s="7">
        <f t="shared" si="0"/>
        <v>0</v>
      </c>
      <c r="G21" s="32">
        <v>100</v>
      </c>
      <c r="H21" s="9">
        <f>VLOOKUP(G21,'DATOS MAQUINA '!H:J,3)</f>
        <v>0</v>
      </c>
      <c r="I21" s="7">
        <f t="shared" si="1"/>
        <v>0</v>
      </c>
      <c r="J21" s="32">
        <v>100</v>
      </c>
      <c r="K21" s="9">
        <f>VLOOKUP(J21,'DATOS MAQUINA '!K:M,3)</f>
        <v>0</v>
      </c>
      <c r="L21" s="7">
        <f t="shared" si="2"/>
        <v>0</v>
      </c>
      <c r="M21" s="32">
        <v>100</v>
      </c>
      <c r="N21" s="9">
        <f>VLOOKUP(M21,'DATOS MAQUINA '!N:P,3)</f>
        <v>0</v>
      </c>
      <c r="O21" s="7">
        <f t="shared" si="3"/>
        <v>0</v>
      </c>
      <c r="P21" s="32">
        <v>100</v>
      </c>
      <c r="Q21" s="9">
        <f>VLOOKUP(P21,'DATOS MAQUINA '!Q:S,3)</f>
        <v>0</v>
      </c>
      <c r="R21" s="7">
        <f t="shared" si="6"/>
        <v>0</v>
      </c>
      <c r="S21" s="32">
        <v>100</v>
      </c>
      <c r="T21" s="9">
        <f>VLOOKUP(S21,'DATOS MAQUINA '!T:V,3)</f>
        <v>0</v>
      </c>
      <c r="U21" s="7">
        <f t="shared" si="7"/>
        <v>0</v>
      </c>
      <c r="Z21" s="3"/>
    </row>
    <row r="22" spans="1:26" x14ac:dyDescent="0.2">
      <c r="A22" s="32">
        <v>120</v>
      </c>
      <c r="B22" s="9">
        <f>VLOOKUP(A22,'DATOS MAQUINA '!B:D,3)</f>
        <v>0</v>
      </c>
      <c r="C22" s="7">
        <f t="shared" si="5"/>
        <v>0</v>
      </c>
      <c r="D22" s="32">
        <v>120</v>
      </c>
      <c r="E22" s="9">
        <f>VLOOKUP(D22,'DATOS MAQUINA '!E:G,3)</f>
        <v>0</v>
      </c>
      <c r="F22" s="7">
        <f t="shared" si="0"/>
        <v>0</v>
      </c>
      <c r="G22" s="32">
        <v>120</v>
      </c>
      <c r="H22" s="9">
        <f>VLOOKUP(G22,'DATOS MAQUINA '!H:J,3)</f>
        <v>0</v>
      </c>
      <c r="I22" s="7">
        <f>+E57</f>
        <v>0</v>
      </c>
      <c r="J22" s="32">
        <v>120</v>
      </c>
      <c r="K22" s="9">
        <f>VLOOKUP(J22,'DATOS MAQUINA '!K:M,3)</f>
        <v>0</v>
      </c>
      <c r="L22" s="7">
        <f t="shared" si="2"/>
        <v>0</v>
      </c>
      <c r="M22" s="32">
        <v>120</v>
      </c>
      <c r="N22" s="9">
        <f>VLOOKUP(M22,'DATOS MAQUINA '!N:P,3)</f>
        <v>0</v>
      </c>
      <c r="O22" s="7">
        <f t="shared" si="3"/>
        <v>0</v>
      </c>
      <c r="P22" s="32">
        <v>120</v>
      </c>
      <c r="Q22" s="9">
        <f>VLOOKUP(P22,'DATOS MAQUINA '!Q:S,3)</f>
        <v>0</v>
      </c>
      <c r="R22" s="7">
        <f t="shared" si="6"/>
        <v>0</v>
      </c>
      <c r="S22" s="32">
        <v>120</v>
      </c>
      <c r="T22" s="9">
        <f>VLOOKUP(S22,'DATOS MAQUINA '!T:V,3)</f>
        <v>0</v>
      </c>
      <c r="U22" s="7">
        <f t="shared" si="7"/>
        <v>0</v>
      </c>
      <c r="Z22" s="3"/>
    </row>
    <row r="23" spans="1:26" x14ac:dyDescent="0.2">
      <c r="A23" s="32">
        <v>144</v>
      </c>
      <c r="B23" s="9">
        <f>VLOOKUP(A23,'DATOS MAQUINA '!B:D,3)</f>
        <v>0</v>
      </c>
      <c r="C23" s="7">
        <f t="shared" si="5"/>
        <v>0</v>
      </c>
      <c r="D23" s="32">
        <v>144</v>
      </c>
      <c r="E23" s="9">
        <f>VLOOKUP(D23,'DATOS MAQUINA '!E:G,3)</f>
        <v>0</v>
      </c>
      <c r="F23" s="7">
        <f t="shared" si="0"/>
        <v>0</v>
      </c>
      <c r="G23" s="32">
        <v>144</v>
      </c>
      <c r="H23" s="9">
        <f>VLOOKUP(G23,'DATOS MAQUINA '!H:J,3)</f>
        <v>0</v>
      </c>
      <c r="I23" s="7">
        <f t="shared" si="1"/>
        <v>0</v>
      </c>
      <c r="J23" s="32">
        <v>144</v>
      </c>
      <c r="K23" s="9">
        <f>VLOOKUP(J23,'DATOS MAQUINA '!K:M,3)</f>
        <v>0</v>
      </c>
      <c r="L23" s="7">
        <f t="shared" si="2"/>
        <v>0</v>
      </c>
      <c r="M23" s="32">
        <v>144</v>
      </c>
      <c r="N23" s="9">
        <f>VLOOKUP(M23,'DATOS MAQUINA '!N:P,3)</f>
        <v>0</v>
      </c>
      <c r="O23" s="7">
        <f t="shared" si="3"/>
        <v>0</v>
      </c>
      <c r="P23" s="32">
        <v>144</v>
      </c>
      <c r="Q23" s="9">
        <f>VLOOKUP(P23,'DATOS MAQUINA '!Q:S,3)</f>
        <v>0</v>
      </c>
      <c r="R23" s="7">
        <f t="shared" si="6"/>
        <v>0</v>
      </c>
      <c r="S23" s="32">
        <v>144</v>
      </c>
      <c r="T23" s="9">
        <f>VLOOKUP(S23,'DATOS MAQUINA '!T:V,3)</f>
        <v>0</v>
      </c>
      <c r="U23" s="7">
        <f t="shared" si="7"/>
        <v>0</v>
      </c>
      <c r="Z23" s="3"/>
    </row>
    <row r="24" spans="1:26" x14ac:dyDescent="0.2">
      <c r="A24" s="32">
        <v>169</v>
      </c>
      <c r="B24" s="9">
        <f>VLOOKUP(A24,'DATOS MAQUINA '!B:D,3)</f>
        <v>0</v>
      </c>
      <c r="C24" s="7">
        <f t="shared" si="5"/>
        <v>0</v>
      </c>
      <c r="D24" s="32">
        <v>169</v>
      </c>
      <c r="E24" s="9">
        <f>VLOOKUP(D24,'DATOS MAQUINA '!E:G,3)</f>
        <v>0</v>
      </c>
      <c r="F24" s="7">
        <f t="shared" si="0"/>
        <v>0</v>
      </c>
      <c r="G24" s="32">
        <v>169</v>
      </c>
      <c r="H24" s="9">
        <f>VLOOKUP(G24,'DATOS MAQUINA '!H:J,3)</f>
        <v>0</v>
      </c>
      <c r="I24" s="7">
        <f t="shared" si="1"/>
        <v>0</v>
      </c>
      <c r="J24" s="32">
        <v>169</v>
      </c>
      <c r="K24" s="9">
        <f>VLOOKUP(J24,'DATOS MAQUINA '!K:M,3)</f>
        <v>0</v>
      </c>
      <c r="L24" s="7">
        <f t="shared" si="2"/>
        <v>0</v>
      </c>
      <c r="M24" s="32">
        <v>169</v>
      </c>
      <c r="N24" s="9">
        <f>VLOOKUP(M24,'DATOS MAQUINA '!N:P,3)</f>
        <v>0</v>
      </c>
      <c r="O24" s="7">
        <f t="shared" si="3"/>
        <v>0</v>
      </c>
      <c r="P24" s="32">
        <v>169</v>
      </c>
      <c r="Q24" s="9">
        <f>VLOOKUP(P24,'DATOS MAQUINA '!Q:S,3)</f>
        <v>0</v>
      </c>
      <c r="R24" s="7">
        <f t="shared" si="6"/>
        <v>0</v>
      </c>
      <c r="S24" s="32">
        <v>169</v>
      </c>
      <c r="T24" s="9">
        <f>VLOOKUP(S24,'DATOS MAQUINA '!T:V,3)</f>
        <v>0</v>
      </c>
      <c r="U24" s="7">
        <f t="shared" si="7"/>
        <v>0</v>
      </c>
      <c r="Z24" s="3"/>
    </row>
    <row r="25" spans="1:26" x14ac:dyDescent="0.2">
      <c r="A25" s="32">
        <v>196</v>
      </c>
      <c r="B25" s="9">
        <f>VLOOKUP(A25,'DATOS MAQUINA '!B:D,3)</f>
        <v>0</v>
      </c>
      <c r="C25" s="7">
        <f t="shared" si="5"/>
        <v>0</v>
      </c>
      <c r="D25" s="32">
        <v>196</v>
      </c>
      <c r="E25" s="9">
        <f>VLOOKUP(D25,'DATOS MAQUINA '!E:G,3)</f>
        <v>0</v>
      </c>
      <c r="F25" s="7">
        <f t="shared" si="0"/>
        <v>0</v>
      </c>
      <c r="G25" s="32">
        <v>196</v>
      </c>
      <c r="H25" s="9">
        <f>VLOOKUP(G25,'DATOS MAQUINA '!H:J,3)</f>
        <v>0</v>
      </c>
      <c r="I25" s="7">
        <f t="shared" si="1"/>
        <v>0</v>
      </c>
      <c r="J25" s="32">
        <v>196</v>
      </c>
      <c r="K25" s="9">
        <f>VLOOKUP(J25,'DATOS MAQUINA '!K:M,3)</f>
        <v>0</v>
      </c>
      <c r="L25" s="7">
        <f t="shared" si="2"/>
        <v>0</v>
      </c>
      <c r="M25" s="32">
        <v>196</v>
      </c>
      <c r="N25" s="9">
        <f>VLOOKUP(M25,'DATOS MAQUINA '!N:P,3)</f>
        <v>0</v>
      </c>
      <c r="O25" s="7">
        <f t="shared" si="3"/>
        <v>0</v>
      </c>
      <c r="P25" s="32">
        <v>196</v>
      </c>
      <c r="Q25" s="9">
        <f>VLOOKUP(P25,'DATOS MAQUINA '!Q:S,3)</f>
        <v>0</v>
      </c>
      <c r="R25" s="7">
        <f t="shared" si="6"/>
        <v>0</v>
      </c>
      <c r="S25" s="32">
        <v>196</v>
      </c>
      <c r="T25" s="9">
        <f>VLOOKUP(S25,'DATOS MAQUINA '!T:V,3)</f>
        <v>0</v>
      </c>
      <c r="U25" s="7">
        <f t="shared" si="7"/>
        <v>0</v>
      </c>
      <c r="Z25" s="3"/>
    </row>
    <row r="26" spans="1:26" x14ac:dyDescent="0.2">
      <c r="A26" s="32">
        <v>225</v>
      </c>
      <c r="B26" s="9">
        <f>VLOOKUP(A26,'DATOS MAQUINA '!B:D,3)</f>
        <v>0</v>
      </c>
      <c r="C26" s="7">
        <f t="shared" si="5"/>
        <v>0</v>
      </c>
      <c r="D26" s="32">
        <v>225</v>
      </c>
      <c r="E26" s="9">
        <f>VLOOKUP(D26,'DATOS MAQUINA '!E:G,3)</f>
        <v>0</v>
      </c>
      <c r="F26" s="7">
        <f t="shared" si="0"/>
        <v>0</v>
      </c>
      <c r="G26" s="32">
        <v>225</v>
      </c>
      <c r="H26" s="9">
        <f>VLOOKUP(G26,'DATOS MAQUINA '!H:J,3)</f>
        <v>0</v>
      </c>
      <c r="I26" s="7">
        <f t="shared" si="1"/>
        <v>0</v>
      </c>
      <c r="J26" s="32">
        <v>225</v>
      </c>
      <c r="K26" s="9">
        <f>VLOOKUP(J26,'DATOS MAQUINA '!K:M,3)</f>
        <v>0</v>
      </c>
      <c r="L26" s="7">
        <f t="shared" si="2"/>
        <v>0</v>
      </c>
      <c r="M26" s="32">
        <v>225</v>
      </c>
      <c r="N26" s="9">
        <f>VLOOKUP(M26,'DATOS MAQUINA '!N:P,3)</f>
        <v>0</v>
      </c>
      <c r="O26" s="7">
        <f t="shared" si="3"/>
        <v>0</v>
      </c>
      <c r="P26" s="32">
        <v>225</v>
      </c>
      <c r="Q26" s="9">
        <f>VLOOKUP(P26,'DATOS MAQUINA '!Q:S,3)</f>
        <v>0</v>
      </c>
      <c r="R26" s="7">
        <f t="shared" si="6"/>
        <v>0</v>
      </c>
      <c r="S26" s="32">
        <v>225</v>
      </c>
      <c r="T26" s="9">
        <f>VLOOKUP(S26,'DATOS MAQUINA '!T:V,3)</f>
        <v>0</v>
      </c>
      <c r="U26" s="7">
        <f t="shared" si="7"/>
        <v>0</v>
      </c>
      <c r="Z26" s="3"/>
    </row>
    <row r="27" spans="1:26" x14ac:dyDescent="0.2">
      <c r="A27" s="32">
        <v>256</v>
      </c>
      <c r="B27" s="9">
        <f>VLOOKUP(A27,'DATOS MAQUINA '!B:D,3)</f>
        <v>0</v>
      </c>
      <c r="C27" s="7">
        <f t="shared" si="5"/>
        <v>0</v>
      </c>
      <c r="D27" s="32">
        <v>256</v>
      </c>
      <c r="E27" s="9">
        <f>VLOOKUP(D27,'DATOS MAQUINA '!E:G,3)</f>
        <v>0</v>
      </c>
      <c r="F27" s="7">
        <f t="shared" si="0"/>
        <v>0</v>
      </c>
      <c r="G27" s="32">
        <v>256</v>
      </c>
      <c r="H27" s="9">
        <f>VLOOKUP(G27,'DATOS MAQUINA '!H:J,3)</f>
        <v>0</v>
      </c>
      <c r="I27" s="7">
        <f t="shared" si="1"/>
        <v>0</v>
      </c>
      <c r="J27" s="32">
        <v>256</v>
      </c>
      <c r="K27" s="9">
        <f>VLOOKUP(J27,'DATOS MAQUINA '!K:M,3)</f>
        <v>0</v>
      </c>
      <c r="L27" s="7">
        <f t="shared" si="2"/>
        <v>0</v>
      </c>
      <c r="M27" s="32">
        <v>256</v>
      </c>
      <c r="N27" s="9">
        <f>VLOOKUP(M27,'DATOS MAQUINA '!N:P,3)</f>
        <v>0</v>
      </c>
      <c r="O27" s="7">
        <f t="shared" si="3"/>
        <v>0</v>
      </c>
      <c r="P27" s="32">
        <v>256</v>
      </c>
      <c r="Q27" s="9">
        <f>VLOOKUP(P27,'DATOS MAQUINA '!Q:S,3)</f>
        <v>0</v>
      </c>
      <c r="R27" s="7">
        <f t="shared" si="6"/>
        <v>0</v>
      </c>
      <c r="S27" s="32">
        <v>256</v>
      </c>
      <c r="T27" s="9">
        <f>VLOOKUP(S27,'DATOS MAQUINA '!T:V,3)</f>
        <v>0</v>
      </c>
      <c r="U27" s="7">
        <f t="shared" si="7"/>
        <v>0</v>
      </c>
      <c r="Z27" s="3"/>
    </row>
    <row r="28" spans="1:26" x14ac:dyDescent="0.2">
      <c r="A28" s="32">
        <v>289</v>
      </c>
      <c r="B28" s="9">
        <f>VLOOKUP(A28,'DATOS MAQUINA '!B:D,3)</f>
        <v>0</v>
      </c>
      <c r="C28" s="7">
        <f t="shared" si="5"/>
        <v>0</v>
      </c>
      <c r="D28" s="32">
        <v>289</v>
      </c>
      <c r="E28" s="9">
        <f>VLOOKUP(D28,'DATOS MAQUINA '!E:G,3)</f>
        <v>0</v>
      </c>
      <c r="F28" s="7">
        <f t="shared" si="0"/>
        <v>0</v>
      </c>
      <c r="G28" s="32">
        <v>289</v>
      </c>
      <c r="H28" s="9">
        <f>VLOOKUP(G28,'DATOS MAQUINA '!H:J,3)</f>
        <v>0</v>
      </c>
      <c r="I28" s="7">
        <f t="shared" si="1"/>
        <v>0</v>
      </c>
      <c r="J28" s="32">
        <v>289</v>
      </c>
      <c r="K28" s="9">
        <f>VLOOKUP(J28,'DATOS MAQUINA '!K:M,3)</f>
        <v>0</v>
      </c>
      <c r="L28" s="7">
        <f t="shared" si="2"/>
        <v>0</v>
      </c>
      <c r="M28" s="32">
        <v>289</v>
      </c>
      <c r="N28" s="9">
        <f>VLOOKUP(M28,'DATOS MAQUINA '!N:P,3)</f>
        <v>0</v>
      </c>
      <c r="O28" s="7">
        <f t="shared" si="3"/>
        <v>0</v>
      </c>
      <c r="P28" s="32">
        <v>289</v>
      </c>
      <c r="Q28" s="9">
        <f>VLOOKUP(P28,'DATOS MAQUINA '!Q:S,3)</f>
        <v>0</v>
      </c>
      <c r="R28" s="7">
        <f t="shared" si="6"/>
        <v>0</v>
      </c>
      <c r="S28" s="32">
        <v>289</v>
      </c>
      <c r="T28" s="9">
        <f>VLOOKUP(S28,'DATOS MAQUINA '!T:V,3)</f>
        <v>0</v>
      </c>
      <c r="U28" s="7">
        <f t="shared" si="7"/>
        <v>0</v>
      </c>
      <c r="Z28" s="3"/>
    </row>
    <row r="29" spans="1:26" x14ac:dyDescent="0.2">
      <c r="A29" s="32">
        <v>324</v>
      </c>
      <c r="B29" s="9">
        <f>VLOOKUP(A29,'DATOS MAQUINA '!B:D,3)</f>
        <v>0</v>
      </c>
      <c r="C29" s="7">
        <f>+C64</f>
        <v>0</v>
      </c>
      <c r="D29" s="32">
        <v>324</v>
      </c>
      <c r="E29" s="9">
        <f>VLOOKUP(D29,'DATOS MAQUINA '!E:G,3)</f>
        <v>0</v>
      </c>
      <c r="F29" s="7">
        <f t="shared" si="0"/>
        <v>0</v>
      </c>
      <c r="G29" s="32">
        <v>324</v>
      </c>
      <c r="H29" s="9">
        <f>VLOOKUP(G29,'DATOS MAQUINA '!H:J,3)</f>
        <v>0</v>
      </c>
      <c r="I29" s="7">
        <f t="shared" si="1"/>
        <v>0</v>
      </c>
      <c r="J29" s="32">
        <v>324</v>
      </c>
      <c r="K29" s="9">
        <f>VLOOKUP(J29,'DATOS MAQUINA '!K:M,3)</f>
        <v>0</v>
      </c>
      <c r="L29" s="7">
        <f t="shared" si="2"/>
        <v>0</v>
      </c>
      <c r="M29" s="32">
        <v>324</v>
      </c>
      <c r="N29" s="9">
        <f>VLOOKUP(M29,'DATOS MAQUINA '!N:P,3)</f>
        <v>0</v>
      </c>
      <c r="O29" s="7">
        <f t="shared" si="3"/>
        <v>0</v>
      </c>
      <c r="P29" s="32">
        <v>324</v>
      </c>
      <c r="Q29" s="9">
        <f>VLOOKUP(P29,'DATOS MAQUINA '!Q:S,3)</f>
        <v>0</v>
      </c>
      <c r="R29" s="7">
        <f t="shared" si="6"/>
        <v>0</v>
      </c>
      <c r="S29" s="32">
        <v>324</v>
      </c>
      <c r="T29" s="9">
        <f>VLOOKUP(S29,'DATOS MAQUINA '!T:V,3)</f>
        <v>0</v>
      </c>
      <c r="U29" s="7">
        <f t="shared" si="7"/>
        <v>0</v>
      </c>
      <c r="Z29" s="3"/>
    </row>
    <row r="30" spans="1:26" x14ac:dyDescent="0.2">
      <c r="A30" s="32">
        <v>361</v>
      </c>
      <c r="B30" s="9">
        <f>VLOOKUP(A30,'DATOS MAQUINA '!B:D,3)</f>
        <v>0</v>
      </c>
      <c r="C30" s="7">
        <f t="shared" si="5"/>
        <v>0</v>
      </c>
      <c r="D30" s="32">
        <v>361</v>
      </c>
      <c r="E30" s="9">
        <f>VLOOKUP(D30,'DATOS MAQUINA '!E:G,3)</f>
        <v>0</v>
      </c>
      <c r="F30" s="7">
        <f t="shared" si="0"/>
        <v>0</v>
      </c>
      <c r="G30" s="32">
        <v>361</v>
      </c>
      <c r="H30" s="9">
        <f>VLOOKUP(G30,'DATOS MAQUINA '!H:J,3)</f>
        <v>0</v>
      </c>
      <c r="I30" s="7">
        <f t="shared" si="1"/>
        <v>0</v>
      </c>
      <c r="J30" s="32">
        <v>361</v>
      </c>
      <c r="K30" s="9">
        <f>VLOOKUP(J30,'DATOS MAQUINA '!K:M,3)</f>
        <v>0</v>
      </c>
      <c r="L30" s="7">
        <f t="shared" si="2"/>
        <v>0</v>
      </c>
      <c r="M30" s="32">
        <v>361</v>
      </c>
      <c r="N30" s="9">
        <f>VLOOKUP(M30,'DATOS MAQUINA '!N:P,3)</f>
        <v>0</v>
      </c>
      <c r="O30" s="7">
        <f t="shared" si="3"/>
        <v>0</v>
      </c>
      <c r="P30" s="32">
        <v>361</v>
      </c>
      <c r="Q30" s="9">
        <f>VLOOKUP(P30,'DATOS MAQUINA '!Q:S,3)</f>
        <v>0</v>
      </c>
      <c r="R30" s="7">
        <f t="shared" si="6"/>
        <v>0</v>
      </c>
      <c r="S30" s="32">
        <v>361</v>
      </c>
      <c r="T30" s="9">
        <f>VLOOKUP(S30,'DATOS MAQUINA '!T:V,3)</f>
        <v>0</v>
      </c>
      <c r="U30" s="7">
        <f t="shared" si="7"/>
        <v>0</v>
      </c>
      <c r="Z30" s="3"/>
    </row>
    <row r="31" spans="1:26" x14ac:dyDescent="0.2">
      <c r="A31" s="32">
        <v>400</v>
      </c>
      <c r="B31" s="9">
        <f>VLOOKUP(A31,'DATOS MAQUINA '!B:D,3)</f>
        <v>0</v>
      </c>
      <c r="C31" s="7">
        <f t="shared" si="5"/>
        <v>0</v>
      </c>
      <c r="D31" s="32">
        <v>400</v>
      </c>
      <c r="E31" s="9">
        <f>VLOOKUP(D31,'DATOS MAQUINA '!E:G,3)</f>
        <v>0</v>
      </c>
      <c r="F31" s="7">
        <f t="shared" si="0"/>
        <v>0</v>
      </c>
      <c r="G31" s="32">
        <v>400</v>
      </c>
      <c r="H31" s="9">
        <f>VLOOKUP(G31,'DATOS MAQUINA '!H:J,3)</f>
        <v>0</v>
      </c>
      <c r="I31" s="7">
        <f t="shared" si="1"/>
        <v>0</v>
      </c>
      <c r="J31" s="32">
        <v>400</v>
      </c>
      <c r="K31" s="9">
        <f>VLOOKUP(J31,'DATOS MAQUINA '!K:M,3)</f>
        <v>0</v>
      </c>
      <c r="L31" s="7">
        <f t="shared" si="2"/>
        <v>0</v>
      </c>
      <c r="M31" s="32">
        <v>400</v>
      </c>
      <c r="N31" s="9">
        <f>VLOOKUP(M31,'DATOS MAQUINA '!N:P,3)</f>
        <v>0</v>
      </c>
      <c r="O31" s="7">
        <f t="shared" si="3"/>
        <v>0</v>
      </c>
      <c r="P31" s="32">
        <v>400</v>
      </c>
      <c r="Q31" s="9">
        <f>VLOOKUP(P31,'DATOS MAQUINA '!Q:S,3)</f>
        <v>0</v>
      </c>
      <c r="R31" s="7">
        <f t="shared" si="6"/>
        <v>0</v>
      </c>
      <c r="S31" s="32">
        <v>400</v>
      </c>
      <c r="T31" s="9">
        <f>VLOOKUP(S31,'DATOS MAQUINA '!T:V,3)</f>
        <v>0</v>
      </c>
      <c r="U31" s="7">
        <f t="shared" si="7"/>
        <v>0</v>
      </c>
      <c r="Z31" s="3"/>
    </row>
    <row r="32" spans="1:26" x14ac:dyDescent="0.2">
      <c r="A32" s="32">
        <v>441</v>
      </c>
      <c r="B32" s="9">
        <f>VLOOKUP(A32,'DATOS MAQUINA '!B:D,3)</f>
        <v>0</v>
      </c>
      <c r="C32" s="7">
        <f t="shared" si="5"/>
        <v>0</v>
      </c>
      <c r="D32" s="32">
        <v>441</v>
      </c>
      <c r="E32" s="9">
        <f>VLOOKUP(D32,'DATOS MAQUINA '!E:G,3)</f>
        <v>0</v>
      </c>
      <c r="F32" s="7">
        <f t="shared" si="0"/>
        <v>0</v>
      </c>
      <c r="G32" s="32">
        <v>441</v>
      </c>
      <c r="H32" s="9">
        <f>VLOOKUP(G32,'DATOS MAQUINA '!H:J,3)</f>
        <v>0</v>
      </c>
      <c r="I32" s="7">
        <f t="shared" si="1"/>
        <v>0</v>
      </c>
      <c r="J32" s="32">
        <v>441</v>
      </c>
      <c r="K32" s="9">
        <f>VLOOKUP(J32,'DATOS MAQUINA '!K:M,3)</f>
        <v>0</v>
      </c>
      <c r="L32" s="7">
        <f t="shared" si="2"/>
        <v>0</v>
      </c>
      <c r="M32" s="32">
        <v>441</v>
      </c>
      <c r="N32" s="9">
        <f>VLOOKUP(M32,'DATOS MAQUINA '!N:P,3)</f>
        <v>0</v>
      </c>
      <c r="O32" s="7">
        <f t="shared" si="3"/>
        <v>0</v>
      </c>
      <c r="P32" s="32">
        <v>441</v>
      </c>
      <c r="Q32" s="9">
        <f>VLOOKUP(P32,'DATOS MAQUINA '!Q:S,3)</f>
        <v>0</v>
      </c>
      <c r="R32" s="7">
        <f t="shared" si="6"/>
        <v>0</v>
      </c>
      <c r="S32" s="32">
        <v>441</v>
      </c>
      <c r="T32" s="9">
        <f>VLOOKUP(S32,'DATOS MAQUINA '!T:V,3)</f>
        <v>0</v>
      </c>
      <c r="U32" s="7">
        <f t="shared" si="7"/>
        <v>0</v>
      </c>
      <c r="Z32" s="3"/>
    </row>
    <row r="33" spans="1:26" x14ac:dyDescent="0.2">
      <c r="A33" s="32">
        <v>484</v>
      </c>
      <c r="B33" s="9">
        <f>VLOOKUP(A33,'DATOS MAQUINA '!B:D,3)</f>
        <v>0</v>
      </c>
      <c r="C33" s="7">
        <f t="shared" si="5"/>
        <v>0</v>
      </c>
      <c r="D33" s="32">
        <v>484</v>
      </c>
      <c r="E33" s="9">
        <f>VLOOKUP(D33,'DATOS MAQUINA '!E:G,3)</f>
        <v>0</v>
      </c>
      <c r="F33" s="7">
        <f t="shared" si="0"/>
        <v>0</v>
      </c>
      <c r="G33" s="32">
        <v>484</v>
      </c>
      <c r="H33" s="9">
        <f>VLOOKUP(G33,'DATOS MAQUINA '!H:J,3)</f>
        <v>0</v>
      </c>
      <c r="I33" s="7">
        <f t="shared" si="1"/>
        <v>0</v>
      </c>
      <c r="J33" s="32">
        <v>484</v>
      </c>
      <c r="K33" s="9">
        <f>VLOOKUP(J33,'DATOS MAQUINA '!K:M,3)</f>
        <v>0</v>
      </c>
      <c r="L33" s="7">
        <f t="shared" si="2"/>
        <v>0</v>
      </c>
      <c r="M33" s="32">
        <v>484</v>
      </c>
      <c r="N33" s="9">
        <f>VLOOKUP(M33,'DATOS MAQUINA '!N:P,3)</f>
        <v>0</v>
      </c>
      <c r="O33" s="7">
        <f t="shared" si="3"/>
        <v>0</v>
      </c>
      <c r="P33" s="32">
        <v>484</v>
      </c>
      <c r="Q33" s="9">
        <f>VLOOKUP(P33,'DATOS MAQUINA '!Q:S,3)</f>
        <v>0</v>
      </c>
      <c r="R33" s="7">
        <f t="shared" si="6"/>
        <v>0</v>
      </c>
      <c r="S33" s="32">
        <v>484</v>
      </c>
      <c r="T33" s="9">
        <f>VLOOKUP(S33,'DATOS MAQUINA '!T:V,3)</f>
        <v>0</v>
      </c>
      <c r="U33" s="7">
        <f t="shared" si="7"/>
        <v>0</v>
      </c>
      <c r="Z33" s="3"/>
    </row>
    <row r="34" spans="1:26" x14ac:dyDescent="0.2">
      <c r="A34" s="32">
        <v>1440</v>
      </c>
      <c r="B34" s="9">
        <f>VLOOKUP(A34,'DATOS MAQUINA '!B:D,3)</f>
        <v>0</v>
      </c>
      <c r="C34" s="7">
        <f t="shared" si="5"/>
        <v>0</v>
      </c>
      <c r="D34" s="32">
        <v>1440</v>
      </c>
      <c r="E34" s="9">
        <f>VLOOKUP(D34,'DATOS MAQUINA '!E:G,3)</f>
        <v>0</v>
      </c>
      <c r="F34" s="7">
        <f t="shared" si="0"/>
        <v>0</v>
      </c>
      <c r="G34" s="32">
        <v>1440</v>
      </c>
      <c r="H34" s="9">
        <f>VLOOKUP(G34,'DATOS MAQUINA '!H:J,3)</f>
        <v>0</v>
      </c>
      <c r="I34" s="7">
        <f t="shared" si="1"/>
        <v>0</v>
      </c>
      <c r="J34" s="32">
        <v>1440</v>
      </c>
      <c r="K34" s="9">
        <f>VLOOKUP(J34,'DATOS MAQUINA '!K:M,3)</f>
        <v>0</v>
      </c>
      <c r="L34" s="7">
        <f t="shared" si="2"/>
        <v>0</v>
      </c>
      <c r="M34" s="32">
        <v>1440</v>
      </c>
      <c r="N34" s="9">
        <f>VLOOKUP(M34,'DATOS MAQUINA '!N:P,3)</f>
        <v>0</v>
      </c>
      <c r="O34" s="7">
        <f t="shared" si="3"/>
        <v>0</v>
      </c>
      <c r="P34" s="32">
        <v>1440</v>
      </c>
      <c r="Q34" s="9">
        <f>VLOOKUP(P34,'DATOS MAQUINA '!Q:S,3)</f>
        <v>0</v>
      </c>
      <c r="R34" s="7">
        <f t="shared" si="6"/>
        <v>0</v>
      </c>
      <c r="S34" s="32">
        <v>1440</v>
      </c>
      <c r="T34" s="9">
        <f>VLOOKUP(S34,'DATOS MAQUINA '!T:V,3)</f>
        <v>0</v>
      </c>
      <c r="U34" s="7">
        <f t="shared" si="7"/>
        <v>0</v>
      </c>
      <c r="Z34" s="3"/>
    </row>
    <row r="35" spans="1:26" x14ac:dyDescent="0.2">
      <c r="B35" s="3"/>
      <c r="E35" s="1"/>
    </row>
    <row r="37" spans="1:26" ht="18" x14ac:dyDescent="0.2">
      <c r="C37" s="433">
        <v>0.5</v>
      </c>
      <c r="D37" s="434">
        <v>1</v>
      </c>
      <c r="E37" s="434">
        <v>2</v>
      </c>
      <c r="F37" s="434">
        <v>4</v>
      </c>
      <c r="G37" s="434">
        <v>8</v>
      </c>
      <c r="H37" s="434">
        <v>16</v>
      </c>
      <c r="I37" s="434">
        <v>32</v>
      </c>
    </row>
    <row r="39" spans="1:26" x14ac:dyDescent="0.2">
      <c r="A39" s="1">
        <v>0</v>
      </c>
      <c r="B39" s="1">
        <v>0</v>
      </c>
      <c r="C39" s="3">
        <f>B4</f>
        <v>0</v>
      </c>
      <c r="D39" s="3">
        <f>E4</f>
        <v>0</v>
      </c>
      <c r="E39" s="3">
        <f>H4</f>
        <v>0</v>
      </c>
      <c r="F39" s="3">
        <f>K4</f>
        <v>0</v>
      </c>
      <c r="G39" s="3">
        <f>N4</f>
        <v>0</v>
      </c>
      <c r="H39" s="3">
        <f t="shared" ref="H39:H69" si="8">Q4</f>
        <v>0</v>
      </c>
      <c r="I39" s="3">
        <f>T4</f>
        <v>0</v>
      </c>
      <c r="K39" s="3"/>
      <c r="L39" s="3"/>
      <c r="M39" s="3"/>
      <c r="N39" s="3"/>
      <c r="O39" s="3"/>
      <c r="P39" s="3"/>
      <c r="Q39" s="3"/>
      <c r="R39" s="3"/>
    </row>
    <row r="40" spans="1:26" x14ac:dyDescent="0.2">
      <c r="A40" s="1" t="s">
        <v>73</v>
      </c>
      <c r="B40" s="1">
        <v>0.32</v>
      </c>
      <c r="C40" s="3">
        <f>B5</f>
        <v>0</v>
      </c>
      <c r="D40" s="3">
        <f t="shared" ref="D40:D69" si="9">E5</f>
        <v>0</v>
      </c>
      <c r="E40" s="3">
        <f>H5</f>
        <v>0</v>
      </c>
      <c r="F40" s="3">
        <f>K5</f>
        <v>0</v>
      </c>
      <c r="G40" s="3">
        <f>N5</f>
        <v>0</v>
      </c>
      <c r="H40" s="3">
        <f t="shared" si="8"/>
        <v>0</v>
      </c>
      <c r="I40" s="3">
        <f>T5</f>
        <v>0</v>
      </c>
      <c r="K40" s="3"/>
      <c r="L40" s="3"/>
      <c r="M40" s="3"/>
      <c r="N40" s="3"/>
      <c r="O40" s="3"/>
      <c r="P40" s="3"/>
      <c r="Q40" s="3"/>
      <c r="R40" s="3"/>
    </row>
    <row r="41" spans="1:26" x14ac:dyDescent="0.2">
      <c r="A41" s="1" t="s">
        <v>74</v>
      </c>
      <c r="B41" s="1">
        <v>0.55000000000000004</v>
      </c>
      <c r="C41" s="3">
        <f t="shared" ref="C41:C69" si="10">B6</f>
        <v>0</v>
      </c>
      <c r="D41" s="3">
        <f t="shared" si="9"/>
        <v>0</v>
      </c>
      <c r="E41" s="3">
        <f t="shared" ref="E41:E69" si="11">H6</f>
        <v>0</v>
      </c>
      <c r="F41" s="3">
        <f t="shared" ref="F41:F69" si="12">K6</f>
        <v>0</v>
      </c>
      <c r="G41" s="3">
        <f t="shared" ref="G41:G69" si="13">N6</f>
        <v>0</v>
      </c>
      <c r="H41" s="3">
        <f t="shared" si="8"/>
        <v>0</v>
      </c>
      <c r="I41" s="3">
        <f t="shared" ref="I41:I69" si="14">T6</f>
        <v>0</v>
      </c>
      <c r="K41" s="3"/>
      <c r="L41" s="3"/>
      <c r="M41" s="3"/>
      <c r="N41" s="3"/>
      <c r="O41" s="3"/>
      <c r="P41" s="3"/>
      <c r="Q41" s="3"/>
      <c r="R41" s="3"/>
    </row>
    <row r="42" spans="1:26" x14ac:dyDescent="0.2">
      <c r="A42" s="1" t="s">
        <v>76</v>
      </c>
      <c r="B42" s="1">
        <v>0.71</v>
      </c>
      <c r="C42" s="3">
        <f t="shared" si="10"/>
        <v>0</v>
      </c>
      <c r="D42" s="3">
        <f t="shared" si="9"/>
        <v>0</v>
      </c>
      <c r="E42" s="3">
        <f t="shared" si="11"/>
        <v>0</v>
      </c>
      <c r="F42" s="3">
        <f t="shared" si="12"/>
        <v>0</v>
      </c>
      <c r="G42" s="3">
        <f t="shared" si="13"/>
        <v>0</v>
      </c>
      <c r="H42" s="3">
        <f t="shared" si="8"/>
        <v>0</v>
      </c>
      <c r="I42" s="3">
        <f t="shared" si="14"/>
        <v>0</v>
      </c>
      <c r="K42" s="3"/>
      <c r="L42" s="3"/>
      <c r="M42" s="3"/>
      <c r="N42" s="3"/>
      <c r="O42" s="3"/>
      <c r="P42" s="3"/>
      <c r="Q42" s="3"/>
      <c r="R42" s="3"/>
    </row>
    <row r="43" spans="1:26" x14ac:dyDescent="0.2">
      <c r="A43" s="1">
        <v>1</v>
      </c>
      <c r="B43" s="1">
        <v>1</v>
      </c>
      <c r="C43" s="3">
        <f t="shared" si="10"/>
        <v>0</v>
      </c>
      <c r="D43" s="3">
        <f t="shared" si="9"/>
        <v>0</v>
      </c>
      <c r="E43" s="3">
        <f t="shared" si="11"/>
        <v>0</v>
      </c>
      <c r="F43" s="3">
        <f t="shared" si="12"/>
        <v>0</v>
      </c>
      <c r="G43" s="3">
        <f t="shared" si="13"/>
        <v>0</v>
      </c>
      <c r="H43" s="3">
        <f t="shared" si="8"/>
        <v>0</v>
      </c>
      <c r="I43" s="3">
        <f t="shared" si="14"/>
        <v>0</v>
      </c>
      <c r="K43" s="3"/>
      <c r="L43" s="3"/>
      <c r="M43" s="3"/>
      <c r="N43" s="3"/>
      <c r="O43" s="3"/>
      <c r="P43" s="3"/>
      <c r="Q43" s="3"/>
      <c r="R43" s="3"/>
    </row>
    <row r="44" spans="1:26" x14ac:dyDescent="0.2">
      <c r="A44" s="1">
        <v>2</v>
      </c>
      <c r="B44" s="1">
        <v>1.4142135623730951</v>
      </c>
      <c r="C44" s="3">
        <f t="shared" si="10"/>
        <v>0</v>
      </c>
      <c r="D44" s="3">
        <f t="shared" si="9"/>
        <v>0</v>
      </c>
      <c r="E44" s="3">
        <f t="shared" si="11"/>
        <v>0</v>
      </c>
      <c r="F44" s="3">
        <f t="shared" si="12"/>
        <v>0</v>
      </c>
      <c r="G44" s="3">
        <f t="shared" si="13"/>
        <v>0</v>
      </c>
      <c r="H44" s="3">
        <f t="shared" si="8"/>
        <v>0</v>
      </c>
      <c r="I44" s="3">
        <f t="shared" si="14"/>
        <v>0</v>
      </c>
      <c r="K44" s="3"/>
      <c r="L44" s="3"/>
      <c r="M44" s="3"/>
      <c r="N44" s="3"/>
      <c r="O44" s="3"/>
      <c r="P44" s="3"/>
      <c r="Q44" s="3"/>
      <c r="R44" s="3"/>
    </row>
    <row r="45" spans="1:26" x14ac:dyDescent="0.2">
      <c r="A45" s="1">
        <v>3</v>
      </c>
      <c r="B45" s="1">
        <v>1.7320508075688772</v>
      </c>
      <c r="C45" s="3">
        <f t="shared" si="10"/>
        <v>0</v>
      </c>
      <c r="D45" s="3">
        <f t="shared" si="9"/>
        <v>0</v>
      </c>
      <c r="E45" s="3">
        <f t="shared" si="11"/>
        <v>0</v>
      </c>
      <c r="F45" s="3">
        <f t="shared" si="12"/>
        <v>0</v>
      </c>
      <c r="G45" s="3">
        <f t="shared" si="13"/>
        <v>0</v>
      </c>
      <c r="H45" s="3">
        <f t="shared" si="8"/>
        <v>0</v>
      </c>
      <c r="I45" s="3">
        <f t="shared" si="14"/>
        <v>0</v>
      </c>
      <c r="K45" s="3"/>
      <c r="L45" s="3"/>
      <c r="M45" s="3"/>
      <c r="N45" s="3"/>
      <c r="O45" s="3"/>
      <c r="P45" s="3"/>
      <c r="Q45" s="3"/>
      <c r="R45" s="3"/>
    </row>
    <row r="46" spans="1:26" x14ac:dyDescent="0.2">
      <c r="A46" s="1">
        <v>4</v>
      </c>
      <c r="B46" s="1">
        <v>2</v>
      </c>
      <c r="C46" s="3">
        <f t="shared" si="10"/>
        <v>0</v>
      </c>
      <c r="D46" s="3">
        <f t="shared" si="9"/>
        <v>0</v>
      </c>
      <c r="E46" s="3">
        <f t="shared" si="11"/>
        <v>0</v>
      </c>
      <c r="F46" s="3">
        <f t="shared" si="12"/>
        <v>0</v>
      </c>
      <c r="G46" s="3">
        <f t="shared" si="13"/>
        <v>0</v>
      </c>
      <c r="H46" s="3">
        <f t="shared" si="8"/>
        <v>0</v>
      </c>
      <c r="I46" s="3">
        <f t="shared" si="14"/>
        <v>0</v>
      </c>
      <c r="K46" s="3"/>
      <c r="L46" s="3"/>
      <c r="M46" s="3"/>
      <c r="N46" s="3"/>
      <c r="O46" s="3"/>
      <c r="P46" s="3"/>
      <c r="Q46" s="3"/>
      <c r="R46" s="3"/>
    </row>
    <row r="47" spans="1:26" x14ac:dyDescent="0.2">
      <c r="A47" s="1">
        <v>6</v>
      </c>
      <c r="B47" s="1">
        <v>2.4494897427831779</v>
      </c>
      <c r="C47" s="3">
        <f t="shared" si="10"/>
        <v>0</v>
      </c>
      <c r="D47" s="3">
        <f t="shared" si="9"/>
        <v>0</v>
      </c>
      <c r="E47" s="3">
        <f t="shared" si="11"/>
        <v>0</v>
      </c>
      <c r="F47" s="3">
        <f t="shared" si="12"/>
        <v>0</v>
      </c>
      <c r="G47" s="3">
        <f t="shared" si="13"/>
        <v>0</v>
      </c>
      <c r="H47" s="3">
        <f t="shared" si="8"/>
        <v>0</v>
      </c>
      <c r="I47" s="3">
        <f t="shared" si="14"/>
        <v>0</v>
      </c>
      <c r="K47" s="3"/>
      <c r="L47" s="3"/>
      <c r="M47" s="3"/>
      <c r="N47" s="3"/>
      <c r="O47" s="3"/>
      <c r="P47" s="3"/>
      <c r="Q47" s="3"/>
      <c r="R47" s="3"/>
    </row>
    <row r="48" spans="1:26" x14ac:dyDescent="0.2">
      <c r="A48" s="1">
        <v>9</v>
      </c>
      <c r="B48" s="1">
        <v>3</v>
      </c>
      <c r="C48" s="3">
        <f t="shared" si="10"/>
        <v>0</v>
      </c>
      <c r="D48" s="3">
        <f t="shared" si="9"/>
        <v>0</v>
      </c>
      <c r="E48" s="3">
        <f t="shared" si="11"/>
        <v>0</v>
      </c>
      <c r="F48" s="3">
        <f t="shared" si="12"/>
        <v>0</v>
      </c>
      <c r="G48" s="3">
        <f t="shared" si="13"/>
        <v>0</v>
      </c>
      <c r="H48" s="3">
        <f>Q13</f>
        <v>0</v>
      </c>
      <c r="I48" s="3">
        <f t="shared" si="14"/>
        <v>0</v>
      </c>
      <c r="K48" s="3"/>
      <c r="L48" s="3"/>
      <c r="M48" s="3"/>
      <c r="N48" s="3"/>
      <c r="O48" s="3"/>
      <c r="P48" s="3"/>
      <c r="Q48" s="3"/>
      <c r="R48" s="3"/>
    </row>
    <row r="49" spans="1:18" x14ac:dyDescent="0.2">
      <c r="A49" s="1">
        <v>12</v>
      </c>
      <c r="B49" s="1">
        <v>3.4641016151377544</v>
      </c>
      <c r="C49" s="3">
        <f t="shared" si="10"/>
        <v>0</v>
      </c>
      <c r="D49" s="3">
        <f t="shared" si="9"/>
        <v>0</v>
      </c>
      <c r="E49" s="3">
        <f t="shared" si="11"/>
        <v>0</v>
      </c>
      <c r="F49" s="3">
        <f t="shared" si="12"/>
        <v>0</v>
      </c>
      <c r="G49" s="3">
        <f t="shared" si="13"/>
        <v>0</v>
      </c>
      <c r="H49" s="3">
        <f t="shared" si="8"/>
        <v>0</v>
      </c>
      <c r="I49" s="3">
        <f t="shared" si="14"/>
        <v>0</v>
      </c>
      <c r="K49" s="3"/>
      <c r="L49" s="3"/>
      <c r="M49" s="3"/>
      <c r="N49" s="3"/>
      <c r="O49" s="3"/>
      <c r="P49" s="3"/>
      <c r="Q49" s="3"/>
      <c r="R49" s="3"/>
    </row>
    <row r="50" spans="1:18" x14ac:dyDescent="0.2">
      <c r="A50" s="1">
        <v>16</v>
      </c>
      <c r="B50" s="1">
        <v>4</v>
      </c>
      <c r="C50" s="3">
        <f t="shared" si="10"/>
        <v>0</v>
      </c>
      <c r="D50" s="3">
        <f t="shared" si="9"/>
        <v>0</v>
      </c>
      <c r="E50" s="3">
        <f t="shared" si="11"/>
        <v>0</v>
      </c>
      <c r="F50" s="3">
        <f t="shared" si="12"/>
        <v>0</v>
      </c>
      <c r="G50" s="3">
        <f t="shared" si="13"/>
        <v>0</v>
      </c>
      <c r="H50" s="3">
        <f t="shared" si="8"/>
        <v>0</v>
      </c>
      <c r="I50" s="3">
        <f t="shared" si="14"/>
        <v>0</v>
      </c>
      <c r="K50" s="3"/>
      <c r="L50" s="3"/>
      <c r="M50" s="3"/>
      <c r="N50" s="3"/>
      <c r="O50" s="3"/>
      <c r="P50" s="3"/>
      <c r="Q50" s="3"/>
      <c r="R50" s="3"/>
    </row>
    <row r="51" spans="1:18" x14ac:dyDescent="0.2">
      <c r="A51" s="1">
        <v>25</v>
      </c>
      <c r="B51" s="1">
        <v>5</v>
      </c>
      <c r="C51" s="3">
        <f t="shared" si="10"/>
        <v>0</v>
      </c>
      <c r="D51" s="3">
        <f t="shared" si="9"/>
        <v>0</v>
      </c>
      <c r="E51" s="3">
        <f t="shared" si="11"/>
        <v>0</v>
      </c>
      <c r="F51" s="3">
        <f t="shared" si="12"/>
        <v>0</v>
      </c>
      <c r="G51" s="3">
        <f t="shared" si="13"/>
        <v>0</v>
      </c>
      <c r="H51" s="3">
        <f t="shared" si="8"/>
        <v>0</v>
      </c>
      <c r="I51" s="3">
        <f t="shared" si="14"/>
        <v>0</v>
      </c>
      <c r="K51" s="3"/>
      <c r="L51" s="3"/>
      <c r="M51" s="3"/>
      <c r="N51" s="3"/>
      <c r="O51" s="3"/>
      <c r="P51" s="3"/>
      <c r="Q51" s="3"/>
      <c r="R51" s="3"/>
    </row>
    <row r="52" spans="1:18" x14ac:dyDescent="0.2">
      <c r="A52" s="1">
        <v>36</v>
      </c>
      <c r="B52" s="1">
        <v>6</v>
      </c>
      <c r="C52" s="3">
        <f t="shared" si="10"/>
        <v>0</v>
      </c>
      <c r="D52" s="3">
        <f t="shared" si="9"/>
        <v>0</v>
      </c>
      <c r="E52" s="3">
        <f t="shared" si="11"/>
        <v>0</v>
      </c>
      <c r="F52" s="3">
        <f t="shared" si="12"/>
        <v>0</v>
      </c>
      <c r="G52" s="3">
        <f t="shared" si="13"/>
        <v>0</v>
      </c>
      <c r="H52" s="3">
        <f t="shared" si="8"/>
        <v>0</v>
      </c>
      <c r="I52" s="3">
        <f t="shared" si="14"/>
        <v>0</v>
      </c>
      <c r="K52" s="3"/>
      <c r="L52" s="3"/>
      <c r="M52" s="3"/>
      <c r="N52" s="3"/>
      <c r="O52" s="3"/>
      <c r="P52" s="3"/>
      <c r="Q52" s="3"/>
      <c r="R52" s="3"/>
    </row>
    <row r="53" spans="1:18" x14ac:dyDescent="0.2">
      <c r="A53" s="1">
        <v>49</v>
      </c>
      <c r="B53" s="1">
        <v>7</v>
      </c>
      <c r="C53" s="3">
        <f t="shared" si="10"/>
        <v>0</v>
      </c>
      <c r="D53" s="3">
        <f t="shared" si="9"/>
        <v>0</v>
      </c>
      <c r="E53" s="3">
        <f t="shared" si="11"/>
        <v>0</v>
      </c>
      <c r="F53" s="3">
        <f t="shared" si="12"/>
        <v>0</v>
      </c>
      <c r="G53" s="3">
        <f t="shared" si="13"/>
        <v>0</v>
      </c>
      <c r="H53" s="3">
        <f t="shared" si="8"/>
        <v>0</v>
      </c>
      <c r="I53" s="3">
        <f t="shared" si="14"/>
        <v>0</v>
      </c>
      <c r="K53" s="3"/>
      <c r="L53" s="3"/>
      <c r="M53" s="3"/>
      <c r="N53" s="3"/>
      <c r="O53" s="3"/>
      <c r="P53" s="3"/>
      <c r="Q53" s="3"/>
      <c r="R53" s="3"/>
    </row>
    <row r="54" spans="1:18" x14ac:dyDescent="0.2">
      <c r="A54" s="1">
        <v>64</v>
      </c>
      <c r="B54" s="1">
        <v>8</v>
      </c>
      <c r="C54" s="3">
        <f t="shared" si="10"/>
        <v>0</v>
      </c>
      <c r="D54" s="3">
        <f t="shared" si="9"/>
        <v>0</v>
      </c>
      <c r="E54" s="3">
        <f t="shared" si="11"/>
        <v>0</v>
      </c>
      <c r="F54" s="3">
        <f t="shared" si="12"/>
        <v>0</v>
      </c>
      <c r="G54" s="3">
        <f t="shared" si="13"/>
        <v>0</v>
      </c>
      <c r="H54" s="3">
        <f t="shared" si="8"/>
        <v>0</v>
      </c>
      <c r="I54" s="3">
        <f t="shared" si="14"/>
        <v>0</v>
      </c>
      <c r="K54" s="3"/>
      <c r="L54" s="3"/>
      <c r="M54" s="3"/>
      <c r="N54" s="3"/>
      <c r="O54" s="3"/>
      <c r="P54" s="3"/>
      <c r="Q54" s="3"/>
      <c r="R54" s="3"/>
    </row>
    <row r="55" spans="1:18" x14ac:dyDescent="0.2">
      <c r="A55" s="1">
        <v>81</v>
      </c>
      <c r="B55" s="1">
        <v>9</v>
      </c>
      <c r="C55" s="3">
        <f t="shared" si="10"/>
        <v>0</v>
      </c>
      <c r="D55" s="3">
        <f t="shared" si="9"/>
        <v>0</v>
      </c>
      <c r="E55" s="3">
        <f t="shared" si="11"/>
        <v>0</v>
      </c>
      <c r="F55" s="3">
        <f t="shared" si="12"/>
        <v>0</v>
      </c>
      <c r="G55" s="3">
        <f t="shared" si="13"/>
        <v>0</v>
      </c>
      <c r="H55" s="3">
        <f t="shared" si="8"/>
        <v>0</v>
      </c>
      <c r="I55" s="3">
        <f t="shared" si="14"/>
        <v>0</v>
      </c>
      <c r="K55" s="3"/>
      <c r="L55" s="3"/>
      <c r="M55" s="3"/>
      <c r="N55" s="3"/>
      <c r="O55" s="3"/>
      <c r="P55" s="3"/>
      <c r="Q55" s="3"/>
      <c r="R55" s="3"/>
    </row>
    <row r="56" spans="1:18" x14ac:dyDescent="0.2">
      <c r="A56" s="1">
        <v>100</v>
      </c>
      <c r="B56" s="1">
        <v>10</v>
      </c>
      <c r="C56" s="3">
        <f t="shared" si="10"/>
        <v>0</v>
      </c>
      <c r="D56" s="3">
        <f t="shared" si="9"/>
        <v>0</v>
      </c>
      <c r="E56" s="3">
        <f t="shared" si="11"/>
        <v>0</v>
      </c>
      <c r="F56" s="3">
        <f t="shared" si="12"/>
        <v>0</v>
      </c>
      <c r="G56" s="3">
        <f t="shared" si="13"/>
        <v>0</v>
      </c>
      <c r="H56" s="3">
        <f t="shared" si="8"/>
        <v>0</v>
      </c>
      <c r="I56" s="3">
        <f t="shared" si="14"/>
        <v>0</v>
      </c>
      <c r="K56" s="3"/>
      <c r="L56" s="3"/>
      <c r="M56" s="3"/>
      <c r="N56" s="3"/>
      <c r="O56" s="3"/>
      <c r="P56" s="3"/>
      <c r="Q56" s="3"/>
      <c r="R56" s="3"/>
    </row>
    <row r="57" spans="1:18" x14ac:dyDescent="0.2">
      <c r="A57" s="1">
        <v>120</v>
      </c>
      <c r="B57" s="1">
        <v>10.954451150103322</v>
      </c>
      <c r="C57" s="3">
        <f t="shared" si="10"/>
        <v>0</v>
      </c>
      <c r="D57" s="3">
        <f t="shared" si="9"/>
        <v>0</v>
      </c>
      <c r="E57" s="3">
        <f t="shared" si="11"/>
        <v>0</v>
      </c>
      <c r="F57" s="3">
        <f t="shared" si="12"/>
        <v>0</v>
      </c>
      <c r="G57" s="3">
        <f t="shared" si="13"/>
        <v>0</v>
      </c>
      <c r="H57" s="3">
        <f t="shared" si="8"/>
        <v>0</v>
      </c>
      <c r="I57" s="3">
        <f t="shared" si="14"/>
        <v>0</v>
      </c>
      <c r="K57" s="3"/>
      <c r="L57" s="3"/>
      <c r="M57" s="3"/>
      <c r="N57" s="3"/>
      <c r="O57" s="3"/>
      <c r="P57" s="3"/>
      <c r="Q57" s="3"/>
      <c r="R57" s="3"/>
    </row>
    <row r="58" spans="1:18" x14ac:dyDescent="0.2">
      <c r="A58" s="1">
        <v>144</v>
      </c>
      <c r="B58" s="1">
        <v>12</v>
      </c>
      <c r="C58" s="3">
        <f t="shared" si="10"/>
        <v>0</v>
      </c>
      <c r="D58" s="3">
        <f t="shared" si="9"/>
        <v>0</v>
      </c>
      <c r="E58" s="3">
        <f t="shared" si="11"/>
        <v>0</v>
      </c>
      <c r="F58" s="3">
        <f t="shared" si="12"/>
        <v>0</v>
      </c>
      <c r="G58" s="3">
        <f t="shared" si="13"/>
        <v>0</v>
      </c>
      <c r="H58" s="3">
        <f t="shared" si="8"/>
        <v>0</v>
      </c>
      <c r="I58" s="3">
        <f t="shared" si="14"/>
        <v>0</v>
      </c>
      <c r="K58" s="3"/>
      <c r="L58" s="3"/>
      <c r="M58" s="3"/>
      <c r="N58" s="3"/>
      <c r="O58" s="3"/>
      <c r="P58" s="3"/>
      <c r="Q58" s="3"/>
      <c r="R58" s="3"/>
    </row>
    <row r="59" spans="1:18" x14ac:dyDescent="0.2">
      <c r="A59" s="1">
        <v>169</v>
      </c>
      <c r="B59" s="1">
        <v>13</v>
      </c>
      <c r="C59" s="3">
        <f t="shared" si="10"/>
        <v>0</v>
      </c>
      <c r="D59" s="3">
        <f t="shared" si="9"/>
        <v>0</v>
      </c>
      <c r="E59" s="3">
        <f t="shared" si="11"/>
        <v>0</v>
      </c>
      <c r="F59" s="3">
        <f t="shared" si="12"/>
        <v>0</v>
      </c>
      <c r="G59" s="3">
        <f t="shared" si="13"/>
        <v>0</v>
      </c>
      <c r="H59" s="3">
        <f t="shared" si="8"/>
        <v>0</v>
      </c>
      <c r="I59" s="3">
        <f t="shared" si="14"/>
        <v>0</v>
      </c>
      <c r="K59" s="3"/>
      <c r="L59" s="3"/>
      <c r="M59" s="3"/>
      <c r="N59" s="3"/>
      <c r="O59" s="3"/>
      <c r="P59" s="3"/>
      <c r="Q59" s="3"/>
      <c r="R59" s="3"/>
    </row>
    <row r="60" spans="1:18" x14ac:dyDescent="0.2">
      <c r="A60" s="1">
        <v>196</v>
      </c>
      <c r="B60" s="1">
        <v>14</v>
      </c>
      <c r="C60" s="3">
        <f t="shared" si="10"/>
        <v>0</v>
      </c>
      <c r="D60" s="3">
        <f t="shared" si="9"/>
        <v>0</v>
      </c>
      <c r="E60" s="3">
        <f t="shared" si="11"/>
        <v>0</v>
      </c>
      <c r="F60" s="3">
        <f t="shared" si="12"/>
        <v>0</v>
      </c>
      <c r="G60" s="3">
        <f t="shared" si="13"/>
        <v>0</v>
      </c>
      <c r="H60" s="3">
        <f t="shared" si="8"/>
        <v>0</v>
      </c>
      <c r="I60" s="3">
        <f t="shared" si="14"/>
        <v>0</v>
      </c>
      <c r="K60" s="3"/>
      <c r="L60" s="3"/>
      <c r="M60" s="3"/>
      <c r="N60" s="3"/>
      <c r="O60" s="3"/>
      <c r="P60" s="3"/>
      <c r="Q60" s="3"/>
      <c r="R60" s="3"/>
    </row>
    <row r="61" spans="1:18" x14ac:dyDescent="0.2">
      <c r="A61" s="1">
        <v>225</v>
      </c>
      <c r="B61" s="1">
        <v>15</v>
      </c>
      <c r="C61" s="3">
        <f t="shared" si="10"/>
        <v>0</v>
      </c>
      <c r="D61" s="3">
        <f t="shared" si="9"/>
        <v>0</v>
      </c>
      <c r="E61" s="3">
        <f t="shared" si="11"/>
        <v>0</v>
      </c>
      <c r="F61" s="3">
        <f t="shared" si="12"/>
        <v>0</v>
      </c>
      <c r="G61" s="3">
        <f t="shared" si="13"/>
        <v>0</v>
      </c>
      <c r="H61" s="3">
        <f t="shared" si="8"/>
        <v>0</v>
      </c>
      <c r="I61" s="3">
        <f t="shared" si="14"/>
        <v>0</v>
      </c>
      <c r="K61" s="3"/>
      <c r="L61" s="3"/>
      <c r="M61" s="3"/>
      <c r="N61" s="3"/>
      <c r="O61" s="3"/>
      <c r="P61" s="3"/>
      <c r="Q61" s="3"/>
      <c r="R61" s="3"/>
    </row>
    <row r="62" spans="1:18" x14ac:dyDescent="0.2">
      <c r="A62" s="1">
        <v>256</v>
      </c>
      <c r="B62" s="1">
        <v>16</v>
      </c>
      <c r="C62" s="3">
        <f t="shared" si="10"/>
        <v>0</v>
      </c>
      <c r="D62" s="3">
        <f t="shared" si="9"/>
        <v>0</v>
      </c>
      <c r="E62" s="3">
        <f t="shared" si="11"/>
        <v>0</v>
      </c>
      <c r="F62" s="3">
        <f t="shared" si="12"/>
        <v>0</v>
      </c>
      <c r="G62" s="3">
        <f t="shared" si="13"/>
        <v>0</v>
      </c>
      <c r="H62" s="3">
        <f t="shared" si="8"/>
        <v>0</v>
      </c>
      <c r="I62" s="3">
        <f t="shared" si="14"/>
        <v>0</v>
      </c>
      <c r="K62" s="3"/>
      <c r="L62" s="3"/>
      <c r="M62" s="3"/>
      <c r="N62" s="3"/>
      <c r="O62" s="3"/>
      <c r="P62" s="3"/>
      <c r="Q62" s="3"/>
      <c r="R62" s="3"/>
    </row>
    <row r="63" spans="1:18" x14ac:dyDescent="0.2">
      <c r="A63" s="1">
        <v>289</v>
      </c>
      <c r="B63" s="1">
        <v>17</v>
      </c>
      <c r="C63" s="3">
        <f t="shared" si="10"/>
        <v>0</v>
      </c>
      <c r="D63" s="3">
        <f t="shared" si="9"/>
        <v>0</v>
      </c>
      <c r="E63" s="3">
        <f t="shared" si="11"/>
        <v>0</v>
      </c>
      <c r="F63" s="3">
        <f t="shared" si="12"/>
        <v>0</v>
      </c>
      <c r="G63" s="3">
        <f t="shared" si="13"/>
        <v>0</v>
      </c>
      <c r="H63" s="3">
        <f t="shared" si="8"/>
        <v>0</v>
      </c>
      <c r="I63" s="3">
        <f t="shared" si="14"/>
        <v>0</v>
      </c>
      <c r="K63" s="3"/>
      <c r="L63" s="3"/>
      <c r="M63" s="3"/>
      <c r="N63" s="3"/>
      <c r="O63" s="3"/>
      <c r="P63" s="3"/>
      <c r="Q63" s="3"/>
      <c r="R63" s="3"/>
    </row>
    <row r="64" spans="1:18" x14ac:dyDescent="0.2">
      <c r="A64" s="1">
        <v>324</v>
      </c>
      <c r="B64" s="1">
        <v>18</v>
      </c>
      <c r="C64" s="3">
        <f t="shared" si="10"/>
        <v>0</v>
      </c>
      <c r="D64" s="3">
        <f t="shared" si="9"/>
        <v>0</v>
      </c>
      <c r="E64" s="3">
        <f t="shared" si="11"/>
        <v>0</v>
      </c>
      <c r="F64" s="3">
        <f t="shared" si="12"/>
        <v>0</v>
      </c>
      <c r="G64" s="3">
        <f t="shared" si="13"/>
        <v>0</v>
      </c>
      <c r="H64" s="3">
        <f t="shared" si="8"/>
        <v>0</v>
      </c>
      <c r="I64" s="3">
        <f t="shared" si="14"/>
        <v>0</v>
      </c>
      <c r="K64" s="3"/>
      <c r="L64" s="3"/>
      <c r="M64" s="3"/>
      <c r="N64" s="3"/>
      <c r="O64" s="3"/>
      <c r="P64" s="3"/>
      <c r="Q64" s="3"/>
      <c r="R64" s="3"/>
    </row>
    <row r="65" spans="1:18" x14ac:dyDescent="0.2">
      <c r="A65" s="1">
        <v>361</v>
      </c>
      <c r="B65" s="1">
        <v>19</v>
      </c>
      <c r="C65" s="3">
        <f t="shared" si="10"/>
        <v>0</v>
      </c>
      <c r="D65" s="3">
        <f t="shared" si="9"/>
        <v>0</v>
      </c>
      <c r="E65" s="3">
        <f t="shared" si="11"/>
        <v>0</v>
      </c>
      <c r="F65" s="3">
        <f t="shared" si="12"/>
        <v>0</v>
      </c>
      <c r="G65" s="3">
        <f t="shared" si="13"/>
        <v>0</v>
      </c>
      <c r="H65" s="3">
        <f t="shared" si="8"/>
        <v>0</v>
      </c>
      <c r="I65" s="3">
        <f t="shared" si="14"/>
        <v>0</v>
      </c>
      <c r="K65" s="3"/>
      <c r="L65" s="3"/>
      <c r="M65" s="3"/>
      <c r="N65" s="3"/>
      <c r="O65" s="3"/>
      <c r="P65" s="3"/>
      <c r="Q65" s="3"/>
      <c r="R65" s="3"/>
    </row>
    <row r="66" spans="1:18" x14ac:dyDescent="0.2">
      <c r="A66" s="1">
        <v>400</v>
      </c>
      <c r="B66" s="1">
        <v>20</v>
      </c>
      <c r="C66" s="3">
        <f t="shared" si="10"/>
        <v>0</v>
      </c>
      <c r="D66" s="3">
        <f t="shared" si="9"/>
        <v>0</v>
      </c>
      <c r="E66" s="3">
        <f t="shared" si="11"/>
        <v>0</v>
      </c>
      <c r="F66" s="3">
        <f t="shared" si="12"/>
        <v>0</v>
      </c>
      <c r="G66" s="3">
        <f t="shared" si="13"/>
        <v>0</v>
      </c>
      <c r="H66" s="3">
        <f t="shared" si="8"/>
        <v>0</v>
      </c>
      <c r="I66" s="3">
        <f t="shared" si="14"/>
        <v>0</v>
      </c>
      <c r="K66" s="3"/>
      <c r="L66" s="3"/>
      <c r="M66" s="3"/>
      <c r="N66" s="3"/>
      <c r="O66" s="3"/>
      <c r="P66" s="3"/>
      <c r="Q66" s="3"/>
      <c r="R66" s="3"/>
    </row>
    <row r="67" spans="1:18" x14ac:dyDescent="0.2">
      <c r="A67" s="1">
        <v>441</v>
      </c>
      <c r="B67" s="1">
        <v>21</v>
      </c>
      <c r="C67" s="3">
        <f t="shared" si="10"/>
        <v>0</v>
      </c>
      <c r="D67" s="3">
        <f t="shared" si="9"/>
        <v>0</v>
      </c>
      <c r="E67" s="3">
        <f t="shared" si="11"/>
        <v>0</v>
      </c>
      <c r="F67" s="3">
        <f t="shared" si="12"/>
        <v>0</v>
      </c>
      <c r="G67" s="3">
        <f t="shared" si="13"/>
        <v>0</v>
      </c>
      <c r="H67" s="3">
        <f t="shared" si="8"/>
        <v>0</v>
      </c>
      <c r="I67" s="3">
        <f t="shared" si="14"/>
        <v>0</v>
      </c>
      <c r="K67" s="3"/>
      <c r="L67" s="3"/>
      <c r="M67" s="3"/>
      <c r="N67" s="3"/>
      <c r="O67" s="3"/>
      <c r="P67" s="3"/>
      <c r="Q67" s="3"/>
      <c r="R67" s="3"/>
    </row>
    <row r="68" spans="1:18" x14ac:dyDescent="0.2">
      <c r="A68" s="1">
        <v>484</v>
      </c>
      <c r="B68" s="1">
        <v>22</v>
      </c>
      <c r="C68" s="3">
        <f t="shared" si="10"/>
        <v>0</v>
      </c>
      <c r="D68" s="3">
        <f t="shared" si="9"/>
        <v>0</v>
      </c>
      <c r="E68" s="3">
        <f t="shared" si="11"/>
        <v>0</v>
      </c>
      <c r="F68" s="3">
        <f t="shared" si="12"/>
        <v>0</v>
      </c>
      <c r="G68" s="3">
        <f t="shared" si="13"/>
        <v>0</v>
      </c>
      <c r="H68" s="3">
        <f t="shared" si="8"/>
        <v>0</v>
      </c>
      <c r="I68" s="3">
        <f t="shared" si="14"/>
        <v>0</v>
      </c>
      <c r="K68" s="3"/>
      <c r="L68" s="3"/>
      <c r="M68" s="3"/>
      <c r="N68" s="3"/>
      <c r="O68" s="3"/>
      <c r="P68" s="3"/>
      <c r="Q68" s="3"/>
      <c r="R68" s="3"/>
    </row>
    <row r="69" spans="1:18" x14ac:dyDescent="0.2">
      <c r="A69" s="1">
        <v>1440</v>
      </c>
      <c r="B69" s="1">
        <v>37.947331922020552</v>
      </c>
      <c r="C69" s="3">
        <f t="shared" si="10"/>
        <v>0</v>
      </c>
      <c r="D69" s="3">
        <f t="shared" si="9"/>
        <v>0</v>
      </c>
      <c r="E69" s="3">
        <f t="shared" si="11"/>
        <v>0</v>
      </c>
      <c r="F69" s="3">
        <f t="shared" si="12"/>
        <v>0</v>
      </c>
      <c r="G69" s="3">
        <f t="shared" si="13"/>
        <v>0</v>
      </c>
      <c r="H69" s="3">
        <f t="shared" si="8"/>
        <v>0</v>
      </c>
      <c r="I69" s="3">
        <f t="shared" si="14"/>
        <v>0</v>
      </c>
      <c r="K69" s="3"/>
      <c r="L69" s="3"/>
      <c r="M69" s="3"/>
      <c r="N69" s="3"/>
      <c r="O69" s="3"/>
      <c r="P69" s="3"/>
      <c r="Q69" s="3"/>
      <c r="R69" s="3"/>
    </row>
    <row r="70" spans="1:18" x14ac:dyDescent="0.2">
      <c r="Q70" s="3"/>
    </row>
  </sheetData>
  <mergeCells count="9">
    <mergeCell ref="AA1:AB1"/>
    <mergeCell ref="W1:X1"/>
    <mergeCell ref="S1:U2"/>
    <mergeCell ref="A1:C2"/>
    <mergeCell ref="D1:F2"/>
    <mergeCell ref="G1:I2"/>
    <mergeCell ref="J1:L2"/>
    <mergeCell ref="M1:O2"/>
    <mergeCell ref="P1:R2"/>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I2195"/>
  <sheetViews>
    <sheetView topLeftCell="A54" zoomScale="85" zoomScaleNormal="85" workbookViewId="0">
      <selection activeCell="AD3" sqref="AD3"/>
    </sheetView>
  </sheetViews>
  <sheetFormatPr baseColWidth="10" defaultColWidth="11.42578125" defaultRowHeight="12.75" x14ac:dyDescent="0.2"/>
  <cols>
    <col min="1" max="1" width="11.42578125" style="1"/>
    <col min="2" max="5" width="8.85546875" style="1" customWidth="1"/>
    <col min="6" max="6" width="8.85546875" style="3" customWidth="1"/>
    <col min="7" max="25" width="8.85546875" style="1" customWidth="1"/>
    <col min="26" max="16384" width="11.42578125" style="1"/>
  </cols>
  <sheetData>
    <row r="1" spans="1:35" ht="13.5" thickBot="1" x14ac:dyDescent="0.25">
      <c r="B1" s="665" t="s">
        <v>93</v>
      </c>
      <c r="C1" s="665"/>
      <c r="D1" s="666"/>
      <c r="E1" s="665" t="s">
        <v>94</v>
      </c>
      <c r="F1" s="665"/>
      <c r="G1" s="666"/>
      <c r="H1" s="665" t="s">
        <v>95</v>
      </c>
      <c r="I1" s="665"/>
      <c r="J1" s="666"/>
      <c r="K1" s="665" t="s">
        <v>96</v>
      </c>
      <c r="L1" s="665"/>
      <c r="M1" s="666"/>
      <c r="N1" s="665" t="s">
        <v>97</v>
      </c>
      <c r="O1" s="665"/>
      <c r="P1" s="666"/>
      <c r="Q1" s="665" t="s">
        <v>98</v>
      </c>
      <c r="R1" s="665"/>
      <c r="S1" s="666"/>
      <c r="T1" s="665" t="s">
        <v>99</v>
      </c>
      <c r="U1" s="665"/>
      <c r="V1" s="666"/>
      <c r="W1" s="665" t="s">
        <v>105</v>
      </c>
      <c r="X1" s="665"/>
      <c r="Y1" s="666"/>
      <c r="AA1" s="667" t="s">
        <v>106</v>
      </c>
      <c r="AB1" s="664"/>
    </row>
    <row r="2" spans="1:35" x14ac:dyDescent="0.2">
      <c r="B2" s="665"/>
      <c r="C2" s="665"/>
      <c r="D2" s="666"/>
      <c r="E2" s="665"/>
      <c r="F2" s="665"/>
      <c r="G2" s="666"/>
      <c r="H2" s="665"/>
      <c r="I2" s="665"/>
      <c r="J2" s="666"/>
      <c r="K2" s="665"/>
      <c r="L2" s="665"/>
      <c r="M2" s="666"/>
      <c r="N2" s="665"/>
      <c r="O2" s="665"/>
      <c r="P2" s="666"/>
      <c r="Q2" s="665"/>
      <c r="R2" s="665"/>
      <c r="S2" s="666"/>
      <c r="T2" s="665"/>
      <c r="U2" s="665"/>
      <c r="V2" s="666"/>
      <c r="W2" s="665"/>
      <c r="X2" s="665"/>
      <c r="Y2" s="666"/>
      <c r="AA2" s="4">
        <v>0.25</v>
      </c>
      <c r="AB2" s="22"/>
    </row>
    <row r="3" spans="1:35" x14ac:dyDescent="0.2">
      <c r="B3" s="32" t="s">
        <v>103</v>
      </c>
      <c r="C3" s="32"/>
      <c r="D3" s="33" t="s">
        <v>104</v>
      </c>
      <c r="E3" s="32" t="s">
        <v>103</v>
      </c>
      <c r="F3" s="8"/>
      <c r="G3" s="33" t="s">
        <v>104</v>
      </c>
      <c r="H3" s="32" t="s">
        <v>103</v>
      </c>
      <c r="I3" s="32"/>
      <c r="J3" s="33" t="s">
        <v>104</v>
      </c>
      <c r="K3" s="32" t="s">
        <v>103</v>
      </c>
      <c r="L3" s="32"/>
      <c r="M3" s="33" t="s">
        <v>104</v>
      </c>
      <c r="N3" s="32" t="s">
        <v>103</v>
      </c>
      <c r="O3" s="32"/>
      <c r="P3" s="33" t="s">
        <v>104</v>
      </c>
      <c r="Q3" s="32" t="s">
        <v>103</v>
      </c>
      <c r="R3" s="32"/>
      <c r="S3" s="33" t="s">
        <v>104</v>
      </c>
      <c r="T3" s="32" t="s">
        <v>103</v>
      </c>
      <c r="U3" s="32"/>
      <c r="V3" s="33" t="s">
        <v>104</v>
      </c>
      <c r="W3" s="32" t="s">
        <v>103</v>
      </c>
      <c r="X3" s="32"/>
      <c r="Y3" s="33" t="s">
        <v>104</v>
      </c>
      <c r="AA3" s="5">
        <v>0.5</v>
      </c>
      <c r="AB3" s="23"/>
    </row>
    <row r="4" spans="1:35" x14ac:dyDescent="0.2">
      <c r="A4" s="24">
        <f>SQRT(B4)</f>
        <v>0</v>
      </c>
      <c r="B4" s="32">
        <v>0</v>
      </c>
      <c r="C4" s="32"/>
      <c r="D4" s="25">
        <f>C4</f>
        <v>0</v>
      </c>
      <c r="E4" s="32">
        <v>0</v>
      </c>
      <c r="F4" s="8"/>
      <c r="G4" s="25">
        <f>F4+$AB$2</f>
        <v>0</v>
      </c>
      <c r="H4" s="32">
        <v>0</v>
      </c>
      <c r="I4" s="32"/>
      <c r="J4" s="25">
        <f t="shared" ref="J4:J68" si="0">I4+$AB$3</f>
        <v>0</v>
      </c>
      <c r="K4" s="32">
        <v>0</v>
      </c>
      <c r="L4" s="31"/>
      <c r="M4" s="25">
        <f t="shared" ref="M4:M68" si="1">L4+$AB$4</f>
        <v>0</v>
      </c>
      <c r="N4" s="32">
        <v>0</v>
      </c>
      <c r="O4" s="32"/>
      <c r="P4" s="25">
        <f t="shared" ref="P4:P68" si="2">O4+$AB$5</f>
        <v>0</v>
      </c>
      <c r="Q4" s="32">
        <v>0</v>
      </c>
      <c r="R4" s="32"/>
      <c r="S4" s="25">
        <f t="shared" ref="S4:S68" si="3">R4+$AB$6</f>
        <v>0</v>
      </c>
      <c r="T4" s="32">
        <v>0</v>
      </c>
      <c r="U4" s="32"/>
      <c r="V4" s="25">
        <f>Y4</f>
        <v>0</v>
      </c>
      <c r="W4" s="32">
        <v>0</v>
      </c>
      <c r="X4" s="32">
        <f>U4</f>
        <v>0</v>
      </c>
      <c r="Y4" s="25">
        <f t="shared" ref="Y4:Y68" si="4">X4+$AB$8</f>
        <v>0</v>
      </c>
      <c r="AA4" s="5">
        <v>1</v>
      </c>
      <c r="AB4" s="23"/>
      <c r="AD4" s="26"/>
    </row>
    <row r="5" spans="1:35" x14ac:dyDescent="0.2">
      <c r="A5" s="24">
        <f>SQRT(B5)</f>
        <v>0.12909944487358069</v>
      </c>
      <c r="B5" s="32">
        <v>1.6666666666666701E-2</v>
      </c>
      <c r="C5" s="32"/>
      <c r="D5" s="25">
        <f>C5</f>
        <v>0</v>
      </c>
      <c r="E5" s="32">
        <v>1.6666666666666701E-2</v>
      </c>
      <c r="F5" s="8"/>
      <c r="G5" s="25">
        <f>F5+$AB$2</f>
        <v>0</v>
      </c>
      <c r="H5" s="32">
        <v>1.6666666666666701E-2</v>
      </c>
      <c r="I5" s="32"/>
      <c r="J5" s="25">
        <f t="shared" si="0"/>
        <v>0</v>
      </c>
      <c r="K5" s="32">
        <v>1.6666666666666701E-2</v>
      </c>
      <c r="L5" s="31"/>
      <c r="M5" s="25">
        <f t="shared" si="1"/>
        <v>0</v>
      </c>
      <c r="N5" s="32">
        <v>1.6666666666666701E-2</v>
      </c>
      <c r="O5" s="32"/>
      <c r="P5" s="25">
        <f t="shared" si="2"/>
        <v>0</v>
      </c>
      <c r="Q5" s="32">
        <v>1.6666666666666701E-2</v>
      </c>
      <c r="R5" s="32"/>
      <c r="S5" s="25">
        <f t="shared" si="3"/>
        <v>0</v>
      </c>
      <c r="T5" s="32">
        <v>1.6666666666666701E-2</v>
      </c>
      <c r="U5" s="32"/>
      <c r="V5" s="25">
        <f>Y5</f>
        <v>0</v>
      </c>
      <c r="W5" s="32">
        <v>1.6666666666666701E-2</v>
      </c>
      <c r="X5" s="32">
        <f t="shared" ref="X5:X68" si="5">U5</f>
        <v>0</v>
      </c>
      <c r="Y5" s="25">
        <f t="shared" si="4"/>
        <v>0</v>
      </c>
      <c r="AA5" s="5">
        <v>2</v>
      </c>
      <c r="AB5" s="23"/>
      <c r="AD5" s="26"/>
    </row>
    <row r="6" spans="1:35" x14ac:dyDescent="0.2">
      <c r="A6" s="24">
        <f t="shared" ref="A6:A69" si="6">SQRT(B6)</f>
        <v>0.18257418583505527</v>
      </c>
      <c r="B6" s="32">
        <v>3.3333333333333298E-2</v>
      </c>
      <c r="C6" s="32"/>
      <c r="D6" s="25">
        <f t="shared" ref="D6:D68" si="7">C6</f>
        <v>0</v>
      </c>
      <c r="E6" s="32">
        <v>3.3333333333333298E-2</v>
      </c>
      <c r="F6" s="8"/>
      <c r="G6" s="25">
        <f t="shared" ref="G6:G68" si="8">F6+$AB$2</f>
        <v>0</v>
      </c>
      <c r="H6" s="32">
        <v>3.3333333333333298E-2</v>
      </c>
      <c r="I6" s="32"/>
      <c r="J6" s="25">
        <f t="shared" si="0"/>
        <v>0</v>
      </c>
      <c r="K6" s="32">
        <v>3.3333333333333298E-2</v>
      </c>
      <c r="L6" s="31"/>
      <c r="M6" s="25">
        <f t="shared" si="1"/>
        <v>0</v>
      </c>
      <c r="N6" s="32">
        <v>3.3333333333333298E-2</v>
      </c>
      <c r="O6" s="32"/>
      <c r="P6" s="25">
        <f t="shared" si="2"/>
        <v>0</v>
      </c>
      <c r="Q6" s="32">
        <v>3.3333333333333298E-2</v>
      </c>
      <c r="R6" s="32"/>
      <c r="S6" s="25">
        <f t="shared" si="3"/>
        <v>0</v>
      </c>
      <c r="T6" s="32">
        <v>3.3333333333333298E-2</v>
      </c>
      <c r="U6" s="32"/>
      <c r="V6" s="25">
        <f t="shared" ref="V6:V69" si="9">Y6</f>
        <v>0</v>
      </c>
      <c r="W6" s="32">
        <v>3.3333333333333298E-2</v>
      </c>
      <c r="X6" s="32">
        <f t="shared" si="5"/>
        <v>0</v>
      </c>
      <c r="Y6" s="25">
        <f t="shared" si="4"/>
        <v>0</v>
      </c>
      <c r="AA6" s="5">
        <v>4</v>
      </c>
      <c r="AB6" s="23"/>
      <c r="AD6" s="26"/>
    </row>
    <row r="7" spans="1:35" x14ac:dyDescent="0.2">
      <c r="A7" s="24">
        <f t="shared" si="6"/>
        <v>0.22360679774997896</v>
      </c>
      <c r="B7" s="32">
        <v>0.05</v>
      </c>
      <c r="C7" s="32"/>
      <c r="D7" s="25">
        <f>C7</f>
        <v>0</v>
      </c>
      <c r="E7" s="32">
        <v>0.05</v>
      </c>
      <c r="F7" s="8"/>
      <c r="G7" s="25">
        <f t="shared" si="8"/>
        <v>0</v>
      </c>
      <c r="H7" s="32">
        <v>0.05</v>
      </c>
      <c r="I7" s="32"/>
      <c r="J7" s="25">
        <f t="shared" si="0"/>
        <v>0</v>
      </c>
      <c r="K7" s="32">
        <v>0.05</v>
      </c>
      <c r="L7" s="31"/>
      <c r="M7" s="25">
        <f t="shared" si="1"/>
        <v>0</v>
      </c>
      <c r="N7" s="32">
        <v>0.05</v>
      </c>
      <c r="O7" s="32"/>
      <c r="P7" s="25">
        <f t="shared" si="2"/>
        <v>0</v>
      </c>
      <c r="Q7" s="32">
        <v>0.05</v>
      </c>
      <c r="R7" s="32"/>
      <c r="S7" s="25">
        <f t="shared" si="3"/>
        <v>0</v>
      </c>
      <c r="T7" s="32">
        <v>0.05</v>
      </c>
      <c r="U7" s="32"/>
      <c r="V7" s="25">
        <f t="shared" si="9"/>
        <v>0</v>
      </c>
      <c r="W7" s="32">
        <v>0.05</v>
      </c>
      <c r="X7" s="32">
        <f t="shared" si="5"/>
        <v>0</v>
      </c>
      <c r="Y7" s="25">
        <f t="shared" si="4"/>
        <v>0</v>
      </c>
      <c r="AA7" s="5">
        <v>8</v>
      </c>
      <c r="AB7" s="23"/>
      <c r="AD7" s="26"/>
    </row>
    <row r="8" spans="1:35" x14ac:dyDescent="0.2">
      <c r="A8" s="24">
        <f t="shared" si="6"/>
        <v>0.25819888974716115</v>
      </c>
      <c r="B8" s="32">
        <v>6.6666666666666693E-2</v>
      </c>
      <c r="C8" s="32"/>
      <c r="D8" s="25">
        <f t="shared" si="7"/>
        <v>0</v>
      </c>
      <c r="E8" s="32">
        <v>6.6666666666666693E-2</v>
      </c>
      <c r="F8" s="8"/>
      <c r="G8" s="25">
        <f t="shared" si="8"/>
        <v>0</v>
      </c>
      <c r="H8" s="32">
        <v>6.6666666666666693E-2</v>
      </c>
      <c r="I8" s="32"/>
      <c r="J8" s="25">
        <f t="shared" si="0"/>
        <v>0</v>
      </c>
      <c r="K8" s="32">
        <v>6.6666666666666693E-2</v>
      </c>
      <c r="L8" s="31"/>
      <c r="M8" s="25">
        <f t="shared" si="1"/>
        <v>0</v>
      </c>
      <c r="N8" s="32">
        <v>6.6666666666666693E-2</v>
      </c>
      <c r="O8" s="32"/>
      <c r="P8" s="25">
        <f t="shared" si="2"/>
        <v>0</v>
      </c>
      <c r="Q8" s="32">
        <v>6.6666666666666693E-2</v>
      </c>
      <c r="R8" s="32"/>
      <c r="S8" s="25">
        <f t="shared" si="3"/>
        <v>0</v>
      </c>
      <c r="T8" s="32">
        <v>6.6666666666666693E-2</v>
      </c>
      <c r="U8" s="32"/>
      <c r="V8" s="25">
        <f t="shared" si="9"/>
        <v>0</v>
      </c>
      <c r="W8" s="32">
        <v>6.6666666666666693E-2</v>
      </c>
      <c r="X8" s="32">
        <f t="shared" si="5"/>
        <v>0</v>
      </c>
      <c r="Y8" s="25">
        <f t="shared" si="4"/>
        <v>0</v>
      </c>
      <c r="AA8" s="5">
        <v>16</v>
      </c>
      <c r="AB8" s="23"/>
      <c r="AD8" s="26"/>
    </row>
    <row r="9" spans="1:35" ht="13.5" thickBot="1" x14ac:dyDescent="0.25">
      <c r="A9" s="24">
        <f t="shared" si="6"/>
        <v>0.28867513459481281</v>
      </c>
      <c r="B9" s="32">
        <v>8.3333333333333301E-2</v>
      </c>
      <c r="C9" s="32"/>
      <c r="D9" s="25">
        <f t="shared" si="7"/>
        <v>0</v>
      </c>
      <c r="E9" s="32">
        <v>8.3333333333333301E-2</v>
      </c>
      <c r="F9" s="8"/>
      <c r="G9" s="25">
        <f t="shared" si="8"/>
        <v>0</v>
      </c>
      <c r="H9" s="32">
        <v>8.3333333333333301E-2</v>
      </c>
      <c r="I9" s="32"/>
      <c r="J9" s="25">
        <f t="shared" si="0"/>
        <v>0</v>
      </c>
      <c r="K9" s="32">
        <v>8.3333333333333301E-2</v>
      </c>
      <c r="L9" s="31"/>
      <c r="M9" s="25">
        <f t="shared" si="1"/>
        <v>0</v>
      </c>
      <c r="N9" s="32">
        <v>8.3333333333333301E-2</v>
      </c>
      <c r="O9" s="32"/>
      <c r="P9" s="25">
        <f t="shared" si="2"/>
        <v>0</v>
      </c>
      <c r="Q9" s="32">
        <v>8.3333333333333301E-2</v>
      </c>
      <c r="R9" s="32"/>
      <c r="S9" s="25">
        <f t="shared" si="3"/>
        <v>0</v>
      </c>
      <c r="T9" s="32">
        <v>8.3333333333333301E-2</v>
      </c>
      <c r="U9" s="32"/>
      <c r="V9" s="25">
        <f t="shared" si="9"/>
        <v>0</v>
      </c>
      <c r="W9" s="32">
        <v>8.3333333333333301E-2</v>
      </c>
      <c r="X9" s="32">
        <f t="shared" si="5"/>
        <v>0</v>
      </c>
      <c r="Y9" s="25">
        <f t="shared" si="4"/>
        <v>0</v>
      </c>
      <c r="AA9" s="6">
        <v>32</v>
      </c>
      <c r="AB9" s="27"/>
      <c r="AD9" s="26"/>
    </row>
    <row r="10" spans="1:35" x14ac:dyDescent="0.2">
      <c r="A10" s="24">
        <f t="shared" si="6"/>
        <v>0.31622776601683794</v>
      </c>
      <c r="B10" s="32">
        <v>0.1</v>
      </c>
      <c r="C10" s="32"/>
      <c r="D10" s="25">
        <f t="shared" si="7"/>
        <v>0</v>
      </c>
      <c r="E10" s="32">
        <v>0.1</v>
      </c>
      <c r="F10" s="8"/>
      <c r="G10" s="25">
        <f t="shared" si="8"/>
        <v>0</v>
      </c>
      <c r="H10" s="32">
        <v>0.1</v>
      </c>
      <c r="I10" s="32"/>
      <c r="J10" s="25">
        <f t="shared" si="0"/>
        <v>0</v>
      </c>
      <c r="K10" s="32">
        <v>0.1</v>
      </c>
      <c r="L10" s="31"/>
      <c r="M10" s="25">
        <f t="shared" si="1"/>
        <v>0</v>
      </c>
      <c r="N10" s="32">
        <v>0.1</v>
      </c>
      <c r="O10" s="32"/>
      <c r="P10" s="25">
        <f t="shared" si="2"/>
        <v>0</v>
      </c>
      <c r="Q10" s="32">
        <v>0.1</v>
      </c>
      <c r="R10" s="32"/>
      <c r="S10" s="25">
        <f t="shared" si="3"/>
        <v>0</v>
      </c>
      <c r="T10" s="32">
        <v>0.1</v>
      </c>
      <c r="U10" s="32"/>
      <c r="V10" s="25">
        <f t="shared" si="9"/>
        <v>0</v>
      </c>
      <c r="W10" s="32">
        <v>0.1</v>
      </c>
      <c r="X10" s="32">
        <f t="shared" si="5"/>
        <v>0</v>
      </c>
      <c r="Y10" s="25">
        <f t="shared" si="4"/>
        <v>0</v>
      </c>
      <c r="AA10" s="2"/>
      <c r="AB10" s="2"/>
      <c r="AD10" s="26"/>
    </row>
    <row r="11" spans="1:35" s="2" customFormat="1" x14ac:dyDescent="0.2">
      <c r="A11" s="24">
        <f t="shared" si="6"/>
        <v>0.34156502553198709</v>
      </c>
      <c r="B11" s="28">
        <v>0.116666666666667</v>
      </c>
      <c r="C11" s="32"/>
      <c r="D11" s="25">
        <f t="shared" si="7"/>
        <v>0</v>
      </c>
      <c r="E11" s="28">
        <v>0.116666666666667</v>
      </c>
      <c r="F11" s="8"/>
      <c r="G11" s="25">
        <f t="shared" si="8"/>
        <v>0</v>
      </c>
      <c r="H11" s="28">
        <v>0.116666666666667</v>
      </c>
      <c r="I11" s="32"/>
      <c r="J11" s="25">
        <f t="shared" si="0"/>
        <v>0</v>
      </c>
      <c r="K11" s="28">
        <v>0.116666666666667</v>
      </c>
      <c r="L11" s="31"/>
      <c r="M11" s="25">
        <f t="shared" si="1"/>
        <v>0</v>
      </c>
      <c r="N11" s="28">
        <v>0.116666666666667</v>
      </c>
      <c r="O11" s="32"/>
      <c r="P11" s="25">
        <f t="shared" si="2"/>
        <v>0</v>
      </c>
      <c r="Q11" s="28">
        <v>0.116666666666667</v>
      </c>
      <c r="R11" s="32"/>
      <c r="S11" s="25">
        <f t="shared" si="3"/>
        <v>0</v>
      </c>
      <c r="T11" s="28">
        <v>0.116666666666667</v>
      </c>
      <c r="U11" s="32"/>
      <c r="V11" s="25">
        <f t="shared" si="9"/>
        <v>0</v>
      </c>
      <c r="W11" s="32">
        <v>0.116666666666667</v>
      </c>
      <c r="X11" s="32">
        <f t="shared" si="5"/>
        <v>0</v>
      </c>
      <c r="Y11" s="25">
        <f t="shared" si="4"/>
        <v>0</v>
      </c>
      <c r="AA11" s="1"/>
      <c r="AB11" s="1"/>
      <c r="AC11" s="1"/>
      <c r="AD11" s="26"/>
      <c r="AF11" s="1"/>
      <c r="AI11" s="1"/>
    </row>
    <row r="12" spans="1:35" x14ac:dyDescent="0.2">
      <c r="A12" s="24">
        <f t="shared" si="6"/>
        <v>0.36514837167011027</v>
      </c>
      <c r="B12" s="32">
        <v>0.133333333333333</v>
      </c>
      <c r="C12" s="32"/>
      <c r="D12" s="25">
        <f t="shared" si="7"/>
        <v>0</v>
      </c>
      <c r="E12" s="32">
        <v>0.133333333333333</v>
      </c>
      <c r="F12" s="8"/>
      <c r="G12" s="25">
        <f t="shared" si="8"/>
        <v>0</v>
      </c>
      <c r="H12" s="32">
        <v>0.133333333333333</v>
      </c>
      <c r="I12" s="32"/>
      <c r="J12" s="25">
        <f t="shared" si="0"/>
        <v>0</v>
      </c>
      <c r="K12" s="32">
        <v>0.133333333333333</v>
      </c>
      <c r="L12" s="31"/>
      <c r="M12" s="25">
        <f t="shared" si="1"/>
        <v>0</v>
      </c>
      <c r="N12" s="32">
        <v>0.133333333333333</v>
      </c>
      <c r="O12" s="32"/>
      <c r="P12" s="25">
        <f t="shared" si="2"/>
        <v>0</v>
      </c>
      <c r="Q12" s="32">
        <v>0.133333333333333</v>
      </c>
      <c r="R12" s="32"/>
      <c r="S12" s="25">
        <f t="shared" si="3"/>
        <v>0</v>
      </c>
      <c r="T12" s="32">
        <v>0.133333333333333</v>
      </c>
      <c r="U12" s="32"/>
      <c r="V12" s="25">
        <f t="shared" si="9"/>
        <v>0</v>
      </c>
      <c r="W12" s="32">
        <v>0.133333333333333</v>
      </c>
      <c r="X12" s="32">
        <f t="shared" si="5"/>
        <v>0</v>
      </c>
      <c r="Y12" s="25">
        <f t="shared" si="4"/>
        <v>0</v>
      </c>
      <c r="AD12" s="26"/>
    </row>
    <row r="13" spans="1:35" x14ac:dyDescent="0.2">
      <c r="A13" s="24">
        <f t="shared" si="6"/>
        <v>0.3872983346207417</v>
      </c>
      <c r="B13" s="32">
        <v>0.15</v>
      </c>
      <c r="C13" s="32"/>
      <c r="D13" s="25">
        <f t="shared" si="7"/>
        <v>0</v>
      </c>
      <c r="E13" s="32">
        <v>0.15</v>
      </c>
      <c r="F13" s="8"/>
      <c r="G13" s="25">
        <f t="shared" si="8"/>
        <v>0</v>
      </c>
      <c r="H13" s="32">
        <v>0.15</v>
      </c>
      <c r="I13" s="32"/>
      <c r="J13" s="25">
        <f t="shared" si="0"/>
        <v>0</v>
      </c>
      <c r="K13" s="32">
        <v>0.15</v>
      </c>
      <c r="L13" s="31"/>
      <c r="M13" s="25">
        <f t="shared" si="1"/>
        <v>0</v>
      </c>
      <c r="N13" s="32">
        <v>0.15</v>
      </c>
      <c r="O13" s="32"/>
      <c r="P13" s="25">
        <f t="shared" si="2"/>
        <v>0</v>
      </c>
      <c r="Q13" s="32">
        <v>0.15</v>
      </c>
      <c r="R13" s="32"/>
      <c r="S13" s="25">
        <f t="shared" si="3"/>
        <v>0</v>
      </c>
      <c r="T13" s="32">
        <v>0.15</v>
      </c>
      <c r="U13" s="32"/>
      <c r="V13" s="25">
        <f t="shared" si="9"/>
        <v>0</v>
      </c>
      <c r="W13" s="32">
        <v>0.15</v>
      </c>
      <c r="X13" s="32">
        <f t="shared" si="5"/>
        <v>0</v>
      </c>
      <c r="Y13" s="25">
        <f t="shared" si="4"/>
        <v>0</v>
      </c>
      <c r="AA13" s="2"/>
      <c r="AB13" s="2"/>
      <c r="AD13" s="26"/>
    </row>
    <row r="14" spans="1:35" s="2" customFormat="1" x14ac:dyDescent="0.2">
      <c r="A14" s="24">
        <f t="shared" si="6"/>
        <v>0.40824829046386341</v>
      </c>
      <c r="B14" s="28">
        <v>0.16666666666666699</v>
      </c>
      <c r="C14" s="32"/>
      <c r="D14" s="25">
        <f t="shared" si="7"/>
        <v>0</v>
      </c>
      <c r="E14" s="28">
        <v>0.16666666666666699</v>
      </c>
      <c r="F14" s="8"/>
      <c r="G14" s="25">
        <f t="shared" si="8"/>
        <v>0</v>
      </c>
      <c r="H14" s="28">
        <v>0.16666666666666699</v>
      </c>
      <c r="I14" s="32"/>
      <c r="J14" s="25">
        <f t="shared" si="0"/>
        <v>0</v>
      </c>
      <c r="K14" s="28">
        <v>0.16666666666666699</v>
      </c>
      <c r="L14" s="31"/>
      <c r="M14" s="25">
        <f t="shared" si="1"/>
        <v>0</v>
      </c>
      <c r="N14" s="28">
        <v>0.16666666666666699</v>
      </c>
      <c r="O14" s="32"/>
      <c r="P14" s="25">
        <f t="shared" si="2"/>
        <v>0</v>
      </c>
      <c r="Q14" s="28">
        <v>0.16666666666666699</v>
      </c>
      <c r="R14" s="32"/>
      <c r="S14" s="25">
        <f t="shared" si="3"/>
        <v>0</v>
      </c>
      <c r="T14" s="28">
        <v>0.16666666666666699</v>
      </c>
      <c r="U14" s="32"/>
      <c r="V14" s="25">
        <f t="shared" si="9"/>
        <v>0</v>
      </c>
      <c r="W14" s="32">
        <v>0.16666666666666699</v>
      </c>
      <c r="X14" s="32">
        <f t="shared" si="5"/>
        <v>0</v>
      </c>
      <c r="Y14" s="25">
        <f t="shared" si="4"/>
        <v>0</v>
      </c>
      <c r="AA14" s="1"/>
      <c r="AB14" s="1"/>
      <c r="AC14" s="1"/>
      <c r="AD14" s="26"/>
      <c r="AF14" s="1"/>
      <c r="AI14" s="1"/>
    </row>
    <row r="15" spans="1:35" x14ac:dyDescent="0.2">
      <c r="A15" s="24">
        <f t="shared" si="6"/>
        <v>0.4281744192888372</v>
      </c>
      <c r="B15" s="32">
        <v>0.18333333333333299</v>
      </c>
      <c r="C15" s="32"/>
      <c r="D15" s="25">
        <f t="shared" si="7"/>
        <v>0</v>
      </c>
      <c r="E15" s="32">
        <v>0.18333333333333299</v>
      </c>
      <c r="F15" s="8"/>
      <c r="G15" s="25">
        <f t="shared" si="8"/>
        <v>0</v>
      </c>
      <c r="H15" s="32">
        <v>0.18333333333333299</v>
      </c>
      <c r="I15" s="32"/>
      <c r="J15" s="25">
        <f t="shared" si="0"/>
        <v>0</v>
      </c>
      <c r="K15" s="32">
        <v>0.18333333333333299</v>
      </c>
      <c r="L15" s="31"/>
      <c r="M15" s="25">
        <f t="shared" si="1"/>
        <v>0</v>
      </c>
      <c r="N15" s="32">
        <v>0.18333333333333299</v>
      </c>
      <c r="O15" s="32"/>
      <c r="P15" s="25">
        <f t="shared" si="2"/>
        <v>0</v>
      </c>
      <c r="Q15" s="32">
        <v>0.18333333333333299</v>
      </c>
      <c r="R15" s="32"/>
      <c r="S15" s="25">
        <f t="shared" si="3"/>
        <v>0</v>
      </c>
      <c r="T15" s="32">
        <v>0.18333333333333299</v>
      </c>
      <c r="U15" s="32"/>
      <c r="V15" s="25">
        <f t="shared" si="9"/>
        <v>0</v>
      </c>
      <c r="W15" s="32">
        <v>0.18333333333333299</v>
      </c>
      <c r="X15" s="32">
        <f t="shared" si="5"/>
        <v>0</v>
      </c>
      <c r="Y15" s="25">
        <f t="shared" si="4"/>
        <v>0</v>
      </c>
      <c r="AD15" s="26"/>
    </row>
    <row r="16" spans="1:35" x14ac:dyDescent="0.2">
      <c r="A16" s="24">
        <f t="shared" si="6"/>
        <v>0.44721359549995793</v>
      </c>
      <c r="B16" s="32">
        <v>0.2</v>
      </c>
      <c r="C16" s="32"/>
      <c r="D16" s="25">
        <f t="shared" si="7"/>
        <v>0</v>
      </c>
      <c r="E16" s="32">
        <v>0.2</v>
      </c>
      <c r="F16" s="8"/>
      <c r="G16" s="25">
        <f t="shared" si="8"/>
        <v>0</v>
      </c>
      <c r="H16" s="32">
        <v>0.2</v>
      </c>
      <c r="I16" s="32"/>
      <c r="J16" s="25">
        <f t="shared" si="0"/>
        <v>0</v>
      </c>
      <c r="K16" s="32">
        <v>0.2</v>
      </c>
      <c r="L16" s="31"/>
      <c r="M16" s="25">
        <f t="shared" si="1"/>
        <v>0</v>
      </c>
      <c r="N16" s="32">
        <v>0.2</v>
      </c>
      <c r="O16" s="32"/>
      <c r="P16" s="25">
        <f t="shared" si="2"/>
        <v>0</v>
      </c>
      <c r="Q16" s="32">
        <v>0.2</v>
      </c>
      <c r="R16" s="32"/>
      <c r="S16" s="25">
        <f t="shared" si="3"/>
        <v>0</v>
      </c>
      <c r="T16" s="32">
        <v>0.2</v>
      </c>
      <c r="U16" s="32"/>
      <c r="V16" s="25">
        <f t="shared" si="9"/>
        <v>0</v>
      </c>
      <c r="W16" s="32">
        <v>0.2</v>
      </c>
      <c r="X16" s="32">
        <f t="shared" si="5"/>
        <v>0</v>
      </c>
      <c r="Y16" s="25">
        <f t="shared" si="4"/>
        <v>0</v>
      </c>
      <c r="AD16" s="26"/>
    </row>
    <row r="17" spans="1:35" x14ac:dyDescent="0.2">
      <c r="A17" s="24">
        <f t="shared" si="6"/>
        <v>0.48304589153964761</v>
      </c>
      <c r="B17" s="32">
        <v>0.233333333333333</v>
      </c>
      <c r="C17" s="32"/>
      <c r="D17" s="25">
        <f t="shared" si="7"/>
        <v>0</v>
      </c>
      <c r="E17" s="32">
        <v>0.233333333333333</v>
      </c>
      <c r="F17" s="8"/>
      <c r="G17" s="25">
        <f t="shared" si="8"/>
        <v>0</v>
      </c>
      <c r="H17" s="32">
        <v>0.233333333333333</v>
      </c>
      <c r="I17" s="32"/>
      <c r="J17" s="25">
        <f t="shared" si="0"/>
        <v>0</v>
      </c>
      <c r="K17" s="32">
        <v>0.233333333333333</v>
      </c>
      <c r="L17" s="31"/>
      <c r="M17" s="25">
        <f t="shared" si="1"/>
        <v>0</v>
      </c>
      <c r="N17" s="32">
        <v>0.233333333333333</v>
      </c>
      <c r="O17" s="32"/>
      <c r="P17" s="25">
        <f t="shared" si="2"/>
        <v>0</v>
      </c>
      <c r="Q17" s="32">
        <v>0.233333333333333</v>
      </c>
      <c r="R17" s="32"/>
      <c r="S17" s="25">
        <f t="shared" si="3"/>
        <v>0</v>
      </c>
      <c r="T17" s="32">
        <v>0.233333333333333</v>
      </c>
      <c r="U17" s="32"/>
      <c r="V17" s="25">
        <f t="shared" si="9"/>
        <v>0</v>
      </c>
      <c r="W17" s="32">
        <v>0.233333333333333</v>
      </c>
      <c r="X17" s="32">
        <f t="shared" si="5"/>
        <v>0</v>
      </c>
      <c r="Y17" s="25">
        <f t="shared" si="4"/>
        <v>0</v>
      </c>
      <c r="AD17" s="26"/>
    </row>
    <row r="18" spans="1:35" x14ac:dyDescent="0.2">
      <c r="A18" s="24">
        <f t="shared" si="6"/>
        <v>0.48304589153964761</v>
      </c>
      <c r="B18" s="32">
        <v>0.233333333333333</v>
      </c>
      <c r="C18" s="32"/>
      <c r="D18" s="25">
        <f t="shared" si="7"/>
        <v>0</v>
      </c>
      <c r="E18" s="32">
        <v>0.233333333333333</v>
      </c>
      <c r="F18" s="8"/>
      <c r="G18" s="25">
        <f t="shared" si="8"/>
        <v>0</v>
      </c>
      <c r="H18" s="32">
        <v>0.233333333333333</v>
      </c>
      <c r="I18" s="32"/>
      <c r="J18" s="25">
        <f t="shared" si="0"/>
        <v>0</v>
      </c>
      <c r="K18" s="32">
        <v>0.233333333333333</v>
      </c>
      <c r="L18" s="31"/>
      <c r="M18" s="25">
        <f t="shared" si="1"/>
        <v>0</v>
      </c>
      <c r="N18" s="32">
        <v>0.233333333333333</v>
      </c>
      <c r="O18" s="32"/>
      <c r="P18" s="25">
        <f t="shared" si="2"/>
        <v>0</v>
      </c>
      <c r="Q18" s="32">
        <v>0.233333333333333</v>
      </c>
      <c r="R18" s="32"/>
      <c r="S18" s="25">
        <f t="shared" si="3"/>
        <v>0</v>
      </c>
      <c r="T18" s="32">
        <v>0.233333333333333</v>
      </c>
      <c r="U18" s="32"/>
      <c r="V18" s="25">
        <f t="shared" si="9"/>
        <v>0</v>
      </c>
      <c r="W18" s="32">
        <v>0.233333333333333</v>
      </c>
      <c r="X18" s="32">
        <f t="shared" si="5"/>
        <v>0</v>
      </c>
      <c r="Y18" s="25">
        <f t="shared" si="4"/>
        <v>0</v>
      </c>
      <c r="AD18" s="26"/>
    </row>
    <row r="19" spans="1:35" x14ac:dyDescent="0.2">
      <c r="A19" s="24">
        <f t="shared" si="6"/>
        <v>0.5</v>
      </c>
      <c r="B19" s="32">
        <v>0.25</v>
      </c>
      <c r="C19" s="32"/>
      <c r="D19" s="25">
        <f t="shared" si="7"/>
        <v>0</v>
      </c>
      <c r="E19" s="32">
        <v>0.25</v>
      </c>
      <c r="F19" s="8"/>
      <c r="G19" s="25">
        <f t="shared" si="8"/>
        <v>0</v>
      </c>
      <c r="H19" s="32">
        <v>0.25</v>
      </c>
      <c r="I19" s="32"/>
      <c r="J19" s="25">
        <f t="shared" si="0"/>
        <v>0</v>
      </c>
      <c r="K19" s="32">
        <v>0.25</v>
      </c>
      <c r="L19" s="31"/>
      <c r="M19" s="25">
        <f t="shared" si="1"/>
        <v>0</v>
      </c>
      <c r="N19" s="32">
        <v>0.25</v>
      </c>
      <c r="O19" s="32"/>
      <c r="P19" s="25">
        <f t="shared" si="2"/>
        <v>0</v>
      </c>
      <c r="Q19" s="32">
        <v>0.25</v>
      </c>
      <c r="R19" s="32"/>
      <c r="S19" s="25">
        <f t="shared" si="3"/>
        <v>0</v>
      </c>
      <c r="T19" s="32">
        <v>0.25</v>
      </c>
      <c r="U19" s="32"/>
      <c r="V19" s="25">
        <f t="shared" si="9"/>
        <v>0</v>
      </c>
      <c r="W19" s="32">
        <v>0.25</v>
      </c>
      <c r="X19" s="32">
        <f t="shared" si="5"/>
        <v>0</v>
      </c>
      <c r="Y19" s="25">
        <f t="shared" si="4"/>
        <v>0</v>
      </c>
      <c r="AA19" s="2"/>
      <c r="AB19" s="2"/>
      <c r="AD19" s="26"/>
    </row>
    <row r="20" spans="1:35" s="2" customFormat="1" x14ac:dyDescent="0.2">
      <c r="A20" s="24">
        <f t="shared" si="6"/>
        <v>0.51639777949432253</v>
      </c>
      <c r="B20" s="28">
        <v>0.266666666666667</v>
      </c>
      <c r="C20" s="32"/>
      <c r="D20" s="25">
        <f t="shared" si="7"/>
        <v>0</v>
      </c>
      <c r="E20" s="28">
        <v>0.266666666666667</v>
      </c>
      <c r="F20" s="8"/>
      <c r="G20" s="25">
        <f t="shared" si="8"/>
        <v>0</v>
      </c>
      <c r="H20" s="28">
        <v>0.266666666666667</v>
      </c>
      <c r="I20" s="32"/>
      <c r="J20" s="25">
        <f t="shared" si="0"/>
        <v>0</v>
      </c>
      <c r="K20" s="28">
        <v>0.266666666666667</v>
      </c>
      <c r="L20" s="31"/>
      <c r="M20" s="25">
        <f t="shared" si="1"/>
        <v>0</v>
      </c>
      <c r="N20" s="28">
        <v>0.266666666666667</v>
      </c>
      <c r="O20" s="32"/>
      <c r="P20" s="25">
        <f t="shared" si="2"/>
        <v>0</v>
      </c>
      <c r="Q20" s="28">
        <v>0.266666666666667</v>
      </c>
      <c r="R20" s="32"/>
      <c r="S20" s="25">
        <f t="shared" si="3"/>
        <v>0</v>
      </c>
      <c r="T20" s="28">
        <v>0.266666666666667</v>
      </c>
      <c r="U20" s="32"/>
      <c r="V20" s="25">
        <f t="shared" si="9"/>
        <v>0</v>
      </c>
      <c r="W20" s="32">
        <v>0.266666666666667</v>
      </c>
      <c r="X20" s="32">
        <f t="shared" si="5"/>
        <v>0</v>
      </c>
      <c r="Y20" s="25">
        <f t="shared" si="4"/>
        <v>0</v>
      </c>
      <c r="AA20" s="1"/>
      <c r="AB20" s="1"/>
      <c r="AC20" s="1"/>
      <c r="AD20" s="26"/>
      <c r="AF20" s="1"/>
      <c r="AI20" s="1"/>
    </row>
    <row r="21" spans="1:35" x14ac:dyDescent="0.2">
      <c r="A21" s="24">
        <f t="shared" si="6"/>
        <v>0.53229064742237675</v>
      </c>
      <c r="B21" s="32">
        <v>0.28333333333333299</v>
      </c>
      <c r="C21" s="32"/>
      <c r="D21" s="25">
        <f t="shared" si="7"/>
        <v>0</v>
      </c>
      <c r="E21" s="32">
        <v>0.28333333333333299</v>
      </c>
      <c r="F21" s="8"/>
      <c r="G21" s="25">
        <f t="shared" si="8"/>
        <v>0</v>
      </c>
      <c r="H21" s="32">
        <v>0.28333333333333299</v>
      </c>
      <c r="I21" s="32"/>
      <c r="J21" s="25">
        <f t="shared" si="0"/>
        <v>0</v>
      </c>
      <c r="K21" s="32">
        <v>0.28333333333333299</v>
      </c>
      <c r="L21" s="31"/>
      <c r="M21" s="25">
        <f t="shared" si="1"/>
        <v>0</v>
      </c>
      <c r="N21" s="32">
        <v>0.28333333333333299</v>
      </c>
      <c r="O21" s="32"/>
      <c r="P21" s="25">
        <f t="shared" si="2"/>
        <v>0</v>
      </c>
      <c r="Q21" s="32">
        <v>0.28333333333333299</v>
      </c>
      <c r="R21" s="32"/>
      <c r="S21" s="25">
        <f t="shared" si="3"/>
        <v>0</v>
      </c>
      <c r="T21" s="32">
        <v>0.28333333333333299</v>
      </c>
      <c r="U21" s="32"/>
      <c r="V21" s="25">
        <f t="shared" si="9"/>
        <v>0</v>
      </c>
      <c r="W21" s="32">
        <v>0.28333333333333299</v>
      </c>
      <c r="X21" s="32">
        <f t="shared" si="5"/>
        <v>0</v>
      </c>
      <c r="Y21" s="25">
        <f t="shared" si="4"/>
        <v>0</v>
      </c>
      <c r="AD21" s="26"/>
    </row>
    <row r="22" spans="1:35" x14ac:dyDescent="0.2">
      <c r="A22" s="24">
        <f t="shared" si="6"/>
        <v>0.54772255750516607</v>
      </c>
      <c r="B22" s="32">
        <v>0.3</v>
      </c>
      <c r="C22" s="32"/>
      <c r="D22" s="25">
        <f t="shared" si="7"/>
        <v>0</v>
      </c>
      <c r="E22" s="32">
        <v>0.3</v>
      </c>
      <c r="F22" s="8"/>
      <c r="G22" s="25">
        <f t="shared" si="8"/>
        <v>0</v>
      </c>
      <c r="H22" s="32">
        <v>0.3</v>
      </c>
      <c r="I22" s="32"/>
      <c r="J22" s="25">
        <f t="shared" si="0"/>
        <v>0</v>
      </c>
      <c r="K22" s="32">
        <v>0.3</v>
      </c>
      <c r="L22" s="31"/>
      <c r="M22" s="25">
        <f t="shared" si="1"/>
        <v>0</v>
      </c>
      <c r="N22" s="32">
        <v>0.3</v>
      </c>
      <c r="O22" s="32"/>
      <c r="P22" s="25">
        <f t="shared" si="2"/>
        <v>0</v>
      </c>
      <c r="Q22" s="32">
        <v>0.3</v>
      </c>
      <c r="R22" s="32"/>
      <c r="S22" s="25">
        <f t="shared" si="3"/>
        <v>0</v>
      </c>
      <c r="T22" s="32">
        <v>0.3</v>
      </c>
      <c r="U22" s="32"/>
      <c r="V22" s="25">
        <f t="shared" si="9"/>
        <v>0</v>
      </c>
      <c r="W22" s="32">
        <v>0.3</v>
      </c>
      <c r="X22" s="32">
        <f t="shared" si="5"/>
        <v>0</v>
      </c>
      <c r="Y22" s="25">
        <f t="shared" si="4"/>
        <v>0</v>
      </c>
      <c r="AD22" s="26"/>
    </row>
    <row r="23" spans="1:35" x14ac:dyDescent="0.2">
      <c r="A23" s="24">
        <f t="shared" si="6"/>
        <v>0.562731433871138</v>
      </c>
      <c r="B23" s="32">
        <v>0.31666666666666698</v>
      </c>
      <c r="C23" s="32"/>
      <c r="D23" s="25">
        <f t="shared" si="7"/>
        <v>0</v>
      </c>
      <c r="E23" s="32">
        <v>0.31666666666666698</v>
      </c>
      <c r="F23" s="8"/>
      <c r="G23" s="25">
        <f t="shared" si="8"/>
        <v>0</v>
      </c>
      <c r="H23" s="32">
        <v>0.31666666666666698</v>
      </c>
      <c r="I23" s="32"/>
      <c r="J23" s="25">
        <f t="shared" si="0"/>
        <v>0</v>
      </c>
      <c r="K23" s="32">
        <v>0.31666666666666698</v>
      </c>
      <c r="L23" s="31"/>
      <c r="M23" s="25">
        <f t="shared" si="1"/>
        <v>0</v>
      </c>
      <c r="N23" s="32">
        <v>0.31666666666666698</v>
      </c>
      <c r="O23" s="32"/>
      <c r="P23" s="25">
        <f t="shared" si="2"/>
        <v>0</v>
      </c>
      <c r="Q23" s="32">
        <v>0.31666666666666698</v>
      </c>
      <c r="R23" s="32"/>
      <c r="S23" s="25">
        <f t="shared" si="3"/>
        <v>0</v>
      </c>
      <c r="T23" s="32">
        <v>0.31666666666666698</v>
      </c>
      <c r="U23" s="32"/>
      <c r="V23" s="25">
        <f t="shared" si="9"/>
        <v>0</v>
      </c>
      <c r="W23" s="32">
        <v>0.31666666666666698</v>
      </c>
      <c r="X23" s="32">
        <f t="shared" si="5"/>
        <v>0</v>
      </c>
      <c r="Y23" s="25">
        <f t="shared" si="4"/>
        <v>0</v>
      </c>
      <c r="AD23" s="26"/>
    </row>
    <row r="24" spans="1:35" x14ac:dyDescent="0.2">
      <c r="A24" s="24">
        <f t="shared" si="6"/>
        <v>0.57735026918962551</v>
      </c>
      <c r="B24" s="32">
        <v>0.33333333333333298</v>
      </c>
      <c r="C24" s="32"/>
      <c r="D24" s="25">
        <f t="shared" si="7"/>
        <v>0</v>
      </c>
      <c r="E24" s="32">
        <v>0.33333333333333298</v>
      </c>
      <c r="F24" s="8"/>
      <c r="G24" s="25">
        <f t="shared" si="8"/>
        <v>0</v>
      </c>
      <c r="H24" s="32">
        <v>0.33333333333333298</v>
      </c>
      <c r="I24" s="32"/>
      <c r="J24" s="25">
        <f t="shared" si="0"/>
        <v>0</v>
      </c>
      <c r="K24" s="32">
        <v>0.33333333333333298</v>
      </c>
      <c r="L24" s="31"/>
      <c r="M24" s="25">
        <f t="shared" si="1"/>
        <v>0</v>
      </c>
      <c r="N24" s="32">
        <v>0.33333333333333298</v>
      </c>
      <c r="O24" s="32"/>
      <c r="P24" s="25">
        <f t="shared" si="2"/>
        <v>0</v>
      </c>
      <c r="Q24" s="32">
        <v>0.33333333333333298</v>
      </c>
      <c r="R24" s="32"/>
      <c r="S24" s="25">
        <f t="shared" si="3"/>
        <v>0</v>
      </c>
      <c r="T24" s="32">
        <v>0.33333333333333298</v>
      </c>
      <c r="U24" s="32"/>
      <c r="V24" s="25">
        <f t="shared" si="9"/>
        <v>0</v>
      </c>
      <c r="W24" s="32">
        <v>0.33333333333333298</v>
      </c>
      <c r="X24" s="32">
        <f t="shared" si="5"/>
        <v>0</v>
      </c>
      <c r="Y24" s="25">
        <f t="shared" si="4"/>
        <v>0</v>
      </c>
      <c r="AD24" s="26"/>
    </row>
    <row r="25" spans="1:35" x14ac:dyDescent="0.2">
      <c r="A25" s="24">
        <f t="shared" si="6"/>
        <v>0.59160797830996159</v>
      </c>
      <c r="B25" s="32">
        <v>0.35</v>
      </c>
      <c r="C25" s="32"/>
      <c r="D25" s="25">
        <f t="shared" si="7"/>
        <v>0</v>
      </c>
      <c r="E25" s="32">
        <v>0.35</v>
      </c>
      <c r="F25" s="8"/>
      <c r="G25" s="25">
        <f t="shared" si="8"/>
        <v>0</v>
      </c>
      <c r="H25" s="32">
        <v>0.35</v>
      </c>
      <c r="I25" s="32"/>
      <c r="J25" s="25">
        <f t="shared" si="0"/>
        <v>0</v>
      </c>
      <c r="K25" s="32">
        <v>0.35</v>
      </c>
      <c r="L25" s="31"/>
      <c r="M25" s="25">
        <f t="shared" si="1"/>
        <v>0</v>
      </c>
      <c r="N25" s="32">
        <v>0.35</v>
      </c>
      <c r="O25" s="32"/>
      <c r="P25" s="25">
        <f t="shared" si="2"/>
        <v>0</v>
      </c>
      <c r="Q25" s="32">
        <v>0.35</v>
      </c>
      <c r="R25" s="32"/>
      <c r="S25" s="25">
        <f t="shared" si="3"/>
        <v>0</v>
      </c>
      <c r="T25" s="32">
        <v>0.35</v>
      </c>
      <c r="U25" s="32"/>
      <c r="V25" s="25">
        <f t="shared" si="9"/>
        <v>0</v>
      </c>
      <c r="W25" s="32">
        <v>0.35</v>
      </c>
      <c r="X25" s="32">
        <f t="shared" si="5"/>
        <v>0</v>
      </c>
      <c r="Y25" s="25">
        <f t="shared" si="4"/>
        <v>0</v>
      </c>
      <c r="AD25" s="26"/>
    </row>
    <row r="26" spans="1:35" x14ac:dyDescent="0.2">
      <c r="A26" s="24">
        <f t="shared" si="6"/>
        <v>0.60553007081949861</v>
      </c>
      <c r="B26" s="32">
        <v>0.36666666666666697</v>
      </c>
      <c r="C26" s="32"/>
      <c r="D26" s="25">
        <f t="shared" si="7"/>
        <v>0</v>
      </c>
      <c r="E26" s="32">
        <v>0.36666666666666697</v>
      </c>
      <c r="F26" s="8"/>
      <c r="G26" s="25">
        <f t="shared" si="8"/>
        <v>0</v>
      </c>
      <c r="H26" s="32">
        <v>0.36666666666666697</v>
      </c>
      <c r="I26" s="32"/>
      <c r="J26" s="25">
        <f t="shared" si="0"/>
        <v>0</v>
      </c>
      <c r="K26" s="32">
        <v>0.36666666666666697</v>
      </c>
      <c r="L26" s="31"/>
      <c r="M26" s="25">
        <f t="shared" si="1"/>
        <v>0</v>
      </c>
      <c r="N26" s="32">
        <v>0.36666666666666697</v>
      </c>
      <c r="O26" s="32"/>
      <c r="P26" s="25">
        <f t="shared" si="2"/>
        <v>0</v>
      </c>
      <c r="Q26" s="32">
        <v>0.36666666666666697</v>
      </c>
      <c r="R26" s="32"/>
      <c r="S26" s="25">
        <f t="shared" si="3"/>
        <v>0</v>
      </c>
      <c r="T26" s="32">
        <v>0.36666666666666697</v>
      </c>
      <c r="U26" s="32"/>
      <c r="V26" s="25">
        <f t="shared" si="9"/>
        <v>0</v>
      </c>
      <c r="W26" s="32">
        <v>0.36666666666666697</v>
      </c>
      <c r="X26" s="32">
        <f t="shared" si="5"/>
        <v>0</v>
      </c>
      <c r="Y26" s="25">
        <f t="shared" si="4"/>
        <v>0</v>
      </c>
      <c r="AD26" s="26"/>
    </row>
    <row r="27" spans="1:35" x14ac:dyDescent="0.2">
      <c r="A27" s="24">
        <f t="shared" si="6"/>
        <v>0.61913918736689011</v>
      </c>
      <c r="B27" s="32">
        <v>0.38333333333333303</v>
      </c>
      <c r="C27" s="32"/>
      <c r="D27" s="25">
        <f t="shared" si="7"/>
        <v>0</v>
      </c>
      <c r="E27" s="32">
        <v>0.38333333333333303</v>
      </c>
      <c r="F27" s="8"/>
      <c r="G27" s="25">
        <f t="shared" si="8"/>
        <v>0</v>
      </c>
      <c r="H27" s="32">
        <v>0.38333333333333303</v>
      </c>
      <c r="I27" s="32"/>
      <c r="J27" s="25">
        <f t="shared" si="0"/>
        <v>0</v>
      </c>
      <c r="K27" s="32">
        <v>0.38333333333333303</v>
      </c>
      <c r="L27" s="31"/>
      <c r="M27" s="25">
        <f t="shared" si="1"/>
        <v>0</v>
      </c>
      <c r="N27" s="32">
        <v>0.38333333333333303</v>
      </c>
      <c r="O27" s="32"/>
      <c r="P27" s="25">
        <f t="shared" si="2"/>
        <v>0</v>
      </c>
      <c r="Q27" s="32">
        <v>0.38333333333333303</v>
      </c>
      <c r="R27" s="32"/>
      <c r="S27" s="25">
        <f t="shared" si="3"/>
        <v>0</v>
      </c>
      <c r="T27" s="32">
        <v>0.38333333333333303</v>
      </c>
      <c r="U27" s="32"/>
      <c r="V27" s="25">
        <f t="shared" si="9"/>
        <v>0</v>
      </c>
      <c r="W27" s="32">
        <v>0.38333333333333303</v>
      </c>
      <c r="X27" s="32">
        <f t="shared" si="5"/>
        <v>0</v>
      </c>
      <c r="Y27" s="25">
        <f t="shared" si="4"/>
        <v>0</v>
      </c>
      <c r="AD27" s="26"/>
    </row>
    <row r="28" spans="1:35" x14ac:dyDescent="0.2">
      <c r="A28" s="24">
        <f t="shared" si="6"/>
        <v>0.63245553203367588</v>
      </c>
      <c r="B28" s="32">
        <v>0.4</v>
      </c>
      <c r="C28" s="32"/>
      <c r="D28" s="25">
        <f t="shared" si="7"/>
        <v>0</v>
      </c>
      <c r="E28" s="32">
        <v>0.4</v>
      </c>
      <c r="F28" s="8"/>
      <c r="G28" s="25">
        <f t="shared" si="8"/>
        <v>0</v>
      </c>
      <c r="H28" s="32">
        <v>0.4</v>
      </c>
      <c r="I28" s="32"/>
      <c r="J28" s="25">
        <f t="shared" si="0"/>
        <v>0</v>
      </c>
      <c r="K28" s="32">
        <v>0.4</v>
      </c>
      <c r="L28" s="31"/>
      <c r="M28" s="25">
        <f t="shared" si="1"/>
        <v>0</v>
      </c>
      <c r="N28" s="32">
        <v>0.4</v>
      </c>
      <c r="O28" s="32"/>
      <c r="P28" s="25">
        <f t="shared" si="2"/>
        <v>0</v>
      </c>
      <c r="Q28" s="32">
        <v>0.4</v>
      </c>
      <c r="R28" s="32"/>
      <c r="S28" s="25">
        <f t="shared" si="3"/>
        <v>0</v>
      </c>
      <c r="T28" s="32">
        <v>0.4</v>
      </c>
      <c r="U28" s="32"/>
      <c r="V28" s="25">
        <f t="shared" si="9"/>
        <v>0</v>
      </c>
      <c r="W28" s="32">
        <v>0.4</v>
      </c>
      <c r="X28" s="32">
        <f t="shared" si="5"/>
        <v>0</v>
      </c>
      <c r="Y28" s="25">
        <f t="shared" si="4"/>
        <v>0</v>
      </c>
      <c r="AD28" s="26"/>
    </row>
    <row r="29" spans="1:35" x14ac:dyDescent="0.2">
      <c r="A29" s="24">
        <f t="shared" si="6"/>
        <v>0.64549722436790313</v>
      </c>
      <c r="B29" s="32">
        <v>0.41666666666666702</v>
      </c>
      <c r="C29" s="32"/>
      <c r="D29" s="25">
        <f t="shared" si="7"/>
        <v>0</v>
      </c>
      <c r="E29" s="32">
        <v>0.41666666666666702</v>
      </c>
      <c r="F29" s="8"/>
      <c r="G29" s="25">
        <f t="shared" si="8"/>
        <v>0</v>
      </c>
      <c r="H29" s="32">
        <v>0.41666666666666702</v>
      </c>
      <c r="I29" s="32"/>
      <c r="J29" s="25">
        <f t="shared" si="0"/>
        <v>0</v>
      </c>
      <c r="K29" s="32">
        <v>0.41666666666666702</v>
      </c>
      <c r="L29" s="31"/>
      <c r="M29" s="25">
        <f t="shared" si="1"/>
        <v>0</v>
      </c>
      <c r="N29" s="32">
        <v>0.41666666666666702</v>
      </c>
      <c r="O29" s="32"/>
      <c r="P29" s="25">
        <f t="shared" si="2"/>
        <v>0</v>
      </c>
      <c r="Q29" s="32">
        <v>0.41666666666666702</v>
      </c>
      <c r="R29" s="32"/>
      <c r="S29" s="25">
        <f t="shared" si="3"/>
        <v>0</v>
      </c>
      <c r="T29" s="32">
        <v>0.41666666666666702</v>
      </c>
      <c r="U29" s="32"/>
      <c r="V29" s="25">
        <f t="shared" si="9"/>
        <v>0</v>
      </c>
      <c r="W29" s="32">
        <v>0.41666666666666702</v>
      </c>
      <c r="X29" s="32">
        <f t="shared" si="5"/>
        <v>0</v>
      </c>
      <c r="Y29" s="25">
        <f t="shared" si="4"/>
        <v>0</v>
      </c>
      <c r="AD29" s="26"/>
    </row>
    <row r="30" spans="1:35" x14ac:dyDescent="0.2">
      <c r="A30" s="24">
        <f t="shared" si="6"/>
        <v>0.6582805886043831</v>
      </c>
      <c r="B30" s="32">
        <v>0.43333333333333302</v>
      </c>
      <c r="C30" s="32"/>
      <c r="D30" s="25">
        <f t="shared" si="7"/>
        <v>0</v>
      </c>
      <c r="E30" s="32">
        <v>0.43333333333333302</v>
      </c>
      <c r="F30" s="8"/>
      <c r="G30" s="25">
        <f t="shared" si="8"/>
        <v>0</v>
      </c>
      <c r="H30" s="32">
        <v>0.43333333333333302</v>
      </c>
      <c r="I30" s="32"/>
      <c r="J30" s="25">
        <f t="shared" si="0"/>
        <v>0</v>
      </c>
      <c r="K30" s="32">
        <v>0.43333333333333302</v>
      </c>
      <c r="L30" s="31"/>
      <c r="M30" s="25">
        <f t="shared" si="1"/>
        <v>0</v>
      </c>
      <c r="N30" s="32">
        <v>0.43333333333333302</v>
      </c>
      <c r="O30" s="32"/>
      <c r="P30" s="25">
        <f t="shared" si="2"/>
        <v>0</v>
      </c>
      <c r="Q30" s="32">
        <v>0.43333333333333302</v>
      </c>
      <c r="R30" s="32"/>
      <c r="S30" s="25">
        <f t="shared" si="3"/>
        <v>0</v>
      </c>
      <c r="T30" s="32">
        <v>0.43333333333333302</v>
      </c>
      <c r="U30" s="32"/>
      <c r="V30" s="25">
        <f t="shared" si="9"/>
        <v>0</v>
      </c>
      <c r="W30" s="32">
        <v>0.43333333333333302</v>
      </c>
      <c r="X30" s="32">
        <f t="shared" si="5"/>
        <v>0</v>
      </c>
      <c r="Y30" s="25">
        <f t="shared" si="4"/>
        <v>0</v>
      </c>
      <c r="AD30" s="26"/>
    </row>
    <row r="31" spans="1:35" x14ac:dyDescent="0.2">
      <c r="A31" s="24">
        <f t="shared" si="6"/>
        <v>0.67082039324993692</v>
      </c>
      <c r="B31" s="32">
        <v>0.45</v>
      </c>
      <c r="C31" s="32"/>
      <c r="D31" s="25">
        <f t="shared" si="7"/>
        <v>0</v>
      </c>
      <c r="E31" s="32">
        <v>0.45</v>
      </c>
      <c r="F31" s="8"/>
      <c r="G31" s="25">
        <f t="shared" si="8"/>
        <v>0</v>
      </c>
      <c r="H31" s="32">
        <v>0.45</v>
      </c>
      <c r="I31" s="32"/>
      <c r="J31" s="25">
        <f t="shared" si="0"/>
        <v>0</v>
      </c>
      <c r="K31" s="32">
        <v>0.45</v>
      </c>
      <c r="L31" s="31"/>
      <c r="M31" s="25">
        <f t="shared" si="1"/>
        <v>0</v>
      </c>
      <c r="N31" s="32">
        <v>0.45</v>
      </c>
      <c r="O31" s="32"/>
      <c r="P31" s="25">
        <f t="shared" si="2"/>
        <v>0</v>
      </c>
      <c r="Q31" s="32">
        <v>0.45</v>
      </c>
      <c r="R31" s="32"/>
      <c r="S31" s="25">
        <f t="shared" si="3"/>
        <v>0</v>
      </c>
      <c r="T31" s="32">
        <v>0.45</v>
      </c>
      <c r="U31" s="32"/>
      <c r="V31" s="25">
        <f t="shared" si="9"/>
        <v>0</v>
      </c>
      <c r="W31" s="32">
        <v>0.45</v>
      </c>
      <c r="X31" s="32">
        <f t="shared" si="5"/>
        <v>0</v>
      </c>
      <c r="Y31" s="25">
        <f t="shared" si="4"/>
        <v>0</v>
      </c>
      <c r="AD31" s="26"/>
    </row>
    <row r="32" spans="1:35" x14ac:dyDescent="0.2">
      <c r="A32" s="24">
        <f t="shared" si="6"/>
        <v>0.68313005106397351</v>
      </c>
      <c r="B32" s="32">
        <v>0.46666666666666701</v>
      </c>
      <c r="C32" s="32"/>
      <c r="D32" s="25">
        <f t="shared" si="7"/>
        <v>0</v>
      </c>
      <c r="E32" s="32">
        <v>0.46666666666666701</v>
      </c>
      <c r="F32" s="8"/>
      <c r="G32" s="25">
        <f t="shared" si="8"/>
        <v>0</v>
      </c>
      <c r="H32" s="32">
        <v>0.46666666666666701</v>
      </c>
      <c r="I32" s="32"/>
      <c r="J32" s="25">
        <f t="shared" si="0"/>
        <v>0</v>
      </c>
      <c r="K32" s="32">
        <v>0.46666666666666701</v>
      </c>
      <c r="L32" s="31"/>
      <c r="M32" s="25">
        <f t="shared" si="1"/>
        <v>0</v>
      </c>
      <c r="N32" s="32">
        <v>0.46666666666666701</v>
      </c>
      <c r="O32" s="32"/>
      <c r="P32" s="25">
        <f t="shared" si="2"/>
        <v>0</v>
      </c>
      <c r="Q32" s="32">
        <v>0.46666666666666701</v>
      </c>
      <c r="R32" s="32"/>
      <c r="S32" s="25">
        <f t="shared" si="3"/>
        <v>0</v>
      </c>
      <c r="T32" s="32">
        <v>0.46666666666666701</v>
      </c>
      <c r="U32" s="32"/>
      <c r="V32" s="25">
        <f t="shared" si="9"/>
        <v>0</v>
      </c>
      <c r="W32" s="32">
        <v>0.46666666666666701</v>
      </c>
      <c r="X32" s="32">
        <f t="shared" si="5"/>
        <v>0</v>
      </c>
      <c r="Y32" s="25">
        <f t="shared" si="4"/>
        <v>0</v>
      </c>
      <c r="AD32" s="26"/>
    </row>
    <row r="33" spans="1:35" x14ac:dyDescent="0.2">
      <c r="A33" s="24">
        <f t="shared" si="6"/>
        <v>0.69522178715380678</v>
      </c>
      <c r="B33" s="32">
        <v>0.483333333333333</v>
      </c>
      <c r="C33" s="32"/>
      <c r="D33" s="25">
        <f t="shared" si="7"/>
        <v>0</v>
      </c>
      <c r="E33" s="32">
        <v>0.483333333333333</v>
      </c>
      <c r="F33" s="8"/>
      <c r="G33" s="25">
        <f t="shared" si="8"/>
        <v>0</v>
      </c>
      <c r="H33" s="32">
        <v>0.483333333333333</v>
      </c>
      <c r="I33" s="32"/>
      <c r="J33" s="25">
        <f t="shared" si="0"/>
        <v>0</v>
      </c>
      <c r="K33" s="32">
        <v>0.483333333333333</v>
      </c>
      <c r="L33" s="31"/>
      <c r="M33" s="25">
        <f t="shared" si="1"/>
        <v>0</v>
      </c>
      <c r="N33" s="32">
        <v>0.483333333333333</v>
      </c>
      <c r="O33" s="32"/>
      <c r="P33" s="25">
        <f t="shared" si="2"/>
        <v>0</v>
      </c>
      <c r="Q33" s="32">
        <v>0.483333333333333</v>
      </c>
      <c r="R33" s="32"/>
      <c r="S33" s="25">
        <f t="shared" si="3"/>
        <v>0</v>
      </c>
      <c r="T33" s="32">
        <v>0.483333333333333</v>
      </c>
      <c r="U33" s="32"/>
      <c r="V33" s="25">
        <f t="shared" si="9"/>
        <v>0</v>
      </c>
      <c r="W33" s="32">
        <v>0.483333333333333</v>
      </c>
      <c r="X33" s="32">
        <f t="shared" si="5"/>
        <v>0</v>
      </c>
      <c r="Y33" s="25">
        <f t="shared" si="4"/>
        <v>0</v>
      </c>
      <c r="AD33" s="26"/>
    </row>
    <row r="34" spans="1:35" x14ac:dyDescent="0.2">
      <c r="A34" s="24">
        <f t="shared" si="6"/>
        <v>0.70710678118654757</v>
      </c>
      <c r="B34" s="32">
        <v>0.5</v>
      </c>
      <c r="C34" s="32"/>
      <c r="D34" s="25">
        <f t="shared" si="7"/>
        <v>0</v>
      </c>
      <c r="E34" s="32">
        <v>0.5</v>
      </c>
      <c r="F34" s="8"/>
      <c r="G34" s="25">
        <f t="shared" si="8"/>
        <v>0</v>
      </c>
      <c r="H34" s="32">
        <v>0.5</v>
      </c>
      <c r="I34" s="32"/>
      <c r="J34" s="25">
        <f t="shared" si="0"/>
        <v>0</v>
      </c>
      <c r="K34" s="32">
        <v>0.5</v>
      </c>
      <c r="L34" s="31"/>
      <c r="M34" s="25">
        <f t="shared" si="1"/>
        <v>0</v>
      </c>
      <c r="N34" s="32">
        <v>0.5</v>
      </c>
      <c r="O34" s="32"/>
      <c r="P34" s="25">
        <f t="shared" si="2"/>
        <v>0</v>
      </c>
      <c r="Q34" s="32">
        <v>0.5</v>
      </c>
      <c r="R34" s="32"/>
      <c r="S34" s="25">
        <f t="shared" si="3"/>
        <v>0</v>
      </c>
      <c r="T34" s="32">
        <v>0.5</v>
      </c>
      <c r="U34" s="32"/>
      <c r="V34" s="25">
        <f t="shared" si="9"/>
        <v>0</v>
      </c>
      <c r="W34" s="32">
        <v>0.5</v>
      </c>
      <c r="X34" s="32">
        <f t="shared" si="5"/>
        <v>0</v>
      </c>
      <c r="Y34" s="25">
        <f t="shared" si="4"/>
        <v>0</v>
      </c>
      <c r="AA34" s="2"/>
      <c r="AB34" s="2"/>
      <c r="AD34" s="26"/>
    </row>
    <row r="35" spans="1:35" s="2" customFormat="1" x14ac:dyDescent="0.2">
      <c r="A35" s="24">
        <f t="shared" si="6"/>
        <v>1</v>
      </c>
      <c r="B35" s="28">
        <v>1</v>
      </c>
      <c r="C35" s="32"/>
      <c r="D35" s="25">
        <f t="shared" si="7"/>
        <v>0</v>
      </c>
      <c r="E35" s="28">
        <v>1</v>
      </c>
      <c r="F35" s="8"/>
      <c r="G35" s="25">
        <f t="shared" si="8"/>
        <v>0</v>
      </c>
      <c r="H35" s="28">
        <v>1</v>
      </c>
      <c r="I35" s="32"/>
      <c r="J35" s="25">
        <f t="shared" si="0"/>
        <v>0</v>
      </c>
      <c r="K35" s="28">
        <v>1</v>
      </c>
      <c r="L35" s="31"/>
      <c r="M35" s="25">
        <f t="shared" si="1"/>
        <v>0</v>
      </c>
      <c r="N35" s="28">
        <v>1</v>
      </c>
      <c r="O35" s="32"/>
      <c r="P35" s="25">
        <f t="shared" si="2"/>
        <v>0</v>
      </c>
      <c r="Q35" s="28">
        <v>1</v>
      </c>
      <c r="R35" s="32"/>
      <c r="S35" s="25">
        <f t="shared" si="3"/>
        <v>0</v>
      </c>
      <c r="T35" s="28">
        <v>1</v>
      </c>
      <c r="U35" s="32"/>
      <c r="V35" s="25">
        <f t="shared" si="9"/>
        <v>0</v>
      </c>
      <c r="W35" s="32">
        <v>1</v>
      </c>
      <c r="X35" s="32">
        <f t="shared" si="5"/>
        <v>0</v>
      </c>
      <c r="Y35" s="25">
        <f t="shared" si="4"/>
        <v>0</v>
      </c>
      <c r="AC35" s="1"/>
      <c r="AD35" s="26"/>
      <c r="AF35" s="1"/>
      <c r="AI35" s="1"/>
    </row>
    <row r="36" spans="1:35" s="2" customFormat="1" x14ac:dyDescent="0.2">
      <c r="A36" s="24">
        <f t="shared" si="6"/>
        <v>1.2247448713915889</v>
      </c>
      <c r="B36" s="28">
        <v>1.5</v>
      </c>
      <c r="C36" s="32"/>
      <c r="D36" s="25">
        <f t="shared" si="7"/>
        <v>0</v>
      </c>
      <c r="E36" s="28">
        <v>1.5</v>
      </c>
      <c r="F36" s="8"/>
      <c r="G36" s="25">
        <f t="shared" si="8"/>
        <v>0</v>
      </c>
      <c r="H36" s="28">
        <v>1.5</v>
      </c>
      <c r="I36" s="32"/>
      <c r="J36" s="25">
        <f t="shared" si="0"/>
        <v>0</v>
      </c>
      <c r="K36" s="28">
        <v>1.5</v>
      </c>
      <c r="L36" s="31"/>
      <c r="M36" s="25">
        <f t="shared" si="1"/>
        <v>0</v>
      </c>
      <c r="N36" s="28">
        <v>1.5</v>
      </c>
      <c r="O36" s="32"/>
      <c r="P36" s="25">
        <f t="shared" si="2"/>
        <v>0</v>
      </c>
      <c r="Q36" s="28">
        <v>1.5</v>
      </c>
      <c r="R36" s="32"/>
      <c r="S36" s="25">
        <f t="shared" si="3"/>
        <v>0</v>
      </c>
      <c r="T36" s="28">
        <v>1.5</v>
      </c>
      <c r="U36" s="32"/>
      <c r="V36" s="25">
        <f t="shared" si="9"/>
        <v>0</v>
      </c>
      <c r="W36" s="32">
        <v>1.5</v>
      </c>
      <c r="X36" s="32">
        <f t="shared" si="5"/>
        <v>0</v>
      </c>
      <c r="Y36" s="25">
        <f t="shared" si="4"/>
        <v>0</v>
      </c>
      <c r="AA36" s="1"/>
      <c r="AB36" s="1"/>
      <c r="AC36" s="1"/>
      <c r="AD36" s="26"/>
      <c r="AF36" s="1"/>
      <c r="AI36" s="1"/>
    </row>
    <row r="37" spans="1:35" x14ac:dyDescent="0.2">
      <c r="A37" s="24">
        <f t="shared" si="6"/>
        <v>1.4142135623730951</v>
      </c>
      <c r="B37" s="32">
        <v>2</v>
      </c>
      <c r="C37" s="32"/>
      <c r="D37" s="25">
        <f t="shared" si="7"/>
        <v>0</v>
      </c>
      <c r="E37" s="32">
        <v>2</v>
      </c>
      <c r="F37" s="8"/>
      <c r="G37" s="25">
        <f t="shared" si="8"/>
        <v>0</v>
      </c>
      <c r="H37" s="32">
        <v>2</v>
      </c>
      <c r="I37" s="32"/>
      <c r="J37" s="25">
        <f t="shared" si="0"/>
        <v>0</v>
      </c>
      <c r="K37" s="32">
        <v>2</v>
      </c>
      <c r="L37" s="31"/>
      <c r="M37" s="25">
        <f t="shared" si="1"/>
        <v>0</v>
      </c>
      <c r="N37" s="32">
        <v>2</v>
      </c>
      <c r="O37" s="32"/>
      <c r="P37" s="25">
        <f t="shared" si="2"/>
        <v>0</v>
      </c>
      <c r="Q37" s="32">
        <v>2</v>
      </c>
      <c r="R37" s="32"/>
      <c r="S37" s="25">
        <f t="shared" si="3"/>
        <v>0</v>
      </c>
      <c r="T37" s="32">
        <v>2</v>
      </c>
      <c r="U37" s="32"/>
      <c r="V37" s="25">
        <f t="shared" si="9"/>
        <v>0</v>
      </c>
      <c r="W37" s="32">
        <v>2</v>
      </c>
      <c r="X37" s="32">
        <f t="shared" si="5"/>
        <v>0</v>
      </c>
      <c r="Y37" s="25">
        <f t="shared" si="4"/>
        <v>0</v>
      </c>
      <c r="AA37" s="2"/>
      <c r="AB37" s="2"/>
      <c r="AD37" s="26"/>
    </row>
    <row r="38" spans="1:35" s="2" customFormat="1" x14ac:dyDescent="0.2">
      <c r="A38" s="24">
        <f t="shared" si="6"/>
        <v>1.5811388300841898</v>
      </c>
      <c r="B38" s="28">
        <v>2.5</v>
      </c>
      <c r="C38" s="32"/>
      <c r="D38" s="25">
        <f t="shared" si="7"/>
        <v>0</v>
      </c>
      <c r="E38" s="28">
        <v>2.5</v>
      </c>
      <c r="F38" s="8"/>
      <c r="G38" s="25">
        <f t="shared" si="8"/>
        <v>0</v>
      </c>
      <c r="H38" s="28">
        <v>2.5</v>
      </c>
      <c r="I38" s="32"/>
      <c r="J38" s="25">
        <f t="shared" si="0"/>
        <v>0</v>
      </c>
      <c r="K38" s="28">
        <v>2.5</v>
      </c>
      <c r="L38" s="31"/>
      <c r="M38" s="25">
        <f t="shared" si="1"/>
        <v>0</v>
      </c>
      <c r="N38" s="28">
        <v>2.5</v>
      </c>
      <c r="O38" s="32"/>
      <c r="P38" s="25">
        <f t="shared" si="2"/>
        <v>0</v>
      </c>
      <c r="Q38" s="28">
        <v>2.5</v>
      </c>
      <c r="R38" s="32"/>
      <c r="S38" s="25">
        <f t="shared" si="3"/>
        <v>0</v>
      </c>
      <c r="T38" s="28">
        <v>2.5</v>
      </c>
      <c r="U38" s="32"/>
      <c r="V38" s="25">
        <f t="shared" si="9"/>
        <v>0</v>
      </c>
      <c r="W38" s="32">
        <v>2.5</v>
      </c>
      <c r="X38" s="32">
        <f t="shared" si="5"/>
        <v>0</v>
      </c>
      <c r="Y38" s="25">
        <f t="shared" si="4"/>
        <v>0</v>
      </c>
      <c r="AA38" s="1"/>
      <c r="AB38" s="1"/>
      <c r="AC38" s="1"/>
      <c r="AD38" s="26"/>
      <c r="AF38" s="1"/>
      <c r="AI38" s="1"/>
    </row>
    <row r="39" spans="1:35" x14ac:dyDescent="0.2">
      <c r="A39" s="24">
        <f t="shared" si="6"/>
        <v>1.7320508075688772</v>
      </c>
      <c r="B39" s="32">
        <v>3</v>
      </c>
      <c r="C39" s="32"/>
      <c r="D39" s="25">
        <f t="shared" si="7"/>
        <v>0</v>
      </c>
      <c r="E39" s="32">
        <v>3</v>
      </c>
      <c r="F39" s="8"/>
      <c r="G39" s="25">
        <f t="shared" si="8"/>
        <v>0</v>
      </c>
      <c r="H39" s="32">
        <v>3</v>
      </c>
      <c r="I39" s="32"/>
      <c r="J39" s="25">
        <f t="shared" si="0"/>
        <v>0</v>
      </c>
      <c r="K39" s="32">
        <v>3</v>
      </c>
      <c r="L39" s="31"/>
      <c r="M39" s="25">
        <f t="shared" si="1"/>
        <v>0</v>
      </c>
      <c r="N39" s="32">
        <v>3</v>
      </c>
      <c r="O39" s="32"/>
      <c r="P39" s="25">
        <f t="shared" si="2"/>
        <v>0</v>
      </c>
      <c r="Q39" s="32">
        <v>3</v>
      </c>
      <c r="R39" s="32"/>
      <c r="S39" s="25">
        <f t="shared" si="3"/>
        <v>0</v>
      </c>
      <c r="T39" s="32">
        <v>3</v>
      </c>
      <c r="U39" s="32"/>
      <c r="V39" s="25">
        <f t="shared" si="9"/>
        <v>0</v>
      </c>
      <c r="W39" s="32">
        <v>3</v>
      </c>
      <c r="X39" s="32">
        <f t="shared" si="5"/>
        <v>0</v>
      </c>
      <c r="Y39" s="25">
        <f t="shared" si="4"/>
        <v>0</v>
      </c>
      <c r="AD39" s="26"/>
    </row>
    <row r="40" spans="1:35" x14ac:dyDescent="0.2">
      <c r="A40" s="24">
        <f t="shared" si="6"/>
        <v>1.8708286933869707</v>
      </c>
      <c r="B40" s="32">
        <v>3.5</v>
      </c>
      <c r="C40" s="32"/>
      <c r="D40" s="25">
        <f t="shared" si="7"/>
        <v>0</v>
      </c>
      <c r="E40" s="32">
        <v>3.5</v>
      </c>
      <c r="F40" s="8"/>
      <c r="G40" s="25">
        <f t="shared" si="8"/>
        <v>0</v>
      </c>
      <c r="H40" s="32">
        <v>3.5</v>
      </c>
      <c r="I40" s="32"/>
      <c r="J40" s="25">
        <f t="shared" si="0"/>
        <v>0</v>
      </c>
      <c r="K40" s="32">
        <v>3.5</v>
      </c>
      <c r="L40" s="31"/>
      <c r="M40" s="25">
        <f t="shared" si="1"/>
        <v>0</v>
      </c>
      <c r="N40" s="32">
        <v>3.5</v>
      </c>
      <c r="O40" s="32"/>
      <c r="P40" s="25">
        <f t="shared" si="2"/>
        <v>0</v>
      </c>
      <c r="Q40" s="32">
        <v>3.5</v>
      </c>
      <c r="R40" s="32"/>
      <c r="S40" s="25">
        <f t="shared" si="3"/>
        <v>0</v>
      </c>
      <c r="T40" s="32">
        <v>3.5</v>
      </c>
      <c r="U40" s="32"/>
      <c r="V40" s="25">
        <f t="shared" si="9"/>
        <v>0</v>
      </c>
      <c r="W40" s="32">
        <v>3.5</v>
      </c>
      <c r="X40" s="32">
        <f t="shared" si="5"/>
        <v>0</v>
      </c>
      <c r="Y40" s="25">
        <f t="shared" si="4"/>
        <v>0</v>
      </c>
      <c r="AD40" s="26"/>
    </row>
    <row r="41" spans="1:35" x14ac:dyDescent="0.2">
      <c r="A41" s="24">
        <f t="shared" si="6"/>
        <v>2</v>
      </c>
      <c r="B41" s="32">
        <v>4</v>
      </c>
      <c r="C41" s="32"/>
      <c r="D41" s="25">
        <f t="shared" si="7"/>
        <v>0</v>
      </c>
      <c r="E41" s="32">
        <v>4</v>
      </c>
      <c r="F41" s="8"/>
      <c r="G41" s="25">
        <f t="shared" si="8"/>
        <v>0</v>
      </c>
      <c r="H41" s="32">
        <v>4</v>
      </c>
      <c r="I41" s="32"/>
      <c r="J41" s="25">
        <f t="shared" si="0"/>
        <v>0</v>
      </c>
      <c r="K41" s="32">
        <v>4</v>
      </c>
      <c r="L41" s="31"/>
      <c r="M41" s="25">
        <f t="shared" si="1"/>
        <v>0</v>
      </c>
      <c r="N41" s="32">
        <v>4</v>
      </c>
      <c r="O41" s="32"/>
      <c r="P41" s="25">
        <f t="shared" si="2"/>
        <v>0</v>
      </c>
      <c r="Q41" s="32">
        <v>4</v>
      </c>
      <c r="R41" s="32"/>
      <c r="S41" s="25">
        <f t="shared" si="3"/>
        <v>0</v>
      </c>
      <c r="T41" s="32">
        <v>4</v>
      </c>
      <c r="U41" s="32"/>
      <c r="V41" s="25">
        <f t="shared" si="9"/>
        <v>0</v>
      </c>
      <c r="W41" s="32">
        <v>4</v>
      </c>
      <c r="X41" s="32">
        <f t="shared" si="5"/>
        <v>0</v>
      </c>
      <c r="Y41" s="25">
        <f t="shared" si="4"/>
        <v>0</v>
      </c>
      <c r="AA41" s="2"/>
      <c r="AB41" s="2"/>
      <c r="AD41" s="26"/>
    </row>
    <row r="42" spans="1:35" s="2" customFormat="1" x14ac:dyDescent="0.2">
      <c r="A42" s="24">
        <f t="shared" si="6"/>
        <v>2.1213203435596424</v>
      </c>
      <c r="B42" s="28">
        <v>4.5</v>
      </c>
      <c r="C42" s="32"/>
      <c r="D42" s="25">
        <f t="shared" si="7"/>
        <v>0</v>
      </c>
      <c r="E42" s="28">
        <v>4.5</v>
      </c>
      <c r="F42" s="8"/>
      <c r="G42" s="25">
        <f t="shared" si="8"/>
        <v>0</v>
      </c>
      <c r="H42" s="28">
        <v>4.5</v>
      </c>
      <c r="I42" s="32"/>
      <c r="J42" s="25">
        <f t="shared" si="0"/>
        <v>0</v>
      </c>
      <c r="K42" s="28">
        <v>4.5</v>
      </c>
      <c r="L42" s="31"/>
      <c r="M42" s="25">
        <f t="shared" si="1"/>
        <v>0</v>
      </c>
      <c r="N42" s="28">
        <v>4.5</v>
      </c>
      <c r="O42" s="32"/>
      <c r="P42" s="25">
        <f t="shared" si="2"/>
        <v>0</v>
      </c>
      <c r="Q42" s="28">
        <v>4.5</v>
      </c>
      <c r="R42" s="32"/>
      <c r="S42" s="25">
        <f t="shared" si="3"/>
        <v>0</v>
      </c>
      <c r="T42" s="28">
        <v>4.5</v>
      </c>
      <c r="U42" s="32"/>
      <c r="V42" s="25">
        <f t="shared" si="9"/>
        <v>0</v>
      </c>
      <c r="W42" s="32">
        <v>4.5</v>
      </c>
      <c r="X42" s="32">
        <f t="shared" si="5"/>
        <v>0</v>
      </c>
      <c r="Y42" s="25">
        <f t="shared" si="4"/>
        <v>0</v>
      </c>
      <c r="AA42" s="1"/>
      <c r="AB42" s="1"/>
      <c r="AC42" s="1"/>
      <c r="AD42" s="26"/>
      <c r="AF42" s="1"/>
      <c r="AI42" s="1"/>
    </row>
    <row r="43" spans="1:35" x14ac:dyDescent="0.2">
      <c r="A43" s="24">
        <f t="shared" si="6"/>
        <v>2.2360679774997898</v>
      </c>
      <c r="B43" s="32">
        <v>5</v>
      </c>
      <c r="C43" s="32"/>
      <c r="D43" s="25">
        <f t="shared" si="7"/>
        <v>0</v>
      </c>
      <c r="E43" s="32">
        <v>5</v>
      </c>
      <c r="F43" s="8"/>
      <c r="G43" s="25">
        <f t="shared" si="8"/>
        <v>0</v>
      </c>
      <c r="H43" s="32">
        <v>5</v>
      </c>
      <c r="I43" s="32"/>
      <c r="J43" s="25">
        <f t="shared" si="0"/>
        <v>0</v>
      </c>
      <c r="K43" s="32">
        <v>5</v>
      </c>
      <c r="L43" s="31"/>
      <c r="M43" s="25">
        <f t="shared" si="1"/>
        <v>0</v>
      </c>
      <c r="N43" s="32">
        <v>5</v>
      </c>
      <c r="O43" s="32"/>
      <c r="P43" s="25">
        <f t="shared" si="2"/>
        <v>0</v>
      </c>
      <c r="Q43" s="32">
        <v>5</v>
      </c>
      <c r="R43" s="32"/>
      <c r="S43" s="25">
        <f t="shared" si="3"/>
        <v>0</v>
      </c>
      <c r="T43" s="32">
        <v>5</v>
      </c>
      <c r="U43" s="32"/>
      <c r="V43" s="25">
        <f t="shared" si="9"/>
        <v>0</v>
      </c>
      <c r="W43" s="32">
        <v>5</v>
      </c>
      <c r="X43" s="32">
        <f t="shared" si="5"/>
        <v>0</v>
      </c>
      <c r="Y43" s="25">
        <f t="shared" si="4"/>
        <v>0</v>
      </c>
      <c r="AD43" s="26"/>
    </row>
    <row r="44" spans="1:35" x14ac:dyDescent="0.2">
      <c r="A44" s="24">
        <f t="shared" si="6"/>
        <v>2.3452078799117149</v>
      </c>
      <c r="B44" s="32">
        <v>5.5</v>
      </c>
      <c r="C44" s="32"/>
      <c r="D44" s="25">
        <f t="shared" si="7"/>
        <v>0</v>
      </c>
      <c r="E44" s="32">
        <v>5.5</v>
      </c>
      <c r="F44" s="8"/>
      <c r="G44" s="25">
        <f t="shared" si="8"/>
        <v>0</v>
      </c>
      <c r="H44" s="32">
        <v>5.5</v>
      </c>
      <c r="I44" s="32"/>
      <c r="J44" s="25">
        <f t="shared" si="0"/>
        <v>0</v>
      </c>
      <c r="K44" s="32">
        <v>5.5</v>
      </c>
      <c r="L44" s="31"/>
      <c r="M44" s="25">
        <f t="shared" si="1"/>
        <v>0</v>
      </c>
      <c r="N44" s="32">
        <v>5.5</v>
      </c>
      <c r="O44" s="32"/>
      <c r="P44" s="25">
        <f t="shared" si="2"/>
        <v>0</v>
      </c>
      <c r="Q44" s="32">
        <v>5.5</v>
      </c>
      <c r="R44" s="32"/>
      <c r="S44" s="25">
        <f t="shared" si="3"/>
        <v>0</v>
      </c>
      <c r="T44" s="32">
        <v>5.5</v>
      </c>
      <c r="U44" s="32"/>
      <c r="V44" s="25">
        <f t="shared" si="9"/>
        <v>0</v>
      </c>
      <c r="W44" s="32">
        <v>5.5</v>
      </c>
      <c r="X44" s="32">
        <f t="shared" si="5"/>
        <v>0</v>
      </c>
      <c r="Y44" s="25">
        <f t="shared" si="4"/>
        <v>0</v>
      </c>
      <c r="AD44" s="26"/>
    </row>
    <row r="45" spans="1:35" x14ac:dyDescent="0.2">
      <c r="A45" s="24">
        <f t="shared" si="6"/>
        <v>2.4494897427831779</v>
      </c>
      <c r="B45" s="32">
        <v>6</v>
      </c>
      <c r="C45" s="32"/>
      <c r="D45" s="25">
        <f t="shared" si="7"/>
        <v>0</v>
      </c>
      <c r="E45" s="32">
        <v>6</v>
      </c>
      <c r="F45" s="8"/>
      <c r="G45" s="25">
        <f t="shared" si="8"/>
        <v>0</v>
      </c>
      <c r="H45" s="32">
        <v>6</v>
      </c>
      <c r="I45" s="32"/>
      <c r="J45" s="25">
        <f t="shared" si="0"/>
        <v>0</v>
      </c>
      <c r="K45" s="32">
        <v>6</v>
      </c>
      <c r="L45" s="31"/>
      <c r="M45" s="25">
        <f t="shared" si="1"/>
        <v>0</v>
      </c>
      <c r="N45" s="32">
        <v>6</v>
      </c>
      <c r="O45" s="32"/>
      <c r="P45" s="25">
        <f t="shared" si="2"/>
        <v>0</v>
      </c>
      <c r="Q45" s="32">
        <v>6</v>
      </c>
      <c r="R45" s="32"/>
      <c r="S45" s="25">
        <f t="shared" si="3"/>
        <v>0</v>
      </c>
      <c r="T45" s="32">
        <v>6</v>
      </c>
      <c r="U45" s="32"/>
      <c r="V45" s="25">
        <f t="shared" si="9"/>
        <v>0</v>
      </c>
      <c r="W45" s="32">
        <v>6</v>
      </c>
      <c r="X45" s="32">
        <f t="shared" si="5"/>
        <v>0</v>
      </c>
      <c r="Y45" s="25">
        <f t="shared" si="4"/>
        <v>0</v>
      </c>
      <c r="AD45" s="26"/>
    </row>
    <row r="46" spans="1:35" x14ac:dyDescent="0.2">
      <c r="A46" s="24">
        <f t="shared" si="6"/>
        <v>2.5495097567963922</v>
      </c>
      <c r="B46" s="32">
        <v>6.5</v>
      </c>
      <c r="C46" s="32"/>
      <c r="D46" s="25">
        <f t="shared" si="7"/>
        <v>0</v>
      </c>
      <c r="E46" s="32">
        <v>6.5</v>
      </c>
      <c r="F46" s="8"/>
      <c r="G46" s="25">
        <f t="shared" si="8"/>
        <v>0</v>
      </c>
      <c r="H46" s="32">
        <v>6.5</v>
      </c>
      <c r="I46" s="32"/>
      <c r="J46" s="25">
        <f t="shared" si="0"/>
        <v>0</v>
      </c>
      <c r="K46" s="32">
        <v>6.5</v>
      </c>
      <c r="L46" s="31"/>
      <c r="M46" s="25">
        <f t="shared" si="1"/>
        <v>0</v>
      </c>
      <c r="N46" s="32">
        <v>6.5</v>
      </c>
      <c r="O46" s="32"/>
      <c r="P46" s="25">
        <f t="shared" si="2"/>
        <v>0</v>
      </c>
      <c r="Q46" s="32">
        <v>6.5</v>
      </c>
      <c r="R46" s="32"/>
      <c r="S46" s="25">
        <f t="shared" si="3"/>
        <v>0</v>
      </c>
      <c r="T46" s="32">
        <v>6.5</v>
      </c>
      <c r="U46" s="32"/>
      <c r="V46" s="25">
        <f t="shared" si="9"/>
        <v>0</v>
      </c>
      <c r="W46" s="32">
        <v>6.5</v>
      </c>
      <c r="X46" s="32">
        <f t="shared" si="5"/>
        <v>0</v>
      </c>
      <c r="Y46" s="25">
        <f t="shared" si="4"/>
        <v>0</v>
      </c>
      <c r="AD46" s="26"/>
    </row>
    <row r="47" spans="1:35" x14ac:dyDescent="0.2">
      <c r="A47" s="24">
        <f t="shared" si="6"/>
        <v>2.6457513110645907</v>
      </c>
      <c r="B47" s="32">
        <v>7</v>
      </c>
      <c r="C47" s="32"/>
      <c r="D47" s="25">
        <f t="shared" si="7"/>
        <v>0</v>
      </c>
      <c r="E47" s="32">
        <v>7</v>
      </c>
      <c r="F47" s="8"/>
      <c r="G47" s="25">
        <f t="shared" si="8"/>
        <v>0</v>
      </c>
      <c r="H47" s="32">
        <v>7</v>
      </c>
      <c r="I47" s="32"/>
      <c r="J47" s="25">
        <f t="shared" si="0"/>
        <v>0</v>
      </c>
      <c r="K47" s="32">
        <v>7</v>
      </c>
      <c r="L47" s="31"/>
      <c r="M47" s="25">
        <f t="shared" si="1"/>
        <v>0</v>
      </c>
      <c r="N47" s="32">
        <v>7</v>
      </c>
      <c r="O47" s="32"/>
      <c r="P47" s="25">
        <f t="shared" si="2"/>
        <v>0</v>
      </c>
      <c r="Q47" s="32">
        <v>7</v>
      </c>
      <c r="R47" s="32"/>
      <c r="S47" s="25">
        <f t="shared" si="3"/>
        <v>0</v>
      </c>
      <c r="T47" s="32">
        <v>7</v>
      </c>
      <c r="U47" s="32"/>
      <c r="V47" s="25">
        <f t="shared" si="9"/>
        <v>0</v>
      </c>
      <c r="W47" s="32">
        <v>7</v>
      </c>
      <c r="X47" s="32">
        <f t="shared" si="5"/>
        <v>0</v>
      </c>
      <c r="Y47" s="25">
        <f t="shared" si="4"/>
        <v>0</v>
      </c>
      <c r="AA47" s="2"/>
      <c r="AB47" s="2"/>
      <c r="AD47" s="26"/>
    </row>
    <row r="48" spans="1:35" s="2" customFormat="1" x14ac:dyDescent="0.2">
      <c r="A48" s="24">
        <f t="shared" si="6"/>
        <v>2.7386127875258306</v>
      </c>
      <c r="B48" s="28">
        <v>7.5</v>
      </c>
      <c r="C48" s="32"/>
      <c r="D48" s="25">
        <f t="shared" si="7"/>
        <v>0</v>
      </c>
      <c r="E48" s="28">
        <v>7.5</v>
      </c>
      <c r="F48" s="8"/>
      <c r="G48" s="25">
        <f t="shared" si="8"/>
        <v>0</v>
      </c>
      <c r="H48" s="28">
        <v>7.5</v>
      </c>
      <c r="I48" s="32"/>
      <c r="J48" s="25">
        <f t="shared" si="0"/>
        <v>0</v>
      </c>
      <c r="K48" s="28">
        <v>7.5</v>
      </c>
      <c r="L48" s="31"/>
      <c r="M48" s="25">
        <f t="shared" si="1"/>
        <v>0</v>
      </c>
      <c r="N48" s="28">
        <v>7.5</v>
      </c>
      <c r="O48" s="32"/>
      <c r="P48" s="25">
        <f t="shared" si="2"/>
        <v>0</v>
      </c>
      <c r="Q48" s="28">
        <v>7.5</v>
      </c>
      <c r="R48" s="32"/>
      <c r="S48" s="25">
        <f t="shared" si="3"/>
        <v>0</v>
      </c>
      <c r="T48" s="28">
        <v>7.5</v>
      </c>
      <c r="U48" s="32"/>
      <c r="V48" s="25">
        <f t="shared" si="9"/>
        <v>0</v>
      </c>
      <c r="W48" s="32">
        <v>7.5</v>
      </c>
      <c r="X48" s="32">
        <f t="shared" si="5"/>
        <v>0</v>
      </c>
      <c r="Y48" s="25">
        <f t="shared" si="4"/>
        <v>0</v>
      </c>
      <c r="AA48" s="1"/>
      <c r="AB48" s="1"/>
      <c r="AC48" s="1"/>
      <c r="AD48" s="26"/>
      <c r="AF48" s="1"/>
      <c r="AI48" s="1"/>
    </row>
    <row r="49" spans="1:35" x14ac:dyDescent="0.2">
      <c r="A49" s="24">
        <f t="shared" si="6"/>
        <v>2.8284271247461903</v>
      </c>
      <c r="B49" s="32">
        <v>8</v>
      </c>
      <c r="C49" s="32"/>
      <c r="D49" s="25">
        <f t="shared" si="7"/>
        <v>0</v>
      </c>
      <c r="E49" s="32">
        <v>8</v>
      </c>
      <c r="F49" s="8"/>
      <c r="G49" s="25">
        <f t="shared" si="8"/>
        <v>0</v>
      </c>
      <c r="H49" s="32">
        <v>8</v>
      </c>
      <c r="I49" s="32"/>
      <c r="J49" s="25">
        <f t="shared" si="0"/>
        <v>0</v>
      </c>
      <c r="K49" s="32">
        <v>8</v>
      </c>
      <c r="L49" s="31"/>
      <c r="M49" s="25">
        <f t="shared" si="1"/>
        <v>0</v>
      </c>
      <c r="N49" s="32">
        <v>8</v>
      </c>
      <c r="O49" s="32"/>
      <c r="P49" s="25">
        <f t="shared" si="2"/>
        <v>0</v>
      </c>
      <c r="Q49" s="32">
        <v>8</v>
      </c>
      <c r="R49" s="32"/>
      <c r="S49" s="25">
        <f t="shared" si="3"/>
        <v>0</v>
      </c>
      <c r="T49" s="32">
        <v>8</v>
      </c>
      <c r="U49" s="32"/>
      <c r="V49" s="25">
        <f t="shared" si="9"/>
        <v>0</v>
      </c>
      <c r="W49" s="32">
        <v>8</v>
      </c>
      <c r="X49" s="32">
        <f t="shared" si="5"/>
        <v>0</v>
      </c>
      <c r="Y49" s="25">
        <f t="shared" si="4"/>
        <v>0</v>
      </c>
      <c r="AD49" s="26"/>
    </row>
    <row r="50" spans="1:35" x14ac:dyDescent="0.2">
      <c r="A50" s="24">
        <f t="shared" si="6"/>
        <v>2.9154759474226504</v>
      </c>
      <c r="B50" s="32">
        <v>8.5</v>
      </c>
      <c r="C50" s="32"/>
      <c r="D50" s="25">
        <f t="shared" si="7"/>
        <v>0</v>
      </c>
      <c r="E50" s="32">
        <v>8.5</v>
      </c>
      <c r="F50" s="8"/>
      <c r="G50" s="25">
        <f t="shared" si="8"/>
        <v>0</v>
      </c>
      <c r="H50" s="32">
        <v>8.5</v>
      </c>
      <c r="I50" s="32"/>
      <c r="J50" s="25">
        <f t="shared" si="0"/>
        <v>0</v>
      </c>
      <c r="K50" s="32">
        <v>8.5</v>
      </c>
      <c r="L50" s="31"/>
      <c r="M50" s="25">
        <f t="shared" si="1"/>
        <v>0</v>
      </c>
      <c r="N50" s="32">
        <v>8.5</v>
      </c>
      <c r="O50" s="32"/>
      <c r="P50" s="25">
        <f t="shared" si="2"/>
        <v>0</v>
      </c>
      <c r="Q50" s="32">
        <v>8.5</v>
      </c>
      <c r="R50" s="32"/>
      <c r="S50" s="25">
        <f t="shared" si="3"/>
        <v>0</v>
      </c>
      <c r="T50" s="32">
        <v>8.5</v>
      </c>
      <c r="U50" s="32"/>
      <c r="V50" s="25">
        <f t="shared" si="9"/>
        <v>0</v>
      </c>
      <c r="W50" s="32">
        <v>8.5</v>
      </c>
      <c r="X50" s="32">
        <f t="shared" si="5"/>
        <v>0</v>
      </c>
      <c r="Y50" s="25">
        <f t="shared" si="4"/>
        <v>0</v>
      </c>
      <c r="AD50" s="26"/>
    </row>
    <row r="51" spans="1:35" x14ac:dyDescent="0.2">
      <c r="A51" s="24">
        <f t="shared" si="6"/>
        <v>3</v>
      </c>
      <c r="B51" s="32">
        <v>9</v>
      </c>
      <c r="C51" s="32"/>
      <c r="D51" s="25">
        <f t="shared" si="7"/>
        <v>0</v>
      </c>
      <c r="E51" s="32">
        <v>9</v>
      </c>
      <c r="F51" s="8"/>
      <c r="G51" s="25">
        <f t="shared" si="8"/>
        <v>0</v>
      </c>
      <c r="H51" s="32">
        <v>9</v>
      </c>
      <c r="I51" s="32"/>
      <c r="J51" s="25">
        <f t="shared" si="0"/>
        <v>0</v>
      </c>
      <c r="K51" s="32">
        <v>9</v>
      </c>
      <c r="L51" s="31"/>
      <c r="M51" s="25">
        <f t="shared" si="1"/>
        <v>0</v>
      </c>
      <c r="N51" s="32">
        <v>9</v>
      </c>
      <c r="O51" s="32"/>
      <c r="P51" s="25">
        <f t="shared" si="2"/>
        <v>0</v>
      </c>
      <c r="Q51" s="32">
        <v>9</v>
      </c>
      <c r="R51" s="32"/>
      <c r="S51" s="25">
        <f t="shared" si="3"/>
        <v>0</v>
      </c>
      <c r="T51" s="32">
        <v>9</v>
      </c>
      <c r="U51" s="32"/>
      <c r="V51" s="25">
        <f t="shared" si="9"/>
        <v>0</v>
      </c>
      <c r="W51" s="32">
        <v>9</v>
      </c>
      <c r="X51" s="32">
        <f t="shared" si="5"/>
        <v>0</v>
      </c>
      <c r="Y51" s="25">
        <f t="shared" si="4"/>
        <v>0</v>
      </c>
      <c r="AD51" s="26"/>
    </row>
    <row r="52" spans="1:35" x14ac:dyDescent="0.2">
      <c r="A52" s="24">
        <f t="shared" si="6"/>
        <v>3.082207001484488</v>
      </c>
      <c r="B52" s="32">
        <v>9.5</v>
      </c>
      <c r="C52" s="32"/>
      <c r="D52" s="25">
        <f t="shared" si="7"/>
        <v>0</v>
      </c>
      <c r="E52" s="32">
        <v>9.5</v>
      </c>
      <c r="F52" s="8"/>
      <c r="G52" s="25">
        <f t="shared" si="8"/>
        <v>0</v>
      </c>
      <c r="H52" s="32">
        <v>9.5</v>
      </c>
      <c r="I52" s="32"/>
      <c r="J52" s="25">
        <f t="shared" si="0"/>
        <v>0</v>
      </c>
      <c r="K52" s="32">
        <v>9.5</v>
      </c>
      <c r="L52" s="31"/>
      <c r="M52" s="25">
        <f t="shared" si="1"/>
        <v>0</v>
      </c>
      <c r="N52" s="32">
        <v>9.5</v>
      </c>
      <c r="O52" s="32"/>
      <c r="P52" s="25">
        <f t="shared" si="2"/>
        <v>0</v>
      </c>
      <c r="Q52" s="32">
        <v>9.5</v>
      </c>
      <c r="R52" s="32"/>
      <c r="S52" s="25">
        <f t="shared" si="3"/>
        <v>0</v>
      </c>
      <c r="T52" s="32">
        <v>9.5</v>
      </c>
      <c r="U52" s="32"/>
      <c r="V52" s="25">
        <f t="shared" si="9"/>
        <v>0</v>
      </c>
      <c r="W52" s="32">
        <v>9.5</v>
      </c>
      <c r="X52" s="32">
        <f t="shared" si="5"/>
        <v>0</v>
      </c>
      <c r="Y52" s="25">
        <f t="shared" si="4"/>
        <v>0</v>
      </c>
      <c r="AD52" s="26"/>
    </row>
    <row r="53" spans="1:35" x14ac:dyDescent="0.2">
      <c r="A53" s="24">
        <f t="shared" si="6"/>
        <v>3.1622776601683795</v>
      </c>
      <c r="B53" s="32">
        <v>10</v>
      </c>
      <c r="C53" s="32"/>
      <c r="D53" s="25">
        <f t="shared" si="7"/>
        <v>0</v>
      </c>
      <c r="E53" s="32">
        <v>10</v>
      </c>
      <c r="F53" s="8"/>
      <c r="G53" s="25">
        <f t="shared" si="8"/>
        <v>0</v>
      </c>
      <c r="H53" s="32">
        <v>10</v>
      </c>
      <c r="I53" s="32"/>
      <c r="J53" s="25">
        <f t="shared" si="0"/>
        <v>0</v>
      </c>
      <c r="K53" s="32">
        <v>10</v>
      </c>
      <c r="L53" s="31"/>
      <c r="M53" s="25">
        <f t="shared" si="1"/>
        <v>0</v>
      </c>
      <c r="N53" s="32">
        <v>10</v>
      </c>
      <c r="O53" s="32"/>
      <c r="P53" s="25">
        <f t="shared" si="2"/>
        <v>0</v>
      </c>
      <c r="Q53" s="32">
        <v>10</v>
      </c>
      <c r="R53" s="32"/>
      <c r="S53" s="25">
        <f t="shared" si="3"/>
        <v>0</v>
      </c>
      <c r="T53" s="32">
        <v>10</v>
      </c>
      <c r="U53" s="32"/>
      <c r="V53" s="25">
        <f t="shared" si="9"/>
        <v>0</v>
      </c>
      <c r="W53" s="32">
        <v>10</v>
      </c>
      <c r="X53" s="32">
        <f t="shared" si="5"/>
        <v>0</v>
      </c>
      <c r="Y53" s="25">
        <f t="shared" si="4"/>
        <v>0</v>
      </c>
      <c r="AD53" s="26"/>
    </row>
    <row r="54" spans="1:35" x14ac:dyDescent="0.2">
      <c r="A54" s="24">
        <f t="shared" si="6"/>
        <v>3.2403703492039302</v>
      </c>
      <c r="B54" s="32">
        <v>10.5</v>
      </c>
      <c r="C54" s="32"/>
      <c r="D54" s="25">
        <f t="shared" si="7"/>
        <v>0</v>
      </c>
      <c r="E54" s="32">
        <v>10.5</v>
      </c>
      <c r="F54" s="8"/>
      <c r="G54" s="25">
        <f t="shared" si="8"/>
        <v>0</v>
      </c>
      <c r="H54" s="32">
        <v>10.5</v>
      </c>
      <c r="I54" s="32"/>
      <c r="J54" s="25">
        <f t="shared" si="0"/>
        <v>0</v>
      </c>
      <c r="K54" s="32">
        <v>10.5</v>
      </c>
      <c r="L54" s="31"/>
      <c r="M54" s="25">
        <f t="shared" si="1"/>
        <v>0</v>
      </c>
      <c r="N54" s="32">
        <v>10.5</v>
      </c>
      <c r="O54" s="32"/>
      <c r="P54" s="25">
        <f t="shared" si="2"/>
        <v>0</v>
      </c>
      <c r="Q54" s="32">
        <v>10.5</v>
      </c>
      <c r="R54" s="32"/>
      <c r="S54" s="25">
        <f t="shared" si="3"/>
        <v>0</v>
      </c>
      <c r="T54" s="32">
        <v>10.5</v>
      </c>
      <c r="U54" s="32"/>
      <c r="V54" s="25">
        <f t="shared" si="9"/>
        <v>0</v>
      </c>
      <c r="W54" s="32">
        <v>10.5</v>
      </c>
      <c r="X54" s="32">
        <f t="shared" si="5"/>
        <v>0</v>
      </c>
      <c r="Y54" s="25">
        <f t="shared" si="4"/>
        <v>0</v>
      </c>
      <c r="AD54" s="26"/>
    </row>
    <row r="55" spans="1:35" x14ac:dyDescent="0.2">
      <c r="A55" s="24">
        <f t="shared" si="6"/>
        <v>3.3166247903553998</v>
      </c>
      <c r="B55" s="32">
        <v>11</v>
      </c>
      <c r="C55" s="32"/>
      <c r="D55" s="25">
        <f t="shared" si="7"/>
        <v>0</v>
      </c>
      <c r="E55" s="32">
        <v>11</v>
      </c>
      <c r="F55" s="8"/>
      <c r="G55" s="25">
        <f t="shared" si="8"/>
        <v>0</v>
      </c>
      <c r="H55" s="32">
        <v>11</v>
      </c>
      <c r="I55" s="32"/>
      <c r="J55" s="25">
        <f t="shared" si="0"/>
        <v>0</v>
      </c>
      <c r="K55" s="32">
        <v>11</v>
      </c>
      <c r="L55" s="31"/>
      <c r="M55" s="25">
        <f t="shared" si="1"/>
        <v>0</v>
      </c>
      <c r="N55" s="32">
        <v>11</v>
      </c>
      <c r="O55" s="32"/>
      <c r="P55" s="25">
        <f t="shared" si="2"/>
        <v>0</v>
      </c>
      <c r="Q55" s="32">
        <v>11</v>
      </c>
      <c r="R55" s="32"/>
      <c r="S55" s="25">
        <f t="shared" si="3"/>
        <v>0</v>
      </c>
      <c r="T55" s="32">
        <v>11</v>
      </c>
      <c r="U55" s="32"/>
      <c r="V55" s="25">
        <f t="shared" si="9"/>
        <v>0</v>
      </c>
      <c r="W55" s="32">
        <v>11</v>
      </c>
      <c r="X55" s="32">
        <f t="shared" si="5"/>
        <v>0</v>
      </c>
      <c r="Y55" s="25">
        <f t="shared" si="4"/>
        <v>0</v>
      </c>
      <c r="AD55" s="26"/>
    </row>
    <row r="56" spans="1:35" x14ac:dyDescent="0.2">
      <c r="A56" s="24">
        <f t="shared" si="6"/>
        <v>3.3911649915626341</v>
      </c>
      <c r="B56" s="32">
        <v>11.5</v>
      </c>
      <c r="C56" s="32"/>
      <c r="D56" s="25">
        <f t="shared" si="7"/>
        <v>0</v>
      </c>
      <c r="E56" s="32">
        <v>11.5</v>
      </c>
      <c r="F56" s="8"/>
      <c r="G56" s="25">
        <f t="shared" si="8"/>
        <v>0</v>
      </c>
      <c r="H56" s="32">
        <v>11.5</v>
      </c>
      <c r="I56" s="32"/>
      <c r="J56" s="25">
        <f t="shared" si="0"/>
        <v>0</v>
      </c>
      <c r="K56" s="32">
        <v>11.5</v>
      </c>
      <c r="L56" s="31"/>
      <c r="M56" s="25">
        <f t="shared" si="1"/>
        <v>0</v>
      </c>
      <c r="N56" s="32">
        <v>11.5</v>
      </c>
      <c r="O56" s="32"/>
      <c r="P56" s="25">
        <f t="shared" si="2"/>
        <v>0</v>
      </c>
      <c r="Q56" s="32">
        <v>11.5</v>
      </c>
      <c r="R56" s="32"/>
      <c r="S56" s="25">
        <f t="shared" si="3"/>
        <v>0</v>
      </c>
      <c r="T56" s="32">
        <v>11.5</v>
      </c>
      <c r="U56" s="32"/>
      <c r="V56" s="25">
        <f t="shared" si="9"/>
        <v>0</v>
      </c>
      <c r="W56" s="32">
        <v>11.5</v>
      </c>
      <c r="X56" s="32">
        <f t="shared" si="5"/>
        <v>0</v>
      </c>
      <c r="Y56" s="25">
        <f t="shared" si="4"/>
        <v>0</v>
      </c>
      <c r="AD56" s="26"/>
    </row>
    <row r="57" spans="1:35" x14ac:dyDescent="0.2">
      <c r="A57" s="24">
        <f t="shared" si="6"/>
        <v>3.4641016151377544</v>
      </c>
      <c r="B57" s="32">
        <v>12</v>
      </c>
      <c r="C57" s="32"/>
      <c r="D57" s="25">
        <f t="shared" si="7"/>
        <v>0</v>
      </c>
      <c r="E57" s="32">
        <v>12</v>
      </c>
      <c r="F57" s="8"/>
      <c r="G57" s="25">
        <f t="shared" si="8"/>
        <v>0</v>
      </c>
      <c r="H57" s="32">
        <v>12</v>
      </c>
      <c r="I57" s="32"/>
      <c r="J57" s="25">
        <f t="shared" si="0"/>
        <v>0</v>
      </c>
      <c r="K57" s="32">
        <v>12</v>
      </c>
      <c r="L57" s="31"/>
      <c r="M57" s="25">
        <f t="shared" si="1"/>
        <v>0</v>
      </c>
      <c r="N57" s="32">
        <v>12</v>
      </c>
      <c r="O57" s="32"/>
      <c r="P57" s="25">
        <f t="shared" si="2"/>
        <v>0</v>
      </c>
      <c r="Q57" s="32">
        <v>12</v>
      </c>
      <c r="R57" s="32"/>
      <c r="S57" s="25">
        <f t="shared" si="3"/>
        <v>0</v>
      </c>
      <c r="T57" s="32">
        <v>12</v>
      </c>
      <c r="U57" s="32"/>
      <c r="V57" s="25">
        <f t="shared" si="9"/>
        <v>0</v>
      </c>
      <c r="W57" s="32">
        <v>12</v>
      </c>
      <c r="X57" s="32">
        <f t="shared" si="5"/>
        <v>0</v>
      </c>
      <c r="Y57" s="25">
        <f t="shared" si="4"/>
        <v>0</v>
      </c>
      <c r="AD57" s="26"/>
    </row>
    <row r="58" spans="1:35" x14ac:dyDescent="0.2">
      <c r="A58" s="24">
        <f t="shared" si="6"/>
        <v>3.5355339059327378</v>
      </c>
      <c r="B58" s="32">
        <v>12.5</v>
      </c>
      <c r="C58" s="32"/>
      <c r="D58" s="25">
        <f t="shared" si="7"/>
        <v>0</v>
      </c>
      <c r="E58" s="32">
        <v>12.5</v>
      </c>
      <c r="F58" s="8"/>
      <c r="G58" s="25">
        <f t="shared" si="8"/>
        <v>0</v>
      </c>
      <c r="H58" s="32">
        <v>12.5</v>
      </c>
      <c r="I58" s="32"/>
      <c r="J58" s="25">
        <f t="shared" si="0"/>
        <v>0</v>
      </c>
      <c r="K58" s="32">
        <v>12.5</v>
      </c>
      <c r="L58" s="31"/>
      <c r="M58" s="25">
        <f t="shared" si="1"/>
        <v>0</v>
      </c>
      <c r="N58" s="32">
        <v>12.5</v>
      </c>
      <c r="O58" s="32"/>
      <c r="P58" s="25">
        <f t="shared" si="2"/>
        <v>0</v>
      </c>
      <c r="Q58" s="32">
        <v>12.5</v>
      </c>
      <c r="R58" s="32"/>
      <c r="S58" s="25">
        <f t="shared" si="3"/>
        <v>0</v>
      </c>
      <c r="T58" s="32">
        <v>12.5</v>
      </c>
      <c r="U58" s="32"/>
      <c r="V58" s="25">
        <f t="shared" si="9"/>
        <v>0</v>
      </c>
      <c r="W58" s="32">
        <v>12.5</v>
      </c>
      <c r="X58" s="32">
        <f t="shared" si="5"/>
        <v>0</v>
      </c>
      <c r="Y58" s="25">
        <f t="shared" si="4"/>
        <v>0</v>
      </c>
      <c r="AD58" s="26"/>
    </row>
    <row r="59" spans="1:35" x14ac:dyDescent="0.2">
      <c r="A59" s="24">
        <f t="shared" si="6"/>
        <v>3.6055512754639891</v>
      </c>
      <c r="B59" s="32">
        <v>13</v>
      </c>
      <c r="C59" s="32"/>
      <c r="D59" s="25">
        <f t="shared" si="7"/>
        <v>0</v>
      </c>
      <c r="E59" s="32">
        <v>13</v>
      </c>
      <c r="F59" s="8"/>
      <c r="G59" s="25">
        <f t="shared" si="8"/>
        <v>0</v>
      </c>
      <c r="H59" s="32">
        <v>13</v>
      </c>
      <c r="I59" s="32"/>
      <c r="J59" s="25">
        <f t="shared" si="0"/>
        <v>0</v>
      </c>
      <c r="K59" s="32">
        <v>13</v>
      </c>
      <c r="L59" s="31"/>
      <c r="M59" s="25">
        <f t="shared" si="1"/>
        <v>0</v>
      </c>
      <c r="N59" s="32">
        <v>13</v>
      </c>
      <c r="O59" s="32"/>
      <c r="P59" s="25">
        <f t="shared" si="2"/>
        <v>0</v>
      </c>
      <c r="Q59" s="32">
        <v>13</v>
      </c>
      <c r="R59" s="32"/>
      <c r="S59" s="25">
        <f t="shared" si="3"/>
        <v>0</v>
      </c>
      <c r="T59" s="32">
        <v>13</v>
      </c>
      <c r="U59" s="32"/>
      <c r="V59" s="25">
        <f t="shared" si="9"/>
        <v>0</v>
      </c>
      <c r="W59" s="32">
        <v>13</v>
      </c>
      <c r="X59" s="32">
        <f t="shared" si="5"/>
        <v>0</v>
      </c>
      <c r="Y59" s="25">
        <f t="shared" si="4"/>
        <v>0</v>
      </c>
      <c r="AD59" s="26"/>
    </row>
    <row r="60" spans="1:35" x14ac:dyDescent="0.2">
      <c r="A60" s="24">
        <f t="shared" si="6"/>
        <v>3.6742346141747673</v>
      </c>
      <c r="B60" s="32">
        <v>13.5</v>
      </c>
      <c r="C60" s="32"/>
      <c r="D60" s="25">
        <f t="shared" si="7"/>
        <v>0</v>
      </c>
      <c r="E60" s="32">
        <v>13.5</v>
      </c>
      <c r="F60" s="8"/>
      <c r="G60" s="25">
        <f t="shared" si="8"/>
        <v>0</v>
      </c>
      <c r="H60" s="32">
        <v>13.5</v>
      </c>
      <c r="I60" s="32"/>
      <c r="J60" s="25">
        <f t="shared" si="0"/>
        <v>0</v>
      </c>
      <c r="K60" s="32">
        <v>13.5</v>
      </c>
      <c r="L60" s="31"/>
      <c r="M60" s="25">
        <f t="shared" si="1"/>
        <v>0</v>
      </c>
      <c r="N60" s="32">
        <v>13.5</v>
      </c>
      <c r="O60" s="32"/>
      <c r="P60" s="25">
        <f t="shared" si="2"/>
        <v>0</v>
      </c>
      <c r="Q60" s="32">
        <v>13.5</v>
      </c>
      <c r="R60" s="32"/>
      <c r="S60" s="25">
        <f t="shared" si="3"/>
        <v>0</v>
      </c>
      <c r="T60" s="32">
        <v>13.5</v>
      </c>
      <c r="U60" s="32"/>
      <c r="V60" s="25">
        <f t="shared" si="9"/>
        <v>0</v>
      </c>
      <c r="W60" s="32">
        <v>13.5</v>
      </c>
      <c r="X60" s="32">
        <f t="shared" si="5"/>
        <v>0</v>
      </c>
      <c r="Y60" s="25">
        <f t="shared" si="4"/>
        <v>0</v>
      </c>
      <c r="AD60" s="26"/>
    </row>
    <row r="61" spans="1:35" x14ac:dyDescent="0.2">
      <c r="A61" s="24">
        <f t="shared" si="6"/>
        <v>3.7416573867739413</v>
      </c>
      <c r="B61" s="32">
        <v>14</v>
      </c>
      <c r="C61" s="32"/>
      <c r="D61" s="25">
        <f t="shared" si="7"/>
        <v>0</v>
      </c>
      <c r="E61" s="32">
        <v>14</v>
      </c>
      <c r="F61" s="8"/>
      <c r="G61" s="25">
        <f t="shared" si="8"/>
        <v>0</v>
      </c>
      <c r="H61" s="32">
        <v>14</v>
      </c>
      <c r="I61" s="32"/>
      <c r="J61" s="25">
        <f t="shared" si="0"/>
        <v>0</v>
      </c>
      <c r="K61" s="32">
        <v>14</v>
      </c>
      <c r="L61" s="31"/>
      <c r="M61" s="25">
        <f t="shared" si="1"/>
        <v>0</v>
      </c>
      <c r="N61" s="32">
        <v>14</v>
      </c>
      <c r="O61" s="32"/>
      <c r="P61" s="25">
        <f t="shared" si="2"/>
        <v>0</v>
      </c>
      <c r="Q61" s="32">
        <v>14</v>
      </c>
      <c r="R61" s="32"/>
      <c r="S61" s="25">
        <f t="shared" si="3"/>
        <v>0</v>
      </c>
      <c r="T61" s="32">
        <v>14</v>
      </c>
      <c r="U61" s="32"/>
      <c r="V61" s="25">
        <f t="shared" si="9"/>
        <v>0</v>
      </c>
      <c r="W61" s="32">
        <v>14</v>
      </c>
      <c r="X61" s="32">
        <f t="shared" si="5"/>
        <v>0</v>
      </c>
      <c r="Y61" s="25">
        <f t="shared" si="4"/>
        <v>0</v>
      </c>
      <c r="AD61" s="26"/>
    </row>
    <row r="62" spans="1:35" x14ac:dyDescent="0.2">
      <c r="A62" s="24">
        <f t="shared" si="6"/>
        <v>3.8078865529319543</v>
      </c>
      <c r="B62" s="32">
        <v>14.5</v>
      </c>
      <c r="C62" s="32"/>
      <c r="D62" s="25">
        <f t="shared" si="7"/>
        <v>0</v>
      </c>
      <c r="E62" s="32">
        <v>14.5</v>
      </c>
      <c r="F62" s="8"/>
      <c r="G62" s="25">
        <f t="shared" si="8"/>
        <v>0</v>
      </c>
      <c r="H62" s="32">
        <v>14.5</v>
      </c>
      <c r="I62" s="32"/>
      <c r="J62" s="25">
        <f t="shared" si="0"/>
        <v>0</v>
      </c>
      <c r="K62" s="32">
        <v>14.5</v>
      </c>
      <c r="L62" s="31"/>
      <c r="M62" s="25">
        <f t="shared" si="1"/>
        <v>0</v>
      </c>
      <c r="N62" s="32">
        <v>14.5</v>
      </c>
      <c r="O62" s="32"/>
      <c r="P62" s="25">
        <f t="shared" si="2"/>
        <v>0</v>
      </c>
      <c r="Q62" s="32">
        <v>14.5</v>
      </c>
      <c r="R62" s="32"/>
      <c r="S62" s="25">
        <f t="shared" si="3"/>
        <v>0</v>
      </c>
      <c r="T62" s="32">
        <v>14.5</v>
      </c>
      <c r="U62" s="32"/>
      <c r="V62" s="25">
        <f t="shared" si="9"/>
        <v>0</v>
      </c>
      <c r="W62" s="32">
        <v>14.5</v>
      </c>
      <c r="X62" s="32">
        <f t="shared" si="5"/>
        <v>0</v>
      </c>
      <c r="Y62" s="25">
        <f t="shared" si="4"/>
        <v>0</v>
      </c>
      <c r="AD62" s="26"/>
    </row>
    <row r="63" spans="1:35" x14ac:dyDescent="0.2">
      <c r="A63" s="24">
        <f t="shared" si="6"/>
        <v>3.872983346207417</v>
      </c>
      <c r="B63" s="32">
        <v>15</v>
      </c>
      <c r="C63" s="32"/>
      <c r="D63" s="25">
        <f t="shared" si="7"/>
        <v>0</v>
      </c>
      <c r="E63" s="32">
        <v>15</v>
      </c>
      <c r="F63" s="8"/>
      <c r="G63" s="25">
        <f t="shared" si="8"/>
        <v>0</v>
      </c>
      <c r="H63" s="32">
        <v>15</v>
      </c>
      <c r="I63" s="32"/>
      <c r="J63" s="25">
        <f t="shared" si="0"/>
        <v>0</v>
      </c>
      <c r="K63" s="32">
        <v>15</v>
      </c>
      <c r="L63" s="31"/>
      <c r="M63" s="25">
        <f t="shared" si="1"/>
        <v>0</v>
      </c>
      <c r="N63" s="32">
        <v>15</v>
      </c>
      <c r="O63" s="32"/>
      <c r="P63" s="25">
        <f t="shared" si="2"/>
        <v>0</v>
      </c>
      <c r="Q63" s="32">
        <v>15</v>
      </c>
      <c r="R63" s="32"/>
      <c r="S63" s="25">
        <f t="shared" si="3"/>
        <v>0</v>
      </c>
      <c r="T63" s="32">
        <v>15</v>
      </c>
      <c r="U63" s="32"/>
      <c r="V63" s="25">
        <f t="shared" si="9"/>
        <v>0</v>
      </c>
      <c r="W63" s="32">
        <v>15</v>
      </c>
      <c r="X63" s="32">
        <f t="shared" si="5"/>
        <v>0</v>
      </c>
      <c r="Y63" s="25">
        <f t="shared" si="4"/>
        <v>0</v>
      </c>
      <c r="AA63" s="2"/>
      <c r="AB63" s="2"/>
      <c r="AD63" s="26"/>
    </row>
    <row r="64" spans="1:35" s="2" customFormat="1" x14ac:dyDescent="0.2">
      <c r="A64" s="24">
        <f t="shared" si="6"/>
        <v>3.9370039370059056</v>
      </c>
      <c r="B64" s="28">
        <v>15.5</v>
      </c>
      <c r="C64" s="32"/>
      <c r="D64" s="25">
        <f t="shared" si="7"/>
        <v>0</v>
      </c>
      <c r="E64" s="28">
        <v>15.5</v>
      </c>
      <c r="F64" s="8"/>
      <c r="G64" s="25">
        <f t="shared" si="8"/>
        <v>0</v>
      </c>
      <c r="H64" s="28">
        <v>15.5</v>
      </c>
      <c r="I64" s="32"/>
      <c r="J64" s="25">
        <f t="shared" si="0"/>
        <v>0</v>
      </c>
      <c r="K64" s="28">
        <v>15.5</v>
      </c>
      <c r="L64" s="31"/>
      <c r="M64" s="25">
        <f t="shared" si="1"/>
        <v>0</v>
      </c>
      <c r="N64" s="28">
        <v>15.5</v>
      </c>
      <c r="O64" s="32"/>
      <c r="P64" s="25">
        <f t="shared" si="2"/>
        <v>0</v>
      </c>
      <c r="Q64" s="28">
        <v>15.5</v>
      </c>
      <c r="R64" s="32"/>
      <c r="S64" s="25">
        <f t="shared" si="3"/>
        <v>0</v>
      </c>
      <c r="T64" s="28">
        <v>15.5</v>
      </c>
      <c r="U64" s="32"/>
      <c r="V64" s="25">
        <f t="shared" si="9"/>
        <v>0</v>
      </c>
      <c r="W64" s="32">
        <v>15.5</v>
      </c>
      <c r="X64" s="32">
        <f t="shared" si="5"/>
        <v>0</v>
      </c>
      <c r="Y64" s="25">
        <f t="shared" si="4"/>
        <v>0</v>
      </c>
      <c r="AA64" s="1"/>
      <c r="AB64" s="1"/>
      <c r="AC64" s="1"/>
      <c r="AD64" s="26"/>
      <c r="AF64" s="1"/>
      <c r="AI64" s="1"/>
    </row>
    <row r="65" spans="1:30" x14ac:dyDescent="0.2">
      <c r="A65" s="24">
        <f t="shared" si="6"/>
        <v>4</v>
      </c>
      <c r="B65" s="32">
        <v>16</v>
      </c>
      <c r="C65" s="32"/>
      <c r="D65" s="25">
        <f t="shared" si="7"/>
        <v>0</v>
      </c>
      <c r="E65" s="32">
        <v>16</v>
      </c>
      <c r="F65" s="8"/>
      <c r="G65" s="25">
        <f t="shared" si="8"/>
        <v>0</v>
      </c>
      <c r="H65" s="32">
        <v>16</v>
      </c>
      <c r="I65" s="32"/>
      <c r="J65" s="25">
        <f t="shared" si="0"/>
        <v>0</v>
      </c>
      <c r="K65" s="32">
        <v>16</v>
      </c>
      <c r="L65" s="31"/>
      <c r="M65" s="25">
        <f t="shared" si="1"/>
        <v>0</v>
      </c>
      <c r="N65" s="32">
        <v>16</v>
      </c>
      <c r="O65" s="32"/>
      <c r="P65" s="25">
        <f t="shared" si="2"/>
        <v>0</v>
      </c>
      <c r="Q65" s="32">
        <v>16</v>
      </c>
      <c r="R65" s="32"/>
      <c r="S65" s="25">
        <f t="shared" si="3"/>
        <v>0</v>
      </c>
      <c r="T65" s="32">
        <v>16</v>
      </c>
      <c r="U65" s="32"/>
      <c r="V65" s="25">
        <f t="shared" si="9"/>
        <v>0</v>
      </c>
      <c r="W65" s="32">
        <v>16</v>
      </c>
      <c r="X65" s="32">
        <f t="shared" si="5"/>
        <v>0</v>
      </c>
      <c r="Y65" s="25">
        <f t="shared" si="4"/>
        <v>0</v>
      </c>
      <c r="AD65" s="26"/>
    </row>
    <row r="66" spans="1:30" x14ac:dyDescent="0.2">
      <c r="A66" s="24">
        <f t="shared" si="6"/>
        <v>4.0620192023179804</v>
      </c>
      <c r="B66" s="32">
        <v>16.5</v>
      </c>
      <c r="C66" s="32"/>
      <c r="D66" s="25">
        <f t="shared" si="7"/>
        <v>0</v>
      </c>
      <c r="E66" s="32">
        <v>16.5</v>
      </c>
      <c r="F66" s="8"/>
      <c r="G66" s="25">
        <f t="shared" si="8"/>
        <v>0</v>
      </c>
      <c r="H66" s="32">
        <v>16.5</v>
      </c>
      <c r="I66" s="32"/>
      <c r="J66" s="25">
        <f t="shared" si="0"/>
        <v>0</v>
      </c>
      <c r="K66" s="32">
        <v>16.5</v>
      </c>
      <c r="L66" s="31"/>
      <c r="M66" s="25">
        <f t="shared" si="1"/>
        <v>0</v>
      </c>
      <c r="N66" s="32">
        <v>16.5</v>
      </c>
      <c r="O66" s="32"/>
      <c r="P66" s="25">
        <f t="shared" si="2"/>
        <v>0</v>
      </c>
      <c r="Q66" s="32">
        <v>16.5</v>
      </c>
      <c r="R66" s="32"/>
      <c r="S66" s="25">
        <f t="shared" si="3"/>
        <v>0</v>
      </c>
      <c r="T66" s="32">
        <v>16.5</v>
      </c>
      <c r="U66" s="32"/>
      <c r="V66" s="25">
        <f t="shared" si="9"/>
        <v>0</v>
      </c>
      <c r="W66" s="32">
        <v>16.5</v>
      </c>
      <c r="X66" s="32">
        <f t="shared" si="5"/>
        <v>0</v>
      </c>
      <c r="Y66" s="25">
        <f t="shared" si="4"/>
        <v>0</v>
      </c>
      <c r="AD66" s="26"/>
    </row>
    <row r="67" spans="1:30" x14ac:dyDescent="0.2">
      <c r="A67" s="24">
        <f t="shared" si="6"/>
        <v>4.1231056256176606</v>
      </c>
      <c r="B67" s="32">
        <v>17</v>
      </c>
      <c r="C67" s="32"/>
      <c r="D67" s="25">
        <f t="shared" si="7"/>
        <v>0</v>
      </c>
      <c r="E67" s="32">
        <v>17</v>
      </c>
      <c r="F67" s="8"/>
      <c r="G67" s="25">
        <f t="shared" si="8"/>
        <v>0</v>
      </c>
      <c r="H67" s="32">
        <v>17</v>
      </c>
      <c r="I67" s="32"/>
      <c r="J67" s="25">
        <f t="shared" si="0"/>
        <v>0</v>
      </c>
      <c r="K67" s="32">
        <v>17</v>
      </c>
      <c r="L67" s="31"/>
      <c r="M67" s="25">
        <f t="shared" si="1"/>
        <v>0</v>
      </c>
      <c r="N67" s="32">
        <v>17</v>
      </c>
      <c r="O67" s="32"/>
      <c r="P67" s="25">
        <f t="shared" si="2"/>
        <v>0</v>
      </c>
      <c r="Q67" s="32">
        <v>17</v>
      </c>
      <c r="R67" s="32"/>
      <c r="S67" s="25">
        <f t="shared" si="3"/>
        <v>0</v>
      </c>
      <c r="T67" s="32">
        <v>17</v>
      </c>
      <c r="U67" s="32"/>
      <c r="V67" s="25">
        <f t="shared" si="9"/>
        <v>0</v>
      </c>
      <c r="W67" s="32">
        <v>17</v>
      </c>
      <c r="X67" s="32">
        <f t="shared" si="5"/>
        <v>0</v>
      </c>
      <c r="Y67" s="25">
        <f t="shared" si="4"/>
        <v>0</v>
      </c>
      <c r="AD67" s="26"/>
    </row>
    <row r="68" spans="1:30" x14ac:dyDescent="0.2">
      <c r="A68" s="24">
        <f t="shared" si="6"/>
        <v>4.1833001326703778</v>
      </c>
      <c r="B68" s="32">
        <v>17.5</v>
      </c>
      <c r="C68" s="32"/>
      <c r="D68" s="25">
        <f t="shared" si="7"/>
        <v>0</v>
      </c>
      <c r="E68" s="32">
        <v>17.5</v>
      </c>
      <c r="F68" s="8"/>
      <c r="G68" s="25">
        <f t="shared" si="8"/>
        <v>0</v>
      </c>
      <c r="H68" s="32">
        <v>17.5</v>
      </c>
      <c r="I68" s="32"/>
      <c r="J68" s="25">
        <f t="shared" si="0"/>
        <v>0</v>
      </c>
      <c r="K68" s="32">
        <v>17.5</v>
      </c>
      <c r="L68" s="31"/>
      <c r="M68" s="25">
        <f t="shared" si="1"/>
        <v>0</v>
      </c>
      <c r="N68" s="32">
        <v>17.5</v>
      </c>
      <c r="O68" s="32"/>
      <c r="P68" s="25">
        <f t="shared" si="2"/>
        <v>0</v>
      </c>
      <c r="Q68" s="32">
        <v>17.5</v>
      </c>
      <c r="R68" s="32"/>
      <c r="S68" s="25">
        <f t="shared" si="3"/>
        <v>0</v>
      </c>
      <c r="T68" s="32">
        <v>17.5</v>
      </c>
      <c r="U68" s="32"/>
      <c r="V68" s="25">
        <f t="shared" si="9"/>
        <v>0</v>
      </c>
      <c r="W68" s="32">
        <v>17.5</v>
      </c>
      <c r="X68" s="32">
        <f t="shared" si="5"/>
        <v>0</v>
      </c>
      <c r="Y68" s="25">
        <f t="shared" si="4"/>
        <v>0</v>
      </c>
      <c r="AD68" s="26"/>
    </row>
    <row r="69" spans="1:30" x14ac:dyDescent="0.2">
      <c r="A69" s="24">
        <f t="shared" si="6"/>
        <v>4.2426406871192848</v>
      </c>
      <c r="B69" s="32">
        <v>18</v>
      </c>
      <c r="C69" s="32"/>
      <c r="D69" s="25">
        <f t="shared" ref="D69:D132" si="10">C69</f>
        <v>0</v>
      </c>
      <c r="E69" s="32">
        <v>18</v>
      </c>
      <c r="F69" s="8"/>
      <c r="G69" s="25">
        <f t="shared" ref="G69:G132" si="11">F69+$AB$2</f>
        <v>0</v>
      </c>
      <c r="H69" s="32">
        <v>18</v>
      </c>
      <c r="I69" s="32"/>
      <c r="J69" s="25">
        <f t="shared" ref="J69:J132" si="12">I69+$AB$3</f>
        <v>0</v>
      </c>
      <c r="K69" s="32">
        <v>18</v>
      </c>
      <c r="L69" s="31"/>
      <c r="M69" s="25">
        <f t="shared" ref="M69:M132" si="13">L69+$AB$4</f>
        <v>0</v>
      </c>
      <c r="N69" s="32">
        <v>18</v>
      </c>
      <c r="O69" s="32"/>
      <c r="P69" s="25">
        <f t="shared" ref="P69:P132" si="14">O69+$AB$5</f>
        <v>0</v>
      </c>
      <c r="Q69" s="32">
        <v>18</v>
      </c>
      <c r="R69" s="32"/>
      <c r="S69" s="25">
        <f t="shared" ref="S69:S132" si="15">R69+$AB$6</f>
        <v>0</v>
      </c>
      <c r="T69" s="32">
        <v>18</v>
      </c>
      <c r="U69" s="32"/>
      <c r="V69" s="25">
        <f t="shared" si="9"/>
        <v>0</v>
      </c>
      <c r="W69" s="32">
        <v>18</v>
      </c>
      <c r="X69" s="32">
        <f t="shared" ref="X69:X132" si="16">U69</f>
        <v>0</v>
      </c>
      <c r="Y69" s="25">
        <f t="shared" ref="Y69:Y132" si="17">X69+$AB$8</f>
        <v>0</v>
      </c>
      <c r="AD69" s="26"/>
    </row>
    <row r="70" spans="1:30" x14ac:dyDescent="0.2">
      <c r="A70" s="24">
        <f t="shared" ref="A70:A133" si="18">SQRT(B70)</f>
        <v>4.3011626335213133</v>
      </c>
      <c r="B70" s="32">
        <v>18.5</v>
      </c>
      <c r="C70" s="32"/>
      <c r="D70" s="25">
        <f t="shared" si="10"/>
        <v>0</v>
      </c>
      <c r="E70" s="32">
        <v>18.5</v>
      </c>
      <c r="F70" s="8"/>
      <c r="G70" s="25">
        <f t="shared" si="11"/>
        <v>0</v>
      </c>
      <c r="H70" s="32">
        <v>18.5</v>
      </c>
      <c r="I70" s="32"/>
      <c r="J70" s="25">
        <f t="shared" si="12"/>
        <v>0</v>
      </c>
      <c r="K70" s="32">
        <v>18.5</v>
      </c>
      <c r="L70" s="31"/>
      <c r="M70" s="25">
        <f t="shared" si="13"/>
        <v>0</v>
      </c>
      <c r="N70" s="32">
        <v>18.5</v>
      </c>
      <c r="O70" s="32"/>
      <c r="P70" s="25">
        <f t="shared" si="14"/>
        <v>0</v>
      </c>
      <c r="Q70" s="32">
        <v>18.5</v>
      </c>
      <c r="R70" s="32"/>
      <c r="S70" s="25">
        <f t="shared" si="15"/>
        <v>0</v>
      </c>
      <c r="T70" s="32">
        <v>18.5</v>
      </c>
      <c r="U70" s="32"/>
      <c r="V70" s="25">
        <f t="shared" ref="V70:V133" si="19">Y70</f>
        <v>0</v>
      </c>
      <c r="W70" s="32">
        <v>18.5</v>
      </c>
      <c r="X70" s="32">
        <f t="shared" si="16"/>
        <v>0</v>
      </c>
      <c r="Y70" s="25">
        <f t="shared" si="17"/>
        <v>0</v>
      </c>
      <c r="AD70" s="26"/>
    </row>
    <row r="71" spans="1:30" x14ac:dyDescent="0.2">
      <c r="A71" s="24">
        <f t="shared" si="18"/>
        <v>4.358898943540674</v>
      </c>
      <c r="B71" s="32">
        <v>19</v>
      </c>
      <c r="C71" s="32"/>
      <c r="D71" s="25">
        <f t="shared" si="10"/>
        <v>0</v>
      </c>
      <c r="E71" s="32">
        <v>19</v>
      </c>
      <c r="F71" s="8"/>
      <c r="G71" s="25">
        <f t="shared" si="11"/>
        <v>0</v>
      </c>
      <c r="H71" s="32">
        <v>19</v>
      </c>
      <c r="I71" s="32"/>
      <c r="J71" s="25">
        <f t="shared" si="12"/>
        <v>0</v>
      </c>
      <c r="K71" s="32">
        <v>19</v>
      </c>
      <c r="L71" s="31"/>
      <c r="M71" s="25">
        <f t="shared" si="13"/>
        <v>0</v>
      </c>
      <c r="N71" s="32">
        <v>19</v>
      </c>
      <c r="O71" s="32"/>
      <c r="P71" s="25">
        <f t="shared" si="14"/>
        <v>0</v>
      </c>
      <c r="Q71" s="32">
        <v>19</v>
      </c>
      <c r="R71" s="32"/>
      <c r="S71" s="25">
        <f t="shared" si="15"/>
        <v>0</v>
      </c>
      <c r="T71" s="32">
        <v>19</v>
      </c>
      <c r="U71" s="32"/>
      <c r="V71" s="25">
        <f t="shared" si="19"/>
        <v>0</v>
      </c>
      <c r="W71" s="32">
        <v>19</v>
      </c>
      <c r="X71" s="32">
        <f t="shared" si="16"/>
        <v>0</v>
      </c>
      <c r="Y71" s="25">
        <f t="shared" si="17"/>
        <v>0</v>
      </c>
      <c r="AD71" s="26"/>
    </row>
    <row r="72" spans="1:30" x14ac:dyDescent="0.2">
      <c r="A72" s="24">
        <f t="shared" si="18"/>
        <v>4.4158804331639239</v>
      </c>
      <c r="B72" s="32">
        <v>19.5</v>
      </c>
      <c r="C72" s="32"/>
      <c r="D72" s="25">
        <f t="shared" si="10"/>
        <v>0</v>
      </c>
      <c r="E72" s="32">
        <v>19.5</v>
      </c>
      <c r="F72" s="8"/>
      <c r="G72" s="25">
        <f t="shared" si="11"/>
        <v>0</v>
      </c>
      <c r="H72" s="32">
        <v>19.5</v>
      </c>
      <c r="I72" s="32"/>
      <c r="J72" s="25">
        <f t="shared" si="12"/>
        <v>0</v>
      </c>
      <c r="K72" s="32">
        <v>19.5</v>
      </c>
      <c r="L72" s="31"/>
      <c r="M72" s="25">
        <f t="shared" si="13"/>
        <v>0</v>
      </c>
      <c r="N72" s="32">
        <v>19.5</v>
      </c>
      <c r="O72" s="32"/>
      <c r="P72" s="25">
        <f t="shared" si="14"/>
        <v>0</v>
      </c>
      <c r="Q72" s="32">
        <v>19.5</v>
      </c>
      <c r="R72" s="32"/>
      <c r="S72" s="25">
        <f t="shared" si="15"/>
        <v>0</v>
      </c>
      <c r="T72" s="32">
        <v>19.5</v>
      </c>
      <c r="U72" s="32"/>
      <c r="V72" s="25">
        <f t="shared" si="19"/>
        <v>0</v>
      </c>
      <c r="W72" s="32">
        <v>19.5</v>
      </c>
      <c r="X72" s="32">
        <f t="shared" si="16"/>
        <v>0</v>
      </c>
      <c r="Y72" s="25">
        <f t="shared" si="17"/>
        <v>0</v>
      </c>
      <c r="AD72" s="26"/>
    </row>
    <row r="73" spans="1:30" x14ac:dyDescent="0.2">
      <c r="A73" s="24">
        <f t="shared" si="18"/>
        <v>4.4721359549995796</v>
      </c>
      <c r="B73" s="32">
        <v>20</v>
      </c>
      <c r="C73" s="32"/>
      <c r="D73" s="25">
        <f t="shared" si="10"/>
        <v>0</v>
      </c>
      <c r="E73" s="32">
        <v>20</v>
      </c>
      <c r="F73" s="8"/>
      <c r="G73" s="25">
        <f t="shared" si="11"/>
        <v>0</v>
      </c>
      <c r="H73" s="32">
        <v>20</v>
      </c>
      <c r="I73" s="32"/>
      <c r="J73" s="25">
        <f t="shared" si="12"/>
        <v>0</v>
      </c>
      <c r="K73" s="32">
        <v>20</v>
      </c>
      <c r="L73" s="31"/>
      <c r="M73" s="25">
        <f t="shared" si="13"/>
        <v>0</v>
      </c>
      <c r="N73" s="32">
        <v>20</v>
      </c>
      <c r="O73" s="32"/>
      <c r="P73" s="25">
        <f t="shared" si="14"/>
        <v>0</v>
      </c>
      <c r="Q73" s="32">
        <v>20</v>
      </c>
      <c r="R73" s="32"/>
      <c r="S73" s="25">
        <f t="shared" si="15"/>
        <v>0</v>
      </c>
      <c r="T73" s="32">
        <v>20</v>
      </c>
      <c r="U73" s="32"/>
      <c r="V73" s="25">
        <f t="shared" si="19"/>
        <v>0</v>
      </c>
      <c r="W73" s="32">
        <v>20</v>
      </c>
      <c r="X73" s="32">
        <f t="shared" si="16"/>
        <v>0</v>
      </c>
      <c r="Y73" s="25">
        <f t="shared" si="17"/>
        <v>0</v>
      </c>
      <c r="AD73" s="26"/>
    </row>
    <row r="74" spans="1:30" x14ac:dyDescent="0.2">
      <c r="A74" s="24">
        <f t="shared" si="18"/>
        <v>4.5276925690687087</v>
      </c>
      <c r="B74" s="32">
        <v>20.5</v>
      </c>
      <c r="C74" s="32"/>
      <c r="D74" s="25">
        <f t="shared" si="10"/>
        <v>0</v>
      </c>
      <c r="E74" s="32">
        <v>20.5</v>
      </c>
      <c r="F74" s="8"/>
      <c r="G74" s="25">
        <f t="shared" si="11"/>
        <v>0</v>
      </c>
      <c r="H74" s="32">
        <v>20.5</v>
      </c>
      <c r="I74" s="32"/>
      <c r="J74" s="25">
        <f t="shared" si="12"/>
        <v>0</v>
      </c>
      <c r="K74" s="32">
        <v>20.5</v>
      </c>
      <c r="L74" s="31"/>
      <c r="M74" s="25">
        <f t="shared" si="13"/>
        <v>0</v>
      </c>
      <c r="N74" s="32">
        <v>20.5</v>
      </c>
      <c r="O74" s="32"/>
      <c r="P74" s="25">
        <f t="shared" si="14"/>
        <v>0</v>
      </c>
      <c r="Q74" s="32">
        <v>20.5</v>
      </c>
      <c r="R74" s="32"/>
      <c r="S74" s="25">
        <f t="shared" si="15"/>
        <v>0</v>
      </c>
      <c r="T74" s="32">
        <v>20.5</v>
      </c>
      <c r="U74" s="32"/>
      <c r="V74" s="25">
        <f t="shared" si="19"/>
        <v>0</v>
      </c>
      <c r="W74" s="32">
        <v>20.5</v>
      </c>
      <c r="X74" s="32">
        <f t="shared" si="16"/>
        <v>0</v>
      </c>
      <c r="Y74" s="25">
        <f t="shared" si="17"/>
        <v>0</v>
      </c>
      <c r="AD74" s="26"/>
    </row>
    <row r="75" spans="1:30" x14ac:dyDescent="0.2">
      <c r="A75" s="24">
        <f t="shared" si="18"/>
        <v>4.5825756949558398</v>
      </c>
      <c r="B75" s="32">
        <v>21</v>
      </c>
      <c r="C75" s="32"/>
      <c r="D75" s="25">
        <f t="shared" si="10"/>
        <v>0</v>
      </c>
      <c r="E75" s="32">
        <v>21</v>
      </c>
      <c r="F75" s="8"/>
      <c r="G75" s="25">
        <f t="shared" si="11"/>
        <v>0</v>
      </c>
      <c r="H75" s="32">
        <v>21</v>
      </c>
      <c r="I75" s="32"/>
      <c r="J75" s="25">
        <f t="shared" si="12"/>
        <v>0</v>
      </c>
      <c r="K75" s="32">
        <v>21</v>
      </c>
      <c r="L75" s="31"/>
      <c r="M75" s="25">
        <f t="shared" si="13"/>
        <v>0</v>
      </c>
      <c r="N75" s="32">
        <v>21</v>
      </c>
      <c r="O75" s="32"/>
      <c r="P75" s="25">
        <f t="shared" si="14"/>
        <v>0</v>
      </c>
      <c r="Q75" s="32">
        <v>21</v>
      </c>
      <c r="R75" s="32"/>
      <c r="S75" s="25">
        <f t="shared" si="15"/>
        <v>0</v>
      </c>
      <c r="T75" s="32">
        <v>21</v>
      </c>
      <c r="U75" s="32"/>
      <c r="V75" s="25">
        <f t="shared" si="19"/>
        <v>0</v>
      </c>
      <c r="W75" s="32">
        <v>21</v>
      </c>
      <c r="X75" s="32">
        <f t="shared" si="16"/>
        <v>0</v>
      </c>
      <c r="Y75" s="25">
        <f t="shared" si="17"/>
        <v>0</v>
      </c>
      <c r="AD75" s="26"/>
    </row>
    <row r="76" spans="1:30" x14ac:dyDescent="0.2">
      <c r="A76" s="24">
        <f t="shared" si="18"/>
        <v>4.636809247747852</v>
      </c>
      <c r="B76" s="32">
        <v>21.5</v>
      </c>
      <c r="C76" s="32"/>
      <c r="D76" s="25">
        <f t="shared" si="10"/>
        <v>0</v>
      </c>
      <c r="E76" s="32">
        <v>21.5</v>
      </c>
      <c r="F76" s="8"/>
      <c r="G76" s="25">
        <f t="shared" si="11"/>
        <v>0</v>
      </c>
      <c r="H76" s="32">
        <v>21.5</v>
      </c>
      <c r="I76" s="32"/>
      <c r="J76" s="25">
        <f t="shared" si="12"/>
        <v>0</v>
      </c>
      <c r="K76" s="32">
        <v>21.5</v>
      </c>
      <c r="L76" s="31"/>
      <c r="M76" s="25">
        <f t="shared" si="13"/>
        <v>0</v>
      </c>
      <c r="N76" s="32">
        <v>21.5</v>
      </c>
      <c r="O76" s="32"/>
      <c r="P76" s="25">
        <f t="shared" si="14"/>
        <v>0</v>
      </c>
      <c r="Q76" s="32">
        <v>21.5</v>
      </c>
      <c r="R76" s="32"/>
      <c r="S76" s="25">
        <f t="shared" si="15"/>
        <v>0</v>
      </c>
      <c r="T76" s="32">
        <v>21.5</v>
      </c>
      <c r="U76" s="32"/>
      <c r="V76" s="25">
        <f t="shared" si="19"/>
        <v>0</v>
      </c>
      <c r="W76" s="32">
        <v>21.5</v>
      </c>
      <c r="X76" s="32">
        <f t="shared" si="16"/>
        <v>0</v>
      </c>
      <c r="Y76" s="25">
        <f t="shared" si="17"/>
        <v>0</v>
      </c>
      <c r="AD76" s="26"/>
    </row>
    <row r="77" spans="1:30" x14ac:dyDescent="0.2">
      <c r="A77" s="24">
        <f t="shared" si="18"/>
        <v>4.6904157598234297</v>
      </c>
      <c r="B77" s="32">
        <v>22</v>
      </c>
      <c r="C77" s="32"/>
      <c r="D77" s="25">
        <f t="shared" si="10"/>
        <v>0</v>
      </c>
      <c r="E77" s="32">
        <v>22</v>
      </c>
      <c r="F77" s="8"/>
      <c r="G77" s="25">
        <f t="shared" si="11"/>
        <v>0</v>
      </c>
      <c r="H77" s="32">
        <v>22</v>
      </c>
      <c r="I77" s="32"/>
      <c r="J77" s="25">
        <f t="shared" si="12"/>
        <v>0</v>
      </c>
      <c r="K77" s="32">
        <v>22</v>
      </c>
      <c r="L77" s="31"/>
      <c r="M77" s="25">
        <f t="shared" si="13"/>
        <v>0</v>
      </c>
      <c r="N77" s="32">
        <v>22</v>
      </c>
      <c r="O77" s="32"/>
      <c r="P77" s="25">
        <f t="shared" si="14"/>
        <v>0</v>
      </c>
      <c r="Q77" s="32">
        <v>22</v>
      </c>
      <c r="R77" s="32"/>
      <c r="S77" s="25">
        <f t="shared" si="15"/>
        <v>0</v>
      </c>
      <c r="T77" s="32">
        <v>22</v>
      </c>
      <c r="U77" s="32"/>
      <c r="V77" s="25">
        <f t="shared" si="19"/>
        <v>0</v>
      </c>
      <c r="W77" s="32">
        <v>22</v>
      </c>
      <c r="X77" s="32">
        <f t="shared" si="16"/>
        <v>0</v>
      </c>
      <c r="Y77" s="25">
        <f t="shared" si="17"/>
        <v>0</v>
      </c>
      <c r="AD77" s="26"/>
    </row>
    <row r="78" spans="1:30" x14ac:dyDescent="0.2">
      <c r="A78" s="24">
        <f t="shared" si="18"/>
        <v>4.7434164902525691</v>
      </c>
      <c r="B78" s="32">
        <v>22.5</v>
      </c>
      <c r="C78" s="32"/>
      <c r="D78" s="25">
        <f t="shared" si="10"/>
        <v>0</v>
      </c>
      <c r="E78" s="32">
        <v>22.5</v>
      </c>
      <c r="F78" s="8"/>
      <c r="G78" s="25">
        <f t="shared" si="11"/>
        <v>0</v>
      </c>
      <c r="H78" s="32">
        <v>22.5</v>
      </c>
      <c r="I78" s="32"/>
      <c r="J78" s="25">
        <f t="shared" si="12"/>
        <v>0</v>
      </c>
      <c r="K78" s="32">
        <v>22.5</v>
      </c>
      <c r="L78" s="31"/>
      <c r="M78" s="25">
        <f t="shared" si="13"/>
        <v>0</v>
      </c>
      <c r="N78" s="32">
        <v>22.5</v>
      </c>
      <c r="O78" s="32"/>
      <c r="P78" s="25">
        <f t="shared" si="14"/>
        <v>0</v>
      </c>
      <c r="Q78" s="32">
        <v>22.5</v>
      </c>
      <c r="R78" s="32"/>
      <c r="S78" s="25">
        <f t="shared" si="15"/>
        <v>0</v>
      </c>
      <c r="T78" s="32">
        <v>22.5</v>
      </c>
      <c r="U78" s="32"/>
      <c r="V78" s="25">
        <f t="shared" si="19"/>
        <v>0</v>
      </c>
      <c r="W78" s="32">
        <v>22.5</v>
      </c>
      <c r="X78" s="32">
        <f t="shared" si="16"/>
        <v>0</v>
      </c>
      <c r="Y78" s="25">
        <f t="shared" si="17"/>
        <v>0</v>
      </c>
      <c r="AD78" s="26"/>
    </row>
    <row r="79" spans="1:30" x14ac:dyDescent="0.2">
      <c r="A79" s="24">
        <f t="shared" si="18"/>
        <v>4.7958315233127191</v>
      </c>
      <c r="B79" s="32">
        <v>23</v>
      </c>
      <c r="C79" s="32"/>
      <c r="D79" s="25">
        <f t="shared" si="10"/>
        <v>0</v>
      </c>
      <c r="E79" s="32">
        <v>23</v>
      </c>
      <c r="F79" s="8"/>
      <c r="G79" s="25">
        <f t="shared" si="11"/>
        <v>0</v>
      </c>
      <c r="H79" s="32">
        <v>23</v>
      </c>
      <c r="I79" s="32"/>
      <c r="J79" s="25">
        <f t="shared" si="12"/>
        <v>0</v>
      </c>
      <c r="K79" s="32">
        <v>23</v>
      </c>
      <c r="L79" s="31"/>
      <c r="M79" s="25">
        <f t="shared" si="13"/>
        <v>0</v>
      </c>
      <c r="N79" s="32">
        <v>23</v>
      </c>
      <c r="O79" s="32"/>
      <c r="P79" s="25">
        <f t="shared" si="14"/>
        <v>0</v>
      </c>
      <c r="Q79" s="32">
        <v>23</v>
      </c>
      <c r="R79" s="32"/>
      <c r="S79" s="25">
        <f t="shared" si="15"/>
        <v>0</v>
      </c>
      <c r="T79" s="32">
        <v>23</v>
      </c>
      <c r="U79" s="32"/>
      <c r="V79" s="25">
        <f t="shared" si="19"/>
        <v>0</v>
      </c>
      <c r="W79" s="32">
        <v>23</v>
      </c>
      <c r="X79" s="32">
        <f t="shared" si="16"/>
        <v>0</v>
      </c>
      <c r="Y79" s="25">
        <f t="shared" si="17"/>
        <v>0</v>
      </c>
      <c r="AD79" s="26"/>
    </row>
    <row r="80" spans="1:30" x14ac:dyDescent="0.2">
      <c r="A80" s="24">
        <f t="shared" si="18"/>
        <v>4.8476798574163293</v>
      </c>
      <c r="B80" s="32">
        <v>23.5</v>
      </c>
      <c r="C80" s="32"/>
      <c r="D80" s="25">
        <f t="shared" si="10"/>
        <v>0</v>
      </c>
      <c r="E80" s="32">
        <v>23.5</v>
      </c>
      <c r="F80" s="8"/>
      <c r="G80" s="25">
        <f t="shared" si="11"/>
        <v>0</v>
      </c>
      <c r="H80" s="32">
        <v>23.5</v>
      </c>
      <c r="I80" s="32"/>
      <c r="J80" s="25">
        <f t="shared" si="12"/>
        <v>0</v>
      </c>
      <c r="K80" s="32">
        <v>23.5</v>
      </c>
      <c r="L80" s="31"/>
      <c r="M80" s="25">
        <f t="shared" si="13"/>
        <v>0</v>
      </c>
      <c r="N80" s="32">
        <v>23.5</v>
      </c>
      <c r="O80" s="32"/>
      <c r="P80" s="25">
        <f t="shared" si="14"/>
        <v>0</v>
      </c>
      <c r="Q80" s="32">
        <v>23.5</v>
      </c>
      <c r="R80" s="32"/>
      <c r="S80" s="25">
        <f t="shared" si="15"/>
        <v>0</v>
      </c>
      <c r="T80" s="32">
        <v>23.5</v>
      </c>
      <c r="U80" s="32"/>
      <c r="V80" s="25">
        <f t="shared" si="19"/>
        <v>0</v>
      </c>
      <c r="W80" s="32">
        <v>23.5</v>
      </c>
      <c r="X80" s="32">
        <f t="shared" si="16"/>
        <v>0</v>
      </c>
      <c r="Y80" s="25">
        <f t="shared" si="17"/>
        <v>0</v>
      </c>
      <c r="AD80" s="26"/>
    </row>
    <row r="81" spans="1:35" x14ac:dyDescent="0.2">
      <c r="A81" s="24">
        <f t="shared" si="18"/>
        <v>4.8989794855663558</v>
      </c>
      <c r="B81" s="32">
        <v>24</v>
      </c>
      <c r="C81" s="32"/>
      <c r="D81" s="25">
        <f t="shared" si="10"/>
        <v>0</v>
      </c>
      <c r="E81" s="32">
        <v>24</v>
      </c>
      <c r="F81" s="8"/>
      <c r="G81" s="25">
        <f t="shared" si="11"/>
        <v>0</v>
      </c>
      <c r="H81" s="32">
        <v>24</v>
      </c>
      <c r="I81" s="32"/>
      <c r="J81" s="25">
        <f t="shared" si="12"/>
        <v>0</v>
      </c>
      <c r="K81" s="32">
        <v>24</v>
      </c>
      <c r="L81" s="31"/>
      <c r="M81" s="25">
        <f t="shared" si="13"/>
        <v>0</v>
      </c>
      <c r="N81" s="32">
        <v>24</v>
      </c>
      <c r="O81" s="32"/>
      <c r="P81" s="25">
        <f t="shared" si="14"/>
        <v>0</v>
      </c>
      <c r="Q81" s="32">
        <v>24</v>
      </c>
      <c r="R81" s="32"/>
      <c r="S81" s="25">
        <f t="shared" si="15"/>
        <v>0</v>
      </c>
      <c r="T81" s="32">
        <v>24</v>
      </c>
      <c r="U81" s="32"/>
      <c r="V81" s="25">
        <f t="shared" si="19"/>
        <v>0</v>
      </c>
      <c r="W81" s="32">
        <v>24</v>
      </c>
      <c r="X81" s="32">
        <f t="shared" si="16"/>
        <v>0</v>
      </c>
      <c r="Y81" s="25">
        <f t="shared" si="17"/>
        <v>0</v>
      </c>
      <c r="AD81" s="26"/>
    </row>
    <row r="82" spans="1:35" x14ac:dyDescent="0.2">
      <c r="A82" s="24">
        <f t="shared" si="18"/>
        <v>4.9497474683058327</v>
      </c>
      <c r="B82" s="32">
        <v>24.5</v>
      </c>
      <c r="C82" s="32"/>
      <c r="D82" s="25">
        <f t="shared" si="10"/>
        <v>0</v>
      </c>
      <c r="E82" s="32">
        <v>24.5</v>
      </c>
      <c r="F82" s="8"/>
      <c r="G82" s="25">
        <f t="shared" si="11"/>
        <v>0</v>
      </c>
      <c r="H82" s="32">
        <v>24.5</v>
      </c>
      <c r="I82" s="32"/>
      <c r="J82" s="25">
        <f t="shared" si="12"/>
        <v>0</v>
      </c>
      <c r="K82" s="32">
        <v>24.5</v>
      </c>
      <c r="L82" s="31"/>
      <c r="M82" s="25">
        <f t="shared" si="13"/>
        <v>0</v>
      </c>
      <c r="N82" s="32">
        <v>24.5</v>
      </c>
      <c r="O82" s="32"/>
      <c r="P82" s="25">
        <f t="shared" si="14"/>
        <v>0</v>
      </c>
      <c r="Q82" s="32">
        <v>24.5</v>
      </c>
      <c r="R82" s="32"/>
      <c r="S82" s="25">
        <f t="shared" si="15"/>
        <v>0</v>
      </c>
      <c r="T82" s="32">
        <v>24.5</v>
      </c>
      <c r="U82" s="32"/>
      <c r="V82" s="25">
        <f t="shared" si="19"/>
        <v>0</v>
      </c>
      <c r="W82" s="32">
        <v>24.5</v>
      </c>
      <c r="X82" s="32">
        <f t="shared" si="16"/>
        <v>0</v>
      </c>
      <c r="Y82" s="25">
        <f t="shared" si="17"/>
        <v>0</v>
      </c>
      <c r="AD82" s="26"/>
    </row>
    <row r="83" spans="1:35" x14ac:dyDescent="0.2">
      <c r="A83" s="24">
        <f t="shared" si="18"/>
        <v>5</v>
      </c>
      <c r="B83" s="32">
        <v>25</v>
      </c>
      <c r="C83" s="32"/>
      <c r="D83" s="25">
        <f t="shared" si="10"/>
        <v>0</v>
      </c>
      <c r="E83" s="32">
        <v>25</v>
      </c>
      <c r="F83" s="8"/>
      <c r="G83" s="25">
        <f t="shared" si="11"/>
        <v>0</v>
      </c>
      <c r="H83" s="32">
        <v>25</v>
      </c>
      <c r="I83" s="32"/>
      <c r="J83" s="25">
        <f t="shared" si="12"/>
        <v>0</v>
      </c>
      <c r="K83" s="32">
        <v>25</v>
      </c>
      <c r="L83" s="31"/>
      <c r="M83" s="25">
        <f t="shared" si="13"/>
        <v>0</v>
      </c>
      <c r="N83" s="32">
        <v>25</v>
      </c>
      <c r="O83" s="32"/>
      <c r="P83" s="25">
        <f t="shared" si="14"/>
        <v>0</v>
      </c>
      <c r="Q83" s="32">
        <v>25</v>
      </c>
      <c r="R83" s="32"/>
      <c r="S83" s="25">
        <f t="shared" si="15"/>
        <v>0</v>
      </c>
      <c r="T83" s="32">
        <v>25</v>
      </c>
      <c r="U83" s="32"/>
      <c r="V83" s="25">
        <f t="shared" si="19"/>
        <v>0</v>
      </c>
      <c r="W83" s="32">
        <v>25</v>
      </c>
      <c r="X83" s="32">
        <f t="shared" si="16"/>
        <v>0</v>
      </c>
      <c r="Y83" s="25">
        <f t="shared" si="17"/>
        <v>0</v>
      </c>
      <c r="AD83" s="26"/>
    </row>
    <row r="84" spans="1:35" x14ac:dyDescent="0.2">
      <c r="A84" s="24">
        <f t="shared" si="18"/>
        <v>5.0497524691810387</v>
      </c>
      <c r="B84" s="32">
        <v>25.5</v>
      </c>
      <c r="C84" s="32"/>
      <c r="D84" s="25">
        <f t="shared" si="10"/>
        <v>0</v>
      </c>
      <c r="E84" s="32">
        <v>25.5</v>
      </c>
      <c r="F84" s="8"/>
      <c r="G84" s="25">
        <f t="shared" si="11"/>
        <v>0</v>
      </c>
      <c r="H84" s="32">
        <v>25.5</v>
      </c>
      <c r="I84" s="32"/>
      <c r="J84" s="25">
        <f t="shared" si="12"/>
        <v>0</v>
      </c>
      <c r="K84" s="32">
        <v>25.5</v>
      </c>
      <c r="L84" s="31"/>
      <c r="M84" s="25">
        <f t="shared" si="13"/>
        <v>0</v>
      </c>
      <c r="N84" s="32">
        <v>25.5</v>
      </c>
      <c r="O84" s="32"/>
      <c r="P84" s="25">
        <f t="shared" si="14"/>
        <v>0</v>
      </c>
      <c r="Q84" s="32">
        <v>25.5</v>
      </c>
      <c r="R84" s="32"/>
      <c r="S84" s="25">
        <f t="shared" si="15"/>
        <v>0</v>
      </c>
      <c r="T84" s="32">
        <v>25.5</v>
      </c>
      <c r="U84" s="32"/>
      <c r="V84" s="25">
        <f t="shared" si="19"/>
        <v>0</v>
      </c>
      <c r="W84" s="32">
        <v>25.5</v>
      </c>
      <c r="X84" s="32">
        <f t="shared" si="16"/>
        <v>0</v>
      </c>
      <c r="Y84" s="25">
        <f t="shared" si="17"/>
        <v>0</v>
      </c>
      <c r="AD84" s="26"/>
    </row>
    <row r="85" spans="1:35" x14ac:dyDescent="0.2">
      <c r="A85" s="24">
        <f t="shared" si="18"/>
        <v>5.0990195135927845</v>
      </c>
      <c r="B85" s="32">
        <v>26</v>
      </c>
      <c r="C85" s="32"/>
      <c r="D85" s="25">
        <f t="shared" si="10"/>
        <v>0</v>
      </c>
      <c r="E85" s="32">
        <v>26</v>
      </c>
      <c r="F85" s="8"/>
      <c r="G85" s="25">
        <f t="shared" si="11"/>
        <v>0</v>
      </c>
      <c r="H85" s="32">
        <v>26</v>
      </c>
      <c r="I85" s="32"/>
      <c r="J85" s="25">
        <f t="shared" si="12"/>
        <v>0</v>
      </c>
      <c r="K85" s="32">
        <v>26</v>
      </c>
      <c r="L85" s="31"/>
      <c r="M85" s="25">
        <f t="shared" si="13"/>
        <v>0</v>
      </c>
      <c r="N85" s="32">
        <v>26</v>
      </c>
      <c r="O85" s="32"/>
      <c r="P85" s="25">
        <f t="shared" si="14"/>
        <v>0</v>
      </c>
      <c r="Q85" s="32">
        <v>26</v>
      </c>
      <c r="R85" s="32"/>
      <c r="S85" s="25">
        <f t="shared" si="15"/>
        <v>0</v>
      </c>
      <c r="T85" s="32">
        <v>26</v>
      </c>
      <c r="U85" s="32"/>
      <c r="V85" s="25">
        <f t="shared" si="19"/>
        <v>0</v>
      </c>
      <c r="W85" s="32">
        <v>26</v>
      </c>
      <c r="X85" s="32">
        <f t="shared" si="16"/>
        <v>0</v>
      </c>
      <c r="Y85" s="25">
        <f t="shared" si="17"/>
        <v>0</v>
      </c>
      <c r="AD85" s="26"/>
    </row>
    <row r="86" spans="1:35" x14ac:dyDescent="0.2">
      <c r="A86" s="24">
        <f t="shared" si="18"/>
        <v>5.1478150704935004</v>
      </c>
      <c r="B86" s="32">
        <v>26.5</v>
      </c>
      <c r="C86" s="32"/>
      <c r="D86" s="25">
        <f t="shared" si="10"/>
        <v>0</v>
      </c>
      <c r="E86" s="32">
        <v>26.5</v>
      </c>
      <c r="F86" s="8"/>
      <c r="G86" s="25">
        <f t="shared" si="11"/>
        <v>0</v>
      </c>
      <c r="H86" s="32">
        <v>26.5</v>
      </c>
      <c r="I86" s="32"/>
      <c r="J86" s="25">
        <f t="shared" si="12"/>
        <v>0</v>
      </c>
      <c r="K86" s="32">
        <v>26.5</v>
      </c>
      <c r="L86" s="31"/>
      <c r="M86" s="25">
        <f t="shared" si="13"/>
        <v>0</v>
      </c>
      <c r="N86" s="32">
        <v>26.5</v>
      </c>
      <c r="O86" s="32"/>
      <c r="P86" s="25">
        <f t="shared" si="14"/>
        <v>0</v>
      </c>
      <c r="Q86" s="32">
        <v>26.5</v>
      </c>
      <c r="R86" s="32"/>
      <c r="S86" s="25">
        <f t="shared" si="15"/>
        <v>0</v>
      </c>
      <c r="T86" s="32">
        <v>26.5</v>
      </c>
      <c r="U86" s="32"/>
      <c r="V86" s="25">
        <f t="shared" si="19"/>
        <v>0</v>
      </c>
      <c r="W86" s="32">
        <v>26.5</v>
      </c>
      <c r="X86" s="32">
        <f t="shared" si="16"/>
        <v>0</v>
      </c>
      <c r="Y86" s="25">
        <f t="shared" si="17"/>
        <v>0</v>
      </c>
      <c r="AD86" s="26"/>
    </row>
    <row r="87" spans="1:35" x14ac:dyDescent="0.2">
      <c r="A87" s="24">
        <f t="shared" si="18"/>
        <v>5.196152422706632</v>
      </c>
      <c r="B87" s="32">
        <v>27</v>
      </c>
      <c r="C87" s="32"/>
      <c r="D87" s="25">
        <f t="shared" si="10"/>
        <v>0</v>
      </c>
      <c r="E87" s="32">
        <v>27</v>
      </c>
      <c r="F87" s="8"/>
      <c r="G87" s="25">
        <f t="shared" si="11"/>
        <v>0</v>
      </c>
      <c r="H87" s="32">
        <v>27</v>
      </c>
      <c r="I87" s="32"/>
      <c r="J87" s="25">
        <f t="shared" si="12"/>
        <v>0</v>
      </c>
      <c r="K87" s="32">
        <v>27</v>
      </c>
      <c r="L87" s="31"/>
      <c r="M87" s="25">
        <f t="shared" si="13"/>
        <v>0</v>
      </c>
      <c r="N87" s="32">
        <v>27</v>
      </c>
      <c r="O87" s="32"/>
      <c r="P87" s="25">
        <f t="shared" si="14"/>
        <v>0</v>
      </c>
      <c r="Q87" s="32">
        <v>27</v>
      </c>
      <c r="R87" s="32"/>
      <c r="S87" s="25">
        <f t="shared" si="15"/>
        <v>0</v>
      </c>
      <c r="T87" s="32">
        <v>27</v>
      </c>
      <c r="U87" s="32"/>
      <c r="V87" s="25">
        <f t="shared" si="19"/>
        <v>0</v>
      </c>
      <c r="W87" s="32">
        <v>27</v>
      </c>
      <c r="X87" s="32">
        <f t="shared" si="16"/>
        <v>0</v>
      </c>
      <c r="Y87" s="25">
        <f t="shared" si="17"/>
        <v>0</v>
      </c>
      <c r="AD87" s="26"/>
    </row>
    <row r="88" spans="1:35" x14ac:dyDescent="0.2">
      <c r="A88" s="24">
        <f t="shared" si="18"/>
        <v>5.2440442408507577</v>
      </c>
      <c r="B88" s="32">
        <v>27.5</v>
      </c>
      <c r="C88" s="32"/>
      <c r="D88" s="25">
        <f t="shared" si="10"/>
        <v>0</v>
      </c>
      <c r="E88" s="32">
        <v>27.5</v>
      </c>
      <c r="F88" s="8"/>
      <c r="G88" s="25">
        <f t="shared" si="11"/>
        <v>0</v>
      </c>
      <c r="H88" s="32">
        <v>27.5</v>
      </c>
      <c r="I88" s="32"/>
      <c r="J88" s="25">
        <f t="shared" si="12"/>
        <v>0</v>
      </c>
      <c r="K88" s="32">
        <v>27.5</v>
      </c>
      <c r="L88" s="31"/>
      <c r="M88" s="25">
        <f t="shared" si="13"/>
        <v>0</v>
      </c>
      <c r="N88" s="32">
        <v>27.5</v>
      </c>
      <c r="O88" s="32"/>
      <c r="P88" s="25">
        <f t="shared" si="14"/>
        <v>0</v>
      </c>
      <c r="Q88" s="32">
        <v>27.5</v>
      </c>
      <c r="R88" s="32"/>
      <c r="S88" s="25">
        <f t="shared" si="15"/>
        <v>0</v>
      </c>
      <c r="T88" s="32">
        <v>27.5</v>
      </c>
      <c r="U88" s="32"/>
      <c r="V88" s="25">
        <f t="shared" si="19"/>
        <v>0</v>
      </c>
      <c r="W88" s="32">
        <v>27.5</v>
      </c>
      <c r="X88" s="32">
        <f t="shared" si="16"/>
        <v>0</v>
      </c>
      <c r="Y88" s="25">
        <f t="shared" si="17"/>
        <v>0</v>
      </c>
      <c r="AD88" s="26"/>
    </row>
    <row r="89" spans="1:35" x14ac:dyDescent="0.2">
      <c r="A89" s="24">
        <f t="shared" si="18"/>
        <v>5.2915026221291814</v>
      </c>
      <c r="B89" s="32">
        <v>28</v>
      </c>
      <c r="C89" s="32"/>
      <c r="D89" s="25">
        <f t="shared" si="10"/>
        <v>0</v>
      </c>
      <c r="E89" s="32">
        <v>28</v>
      </c>
      <c r="F89" s="8"/>
      <c r="G89" s="25">
        <f t="shared" si="11"/>
        <v>0</v>
      </c>
      <c r="H89" s="32">
        <v>28</v>
      </c>
      <c r="I89" s="32"/>
      <c r="J89" s="25">
        <f t="shared" si="12"/>
        <v>0</v>
      </c>
      <c r="K89" s="32">
        <v>28</v>
      </c>
      <c r="L89" s="31"/>
      <c r="M89" s="25">
        <f t="shared" si="13"/>
        <v>0</v>
      </c>
      <c r="N89" s="32">
        <v>28</v>
      </c>
      <c r="O89" s="32"/>
      <c r="P89" s="25">
        <f t="shared" si="14"/>
        <v>0</v>
      </c>
      <c r="Q89" s="32">
        <v>28</v>
      </c>
      <c r="R89" s="32"/>
      <c r="S89" s="25">
        <f t="shared" si="15"/>
        <v>0</v>
      </c>
      <c r="T89" s="32">
        <v>28</v>
      </c>
      <c r="U89" s="32"/>
      <c r="V89" s="25">
        <f t="shared" si="19"/>
        <v>0</v>
      </c>
      <c r="W89" s="32">
        <v>28</v>
      </c>
      <c r="X89" s="32">
        <f t="shared" si="16"/>
        <v>0</v>
      </c>
      <c r="Y89" s="25">
        <f t="shared" si="17"/>
        <v>0</v>
      </c>
      <c r="AD89" s="26"/>
    </row>
    <row r="90" spans="1:35" x14ac:dyDescent="0.2">
      <c r="A90" s="24">
        <f t="shared" si="18"/>
        <v>5.3385391260156556</v>
      </c>
      <c r="B90" s="32">
        <v>28.5</v>
      </c>
      <c r="C90" s="32"/>
      <c r="D90" s="25">
        <f t="shared" si="10"/>
        <v>0</v>
      </c>
      <c r="E90" s="32">
        <v>28.5</v>
      </c>
      <c r="F90" s="8"/>
      <c r="G90" s="25">
        <f t="shared" si="11"/>
        <v>0</v>
      </c>
      <c r="H90" s="32">
        <v>28.5</v>
      </c>
      <c r="I90" s="32"/>
      <c r="J90" s="25">
        <f t="shared" si="12"/>
        <v>0</v>
      </c>
      <c r="K90" s="32">
        <v>28.5</v>
      </c>
      <c r="L90" s="31"/>
      <c r="M90" s="25">
        <f t="shared" si="13"/>
        <v>0</v>
      </c>
      <c r="N90" s="32">
        <v>28.5</v>
      </c>
      <c r="O90" s="32"/>
      <c r="P90" s="25">
        <f t="shared" si="14"/>
        <v>0</v>
      </c>
      <c r="Q90" s="32">
        <v>28.5</v>
      </c>
      <c r="R90" s="32"/>
      <c r="S90" s="25">
        <f t="shared" si="15"/>
        <v>0</v>
      </c>
      <c r="T90" s="32">
        <v>28.5</v>
      </c>
      <c r="U90" s="32"/>
      <c r="V90" s="25">
        <f t="shared" si="19"/>
        <v>0</v>
      </c>
      <c r="W90" s="32">
        <v>28.5</v>
      </c>
      <c r="X90" s="32">
        <f t="shared" si="16"/>
        <v>0</v>
      </c>
      <c r="Y90" s="25">
        <f t="shared" si="17"/>
        <v>0</v>
      </c>
      <c r="AD90" s="26"/>
    </row>
    <row r="91" spans="1:35" x14ac:dyDescent="0.2">
      <c r="A91" s="24">
        <f t="shared" si="18"/>
        <v>5.3851648071345037</v>
      </c>
      <c r="B91" s="32">
        <v>29</v>
      </c>
      <c r="C91" s="32"/>
      <c r="D91" s="25">
        <f t="shared" si="10"/>
        <v>0</v>
      </c>
      <c r="E91" s="32">
        <v>29</v>
      </c>
      <c r="F91" s="8"/>
      <c r="G91" s="25">
        <f t="shared" si="11"/>
        <v>0</v>
      </c>
      <c r="H91" s="32">
        <v>29</v>
      </c>
      <c r="I91" s="32"/>
      <c r="J91" s="25">
        <f t="shared" si="12"/>
        <v>0</v>
      </c>
      <c r="K91" s="32">
        <v>29</v>
      </c>
      <c r="L91" s="31"/>
      <c r="M91" s="25">
        <f t="shared" si="13"/>
        <v>0</v>
      </c>
      <c r="N91" s="32">
        <v>29</v>
      </c>
      <c r="O91" s="32"/>
      <c r="P91" s="25">
        <f t="shared" si="14"/>
        <v>0</v>
      </c>
      <c r="Q91" s="32">
        <v>29</v>
      </c>
      <c r="R91" s="32"/>
      <c r="S91" s="25">
        <f t="shared" si="15"/>
        <v>0</v>
      </c>
      <c r="T91" s="32">
        <v>29</v>
      </c>
      <c r="U91" s="32"/>
      <c r="V91" s="25">
        <f t="shared" si="19"/>
        <v>0</v>
      </c>
      <c r="W91" s="32">
        <v>29</v>
      </c>
      <c r="X91" s="32">
        <f t="shared" si="16"/>
        <v>0</v>
      </c>
      <c r="Y91" s="25">
        <f t="shared" si="17"/>
        <v>0</v>
      </c>
      <c r="AD91" s="26"/>
    </row>
    <row r="92" spans="1:35" x14ac:dyDescent="0.2">
      <c r="A92" s="24">
        <f t="shared" si="18"/>
        <v>5.4313902456001077</v>
      </c>
      <c r="B92" s="32">
        <v>29.5</v>
      </c>
      <c r="C92" s="32"/>
      <c r="D92" s="25">
        <f t="shared" si="10"/>
        <v>0</v>
      </c>
      <c r="E92" s="32">
        <v>29.5</v>
      </c>
      <c r="F92" s="8"/>
      <c r="G92" s="25">
        <f t="shared" si="11"/>
        <v>0</v>
      </c>
      <c r="H92" s="32">
        <v>29.5</v>
      </c>
      <c r="I92" s="32"/>
      <c r="J92" s="25">
        <f t="shared" si="12"/>
        <v>0</v>
      </c>
      <c r="K92" s="32">
        <v>29.5</v>
      </c>
      <c r="L92" s="31"/>
      <c r="M92" s="25">
        <f t="shared" si="13"/>
        <v>0</v>
      </c>
      <c r="N92" s="32">
        <v>29.5</v>
      </c>
      <c r="O92" s="32"/>
      <c r="P92" s="25">
        <f t="shared" si="14"/>
        <v>0</v>
      </c>
      <c r="Q92" s="32">
        <v>29.5</v>
      </c>
      <c r="R92" s="32"/>
      <c r="S92" s="25">
        <f t="shared" si="15"/>
        <v>0</v>
      </c>
      <c r="T92" s="32">
        <v>29.5</v>
      </c>
      <c r="U92" s="32"/>
      <c r="V92" s="25">
        <f t="shared" si="19"/>
        <v>0</v>
      </c>
      <c r="W92" s="32">
        <v>29.5</v>
      </c>
      <c r="X92" s="32">
        <f t="shared" si="16"/>
        <v>0</v>
      </c>
      <c r="Y92" s="25">
        <f t="shared" si="17"/>
        <v>0</v>
      </c>
      <c r="AD92" s="26"/>
    </row>
    <row r="93" spans="1:35" x14ac:dyDescent="0.2">
      <c r="A93" s="24">
        <f t="shared" si="18"/>
        <v>5.4772255750516612</v>
      </c>
      <c r="B93" s="32">
        <v>30</v>
      </c>
      <c r="C93" s="32"/>
      <c r="D93" s="25">
        <f t="shared" si="10"/>
        <v>0</v>
      </c>
      <c r="E93" s="32">
        <v>30</v>
      </c>
      <c r="F93" s="8"/>
      <c r="G93" s="25">
        <f t="shared" si="11"/>
        <v>0</v>
      </c>
      <c r="H93" s="32">
        <v>30</v>
      </c>
      <c r="I93" s="32"/>
      <c r="J93" s="25">
        <f t="shared" si="12"/>
        <v>0</v>
      </c>
      <c r="K93" s="32">
        <v>30</v>
      </c>
      <c r="L93" s="31"/>
      <c r="M93" s="25">
        <f t="shared" si="13"/>
        <v>0</v>
      </c>
      <c r="N93" s="32">
        <v>30</v>
      </c>
      <c r="O93" s="32"/>
      <c r="P93" s="25">
        <f t="shared" si="14"/>
        <v>0</v>
      </c>
      <c r="Q93" s="32">
        <v>30</v>
      </c>
      <c r="R93" s="32"/>
      <c r="S93" s="25">
        <f t="shared" si="15"/>
        <v>0</v>
      </c>
      <c r="T93" s="32">
        <v>30</v>
      </c>
      <c r="U93" s="32"/>
      <c r="V93" s="25">
        <f t="shared" si="19"/>
        <v>0</v>
      </c>
      <c r="W93" s="32">
        <v>30</v>
      </c>
      <c r="X93" s="32">
        <f t="shared" si="16"/>
        <v>0</v>
      </c>
      <c r="Y93" s="25">
        <f t="shared" si="17"/>
        <v>0</v>
      </c>
      <c r="AA93" s="2"/>
      <c r="AB93" s="2"/>
      <c r="AD93" s="26"/>
    </row>
    <row r="94" spans="1:35" s="2" customFormat="1" x14ac:dyDescent="0.2">
      <c r="A94" s="24">
        <f t="shared" si="18"/>
        <v>5.5226805085936306</v>
      </c>
      <c r="B94" s="28">
        <v>30.5</v>
      </c>
      <c r="C94" s="32"/>
      <c r="D94" s="25">
        <f t="shared" si="10"/>
        <v>0</v>
      </c>
      <c r="E94" s="28">
        <v>30.5</v>
      </c>
      <c r="F94" s="8"/>
      <c r="G94" s="25">
        <f t="shared" si="11"/>
        <v>0</v>
      </c>
      <c r="H94" s="28">
        <v>30.5</v>
      </c>
      <c r="I94" s="32"/>
      <c r="J94" s="25">
        <f t="shared" si="12"/>
        <v>0</v>
      </c>
      <c r="K94" s="28">
        <v>30.5</v>
      </c>
      <c r="L94" s="31"/>
      <c r="M94" s="25">
        <f t="shared" si="13"/>
        <v>0</v>
      </c>
      <c r="N94" s="28">
        <v>30.5</v>
      </c>
      <c r="O94" s="32"/>
      <c r="P94" s="25">
        <f t="shared" si="14"/>
        <v>0</v>
      </c>
      <c r="Q94" s="28">
        <v>30.5</v>
      </c>
      <c r="R94" s="32"/>
      <c r="S94" s="25">
        <f t="shared" si="15"/>
        <v>0</v>
      </c>
      <c r="T94" s="28">
        <v>30.5</v>
      </c>
      <c r="U94" s="32"/>
      <c r="V94" s="25">
        <f t="shared" si="19"/>
        <v>0</v>
      </c>
      <c r="W94" s="32">
        <v>30.5</v>
      </c>
      <c r="X94" s="32">
        <f t="shared" si="16"/>
        <v>0</v>
      </c>
      <c r="Y94" s="25">
        <f t="shared" si="17"/>
        <v>0</v>
      </c>
      <c r="AC94" s="1"/>
      <c r="AD94" s="26"/>
      <c r="AF94" s="1"/>
      <c r="AI94" s="1"/>
    </row>
    <row r="95" spans="1:35" s="2" customFormat="1" x14ac:dyDescent="0.2">
      <c r="A95" s="24">
        <f t="shared" si="18"/>
        <v>5.5677643628300215</v>
      </c>
      <c r="B95" s="28">
        <v>31</v>
      </c>
      <c r="C95" s="32"/>
      <c r="D95" s="25">
        <f t="shared" si="10"/>
        <v>0</v>
      </c>
      <c r="E95" s="28">
        <v>31</v>
      </c>
      <c r="F95" s="8"/>
      <c r="G95" s="25">
        <f t="shared" si="11"/>
        <v>0</v>
      </c>
      <c r="H95" s="28">
        <v>31</v>
      </c>
      <c r="I95" s="32"/>
      <c r="J95" s="25">
        <f t="shared" si="12"/>
        <v>0</v>
      </c>
      <c r="K95" s="28">
        <v>31</v>
      </c>
      <c r="L95" s="31"/>
      <c r="M95" s="25">
        <f t="shared" si="13"/>
        <v>0</v>
      </c>
      <c r="N95" s="28">
        <v>31</v>
      </c>
      <c r="O95" s="32"/>
      <c r="P95" s="25">
        <f t="shared" si="14"/>
        <v>0</v>
      </c>
      <c r="Q95" s="28">
        <v>31</v>
      </c>
      <c r="R95" s="32"/>
      <c r="S95" s="25">
        <f t="shared" si="15"/>
        <v>0</v>
      </c>
      <c r="T95" s="28">
        <v>31</v>
      </c>
      <c r="U95" s="32"/>
      <c r="V95" s="25">
        <f t="shared" si="19"/>
        <v>0</v>
      </c>
      <c r="W95" s="32">
        <v>31</v>
      </c>
      <c r="X95" s="32">
        <f t="shared" si="16"/>
        <v>0</v>
      </c>
      <c r="Y95" s="25">
        <f t="shared" si="17"/>
        <v>0</v>
      </c>
      <c r="AA95" s="1"/>
      <c r="AB95" s="1"/>
      <c r="AC95" s="1"/>
      <c r="AD95" s="26"/>
      <c r="AF95" s="1"/>
      <c r="AI95" s="1"/>
    </row>
    <row r="96" spans="1:35" x14ac:dyDescent="0.2">
      <c r="A96" s="24">
        <f t="shared" si="18"/>
        <v>5.6124860801609122</v>
      </c>
      <c r="B96" s="32">
        <v>31.5</v>
      </c>
      <c r="C96" s="32"/>
      <c r="D96" s="25">
        <f t="shared" si="10"/>
        <v>0</v>
      </c>
      <c r="E96" s="32">
        <v>31.5</v>
      </c>
      <c r="F96" s="8"/>
      <c r="G96" s="25">
        <f t="shared" si="11"/>
        <v>0</v>
      </c>
      <c r="H96" s="32">
        <v>31.5</v>
      </c>
      <c r="I96" s="32"/>
      <c r="J96" s="25">
        <f t="shared" si="12"/>
        <v>0</v>
      </c>
      <c r="K96" s="32">
        <v>31.5</v>
      </c>
      <c r="L96" s="31"/>
      <c r="M96" s="25">
        <f t="shared" si="13"/>
        <v>0</v>
      </c>
      <c r="N96" s="32">
        <v>31.5</v>
      </c>
      <c r="O96" s="32"/>
      <c r="P96" s="25">
        <f t="shared" si="14"/>
        <v>0</v>
      </c>
      <c r="Q96" s="32">
        <v>31.5</v>
      </c>
      <c r="R96" s="32"/>
      <c r="S96" s="25">
        <f t="shared" si="15"/>
        <v>0</v>
      </c>
      <c r="T96" s="32">
        <v>31.5</v>
      </c>
      <c r="U96" s="32"/>
      <c r="V96" s="25">
        <f t="shared" si="19"/>
        <v>0</v>
      </c>
      <c r="W96" s="32">
        <v>31.5</v>
      </c>
      <c r="X96" s="32">
        <f t="shared" si="16"/>
        <v>0</v>
      </c>
      <c r="Y96" s="25">
        <f t="shared" si="17"/>
        <v>0</v>
      </c>
      <c r="AD96" s="26"/>
    </row>
    <row r="97" spans="1:30" x14ac:dyDescent="0.2">
      <c r="A97" s="24">
        <f t="shared" si="18"/>
        <v>5.6568542494923806</v>
      </c>
      <c r="B97" s="32">
        <v>32</v>
      </c>
      <c r="C97" s="32"/>
      <c r="D97" s="25">
        <f t="shared" si="10"/>
        <v>0</v>
      </c>
      <c r="E97" s="32">
        <v>32</v>
      </c>
      <c r="F97" s="8"/>
      <c r="G97" s="25">
        <f t="shared" si="11"/>
        <v>0</v>
      </c>
      <c r="H97" s="32">
        <v>32</v>
      </c>
      <c r="I97" s="32"/>
      <c r="J97" s="25">
        <f t="shared" si="12"/>
        <v>0</v>
      </c>
      <c r="K97" s="32">
        <v>32</v>
      </c>
      <c r="L97" s="31"/>
      <c r="M97" s="25">
        <f t="shared" si="13"/>
        <v>0</v>
      </c>
      <c r="N97" s="32">
        <v>32</v>
      </c>
      <c r="O97" s="32"/>
      <c r="P97" s="25">
        <f t="shared" si="14"/>
        <v>0</v>
      </c>
      <c r="Q97" s="32">
        <v>32</v>
      </c>
      <c r="R97" s="32"/>
      <c r="S97" s="25">
        <f t="shared" si="15"/>
        <v>0</v>
      </c>
      <c r="T97" s="32">
        <v>32</v>
      </c>
      <c r="U97" s="32"/>
      <c r="V97" s="25">
        <f t="shared" si="19"/>
        <v>0</v>
      </c>
      <c r="W97" s="32">
        <v>32</v>
      </c>
      <c r="X97" s="32">
        <f t="shared" si="16"/>
        <v>0</v>
      </c>
      <c r="Y97" s="25">
        <f t="shared" si="17"/>
        <v>0</v>
      </c>
      <c r="AD97" s="26"/>
    </row>
    <row r="98" spans="1:30" x14ac:dyDescent="0.2">
      <c r="A98" s="24">
        <f t="shared" si="18"/>
        <v>5.7008771254956896</v>
      </c>
      <c r="B98" s="32">
        <v>32.5</v>
      </c>
      <c r="C98" s="32"/>
      <c r="D98" s="25">
        <f t="shared" si="10"/>
        <v>0</v>
      </c>
      <c r="E98" s="32">
        <v>32.5</v>
      </c>
      <c r="F98" s="8"/>
      <c r="G98" s="25">
        <f t="shared" si="11"/>
        <v>0</v>
      </c>
      <c r="H98" s="32">
        <v>32.5</v>
      </c>
      <c r="I98" s="32"/>
      <c r="J98" s="25">
        <f t="shared" si="12"/>
        <v>0</v>
      </c>
      <c r="K98" s="32">
        <v>32.5</v>
      </c>
      <c r="L98" s="31"/>
      <c r="M98" s="25">
        <f t="shared" si="13"/>
        <v>0</v>
      </c>
      <c r="N98" s="32">
        <v>32.5</v>
      </c>
      <c r="O98" s="32"/>
      <c r="P98" s="25">
        <f t="shared" si="14"/>
        <v>0</v>
      </c>
      <c r="Q98" s="32">
        <v>32.5</v>
      </c>
      <c r="R98" s="32"/>
      <c r="S98" s="25">
        <f t="shared" si="15"/>
        <v>0</v>
      </c>
      <c r="T98" s="32">
        <v>32.5</v>
      </c>
      <c r="U98" s="32"/>
      <c r="V98" s="25">
        <f t="shared" si="19"/>
        <v>0</v>
      </c>
      <c r="W98" s="32">
        <v>32.5</v>
      </c>
      <c r="X98" s="32">
        <f t="shared" si="16"/>
        <v>0</v>
      </c>
      <c r="Y98" s="25">
        <f t="shared" si="17"/>
        <v>0</v>
      </c>
      <c r="AD98" s="26"/>
    </row>
    <row r="99" spans="1:30" x14ac:dyDescent="0.2">
      <c r="A99" s="24">
        <f t="shared" si="18"/>
        <v>5.7445626465380286</v>
      </c>
      <c r="B99" s="32">
        <v>33</v>
      </c>
      <c r="C99" s="32"/>
      <c r="D99" s="25">
        <f t="shared" si="10"/>
        <v>0</v>
      </c>
      <c r="E99" s="32">
        <v>33</v>
      </c>
      <c r="F99" s="8"/>
      <c r="G99" s="25">
        <f t="shared" si="11"/>
        <v>0</v>
      </c>
      <c r="H99" s="32">
        <v>33</v>
      </c>
      <c r="I99" s="32"/>
      <c r="J99" s="25">
        <f t="shared" si="12"/>
        <v>0</v>
      </c>
      <c r="K99" s="32">
        <v>33</v>
      </c>
      <c r="L99" s="31"/>
      <c r="M99" s="25">
        <f t="shared" si="13"/>
        <v>0</v>
      </c>
      <c r="N99" s="32">
        <v>33</v>
      </c>
      <c r="O99" s="32"/>
      <c r="P99" s="25">
        <f t="shared" si="14"/>
        <v>0</v>
      </c>
      <c r="Q99" s="32">
        <v>33</v>
      </c>
      <c r="R99" s="32"/>
      <c r="S99" s="25">
        <f t="shared" si="15"/>
        <v>0</v>
      </c>
      <c r="T99" s="32">
        <v>33</v>
      </c>
      <c r="U99" s="32"/>
      <c r="V99" s="25">
        <f t="shared" si="19"/>
        <v>0</v>
      </c>
      <c r="W99" s="32">
        <v>33</v>
      </c>
      <c r="X99" s="32">
        <f t="shared" si="16"/>
        <v>0</v>
      </c>
      <c r="Y99" s="25">
        <f t="shared" si="17"/>
        <v>0</v>
      </c>
      <c r="AD99" s="26"/>
    </row>
    <row r="100" spans="1:30" x14ac:dyDescent="0.2">
      <c r="A100" s="24">
        <f t="shared" si="18"/>
        <v>5.7879184513951127</v>
      </c>
      <c r="B100" s="32">
        <v>33.5</v>
      </c>
      <c r="C100" s="32"/>
      <c r="D100" s="25">
        <f t="shared" si="10"/>
        <v>0</v>
      </c>
      <c r="E100" s="32">
        <v>33.5</v>
      </c>
      <c r="F100" s="8"/>
      <c r="G100" s="25">
        <f t="shared" si="11"/>
        <v>0</v>
      </c>
      <c r="H100" s="32">
        <v>33.5</v>
      </c>
      <c r="I100" s="32"/>
      <c r="J100" s="25">
        <f t="shared" si="12"/>
        <v>0</v>
      </c>
      <c r="K100" s="32">
        <v>33.5</v>
      </c>
      <c r="L100" s="31"/>
      <c r="M100" s="25">
        <f t="shared" si="13"/>
        <v>0</v>
      </c>
      <c r="N100" s="32">
        <v>33.5</v>
      </c>
      <c r="O100" s="32"/>
      <c r="P100" s="25">
        <f t="shared" si="14"/>
        <v>0</v>
      </c>
      <c r="Q100" s="32">
        <v>33.5</v>
      </c>
      <c r="R100" s="32"/>
      <c r="S100" s="25">
        <f t="shared" si="15"/>
        <v>0</v>
      </c>
      <c r="T100" s="32">
        <v>33.5</v>
      </c>
      <c r="U100" s="32"/>
      <c r="V100" s="25">
        <f t="shared" si="19"/>
        <v>0</v>
      </c>
      <c r="W100" s="32">
        <v>33.5</v>
      </c>
      <c r="X100" s="32">
        <f t="shared" si="16"/>
        <v>0</v>
      </c>
      <c r="Y100" s="25">
        <f t="shared" si="17"/>
        <v>0</v>
      </c>
      <c r="AD100" s="26"/>
    </row>
    <row r="101" spans="1:30" x14ac:dyDescent="0.2">
      <c r="A101" s="24">
        <f t="shared" si="18"/>
        <v>5.8309518948453007</v>
      </c>
      <c r="B101" s="32">
        <v>34</v>
      </c>
      <c r="C101" s="32"/>
      <c r="D101" s="25">
        <f t="shared" si="10"/>
        <v>0</v>
      </c>
      <c r="E101" s="32">
        <v>34</v>
      </c>
      <c r="F101" s="8"/>
      <c r="G101" s="25">
        <f t="shared" si="11"/>
        <v>0</v>
      </c>
      <c r="H101" s="32">
        <v>34</v>
      </c>
      <c r="I101" s="32"/>
      <c r="J101" s="25">
        <f t="shared" si="12"/>
        <v>0</v>
      </c>
      <c r="K101" s="32">
        <v>34</v>
      </c>
      <c r="L101" s="31"/>
      <c r="M101" s="25">
        <f t="shared" si="13"/>
        <v>0</v>
      </c>
      <c r="N101" s="32">
        <v>34</v>
      </c>
      <c r="O101" s="32"/>
      <c r="P101" s="25">
        <f t="shared" si="14"/>
        <v>0</v>
      </c>
      <c r="Q101" s="32">
        <v>34</v>
      </c>
      <c r="R101" s="32"/>
      <c r="S101" s="25">
        <f t="shared" si="15"/>
        <v>0</v>
      </c>
      <c r="T101" s="32">
        <v>34</v>
      </c>
      <c r="U101" s="32"/>
      <c r="V101" s="25">
        <f t="shared" si="19"/>
        <v>0</v>
      </c>
      <c r="W101" s="32">
        <v>34</v>
      </c>
      <c r="X101" s="32">
        <f t="shared" si="16"/>
        <v>0</v>
      </c>
      <c r="Y101" s="25">
        <f t="shared" si="17"/>
        <v>0</v>
      </c>
      <c r="AD101" s="26"/>
    </row>
    <row r="102" spans="1:30" x14ac:dyDescent="0.2">
      <c r="A102" s="24">
        <f t="shared" si="18"/>
        <v>5.873670062235365</v>
      </c>
      <c r="B102" s="32">
        <v>34.5</v>
      </c>
      <c r="C102" s="32"/>
      <c r="D102" s="25">
        <f t="shared" si="10"/>
        <v>0</v>
      </c>
      <c r="E102" s="32">
        <v>34.5</v>
      </c>
      <c r="F102" s="8"/>
      <c r="G102" s="25">
        <f t="shared" si="11"/>
        <v>0</v>
      </c>
      <c r="H102" s="32">
        <v>34.5</v>
      </c>
      <c r="I102" s="32"/>
      <c r="J102" s="25">
        <f t="shared" si="12"/>
        <v>0</v>
      </c>
      <c r="K102" s="32">
        <v>34.5</v>
      </c>
      <c r="L102" s="31"/>
      <c r="M102" s="25">
        <f t="shared" si="13"/>
        <v>0</v>
      </c>
      <c r="N102" s="32">
        <v>34.5</v>
      </c>
      <c r="O102" s="32"/>
      <c r="P102" s="25">
        <f t="shared" si="14"/>
        <v>0</v>
      </c>
      <c r="Q102" s="32">
        <v>34.5</v>
      </c>
      <c r="R102" s="32"/>
      <c r="S102" s="25">
        <f t="shared" si="15"/>
        <v>0</v>
      </c>
      <c r="T102" s="32">
        <v>34.5</v>
      </c>
      <c r="U102" s="32"/>
      <c r="V102" s="25">
        <f t="shared" si="19"/>
        <v>0</v>
      </c>
      <c r="W102" s="32">
        <v>34.5</v>
      </c>
      <c r="X102" s="32">
        <f t="shared" si="16"/>
        <v>0</v>
      </c>
      <c r="Y102" s="25">
        <f t="shared" si="17"/>
        <v>0</v>
      </c>
      <c r="AD102" s="26"/>
    </row>
    <row r="103" spans="1:30" x14ac:dyDescent="0.2">
      <c r="A103" s="24">
        <f t="shared" si="18"/>
        <v>5.9160797830996161</v>
      </c>
      <c r="B103" s="32">
        <v>35</v>
      </c>
      <c r="C103" s="32"/>
      <c r="D103" s="25">
        <f t="shared" si="10"/>
        <v>0</v>
      </c>
      <c r="E103" s="32">
        <v>35</v>
      </c>
      <c r="F103" s="8"/>
      <c r="G103" s="25">
        <f t="shared" si="11"/>
        <v>0</v>
      </c>
      <c r="H103" s="32">
        <v>35</v>
      </c>
      <c r="I103" s="32"/>
      <c r="J103" s="25">
        <f t="shared" si="12"/>
        <v>0</v>
      </c>
      <c r="K103" s="32">
        <v>35</v>
      </c>
      <c r="L103" s="31"/>
      <c r="M103" s="25">
        <f t="shared" si="13"/>
        <v>0</v>
      </c>
      <c r="N103" s="32">
        <v>35</v>
      </c>
      <c r="O103" s="32"/>
      <c r="P103" s="25">
        <f t="shared" si="14"/>
        <v>0</v>
      </c>
      <c r="Q103" s="32">
        <v>35</v>
      </c>
      <c r="R103" s="32"/>
      <c r="S103" s="25">
        <f t="shared" si="15"/>
        <v>0</v>
      </c>
      <c r="T103" s="32">
        <v>35</v>
      </c>
      <c r="U103" s="32"/>
      <c r="V103" s="25">
        <f t="shared" si="19"/>
        <v>0</v>
      </c>
      <c r="W103" s="32">
        <v>35</v>
      </c>
      <c r="X103" s="32">
        <f t="shared" si="16"/>
        <v>0</v>
      </c>
      <c r="Y103" s="25">
        <f t="shared" si="17"/>
        <v>0</v>
      </c>
      <c r="AD103" s="26"/>
    </row>
    <row r="104" spans="1:30" x14ac:dyDescent="0.2">
      <c r="A104" s="24">
        <f t="shared" si="18"/>
        <v>5.9581876439064922</v>
      </c>
      <c r="B104" s="32">
        <v>35.5</v>
      </c>
      <c r="C104" s="32"/>
      <c r="D104" s="25">
        <f t="shared" si="10"/>
        <v>0</v>
      </c>
      <c r="E104" s="32">
        <v>35.5</v>
      </c>
      <c r="F104" s="8"/>
      <c r="G104" s="25">
        <f t="shared" si="11"/>
        <v>0</v>
      </c>
      <c r="H104" s="32">
        <v>35.5</v>
      </c>
      <c r="I104" s="32"/>
      <c r="J104" s="25">
        <f t="shared" si="12"/>
        <v>0</v>
      </c>
      <c r="K104" s="32">
        <v>35.5</v>
      </c>
      <c r="L104" s="31"/>
      <c r="M104" s="25">
        <f t="shared" si="13"/>
        <v>0</v>
      </c>
      <c r="N104" s="32">
        <v>35.5</v>
      </c>
      <c r="O104" s="32"/>
      <c r="P104" s="25">
        <f t="shared" si="14"/>
        <v>0</v>
      </c>
      <c r="Q104" s="32">
        <v>35.5</v>
      </c>
      <c r="R104" s="32"/>
      <c r="S104" s="25">
        <f t="shared" si="15"/>
        <v>0</v>
      </c>
      <c r="T104" s="32">
        <v>35.5</v>
      </c>
      <c r="U104" s="32"/>
      <c r="V104" s="25">
        <f t="shared" si="19"/>
        <v>0</v>
      </c>
      <c r="W104" s="32">
        <v>35.5</v>
      </c>
      <c r="X104" s="32">
        <f t="shared" si="16"/>
        <v>0</v>
      </c>
      <c r="Y104" s="25">
        <f t="shared" si="17"/>
        <v>0</v>
      </c>
      <c r="AD104" s="26"/>
    </row>
    <row r="105" spans="1:30" x14ac:dyDescent="0.2">
      <c r="A105" s="24">
        <f t="shared" si="18"/>
        <v>6</v>
      </c>
      <c r="B105" s="32">
        <v>36</v>
      </c>
      <c r="C105" s="32"/>
      <c r="D105" s="25">
        <f t="shared" si="10"/>
        <v>0</v>
      </c>
      <c r="E105" s="32">
        <v>36</v>
      </c>
      <c r="F105" s="8"/>
      <c r="G105" s="25">
        <f t="shared" si="11"/>
        <v>0</v>
      </c>
      <c r="H105" s="32">
        <v>36</v>
      </c>
      <c r="I105" s="32"/>
      <c r="J105" s="25">
        <f t="shared" si="12"/>
        <v>0</v>
      </c>
      <c r="K105" s="32">
        <v>36</v>
      </c>
      <c r="L105" s="31"/>
      <c r="M105" s="25">
        <f t="shared" si="13"/>
        <v>0</v>
      </c>
      <c r="N105" s="32">
        <v>36</v>
      </c>
      <c r="O105" s="32"/>
      <c r="P105" s="25">
        <f t="shared" si="14"/>
        <v>0</v>
      </c>
      <c r="Q105" s="32">
        <v>36</v>
      </c>
      <c r="R105" s="32"/>
      <c r="S105" s="25">
        <f t="shared" si="15"/>
        <v>0</v>
      </c>
      <c r="T105" s="32">
        <v>36</v>
      </c>
      <c r="U105" s="32"/>
      <c r="V105" s="25">
        <f t="shared" si="19"/>
        <v>0</v>
      </c>
      <c r="W105" s="32">
        <v>36</v>
      </c>
      <c r="X105" s="32">
        <f t="shared" si="16"/>
        <v>0</v>
      </c>
      <c r="Y105" s="25">
        <f t="shared" si="17"/>
        <v>0</v>
      </c>
      <c r="AD105" s="26"/>
    </row>
    <row r="106" spans="1:30" x14ac:dyDescent="0.2">
      <c r="A106" s="24">
        <f t="shared" si="18"/>
        <v>6.0415229867972862</v>
      </c>
      <c r="B106" s="32">
        <v>36.5</v>
      </c>
      <c r="C106" s="32"/>
      <c r="D106" s="25">
        <f t="shared" si="10"/>
        <v>0</v>
      </c>
      <c r="E106" s="32">
        <v>36.5</v>
      </c>
      <c r="F106" s="8"/>
      <c r="G106" s="25">
        <f t="shared" si="11"/>
        <v>0</v>
      </c>
      <c r="H106" s="32">
        <v>36.5</v>
      </c>
      <c r="I106" s="32"/>
      <c r="J106" s="25">
        <f t="shared" si="12"/>
        <v>0</v>
      </c>
      <c r="K106" s="32">
        <v>36.5</v>
      </c>
      <c r="L106" s="31"/>
      <c r="M106" s="25">
        <f t="shared" si="13"/>
        <v>0</v>
      </c>
      <c r="N106" s="32">
        <v>36.5</v>
      </c>
      <c r="O106" s="32"/>
      <c r="P106" s="25">
        <f t="shared" si="14"/>
        <v>0</v>
      </c>
      <c r="Q106" s="32">
        <v>36.5</v>
      </c>
      <c r="R106" s="32"/>
      <c r="S106" s="25">
        <f t="shared" si="15"/>
        <v>0</v>
      </c>
      <c r="T106" s="32">
        <v>36.5</v>
      </c>
      <c r="U106" s="32"/>
      <c r="V106" s="25">
        <f t="shared" si="19"/>
        <v>0</v>
      </c>
      <c r="W106" s="32">
        <v>36.5</v>
      </c>
      <c r="X106" s="32">
        <f t="shared" si="16"/>
        <v>0</v>
      </c>
      <c r="Y106" s="25">
        <f t="shared" si="17"/>
        <v>0</v>
      </c>
      <c r="AD106" s="26"/>
    </row>
    <row r="107" spans="1:30" x14ac:dyDescent="0.2">
      <c r="A107" s="24">
        <f t="shared" si="18"/>
        <v>6.0827625302982193</v>
      </c>
      <c r="B107" s="32">
        <v>37</v>
      </c>
      <c r="C107" s="32"/>
      <c r="D107" s="25">
        <f t="shared" si="10"/>
        <v>0</v>
      </c>
      <c r="E107" s="32">
        <v>37</v>
      </c>
      <c r="F107" s="8"/>
      <c r="G107" s="25">
        <f t="shared" si="11"/>
        <v>0</v>
      </c>
      <c r="H107" s="32">
        <v>37</v>
      </c>
      <c r="I107" s="32"/>
      <c r="J107" s="25">
        <f t="shared" si="12"/>
        <v>0</v>
      </c>
      <c r="K107" s="32">
        <v>37</v>
      </c>
      <c r="L107" s="31"/>
      <c r="M107" s="25">
        <f t="shared" si="13"/>
        <v>0</v>
      </c>
      <c r="N107" s="32">
        <v>37</v>
      </c>
      <c r="O107" s="32"/>
      <c r="P107" s="25">
        <f t="shared" si="14"/>
        <v>0</v>
      </c>
      <c r="Q107" s="32">
        <v>37</v>
      </c>
      <c r="R107" s="32"/>
      <c r="S107" s="25">
        <f t="shared" si="15"/>
        <v>0</v>
      </c>
      <c r="T107" s="32">
        <v>37</v>
      </c>
      <c r="U107" s="32"/>
      <c r="V107" s="25">
        <f t="shared" si="19"/>
        <v>0</v>
      </c>
      <c r="W107" s="32">
        <v>37</v>
      </c>
      <c r="X107" s="32">
        <f t="shared" si="16"/>
        <v>0</v>
      </c>
      <c r="Y107" s="25">
        <f t="shared" si="17"/>
        <v>0</v>
      </c>
      <c r="AD107" s="26"/>
    </row>
    <row r="108" spans="1:30" x14ac:dyDescent="0.2">
      <c r="A108" s="24">
        <f t="shared" si="18"/>
        <v>6.1237243569579451</v>
      </c>
      <c r="B108" s="32">
        <v>37.5</v>
      </c>
      <c r="C108" s="32"/>
      <c r="D108" s="25">
        <f t="shared" si="10"/>
        <v>0</v>
      </c>
      <c r="E108" s="32">
        <v>37.5</v>
      </c>
      <c r="F108" s="8"/>
      <c r="G108" s="25">
        <f t="shared" si="11"/>
        <v>0</v>
      </c>
      <c r="H108" s="32">
        <v>37.5</v>
      </c>
      <c r="I108" s="32"/>
      <c r="J108" s="25">
        <f t="shared" si="12"/>
        <v>0</v>
      </c>
      <c r="K108" s="32">
        <v>37.5</v>
      </c>
      <c r="L108" s="31"/>
      <c r="M108" s="25">
        <f t="shared" si="13"/>
        <v>0</v>
      </c>
      <c r="N108" s="32">
        <v>37.5</v>
      </c>
      <c r="O108" s="32"/>
      <c r="P108" s="25">
        <f t="shared" si="14"/>
        <v>0</v>
      </c>
      <c r="Q108" s="32">
        <v>37.5</v>
      </c>
      <c r="R108" s="32"/>
      <c r="S108" s="25">
        <f t="shared" si="15"/>
        <v>0</v>
      </c>
      <c r="T108" s="32">
        <v>37.5</v>
      </c>
      <c r="U108" s="32"/>
      <c r="V108" s="25">
        <f t="shared" si="19"/>
        <v>0</v>
      </c>
      <c r="W108" s="32">
        <v>37.5</v>
      </c>
      <c r="X108" s="32">
        <f t="shared" si="16"/>
        <v>0</v>
      </c>
      <c r="Y108" s="25">
        <f t="shared" si="17"/>
        <v>0</v>
      </c>
      <c r="AD108" s="26"/>
    </row>
    <row r="109" spans="1:30" x14ac:dyDescent="0.2">
      <c r="A109" s="24">
        <f t="shared" si="18"/>
        <v>6.164414002968976</v>
      </c>
      <c r="B109" s="32">
        <v>38</v>
      </c>
      <c r="C109" s="32"/>
      <c r="D109" s="25">
        <f t="shared" si="10"/>
        <v>0</v>
      </c>
      <c r="E109" s="32">
        <v>38</v>
      </c>
      <c r="F109" s="8"/>
      <c r="G109" s="25">
        <f t="shared" si="11"/>
        <v>0</v>
      </c>
      <c r="H109" s="32">
        <v>38</v>
      </c>
      <c r="I109" s="32"/>
      <c r="J109" s="25">
        <f t="shared" si="12"/>
        <v>0</v>
      </c>
      <c r="K109" s="32">
        <v>38</v>
      </c>
      <c r="L109" s="31"/>
      <c r="M109" s="25">
        <f t="shared" si="13"/>
        <v>0</v>
      </c>
      <c r="N109" s="32">
        <v>38</v>
      </c>
      <c r="O109" s="32"/>
      <c r="P109" s="25">
        <f t="shared" si="14"/>
        <v>0</v>
      </c>
      <c r="Q109" s="32">
        <v>38</v>
      </c>
      <c r="R109" s="32"/>
      <c r="S109" s="25">
        <f t="shared" si="15"/>
        <v>0</v>
      </c>
      <c r="T109" s="32">
        <v>38</v>
      </c>
      <c r="U109" s="32"/>
      <c r="V109" s="25">
        <f t="shared" si="19"/>
        <v>0</v>
      </c>
      <c r="W109" s="32">
        <v>38</v>
      </c>
      <c r="X109" s="32">
        <f t="shared" si="16"/>
        <v>0</v>
      </c>
      <c r="Y109" s="25">
        <f t="shared" si="17"/>
        <v>0</v>
      </c>
      <c r="AD109" s="26"/>
    </row>
    <row r="110" spans="1:30" x14ac:dyDescent="0.2">
      <c r="A110" s="24">
        <f t="shared" si="18"/>
        <v>6.2048368229954285</v>
      </c>
      <c r="B110" s="32">
        <v>38.5</v>
      </c>
      <c r="C110" s="32"/>
      <c r="D110" s="25">
        <f t="shared" si="10"/>
        <v>0</v>
      </c>
      <c r="E110" s="32">
        <v>38.5</v>
      </c>
      <c r="F110" s="8"/>
      <c r="G110" s="25">
        <f t="shared" si="11"/>
        <v>0</v>
      </c>
      <c r="H110" s="32">
        <v>38.5</v>
      </c>
      <c r="I110" s="32"/>
      <c r="J110" s="25">
        <f t="shared" si="12"/>
        <v>0</v>
      </c>
      <c r="K110" s="32">
        <v>38.5</v>
      </c>
      <c r="L110" s="31"/>
      <c r="M110" s="25">
        <f t="shared" si="13"/>
        <v>0</v>
      </c>
      <c r="N110" s="32">
        <v>38.5</v>
      </c>
      <c r="O110" s="32"/>
      <c r="P110" s="25">
        <f t="shared" si="14"/>
        <v>0</v>
      </c>
      <c r="Q110" s="32">
        <v>38.5</v>
      </c>
      <c r="R110" s="32"/>
      <c r="S110" s="25">
        <f t="shared" si="15"/>
        <v>0</v>
      </c>
      <c r="T110" s="32">
        <v>38.5</v>
      </c>
      <c r="U110" s="32"/>
      <c r="V110" s="25">
        <f t="shared" si="19"/>
        <v>0</v>
      </c>
      <c r="W110" s="32">
        <v>38.5</v>
      </c>
      <c r="X110" s="32">
        <f t="shared" si="16"/>
        <v>0</v>
      </c>
      <c r="Y110" s="25">
        <f t="shared" si="17"/>
        <v>0</v>
      </c>
      <c r="AD110" s="26"/>
    </row>
    <row r="111" spans="1:30" x14ac:dyDescent="0.2">
      <c r="A111" s="24">
        <f t="shared" si="18"/>
        <v>6.2449979983983983</v>
      </c>
      <c r="B111" s="32">
        <v>39</v>
      </c>
      <c r="C111" s="32"/>
      <c r="D111" s="25">
        <f t="shared" si="10"/>
        <v>0</v>
      </c>
      <c r="E111" s="32">
        <v>39</v>
      </c>
      <c r="F111" s="8"/>
      <c r="G111" s="25">
        <f t="shared" si="11"/>
        <v>0</v>
      </c>
      <c r="H111" s="32">
        <v>39</v>
      </c>
      <c r="I111" s="32"/>
      <c r="J111" s="25">
        <f t="shared" si="12"/>
        <v>0</v>
      </c>
      <c r="K111" s="32">
        <v>39</v>
      </c>
      <c r="L111" s="31"/>
      <c r="M111" s="25">
        <f t="shared" si="13"/>
        <v>0</v>
      </c>
      <c r="N111" s="32">
        <v>39</v>
      </c>
      <c r="O111" s="32"/>
      <c r="P111" s="25">
        <f t="shared" si="14"/>
        <v>0</v>
      </c>
      <c r="Q111" s="32">
        <v>39</v>
      </c>
      <c r="R111" s="32"/>
      <c r="S111" s="25">
        <f t="shared" si="15"/>
        <v>0</v>
      </c>
      <c r="T111" s="32">
        <v>39</v>
      </c>
      <c r="U111" s="32"/>
      <c r="V111" s="25">
        <f t="shared" si="19"/>
        <v>0</v>
      </c>
      <c r="W111" s="32">
        <v>39</v>
      </c>
      <c r="X111" s="32">
        <f t="shared" si="16"/>
        <v>0</v>
      </c>
      <c r="Y111" s="25">
        <f t="shared" si="17"/>
        <v>0</v>
      </c>
      <c r="AD111" s="26"/>
    </row>
    <row r="112" spans="1:30" x14ac:dyDescent="0.2">
      <c r="A112" s="24">
        <f t="shared" si="18"/>
        <v>6.2849025449882676</v>
      </c>
      <c r="B112" s="32">
        <v>39.5</v>
      </c>
      <c r="C112" s="32"/>
      <c r="D112" s="25">
        <f t="shared" si="10"/>
        <v>0</v>
      </c>
      <c r="E112" s="32">
        <v>39.5</v>
      </c>
      <c r="F112" s="8"/>
      <c r="G112" s="25">
        <f t="shared" si="11"/>
        <v>0</v>
      </c>
      <c r="H112" s="32">
        <v>39.5</v>
      </c>
      <c r="I112" s="32"/>
      <c r="J112" s="25">
        <f t="shared" si="12"/>
        <v>0</v>
      </c>
      <c r="K112" s="32">
        <v>39.5</v>
      </c>
      <c r="L112" s="31"/>
      <c r="M112" s="25">
        <f t="shared" si="13"/>
        <v>0</v>
      </c>
      <c r="N112" s="32">
        <v>39.5</v>
      </c>
      <c r="O112" s="32"/>
      <c r="P112" s="25">
        <f t="shared" si="14"/>
        <v>0</v>
      </c>
      <c r="Q112" s="32">
        <v>39.5</v>
      </c>
      <c r="R112" s="32"/>
      <c r="S112" s="25">
        <f t="shared" si="15"/>
        <v>0</v>
      </c>
      <c r="T112" s="32">
        <v>39.5</v>
      </c>
      <c r="U112" s="32"/>
      <c r="V112" s="25">
        <f t="shared" si="19"/>
        <v>0</v>
      </c>
      <c r="W112" s="32">
        <v>39.5</v>
      </c>
      <c r="X112" s="32">
        <f t="shared" si="16"/>
        <v>0</v>
      </c>
      <c r="Y112" s="25">
        <f t="shared" si="17"/>
        <v>0</v>
      </c>
      <c r="AD112" s="26"/>
    </row>
    <row r="113" spans="1:30" x14ac:dyDescent="0.2">
      <c r="A113" s="24">
        <f t="shared" si="18"/>
        <v>6.324555320336759</v>
      </c>
      <c r="B113" s="32">
        <v>40</v>
      </c>
      <c r="C113" s="32"/>
      <c r="D113" s="25">
        <f t="shared" si="10"/>
        <v>0</v>
      </c>
      <c r="E113" s="32">
        <v>40</v>
      </c>
      <c r="F113" s="8"/>
      <c r="G113" s="25">
        <f t="shared" si="11"/>
        <v>0</v>
      </c>
      <c r="H113" s="32">
        <v>40</v>
      </c>
      <c r="I113" s="32"/>
      <c r="J113" s="25">
        <f t="shared" si="12"/>
        <v>0</v>
      </c>
      <c r="K113" s="32">
        <v>40</v>
      </c>
      <c r="L113" s="31"/>
      <c r="M113" s="25">
        <f t="shared" si="13"/>
        <v>0</v>
      </c>
      <c r="N113" s="32">
        <v>40</v>
      </c>
      <c r="O113" s="32"/>
      <c r="P113" s="25">
        <f t="shared" si="14"/>
        <v>0</v>
      </c>
      <c r="Q113" s="32">
        <v>40</v>
      </c>
      <c r="R113" s="32"/>
      <c r="S113" s="25">
        <f t="shared" si="15"/>
        <v>0</v>
      </c>
      <c r="T113" s="32">
        <v>40</v>
      </c>
      <c r="U113" s="32"/>
      <c r="V113" s="25">
        <f t="shared" si="19"/>
        <v>0</v>
      </c>
      <c r="W113" s="32">
        <v>40</v>
      </c>
      <c r="X113" s="32">
        <f t="shared" si="16"/>
        <v>0</v>
      </c>
      <c r="Y113" s="25">
        <f t="shared" si="17"/>
        <v>0</v>
      </c>
      <c r="AD113" s="26"/>
    </row>
    <row r="114" spans="1:30" x14ac:dyDescent="0.2">
      <c r="A114" s="24">
        <f t="shared" si="18"/>
        <v>6.3639610306789276</v>
      </c>
      <c r="B114" s="32">
        <v>40.5</v>
      </c>
      <c r="C114" s="32"/>
      <c r="D114" s="25">
        <f t="shared" si="10"/>
        <v>0</v>
      </c>
      <c r="E114" s="32">
        <v>40.5</v>
      </c>
      <c r="F114" s="8"/>
      <c r="G114" s="25">
        <f t="shared" si="11"/>
        <v>0</v>
      </c>
      <c r="H114" s="32">
        <v>40.5</v>
      </c>
      <c r="I114" s="32"/>
      <c r="J114" s="25">
        <f t="shared" si="12"/>
        <v>0</v>
      </c>
      <c r="K114" s="32">
        <v>40.5</v>
      </c>
      <c r="L114" s="31"/>
      <c r="M114" s="25">
        <f t="shared" si="13"/>
        <v>0</v>
      </c>
      <c r="N114" s="32">
        <v>40.5</v>
      </c>
      <c r="O114" s="32"/>
      <c r="P114" s="25">
        <f t="shared" si="14"/>
        <v>0</v>
      </c>
      <c r="Q114" s="32">
        <v>40.5</v>
      </c>
      <c r="R114" s="32"/>
      <c r="S114" s="25">
        <f t="shared" si="15"/>
        <v>0</v>
      </c>
      <c r="T114" s="32">
        <v>40.5</v>
      </c>
      <c r="U114" s="32"/>
      <c r="V114" s="25">
        <f t="shared" si="19"/>
        <v>0</v>
      </c>
      <c r="W114" s="32">
        <v>40.5</v>
      </c>
      <c r="X114" s="32">
        <f t="shared" si="16"/>
        <v>0</v>
      </c>
      <c r="Y114" s="25">
        <f t="shared" si="17"/>
        <v>0</v>
      </c>
      <c r="AD114" s="26"/>
    </row>
    <row r="115" spans="1:30" x14ac:dyDescent="0.2">
      <c r="A115" s="24">
        <f t="shared" si="18"/>
        <v>6.4031242374328485</v>
      </c>
      <c r="B115" s="32">
        <v>41</v>
      </c>
      <c r="C115" s="32"/>
      <c r="D115" s="25">
        <f t="shared" si="10"/>
        <v>0</v>
      </c>
      <c r="E115" s="32">
        <v>41</v>
      </c>
      <c r="F115" s="8"/>
      <c r="G115" s="25">
        <f t="shared" si="11"/>
        <v>0</v>
      </c>
      <c r="H115" s="32">
        <v>41</v>
      </c>
      <c r="I115" s="32"/>
      <c r="J115" s="25">
        <f t="shared" si="12"/>
        <v>0</v>
      </c>
      <c r="K115" s="32">
        <v>41</v>
      </c>
      <c r="L115" s="31"/>
      <c r="M115" s="25">
        <f t="shared" si="13"/>
        <v>0</v>
      </c>
      <c r="N115" s="32">
        <v>41</v>
      </c>
      <c r="O115" s="32"/>
      <c r="P115" s="25">
        <f t="shared" si="14"/>
        <v>0</v>
      </c>
      <c r="Q115" s="32">
        <v>41</v>
      </c>
      <c r="R115" s="32"/>
      <c r="S115" s="25">
        <f t="shared" si="15"/>
        <v>0</v>
      </c>
      <c r="T115" s="32">
        <v>41</v>
      </c>
      <c r="U115" s="32"/>
      <c r="V115" s="25">
        <f t="shared" si="19"/>
        <v>0</v>
      </c>
      <c r="W115" s="32">
        <v>41</v>
      </c>
      <c r="X115" s="32">
        <f t="shared" si="16"/>
        <v>0</v>
      </c>
      <c r="Y115" s="25">
        <f t="shared" si="17"/>
        <v>0</v>
      </c>
      <c r="AD115" s="26"/>
    </row>
    <row r="116" spans="1:30" x14ac:dyDescent="0.2">
      <c r="A116" s="24">
        <f t="shared" si="18"/>
        <v>6.4420493633625631</v>
      </c>
      <c r="B116" s="32">
        <v>41.5</v>
      </c>
      <c r="C116" s="32"/>
      <c r="D116" s="25">
        <f t="shared" si="10"/>
        <v>0</v>
      </c>
      <c r="E116" s="32">
        <v>41.5</v>
      </c>
      <c r="F116" s="8"/>
      <c r="G116" s="25">
        <f t="shared" si="11"/>
        <v>0</v>
      </c>
      <c r="H116" s="32">
        <v>41.5</v>
      </c>
      <c r="I116" s="32"/>
      <c r="J116" s="25">
        <f t="shared" si="12"/>
        <v>0</v>
      </c>
      <c r="K116" s="32">
        <v>41.5</v>
      </c>
      <c r="L116" s="31"/>
      <c r="M116" s="25">
        <f t="shared" si="13"/>
        <v>0</v>
      </c>
      <c r="N116" s="32">
        <v>41.5</v>
      </c>
      <c r="O116" s="32"/>
      <c r="P116" s="25">
        <f t="shared" si="14"/>
        <v>0</v>
      </c>
      <c r="Q116" s="32">
        <v>41.5</v>
      </c>
      <c r="R116" s="32"/>
      <c r="S116" s="25">
        <f t="shared" si="15"/>
        <v>0</v>
      </c>
      <c r="T116" s="32">
        <v>41.5</v>
      </c>
      <c r="U116" s="32"/>
      <c r="V116" s="25">
        <f t="shared" si="19"/>
        <v>0</v>
      </c>
      <c r="W116" s="32">
        <v>41.5</v>
      </c>
      <c r="X116" s="32">
        <f t="shared" si="16"/>
        <v>0</v>
      </c>
      <c r="Y116" s="25">
        <f t="shared" si="17"/>
        <v>0</v>
      </c>
      <c r="AD116" s="26"/>
    </row>
    <row r="117" spans="1:30" x14ac:dyDescent="0.2">
      <c r="A117" s="24">
        <f t="shared" si="18"/>
        <v>6.4807406984078604</v>
      </c>
      <c r="B117" s="32">
        <v>42</v>
      </c>
      <c r="C117" s="32"/>
      <c r="D117" s="25">
        <f t="shared" si="10"/>
        <v>0</v>
      </c>
      <c r="E117" s="32">
        <v>42</v>
      </c>
      <c r="F117" s="8"/>
      <c r="G117" s="25">
        <f t="shared" si="11"/>
        <v>0</v>
      </c>
      <c r="H117" s="32">
        <v>42</v>
      </c>
      <c r="I117" s="32"/>
      <c r="J117" s="25">
        <f t="shared" si="12"/>
        <v>0</v>
      </c>
      <c r="K117" s="32">
        <v>42</v>
      </c>
      <c r="L117" s="31"/>
      <c r="M117" s="25">
        <f t="shared" si="13"/>
        <v>0</v>
      </c>
      <c r="N117" s="32">
        <v>42</v>
      </c>
      <c r="O117" s="32"/>
      <c r="P117" s="25">
        <f t="shared" si="14"/>
        <v>0</v>
      </c>
      <c r="Q117" s="32">
        <v>42</v>
      </c>
      <c r="R117" s="32"/>
      <c r="S117" s="25">
        <f t="shared" si="15"/>
        <v>0</v>
      </c>
      <c r="T117" s="32">
        <v>42</v>
      </c>
      <c r="U117" s="32"/>
      <c r="V117" s="25">
        <f t="shared" si="19"/>
        <v>0</v>
      </c>
      <c r="W117" s="32">
        <v>42</v>
      </c>
      <c r="X117" s="32">
        <f t="shared" si="16"/>
        <v>0</v>
      </c>
      <c r="Y117" s="25">
        <f t="shared" si="17"/>
        <v>0</v>
      </c>
      <c r="AD117" s="26"/>
    </row>
    <row r="118" spans="1:30" x14ac:dyDescent="0.2">
      <c r="A118" s="24">
        <f t="shared" si="18"/>
        <v>6.5192024052026492</v>
      </c>
      <c r="B118" s="32">
        <v>42.5</v>
      </c>
      <c r="C118" s="32"/>
      <c r="D118" s="25">
        <f t="shared" si="10"/>
        <v>0</v>
      </c>
      <c r="E118" s="32">
        <v>42.5</v>
      </c>
      <c r="F118" s="8"/>
      <c r="G118" s="25">
        <f t="shared" si="11"/>
        <v>0</v>
      </c>
      <c r="H118" s="32">
        <v>42.5</v>
      </c>
      <c r="I118" s="32"/>
      <c r="J118" s="25">
        <f t="shared" si="12"/>
        <v>0</v>
      </c>
      <c r="K118" s="32">
        <v>42.5</v>
      </c>
      <c r="L118" s="31"/>
      <c r="M118" s="25">
        <f t="shared" si="13"/>
        <v>0</v>
      </c>
      <c r="N118" s="32">
        <v>42.5</v>
      </c>
      <c r="O118" s="32"/>
      <c r="P118" s="25">
        <f t="shared" si="14"/>
        <v>0</v>
      </c>
      <c r="Q118" s="32">
        <v>42.5</v>
      </c>
      <c r="R118" s="32"/>
      <c r="S118" s="25">
        <f t="shared" si="15"/>
        <v>0</v>
      </c>
      <c r="T118" s="32">
        <v>42.5</v>
      </c>
      <c r="U118" s="32"/>
      <c r="V118" s="25">
        <f t="shared" si="19"/>
        <v>0</v>
      </c>
      <c r="W118" s="32">
        <v>42.5</v>
      </c>
      <c r="X118" s="32">
        <f t="shared" si="16"/>
        <v>0</v>
      </c>
      <c r="Y118" s="25">
        <f t="shared" si="17"/>
        <v>0</v>
      </c>
      <c r="AD118" s="26"/>
    </row>
    <row r="119" spans="1:30" x14ac:dyDescent="0.2">
      <c r="A119" s="24">
        <f t="shared" si="18"/>
        <v>6.5574385243020004</v>
      </c>
      <c r="B119" s="32">
        <v>43</v>
      </c>
      <c r="C119" s="32"/>
      <c r="D119" s="25">
        <f t="shared" si="10"/>
        <v>0</v>
      </c>
      <c r="E119" s="32">
        <v>43</v>
      </c>
      <c r="F119" s="8"/>
      <c r="G119" s="25">
        <f t="shared" si="11"/>
        <v>0</v>
      </c>
      <c r="H119" s="32">
        <v>43</v>
      </c>
      <c r="I119" s="32"/>
      <c r="J119" s="25">
        <f t="shared" si="12"/>
        <v>0</v>
      </c>
      <c r="K119" s="32">
        <v>43</v>
      </c>
      <c r="L119" s="31"/>
      <c r="M119" s="25">
        <f t="shared" si="13"/>
        <v>0</v>
      </c>
      <c r="N119" s="32">
        <v>43</v>
      </c>
      <c r="O119" s="32"/>
      <c r="P119" s="25">
        <f t="shared" si="14"/>
        <v>0</v>
      </c>
      <c r="Q119" s="32">
        <v>43</v>
      </c>
      <c r="R119" s="32"/>
      <c r="S119" s="25">
        <f t="shared" si="15"/>
        <v>0</v>
      </c>
      <c r="T119" s="32">
        <v>43</v>
      </c>
      <c r="U119" s="32"/>
      <c r="V119" s="25">
        <f t="shared" si="19"/>
        <v>0</v>
      </c>
      <c r="W119" s="32">
        <v>43</v>
      </c>
      <c r="X119" s="32">
        <f t="shared" si="16"/>
        <v>0</v>
      </c>
      <c r="Y119" s="25">
        <f t="shared" si="17"/>
        <v>0</v>
      </c>
      <c r="AD119" s="26"/>
    </row>
    <row r="120" spans="1:30" x14ac:dyDescent="0.2">
      <c r="A120" s="24">
        <f t="shared" si="18"/>
        <v>6.5954529791364598</v>
      </c>
      <c r="B120" s="32">
        <v>43.5</v>
      </c>
      <c r="C120" s="32"/>
      <c r="D120" s="25">
        <f t="shared" si="10"/>
        <v>0</v>
      </c>
      <c r="E120" s="32">
        <v>43.5</v>
      </c>
      <c r="F120" s="8"/>
      <c r="G120" s="25">
        <f t="shared" si="11"/>
        <v>0</v>
      </c>
      <c r="H120" s="32">
        <v>43.5</v>
      </c>
      <c r="I120" s="32"/>
      <c r="J120" s="25">
        <f t="shared" si="12"/>
        <v>0</v>
      </c>
      <c r="K120" s="32">
        <v>43.5</v>
      </c>
      <c r="L120" s="31"/>
      <c r="M120" s="25">
        <f t="shared" si="13"/>
        <v>0</v>
      </c>
      <c r="N120" s="32">
        <v>43.5</v>
      </c>
      <c r="O120" s="32"/>
      <c r="P120" s="25">
        <f t="shared" si="14"/>
        <v>0</v>
      </c>
      <c r="Q120" s="32">
        <v>43.5</v>
      </c>
      <c r="R120" s="32"/>
      <c r="S120" s="25">
        <f t="shared" si="15"/>
        <v>0</v>
      </c>
      <c r="T120" s="32">
        <v>43.5</v>
      </c>
      <c r="U120" s="32"/>
      <c r="V120" s="25">
        <f t="shared" si="19"/>
        <v>0</v>
      </c>
      <c r="W120" s="32">
        <v>43.5</v>
      </c>
      <c r="X120" s="32">
        <f t="shared" si="16"/>
        <v>0</v>
      </c>
      <c r="Y120" s="25">
        <f t="shared" si="17"/>
        <v>0</v>
      </c>
      <c r="AD120" s="26"/>
    </row>
    <row r="121" spans="1:30" x14ac:dyDescent="0.2">
      <c r="A121" s="24">
        <f t="shared" si="18"/>
        <v>6.6332495807107996</v>
      </c>
      <c r="B121" s="32">
        <v>44</v>
      </c>
      <c r="C121" s="32"/>
      <c r="D121" s="25">
        <f t="shared" si="10"/>
        <v>0</v>
      </c>
      <c r="E121" s="32">
        <v>44</v>
      </c>
      <c r="F121" s="8"/>
      <c r="G121" s="25">
        <f t="shared" si="11"/>
        <v>0</v>
      </c>
      <c r="H121" s="32">
        <v>44</v>
      </c>
      <c r="I121" s="32"/>
      <c r="J121" s="25">
        <f t="shared" si="12"/>
        <v>0</v>
      </c>
      <c r="K121" s="32">
        <v>44</v>
      </c>
      <c r="L121" s="31"/>
      <c r="M121" s="25">
        <f t="shared" si="13"/>
        <v>0</v>
      </c>
      <c r="N121" s="32">
        <v>44</v>
      </c>
      <c r="O121" s="32"/>
      <c r="P121" s="25">
        <f t="shared" si="14"/>
        <v>0</v>
      </c>
      <c r="Q121" s="32">
        <v>44</v>
      </c>
      <c r="R121" s="32"/>
      <c r="S121" s="25">
        <f t="shared" si="15"/>
        <v>0</v>
      </c>
      <c r="T121" s="32">
        <v>44</v>
      </c>
      <c r="U121" s="32"/>
      <c r="V121" s="25">
        <f t="shared" si="19"/>
        <v>0</v>
      </c>
      <c r="W121" s="32">
        <v>44</v>
      </c>
      <c r="X121" s="32">
        <f t="shared" si="16"/>
        <v>0</v>
      </c>
      <c r="Y121" s="25">
        <f t="shared" si="17"/>
        <v>0</v>
      </c>
      <c r="AD121" s="26"/>
    </row>
    <row r="122" spans="1:30" x14ac:dyDescent="0.2">
      <c r="A122" s="24">
        <f t="shared" si="18"/>
        <v>6.6708320320631671</v>
      </c>
      <c r="B122" s="32">
        <v>44.5</v>
      </c>
      <c r="C122" s="32"/>
      <c r="D122" s="25">
        <f t="shared" si="10"/>
        <v>0</v>
      </c>
      <c r="E122" s="32">
        <v>44.5</v>
      </c>
      <c r="F122" s="8"/>
      <c r="G122" s="25">
        <f t="shared" si="11"/>
        <v>0</v>
      </c>
      <c r="H122" s="32">
        <v>44.5</v>
      </c>
      <c r="I122" s="32"/>
      <c r="J122" s="25">
        <f t="shared" si="12"/>
        <v>0</v>
      </c>
      <c r="K122" s="32">
        <v>44.5</v>
      </c>
      <c r="L122" s="31"/>
      <c r="M122" s="25">
        <f t="shared" si="13"/>
        <v>0</v>
      </c>
      <c r="N122" s="32">
        <v>44.5</v>
      </c>
      <c r="O122" s="32"/>
      <c r="P122" s="25">
        <f t="shared" si="14"/>
        <v>0</v>
      </c>
      <c r="Q122" s="32">
        <v>44.5</v>
      </c>
      <c r="R122" s="32"/>
      <c r="S122" s="25">
        <f t="shared" si="15"/>
        <v>0</v>
      </c>
      <c r="T122" s="32">
        <v>44.5</v>
      </c>
      <c r="U122" s="32"/>
      <c r="V122" s="25">
        <f t="shared" si="19"/>
        <v>0</v>
      </c>
      <c r="W122" s="32">
        <v>44.5</v>
      </c>
      <c r="X122" s="32">
        <f t="shared" si="16"/>
        <v>0</v>
      </c>
      <c r="Y122" s="25">
        <f t="shared" si="17"/>
        <v>0</v>
      </c>
      <c r="AD122" s="26"/>
    </row>
    <row r="123" spans="1:30" x14ac:dyDescent="0.2">
      <c r="A123" s="24">
        <f t="shared" si="18"/>
        <v>6.7082039324993694</v>
      </c>
      <c r="B123" s="32">
        <v>45</v>
      </c>
      <c r="C123" s="32"/>
      <c r="D123" s="25">
        <f t="shared" si="10"/>
        <v>0</v>
      </c>
      <c r="E123" s="32">
        <v>45</v>
      </c>
      <c r="F123" s="8"/>
      <c r="G123" s="25">
        <f t="shared" si="11"/>
        <v>0</v>
      </c>
      <c r="H123" s="32">
        <v>45</v>
      </c>
      <c r="I123" s="32"/>
      <c r="J123" s="25">
        <f t="shared" si="12"/>
        <v>0</v>
      </c>
      <c r="K123" s="32">
        <v>45</v>
      </c>
      <c r="L123" s="31"/>
      <c r="M123" s="25">
        <f t="shared" si="13"/>
        <v>0</v>
      </c>
      <c r="N123" s="32">
        <v>45</v>
      </c>
      <c r="O123" s="32"/>
      <c r="P123" s="25">
        <f t="shared" si="14"/>
        <v>0</v>
      </c>
      <c r="Q123" s="32">
        <v>45</v>
      </c>
      <c r="R123" s="32"/>
      <c r="S123" s="25">
        <f t="shared" si="15"/>
        <v>0</v>
      </c>
      <c r="T123" s="32">
        <v>45</v>
      </c>
      <c r="U123" s="32"/>
      <c r="V123" s="25">
        <f t="shared" si="19"/>
        <v>0</v>
      </c>
      <c r="W123" s="32">
        <v>45</v>
      </c>
      <c r="X123" s="32">
        <f t="shared" si="16"/>
        <v>0</v>
      </c>
      <c r="Y123" s="25">
        <f t="shared" si="17"/>
        <v>0</v>
      </c>
      <c r="AD123" s="26"/>
    </row>
    <row r="124" spans="1:30" x14ac:dyDescent="0.2">
      <c r="A124" s="24">
        <f t="shared" si="18"/>
        <v>6.7453687816160208</v>
      </c>
      <c r="B124" s="32">
        <v>45.5</v>
      </c>
      <c r="C124" s="32"/>
      <c r="D124" s="25">
        <f t="shared" si="10"/>
        <v>0</v>
      </c>
      <c r="E124" s="32">
        <v>45.5</v>
      </c>
      <c r="F124" s="8"/>
      <c r="G124" s="25">
        <f t="shared" si="11"/>
        <v>0</v>
      </c>
      <c r="H124" s="32">
        <v>45.5</v>
      </c>
      <c r="I124" s="32"/>
      <c r="J124" s="25">
        <f t="shared" si="12"/>
        <v>0</v>
      </c>
      <c r="K124" s="32">
        <v>45.5</v>
      </c>
      <c r="L124" s="31"/>
      <c r="M124" s="25">
        <f t="shared" si="13"/>
        <v>0</v>
      </c>
      <c r="N124" s="32">
        <v>45.5</v>
      </c>
      <c r="O124" s="32"/>
      <c r="P124" s="25">
        <f t="shared" si="14"/>
        <v>0</v>
      </c>
      <c r="Q124" s="32">
        <v>45.5</v>
      </c>
      <c r="R124" s="32"/>
      <c r="S124" s="25">
        <f t="shared" si="15"/>
        <v>0</v>
      </c>
      <c r="T124" s="32">
        <v>45.5</v>
      </c>
      <c r="U124" s="32"/>
      <c r="V124" s="25">
        <f t="shared" si="19"/>
        <v>0</v>
      </c>
      <c r="W124" s="32">
        <v>45.5</v>
      </c>
      <c r="X124" s="32">
        <f t="shared" si="16"/>
        <v>0</v>
      </c>
      <c r="Y124" s="25">
        <f t="shared" si="17"/>
        <v>0</v>
      </c>
      <c r="AD124" s="26"/>
    </row>
    <row r="125" spans="1:30" x14ac:dyDescent="0.2">
      <c r="A125" s="24">
        <f t="shared" si="18"/>
        <v>6.7823299831252681</v>
      </c>
      <c r="B125" s="32">
        <v>46</v>
      </c>
      <c r="C125" s="32"/>
      <c r="D125" s="25">
        <f t="shared" si="10"/>
        <v>0</v>
      </c>
      <c r="E125" s="32">
        <v>46</v>
      </c>
      <c r="F125" s="8"/>
      <c r="G125" s="25">
        <f t="shared" si="11"/>
        <v>0</v>
      </c>
      <c r="H125" s="32">
        <v>46</v>
      </c>
      <c r="I125" s="32"/>
      <c r="J125" s="25">
        <f t="shared" si="12"/>
        <v>0</v>
      </c>
      <c r="K125" s="32">
        <v>46</v>
      </c>
      <c r="L125" s="31"/>
      <c r="M125" s="25">
        <f t="shared" si="13"/>
        <v>0</v>
      </c>
      <c r="N125" s="32">
        <v>46</v>
      </c>
      <c r="O125" s="32"/>
      <c r="P125" s="25">
        <f t="shared" si="14"/>
        <v>0</v>
      </c>
      <c r="Q125" s="32">
        <v>46</v>
      </c>
      <c r="R125" s="32"/>
      <c r="S125" s="25">
        <f t="shared" si="15"/>
        <v>0</v>
      </c>
      <c r="T125" s="32">
        <v>46</v>
      </c>
      <c r="U125" s="32"/>
      <c r="V125" s="25">
        <f t="shared" si="19"/>
        <v>0</v>
      </c>
      <c r="W125" s="32">
        <v>46</v>
      </c>
      <c r="X125" s="32">
        <f t="shared" si="16"/>
        <v>0</v>
      </c>
      <c r="Y125" s="25">
        <f t="shared" si="17"/>
        <v>0</v>
      </c>
      <c r="AD125" s="26"/>
    </row>
    <row r="126" spans="1:30" x14ac:dyDescent="0.2">
      <c r="A126" s="24">
        <f t="shared" si="18"/>
        <v>6.8190908484929276</v>
      </c>
      <c r="B126" s="32">
        <v>46.5</v>
      </c>
      <c r="C126" s="32"/>
      <c r="D126" s="25">
        <f t="shared" si="10"/>
        <v>0</v>
      </c>
      <c r="E126" s="32">
        <v>46.5</v>
      </c>
      <c r="F126" s="8"/>
      <c r="G126" s="25">
        <f t="shared" si="11"/>
        <v>0</v>
      </c>
      <c r="H126" s="32">
        <v>46.5</v>
      </c>
      <c r="I126" s="32"/>
      <c r="J126" s="25">
        <f t="shared" si="12"/>
        <v>0</v>
      </c>
      <c r="K126" s="32">
        <v>46.5</v>
      </c>
      <c r="L126" s="31"/>
      <c r="M126" s="25">
        <f t="shared" si="13"/>
        <v>0</v>
      </c>
      <c r="N126" s="32">
        <v>46.5</v>
      </c>
      <c r="O126" s="32"/>
      <c r="P126" s="25">
        <f t="shared" si="14"/>
        <v>0</v>
      </c>
      <c r="Q126" s="32">
        <v>46.5</v>
      </c>
      <c r="R126" s="32"/>
      <c r="S126" s="25">
        <f t="shared" si="15"/>
        <v>0</v>
      </c>
      <c r="T126" s="32">
        <v>46.5</v>
      </c>
      <c r="U126" s="32"/>
      <c r="V126" s="25">
        <f t="shared" si="19"/>
        <v>0</v>
      </c>
      <c r="W126" s="32">
        <v>46.5</v>
      </c>
      <c r="X126" s="32">
        <f t="shared" si="16"/>
        <v>0</v>
      </c>
      <c r="Y126" s="25">
        <f t="shared" si="17"/>
        <v>0</v>
      </c>
      <c r="AD126" s="26"/>
    </row>
    <row r="127" spans="1:30" x14ac:dyDescent="0.2">
      <c r="A127" s="24">
        <f t="shared" si="18"/>
        <v>6.8556546004010439</v>
      </c>
      <c r="B127" s="32">
        <v>47</v>
      </c>
      <c r="C127" s="32"/>
      <c r="D127" s="25">
        <f t="shared" si="10"/>
        <v>0</v>
      </c>
      <c r="E127" s="32">
        <v>47</v>
      </c>
      <c r="F127" s="8"/>
      <c r="G127" s="25">
        <f t="shared" si="11"/>
        <v>0</v>
      </c>
      <c r="H127" s="32">
        <v>47</v>
      </c>
      <c r="I127" s="32"/>
      <c r="J127" s="25">
        <f t="shared" si="12"/>
        <v>0</v>
      </c>
      <c r="K127" s="32">
        <v>47</v>
      </c>
      <c r="L127" s="31"/>
      <c r="M127" s="25">
        <f t="shared" si="13"/>
        <v>0</v>
      </c>
      <c r="N127" s="32">
        <v>47</v>
      </c>
      <c r="O127" s="32"/>
      <c r="P127" s="25">
        <f t="shared" si="14"/>
        <v>0</v>
      </c>
      <c r="Q127" s="32">
        <v>47</v>
      </c>
      <c r="R127" s="32"/>
      <c r="S127" s="25">
        <f t="shared" si="15"/>
        <v>0</v>
      </c>
      <c r="T127" s="32">
        <v>47</v>
      </c>
      <c r="U127" s="32"/>
      <c r="V127" s="25">
        <f t="shared" si="19"/>
        <v>0</v>
      </c>
      <c r="W127" s="32">
        <v>47</v>
      </c>
      <c r="X127" s="32">
        <f t="shared" si="16"/>
        <v>0</v>
      </c>
      <c r="Y127" s="25">
        <f t="shared" si="17"/>
        <v>0</v>
      </c>
      <c r="AD127" s="26"/>
    </row>
    <row r="128" spans="1:30" x14ac:dyDescent="0.2">
      <c r="A128" s="24">
        <f t="shared" si="18"/>
        <v>6.8920243760451108</v>
      </c>
      <c r="B128" s="32">
        <v>47.5</v>
      </c>
      <c r="C128" s="32"/>
      <c r="D128" s="25">
        <f t="shared" si="10"/>
        <v>0</v>
      </c>
      <c r="E128" s="32">
        <v>47.5</v>
      </c>
      <c r="F128" s="8"/>
      <c r="G128" s="25">
        <f t="shared" si="11"/>
        <v>0</v>
      </c>
      <c r="H128" s="32">
        <v>47.5</v>
      </c>
      <c r="I128" s="32"/>
      <c r="J128" s="25">
        <f t="shared" si="12"/>
        <v>0</v>
      </c>
      <c r="K128" s="32">
        <v>47.5</v>
      </c>
      <c r="L128" s="31"/>
      <c r="M128" s="25">
        <f t="shared" si="13"/>
        <v>0</v>
      </c>
      <c r="N128" s="32">
        <v>47.5</v>
      </c>
      <c r="O128" s="32"/>
      <c r="P128" s="25">
        <f t="shared" si="14"/>
        <v>0</v>
      </c>
      <c r="Q128" s="32">
        <v>47.5</v>
      </c>
      <c r="R128" s="32"/>
      <c r="S128" s="25">
        <f t="shared" si="15"/>
        <v>0</v>
      </c>
      <c r="T128" s="32">
        <v>47.5</v>
      </c>
      <c r="U128" s="32"/>
      <c r="V128" s="25">
        <f t="shared" si="19"/>
        <v>0</v>
      </c>
      <c r="W128" s="32">
        <v>47.5</v>
      </c>
      <c r="X128" s="32">
        <f t="shared" si="16"/>
        <v>0</v>
      </c>
      <c r="Y128" s="25">
        <f t="shared" si="17"/>
        <v>0</v>
      </c>
      <c r="AD128" s="26"/>
    </row>
    <row r="129" spans="1:30" x14ac:dyDescent="0.2">
      <c r="A129" s="24">
        <f t="shared" si="18"/>
        <v>6.9282032302755088</v>
      </c>
      <c r="B129" s="32">
        <v>48</v>
      </c>
      <c r="C129" s="32"/>
      <c r="D129" s="25">
        <f t="shared" si="10"/>
        <v>0</v>
      </c>
      <c r="E129" s="32">
        <v>48</v>
      </c>
      <c r="F129" s="8"/>
      <c r="G129" s="25">
        <f t="shared" si="11"/>
        <v>0</v>
      </c>
      <c r="H129" s="32">
        <v>48</v>
      </c>
      <c r="I129" s="32"/>
      <c r="J129" s="25">
        <f t="shared" si="12"/>
        <v>0</v>
      </c>
      <c r="K129" s="32">
        <v>48</v>
      </c>
      <c r="L129" s="31"/>
      <c r="M129" s="25">
        <f t="shared" si="13"/>
        <v>0</v>
      </c>
      <c r="N129" s="32">
        <v>48</v>
      </c>
      <c r="O129" s="32"/>
      <c r="P129" s="25">
        <f t="shared" si="14"/>
        <v>0</v>
      </c>
      <c r="Q129" s="32">
        <v>48</v>
      </c>
      <c r="R129" s="32"/>
      <c r="S129" s="25">
        <f t="shared" si="15"/>
        <v>0</v>
      </c>
      <c r="T129" s="32">
        <v>48</v>
      </c>
      <c r="U129" s="32"/>
      <c r="V129" s="25">
        <f t="shared" si="19"/>
        <v>0</v>
      </c>
      <c r="W129" s="32">
        <v>48</v>
      </c>
      <c r="X129" s="32">
        <f t="shared" si="16"/>
        <v>0</v>
      </c>
      <c r="Y129" s="25">
        <f t="shared" si="17"/>
        <v>0</v>
      </c>
      <c r="AD129" s="26"/>
    </row>
    <row r="130" spans="1:30" x14ac:dyDescent="0.2">
      <c r="A130" s="24">
        <f t="shared" si="18"/>
        <v>6.9641941385920596</v>
      </c>
      <c r="B130" s="32">
        <v>48.5</v>
      </c>
      <c r="C130" s="32"/>
      <c r="D130" s="25">
        <f t="shared" si="10"/>
        <v>0</v>
      </c>
      <c r="E130" s="32">
        <v>48.5</v>
      </c>
      <c r="F130" s="8"/>
      <c r="G130" s="25">
        <f t="shared" si="11"/>
        <v>0</v>
      </c>
      <c r="H130" s="32">
        <v>48.5</v>
      </c>
      <c r="I130" s="32"/>
      <c r="J130" s="25">
        <f t="shared" si="12"/>
        <v>0</v>
      </c>
      <c r="K130" s="32">
        <v>48.5</v>
      </c>
      <c r="L130" s="31"/>
      <c r="M130" s="25">
        <f t="shared" si="13"/>
        <v>0</v>
      </c>
      <c r="N130" s="32">
        <v>48.5</v>
      </c>
      <c r="O130" s="32"/>
      <c r="P130" s="25">
        <f t="shared" si="14"/>
        <v>0</v>
      </c>
      <c r="Q130" s="32">
        <v>48.5</v>
      </c>
      <c r="R130" s="32"/>
      <c r="S130" s="25">
        <f t="shared" si="15"/>
        <v>0</v>
      </c>
      <c r="T130" s="32">
        <v>48.5</v>
      </c>
      <c r="U130" s="32"/>
      <c r="V130" s="25">
        <f t="shared" si="19"/>
        <v>0</v>
      </c>
      <c r="W130" s="32">
        <v>48.5</v>
      </c>
      <c r="X130" s="32">
        <f t="shared" si="16"/>
        <v>0</v>
      </c>
      <c r="Y130" s="25">
        <f t="shared" si="17"/>
        <v>0</v>
      </c>
      <c r="AD130" s="26"/>
    </row>
    <row r="131" spans="1:30" x14ac:dyDescent="0.2">
      <c r="A131" s="24">
        <f t="shared" si="18"/>
        <v>7</v>
      </c>
      <c r="B131" s="32">
        <v>49</v>
      </c>
      <c r="C131" s="32"/>
      <c r="D131" s="25">
        <f t="shared" si="10"/>
        <v>0</v>
      </c>
      <c r="E131" s="32">
        <v>49</v>
      </c>
      <c r="F131" s="8"/>
      <c r="G131" s="25">
        <f t="shared" si="11"/>
        <v>0</v>
      </c>
      <c r="H131" s="32">
        <v>49</v>
      </c>
      <c r="I131" s="32"/>
      <c r="J131" s="25">
        <f t="shared" si="12"/>
        <v>0</v>
      </c>
      <c r="K131" s="32">
        <v>49</v>
      </c>
      <c r="L131" s="31"/>
      <c r="M131" s="25">
        <f t="shared" si="13"/>
        <v>0</v>
      </c>
      <c r="N131" s="32">
        <v>49</v>
      </c>
      <c r="O131" s="32"/>
      <c r="P131" s="25">
        <f t="shared" si="14"/>
        <v>0</v>
      </c>
      <c r="Q131" s="32">
        <v>49</v>
      </c>
      <c r="R131" s="32"/>
      <c r="S131" s="25">
        <f t="shared" si="15"/>
        <v>0</v>
      </c>
      <c r="T131" s="32">
        <v>49</v>
      </c>
      <c r="U131" s="32"/>
      <c r="V131" s="25">
        <f t="shared" si="19"/>
        <v>0</v>
      </c>
      <c r="W131" s="32">
        <v>49</v>
      </c>
      <c r="X131" s="32">
        <f t="shared" si="16"/>
        <v>0</v>
      </c>
      <c r="Y131" s="25">
        <f t="shared" si="17"/>
        <v>0</v>
      </c>
      <c r="AD131" s="26"/>
    </row>
    <row r="132" spans="1:30" x14ac:dyDescent="0.2">
      <c r="A132" s="24">
        <f t="shared" si="18"/>
        <v>7.0356236397351442</v>
      </c>
      <c r="B132" s="32">
        <v>49.5</v>
      </c>
      <c r="C132" s="32"/>
      <c r="D132" s="25">
        <f t="shared" si="10"/>
        <v>0</v>
      </c>
      <c r="E132" s="32">
        <v>49.5</v>
      </c>
      <c r="F132" s="8"/>
      <c r="G132" s="25">
        <f t="shared" si="11"/>
        <v>0</v>
      </c>
      <c r="H132" s="32">
        <v>49.5</v>
      </c>
      <c r="I132" s="32"/>
      <c r="J132" s="25">
        <f t="shared" si="12"/>
        <v>0</v>
      </c>
      <c r="K132" s="32">
        <v>49.5</v>
      </c>
      <c r="L132" s="31"/>
      <c r="M132" s="25">
        <f t="shared" si="13"/>
        <v>0</v>
      </c>
      <c r="N132" s="32">
        <v>49.5</v>
      </c>
      <c r="O132" s="32"/>
      <c r="P132" s="25">
        <f t="shared" si="14"/>
        <v>0</v>
      </c>
      <c r="Q132" s="32">
        <v>49.5</v>
      </c>
      <c r="R132" s="32"/>
      <c r="S132" s="25">
        <f t="shared" si="15"/>
        <v>0</v>
      </c>
      <c r="T132" s="32">
        <v>49.5</v>
      </c>
      <c r="U132" s="32"/>
      <c r="V132" s="25">
        <f t="shared" si="19"/>
        <v>0</v>
      </c>
      <c r="W132" s="32">
        <v>49.5</v>
      </c>
      <c r="X132" s="32">
        <f t="shared" si="16"/>
        <v>0</v>
      </c>
      <c r="Y132" s="25">
        <f t="shared" si="17"/>
        <v>0</v>
      </c>
      <c r="AD132" s="26"/>
    </row>
    <row r="133" spans="1:30" x14ac:dyDescent="0.2">
      <c r="A133" s="24">
        <f t="shared" si="18"/>
        <v>7.0710678118654755</v>
      </c>
      <c r="B133" s="32">
        <v>50</v>
      </c>
      <c r="C133" s="32"/>
      <c r="D133" s="25">
        <f t="shared" ref="D133:D196" si="20">C133</f>
        <v>0</v>
      </c>
      <c r="E133" s="32">
        <v>50</v>
      </c>
      <c r="F133" s="8"/>
      <c r="G133" s="25">
        <f t="shared" ref="G133:G196" si="21">F133+$AB$2</f>
        <v>0</v>
      </c>
      <c r="H133" s="32">
        <v>50</v>
      </c>
      <c r="I133" s="32"/>
      <c r="J133" s="25">
        <f t="shared" ref="J133:J196" si="22">I133+$AB$3</f>
        <v>0</v>
      </c>
      <c r="K133" s="32">
        <v>50</v>
      </c>
      <c r="L133" s="31"/>
      <c r="M133" s="25">
        <f t="shared" ref="M133:M196" si="23">L133+$AB$4</f>
        <v>0</v>
      </c>
      <c r="N133" s="32">
        <v>50</v>
      </c>
      <c r="O133" s="32"/>
      <c r="P133" s="25">
        <f t="shared" ref="P133:P196" si="24">O133+$AB$5</f>
        <v>0</v>
      </c>
      <c r="Q133" s="32">
        <v>50</v>
      </c>
      <c r="R133" s="32"/>
      <c r="S133" s="25">
        <f t="shared" ref="S133:S196" si="25">R133+$AB$6</f>
        <v>0</v>
      </c>
      <c r="T133" s="32">
        <v>50</v>
      </c>
      <c r="U133" s="32"/>
      <c r="V133" s="25">
        <f t="shared" si="19"/>
        <v>0</v>
      </c>
      <c r="W133" s="32">
        <v>50</v>
      </c>
      <c r="X133" s="32">
        <f t="shared" ref="X133:X196" si="26">U133</f>
        <v>0</v>
      </c>
      <c r="Y133" s="25">
        <f t="shared" ref="Y133:Y196" si="27">X133+$AB$8</f>
        <v>0</v>
      </c>
      <c r="AD133" s="26"/>
    </row>
    <row r="134" spans="1:30" x14ac:dyDescent="0.2">
      <c r="A134" s="24">
        <f t="shared" ref="A134:A197" si="28">SQRT(B134)</f>
        <v>7.1063352017759476</v>
      </c>
      <c r="B134" s="32">
        <v>50.5</v>
      </c>
      <c r="C134" s="32"/>
      <c r="D134" s="25">
        <f t="shared" si="20"/>
        <v>0</v>
      </c>
      <c r="E134" s="32">
        <v>50.5</v>
      </c>
      <c r="F134" s="8"/>
      <c r="G134" s="25">
        <f t="shared" si="21"/>
        <v>0</v>
      </c>
      <c r="H134" s="32">
        <v>50.5</v>
      </c>
      <c r="I134" s="32"/>
      <c r="J134" s="25">
        <f t="shared" si="22"/>
        <v>0</v>
      </c>
      <c r="K134" s="32">
        <v>50.5</v>
      </c>
      <c r="L134" s="31"/>
      <c r="M134" s="25">
        <f t="shared" si="23"/>
        <v>0</v>
      </c>
      <c r="N134" s="32">
        <v>50.5</v>
      </c>
      <c r="O134" s="32"/>
      <c r="P134" s="25">
        <f t="shared" si="24"/>
        <v>0</v>
      </c>
      <c r="Q134" s="32">
        <v>50.5</v>
      </c>
      <c r="R134" s="32"/>
      <c r="S134" s="25">
        <f t="shared" si="25"/>
        <v>0</v>
      </c>
      <c r="T134" s="32">
        <v>50.5</v>
      </c>
      <c r="U134" s="32"/>
      <c r="V134" s="25">
        <f t="shared" ref="V134:V197" si="29">Y134</f>
        <v>0</v>
      </c>
      <c r="W134" s="32">
        <v>50.5</v>
      </c>
      <c r="X134" s="32">
        <f t="shared" si="26"/>
        <v>0</v>
      </c>
      <c r="Y134" s="25">
        <f t="shared" si="27"/>
        <v>0</v>
      </c>
      <c r="AD134" s="26"/>
    </row>
    <row r="135" spans="1:30" x14ac:dyDescent="0.2">
      <c r="A135" s="24">
        <f t="shared" si="28"/>
        <v>7.1414284285428504</v>
      </c>
      <c r="B135" s="32">
        <v>51</v>
      </c>
      <c r="C135" s="32"/>
      <c r="D135" s="25">
        <f t="shared" si="20"/>
        <v>0</v>
      </c>
      <c r="E135" s="32">
        <v>51</v>
      </c>
      <c r="F135" s="8"/>
      <c r="G135" s="25">
        <f t="shared" si="21"/>
        <v>0</v>
      </c>
      <c r="H135" s="32">
        <v>51</v>
      </c>
      <c r="I135" s="32"/>
      <c r="J135" s="25">
        <f t="shared" si="22"/>
        <v>0</v>
      </c>
      <c r="K135" s="32">
        <v>51</v>
      </c>
      <c r="L135" s="31"/>
      <c r="M135" s="25">
        <f t="shared" si="23"/>
        <v>0</v>
      </c>
      <c r="N135" s="32">
        <v>51</v>
      </c>
      <c r="O135" s="32"/>
      <c r="P135" s="25">
        <f t="shared" si="24"/>
        <v>0</v>
      </c>
      <c r="Q135" s="32">
        <v>51</v>
      </c>
      <c r="R135" s="32"/>
      <c r="S135" s="25">
        <f t="shared" si="25"/>
        <v>0</v>
      </c>
      <c r="T135" s="32">
        <v>51</v>
      </c>
      <c r="U135" s="32"/>
      <c r="V135" s="25">
        <f t="shared" si="29"/>
        <v>0</v>
      </c>
      <c r="W135" s="32">
        <v>51</v>
      </c>
      <c r="X135" s="32">
        <f t="shared" si="26"/>
        <v>0</v>
      </c>
      <c r="Y135" s="25">
        <f t="shared" si="27"/>
        <v>0</v>
      </c>
      <c r="AD135" s="26"/>
    </row>
    <row r="136" spans="1:30" x14ac:dyDescent="0.2">
      <c r="A136" s="24">
        <f t="shared" si="28"/>
        <v>7.1763500472036617</v>
      </c>
      <c r="B136" s="32">
        <v>51.5</v>
      </c>
      <c r="C136" s="32"/>
      <c r="D136" s="25">
        <f t="shared" si="20"/>
        <v>0</v>
      </c>
      <c r="E136" s="32">
        <v>51.5</v>
      </c>
      <c r="F136" s="8"/>
      <c r="G136" s="25">
        <f t="shared" si="21"/>
        <v>0</v>
      </c>
      <c r="H136" s="32">
        <v>51.5</v>
      </c>
      <c r="I136" s="32"/>
      <c r="J136" s="25">
        <f t="shared" si="22"/>
        <v>0</v>
      </c>
      <c r="K136" s="32">
        <v>51.5</v>
      </c>
      <c r="L136" s="31"/>
      <c r="M136" s="25">
        <f t="shared" si="23"/>
        <v>0</v>
      </c>
      <c r="N136" s="32">
        <v>51.5</v>
      </c>
      <c r="O136" s="32"/>
      <c r="P136" s="25">
        <f t="shared" si="24"/>
        <v>0</v>
      </c>
      <c r="Q136" s="32">
        <v>51.5</v>
      </c>
      <c r="R136" s="32"/>
      <c r="S136" s="25">
        <f t="shared" si="25"/>
        <v>0</v>
      </c>
      <c r="T136" s="32">
        <v>51.5</v>
      </c>
      <c r="U136" s="32"/>
      <c r="V136" s="25">
        <f t="shared" si="29"/>
        <v>0</v>
      </c>
      <c r="W136" s="32">
        <v>51.5</v>
      </c>
      <c r="X136" s="32">
        <f t="shared" si="26"/>
        <v>0</v>
      </c>
      <c r="Y136" s="25">
        <f t="shared" si="27"/>
        <v>0</v>
      </c>
      <c r="AD136" s="26"/>
    </row>
    <row r="137" spans="1:30" x14ac:dyDescent="0.2">
      <c r="A137" s="24">
        <f t="shared" si="28"/>
        <v>7.2111025509279782</v>
      </c>
      <c r="B137" s="32">
        <v>52</v>
      </c>
      <c r="C137" s="32"/>
      <c r="D137" s="25">
        <f t="shared" si="20"/>
        <v>0</v>
      </c>
      <c r="E137" s="32">
        <v>52</v>
      </c>
      <c r="F137" s="8"/>
      <c r="G137" s="25">
        <f t="shared" si="21"/>
        <v>0</v>
      </c>
      <c r="H137" s="32">
        <v>52</v>
      </c>
      <c r="I137" s="32"/>
      <c r="J137" s="25">
        <f t="shared" si="22"/>
        <v>0</v>
      </c>
      <c r="K137" s="32">
        <v>52</v>
      </c>
      <c r="L137" s="31"/>
      <c r="M137" s="25">
        <f t="shared" si="23"/>
        <v>0</v>
      </c>
      <c r="N137" s="32">
        <v>52</v>
      </c>
      <c r="O137" s="32"/>
      <c r="P137" s="25">
        <f t="shared" si="24"/>
        <v>0</v>
      </c>
      <c r="Q137" s="32">
        <v>52</v>
      </c>
      <c r="R137" s="32"/>
      <c r="S137" s="25">
        <f t="shared" si="25"/>
        <v>0</v>
      </c>
      <c r="T137" s="32">
        <v>52</v>
      </c>
      <c r="U137" s="32"/>
      <c r="V137" s="25">
        <f t="shared" si="29"/>
        <v>0</v>
      </c>
      <c r="W137" s="32">
        <v>52</v>
      </c>
      <c r="X137" s="32">
        <f t="shared" si="26"/>
        <v>0</v>
      </c>
      <c r="Y137" s="25">
        <f t="shared" si="27"/>
        <v>0</v>
      </c>
      <c r="AD137" s="26"/>
    </row>
    <row r="138" spans="1:30" x14ac:dyDescent="0.2">
      <c r="A138" s="24">
        <f t="shared" si="28"/>
        <v>7.245688373094719</v>
      </c>
      <c r="B138" s="32">
        <v>52.5</v>
      </c>
      <c r="C138" s="32"/>
      <c r="D138" s="25">
        <f t="shared" si="20"/>
        <v>0</v>
      </c>
      <c r="E138" s="32">
        <v>52.5</v>
      </c>
      <c r="F138" s="8"/>
      <c r="G138" s="25">
        <f t="shared" si="21"/>
        <v>0</v>
      </c>
      <c r="H138" s="32">
        <v>52.5</v>
      </c>
      <c r="I138" s="32"/>
      <c r="J138" s="25">
        <f t="shared" si="22"/>
        <v>0</v>
      </c>
      <c r="K138" s="32">
        <v>52.5</v>
      </c>
      <c r="L138" s="31"/>
      <c r="M138" s="25">
        <f t="shared" si="23"/>
        <v>0</v>
      </c>
      <c r="N138" s="32">
        <v>52.5</v>
      </c>
      <c r="O138" s="32"/>
      <c r="P138" s="25">
        <f t="shared" si="24"/>
        <v>0</v>
      </c>
      <c r="Q138" s="32">
        <v>52.5</v>
      </c>
      <c r="R138" s="32"/>
      <c r="S138" s="25">
        <f t="shared" si="25"/>
        <v>0</v>
      </c>
      <c r="T138" s="32">
        <v>52.5</v>
      </c>
      <c r="U138" s="32"/>
      <c r="V138" s="25">
        <f t="shared" si="29"/>
        <v>0</v>
      </c>
      <c r="W138" s="32">
        <v>52.5</v>
      </c>
      <c r="X138" s="32">
        <f t="shared" si="26"/>
        <v>0</v>
      </c>
      <c r="Y138" s="25">
        <f t="shared" si="27"/>
        <v>0</v>
      </c>
      <c r="AD138" s="26"/>
    </row>
    <row r="139" spans="1:30" x14ac:dyDescent="0.2">
      <c r="A139" s="24">
        <f t="shared" si="28"/>
        <v>7.2801098892805181</v>
      </c>
      <c r="B139" s="32">
        <v>53</v>
      </c>
      <c r="C139" s="32"/>
      <c r="D139" s="25">
        <f t="shared" si="20"/>
        <v>0</v>
      </c>
      <c r="E139" s="32">
        <v>53</v>
      </c>
      <c r="F139" s="8"/>
      <c r="G139" s="25">
        <f t="shared" si="21"/>
        <v>0</v>
      </c>
      <c r="H139" s="32">
        <v>53</v>
      </c>
      <c r="I139" s="32"/>
      <c r="J139" s="25">
        <f t="shared" si="22"/>
        <v>0</v>
      </c>
      <c r="K139" s="32">
        <v>53</v>
      </c>
      <c r="L139" s="31"/>
      <c r="M139" s="25">
        <f t="shared" si="23"/>
        <v>0</v>
      </c>
      <c r="N139" s="32">
        <v>53</v>
      </c>
      <c r="O139" s="32"/>
      <c r="P139" s="25">
        <f t="shared" si="24"/>
        <v>0</v>
      </c>
      <c r="Q139" s="32">
        <v>53</v>
      </c>
      <c r="R139" s="32"/>
      <c r="S139" s="25">
        <f t="shared" si="25"/>
        <v>0</v>
      </c>
      <c r="T139" s="32">
        <v>53</v>
      </c>
      <c r="U139" s="32"/>
      <c r="V139" s="25">
        <f t="shared" si="29"/>
        <v>0</v>
      </c>
      <c r="W139" s="32">
        <v>53</v>
      </c>
      <c r="X139" s="32">
        <f t="shared" si="26"/>
        <v>0</v>
      </c>
      <c r="Y139" s="25">
        <f t="shared" si="27"/>
        <v>0</v>
      </c>
      <c r="AD139" s="26"/>
    </row>
    <row r="140" spans="1:30" x14ac:dyDescent="0.2">
      <c r="A140" s="24">
        <f t="shared" si="28"/>
        <v>7.3143694191638966</v>
      </c>
      <c r="B140" s="32">
        <v>53.5</v>
      </c>
      <c r="C140" s="32"/>
      <c r="D140" s="25">
        <f t="shared" si="20"/>
        <v>0</v>
      </c>
      <c r="E140" s="32">
        <v>53.5</v>
      </c>
      <c r="F140" s="8"/>
      <c r="G140" s="25">
        <f t="shared" si="21"/>
        <v>0</v>
      </c>
      <c r="H140" s="32">
        <v>53.5</v>
      </c>
      <c r="I140" s="32"/>
      <c r="J140" s="25">
        <f t="shared" si="22"/>
        <v>0</v>
      </c>
      <c r="K140" s="32">
        <v>53.5</v>
      </c>
      <c r="L140" s="31"/>
      <c r="M140" s="25">
        <f t="shared" si="23"/>
        <v>0</v>
      </c>
      <c r="N140" s="32">
        <v>53.5</v>
      </c>
      <c r="O140" s="32"/>
      <c r="P140" s="25">
        <f t="shared" si="24"/>
        <v>0</v>
      </c>
      <c r="Q140" s="32">
        <v>53.5</v>
      </c>
      <c r="R140" s="32"/>
      <c r="S140" s="25">
        <f t="shared" si="25"/>
        <v>0</v>
      </c>
      <c r="T140" s="32">
        <v>53.5</v>
      </c>
      <c r="U140" s="32"/>
      <c r="V140" s="25">
        <f t="shared" si="29"/>
        <v>0</v>
      </c>
      <c r="W140" s="32">
        <v>53.5</v>
      </c>
      <c r="X140" s="32">
        <f t="shared" si="26"/>
        <v>0</v>
      </c>
      <c r="Y140" s="25">
        <f t="shared" si="27"/>
        <v>0</v>
      </c>
      <c r="AD140" s="26"/>
    </row>
    <row r="141" spans="1:30" x14ac:dyDescent="0.2">
      <c r="A141" s="24">
        <f t="shared" si="28"/>
        <v>7.3484692283495345</v>
      </c>
      <c r="B141" s="32">
        <v>54</v>
      </c>
      <c r="C141" s="32"/>
      <c r="D141" s="25">
        <f t="shared" si="20"/>
        <v>0</v>
      </c>
      <c r="E141" s="32">
        <v>54</v>
      </c>
      <c r="F141" s="8"/>
      <c r="G141" s="25">
        <f t="shared" si="21"/>
        <v>0</v>
      </c>
      <c r="H141" s="32">
        <v>54</v>
      </c>
      <c r="I141" s="32"/>
      <c r="J141" s="25">
        <f t="shared" si="22"/>
        <v>0</v>
      </c>
      <c r="K141" s="32">
        <v>54</v>
      </c>
      <c r="L141" s="31"/>
      <c r="M141" s="25">
        <f t="shared" si="23"/>
        <v>0</v>
      </c>
      <c r="N141" s="32">
        <v>54</v>
      </c>
      <c r="O141" s="32"/>
      <c r="P141" s="25">
        <f t="shared" si="24"/>
        <v>0</v>
      </c>
      <c r="Q141" s="32">
        <v>54</v>
      </c>
      <c r="R141" s="32"/>
      <c r="S141" s="25">
        <f t="shared" si="25"/>
        <v>0</v>
      </c>
      <c r="T141" s="32">
        <v>54</v>
      </c>
      <c r="U141" s="32"/>
      <c r="V141" s="25">
        <f t="shared" si="29"/>
        <v>0</v>
      </c>
      <c r="W141" s="32">
        <v>54</v>
      </c>
      <c r="X141" s="32">
        <f t="shared" si="26"/>
        <v>0</v>
      </c>
      <c r="Y141" s="25">
        <f t="shared" si="27"/>
        <v>0</v>
      </c>
      <c r="AD141" s="26"/>
    </row>
    <row r="142" spans="1:30" x14ac:dyDescent="0.2">
      <c r="A142" s="24">
        <f t="shared" si="28"/>
        <v>7.3824115301167001</v>
      </c>
      <c r="B142" s="32">
        <v>54.5</v>
      </c>
      <c r="C142" s="32"/>
      <c r="D142" s="25">
        <f t="shared" si="20"/>
        <v>0</v>
      </c>
      <c r="E142" s="32">
        <v>54.5</v>
      </c>
      <c r="F142" s="8"/>
      <c r="G142" s="25">
        <f t="shared" si="21"/>
        <v>0</v>
      </c>
      <c r="H142" s="32">
        <v>54.5</v>
      </c>
      <c r="I142" s="32"/>
      <c r="J142" s="25">
        <f t="shared" si="22"/>
        <v>0</v>
      </c>
      <c r="K142" s="32">
        <v>54.5</v>
      </c>
      <c r="L142" s="31"/>
      <c r="M142" s="25">
        <f t="shared" si="23"/>
        <v>0</v>
      </c>
      <c r="N142" s="32">
        <v>54.5</v>
      </c>
      <c r="O142" s="32"/>
      <c r="P142" s="25">
        <f t="shared" si="24"/>
        <v>0</v>
      </c>
      <c r="Q142" s="32">
        <v>54.5</v>
      </c>
      <c r="R142" s="32"/>
      <c r="S142" s="25">
        <f t="shared" si="25"/>
        <v>0</v>
      </c>
      <c r="T142" s="32">
        <v>54.5</v>
      </c>
      <c r="U142" s="32"/>
      <c r="V142" s="25">
        <f t="shared" si="29"/>
        <v>0</v>
      </c>
      <c r="W142" s="32">
        <v>54.5</v>
      </c>
      <c r="X142" s="32">
        <f t="shared" si="26"/>
        <v>0</v>
      </c>
      <c r="Y142" s="25">
        <f t="shared" si="27"/>
        <v>0</v>
      </c>
      <c r="AD142" s="26"/>
    </row>
    <row r="143" spans="1:30" x14ac:dyDescent="0.2">
      <c r="A143" s="24">
        <f t="shared" si="28"/>
        <v>7.416198487095663</v>
      </c>
      <c r="B143" s="32">
        <v>55</v>
      </c>
      <c r="C143" s="32"/>
      <c r="D143" s="25">
        <f t="shared" si="20"/>
        <v>0</v>
      </c>
      <c r="E143" s="32">
        <v>55</v>
      </c>
      <c r="F143" s="8"/>
      <c r="G143" s="25">
        <f t="shared" si="21"/>
        <v>0</v>
      </c>
      <c r="H143" s="32">
        <v>55</v>
      </c>
      <c r="I143" s="32"/>
      <c r="J143" s="25">
        <f t="shared" si="22"/>
        <v>0</v>
      </c>
      <c r="K143" s="32">
        <v>55</v>
      </c>
      <c r="L143" s="31"/>
      <c r="M143" s="25">
        <f t="shared" si="23"/>
        <v>0</v>
      </c>
      <c r="N143" s="32">
        <v>55</v>
      </c>
      <c r="O143" s="32"/>
      <c r="P143" s="25">
        <f t="shared" si="24"/>
        <v>0</v>
      </c>
      <c r="Q143" s="32">
        <v>55</v>
      </c>
      <c r="R143" s="32"/>
      <c r="S143" s="25">
        <f t="shared" si="25"/>
        <v>0</v>
      </c>
      <c r="T143" s="32">
        <v>55</v>
      </c>
      <c r="U143" s="32"/>
      <c r="V143" s="25">
        <f t="shared" si="29"/>
        <v>0</v>
      </c>
      <c r="W143" s="32">
        <v>55</v>
      </c>
      <c r="X143" s="32">
        <f t="shared" si="26"/>
        <v>0</v>
      </c>
      <c r="Y143" s="25">
        <f t="shared" si="27"/>
        <v>0</v>
      </c>
      <c r="AD143" s="26"/>
    </row>
    <row r="144" spans="1:30" x14ac:dyDescent="0.2">
      <c r="A144" s="24">
        <f t="shared" si="28"/>
        <v>7.4498322128756698</v>
      </c>
      <c r="B144" s="32">
        <v>55.5</v>
      </c>
      <c r="C144" s="32"/>
      <c r="D144" s="25">
        <f t="shared" si="20"/>
        <v>0</v>
      </c>
      <c r="E144" s="32">
        <v>55.5</v>
      </c>
      <c r="F144" s="8"/>
      <c r="G144" s="25">
        <f t="shared" si="21"/>
        <v>0</v>
      </c>
      <c r="H144" s="32">
        <v>55.5</v>
      </c>
      <c r="I144" s="32"/>
      <c r="J144" s="25">
        <f t="shared" si="22"/>
        <v>0</v>
      </c>
      <c r="K144" s="32">
        <v>55.5</v>
      </c>
      <c r="L144" s="31"/>
      <c r="M144" s="25">
        <f t="shared" si="23"/>
        <v>0</v>
      </c>
      <c r="N144" s="32">
        <v>55.5</v>
      </c>
      <c r="O144" s="32"/>
      <c r="P144" s="25">
        <f t="shared" si="24"/>
        <v>0</v>
      </c>
      <c r="Q144" s="32">
        <v>55.5</v>
      </c>
      <c r="R144" s="32"/>
      <c r="S144" s="25">
        <f t="shared" si="25"/>
        <v>0</v>
      </c>
      <c r="T144" s="32">
        <v>55.5</v>
      </c>
      <c r="U144" s="32"/>
      <c r="V144" s="25">
        <f t="shared" si="29"/>
        <v>0</v>
      </c>
      <c r="W144" s="32">
        <v>55.5</v>
      </c>
      <c r="X144" s="32">
        <f t="shared" si="26"/>
        <v>0</v>
      </c>
      <c r="Y144" s="25">
        <f t="shared" si="27"/>
        <v>0</v>
      </c>
      <c r="AD144" s="26"/>
    </row>
    <row r="145" spans="1:30" x14ac:dyDescent="0.2">
      <c r="A145" s="24">
        <f t="shared" si="28"/>
        <v>7.4833147735478827</v>
      </c>
      <c r="B145" s="32">
        <v>56</v>
      </c>
      <c r="C145" s="32"/>
      <c r="D145" s="25">
        <f t="shared" si="20"/>
        <v>0</v>
      </c>
      <c r="E145" s="32">
        <v>56</v>
      </c>
      <c r="F145" s="8"/>
      <c r="G145" s="25">
        <f t="shared" si="21"/>
        <v>0</v>
      </c>
      <c r="H145" s="32">
        <v>56</v>
      </c>
      <c r="I145" s="32"/>
      <c r="J145" s="25">
        <f t="shared" si="22"/>
        <v>0</v>
      </c>
      <c r="K145" s="32">
        <v>56</v>
      </c>
      <c r="L145" s="31"/>
      <c r="M145" s="25">
        <f t="shared" si="23"/>
        <v>0</v>
      </c>
      <c r="N145" s="32">
        <v>56</v>
      </c>
      <c r="O145" s="32"/>
      <c r="P145" s="25">
        <f t="shared" si="24"/>
        <v>0</v>
      </c>
      <c r="Q145" s="32">
        <v>56</v>
      </c>
      <c r="R145" s="32"/>
      <c r="S145" s="25">
        <f t="shared" si="25"/>
        <v>0</v>
      </c>
      <c r="T145" s="32">
        <v>56</v>
      </c>
      <c r="U145" s="32"/>
      <c r="V145" s="25">
        <f t="shared" si="29"/>
        <v>0</v>
      </c>
      <c r="W145" s="32">
        <v>56</v>
      </c>
      <c r="X145" s="32">
        <f t="shared" si="26"/>
        <v>0</v>
      </c>
      <c r="Y145" s="25">
        <f t="shared" si="27"/>
        <v>0</v>
      </c>
      <c r="AB145" s="1">
        <v>49</v>
      </c>
      <c r="AC145" s="1">
        <v>7</v>
      </c>
      <c r="AD145" s="26">
        <v>1.0595791480489869</v>
      </c>
    </row>
    <row r="146" spans="1:30" x14ac:dyDescent="0.2">
      <c r="A146" s="24">
        <f t="shared" si="28"/>
        <v>7.5166481891864541</v>
      </c>
      <c r="B146" s="32">
        <v>56.5</v>
      </c>
      <c r="C146" s="32"/>
      <c r="D146" s="25">
        <f t="shared" si="20"/>
        <v>0</v>
      </c>
      <c r="E146" s="32">
        <v>56.5</v>
      </c>
      <c r="F146" s="8"/>
      <c r="G146" s="25">
        <f t="shared" si="21"/>
        <v>0</v>
      </c>
      <c r="H146" s="32">
        <v>56.5</v>
      </c>
      <c r="I146" s="32"/>
      <c r="J146" s="25">
        <f t="shared" si="22"/>
        <v>0</v>
      </c>
      <c r="K146" s="32">
        <v>56.5</v>
      </c>
      <c r="L146" s="31"/>
      <c r="M146" s="25">
        <f t="shared" si="23"/>
        <v>0</v>
      </c>
      <c r="N146" s="32">
        <v>56.5</v>
      </c>
      <c r="O146" s="32"/>
      <c r="P146" s="25">
        <f t="shared" si="24"/>
        <v>0</v>
      </c>
      <c r="Q146" s="32">
        <v>56.5</v>
      </c>
      <c r="R146" s="32"/>
      <c r="S146" s="25">
        <f t="shared" si="25"/>
        <v>0</v>
      </c>
      <c r="T146" s="32">
        <v>56.5</v>
      </c>
      <c r="U146" s="32"/>
      <c r="V146" s="25">
        <f t="shared" si="29"/>
        <v>0</v>
      </c>
      <c r="W146" s="32">
        <v>56.5</v>
      </c>
      <c r="X146" s="32">
        <f t="shared" si="26"/>
        <v>0</v>
      </c>
      <c r="Y146" s="25">
        <f t="shared" si="27"/>
        <v>0</v>
      </c>
      <c r="AB146" s="1">
        <v>64</v>
      </c>
      <c r="AC146" s="1">
        <v>8</v>
      </c>
      <c r="AD146" s="26">
        <v>1.0905654636382094</v>
      </c>
    </row>
    <row r="147" spans="1:30" x14ac:dyDescent="0.2">
      <c r="A147" s="24">
        <f t="shared" si="28"/>
        <v>7.5498344352707498</v>
      </c>
      <c r="B147" s="32">
        <v>57</v>
      </c>
      <c r="C147" s="32"/>
      <c r="D147" s="25">
        <f t="shared" si="20"/>
        <v>0</v>
      </c>
      <c r="E147" s="32">
        <v>57</v>
      </c>
      <c r="F147" s="8"/>
      <c r="G147" s="25">
        <f t="shared" si="21"/>
        <v>0</v>
      </c>
      <c r="H147" s="32">
        <v>57</v>
      </c>
      <c r="I147" s="32"/>
      <c r="J147" s="25">
        <f t="shared" si="22"/>
        <v>0</v>
      </c>
      <c r="K147" s="32">
        <v>57</v>
      </c>
      <c r="L147" s="31"/>
      <c r="M147" s="25">
        <f t="shared" si="23"/>
        <v>0</v>
      </c>
      <c r="N147" s="32">
        <v>57</v>
      </c>
      <c r="O147" s="32"/>
      <c r="P147" s="25">
        <f t="shared" si="24"/>
        <v>0</v>
      </c>
      <c r="Q147" s="32">
        <v>57</v>
      </c>
      <c r="R147" s="32"/>
      <c r="S147" s="25">
        <f t="shared" si="25"/>
        <v>0</v>
      </c>
      <c r="T147" s="32">
        <v>57</v>
      </c>
      <c r="U147" s="32"/>
      <c r="V147" s="25">
        <f t="shared" si="29"/>
        <v>0</v>
      </c>
      <c r="W147" s="32">
        <v>57</v>
      </c>
      <c r="X147" s="32">
        <f t="shared" si="26"/>
        <v>0</v>
      </c>
      <c r="Y147" s="25">
        <f t="shared" si="27"/>
        <v>0</v>
      </c>
      <c r="AB147" s="1">
        <v>81</v>
      </c>
      <c r="AC147" s="1">
        <v>9</v>
      </c>
      <c r="AD147" s="26">
        <v>1.0945623172268331</v>
      </c>
    </row>
    <row r="148" spans="1:30" x14ac:dyDescent="0.2">
      <c r="A148" s="24">
        <f t="shared" si="28"/>
        <v>7.5828754440515507</v>
      </c>
      <c r="B148" s="32">
        <v>57.5</v>
      </c>
      <c r="C148" s="32"/>
      <c r="D148" s="25">
        <f t="shared" si="20"/>
        <v>0</v>
      </c>
      <c r="E148" s="32">
        <v>57.5</v>
      </c>
      <c r="F148" s="8"/>
      <c r="G148" s="25">
        <f t="shared" si="21"/>
        <v>0</v>
      </c>
      <c r="H148" s="32">
        <v>57.5</v>
      </c>
      <c r="I148" s="32"/>
      <c r="J148" s="25">
        <f t="shared" si="22"/>
        <v>0</v>
      </c>
      <c r="K148" s="32">
        <v>57.5</v>
      </c>
      <c r="L148" s="31"/>
      <c r="M148" s="25">
        <f t="shared" si="23"/>
        <v>0</v>
      </c>
      <c r="N148" s="32">
        <v>57.5</v>
      </c>
      <c r="O148" s="32"/>
      <c r="P148" s="25">
        <f t="shared" si="24"/>
        <v>0</v>
      </c>
      <c r="Q148" s="32">
        <v>57.5</v>
      </c>
      <c r="R148" s="32"/>
      <c r="S148" s="25">
        <f t="shared" si="25"/>
        <v>0</v>
      </c>
      <c r="T148" s="32">
        <v>57.5</v>
      </c>
      <c r="U148" s="32"/>
      <c r="V148" s="25">
        <f t="shared" si="29"/>
        <v>0</v>
      </c>
      <c r="W148" s="32">
        <v>57.5</v>
      </c>
      <c r="X148" s="32">
        <f t="shared" si="26"/>
        <v>0</v>
      </c>
      <c r="Y148" s="25">
        <f t="shared" si="27"/>
        <v>0</v>
      </c>
      <c r="AB148" s="1">
        <v>100</v>
      </c>
      <c r="AC148" s="1">
        <v>10</v>
      </c>
      <c r="AD148" s="26">
        <v>1.0982819302914502</v>
      </c>
    </row>
    <row r="149" spans="1:30" x14ac:dyDescent="0.2">
      <c r="A149" s="24">
        <f t="shared" si="28"/>
        <v>7.6157731058639087</v>
      </c>
      <c r="B149" s="32">
        <v>58</v>
      </c>
      <c r="C149" s="32"/>
      <c r="D149" s="25">
        <f t="shared" si="20"/>
        <v>0</v>
      </c>
      <c r="E149" s="32">
        <v>58</v>
      </c>
      <c r="F149" s="8"/>
      <c r="G149" s="25">
        <f t="shared" si="21"/>
        <v>0</v>
      </c>
      <c r="H149" s="32">
        <v>58</v>
      </c>
      <c r="I149" s="32"/>
      <c r="J149" s="25">
        <f t="shared" si="22"/>
        <v>0</v>
      </c>
      <c r="K149" s="32">
        <v>58</v>
      </c>
      <c r="L149" s="31"/>
      <c r="M149" s="25">
        <f t="shared" si="23"/>
        <v>0</v>
      </c>
      <c r="N149" s="32">
        <v>58</v>
      </c>
      <c r="O149" s="32"/>
      <c r="P149" s="25">
        <f t="shared" si="24"/>
        <v>0</v>
      </c>
      <c r="Q149" s="32">
        <v>58</v>
      </c>
      <c r="R149" s="32"/>
      <c r="S149" s="25">
        <f t="shared" si="25"/>
        <v>0</v>
      </c>
      <c r="T149" s="32">
        <v>58</v>
      </c>
      <c r="U149" s="32"/>
      <c r="V149" s="25">
        <f t="shared" si="29"/>
        <v>0</v>
      </c>
      <c r="W149" s="32">
        <v>58</v>
      </c>
      <c r="X149" s="32">
        <f t="shared" si="26"/>
        <v>0</v>
      </c>
      <c r="Y149" s="25">
        <f t="shared" si="27"/>
        <v>0</v>
      </c>
      <c r="AB149" s="1">
        <v>120</v>
      </c>
      <c r="AC149" s="1">
        <v>10.954451150103322</v>
      </c>
      <c r="AD149" s="26">
        <v>1.1017603566679277</v>
      </c>
    </row>
    <row r="150" spans="1:30" x14ac:dyDescent="0.2">
      <c r="A150" s="24">
        <f t="shared" si="28"/>
        <v>7.6485292703891776</v>
      </c>
      <c r="B150" s="32">
        <v>58.5</v>
      </c>
      <c r="C150" s="32"/>
      <c r="D150" s="25">
        <f t="shared" si="20"/>
        <v>0</v>
      </c>
      <c r="E150" s="32">
        <v>58.5</v>
      </c>
      <c r="F150" s="8"/>
      <c r="G150" s="25">
        <f t="shared" si="21"/>
        <v>0</v>
      </c>
      <c r="H150" s="32">
        <v>58.5</v>
      </c>
      <c r="I150" s="32"/>
      <c r="J150" s="25">
        <f t="shared" si="22"/>
        <v>0</v>
      </c>
      <c r="K150" s="32">
        <v>58.5</v>
      </c>
      <c r="L150" s="31"/>
      <c r="M150" s="25">
        <f t="shared" si="23"/>
        <v>0</v>
      </c>
      <c r="N150" s="32">
        <v>58.5</v>
      </c>
      <c r="O150" s="32"/>
      <c r="P150" s="25">
        <f t="shared" si="24"/>
        <v>0</v>
      </c>
      <c r="Q150" s="32">
        <v>58.5</v>
      </c>
      <c r="R150" s="32"/>
      <c r="S150" s="25">
        <f t="shared" si="25"/>
        <v>0</v>
      </c>
      <c r="T150" s="32">
        <v>58.5</v>
      </c>
      <c r="U150" s="32"/>
      <c r="V150" s="25">
        <f t="shared" si="29"/>
        <v>0</v>
      </c>
      <c r="W150" s="32">
        <v>58.5</v>
      </c>
      <c r="X150" s="32">
        <f t="shared" si="26"/>
        <v>0</v>
      </c>
      <c r="Y150" s="25">
        <f t="shared" si="27"/>
        <v>0</v>
      </c>
      <c r="AB150" s="1">
        <v>144</v>
      </c>
      <c r="AC150" s="1">
        <v>12</v>
      </c>
      <c r="AD150" s="26">
        <v>1.1050270326112477</v>
      </c>
    </row>
    <row r="151" spans="1:30" x14ac:dyDescent="0.2">
      <c r="A151" s="24">
        <f t="shared" si="28"/>
        <v>7.6811457478686078</v>
      </c>
      <c r="B151" s="32">
        <v>59</v>
      </c>
      <c r="C151" s="32"/>
      <c r="D151" s="25">
        <f t="shared" si="20"/>
        <v>0</v>
      </c>
      <c r="E151" s="32">
        <v>59</v>
      </c>
      <c r="F151" s="8"/>
      <c r="G151" s="25">
        <f t="shared" si="21"/>
        <v>0</v>
      </c>
      <c r="H151" s="32">
        <v>59</v>
      </c>
      <c r="I151" s="32"/>
      <c r="J151" s="25">
        <f t="shared" si="22"/>
        <v>0</v>
      </c>
      <c r="K151" s="32">
        <v>59</v>
      </c>
      <c r="L151" s="31"/>
      <c r="M151" s="25">
        <f t="shared" si="23"/>
        <v>0</v>
      </c>
      <c r="N151" s="32">
        <v>59</v>
      </c>
      <c r="O151" s="32"/>
      <c r="P151" s="25">
        <f t="shared" si="24"/>
        <v>0</v>
      </c>
      <c r="Q151" s="32">
        <v>59</v>
      </c>
      <c r="R151" s="32"/>
      <c r="S151" s="25">
        <f t="shared" si="25"/>
        <v>0</v>
      </c>
      <c r="T151" s="32">
        <v>59</v>
      </c>
      <c r="U151" s="32"/>
      <c r="V151" s="25">
        <f t="shared" si="29"/>
        <v>0</v>
      </c>
      <c r="W151" s="32">
        <v>59</v>
      </c>
      <c r="X151" s="32">
        <f t="shared" si="26"/>
        <v>0</v>
      </c>
      <c r="Y151" s="25">
        <f t="shared" si="27"/>
        <v>0</v>
      </c>
      <c r="AB151" s="1">
        <v>169</v>
      </c>
      <c r="AC151" s="1">
        <v>13</v>
      </c>
      <c r="AD151" s="26">
        <v>1.1060333233598807</v>
      </c>
    </row>
    <row r="152" spans="1:30" x14ac:dyDescent="0.2">
      <c r="A152" s="24">
        <f t="shared" si="28"/>
        <v>7.713624310270756</v>
      </c>
      <c r="B152" s="32">
        <v>59.5</v>
      </c>
      <c r="C152" s="32"/>
      <c r="D152" s="25">
        <f t="shared" si="20"/>
        <v>0</v>
      </c>
      <c r="E152" s="32">
        <v>59.5</v>
      </c>
      <c r="F152" s="8"/>
      <c r="G152" s="25">
        <f t="shared" si="21"/>
        <v>0</v>
      </c>
      <c r="H152" s="32">
        <v>59.5</v>
      </c>
      <c r="I152" s="32"/>
      <c r="J152" s="25">
        <f t="shared" si="22"/>
        <v>0</v>
      </c>
      <c r="K152" s="32">
        <v>59.5</v>
      </c>
      <c r="L152" s="31"/>
      <c r="M152" s="25">
        <f t="shared" si="23"/>
        <v>0</v>
      </c>
      <c r="N152" s="32">
        <v>59.5</v>
      </c>
      <c r="O152" s="32"/>
      <c r="P152" s="25">
        <f t="shared" si="24"/>
        <v>0</v>
      </c>
      <c r="Q152" s="32">
        <v>59.5</v>
      </c>
      <c r="R152" s="32"/>
      <c r="S152" s="25">
        <f t="shared" si="25"/>
        <v>0</v>
      </c>
      <c r="T152" s="32">
        <v>59.5</v>
      </c>
      <c r="U152" s="32"/>
      <c r="V152" s="25">
        <f t="shared" si="29"/>
        <v>0</v>
      </c>
      <c r="W152" s="32">
        <v>59.5</v>
      </c>
      <c r="X152" s="32">
        <f t="shared" si="26"/>
        <v>0</v>
      </c>
      <c r="Y152" s="25">
        <f t="shared" si="27"/>
        <v>0</v>
      </c>
      <c r="AB152" s="1">
        <v>196</v>
      </c>
      <c r="AC152" s="1">
        <v>14</v>
      </c>
      <c r="AD152" s="26">
        <v>1.1086412882385779</v>
      </c>
    </row>
    <row r="153" spans="1:30" x14ac:dyDescent="0.2">
      <c r="A153" s="24">
        <f t="shared" si="28"/>
        <v>7.745966692414834</v>
      </c>
      <c r="B153" s="32">
        <v>60</v>
      </c>
      <c r="C153" s="32"/>
      <c r="D153" s="25">
        <f t="shared" si="20"/>
        <v>0</v>
      </c>
      <c r="E153" s="32">
        <v>60</v>
      </c>
      <c r="F153" s="8"/>
      <c r="G153" s="25">
        <f t="shared" si="21"/>
        <v>0</v>
      </c>
      <c r="H153" s="32">
        <v>60</v>
      </c>
      <c r="I153" s="32"/>
      <c r="J153" s="25">
        <f t="shared" si="22"/>
        <v>0</v>
      </c>
      <c r="K153" s="32">
        <v>60</v>
      </c>
      <c r="L153" s="31"/>
      <c r="M153" s="25">
        <f t="shared" si="23"/>
        <v>0</v>
      </c>
      <c r="N153" s="32">
        <v>60</v>
      </c>
      <c r="O153" s="32"/>
      <c r="P153" s="25">
        <f t="shared" si="24"/>
        <v>0</v>
      </c>
      <c r="Q153" s="32">
        <v>60</v>
      </c>
      <c r="R153" s="32"/>
      <c r="S153" s="25">
        <f t="shared" si="25"/>
        <v>0</v>
      </c>
      <c r="T153" s="32">
        <v>60</v>
      </c>
      <c r="U153" s="32"/>
      <c r="V153" s="25">
        <f t="shared" si="29"/>
        <v>0</v>
      </c>
      <c r="W153" s="32">
        <v>60</v>
      </c>
      <c r="X153" s="32">
        <f t="shared" si="26"/>
        <v>0</v>
      </c>
      <c r="Y153" s="25">
        <f t="shared" si="27"/>
        <v>0</v>
      </c>
      <c r="AB153" s="1">
        <v>225</v>
      </c>
      <c r="AC153" s="1">
        <v>15</v>
      </c>
      <c r="AD153" s="26">
        <v>1.1109812216347508</v>
      </c>
    </row>
    <row r="154" spans="1:30" x14ac:dyDescent="0.2">
      <c r="A154" s="24">
        <f t="shared" si="28"/>
        <v>7.7781745930520225</v>
      </c>
      <c r="B154" s="32">
        <v>60.5</v>
      </c>
      <c r="C154" s="32"/>
      <c r="D154" s="25">
        <f t="shared" si="20"/>
        <v>0</v>
      </c>
      <c r="E154" s="32">
        <v>60.5</v>
      </c>
      <c r="F154" s="8"/>
      <c r="G154" s="25">
        <f t="shared" si="21"/>
        <v>0</v>
      </c>
      <c r="H154" s="32">
        <v>60.5</v>
      </c>
      <c r="I154" s="32"/>
      <c r="J154" s="25">
        <f t="shared" si="22"/>
        <v>0</v>
      </c>
      <c r="K154" s="32">
        <v>60.5</v>
      </c>
      <c r="L154" s="31"/>
      <c r="M154" s="25">
        <f t="shared" si="23"/>
        <v>0</v>
      </c>
      <c r="N154" s="32">
        <v>60.5</v>
      </c>
      <c r="O154" s="32"/>
      <c r="P154" s="25">
        <f t="shared" si="24"/>
        <v>0</v>
      </c>
      <c r="Q154" s="32">
        <v>60.5</v>
      </c>
      <c r="R154" s="32"/>
      <c r="S154" s="25">
        <f t="shared" si="25"/>
        <v>0</v>
      </c>
      <c r="T154" s="32">
        <v>60.5</v>
      </c>
      <c r="U154" s="32"/>
      <c r="V154" s="25">
        <f t="shared" si="29"/>
        <v>0</v>
      </c>
      <c r="W154" s="32">
        <v>60.5</v>
      </c>
      <c r="X154" s="32">
        <f t="shared" si="26"/>
        <v>0</v>
      </c>
      <c r="Y154" s="25">
        <f t="shared" si="27"/>
        <v>0</v>
      </c>
      <c r="AB154" s="1">
        <v>256</v>
      </c>
      <c r="AC154" s="1">
        <v>16</v>
      </c>
      <c r="AD154" s="26">
        <v>1.113133751697891</v>
      </c>
    </row>
    <row r="155" spans="1:30" x14ac:dyDescent="0.2">
      <c r="A155" s="24">
        <f t="shared" si="28"/>
        <v>7.810249675906654</v>
      </c>
      <c r="B155" s="32">
        <v>61</v>
      </c>
      <c r="C155" s="32"/>
      <c r="D155" s="25">
        <f t="shared" si="20"/>
        <v>0</v>
      </c>
      <c r="E155" s="32">
        <v>61</v>
      </c>
      <c r="F155" s="8"/>
      <c r="G155" s="25">
        <f t="shared" si="21"/>
        <v>0</v>
      </c>
      <c r="H155" s="32">
        <v>61</v>
      </c>
      <c r="I155" s="32"/>
      <c r="J155" s="25">
        <f t="shared" si="22"/>
        <v>0</v>
      </c>
      <c r="K155" s="32">
        <v>61</v>
      </c>
      <c r="L155" s="31"/>
      <c r="M155" s="25">
        <f t="shared" si="23"/>
        <v>0</v>
      </c>
      <c r="N155" s="32">
        <v>61</v>
      </c>
      <c r="O155" s="32"/>
      <c r="P155" s="25">
        <f t="shared" si="24"/>
        <v>0</v>
      </c>
      <c r="Q155" s="32">
        <v>61</v>
      </c>
      <c r="R155" s="32"/>
      <c r="S155" s="25">
        <f t="shared" si="25"/>
        <v>0</v>
      </c>
      <c r="T155" s="32">
        <v>61</v>
      </c>
      <c r="U155" s="32"/>
      <c r="V155" s="25">
        <f t="shared" si="29"/>
        <v>0</v>
      </c>
      <c r="W155" s="32">
        <v>61</v>
      </c>
      <c r="X155" s="32">
        <f t="shared" si="26"/>
        <v>0</v>
      </c>
      <c r="Y155" s="25">
        <f t="shared" si="27"/>
        <v>0</v>
      </c>
      <c r="AB155" s="1">
        <v>289</v>
      </c>
      <c r="AC155" s="1">
        <v>17</v>
      </c>
      <c r="AD155" s="26">
        <v>1.1169820581451644</v>
      </c>
    </row>
    <row r="156" spans="1:30" x14ac:dyDescent="0.2">
      <c r="A156" s="24">
        <f t="shared" si="28"/>
        <v>7.8421935706790613</v>
      </c>
      <c r="B156" s="32">
        <v>61.5</v>
      </c>
      <c r="C156" s="32"/>
      <c r="D156" s="25">
        <f t="shared" si="20"/>
        <v>0</v>
      </c>
      <c r="E156" s="32">
        <v>61.5</v>
      </c>
      <c r="F156" s="8"/>
      <c r="G156" s="25">
        <f t="shared" si="21"/>
        <v>0</v>
      </c>
      <c r="H156" s="32">
        <v>61.5</v>
      </c>
      <c r="I156" s="32"/>
      <c r="J156" s="25">
        <f t="shared" si="22"/>
        <v>0</v>
      </c>
      <c r="K156" s="32">
        <v>61.5</v>
      </c>
      <c r="L156" s="31"/>
      <c r="M156" s="25">
        <f t="shared" si="23"/>
        <v>0</v>
      </c>
      <c r="N156" s="32">
        <v>61.5</v>
      </c>
      <c r="O156" s="32"/>
      <c r="P156" s="25">
        <f t="shared" si="24"/>
        <v>0</v>
      </c>
      <c r="Q156" s="32">
        <v>61.5</v>
      </c>
      <c r="R156" s="32"/>
      <c r="S156" s="25">
        <f t="shared" si="25"/>
        <v>0</v>
      </c>
      <c r="T156" s="32">
        <v>61.5</v>
      </c>
      <c r="U156" s="32"/>
      <c r="V156" s="25">
        <f t="shared" si="29"/>
        <v>0</v>
      </c>
      <c r="W156" s="32">
        <v>61.5</v>
      </c>
      <c r="X156" s="32">
        <f t="shared" si="26"/>
        <v>0</v>
      </c>
      <c r="Y156" s="25">
        <f t="shared" si="27"/>
        <v>0</v>
      </c>
      <c r="AB156" s="1">
        <v>324</v>
      </c>
      <c r="AC156" s="1">
        <v>18</v>
      </c>
      <c r="AD156" s="26">
        <v>1.147117623310971</v>
      </c>
    </row>
    <row r="157" spans="1:30" x14ac:dyDescent="0.2">
      <c r="A157" s="24">
        <f t="shared" si="28"/>
        <v>7.8740078740118111</v>
      </c>
      <c r="B157" s="32">
        <v>62</v>
      </c>
      <c r="C157" s="32"/>
      <c r="D157" s="25">
        <f t="shared" si="20"/>
        <v>0</v>
      </c>
      <c r="E157" s="32">
        <v>62</v>
      </c>
      <c r="F157" s="8"/>
      <c r="G157" s="25">
        <f t="shared" si="21"/>
        <v>0</v>
      </c>
      <c r="H157" s="32">
        <v>62</v>
      </c>
      <c r="I157" s="32"/>
      <c r="J157" s="25">
        <f t="shared" si="22"/>
        <v>0</v>
      </c>
      <c r="K157" s="32">
        <v>62</v>
      </c>
      <c r="L157" s="31"/>
      <c r="M157" s="25">
        <f t="shared" si="23"/>
        <v>0</v>
      </c>
      <c r="N157" s="32">
        <v>62</v>
      </c>
      <c r="O157" s="32"/>
      <c r="P157" s="25">
        <f t="shared" si="24"/>
        <v>0</v>
      </c>
      <c r="Q157" s="32">
        <v>62</v>
      </c>
      <c r="R157" s="32"/>
      <c r="S157" s="25">
        <f t="shared" si="25"/>
        <v>0</v>
      </c>
      <c r="T157" s="32">
        <v>62</v>
      </c>
      <c r="U157" s="32"/>
      <c r="V157" s="25">
        <f t="shared" si="29"/>
        <v>0</v>
      </c>
      <c r="W157" s="32">
        <v>62</v>
      </c>
      <c r="X157" s="32">
        <f t="shared" si="26"/>
        <v>0</v>
      </c>
      <c r="Y157" s="25">
        <f t="shared" si="27"/>
        <v>0</v>
      </c>
      <c r="AB157" s="1">
        <v>361</v>
      </c>
      <c r="AC157" s="1">
        <v>19</v>
      </c>
      <c r="AD157" s="26"/>
    </row>
    <row r="158" spans="1:30" x14ac:dyDescent="0.2">
      <c r="A158" s="24">
        <f t="shared" si="28"/>
        <v>7.9056941504209481</v>
      </c>
      <c r="B158" s="32">
        <v>62.5</v>
      </c>
      <c r="C158" s="32"/>
      <c r="D158" s="25">
        <f t="shared" si="20"/>
        <v>0</v>
      </c>
      <c r="E158" s="32">
        <v>62.5</v>
      </c>
      <c r="F158" s="8"/>
      <c r="G158" s="25">
        <f t="shared" si="21"/>
        <v>0</v>
      </c>
      <c r="H158" s="32">
        <v>62.5</v>
      </c>
      <c r="I158" s="32"/>
      <c r="J158" s="25">
        <f t="shared" si="22"/>
        <v>0</v>
      </c>
      <c r="K158" s="32">
        <v>62.5</v>
      </c>
      <c r="L158" s="31"/>
      <c r="M158" s="25">
        <f t="shared" si="23"/>
        <v>0</v>
      </c>
      <c r="N158" s="32">
        <v>62.5</v>
      </c>
      <c r="O158" s="32"/>
      <c r="P158" s="25">
        <f t="shared" si="24"/>
        <v>0</v>
      </c>
      <c r="Q158" s="32">
        <v>62.5</v>
      </c>
      <c r="R158" s="32"/>
      <c r="S158" s="25">
        <f t="shared" si="25"/>
        <v>0</v>
      </c>
      <c r="T158" s="32">
        <v>62.5</v>
      </c>
      <c r="U158" s="32"/>
      <c r="V158" s="25">
        <f t="shared" si="29"/>
        <v>0</v>
      </c>
      <c r="W158" s="32">
        <v>62.5</v>
      </c>
      <c r="X158" s="32">
        <f t="shared" si="26"/>
        <v>0</v>
      </c>
      <c r="Y158" s="25">
        <f t="shared" si="27"/>
        <v>0</v>
      </c>
      <c r="AB158" s="1">
        <v>400</v>
      </c>
      <c r="AC158" s="1">
        <v>20</v>
      </c>
      <c r="AD158" s="26"/>
    </row>
    <row r="159" spans="1:30" x14ac:dyDescent="0.2">
      <c r="A159" s="24">
        <f t="shared" si="28"/>
        <v>7.9372539331937721</v>
      </c>
      <c r="B159" s="32">
        <v>63</v>
      </c>
      <c r="C159" s="32"/>
      <c r="D159" s="25">
        <f t="shared" si="20"/>
        <v>0</v>
      </c>
      <c r="E159" s="32">
        <v>63</v>
      </c>
      <c r="F159" s="8"/>
      <c r="G159" s="25">
        <f t="shared" si="21"/>
        <v>0</v>
      </c>
      <c r="H159" s="32">
        <v>63</v>
      </c>
      <c r="I159" s="32"/>
      <c r="J159" s="25">
        <f t="shared" si="22"/>
        <v>0</v>
      </c>
      <c r="K159" s="32">
        <v>63</v>
      </c>
      <c r="L159" s="31"/>
      <c r="M159" s="25">
        <f t="shared" si="23"/>
        <v>0</v>
      </c>
      <c r="N159" s="32">
        <v>63</v>
      </c>
      <c r="O159" s="32"/>
      <c r="P159" s="25">
        <f t="shared" si="24"/>
        <v>0</v>
      </c>
      <c r="Q159" s="32">
        <v>63</v>
      </c>
      <c r="R159" s="32"/>
      <c r="S159" s="25">
        <f t="shared" si="25"/>
        <v>0</v>
      </c>
      <c r="T159" s="32">
        <v>63</v>
      </c>
      <c r="U159" s="32"/>
      <c r="V159" s="25">
        <f t="shared" si="29"/>
        <v>0</v>
      </c>
      <c r="W159" s="32">
        <v>63</v>
      </c>
      <c r="X159" s="32">
        <f t="shared" si="26"/>
        <v>0</v>
      </c>
      <c r="Y159" s="25">
        <f t="shared" si="27"/>
        <v>0</v>
      </c>
      <c r="AB159" s="1">
        <v>441</v>
      </c>
      <c r="AC159" s="1">
        <v>21</v>
      </c>
      <c r="AD159" s="26"/>
    </row>
    <row r="160" spans="1:30" x14ac:dyDescent="0.2">
      <c r="A160" s="24">
        <f t="shared" si="28"/>
        <v>7.9686887252546139</v>
      </c>
      <c r="B160" s="32">
        <v>63.5</v>
      </c>
      <c r="C160" s="32"/>
      <c r="D160" s="25">
        <f t="shared" si="20"/>
        <v>0</v>
      </c>
      <c r="E160" s="32">
        <v>63.5</v>
      </c>
      <c r="F160" s="8"/>
      <c r="G160" s="25">
        <f t="shared" si="21"/>
        <v>0</v>
      </c>
      <c r="H160" s="32">
        <v>63.5</v>
      </c>
      <c r="I160" s="32"/>
      <c r="J160" s="25">
        <f t="shared" si="22"/>
        <v>0</v>
      </c>
      <c r="K160" s="32">
        <v>63.5</v>
      </c>
      <c r="L160" s="31"/>
      <c r="M160" s="25">
        <f t="shared" si="23"/>
        <v>0</v>
      </c>
      <c r="N160" s="32">
        <v>63.5</v>
      </c>
      <c r="O160" s="32"/>
      <c r="P160" s="25">
        <f t="shared" si="24"/>
        <v>0</v>
      </c>
      <c r="Q160" s="32">
        <v>63.5</v>
      </c>
      <c r="R160" s="32"/>
      <c r="S160" s="25">
        <f t="shared" si="25"/>
        <v>0</v>
      </c>
      <c r="T160" s="32">
        <v>63.5</v>
      </c>
      <c r="U160" s="32"/>
      <c r="V160" s="25">
        <f t="shared" si="29"/>
        <v>0</v>
      </c>
      <c r="W160" s="32">
        <v>63.5</v>
      </c>
      <c r="X160" s="32">
        <f t="shared" si="26"/>
        <v>0</v>
      </c>
      <c r="Y160" s="25">
        <f t="shared" si="27"/>
        <v>0</v>
      </c>
      <c r="AB160" s="1">
        <v>484</v>
      </c>
      <c r="AC160" s="1">
        <v>22</v>
      </c>
      <c r="AD160" s="26"/>
    </row>
    <row r="161" spans="1:30" x14ac:dyDescent="0.2">
      <c r="A161" s="24">
        <f t="shared" si="28"/>
        <v>8</v>
      </c>
      <c r="B161" s="32">
        <v>64</v>
      </c>
      <c r="C161" s="32"/>
      <c r="D161" s="25">
        <f t="shared" si="20"/>
        <v>0</v>
      </c>
      <c r="E161" s="32">
        <v>64</v>
      </c>
      <c r="F161" s="8"/>
      <c r="G161" s="25">
        <f t="shared" si="21"/>
        <v>0</v>
      </c>
      <c r="H161" s="32">
        <v>64</v>
      </c>
      <c r="I161" s="32"/>
      <c r="J161" s="25">
        <f t="shared" si="22"/>
        <v>0</v>
      </c>
      <c r="K161" s="32">
        <v>64</v>
      </c>
      <c r="L161" s="31"/>
      <c r="M161" s="25">
        <f t="shared" si="23"/>
        <v>0</v>
      </c>
      <c r="N161" s="32">
        <v>64</v>
      </c>
      <c r="O161" s="32"/>
      <c r="P161" s="25">
        <f t="shared" si="24"/>
        <v>0</v>
      </c>
      <c r="Q161" s="32">
        <v>64</v>
      </c>
      <c r="R161" s="32"/>
      <c r="S161" s="25">
        <f t="shared" si="25"/>
        <v>0</v>
      </c>
      <c r="T161" s="32">
        <v>64</v>
      </c>
      <c r="U161" s="32"/>
      <c r="V161" s="25">
        <f t="shared" si="29"/>
        <v>0</v>
      </c>
      <c r="W161" s="32">
        <v>64</v>
      </c>
      <c r="X161" s="32">
        <f t="shared" si="26"/>
        <v>0</v>
      </c>
      <c r="Y161" s="25">
        <f t="shared" si="27"/>
        <v>0</v>
      </c>
      <c r="AB161" s="1">
        <v>1440</v>
      </c>
      <c r="AC161" s="1">
        <v>37.947331922020552</v>
      </c>
      <c r="AD161" s="26"/>
    </row>
    <row r="162" spans="1:30" x14ac:dyDescent="0.2">
      <c r="A162" s="24">
        <f t="shared" si="28"/>
        <v>8.031189202104505</v>
      </c>
      <c r="B162" s="32">
        <v>64.5</v>
      </c>
      <c r="C162" s="32"/>
      <c r="D162" s="25">
        <f t="shared" si="20"/>
        <v>0</v>
      </c>
      <c r="E162" s="32">
        <v>64.5</v>
      </c>
      <c r="F162" s="8"/>
      <c r="G162" s="25">
        <f t="shared" si="21"/>
        <v>0</v>
      </c>
      <c r="H162" s="32">
        <v>64.5</v>
      </c>
      <c r="I162" s="32"/>
      <c r="J162" s="25">
        <f t="shared" si="22"/>
        <v>0</v>
      </c>
      <c r="K162" s="32">
        <v>64.5</v>
      </c>
      <c r="L162" s="31"/>
      <c r="M162" s="25">
        <f t="shared" si="23"/>
        <v>0</v>
      </c>
      <c r="N162" s="32">
        <v>64.5</v>
      </c>
      <c r="O162" s="32"/>
      <c r="P162" s="25">
        <f t="shared" si="24"/>
        <v>0</v>
      </c>
      <c r="Q162" s="32">
        <v>64.5</v>
      </c>
      <c r="R162" s="32"/>
      <c r="S162" s="25">
        <f t="shared" si="25"/>
        <v>0</v>
      </c>
      <c r="T162" s="32">
        <v>64.5</v>
      </c>
      <c r="U162" s="32"/>
      <c r="V162" s="25">
        <f t="shared" si="29"/>
        <v>0</v>
      </c>
      <c r="W162" s="32">
        <v>64.5</v>
      </c>
      <c r="X162" s="32">
        <f t="shared" si="26"/>
        <v>0</v>
      </c>
      <c r="Y162" s="25">
        <f t="shared" si="27"/>
        <v>0</v>
      </c>
      <c r="AD162" s="26"/>
    </row>
    <row r="163" spans="1:30" x14ac:dyDescent="0.2">
      <c r="A163" s="24">
        <f t="shared" si="28"/>
        <v>8.0622577482985491</v>
      </c>
      <c r="B163" s="32">
        <v>65</v>
      </c>
      <c r="C163" s="32"/>
      <c r="D163" s="25">
        <f t="shared" si="20"/>
        <v>0</v>
      </c>
      <c r="E163" s="32">
        <v>65</v>
      </c>
      <c r="F163" s="8"/>
      <c r="G163" s="25">
        <f t="shared" si="21"/>
        <v>0</v>
      </c>
      <c r="H163" s="32">
        <v>65</v>
      </c>
      <c r="I163" s="32"/>
      <c r="J163" s="25">
        <f t="shared" si="22"/>
        <v>0</v>
      </c>
      <c r="K163" s="32">
        <v>65</v>
      </c>
      <c r="L163" s="31"/>
      <c r="M163" s="25">
        <f t="shared" si="23"/>
        <v>0</v>
      </c>
      <c r="N163" s="32">
        <v>65</v>
      </c>
      <c r="O163" s="32"/>
      <c r="P163" s="25">
        <f t="shared" si="24"/>
        <v>0</v>
      </c>
      <c r="Q163" s="32">
        <v>65</v>
      </c>
      <c r="R163" s="32"/>
      <c r="S163" s="25">
        <f t="shared" si="25"/>
        <v>0</v>
      </c>
      <c r="T163" s="32">
        <v>65</v>
      </c>
      <c r="U163" s="32"/>
      <c r="V163" s="25">
        <f t="shared" si="29"/>
        <v>0</v>
      </c>
      <c r="W163" s="32">
        <v>65</v>
      </c>
      <c r="X163" s="32">
        <f t="shared" si="26"/>
        <v>0</v>
      </c>
      <c r="Y163" s="25">
        <f t="shared" si="27"/>
        <v>0</v>
      </c>
      <c r="AD163" s="26"/>
    </row>
    <row r="164" spans="1:30" x14ac:dyDescent="0.2">
      <c r="A164" s="24">
        <f t="shared" si="28"/>
        <v>8.0932070281193234</v>
      </c>
      <c r="B164" s="32">
        <v>65.5</v>
      </c>
      <c r="C164" s="32"/>
      <c r="D164" s="25">
        <f t="shared" si="20"/>
        <v>0</v>
      </c>
      <c r="E164" s="32">
        <v>65.5</v>
      </c>
      <c r="F164" s="8"/>
      <c r="G164" s="25">
        <f t="shared" si="21"/>
        <v>0</v>
      </c>
      <c r="H164" s="32">
        <v>65.5</v>
      </c>
      <c r="I164" s="32"/>
      <c r="J164" s="25">
        <f t="shared" si="22"/>
        <v>0</v>
      </c>
      <c r="K164" s="32">
        <v>65.5</v>
      </c>
      <c r="L164" s="31"/>
      <c r="M164" s="25">
        <f t="shared" si="23"/>
        <v>0</v>
      </c>
      <c r="N164" s="32">
        <v>65.5</v>
      </c>
      <c r="O164" s="32"/>
      <c r="P164" s="25">
        <f t="shared" si="24"/>
        <v>0</v>
      </c>
      <c r="Q164" s="32">
        <v>65.5</v>
      </c>
      <c r="R164" s="32"/>
      <c r="S164" s="25">
        <f t="shared" si="25"/>
        <v>0</v>
      </c>
      <c r="T164" s="32">
        <v>65.5</v>
      </c>
      <c r="U164" s="32"/>
      <c r="V164" s="25">
        <f t="shared" si="29"/>
        <v>0</v>
      </c>
      <c r="W164" s="32">
        <v>65.5</v>
      </c>
      <c r="X164" s="32">
        <f t="shared" si="26"/>
        <v>0</v>
      </c>
      <c r="Y164" s="25">
        <f t="shared" si="27"/>
        <v>0</v>
      </c>
      <c r="AD164" s="26"/>
    </row>
    <row r="165" spans="1:30" x14ac:dyDescent="0.2">
      <c r="A165" s="24">
        <f t="shared" si="28"/>
        <v>8.1240384046359608</v>
      </c>
      <c r="B165" s="32">
        <v>66</v>
      </c>
      <c r="C165" s="32"/>
      <c r="D165" s="25">
        <f t="shared" si="20"/>
        <v>0</v>
      </c>
      <c r="E165" s="32">
        <v>66</v>
      </c>
      <c r="F165" s="8"/>
      <c r="G165" s="25">
        <f t="shared" si="21"/>
        <v>0</v>
      </c>
      <c r="H165" s="32">
        <v>66</v>
      </c>
      <c r="I165" s="32"/>
      <c r="J165" s="25">
        <f t="shared" si="22"/>
        <v>0</v>
      </c>
      <c r="K165" s="32">
        <v>66</v>
      </c>
      <c r="L165" s="31"/>
      <c r="M165" s="25">
        <f t="shared" si="23"/>
        <v>0</v>
      </c>
      <c r="N165" s="32">
        <v>66</v>
      </c>
      <c r="O165" s="32"/>
      <c r="P165" s="25">
        <f t="shared" si="24"/>
        <v>0</v>
      </c>
      <c r="Q165" s="32">
        <v>66</v>
      </c>
      <c r="R165" s="32"/>
      <c r="S165" s="25">
        <f t="shared" si="25"/>
        <v>0</v>
      </c>
      <c r="T165" s="32">
        <v>66</v>
      </c>
      <c r="U165" s="32"/>
      <c r="V165" s="25">
        <f t="shared" si="29"/>
        <v>0</v>
      </c>
      <c r="W165" s="32">
        <v>66</v>
      </c>
      <c r="X165" s="32">
        <f t="shared" si="26"/>
        <v>0</v>
      </c>
      <c r="Y165" s="25">
        <f t="shared" si="27"/>
        <v>0</v>
      </c>
      <c r="AD165" s="26"/>
    </row>
    <row r="166" spans="1:30" x14ac:dyDescent="0.2">
      <c r="A166" s="24">
        <f t="shared" si="28"/>
        <v>8.1547532151500448</v>
      </c>
      <c r="B166" s="32">
        <v>66.5</v>
      </c>
      <c r="C166" s="32"/>
      <c r="D166" s="25">
        <f t="shared" si="20"/>
        <v>0</v>
      </c>
      <c r="E166" s="32">
        <v>66.5</v>
      </c>
      <c r="F166" s="8"/>
      <c r="G166" s="25">
        <f t="shared" si="21"/>
        <v>0</v>
      </c>
      <c r="H166" s="32">
        <v>66.5</v>
      </c>
      <c r="I166" s="32"/>
      <c r="J166" s="25">
        <f t="shared" si="22"/>
        <v>0</v>
      </c>
      <c r="K166" s="32">
        <v>66.5</v>
      </c>
      <c r="L166" s="31"/>
      <c r="M166" s="25">
        <f t="shared" si="23"/>
        <v>0</v>
      </c>
      <c r="N166" s="32">
        <v>66.5</v>
      </c>
      <c r="O166" s="32"/>
      <c r="P166" s="25">
        <f t="shared" si="24"/>
        <v>0</v>
      </c>
      <c r="Q166" s="32">
        <v>66.5</v>
      </c>
      <c r="R166" s="32"/>
      <c r="S166" s="25">
        <f t="shared" si="25"/>
        <v>0</v>
      </c>
      <c r="T166" s="32">
        <v>66.5</v>
      </c>
      <c r="U166" s="32"/>
      <c r="V166" s="25">
        <f t="shared" si="29"/>
        <v>0</v>
      </c>
      <c r="W166" s="32">
        <v>66.5</v>
      </c>
      <c r="X166" s="32">
        <f t="shared" si="26"/>
        <v>0</v>
      </c>
      <c r="Y166" s="25">
        <f t="shared" si="27"/>
        <v>0</v>
      </c>
      <c r="AD166" s="26"/>
    </row>
    <row r="167" spans="1:30" x14ac:dyDescent="0.2">
      <c r="A167" s="24">
        <f t="shared" si="28"/>
        <v>8.1853527718724504</v>
      </c>
      <c r="B167" s="32">
        <v>67</v>
      </c>
      <c r="C167" s="32"/>
      <c r="D167" s="25">
        <f t="shared" si="20"/>
        <v>0</v>
      </c>
      <c r="E167" s="32">
        <v>67</v>
      </c>
      <c r="F167" s="8"/>
      <c r="G167" s="25">
        <f t="shared" si="21"/>
        <v>0</v>
      </c>
      <c r="H167" s="32">
        <v>67</v>
      </c>
      <c r="I167" s="32"/>
      <c r="J167" s="25">
        <f t="shared" si="22"/>
        <v>0</v>
      </c>
      <c r="K167" s="32">
        <v>67</v>
      </c>
      <c r="L167" s="31"/>
      <c r="M167" s="25">
        <f t="shared" si="23"/>
        <v>0</v>
      </c>
      <c r="N167" s="32">
        <v>67</v>
      </c>
      <c r="O167" s="32"/>
      <c r="P167" s="25">
        <f t="shared" si="24"/>
        <v>0</v>
      </c>
      <c r="Q167" s="32">
        <v>67</v>
      </c>
      <c r="R167" s="32"/>
      <c r="S167" s="25">
        <f t="shared" si="25"/>
        <v>0</v>
      </c>
      <c r="T167" s="32">
        <v>67</v>
      </c>
      <c r="U167" s="32"/>
      <c r="V167" s="25">
        <f t="shared" si="29"/>
        <v>0</v>
      </c>
      <c r="W167" s="32">
        <v>67</v>
      </c>
      <c r="X167" s="32">
        <f t="shared" si="26"/>
        <v>0</v>
      </c>
      <c r="Y167" s="25">
        <f t="shared" si="27"/>
        <v>0</v>
      </c>
      <c r="AD167" s="26"/>
    </row>
    <row r="168" spans="1:30" x14ac:dyDescent="0.2">
      <c r="A168" s="24">
        <f t="shared" si="28"/>
        <v>8.2158383625774913</v>
      </c>
      <c r="B168" s="32">
        <v>67.5</v>
      </c>
      <c r="C168" s="32"/>
      <c r="D168" s="25">
        <f t="shared" si="20"/>
        <v>0</v>
      </c>
      <c r="E168" s="32">
        <v>67.5</v>
      </c>
      <c r="F168" s="8"/>
      <c r="G168" s="25">
        <f t="shared" si="21"/>
        <v>0</v>
      </c>
      <c r="H168" s="32">
        <v>67.5</v>
      </c>
      <c r="I168" s="32"/>
      <c r="J168" s="25">
        <f t="shared" si="22"/>
        <v>0</v>
      </c>
      <c r="K168" s="32">
        <v>67.5</v>
      </c>
      <c r="L168" s="31"/>
      <c r="M168" s="25">
        <f t="shared" si="23"/>
        <v>0</v>
      </c>
      <c r="N168" s="32">
        <v>67.5</v>
      </c>
      <c r="O168" s="32"/>
      <c r="P168" s="25">
        <f t="shared" si="24"/>
        <v>0</v>
      </c>
      <c r="Q168" s="32">
        <v>67.5</v>
      </c>
      <c r="R168" s="32"/>
      <c r="S168" s="25">
        <f t="shared" si="25"/>
        <v>0</v>
      </c>
      <c r="T168" s="32">
        <v>67.5</v>
      </c>
      <c r="U168" s="32"/>
      <c r="V168" s="25">
        <f t="shared" si="29"/>
        <v>0</v>
      </c>
      <c r="W168" s="32">
        <v>67.5</v>
      </c>
      <c r="X168" s="32">
        <f t="shared" si="26"/>
        <v>0</v>
      </c>
      <c r="Y168" s="25">
        <f t="shared" si="27"/>
        <v>0</v>
      </c>
      <c r="AD168" s="26"/>
    </row>
    <row r="169" spans="1:30" x14ac:dyDescent="0.2">
      <c r="A169" s="24">
        <f t="shared" si="28"/>
        <v>8.2462112512353212</v>
      </c>
      <c r="B169" s="32">
        <v>68</v>
      </c>
      <c r="C169" s="32"/>
      <c r="D169" s="25">
        <f t="shared" si="20"/>
        <v>0</v>
      </c>
      <c r="E169" s="32">
        <v>68</v>
      </c>
      <c r="F169" s="8"/>
      <c r="G169" s="25">
        <f t="shared" si="21"/>
        <v>0</v>
      </c>
      <c r="H169" s="32">
        <v>68</v>
      </c>
      <c r="I169" s="32"/>
      <c r="J169" s="25">
        <f t="shared" si="22"/>
        <v>0</v>
      </c>
      <c r="K169" s="32">
        <v>68</v>
      </c>
      <c r="L169" s="31"/>
      <c r="M169" s="25">
        <f t="shared" si="23"/>
        <v>0</v>
      </c>
      <c r="N169" s="32">
        <v>68</v>
      </c>
      <c r="O169" s="32"/>
      <c r="P169" s="25">
        <f t="shared" si="24"/>
        <v>0</v>
      </c>
      <c r="Q169" s="32">
        <v>68</v>
      </c>
      <c r="R169" s="32"/>
      <c r="S169" s="25">
        <f t="shared" si="25"/>
        <v>0</v>
      </c>
      <c r="T169" s="32">
        <v>68</v>
      </c>
      <c r="U169" s="32"/>
      <c r="V169" s="25">
        <f t="shared" si="29"/>
        <v>0</v>
      </c>
      <c r="W169" s="32">
        <v>68</v>
      </c>
      <c r="X169" s="32">
        <f t="shared" si="26"/>
        <v>0</v>
      </c>
      <c r="Y169" s="25">
        <f t="shared" si="27"/>
        <v>0</v>
      </c>
      <c r="AD169" s="26"/>
    </row>
    <row r="170" spans="1:30" x14ac:dyDescent="0.2">
      <c r="A170" s="24">
        <f t="shared" si="28"/>
        <v>8.2764726786234242</v>
      </c>
      <c r="B170" s="32">
        <v>68.5</v>
      </c>
      <c r="C170" s="32"/>
      <c r="D170" s="25">
        <f t="shared" si="20"/>
        <v>0</v>
      </c>
      <c r="E170" s="32">
        <v>68.5</v>
      </c>
      <c r="F170" s="8"/>
      <c r="G170" s="25">
        <f t="shared" si="21"/>
        <v>0</v>
      </c>
      <c r="H170" s="32">
        <v>68.5</v>
      </c>
      <c r="I170" s="32"/>
      <c r="J170" s="25">
        <f t="shared" si="22"/>
        <v>0</v>
      </c>
      <c r="K170" s="32">
        <v>68.5</v>
      </c>
      <c r="L170" s="31"/>
      <c r="M170" s="25">
        <f t="shared" si="23"/>
        <v>0</v>
      </c>
      <c r="N170" s="32">
        <v>68.5</v>
      </c>
      <c r="O170" s="32"/>
      <c r="P170" s="25">
        <f t="shared" si="24"/>
        <v>0</v>
      </c>
      <c r="Q170" s="32">
        <v>68.5</v>
      </c>
      <c r="R170" s="32"/>
      <c r="S170" s="25">
        <f t="shared" si="25"/>
        <v>0</v>
      </c>
      <c r="T170" s="32">
        <v>68.5</v>
      </c>
      <c r="U170" s="32"/>
      <c r="V170" s="25">
        <f t="shared" si="29"/>
        <v>0</v>
      </c>
      <c r="W170" s="32">
        <v>68.5</v>
      </c>
      <c r="X170" s="32">
        <f t="shared" si="26"/>
        <v>0</v>
      </c>
      <c r="Y170" s="25">
        <f t="shared" si="27"/>
        <v>0</v>
      </c>
      <c r="AD170" s="26"/>
    </row>
    <row r="171" spans="1:30" x14ac:dyDescent="0.2">
      <c r="A171" s="24">
        <f t="shared" si="28"/>
        <v>8.3066238629180749</v>
      </c>
      <c r="B171" s="32">
        <v>69</v>
      </c>
      <c r="C171" s="32"/>
      <c r="D171" s="25">
        <f t="shared" si="20"/>
        <v>0</v>
      </c>
      <c r="E171" s="32">
        <v>69</v>
      </c>
      <c r="F171" s="8"/>
      <c r="G171" s="25">
        <f t="shared" si="21"/>
        <v>0</v>
      </c>
      <c r="H171" s="32">
        <v>69</v>
      </c>
      <c r="I171" s="32"/>
      <c r="J171" s="25">
        <f t="shared" si="22"/>
        <v>0</v>
      </c>
      <c r="K171" s="32">
        <v>69</v>
      </c>
      <c r="L171" s="31"/>
      <c r="M171" s="25">
        <f t="shared" si="23"/>
        <v>0</v>
      </c>
      <c r="N171" s="32">
        <v>69</v>
      </c>
      <c r="O171" s="32"/>
      <c r="P171" s="25">
        <f t="shared" si="24"/>
        <v>0</v>
      </c>
      <c r="Q171" s="32">
        <v>69</v>
      </c>
      <c r="R171" s="32"/>
      <c r="S171" s="25">
        <f t="shared" si="25"/>
        <v>0</v>
      </c>
      <c r="T171" s="32">
        <v>69</v>
      </c>
      <c r="U171" s="32"/>
      <c r="V171" s="25">
        <f t="shared" si="29"/>
        <v>0</v>
      </c>
      <c r="W171" s="32">
        <v>69</v>
      </c>
      <c r="X171" s="32">
        <f t="shared" si="26"/>
        <v>0</v>
      </c>
      <c r="Y171" s="25">
        <f t="shared" si="27"/>
        <v>0</v>
      </c>
      <c r="AD171" s="26"/>
    </row>
    <row r="172" spans="1:30" x14ac:dyDescent="0.2">
      <c r="A172" s="24">
        <f t="shared" si="28"/>
        <v>8.3366660002665327</v>
      </c>
      <c r="B172" s="32">
        <v>69.5</v>
      </c>
      <c r="C172" s="32"/>
      <c r="D172" s="25">
        <f t="shared" si="20"/>
        <v>0</v>
      </c>
      <c r="E172" s="32">
        <v>69.5</v>
      </c>
      <c r="F172" s="8"/>
      <c r="G172" s="25">
        <f t="shared" si="21"/>
        <v>0</v>
      </c>
      <c r="H172" s="32">
        <v>69.5</v>
      </c>
      <c r="I172" s="32"/>
      <c r="J172" s="25">
        <f t="shared" si="22"/>
        <v>0</v>
      </c>
      <c r="K172" s="32">
        <v>69.5</v>
      </c>
      <c r="L172" s="31"/>
      <c r="M172" s="25">
        <f t="shared" si="23"/>
        <v>0</v>
      </c>
      <c r="N172" s="32">
        <v>69.5</v>
      </c>
      <c r="O172" s="32"/>
      <c r="P172" s="25">
        <f t="shared" si="24"/>
        <v>0</v>
      </c>
      <c r="Q172" s="32">
        <v>69.5</v>
      </c>
      <c r="R172" s="32"/>
      <c r="S172" s="25">
        <f t="shared" si="25"/>
        <v>0</v>
      </c>
      <c r="T172" s="32">
        <v>69.5</v>
      </c>
      <c r="U172" s="32"/>
      <c r="V172" s="25">
        <f t="shared" si="29"/>
        <v>0</v>
      </c>
      <c r="W172" s="32">
        <v>69.5</v>
      </c>
      <c r="X172" s="32">
        <f t="shared" si="26"/>
        <v>0</v>
      </c>
      <c r="Y172" s="25">
        <f t="shared" si="27"/>
        <v>0</v>
      </c>
      <c r="AD172" s="26"/>
    </row>
    <row r="173" spans="1:30" x14ac:dyDescent="0.2">
      <c r="A173" s="24">
        <f t="shared" si="28"/>
        <v>8.3666002653407556</v>
      </c>
      <c r="B173" s="32">
        <v>70</v>
      </c>
      <c r="C173" s="32"/>
      <c r="D173" s="25">
        <f t="shared" si="20"/>
        <v>0</v>
      </c>
      <c r="E173" s="32">
        <v>70</v>
      </c>
      <c r="F173" s="8"/>
      <c r="G173" s="25">
        <f t="shared" si="21"/>
        <v>0</v>
      </c>
      <c r="H173" s="32">
        <v>70</v>
      </c>
      <c r="I173" s="32"/>
      <c r="J173" s="25">
        <f t="shared" si="22"/>
        <v>0</v>
      </c>
      <c r="K173" s="32">
        <v>70</v>
      </c>
      <c r="L173" s="31"/>
      <c r="M173" s="25">
        <f t="shared" si="23"/>
        <v>0</v>
      </c>
      <c r="N173" s="32">
        <v>70</v>
      </c>
      <c r="O173" s="32"/>
      <c r="P173" s="25">
        <f t="shared" si="24"/>
        <v>0</v>
      </c>
      <c r="Q173" s="32">
        <v>70</v>
      </c>
      <c r="R173" s="32"/>
      <c r="S173" s="25">
        <f t="shared" si="25"/>
        <v>0</v>
      </c>
      <c r="T173" s="32">
        <v>70</v>
      </c>
      <c r="U173" s="32"/>
      <c r="V173" s="25">
        <f t="shared" si="29"/>
        <v>0</v>
      </c>
      <c r="W173" s="32">
        <v>70</v>
      </c>
      <c r="X173" s="32">
        <f t="shared" si="26"/>
        <v>0</v>
      </c>
      <c r="Y173" s="25">
        <f t="shared" si="27"/>
        <v>0</v>
      </c>
      <c r="AD173" s="26"/>
    </row>
    <row r="174" spans="1:30" x14ac:dyDescent="0.2">
      <c r="A174" s="24">
        <f t="shared" si="28"/>
        <v>8.3964278118733322</v>
      </c>
      <c r="B174" s="32">
        <v>70.5</v>
      </c>
      <c r="C174" s="32"/>
      <c r="D174" s="25">
        <f t="shared" si="20"/>
        <v>0</v>
      </c>
      <c r="E174" s="32">
        <v>70.5</v>
      </c>
      <c r="F174" s="8"/>
      <c r="G174" s="25">
        <f t="shared" si="21"/>
        <v>0</v>
      </c>
      <c r="H174" s="32">
        <v>70.5</v>
      </c>
      <c r="I174" s="32"/>
      <c r="J174" s="25">
        <f t="shared" si="22"/>
        <v>0</v>
      </c>
      <c r="K174" s="32">
        <v>70.5</v>
      </c>
      <c r="L174" s="31"/>
      <c r="M174" s="25">
        <f t="shared" si="23"/>
        <v>0</v>
      </c>
      <c r="N174" s="32">
        <v>70.5</v>
      </c>
      <c r="O174" s="32"/>
      <c r="P174" s="25">
        <f t="shared" si="24"/>
        <v>0</v>
      </c>
      <c r="Q174" s="32">
        <v>70.5</v>
      </c>
      <c r="R174" s="32"/>
      <c r="S174" s="25">
        <f t="shared" si="25"/>
        <v>0</v>
      </c>
      <c r="T174" s="32">
        <v>70.5</v>
      </c>
      <c r="U174" s="32"/>
      <c r="V174" s="25">
        <f t="shared" si="29"/>
        <v>0</v>
      </c>
      <c r="W174" s="32">
        <v>70.5</v>
      </c>
      <c r="X174" s="32">
        <f t="shared" si="26"/>
        <v>0</v>
      </c>
      <c r="Y174" s="25">
        <f t="shared" si="27"/>
        <v>0</v>
      </c>
      <c r="AD174" s="26"/>
    </row>
    <row r="175" spans="1:30" x14ac:dyDescent="0.2">
      <c r="A175" s="24">
        <f t="shared" si="28"/>
        <v>8.426149773176359</v>
      </c>
      <c r="B175" s="32">
        <v>71</v>
      </c>
      <c r="C175" s="32"/>
      <c r="D175" s="25">
        <f t="shared" si="20"/>
        <v>0</v>
      </c>
      <c r="E175" s="32">
        <v>71</v>
      </c>
      <c r="F175" s="8"/>
      <c r="G175" s="25">
        <f t="shared" si="21"/>
        <v>0</v>
      </c>
      <c r="H175" s="32">
        <v>71</v>
      </c>
      <c r="I175" s="32"/>
      <c r="J175" s="25">
        <f t="shared" si="22"/>
        <v>0</v>
      </c>
      <c r="K175" s="32">
        <v>71</v>
      </c>
      <c r="L175" s="31"/>
      <c r="M175" s="25">
        <f t="shared" si="23"/>
        <v>0</v>
      </c>
      <c r="N175" s="32">
        <v>71</v>
      </c>
      <c r="O175" s="32"/>
      <c r="P175" s="25">
        <f t="shared" si="24"/>
        <v>0</v>
      </c>
      <c r="Q175" s="32">
        <v>71</v>
      </c>
      <c r="R175" s="32"/>
      <c r="S175" s="25">
        <f t="shared" si="25"/>
        <v>0</v>
      </c>
      <c r="T175" s="32">
        <v>71</v>
      </c>
      <c r="U175" s="32"/>
      <c r="V175" s="25">
        <f t="shared" si="29"/>
        <v>0</v>
      </c>
      <c r="W175" s="32">
        <v>71</v>
      </c>
      <c r="X175" s="32">
        <f t="shared" si="26"/>
        <v>0</v>
      </c>
      <c r="Y175" s="25">
        <f t="shared" si="27"/>
        <v>0</v>
      </c>
      <c r="AD175" s="26"/>
    </row>
    <row r="176" spans="1:30" x14ac:dyDescent="0.2">
      <c r="A176" s="24">
        <f t="shared" si="28"/>
        <v>8.4557672626438816</v>
      </c>
      <c r="B176" s="32">
        <v>71.5</v>
      </c>
      <c r="C176" s="32"/>
      <c r="D176" s="25">
        <f t="shared" si="20"/>
        <v>0</v>
      </c>
      <c r="E176" s="32">
        <v>71.5</v>
      </c>
      <c r="F176" s="8"/>
      <c r="G176" s="25">
        <f t="shared" si="21"/>
        <v>0</v>
      </c>
      <c r="H176" s="32">
        <v>71.5</v>
      </c>
      <c r="I176" s="32"/>
      <c r="J176" s="25">
        <f t="shared" si="22"/>
        <v>0</v>
      </c>
      <c r="K176" s="32">
        <v>71.5</v>
      </c>
      <c r="L176" s="31"/>
      <c r="M176" s="25">
        <f t="shared" si="23"/>
        <v>0</v>
      </c>
      <c r="N176" s="32">
        <v>71.5</v>
      </c>
      <c r="O176" s="32"/>
      <c r="P176" s="25">
        <f t="shared" si="24"/>
        <v>0</v>
      </c>
      <c r="Q176" s="32">
        <v>71.5</v>
      </c>
      <c r="R176" s="32"/>
      <c r="S176" s="25">
        <f t="shared" si="25"/>
        <v>0</v>
      </c>
      <c r="T176" s="32">
        <v>71.5</v>
      </c>
      <c r="U176" s="32"/>
      <c r="V176" s="25">
        <f t="shared" si="29"/>
        <v>0</v>
      </c>
      <c r="W176" s="32">
        <v>71.5</v>
      </c>
      <c r="X176" s="32">
        <f t="shared" si="26"/>
        <v>0</v>
      </c>
      <c r="Y176" s="25">
        <f t="shared" si="27"/>
        <v>0</v>
      </c>
      <c r="AD176" s="26"/>
    </row>
    <row r="177" spans="1:30" x14ac:dyDescent="0.2">
      <c r="A177" s="24">
        <f t="shared" si="28"/>
        <v>8.4852813742385695</v>
      </c>
      <c r="B177" s="32">
        <v>72</v>
      </c>
      <c r="C177" s="32"/>
      <c r="D177" s="25">
        <f t="shared" si="20"/>
        <v>0</v>
      </c>
      <c r="E177" s="32">
        <v>72</v>
      </c>
      <c r="F177" s="8"/>
      <c r="G177" s="25">
        <f t="shared" si="21"/>
        <v>0</v>
      </c>
      <c r="H177" s="32">
        <v>72</v>
      </c>
      <c r="I177" s="32"/>
      <c r="J177" s="25">
        <f t="shared" si="22"/>
        <v>0</v>
      </c>
      <c r="K177" s="32">
        <v>72</v>
      </c>
      <c r="L177" s="31"/>
      <c r="M177" s="25">
        <f t="shared" si="23"/>
        <v>0</v>
      </c>
      <c r="N177" s="32">
        <v>72</v>
      </c>
      <c r="O177" s="32"/>
      <c r="P177" s="25">
        <f t="shared" si="24"/>
        <v>0</v>
      </c>
      <c r="Q177" s="32">
        <v>72</v>
      </c>
      <c r="R177" s="32"/>
      <c r="S177" s="25">
        <f t="shared" si="25"/>
        <v>0</v>
      </c>
      <c r="T177" s="32">
        <v>72</v>
      </c>
      <c r="U177" s="32"/>
      <c r="V177" s="25">
        <f t="shared" si="29"/>
        <v>0</v>
      </c>
      <c r="W177" s="32">
        <v>72</v>
      </c>
      <c r="X177" s="32">
        <f t="shared" si="26"/>
        <v>0</v>
      </c>
      <c r="Y177" s="25">
        <f t="shared" si="27"/>
        <v>0</v>
      </c>
      <c r="AD177" s="26"/>
    </row>
    <row r="178" spans="1:30" x14ac:dyDescent="0.2">
      <c r="A178" s="24">
        <f t="shared" si="28"/>
        <v>8.5146931829632013</v>
      </c>
      <c r="B178" s="32">
        <v>72.5</v>
      </c>
      <c r="C178" s="32"/>
      <c r="D178" s="25">
        <f t="shared" si="20"/>
        <v>0</v>
      </c>
      <c r="E178" s="32">
        <v>72.5</v>
      </c>
      <c r="F178" s="8"/>
      <c r="G178" s="25">
        <f t="shared" si="21"/>
        <v>0</v>
      </c>
      <c r="H178" s="32">
        <v>72.5</v>
      </c>
      <c r="I178" s="32"/>
      <c r="J178" s="25">
        <f t="shared" si="22"/>
        <v>0</v>
      </c>
      <c r="K178" s="32">
        <v>72.5</v>
      </c>
      <c r="L178" s="31"/>
      <c r="M178" s="25">
        <f t="shared" si="23"/>
        <v>0</v>
      </c>
      <c r="N178" s="32">
        <v>72.5</v>
      </c>
      <c r="O178" s="32"/>
      <c r="P178" s="25">
        <f t="shared" si="24"/>
        <v>0</v>
      </c>
      <c r="Q178" s="32">
        <v>72.5</v>
      </c>
      <c r="R178" s="32"/>
      <c r="S178" s="25">
        <f t="shared" si="25"/>
        <v>0</v>
      </c>
      <c r="T178" s="32">
        <v>72.5</v>
      </c>
      <c r="U178" s="32"/>
      <c r="V178" s="25">
        <f t="shared" si="29"/>
        <v>0</v>
      </c>
      <c r="W178" s="32">
        <v>72.5</v>
      </c>
      <c r="X178" s="32">
        <f t="shared" si="26"/>
        <v>0</v>
      </c>
      <c r="Y178" s="25">
        <f t="shared" si="27"/>
        <v>0</v>
      </c>
      <c r="AD178" s="26"/>
    </row>
    <row r="179" spans="1:30" x14ac:dyDescent="0.2">
      <c r="A179" s="24">
        <f t="shared" si="28"/>
        <v>8.5440037453175304</v>
      </c>
      <c r="B179" s="32">
        <v>73</v>
      </c>
      <c r="C179" s="32"/>
      <c r="D179" s="25">
        <f t="shared" si="20"/>
        <v>0</v>
      </c>
      <c r="E179" s="32">
        <v>73</v>
      </c>
      <c r="F179" s="8"/>
      <c r="G179" s="25">
        <f t="shared" si="21"/>
        <v>0</v>
      </c>
      <c r="H179" s="32">
        <v>73</v>
      </c>
      <c r="I179" s="32"/>
      <c r="J179" s="25">
        <f t="shared" si="22"/>
        <v>0</v>
      </c>
      <c r="K179" s="32">
        <v>73</v>
      </c>
      <c r="L179" s="31"/>
      <c r="M179" s="25">
        <f t="shared" si="23"/>
        <v>0</v>
      </c>
      <c r="N179" s="32">
        <v>73</v>
      </c>
      <c r="O179" s="32"/>
      <c r="P179" s="25">
        <f t="shared" si="24"/>
        <v>0</v>
      </c>
      <c r="Q179" s="32">
        <v>73</v>
      </c>
      <c r="R179" s="32"/>
      <c r="S179" s="25">
        <f t="shared" si="25"/>
        <v>0</v>
      </c>
      <c r="T179" s="32">
        <v>73</v>
      </c>
      <c r="U179" s="32"/>
      <c r="V179" s="25">
        <f t="shared" si="29"/>
        <v>0</v>
      </c>
      <c r="W179" s="32">
        <v>73</v>
      </c>
      <c r="X179" s="32">
        <f t="shared" si="26"/>
        <v>0</v>
      </c>
      <c r="Y179" s="25">
        <f t="shared" si="27"/>
        <v>0</v>
      </c>
      <c r="AD179" s="26"/>
    </row>
    <row r="180" spans="1:30" x14ac:dyDescent="0.2">
      <c r="A180" s="24">
        <f t="shared" si="28"/>
        <v>8.5732140997411239</v>
      </c>
      <c r="B180" s="32">
        <v>73.5</v>
      </c>
      <c r="C180" s="32"/>
      <c r="D180" s="25">
        <f t="shared" si="20"/>
        <v>0</v>
      </c>
      <c r="E180" s="32">
        <v>73.5</v>
      </c>
      <c r="F180" s="8"/>
      <c r="G180" s="25">
        <f t="shared" si="21"/>
        <v>0</v>
      </c>
      <c r="H180" s="32">
        <v>73.5</v>
      </c>
      <c r="I180" s="32"/>
      <c r="J180" s="25">
        <f t="shared" si="22"/>
        <v>0</v>
      </c>
      <c r="K180" s="32">
        <v>73.5</v>
      </c>
      <c r="L180" s="31"/>
      <c r="M180" s="25">
        <f t="shared" si="23"/>
        <v>0</v>
      </c>
      <c r="N180" s="32">
        <v>73.5</v>
      </c>
      <c r="O180" s="32"/>
      <c r="P180" s="25">
        <f t="shared" si="24"/>
        <v>0</v>
      </c>
      <c r="Q180" s="32">
        <v>73.5</v>
      </c>
      <c r="R180" s="32"/>
      <c r="S180" s="25">
        <f t="shared" si="25"/>
        <v>0</v>
      </c>
      <c r="T180" s="32">
        <v>73.5</v>
      </c>
      <c r="U180" s="32"/>
      <c r="V180" s="25">
        <f t="shared" si="29"/>
        <v>0</v>
      </c>
      <c r="W180" s="32">
        <v>73.5</v>
      </c>
      <c r="X180" s="32">
        <f t="shared" si="26"/>
        <v>0</v>
      </c>
      <c r="Y180" s="25">
        <f t="shared" si="27"/>
        <v>0</v>
      </c>
      <c r="AD180" s="26"/>
    </row>
    <row r="181" spans="1:30" x14ac:dyDescent="0.2">
      <c r="A181" s="24">
        <f t="shared" si="28"/>
        <v>8.6023252670426267</v>
      </c>
      <c r="B181" s="32">
        <v>74</v>
      </c>
      <c r="C181" s="32"/>
      <c r="D181" s="25">
        <f t="shared" si="20"/>
        <v>0</v>
      </c>
      <c r="E181" s="32">
        <v>74</v>
      </c>
      <c r="F181" s="8"/>
      <c r="G181" s="25">
        <f t="shared" si="21"/>
        <v>0</v>
      </c>
      <c r="H181" s="32">
        <v>74</v>
      </c>
      <c r="I181" s="32"/>
      <c r="J181" s="25">
        <f t="shared" si="22"/>
        <v>0</v>
      </c>
      <c r="K181" s="32">
        <v>74</v>
      </c>
      <c r="L181" s="31"/>
      <c r="M181" s="25">
        <f t="shared" si="23"/>
        <v>0</v>
      </c>
      <c r="N181" s="32">
        <v>74</v>
      </c>
      <c r="O181" s="32"/>
      <c r="P181" s="25">
        <f t="shared" si="24"/>
        <v>0</v>
      </c>
      <c r="Q181" s="32">
        <v>74</v>
      </c>
      <c r="R181" s="32"/>
      <c r="S181" s="25">
        <f t="shared" si="25"/>
        <v>0</v>
      </c>
      <c r="T181" s="32">
        <v>74</v>
      </c>
      <c r="U181" s="32"/>
      <c r="V181" s="25">
        <f t="shared" si="29"/>
        <v>0</v>
      </c>
      <c r="W181" s="32">
        <v>74</v>
      </c>
      <c r="X181" s="32">
        <f t="shared" si="26"/>
        <v>0</v>
      </c>
      <c r="Y181" s="25">
        <f t="shared" si="27"/>
        <v>0</v>
      </c>
      <c r="AD181" s="26"/>
    </row>
    <row r="182" spans="1:30" x14ac:dyDescent="0.2">
      <c r="A182" s="24">
        <f t="shared" si="28"/>
        <v>8.6313382508160341</v>
      </c>
      <c r="B182" s="32">
        <v>74.5</v>
      </c>
      <c r="C182" s="32"/>
      <c r="D182" s="25">
        <f t="shared" si="20"/>
        <v>0</v>
      </c>
      <c r="E182" s="32">
        <v>74.5</v>
      </c>
      <c r="F182" s="8"/>
      <c r="G182" s="25">
        <f t="shared" si="21"/>
        <v>0</v>
      </c>
      <c r="H182" s="32">
        <v>74.5</v>
      </c>
      <c r="I182" s="32"/>
      <c r="J182" s="25">
        <f t="shared" si="22"/>
        <v>0</v>
      </c>
      <c r="K182" s="32">
        <v>74.5</v>
      </c>
      <c r="L182" s="31"/>
      <c r="M182" s="25">
        <f t="shared" si="23"/>
        <v>0</v>
      </c>
      <c r="N182" s="32">
        <v>74.5</v>
      </c>
      <c r="O182" s="32"/>
      <c r="P182" s="25">
        <f t="shared" si="24"/>
        <v>0</v>
      </c>
      <c r="Q182" s="32">
        <v>74.5</v>
      </c>
      <c r="R182" s="32"/>
      <c r="S182" s="25">
        <f t="shared" si="25"/>
        <v>0</v>
      </c>
      <c r="T182" s="32">
        <v>74.5</v>
      </c>
      <c r="U182" s="32"/>
      <c r="V182" s="25">
        <f t="shared" si="29"/>
        <v>0</v>
      </c>
      <c r="W182" s="32">
        <v>74.5</v>
      </c>
      <c r="X182" s="32">
        <f t="shared" si="26"/>
        <v>0</v>
      </c>
      <c r="Y182" s="25">
        <f t="shared" si="27"/>
        <v>0</v>
      </c>
      <c r="AD182" s="26"/>
    </row>
    <row r="183" spans="1:30" x14ac:dyDescent="0.2">
      <c r="A183" s="24">
        <f t="shared" si="28"/>
        <v>8.6602540378443873</v>
      </c>
      <c r="B183" s="32">
        <v>75</v>
      </c>
      <c r="C183" s="32"/>
      <c r="D183" s="25">
        <f t="shared" si="20"/>
        <v>0</v>
      </c>
      <c r="E183" s="32">
        <v>75</v>
      </c>
      <c r="F183" s="8"/>
      <c r="G183" s="25">
        <f t="shared" si="21"/>
        <v>0</v>
      </c>
      <c r="H183" s="32">
        <v>75</v>
      </c>
      <c r="I183" s="32"/>
      <c r="J183" s="25">
        <f t="shared" si="22"/>
        <v>0</v>
      </c>
      <c r="K183" s="32">
        <v>75</v>
      </c>
      <c r="L183" s="31"/>
      <c r="M183" s="25">
        <f t="shared" si="23"/>
        <v>0</v>
      </c>
      <c r="N183" s="32">
        <v>75</v>
      </c>
      <c r="O183" s="32"/>
      <c r="P183" s="25">
        <f t="shared" si="24"/>
        <v>0</v>
      </c>
      <c r="Q183" s="32">
        <v>75</v>
      </c>
      <c r="R183" s="32"/>
      <c r="S183" s="25">
        <f t="shared" si="25"/>
        <v>0</v>
      </c>
      <c r="T183" s="32">
        <v>75</v>
      </c>
      <c r="U183" s="32"/>
      <c r="V183" s="25">
        <f t="shared" si="29"/>
        <v>0</v>
      </c>
      <c r="W183" s="32">
        <v>75</v>
      </c>
      <c r="X183" s="32">
        <f t="shared" si="26"/>
        <v>0</v>
      </c>
      <c r="Y183" s="25">
        <f t="shared" si="27"/>
        <v>0</v>
      </c>
      <c r="AD183" s="26"/>
    </row>
    <row r="184" spans="1:30" x14ac:dyDescent="0.2">
      <c r="A184" s="24">
        <f t="shared" si="28"/>
        <v>8.6890735984913832</v>
      </c>
      <c r="B184" s="32">
        <v>75.5</v>
      </c>
      <c r="C184" s="32"/>
      <c r="D184" s="25">
        <f t="shared" si="20"/>
        <v>0</v>
      </c>
      <c r="E184" s="32">
        <v>75.5</v>
      </c>
      <c r="F184" s="8"/>
      <c r="G184" s="25">
        <f t="shared" si="21"/>
        <v>0</v>
      </c>
      <c r="H184" s="32">
        <v>75.5</v>
      </c>
      <c r="I184" s="32"/>
      <c r="J184" s="25">
        <f t="shared" si="22"/>
        <v>0</v>
      </c>
      <c r="K184" s="32">
        <v>75.5</v>
      </c>
      <c r="L184" s="31"/>
      <c r="M184" s="25">
        <f t="shared" si="23"/>
        <v>0</v>
      </c>
      <c r="N184" s="32">
        <v>75.5</v>
      </c>
      <c r="O184" s="32"/>
      <c r="P184" s="25">
        <f t="shared" si="24"/>
        <v>0</v>
      </c>
      <c r="Q184" s="32">
        <v>75.5</v>
      </c>
      <c r="R184" s="32"/>
      <c r="S184" s="25">
        <f t="shared" si="25"/>
        <v>0</v>
      </c>
      <c r="T184" s="32">
        <v>75.5</v>
      </c>
      <c r="U184" s="32"/>
      <c r="V184" s="25">
        <f t="shared" si="29"/>
        <v>0</v>
      </c>
      <c r="W184" s="32">
        <v>75.5</v>
      </c>
      <c r="X184" s="32">
        <f t="shared" si="26"/>
        <v>0</v>
      </c>
      <c r="Y184" s="25">
        <f t="shared" si="27"/>
        <v>0</v>
      </c>
      <c r="AD184" s="26"/>
    </row>
    <row r="185" spans="1:30" x14ac:dyDescent="0.2">
      <c r="A185" s="24">
        <f t="shared" si="28"/>
        <v>8.717797887081348</v>
      </c>
      <c r="B185" s="32">
        <v>76</v>
      </c>
      <c r="C185" s="32"/>
      <c r="D185" s="25">
        <f t="shared" si="20"/>
        <v>0</v>
      </c>
      <c r="E185" s="32">
        <v>76</v>
      </c>
      <c r="F185" s="8"/>
      <c r="G185" s="25">
        <f t="shared" si="21"/>
        <v>0</v>
      </c>
      <c r="H185" s="32">
        <v>76</v>
      </c>
      <c r="I185" s="32"/>
      <c r="J185" s="25">
        <f t="shared" si="22"/>
        <v>0</v>
      </c>
      <c r="K185" s="32">
        <v>76</v>
      </c>
      <c r="L185" s="31"/>
      <c r="M185" s="25">
        <f t="shared" si="23"/>
        <v>0</v>
      </c>
      <c r="N185" s="32">
        <v>76</v>
      </c>
      <c r="O185" s="32"/>
      <c r="P185" s="25">
        <f t="shared" si="24"/>
        <v>0</v>
      </c>
      <c r="Q185" s="32">
        <v>76</v>
      </c>
      <c r="R185" s="32"/>
      <c r="S185" s="25">
        <f t="shared" si="25"/>
        <v>0</v>
      </c>
      <c r="T185" s="32">
        <v>76</v>
      </c>
      <c r="U185" s="32"/>
      <c r="V185" s="25">
        <f t="shared" si="29"/>
        <v>0</v>
      </c>
      <c r="W185" s="32">
        <v>76</v>
      </c>
      <c r="X185" s="32">
        <f t="shared" si="26"/>
        <v>0</v>
      </c>
      <c r="Y185" s="25">
        <f t="shared" si="27"/>
        <v>0</v>
      </c>
      <c r="AD185" s="26"/>
    </row>
    <row r="186" spans="1:30" x14ac:dyDescent="0.2">
      <c r="A186" s="24">
        <f t="shared" si="28"/>
        <v>8.7464278422679502</v>
      </c>
      <c r="B186" s="32">
        <v>76.5</v>
      </c>
      <c r="C186" s="32"/>
      <c r="D186" s="25">
        <f t="shared" si="20"/>
        <v>0</v>
      </c>
      <c r="E186" s="32">
        <v>76.5</v>
      </c>
      <c r="F186" s="8"/>
      <c r="G186" s="25">
        <f t="shared" si="21"/>
        <v>0</v>
      </c>
      <c r="H186" s="32">
        <v>76.5</v>
      </c>
      <c r="I186" s="32"/>
      <c r="J186" s="25">
        <f t="shared" si="22"/>
        <v>0</v>
      </c>
      <c r="K186" s="32">
        <v>76.5</v>
      </c>
      <c r="L186" s="31"/>
      <c r="M186" s="25">
        <f t="shared" si="23"/>
        <v>0</v>
      </c>
      <c r="N186" s="32">
        <v>76.5</v>
      </c>
      <c r="O186" s="32"/>
      <c r="P186" s="25">
        <f t="shared" si="24"/>
        <v>0</v>
      </c>
      <c r="Q186" s="32">
        <v>76.5</v>
      </c>
      <c r="R186" s="32"/>
      <c r="S186" s="25">
        <f t="shared" si="25"/>
        <v>0</v>
      </c>
      <c r="T186" s="32">
        <v>76.5</v>
      </c>
      <c r="U186" s="32"/>
      <c r="V186" s="25">
        <f t="shared" si="29"/>
        <v>0</v>
      </c>
      <c r="W186" s="32">
        <v>76.5</v>
      </c>
      <c r="X186" s="32">
        <f t="shared" si="26"/>
        <v>0</v>
      </c>
      <c r="Y186" s="25">
        <f t="shared" si="27"/>
        <v>0</v>
      </c>
      <c r="AD186" s="26"/>
    </row>
    <row r="187" spans="1:30" x14ac:dyDescent="0.2">
      <c r="A187" s="24">
        <f t="shared" si="28"/>
        <v>8.7749643873921226</v>
      </c>
      <c r="B187" s="32">
        <v>77</v>
      </c>
      <c r="C187" s="32"/>
      <c r="D187" s="25">
        <f t="shared" si="20"/>
        <v>0</v>
      </c>
      <c r="E187" s="32">
        <v>77</v>
      </c>
      <c r="F187" s="8"/>
      <c r="G187" s="25">
        <f t="shared" si="21"/>
        <v>0</v>
      </c>
      <c r="H187" s="32">
        <v>77</v>
      </c>
      <c r="I187" s="32"/>
      <c r="J187" s="25">
        <f t="shared" si="22"/>
        <v>0</v>
      </c>
      <c r="K187" s="32">
        <v>77</v>
      </c>
      <c r="L187" s="31"/>
      <c r="M187" s="25">
        <f t="shared" si="23"/>
        <v>0</v>
      </c>
      <c r="N187" s="32">
        <v>77</v>
      </c>
      <c r="O187" s="32"/>
      <c r="P187" s="25">
        <f t="shared" si="24"/>
        <v>0</v>
      </c>
      <c r="Q187" s="32">
        <v>77</v>
      </c>
      <c r="R187" s="32"/>
      <c r="S187" s="25">
        <f t="shared" si="25"/>
        <v>0</v>
      </c>
      <c r="T187" s="32">
        <v>77</v>
      </c>
      <c r="U187" s="32"/>
      <c r="V187" s="25">
        <f t="shared" si="29"/>
        <v>0</v>
      </c>
      <c r="W187" s="32">
        <v>77</v>
      </c>
      <c r="X187" s="32">
        <f t="shared" si="26"/>
        <v>0</v>
      </c>
      <c r="Y187" s="25">
        <f t="shared" si="27"/>
        <v>0</v>
      </c>
      <c r="AD187" s="26"/>
    </row>
    <row r="188" spans="1:30" x14ac:dyDescent="0.2">
      <c r="A188" s="24">
        <f t="shared" si="28"/>
        <v>8.8034084308295046</v>
      </c>
      <c r="B188" s="32">
        <v>77.5</v>
      </c>
      <c r="C188" s="32"/>
      <c r="D188" s="25">
        <f t="shared" si="20"/>
        <v>0</v>
      </c>
      <c r="E188" s="32">
        <v>77.5</v>
      </c>
      <c r="F188" s="8"/>
      <c r="G188" s="25">
        <f t="shared" si="21"/>
        <v>0</v>
      </c>
      <c r="H188" s="32">
        <v>77.5</v>
      </c>
      <c r="I188" s="32"/>
      <c r="J188" s="25">
        <f t="shared" si="22"/>
        <v>0</v>
      </c>
      <c r="K188" s="32">
        <v>77.5</v>
      </c>
      <c r="L188" s="31"/>
      <c r="M188" s="25">
        <f t="shared" si="23"/>
        <v>0</v>
      </c>
      <c r="N188" s="32">
        <v>77.5</v>
      </c>
      <c r="O188" s="32"/>
      <c r="P188" s="25">
        <f t="shared" si="24"/>
        <v>0</v>
      </c>
      <c r="Q188" s="32">
        <v>77.5</v>
      </c>
      <c r="R188" s="32"/>
      <c r="S188" s="25">
        <f t="shared" si="25"/>
        <v>0</v>
      </c>
      <c r="T188" s="32">
        <v>77.5</v>
      </c>
      <c r="U188" s="32"/>
      <c r="V188" s="25">
        <f t="shared" si="29"/>
        <v>0</v>
      </c>
      <c r="W188" s="32">
        <v>77.5</v>
      </c>
      <c r="X188" s="32">
        <f t="shared" si="26"/>
        <v>0</v>
      </c>
      <c r="Y188" s="25">
        <f t="shared" si="27"/>
        <v>0</v>
      </c>
      <c r="AD188" s="26"/>
    </row>
    <row r="189" spans="1:30" x14ac:dyDescent="0.2">
      <c r="A189" s="24">
        <f t="shared" si="28"/>
        <v>8.8317608663278477</v>
      </c>
      <c r="B189" s="32">
        <v>78</v>
      </c>
      <c r="C189" s="32"/>
      <c r="D189" s="25">
        <f t="shared" si="20"/>
        <v>0</v>
      </c>
      <c r="E189" s="32">
        <v>78</v>
      </c>
      <c r="F189" s="8"/>
      <c r="G189" s="25">
        <f t="shared" si="21"/>
        <v>0</v>
      </c>
      <c r="H189" s="32">
        <v>78</v>
      </c>
      <c r="I189" s="32"/>
      <c r="J189" s="25">
        <f t="shared" si="22"/>
        <v>0</v>
      </c>
      <c r="K189" s="32">
        <v>78</v>
      </c>
      <c r="L189" s="31"/>
      <c r="M189" s="25">
        <f t="shared" si="23"/>
        <v>0</v>
      </c>
      <c r="N189" s="32">
        <v>78</v>
      </c>
      <c r="O189" s="32"/>
      <c r="P189" s="25">
        <f t="shared" si="24"/>
        <v>0</v>
      </c>
      <c r="Q189" s="32">
        <v>78</v>
      </c>
      <c r="R189" s="32"/>
      <c r="S189" s="25">
        <f t="shared" si="25"/>
        <v>0</v>
      </c>
      <c r="T189" s="32">
        <v>78</v>
      </c>
      <c r="U189" s="32"/>
      <c r="V189" s="25">
        <f t="shared" si="29"/>
        <v>0</v>
      </c>
      <c r="W189" s="32">
        <v>78</v>
      </c>
      <c r="X189" s="32">
        <f t="shared" si="26"/>
        <v>0</v>
      </c>
      <c r="Y189" s="25">
        <f t="shared" si="27"/>
        <v>0</v>
      </c>
      <c r="AD189" s="26"/>
    </row>
    <row r="190" spans="1:30" x14ac:dyDescent="0.2">
      <c r="A190" s="24">
        <f t="shared" si="28"/>
        <v>8.8600225733346747</v>
      </c>
      <c r="B190" s="32">
        <v>78.5</v>
      </c>
      <c r="C190" s="32"/>
      <c r="D190" s="25">
        <f t="shared" si="20"/>
        <v>0</v>
      </c>
      <c r="E190" s="32">
        <v>78.5</v>
      </c>
      <c r="F190" s="8"/>
      <c r="G190" s="25">
        <f t="shared" si="21"/>
        <v>0</v>
      </c>
      <c r="H190" s="32">
        <v>78.5</v>
      </c>
      <c r="I190" s="32"/>
      <c r="J190" s="25">
        <f t="shared" si="22"/>
        <v>0</v>
      </c>
      <c r="K190" s="32">
        <v>78.5</v>
      </c>
      <c r="L190" s="31"/>
      <c r="M190" s="25">
        <f t="shared" si="23"/>
        <v>0</v>
      </c>
      <c r="N190" s="32">
        <v>78.5</v>
      </c>
      <c r="O190" s="32"/>
      <c r="P190" s="25">
        <f t="shared" si="24"/>
        <v>0</v>
      </c>
      <c r="Q190" s="32">
        <v>78.5</v>
      </c>
      <c r="R190" s="32"/>
      <c r="S190" s="25">
        <f t="shared" si="25"/>
        <v>0</v>
      </c>
      <c r="T190" s="32">
        <v>78.5</v>
      </c>
      <c r="U190" s="32"/>
      <c r="V190" s="25">
        <f t="shared" si="29"/>
        <v>0</v>
      </c>
      <c r="W190" s="32">
        <v>78.5</v>
      </c>
      <c r="X190" s="32">
        <f t="shared" si="26"/>
        <v>0</v>
      </c>
      <c r="Y190" s="25">
        <f t="shared" si="27"/>
        <v>0</v>
      </c>
      <c r="AD190" s="26"/>
    </row>
    <row r="191" spans="1:30" x14ac:dyDescent="0.2">
      <c r="A191" s="24">
        <f t="shared" si="28"/>
        <v>8.8881944173155887</v>
      </c>
      <c r="B191" s="32">
        <v>79</v>
      </c>
      <c r="C191" s="32"/>
      <c r="D191" s="25">
        <f t="shared" si="20"/>
        <v>0</v>
      </c>
      <c r="E191" s="32">
        <v>79</v>
      </c>
      <c r="F191" s="8"/>
      <c r="G191" s="25">
        <f t="shared" si="21"/>
        <v>0</v>
      </c>
      <c r="H191" s="32">
        <v>79</v>
      </c>
      <c r="I191" s="32"/>
      <c r="J191" s="25">
        <f t="shared" si="22"/>
        <v>0</v>
      </c>
      <c r="K191" s="32">
        <v>79</v>
      </c>
      <c r="L191" s="31"/>
      <c r="M191" s="25">
        <f t="shared" si="23"/>
        <v>0</v>
      </c>
      <c r="N191" s="32">
        <v>79</v>
      </c>
      <c r="O191" s="32"/>
      <c r="P191" s="25">
        <f t="shared" si="24"/>
        <v>0</v>
      </c>
      <c r="Q191" s="32">
        <v>79</v>
      </c>
      <c r="R191" s="32"/>
      <c r="S191" s="25">
        <f t="shared" si="25"/>
        <v>0</v>
      </c>
      <c r="T191" s="32">
        <v>79</v>
      </c>
      <c r="U191" s="32"/>
      <c r="V191" s="25">
        <f t="shared" si="29"/>
        <v>0</v>
      </c>
      <c r="W191" s="32">
        <v>79</v>
      </c>
      <c r="X191" s="32">
        <f t="shared" si="26"/>
        <v>0</v>
      </c>
      <c r="Y191" s="25">
        <f t="shared" si="27"/>
        <v>0</v>
      </c>
      <c r="AD191" s="26"/>
    </row>
    <row r="192" spans="1:30" x14ac:dyDescent="0.2">
      <c r="A192" s="24">
        <f t="shared" si="28"/>
        <v>8.9162772500635032</v>
      </c>
      <c r="B192" s="32">
        <v>79.5</v>
      </c>
      <c r="C192" s="32"/>
      <c r="D192" s="25">
        <f t="shared" si="20"/>
        <v>0</v>
      </c>
      <c r="E192" s="32">
        <v>79.5</v>
      </c>
      <c r="F192" s="8"/>
      <c r="G192" s="25">
        <f t="shared" si="21"/>
        <v>0</v>
      </c>
      <c r="H192" s="32">
        <v>79.5</v>
      </c>
      <c r="I192" s="32"/>
      <c r="J192" s="25">
        <f t="shared" si="22"/>
        <v>0</v>
      </c>
      <c r="K192" s="32">
        <v>79.5</v>
      </c>
      <c r="L192" s="31"/>
      <c r="M192" s="25">
        <f t="shared" si="23"/>
        <v>0</v>
      </c>
      <c r="N192" s="32">
        <v>79.5</v>
      </c>
      <c r="O192" s="32"/>
      <c r="P192" s="25">
        <f t="shared" si="24"/>
        <v>0</v>
      </c>
      <c r="Q192" s="32">
        <v>79.5</v>
      </c>
      <c r="R192" s="32"/>
      <c r="S192" s="25">
        <f t="shared" si="25"/>
        <v>0</v>
      </c>
      <c r="T192" s="32">
        <v>79.5</v>
      </c>
      <c r="U192" s="32"/>
      <c r="V192" s="25">
        <f t="shared" si="29"/>
        <v>0</v>
      </c>
      <c r="W192" s="32">
        <v>79.5</v>
      </c>
      <c r="X192" s="32">
        <f t="shared" si="26"/>
        <v>0</v>
      </c>
      <c r="Y192" s="25">
        <f t="shared" si="27"/>
        <v>0</v>
      </c>
      <c r="AD192" s="26"/>
    </row>
    <row r="193" spans="1:30" x14ac:dyDescent="0.2">
      <c r="A193" s="24">
        <f t="shared" si="28"/>
        <v>8.9442719099991592</v>
      </c>
      <c r="B193" s="32">
        <v>80</v>
      </c>
      <c r="C193" s="32"/>
      <c r="D193" s="25">
        <f t="shared" si="20"/>
        <v>0</v>
      </c>
      <c r="E193" s="32">
        <v>80</v>
      </c>
      <c r="F193" s="8"/>
      <c r="G193" s="25">
        <f t="shared" si="21"/>
        <v>0</v>
      </c>
      <c r="H193" s="32">
        <v>80</v>
      </c>
      <c r="I193" s="32"/>
      <c r="J193" s="25">
        <f t="shared" si="22"/>
        <v>0</v>
      </c>
      <c r="K193" s="32">
        <v>80</v>
      </c>
      <c r="L193" s="31"/>
      <c r="M193" s="25">
        <f t="shared" si="23"/>
        <v>0</v>
      </c>
      <c r="N193" s="32">
        <v>80</v>
      </c>
      <c r="O193" s="32"/>
      <c r="P193" s="25">
        <f t="shared" si="24"/>
        <v>0</v>
      </c>
      <c r="Q193" s="32">
        <v>80</v>
      </c>
      <c r="R193" s="32"/>
      <c r="S193" s="25">
        <f t="shared" si="25"/>
        <v>0</v>
      </c>
      <c r="T193" s="32">
        <v>80</v>
      </c>
      <c r="U193" s="32"/>
      <c r="V193" s="25">
        <f t="shared" si="29"/>
        <v>0</v>
      </c>
      <c r="W193" s="32">
        <v>80</v>
      </c>
      <c r="X193" s="32">
        <f t="shared" si="26"/>
        <v>0</v>
      </c>
      <c r="Y193" s="25">
        <f t="shared" si="27"/>
        <v>0</v>
      </c>
      <c r="AD193" s="26"/>
    </row>
    <row r="194" spans="1:30" x14ac:dyDescent="0.2">
      <c r="A194" s="24">
        <f t="shared" si="28"/>
        <v>8.9721792224631809</v>
      </c>
      <c r="B194" s="32">
        <v>80.5</v>
      </c>
      <c r="C194" s="32"/>
      <c r="D194" s="25">
        <f t="shared" si="20"/>
        <v>0</v>
      </c>
      <c r="E194" s="32">
        <v>80.5</v>
      </c>
      <c r="F194" s="8"/>
      <c r="G194" s="25">
        <f t="shared" si="21"/>
        <v>0</v>
      </c>
      <c r="H194" s="32">
        <v>80.5</v>
      </c>
      <c r="I194" s="32"/>
      <c r="J194" s="25">
        <f t="shared" si="22"/>
        <v>0</v>
      </c>
      <c r="K194" s="32">
        <v>80.5</v>
      </c>
      <c r="L194" s="31"/>
      <c r="M194" s="25">
        <f t="shared" si="23"/>
        <v>0</v>
      </c>
      <c r="N194" s="32">
        <v>80.5</v>
      </c>
      <c r="O194" s="32"/>
      <c r="P194" s="25">
        <f t="shared" si="24"/>
        <v>0</v>
      </c>
      <c r="Q194" s="32">
        <v>80.5</v>
      </c>
      <c r="R194" s="32"/>
      <c r="S194" s="25">
        <f t="shared" si="25"/>
        <v>0</v>
      </c>
      <c r="T194" s="32">
        <v>80.5</v>
      </c>
      <c r="U194" s="32"/>
      <c r="V194" s="25">
        <f t="shared" si="29"/>
        <v>0</v>
      </c>
      <c r="W194" s="32">
        <v>80.5</v>
      </c>
      <c r="X194" s="32">
        <f t="shared" si="26"/>
        <v>0</v>
      </c>
      <c r="Y194" s="25">
        <f t="shared" si="27"/>
        <v>0</v>
      </c>
      <c r="AD194" s="26"/>
    </row>
    <row r="195" spans="1:30" x14ac:dyDescent="0.2">
      <c r="A195" s="24">
        <f t="shared" si="28"/>
        <v>9</v>
      </c>
      <c r="B195" s="32">
        <v>81</v>
      </c>
      <c r="C195" s="32"/>
      <c r="D195" s="25">
        <f t="shared" si="20"/>
        <v>0</v>
      </c>
      <c r="E195" s="32">
        <v>81</v>
      </c>
      <c r="F195" s="8"/>
      <c r="G195" s="25">
        <f t="shared" si="21"/>
        <v>0</v>
      </c>
      <c r="H195" s="32">
        <v>81</v>
      </c>
      <c r="I195" s="32"/>
      <c r="J195" s="25">
        <f t="shared" si="22"/>
        <v>0</v>
      </c>
      <c r="K195" s="32">
        <v>81</v>
      </c>
      <c r="L195" s="31"/>
      <c r="M195" s="25">
        <f t="shared" si="23"/>
        <v>0</v>
      </c>
      <c r="N195" s="32">
        <v>81</v>
      </c>
      <c r="O195" s="32"/>
      <c r="P195" s="25">
        <f t="shared" si="24"/>
        <v>0</v>
      </c>
      <c r="Q195" s="32">
        <v>81</v>
      </c>
      <c r="R195" s="32"/>
      <c r="S195" s="25">
        <f t="shared" si="25"/>
        <v>0</v>
      </c>
      <c r="T195" s="32">
        <v>81</v>
      </c>
      <c r="U195" s="32"/>
      <c r="V195" s="25">
        <f t="shared" si="29"/>
        <v>0</v>
      </c>
      <c r="W195" s="32">
        <v>81</v>
      </c>
      <c r="X195" s="32">
        <f t="shared" si="26"/>
        <v>0</v>
      </c>
      <c r="Y195" s="25">
        <f t="shared" si="27"/>
        <v>0</v>
      </c>
      <c r="AD195" s="26"/>
    </row>
    <row r="196" spans="1:30" x14ac:dyDescent="0.2">
      <c r="A196" s="24">
        <f t="shared" si="28"/>
        <v>9.0277350426338945</v>
      </c>
      <c r="B196" s="32">
        <v>81.5</v>
      </c>
      <c r="C196" s="32"/>
      <c r="D196" s="25">
        <f t="shared" si="20"/>
        <v>0</v>
      </c>
      <c r="E196" s="32">
        <v>81.5</v>
      </c>
      <c r="F196" s="8"/>
      <c r="G196" s="25">
        <f t="shared" si="21"/>
        <v>0</v>
      </c>
      <c r="H196" s="32">
        <v>81.5</v>
      </c>
      <c r="I196" s="32"/>
      <c r="J196" s="25">
        <f t="shared" si="22"/>
        <v>0</v>
      </c>
      <c r="K196" s="32">
        <v>81.5</v>
      </c>
      <c r="L196" s="31"/>
      <c r="M196" s="25">
        <f t="shared" si="23"/>
        <v>0</v>
      </c>
      <c r="N196" s="32">
        <v>81.5</v>
      </c>
      <c r="O196" s="32"/>
      <c r="P196" s="25">
        <f t="shared" si="24"/>
        <v>0</v>
      </c>
      <c r="Q196" s="32">
        <v>81.5</v>
      </c>
      <c r="R196" s="32"/>
      <c r="S196" s="25">
        <f t="shared" si="25"/>
        <v>0</v>
      </c>
      <c r="T196" s="32">
        <v>81.5</v>
      </c>
      <c r="U196" s="32"/>
      <c r="V196" s="25">
        <f t="shared" si="29"/>
        <v>0</v>
      </c>
      <c r="W196" s="32">
        <v>81.5</v>
      </c>
      <c r="X196" s="32">
        <f t="shared" si="26"/>
        <v>0</v>
      </c>
      <c r="Y196" s="25">
        <f t="shared" si="27"/>
        <v>0</v>
      </c>
      <c r="AD196" s="26"/>
    </row>
    <row r="197" spans="1:30" x14ac:dyDescent="0.2">
      <c r="A197" s="24">
        <f t="shared" si="28"/>
        <v>9.0553851381374173</v>
      </c>
      <c r="B197" s="32">
        <v>82</v>
      </c>
      <c r="C197" s="32"/>
      <c r="D197" s="25">
        <f t="shared" ref="D197:D260" si="30">C197</f>
        <v>0</v>
      </c>
      <c r="E197" s="32">
        <v>82</v>
      </c>
      <c r="F197" s="8"/>
      <c r="G197" s="25">
        <f t="shared" ref="G197:G260" si="31">F197+$AB$2</f>
        <v>0</v>
      </c>
      <c r="H197" s="32">
        <v>82</v>
      </c>
      <c r="I197" s="32"/>
      <c r="J197" s="25">
        <f t="shared" ref="J197:J260" si="32">I197+$AB$3</f>
        <v>0</v>
      </c>
      <c r="K197" s="32">
        <v>82</v>
      </c>
      <c r="L197" s="31"/>
      <c r="M197" s="25">
        <f t="shared" ref="M197:M260" si="33">L197+$AB$4</f>
        <v>0</v>
      </c>
      <c r="N197" s="32">
        <v>82</v>
      </c>
      <c r="O197" s="32"/>
      <c r="P197" s="25">
        <f t="shared" ref="P197:P260" si="34">O197+$AB$5</f>
        <v>0</v>
      </c>
      <c r="Q197" s="32">
        <v>82</v>
      </c>
      <c r="R197" s="32"/>
      <c r="S197" s="25">
        <f t="shared" ref="S197:S260" si="35">R197+$AB$6</f>
        <v>0</v>
      </c>
      <c r="T197" s="32">
        <v>82</v>
      </c>
      <c r="U197" s="32"/>
      <c r="V197" s="25">
        <f t="shared" si="29"/>
        <v>0</v>
      </c>
      <c r="W197" s="32">
        <v>82</v>
      </c>
      <c r="X197" s="32">
        <f t="shared" ref="X197:X260" si="36">U197</f>
        <v>0</v>
      </c>
      <c r="Y197" s="25">
        <f t="shared" ref="Y197:Y260" si="37">X197+$AB$8</f>
        <v>0</v>
      </c>
      <c r="AD197" s="26"/>
    </row>
    <row r="198" spans="1:30" x14ac:dyDescent="0.2">
      <c r="A198" s="24">
        <f t="shared" ref="A198:A261" si="38">SQRT(B198)</f>
        <v>9.0829510622924747</v>
      </c>
      <c r="B198" s="32">
        <v>82.5</v>
      </c>
      <c r="C198" s="32"/>
      <c r="D198" s="25">
        <f t="shared" si="30"/>
        <v>0</v>
      </c>
      <c r="E198" s="32">
        <v>82.5</v>
      </c>
      <c r="F198" s="8"/>
      <c r="G198" s="25">
        <f t="shared" si="31"/>
        <v>0</v>
      </c>
      <c r="H198" s="32">
        <v>82.5</v>
      </c>
      <c r="I198" s="32"/>
      <c r="J198" s="25">
        <f t="shared" si="32"/>
        <v>0</v>
      </c>
      <c r="K198" s="32">
        <v>82.5</v>
      </c>
      <c r="L198" s="31"/>
      <c r="M198" s="25">
        <f t="shared" si="33"/>
        <v>0</v>
      </c>
      <c r="N198" s="32">
        <v>82.5</v>
      </c>
      <c r="O198" s="32"/>
      <c r="P198" s="25">
        <f t="shared" si="34"/>
        <v>0</v>
      </c>
      <c r="Q198" s="32">
        <v>82.5</v>
      </c>
      <c r="R198" s="32"/>
      <c r="S198" s="25">
        <f t="shared" si="35"/>
        <v>0</v>
      </c>
      <c r="T198" s="32">
        <v>82.5</v>
      </c>
      <c r="U198" s="32"/>
      <c r="V198" s="25">
        <f t="shared" ref="V198:V261" si="39">Y198</f>
        <v>0</v>
      </c>
      <c r="W198" s="32">
        <v>82.5</v>
      </c>
      <c r="X198" s="32">
        <f t="shared" si="36"/>
        <v>0</v>
      </c>
      <c r="Y198" s="25">
        <f t="shared" si="37"/>
        <v>0</v>
      </c>
      <c r="AD198" s="26"/>
    </row>
    <row r="199" spans="1:30" x14ac:dyDescent="0.2">
      <c r="A199" s="24">
        <f t="shared" si="38"/>
        <v>9.1104335791442992</v>
      </c>
      <c r="B199" s="32">
        <v>83</v>
      </c>
      <c r="C199" s="32"/>
      <c r="D199" s="25">
        <f t="shared" si="30"/>
        <v>0</v>
      </c>
      <c r="E199" s="32">
        <v>83</v>
      </c>
      <c r="F199" s="8"/>
      <c r="G199" s="25">
        <f t="shared" si="31"/>
        <v>0</v>
      </c>
      <c r="H199" s="32">
        <v>83</v>
      </c>
      <c r="I199" s="32"/>
      <c r="J199" s="25">
        <f t="shared" si="32"/>
        <v>0</v>
      </c>
      <c r="K199" s="32">
        <v>83</v>
      </c>
      <c r="L199" s="31"/>
      <c r="M199" s="25">
        <f t="shared" si="33"/>
        <v>0</v>
      </c>
      <c r="N199" s="32">
        <v>83</v>
      </c>
      <c r="O199" s="32"/>
      <c r="P199" s="25">
        <f t="shared" si="34"/>
        <v>0</v>
      </c>
      <c r="Q199" s="32">
        <v>83</v>
      </c>
      <c r="R199" s="32"/>
      <c r="S199" s="25">
        <f t="shared" si="35"/>
        <v>0</v>
      </c>
      <c r="T199" s="32">
        <v>83</v>
      </c>
      <c r="U199" s="32"/>
      <c r="V199" s="25">
        <f t="shared" si="39"/>
        <v>0</v>
      </c>
      <c r="W199" s="32">
        <v>83</v>
      </c>
      <c r="X199" s="32">
        <f t="shared" si="36"/>
        <v>0</v>
      </c>
      <c r="Y199" s="25">
        <f t="shared" si="37"/>
        <v>0</v>
      </c>
      <c r="AD199" s="26"/>
    </row>
    <row r="200" spans="1:30" x14ac:dyDescent="0.2">
      <c r="A200" s="24">
        <f t="shared" si="38"/>
        <v>9.1378334412485334</v>
      </c>
      <c r="B200" s="32">
        <v>83.5</v>
      </c>
      <c r="C200" s="32"/>
      <c r="D200" s="25">
        <f t="shared" si="30"/>
        <v>0</v>
      </c>
      <c r="E200" s="32">
        <v>83.5</v>
      </c>
      <c r="F200" s="8"/>
      <c r="G200" s="25">
        <f t="shared" si="31"/>
        <v>0</v>
      </c>
      <c r="H200" s="32">
        <v>83.5</v>
      </c>
      <c r="I200" s="32"/>
      <c r="J200" s="25">
        <f t="shared" si="32"/>
        <v>0</v>
      </c>
      <c r="K200" s="32">
        <v>83.5</v>
      </c>
      <c r="L200" s="31"/>
      <c r="M200" s="25">
        <f t="shared" si="33"/>
        <v>0</v>
      </c>
      <c r="N200" s="32">
        <v>83.5</v>
      </c>
      <c r="O200" s="32"/>
      <c r="P200" s="25">
        <f t="shared" si="34"/>
        <v>0</v>
      </c>
      <c r="Q200" s="32">
        <v>83.5</v>
      </c>
      <c r="R200" s="32"/>
      <c r="S200" s="25">
        <f t="shared" si="35"/>
        <v>0</v>
      </c>
      <c r="T200" s="32">
        <v>83.5</v>
      </c>
      <c r="U200" s="32"/>
      <c r="V200" s="25">
        <f t="shared" si="39"/>
        <v>0</v>
      </c>
      <c r="W200" s="32">
        <v>83.5</v>
      </c>
      <c r="X200" s="32">
        <f t="shared" si="36"/>
        <v>0</v>
      </c>
      <c r="Y200" s="25">
        <f t="shared" si="37"/>
        <v>0</v>
      </c>
      <c r="AD200" s="26"/>
    </row>
    <row r="201" spans="1:30" x14ac:dyDescent="0.2">
      <c r="A201" s="24">
        <f t="shared" si="38"/>
        <v>9.1651513899116797</v>
      </c>
      <c r="B201" s="32">
        <v>84</v>
      </c>
      <c r="C201" s="32"/>
      <c r="D201" s="25">
        <f t="shared" si="30"/>
        <v>0</v>
      </c>
      <c r="E201" s="32">
        <v>84</v>
      </c>
      <c r="F201" s="8"/>
      <c r="G201" s="25">
        <f t="shared" si="31"/>
        <v>0</v>
      </c>
      <c r="H201" s="32">
        <v>84</v>
      </c>
      <c r="I201" s="32"/>
      <c r="J201" s="25">
        <f t="shared" si="32"/>
        <v>0</v>
      </c>
      <c r="K201" s="32">
        <v>84</v>
      </c>
      <c r="L201" s="31"/>
      <c r="M201" s="25">
        <f t="shared" si="33"/>
        <v>0</v>
      </c>
      <c r="N201" s="32">
        <v>84</v>
      </c>
      <c r="O201" s="32"/>
      <c r="P201" s="25">
        <f t="shared" si="34"/>
        <v>0</v>
      </c>
      <c r="Q201" s="32">
        <v>84</v>
      </c>
      <c r="R201" s="32"/>
      <c r="S201" s="25">
        <f t="shared" si="35"/>
        <v>0</v>
      </c>
      <c r="T201" s="32">
        <v>84</v>
      </c>
      <c r="U201" s="32"/>
      <c r="V201" s="25">
        <f t="shared" si="39"/>
        <v>0</v>
      </c>
      <c r="W201" s="32">
        <v>84</v>
      </c>
      <c r="X201" s="32">
        <f t="shared" si="36"/>
        <v>0</v>
      </c>
      <c r="Y201" s="25">
        <f t="shared" si="37"/>
        <v>0</v>
      </c>
      <c r="AD201" s="26"/>
    </row>
    <row r="202" spans="1:30" x14ac:dyDescent="0.2">
      <c r="A202" s="24">
        <f t="shared" si="38"/>
        <v>9.1923881554251174</v>
      </c>
      <c r="B202" s="32">
        <v>84.5</v>
      </c>
      <c r="C202" s="32"/>
      <c r="D202" s="25">
        <f t="shared" si="30"/>
        <v>0</v>
      </c>
      <c r="E202" s="32">
        <v>84.5</v>
      </c>
      <c r="F202" s="8"/>
      <c r="G202" s="25">
        <f t="shared" si="31"/>
        <v>0</v>
      </c>
      <c r="H202" s="32">
        <v>84.5</v>
      </c>
      <c r="I202" s="32"/>
      <c r="J202" s="25">
        <f t="shared" si="32"/>
        <v>0</v>
      </c>
      <c r="K202" s="32">
        <v>84.5</v>
      </c>
      <c r="L202" s="31"/>
      <c r="M202" s="25">
        <f t="shared" si="33"/>
        <v>0</v>
      </c>
      <c r="N202" s="32">
        <v>84.5</v>
      </c>
      <c r="O202" s="32"/>
      <c r="P202" s="25">
        <f t="shared" si="34"/>
        <v>0</v>
      </c>
      <c r="Q202" s="32">
        <v>84.5</v>
      </c>
      <c r="R202" s="32"/>
      <c r="S202" s="25">
        <f t="shared" si="35"/>
        <v>0</v>
      </c>
      <c r="T202" s="32">
        <v>84.5</v>
      </c>
      <c r="U202" s="32"/>
      <c r="V202" s="25">
        <f t="shared" si="39"/>
        <v>0</v>
      </c>
      <c r="W202" s="32">
        <v>84.5</v>
      </c>
      <c r="X202" s="32">
        <f t="shared" si="36"/>
        <v>0</v>
      </c>
      <c r="Y202" s="25">
        <f t="shared" si="37"/>
        <v>0</v>
      </c>
      <c r="AD202" s="26"/>
    </row>
    <row r="203" spans="1:30" x14ac:dyDescent="0.2">
      <c r="A203" s="24">
        <f t="shared" si="38"/>
        <v>9.2195444572928871</v>
      </c>
      <c r="B203" s="32">
        <v>85</v>
      </c>
      <c r="C203" s="32"/>
      <c r="D203" s="25">
        <f t="shared" si="30"/>
        <v>0</v>
      </c>
      <c r="E203" s="32">
        <v>85</v>
      </c>
      <c r="F203" s="8"/>
      <c r="G203" s="25">
        <f t="shared" si="31"/>
        <v>0</v>
      </c>
      <c r="H203" s="32">
        <v>85</v>
      </c>
      <c r="I203" s="32"/>
      <c r="J203" s="25">
        <f t="shared" si="32"/>
        <v>0</v>
      </c>
      <c r="K203" s="32">
        <v>85</v>
      </c>
      <c r="L203" s="31"/>
      <c r="M203" s="25">
        <f t="shared" si="33"/>
        <v>0</v>
      </c>
      <c r="N203" s="32">
        <v>85</v>
      </c>
      <c r="O203" s="32"/>
      <c r="P203" s="25">
        <f t="shared" si="34"/>
        <v>0</v>
      </c>
      <c r="Q203" s="32">
        <v>85</v>
      </c>
      <c r="R203" s="32"/>
      <c r="S203" s="25">
        <f t="shared" si="35"/>
        <v>0</v>
      </c>
      <c r="T203" s="32">
        <v>85</v>
      </c>
      <c r="U203" s="32"/>
      <c r="V203" s="25">
        <f t="shared" si="39"/>
        <v>0</v>
      </c>
      <c r="W203" s="32">
        <v>85</v>
      </c>
      <c r="X203" s="32">
        <f t="shared" si="36"/>
        <v>0</v>
      </c>
      <c r="Y203" s="25">
        <f t="shared" si="37"/>
        <v>0</v>
      </c>
      <c r="AD203" s="26"/>
    </row>
    <row r="204" spans="1:30" x14ac:dyDescent="0.2">
      <c r="A204" s="24">
        <f t="shared" si="38"/>
        <v>9.2466210044534645</v>
      </c>
      <c r="B204" s="32">
        <v>85.5</v>
      </c>
      <c r="C204" s="32"/>
      <c r="D204" s="25">
        <f t="shared" si="30"/>
        <v>0</v>
      </c>
      <c r="E204" s="32">
        <v>85.5</v>
      </c>
      <c r="F204" s="8"/>
      <c r="G204" s="25">
        <f t="shared" si="31"/>
        <v>0</v>
      </c>
      <c r="H204" s="32">
        <v>85.5</v>
      </c>
      <c r="I204" s="32"/>
      <c r="J204" s="25">
        <f t="shared" si="32"/>
        <v>0</v>
      </c>
      <c r="K204" s="32">
        <v>85.5</v>
      </c>
      <c r="L204" s="31"/>
      <c r="M204" s="25">
        <f t="shared" si="33"/>
        <v>0</v>
      </c>
      <c r="N204" s="32">
        <v>85.5</v>
      </c>
      <c r="O204" s="32"/>
      <c r="P204" s="25">
        <f t="shared" si="34"/>
        <v>0</v>
      </c>
      <c r="Q204" s="32">
        <v>85.5</v>
      </c>
      <c r="R204" s="32"/>
      <c r="S204" s="25">
        <f t="shared" si="35"/>
        <v>0</v>
      </c>
      <c r="T204" s="32">
        <v>85.5</v>
      </c>
      <c r="U204" s="32"/>
      <c r="V204" s="25">
        <f t="shared" si="39"/>
        <v>0</v>
      </c>
      <c r="W204" s="32">
        <v>85.5</v>
      </c>
      <c r="X204" s="32">
        <f t="shared" si="36"/>
        <v>0</v>
      </c>
      <c r="Y204" s="25">
        <f t="shared" si="37"/>
        <v>0</v>
      </c>
      <c r="AD204" s="26"/>
    </row>
    <row r="205" spans="1:30" x14ac:dyDescent="0.2">
      <c r="A205" s="24">
        <f t="shared" si="38"/>
        <v>9.2736184954957039</v>
      </c>
      <c r="B205" s="32">
        <v>86</v>
      </c>
      <c r="C205" s="32"/>
      <c r="D205" s="25">
        <f t="shared" si="30"/>
        <v>0</v>
      </c>
      <c r="E205" s="32">
        <v>86</v>
      </c>
      <c r="F205" s="8"/>
      <c r="G205" s="25">
        <f t="shared" si="31"/>
        <v>0</v>
      </c>
      <c r="H205" s="32">
        <v>86</v>
      </c>
      <c r="I205" s="32"/>
      <c r="J205" s="25">
        <f t="shared" si="32"/>
        <v>0</v>
      </c>
      <c r="K205" s="32">
        <v>86</v>
      </c>
      <c r="L205" s="31"/>
      <c r="M205" s="25">
        <f t="shared" si="33"/>
        <v>0</v>
      </c>
      <c r="N205" s="32">
        <v>86</v>
      </c>
      <c r="O205" s="32"/>
      <c r="P205" s="25">
        <f t="shared" si="34"/>
        <v>0</v>
      </c>
      <c r="Q205" s="32">
        <v>86</v>
      </c>
      <c r="R205" s="32"/>
      <c r="S205" s="25">
        <f t="shared" si="35"/>
        <v>0</v>
      </c>
      <c r="T205" s="32">
        <v>86</v>
      </c>
      <c r="U205" s="32"/>
      <c r="V205" s="25">
        <f t="shared" si="39"/>
        <v>0</v>
      </c>
      <c r="W205" s="32">
        <v>86</v>
      </c>
      <c r="X205" s="32">
        <f t="shared" si="36"/>
        <v>0</v>
      </c>
      <c r="Y205" s="25">
        <f t="shared" si="37"/>
        <v>0</v>
      </c>
      <c r="AD205" s="26"/>
    </row>
    <row r="206" spans="1:30" x14ac:dyDescent="0.2">
      <c r="A206" s="24">
        <f t="shared" si="38"/>
        <v>9.3005376188691375</v>
      </c>
      <c r="B206" s="32">
        <v>86.5</v>
      </c>
      <c r="C206" s="32"/>
      <c r="D206" s="25">
        <f t="shared" si="30"/>
        <v>0</v>
      </c>
      <c r="E206" s="32">
        <v>86.5</v>
      </c>
      <c r="F206" s="8"/>
      <c r="G206" s="25">
        <f t="shared" si="31"/>
        <v>0</v>
      </c>
      <c r="H206" s="32">
        <v>86.5</v>
      </c>
      <c r="I206" s="32"/>
      <c r="J206" s="25">
        <f t="shared" si="32"/>
        <v>0</v>
      </c>
      <c r="K206" s="32">
        <v>86.5</v>
      </c>
      <c r="L206" s="31"/>
      <c r="M206" s="25">
        <f t="shared" si="33"/>
        <v>0</v>
      </c>
      <c r="N206" s="32">
        <v>86.5</v>
      </c>
      <c r="O206" s="32"/>
      <c r="P206" s="25">
        <f t="shared" si="34"/>
        <v>0</v>
      </c>
      <c r="Q206" s="32">
        <v>86.5</v>
      </c>
      <c r="R206" s="32"/>
      <c r="S206" s="25">
        <f t="shared" si="35"/>
        <v>0</v>
      </c>
      <c r="T206" s="32">
        <v>86.5</v>
      </c>
      <c r="U206" s="32"/>
      <c r="V206" s="25">
        <f t="shared" si="39"/>
        <v>0</v>
      </c>
      <c r="W206" s="32">
        <v>86.5</v>
      </c>
      <c r="X206" s="32">
        <f t="shared" si="36"/>
        <v>0</v>
      </c>
      <c r="Y206" s="25">
        <f t="shared" si="37"/>
        <v>0</v>
      </c>
      <c r="AD206" s="26"/>
    </row>
    <row r="207" spans="1:30" x14ac:dyDescent="0.2">
      <c r="A207" s="24">
        <f t="shared" si="38"/>
        <v>9.3273790530888157</v>
      </c>
      <c r="B207" s="32">
        <v>87</v>
      </c>
      <c r="C207" s="32"/>
      <c r="D207" s="25">
        <f t="shared" si="30"/>
        <v>0</v>
      </c>
      <c r="E207" s="32">
        <v>87</v>
      </c>
      <c r="F207" s="8"/>
      <c r="G207" s="25">
        <f t="shared" si="31"/>
        <v>0</v>
      </c>
      <c r="H207" s="32">
        <v>87</v>
      </c>
      <c r="I207" s="32"/>
      <c r="J207" s="25">
        <f t="shared" si="32"/>
        <v>0</v>
      </c>
      <c r="K207" s="32">
        <v>87</v>
      </c>
      <c r="L207" s="31"/>
      <c r="M207" s="25">
        <f t="shared" si="33"/>
        <v>0</v>
      </c>
      <c r="N207" s="32">
        <v>87</v>
      </c>
      <c r="O207" s="32"/>
      <c r="P207" s="25">
        <f t="shared" si="34"/>
        <v>0</v>
      </c>
      <c r="Q207" s="32">
        <v>87</v>
      </c>
      <c r="R207" s="32"/>
      <c r="S207" s="25">
        <f t="shared" si="35"/>
        <v>0</v>
      </c>
      <c r="T207" s="32">
        <v>87</v>
      </c>
      <c r="U207" s="32"/>
      <c r="V207" s="25">
        <f t="shared" si="39"/>
        <v>0</v>
      </c>
      <c r="W207" s="32">
        <v>87</v>
      </c>
      <c r="X207" s="32">
        <f t="shared" si="36"/>
        <v>0</v>
      </c>
      <c r="Y207" s="25">
        <f t="shared" si="37"/>
        <v>0</v>
      </c>
      <c r="AD207" s="26"/>
    </row>
    <row r="208" spans="1:30" x14ac:dyDescent="0.2">
      <c r="A208" s="24">
        <f t="shared" si="38"/>
        <v>9.354143466934854</v>
      </c>
      <c r="B208" s="32">
        <v>87.5</v>
      </c>
      <c r="C208" s="32"/>
      <c r="D208" s="25">
        <f t="shared" si="30"/>
        <v>0</v>
      </c>
      <c r="E208" s="32">
        <v>87.5</v>
      </c>
      <c r="F208" s="8"/>
      <c r="G208" s="25">
        <f t="shared" si="31"/>
        <v>0</v>
      </c>
      <c r="H208" s="32">
        <v>87.5</v>
      </c>
      <c r="I208" s="32"/>
      <c r="J208" s="25">
        <f t="shared" si="32"/>
        <v>0</v>
      </c>
      <c r="K208" s="32">
        <v>87.5</v>
      </c>
      <c r="L208" s="31"/>
      <c r="M208" s="25">
        <f t="shared" si="33"/>
        <v>0</v>
      </c>
      <c r="N208" s="32">
        <v>87.5</v>
      </c>
      <c r="O208" s="32"/>
      <c r="P208" s="25">
        <f t="shared" si="34"/>
        <v>0</v>
      </c>
      <c r="Q208" s="32">
        <v>87.5</v>
      </c>
      <c r="R208" s="32"/>
      <c r="S208" s="25">
        <f t="shared" si="35"/>
        <v>0</v>
      </c>
      <c r="T208" s="32">
        <v>87.5</v>
      </c>
      <c r="U208" s="32"/>
      <c r="V208" s="25">
        <f t="shared" si="39"/>
        <v>0</v>
      </c>
      <c r="W208" s="32">
        <v>87.5</v>
      </c>
      <c r="X208" s="32">
        <f t="shared" si="36"/>
        <v>0</v>
      </c>
      <c r="Y208" s="25">
        <f t="shared" si="37"/>
        <v>0</v>
      </c>
      <c r="AD208" s="26"/>
    </row>
    <row r="209" spans="1:30" x14ac:dyDescent="0.2">
      <c r="A209" s="24">
        <f t="shared" si="38"/>
        <v>9.3808315196468595</v>
      </c>
      <c r="B209" s="32">
        <v>88</v>
      </c>
      <c r="C209" s="32"/>
      <c r="D209" s="25">
        <f t="shared" si="30"/>
        <v>0</v>
      </c>
      <c r="E209" s="32">
        <v>88</v>
      </c>
      <c r="F209" s="8"/>
      <c r="G209" s="25">
        <f t="shared" si="31"/>
        <v>0</v>
      </c>
      <c r="H209" s="32">
        <v>88</v>
      </c>
      <c r="I209" s="32"/>
      <c r="J209" s="25">
        <f t="shared" si="32"/>
        <v>0</v>
      </c>
      <c r="K209" s="32">
        <v>88</v>
      </c>
      <c r="L209" s="31"/>
      <c r="M209" s="25">
        <f t="shared" si="33"/>
        <v>0</v>
      </c>
      <c r="N209" s="32">
        <v>88</v>
      </c>
      <c r="O209" s="32"/>
      <c r="P209" s="25">
        <f t="shared" si="34"/>
        <v>0</v>
      </c>
      <c r="Q209" s="32">
        <v>88</v>
      </c>
      <c r="R209" s="32"/>
      <c r="S209" s="25">
        <f t="shared" si="35"/>
        <v>0</v>
      </c>
      <c r="T209" s="32">
        <v>88</v>
      </c>
      <c r="U209" s="32"/>
      <c r="V209" s="25">
        <f t="shared" si="39"/>
        <v>0</v>
      </c>
      <c r="W209" s="32">
        <v>88</v>
      </c>
      <c r="X209" s="32">
        <f t="shared" si="36"/>
        <v>0</v>
      </c>
      <c r="Y209" s="25">
        <f t="shared" si="37"/>
        <v>0</v>
      </c>
      <c r="AD209" s="26"/>
    </row>
    <row r="210" spans="1:30" x14ac:dyDescent="0.2">
      <c r="A210" s="24">
        <f t="shared" si="38"/>
        <v>9.4074438611133893</v>
      </c>
      <c r="B210" s="32">
        <v>88.5</v>
      </c>
      <c r="C210" s="32"/>
      <c r="D210" s="25">
        <f t="shared" si="30"/>
        <v>0</v>
      </c>
      <c r="E210" s="32">
        <v>88.5</v>
      </c>
      <c r="F210" s="8"/>
      <c r="G210" s="25">
        <f t="shared" si="31"/>
        <v>0</v>
      </c>
      <c r="H210" s="32">
        <v>88.5</v>
      </c>
      <c r="I210" s="32"/>
      <c r="J210" s="25">
        <f t="shared" si="32"/>
        <v>0</v>
      </c>
      <c r="K210" s="32">
        <v>88.5</v>
      </c>
      <c r="L210" s="31"/>
      <c r="M210" s="25">
        <f t="shared" si="33"/>
        <v>0</v>
      </c>
      <c r="N210" s="32">
        <v>88.5</v>
      </c>
      <c r="O210" s="32"/>
      <c r="P210" s="25">
        <f t="shared" si="34"/>
        <v>0</v>
      </c>
      <c r="Q210" s="32">
        <v>88.5</v>
      </c>
      <c r="R210" s="32"/>
      <c r="S210" s="25">
        <f t="shared" si="35"/>
        <v>0</v>
      </c>
      <c r="T210" s="32">
        <v>88.5</v>
      </c>
      <c r="U210" s="32"/>
      <c r="V210" s="25">
        <f t="shared" si="39"/>
        <v>0</v>
      </c>
      <c r="W210" s="32">
        <v>88.5</v>
      </c>
      <c r="X210" s="32">
        <f t="shared" si="36"/>
        <v>0</v>
      </c>
      <c r="Y210" s="25">
        <f t="shared" si="37"/>
        <v>0</v>
      </c>
      <c r="AD210" s="26"/>
    </row>
    <row r="211" spans="1:30" x14ac:dyDescent="0.2">
      <c r="A211" s="24">
        <f t="shared" si="38"/>
        <v>9.4339811320566032</v>
      </c>
      <c r="B211" s="32">
        <v>89</v>
      </c>
      <c r="C211" s="32"/>
      <c r="D211" s="25">
        <f t="shared" si="30"/>
        <v>0</v>
      </c>
      <c r="E211" s="32">
        <v>89</v>
      </c>
      <c r="F211" s="8"/>
      <c r="G211" s="25">
        <f t="shared" si="31"/>
        <v>0</v>
      </c>
      <c r="H211" s="32">
        <v>89</v>
      </c>
      <c r="I211" s="32"/>
      <c r="J211" s="25">
        <f t="shared" si="32"/>
        <v>0</v>
      </c>
      <c r="K211" s="32">
        <v>89</v>
      </c>
      <c r="L211" s="31"/>
      <c r="M211" s="25">
        <f t="shared" si="33"/>
        <v>0</v>
      </c>
      <c r="N211" s="32">
        <v>89</v>
      </c>
      <c r="O211" s="32"/>
      <c r="P211" s="25">
        <f t="shared" si="34"/>
        <v>0</v>
      </c>
      <c r="Q211" s="32">
        <v>89</v>
      </c>
      <c r="R211" s="32"/>
      <c r="S211" s="25">
        <f t="shared" si="35"/>
        <v>0</v>
      </c>
      <c r="T211" s="32">
        <v>89</v>
      </c>
      <c r="U211" s="32"/>
      <c r="V211" s="25">
        <f t="shared" si="39"/>
        <v>0</v>
      </c>
      <c r="W211" s="32">
        <v>89</v>
      </c>
      <c r="X211" s="32">
        <f t="shared" si="36"/>
        <v>0</v>
      </c>
      <c r="Y211" s="25">
        <f t="shared" si="37"/>
        <v>0</v>
      </c>
      <c r="AD211" s="26"/>
    </row>
    <row r="212" spans="1:30" x14ac:dyDescent="0.2">
      <c r="A212" s="24">
        <f t="shared" si="38"/>
        <v>9.4604439642122511</v>
      </c>
      <c r="B212" s="32">
        <v>89.5</v>
      </c>
      <c r="C212" s="32"/>
      <c r="D212" s="25">
        <f t="shared" si="30"/>
        <v>0</v>
      </c>
      <c r="E212" s="32">
        <v>89.5</v>
      </c>
      <c r="F212" s="8"/>
      <c r="G212" s="25">
        <f t="shared" si="31"/>
        <v>0</v>
      </c>
      <c r="H212" s="32">
        <v>89.5</v>
      </c>
      <c r="I212" s="32"/>
      <c r="J212" s="25">
        <f t="shared" si="32"/>
        <v>0</v>
      </c>
      <c r="K212" s="32">
        <v>89.5</v>
      </c>
      <c r="L212" s="31"/>
      <c r="M212" s="25">
        <f t="shared" si="33"/>
        <v>0</v>
      </c>
      <c r="N212" s="32">
        <v>89.5</v>
      </c>
      <c r="O212" s="32"/>
      <c r="P212" s="25">
        <f t="shared" si="34"/>
        <v>0</v>
      </c>
      <c r="Q212" s="32">
        <v>89.5</v>
      </c>
      <c r="R212" s="32"/>
      <c r="S212" s="25">
        <f t="shared" si="35"/>
        <v>0</v>
      </c>
      <c r="T212" s="32">
        <v>89.5</v>
      </c>
      <c r="U212" s="32"/>
      <c r="V212" s="25">
        <f t="shared" si="39"/>
        <v>0</v>
      </c>
      <c r="W212" s="32">
        <v>89.5</v>
      </c>
      <c r="X212" s="32">
        <f t="shared" si="36"/>
        <v>0</v>
      </c>
      <c r="Y212" s="25">
        <f t="shared" si="37"/>
        <v>0</v>
      </c>
      <c r="AD212" s="26"/>
    </row>
    <row r="213" spans="1:30" x14ac:dyDescent="0.2">
      <c r="A213" s="24">
        <f t="shared" si="38"/>
        <v>9.4868329805051381</v>
      </c>
      <c r="B213" s="32">
        <v>90</v>
      </c>
      <c r="C213" s="32"/>
      <c r="D213" s="25">
        <f t="shared" si="30"/>
        <v>0</v>
      </c>
      <c r="E213" s="32">
        <v>90</v>
      </c>
      <c r="F213" s="8"/>
      <c r="G213" s="25">
        <f t="shared" si="31"/>
        <v>0</v>
      </c>
      <c r="H213" s="32">
        <v>90</v>
      </c>
      <c r="I213" s="32"/>
      <c r="J213" s="25">
        <f t="shared" si="32"/>
        <v>0</v>
      </c>
      <c r="K213" s="32">
        <v>90</v>
      </c>
      <c r="L213" s="31"/>
      <c r="M213" s="25">
        <f t="shared" si="33"/>
        <v>0</v>
      </c>
      <c r="N213" s="32">
        <v>90</v>
      </c>
      <c r="O213" s="32"/>
      <c r="P213" s="25">
        <f t="shared" si="34"/>
        <v>0</v>
      </c>
      <c r="Q213" s="32">
        <v>90</v>
      </c>
      <c r="R213" s="32"/>
      <c r="S213" s="25">
        <f t="shared" si="35"/>
        <v>0</v>
      </c>
      <c r="T213" s="32">
        <v>90</v>
      </c>
      <c r="U213" s="32"/>
      <c r="V213" s="25">
        <f t="shared" si="39"/>
        <v>0</v>
      </c>
      <c r="W213" s="32">
        <v>90</v>
      </c>
      <c r="X213" s="32">
        <f t="shared" si="36"/>
        <v>0</v>
      </c>
      <c r="Y213" s="25">
        <f t="shared" si="37"/>
        <v>0</v>
      </c>
      <c r="AD213" s="26"/>
    </row>
    <row r="214" spans="1:30" x14ac:dyDescent="0.2">
      <c r="A214" s="24">
        <f t="shared" si="38"/>
        <v>9.5131487952202232</v>
      </c>
      <c r="B214" s="32">
        <v>90.5</v>
      </c>
      <c r="C214" s="32"/>
      <c r="D214" s="25">
        <f t="shared" si="30"/>
        <v>0</v>
      </c>
      <c r="E214" s="32">
        <v>90.5</v>
      </c>
      <c r="F214" s="8"/>
      <c r="G214" s="25">
        <f t="shared" si="31"/>
        <v>0</v>
      </c>
      <c r="H214" s="32">
        <v>90.5</v>
      </c>
      <c r="I214" s="32"/>
      <c r="J214" s="25">
        <f t="shared" si="32"/>
        <v>0</v>
      </c>
      <c r="K214" s="32">
        <v>90.5</v>
      </c>
      <c r="L214" s="31"/>
      <c r="M214" s="25">
        <f t="shared" si="33"/>
        <v>0</v>
      </c>
      <c r="N214" s="32">
        <v>90.5</v>
      </c>
      <c r="O214" s="32"/>
      <c r="P214" s="25">
        <f t="shared" si="34"/>
        <v>0</v>
      </c>
      <c r="Q214" s="32">
        <v>90.5</v>
      </c>
      <c r="R214" s="32"/>
      <c r="S214" s="25">
        <f t="shared" si="35"/>
        <v>0</v>
      </c>
      <c r="T214" s="32">
        <v>90.5</v>
      </c>
      <c r="U214" s="32"/>
      <c r="V214" s="25">
        <f t="shared" si="39"/>
        <v>0</v>
      </c>
      <c r="W214" s="32">
        <v>90.5</v>
      </c>
      <c r="X214" s="32">
        <f t="shared" si="36"/>
        <v>0</v>
      </c>
      <c r="Y214" s="25">
        <f t="shared" si="37"/>
        <v>0</v>
      </c>
      <c r="AD214" s="26"/>
    </row>
    <row r="215" spans="1:30" x14ac:dyDescent="0.2">
      <c r="A215" s="24">
        <f t="shared" si="38"/>
        <v>9.5393920141694561</v>
      </c>
      <c r="B215" s="32">
        <v>91</v>
      </c>
      <c r="C215" s="32"/>
      <c r="D215" s="25">
        <f t="shared" si="30"/>
        <v>0</v>
      </c>
      <c r="E215" s="32">
        <v>91</v>
      </c>
      <c r="F215" s="8"/>
      <c r="G215" s="25">
        <f t="shared" si="31"/>
        <v>0</v>
      </c>
      <c r="H215" s="32">
        <v>91</v>
      </c>
      <c r="I215" s="32"/>
      <c r="J215" s="25">
        <f t="shared" si="32"/>
        <v>0</v>
      </c>
      <c r="K215" s="32">
        <v>91</v>
      </c>
      <c r="L215" s="31"/>
      <c r="M215" s="25">
        <f t="shared" si="33"/>
        <v>0</v>
      </c>
      <c r="N215" s="32">
        <v>91</v>
      </c>
      <c r="O215" s="32"/>
      <c r="P215" s="25">
        <f t="shared" si="34"/>
        <v>0</v>
      </c>
      <c r="Q215" s="32">
        <v>91</v>
      </c>
      <c r="R215" s="32"/>
      <c r="S215" s="25">
        <f t="shared" si="35"/>
        <v>0</v>
      </c>
      <c r="T215" s="32">
        <v>91</v>
      </c>
      <c r="U215" s="32"/>
      <c r="V215" s="25">
        <f t="shared" si="39"/>
        <v>0</v>
      </c>
      <c r="W215" s="32">
        <v>91</v>
      </c>
      <c r="X215" s="32">
        <f t="shared" si="36"/>
        <v>0</v>
      </c>
      <c r="Y215" s="25">
        <f t="shared" si="37"/>
        <v>0</v>
      </c>
      <c r="AD215" s="26"/>
    </row>
    <row r="216" spans="1:30" x14ac:dyDescent="0.2">
      <c r="A216" s="24">
        <f t="shared" si="38"/>
        <v>9.5655632348544959</v>
      </c>
      <c r="B216" s="32">
        <v>91.5</v>
      </c>
      <c r="C216" s="32"/>
      <c r="D216" s="25">
        <f t="shared" si="30"/>
        <v>0</v>
      </c>
      <c r="E216" s="32">
        <v>91.5</v>
      </c>
      <c r="F216" s="8"/>
      <c r="G216" s="25">
        <f t="shared" si="31"/>
        <v>0</v>
      </c>
      <c r="H216" s="32">
        <v>91.5</v>
      </c>
      <c r="I216" s="32"/>
      <c r="J216" s="25">
        <f t="shared" si="32"/>
        <v>0</v>
      </c>
      <c r="K216" s="32">
        <v>91.5</v>
      </c>
      <c r="L216" s="31"/>
      <c r="M216" s="25">
        <f t="shared" si="33"/>
        <v>0</v>
      </c>
      <c r="N216" s="32">
        <v>91.5</v>
      </c>
      <c r="O216" s="32"/>
      <c r="P216" s="25">
        <f t="shared" si="34"/>
        <v>0</v>
      </c>
      <c r="Q216" s="32">
        <v>91.5</v>
      </c>
      <c r="R216" s="32"/>
      <c r="S216" s="25">
        <f t="shared" si="35"/>
        <v>0</v>
      </c>
      <c r="T216" s="32">
        <v>91.5</v>
      </c>
      <c r="U216" s="32"/>
      <c r="V216" s="25">
        <f t="shared" si="39"/>
        <v>0</v>
      </c>
      <c r="W216" s="32">
        <v>91.5</v>
      </c>
      <c r="X216" s="32">
        <f t="shared" si="36"/>
        <v>0</v>
      </c>
      <c r="Y216" s="25">
        <f t="shared" si="37"/>
        <v>0</v>
      </c>
      <c r="AD216" s="26"/>
    </row>
    <row r="217" spans="1:30" x14ac:dyDescent="0.2">
      <c r="A217" s="24">
        <f t="shared" si="38"/>
        <v>9.5916630466254382</v>
      </c>
      <c r="B217" s="32">
        <v>92</v>
      </c>
      <c r="C217" s="32"/>
      <c r="D217" s="25">
        <f t="shared" si="30"/>
        <v>0</v>
      </c>
      <c r="E217" s="32">
        <v>92</v>
      </c>
      <c r="F217" s="8"/>
      <c r="G217" s="25">
        <f t="shared" si="31"/>
        <v>0</v>
      </c>
      <c r="H217" s="32">
        <v>92</v>
      </c>
      <c r="I217" s="32"/>
      <c r="J217" s="25">
        <f t="shared" si="32"/>
        <v>0</v>
      </c>
      <c r="K217" s="32">
        <v>92</v>
      </c>
      <c r="L217" s="31"/>
      <c r="M217" s="25">
        <f t="shared" si="33"/>
        <v>0</v>
      </c>
      <c r="N217" s="32">
        <v>92</v>
      </c>
      <c r="O217" s="32"/>
      <c r="P217" s="25">
        <f t="shared" si="34"/>
        <v>0</v>
      </c>
      <c r="Q217" s="32">
        <v>92</v>
      </c>
      <c r="R217" s="32"/>
      <c r="S217" s="25">
        <f t="shared" si="35"/>
        <v>0</v>
      </c>
      <c r="T217" s="32">
        <v>92</v>
      </c>
      <c r="U217" s="32"/>
      <c r="V217" s="25">
        <f t="shared" si="39"/>
        <v>0</v>
      </c>
      <c r="W217" s="32">
        <v>92</v>
      </c>
      <c r="X217" s="32">
        <f t="shared" si="36"/>
        <v>0</v>
      </c>
      <c r="Y217" s="25">
        <f t="shared" si="37"/>
        <v>0</v>
      </c>
      <c r="AD217" s="26"/>
    </row>
    <row r="218" spans="1:30" x14ac:dyDescent="0.2">
      <c r="A218" s="24">
        <f t="shared" si="38"/>
        <v>9.6176920308356717</v>
      </c>
      <c r="B218" s="32">
        <v>92.5</v>
      </c>
      <c r="C218" s="32"/>
      <c r="D218" s="25">
        <f t="shared" si="30"/>
        <v>0</v>
      </c>
      <c r="E218" s="32">
        <v>92.5</v>
      </c>
      <c r="F218" s="8"/>
      <c r="G218" s="25">
        <f t="shared" si="31"/>
        <v>0</v>
      </c>
      <c r="H218" s="32">
        <v>92.5</v>
      </c>
      <c r="I218" s="32"/>
      <c r="J218" s="25">
        <f t="shared" si="32"/>
        <v>0</v>
      </c>
      <c r="K218" s="32">
        <v>92.5</v>
      </c>
      <c r="L218" s="31"/>
      <c r="M218" s="25">
        <f t="shared" si="33"/>
        <v>0</v>
      </c>
      <c r="N218" s="32">
        <v>92.5</v>
      </c>
      <c r="O218" s="32"/>
      <c r="P218" s="25">
        <f t="shared" si="34"/>
        <v>0</v>
      </c>
      <c r="Q218" s="32">
        <v>92.5</v>
      </c>
      <c r="R218" s="32"/>
      <c r="S218" s="25">
        <f t="shared" si="35"/>
        <v>0</v>
      </c>
      <c r="T218" s="32">
        <v>92.5</v>
      </c>
      <c r="U218" s="32"/>
      <c r="V218" s="25">
        <f t="shared" si="39"/>
        <v>0</v>
      </c>
      <c r="W218" s="32">
        <v>92.5</v>
      </c>
      <c r="X218" s="32">
        <f t="shared" si="36"/>
        <v>0</v>
      </c>
      <c r="Y218" s="25">
        <f t="shared" si="37"/>
        <v>0</v>
      </c>
      <c r="AD218" s="26"/>
    </row>
    <row r="219" spans="1:30" x14ac:dyDescent="0.2">
      <c r="A219" s="24">
        <f t="shared" si="38"/>
        <v>9.6436507609929549</v>
      </c>
      <c r="B219" s="32">
        <v>93</v>
      </c>
      <c r="C219" s="32"/>
      <c r="D219" s="25">
        <f t="shared" si="30"/>
        <v>0</v>
      </c>
      <c r="E219" s="32">
        <v>93</v>
      </c>
      <c r="F219" s="8"/>
      <c r="G219" s="25">
        <f t="shared" si="31"/>
        <v>0</v>
      </c>
      <c r="H219" s="32">
        <v>93</v>
      </c>
      <c r="I219" s="32"/>
      <c r="J219" s="25">
        <f t="shared" si="32"/>
        <v>0</v>
      </c>
      <c r="K219" s="32">
        <v>93</v>
      </c>
      <c r="L219" s="31"/>
      <c r="M219" s="25">
        <f t="shared" si="33"/>
        <v>0</v>
      </c>
      <c r="N219" s="32">
        <v>93</v>
      </c>
      <c r="O219" s="32"/>
      <c r="P219" s="25">
        <f t="shared" si="34"/>
        <v>0</v>
      </c>
      <c r="Q219" s="32">
        <v>93</v>
      </c>
      <c r="R219" s="32"/>
      <c r="S219" s="25">
        <f t="shared" si="35"/>
        <v>0</v>
      </c>
      <c r="T219" s="32">
        <v>93</v>
      </c>
      <c r="U219" s="32"/>
      <c r="V219" s="25">
        <f t="shared" si="39"/>
        <v>0</v>
      </c>
      <c r="W219" s="32">
        <v>93</v>
      </c>
      <c r="X219" s="32">
        <f t="shared" si="36"/>
        <v>0</v>
      </c>
      <c r="Y219" s="25">
        <f t="shared" si="37"/>
        <v>0</v>
      </c>
      <c r="AD219" s="26"/>
    </row>
    <row r="220" spans="1:30" x14ac:dyDescent="0.2">
      <c r="A220" s="24">
        <f t="shared" si="38"/>
        <v>9.6695398029068578</v>
      </c>
      <c r="B220" s="32">
        <v>93.5</v>
      </c>
      <c r="C220" s="32"/>
      <c r="D220" s="25">
        <f t="shared" si="30"/>
        <v>0</v>
      </c>
      <c r="E220" s="32">
        <v>93.5</v>
      </c>
      <c r="F220" s="8"/>
      <c r="G220" s="25">
        <f t="shared" si="31"/>
        <v>0</v>
      </c>
      <c r="H220" s="32">
        <v>93.5</v>
      </c>
      <c r="I220" s="32"/>
      <c r="J220" s="25">
        <f t="shared" si="32"/>
        <v>0</v>
      </c>
      <c r="K220" s="32">
        <v>93.5</v>
      </c>
      <c r="L220" s="31"/>
      <c r="M220" s="25">
        <f t="shared" si="33"/>
        <v>0</v>
      </c>
      <c r="N220" s="32">
        <v>93.5</v>
      </c>
      <c r="O220" s="32"/>
      <c r="P220" s="25">
        <f t="shared" si="34"/>
        <v>0</v>
      </c>
      <c r="Q220" s="32">
        <v>93.5</v>
      </c>
      <c r="R220" s="32"/>
      <c r="S220" s="25">
        <f t="shared" si="35"/>
        <v>0</v>
      </c>
      <c r="T220" s="32">
        <v>93.5</v>
      </c>
      <c r="U220" s="32"/>
      <c r="V220" s="25">
        <f t="shared" si="39"/>
        <v>0</v>
      </c>
      <c r="W220" s="32">
        <v>93.5</v>
      </c>
      <c r="X220" s="32">
        <f t="shared" si="36"/>
        <v>0</v>
      </c>
      <c r="Y220" s="25">
        <f t="shared" si="37"/>
        <v>0</v>
      </c>
      <c r="AD220" s="26"/>
    </row>
    <row r="221" spans="1:30" x14ac:dyDescent="0.2">
      <c r="A221" s="24">
        <f t="shared" si="38"/>
        <v>9.6953597148326587</v>
      </c>
      <c r="B221" s="32">
        <v>94</v>
      </c>
      <c r="C221" s="32"/>
      <c r="D221" s="25">
        <f t="shared" si="30"/>
        <v>0</v>
      </c>
      <c r="E221" s="32">
        <v>94</v>
      </c>
      <c r="F221" s="8"/>
      <c r="G221" s="25">
        <f t="shared" si="31"/>
        <v>0</v>
      </c>
      <c r="H221" s="32">
        <v>94</v>
      </c>
      <c r="I221" s="32"/>
      <c r="J221" s="25">
        <f t="shared" si="32"/>
        <v>0</v>
      </c>
      <c r="K221" s="32">
        <v>94</v>
      </c>
      <c r="L221" s="31"/>
      <c r="M221" s="25">
        <f t="shared" si="33"/>
        <v>0</v>
      </c>
      <c r="N221" s="32">
        <v>94</v>
      </c>
      <c r="O221" s="32"/>
      <c r="P221" s="25">
        <f t="shared" si="34"/>
        <v>0</v>
      </c>
      <c r="Q221" s="32">
        <v>94</v>
      </c>
      <c r="R221" s="32"/>
      <c r="S221" s="25">
        <f t="shared" si="35"/>
        <v>0</v>
      </c>
      <c r="T221" s="32">
        <v>94</v>
      </c>
      <c r="U221" s="32"/>
      <c r="V221" s="25">
        <f t="shared" si="39"/>
        <v>0</v>
      </c>
      <c r="W221" s="32">
        <v>94</v>
      </c>
      <c r="X221" s="32">
        <f t="shared" si="36"/>
        <v>0</v>
      </c>
      <c r="Y221" s="25">
        <f t="shared" si="37"/>
        <v>0</v>
      </c>
      <c r="AD221" s="26"/>
    </row>
    <row r="222" spans="1:30" x14ac:dyDescent="0.2">
      <c r="A222" s="24">
        <f t="shared" si="38"/>
        <v>9.7211110476117906</v>
      </c>
      <c r="B222" s="32">
        <v>94.5</v>
      </c>
      <c r="C222" s="32"/>
      <c r="D222" s="25">
        <f t="shared" si="30"/>
        <v>0</v>
      </c>
      <c r="E222" s="32">
        <v>94.5</v>
      </c>
      <c r="F222" s="8"/>
      <c r="G222" s="25">
        <f t="shared" si="31"/>
        <v>0</v>
      </c>
      <c r="H222" s="32">
        <v>94.5</v>
      </c>
      <c r="I222" s="32"/>
      <c r="J222" s="25">
        <f t="shared" si="32"/>
        <v>0</v>
      </c>
      <c r="K222" s="32">
        <v>94.5</v>
      </c>
      <c r="L222" s="31"/>
      <c r="M222" s="25">
        <f t="shared" si="33"/>
        <v>0</v>
      </c>
      <c r="N222" s="32">
        <v>94.5</v>
      </c>
      <c r="O222" s="32"/>
      <c r="P222" s="25">
        <f t="shared" si="34"/>
        <v>0</v>
      </c>
      <c r="Q222" s="32">
        <v>94.5</v>
      </c>
      <c r="R222" s="32"/>
      <c r="S222" s="25">
        <f t="shared" si="35"/>
        <v>0</v>
      </c>
      <c r="T222" s="32">
        <v>94.5</v>
      </c>
      <c r="U222" s="32"/>
      <c r="V222" s="25">
        <f t="shared" si="39"/>
        <v>0</v>
      </c>
      <c r="W222" s="32">
        <v>94.5</v>
      </c>
      <c r="X222" s="32">
        <f t="shared" si="36"/>
        <v>0</v>
      </c>
      <c r="Y222" s="25">
        <f t="shared" si="37"/>
        <v>0</v>
      </c>
      <c r="AD222" s="26"/>
    </row>
    <row r="223" spans="1:30" x14ac:dyDescent="0.2">
      <c r="A223" s="24">
        <f t="shared" si="38"/>
        <v>9.7467943448089631</v>
      </c>
      <c r="B223" s="32">
        <v>95</v>
      </c>
      <c r="C223" s="32"/>
      <c r="D223" s="25">
        <f t="shared" si="30"/>
        <v>0</v>
      </c>
      <c r="E223" s="32">
        <v>95</v>
      </c>
      <c r="F223" s="8"/>
      <c r="G223" s="25">
        <f t="shared" si="31"/>
        <v>0</v>
      </c>
      <c r="H223" s="32">
        <v>95</v>
      </c>
      <c r="I223" s="32"/>
      <c r="J223" s="25">
        <f t="shared" si="32"/>
        <v>0</v>
      </c>
      <c r="K223" s="32">
        <v>95</v>
      </c>
      <c r="L223" s="31"/>
      <c r="M223" s="25">
        <f t="shared" si="33"/>
        <v>0</v>
      </c>
      <c r="N223" s="32">
        <v>95</v>
      </c>
      <c r="O223" s="32"/>
      <c r="P223" s="25">
        <f t="shared" si="34"/>
        <v>0</v>
      </c>
      <c r="Q223" s="32">
        <v>95</v>
      </c>
      <c r="R223" s="32"/>
      <c r="S223" s="25">
        <f t="shared" si="35"/>
        <v>0</v>
      </c>
      <c r="T223" s="32">
        <v>95</v>
      </c>
      <c r="U223" s="32"/>
      <c r="V223" s="25">
        <f t="shared" si="39"/>
        <v>0</v>
      </c>
      <c r="W223" s="32">
        <v>95</v>
      </c>
      <c r="X223" s="32">
        <f t="shared" si="36"/>
        <v>0</v>
      </c>
      <c r="Y223" s="25">
        <f t="shared" si="37"/>
        <v>0</v>
      </c>
      <c r="AD223" s="26"/>
    </row>
    <row r="224" spans="1:30" x14ac:dyDescent="0.2">
      <c r="A224" s="24">
        <f t="shared" si="38"/>
        <v>9.7724101428460326</v>
      </c>
      <c r="B224" s="32">
        <v>95.5</v>
      </c>
      <c r="C224" s="32"/>
      <c r="D224" s="25">
        <f t="shared" si="30"/>
        <v>0</v>
      </c>
      <c r="E224" s="32">
        <v>95.5</v>
      </c>
      <c r="F224" s="8"/>
      <c r="G224" s="25">
        <f t="shared" si="31"/>
        <v>0</v>
      </c>
      <c r="H224" s="32">
        <v>95.5</v>
      </c>
      <c r="I224" s="32"/>
      <c r="J224" s="25">
        <f t="shared" si="32"/>
        <v>0</v>
      </c>
      <c r="K224" s="32">
        <v>95.5</v>
      </c>
      <c r="L224" s="31"/>
      <c r="M224" s="25">
        <f t="shared" si="33"/>
        <v>0</v>
      </c>
      <c r="N224" s="32">
        <v>95.5</v>
      </c>
      <c r="O224" s="32"/>
      <c r="P224" s="25">
        <f t="shared" si="34"/>
        <v>0</v>
      </c>
      <c r="Q224" s="32">
        <v>95.5</v>
      </c>
      <c r="R224" s="32"/>
      <c r="S224" s="25">
        <f t="shared" si="35"/>
        <v>0</v>
      </c>
      <c r="T224" s="32">
        <v>95.5</v>
      </c>
      <c r="U224" s="32"/>
      <c r="V224" s="25">
        <f t="shared" si="39"/>
        <v>0</v>
      </c>
      <c r="W224" s="32">
        <v>95.5</v>
      </c>
      <c r="X224" s="32">
        <f t="shared" si="36"/>
        <v>0</v>
      </c>
      <c r="Y224" s="25">
        <f t="shared" si="37"/>
        <v>0</v>
      </c>
      <c r="AD224" s="26"/>
    </row>
    <row r="225" spans="1:30" x14ac:dyDescent="0.2">
      <c r="A225" s="24">
        <f t="shared" si="38"/>
        <v>9.7979589711327115</v>
      </c>
      <c r="B225" s="32">
        <v>96</v>
      </c>
      <c r="C225" s="32"/>
      <c r="D225" s="25">
        <f t="shared" si="30"/>
        <v>0</v>
      </c>
      <c r="E225" s="32">
        <v>96</v>
      </c>
      <c r="F225" s="8"/>
      <c r="G225" s="25">
        <f t="shared" si="31"/>
        <v>0</v>
      </c>
      <c r="H225" s="32">
        <v>96</v>
      </c>
      <c r="I225" s="32"/>
      <c r="J225" s="25">
        <f t="shared" si="32"/>
        <v>0</v>
      </c>
      <c r="K225" s="32">
        <v>96</v>
      </c>
      <c r="L225" s="31"/>
      <c r="M225" s="25">
        <f t="shared" si="33"/>
        <v>0</v>
      </c>
      <c r="N225" s="32">
        <v>96</v>
      </c>
      <c r="O225" s="32"/>
      <c r="P225" s="25">
        <f t="shared" si="34"/>
        <v>0</v>
      </c>
      <c r="Q225" s="32">
        <v>96</v>
      </c>
      <c r="R225" s="32"/>
      <c r="S225" s="25">
        <f t="shared" si="35"/>
        <v>0</v>
      </c>
      <c r="T225" s="32">
        <v>96</v>
      </c>
      <c r="U225" s="32"/>
      <c r="V225" s="25">
        <f t="shared" si="39"/>
        <v>0</v>
      </c>
      <c r="W225" s="32">
        <v>96</v>
      </c>
      <c r="X225" s="32">
        <f t="shared" si="36"/>
        <v>0</v>
      </c>
      <c r="Y225" s="25">
        <f t="shared" si="37"/>
        <v>0</v>
      </c>
      <c r="AD225" s="26"/>
    </row>
    <row r="226" spans="1:30" x14ac:dyDescent="0.2">
      <c r="A226" s="24">
        <f t="shared" si="38"/>
        <v>9.8234413521942496</v>
      </c>
      <c r="B226" s="32">
        <v>96.5</v>
      </c>
      <c r="C226" s="32"/>
      <c r="D226" s="25">
        <f t="shared" si="30"/>
        <v>0</v>
      </c>
      <c r="E226" s="32">
        <v>96.5</v>
      </c>
      <c r="F226" s="8"/>
      <c r="G226" s="25">
        <f t="shared" si="31"/>
        <v>0</v>
      </c>
      <c r="H226" s="32">
        <v>96.5</v>
      </c>
      <c r="I226" s="32"/>
      <c r="J226" s="25">
        <f t="shared" si="32"/>
        <v>0</v>
      </c>
      <c r="K226" s="32">
        <v>96.5</v>
      </c>
      <c r="L226" s="31"/>
      <c r="M226" s="25">
        <f t="shared" si="33"/>
        <v>0</v>
      </c>
      <c r="N226" s="32">
        <v>96.5</v>
      </c>
      <c r="O226" s="32"/>
      <c r="P226" s="25">
        <f t="shared" si="34"/>
        <v>0</v>
      </c>
      <c r="Q226" s="32">
        <v>96.5</v>
      </c>
      <c r="R226" s="32"/>
      <c r="S226" s="25">
        <f t="shared" si="35"/>
        <v>0</v>
      </c>
      <c r="T226" s="32">
        <v>96.5</v>
      </c>
      <c r="U226" s="32"/>
      <c r="V226" s="25">
        <f t="shared" si="39"/>
        <v>0</v>
      </c>
      <c r="W226" s="32">
        <v>96.5</v>
      </c>
      <c r="X226" s="32">
        <f t="shared" si="36"/>
        <v>0</v>
      </c>
      <c r="Y226" s="25">
        <f t="shared" si="37"/>
        <v>0</v>
      </c>
      <c r="AD226" s="26"/>
    </row>
    <row r="227" spans="1:30" x14ac:dyDescent="0.2">
      <c r="A227" s="24">
        <f t="shared" si="38"/>
        <v>9.8488578017961039</v>
      </c>
      <c r="B227" s="32">
        <v>97</v>
      </c>
      <c r="C227" s="32"/>
      <c r="D227" s="25">
        <f t="shared" si="30"/>
        <v>0</v>
      </c>
      <c r="E227" s="32">
        <v>97</v>
      </c>
      <c r="F227" s="8"/>
      <c r="G227" s="25">
        <f t="shared" si="31"/>
        <v>0</v>
      </c>
      <c r="H227" s="32">
        <v>97</v>
      </c>
      <c r="I227" s="32"/>
      <c r="J227" s="25">
        <f t="shared" si="32"/>
        <v>0</v>
      </c>
      <c r="K227" s="32">
        <v>97</v>
      </c>
      <c r="L227" s="31"/>
      <c r="M227" s="25">
        <f t="shared" si="33"/>
        <v>0</v>
      </c>
      <c r="N227" s="32">
        <v>97</v>
      </c>
      <c r="O227" s="32"/>
      <c r="P227" s="25">
        <f t="shared" si="34"/>
        <v>0</v>
      </c>
      <c r="Q227" s="32">
        <v>97</v>
      </c>
      <c r="R227" s="32"/>
      <c r="S227" s="25">
        <f t="shared" si="35"/>
        <v>0</v>
      </c>
      <c r="T227" s="32">
        <v>97</v>
      </c>
      <c r="U227" s="32"/>
      <c r="V227" s="25">
        <f t="shared" si="39"/>
        <v>0</v>
      </c>
      <c r="W227" s="32">
        <v>97</v>
      </c>
      <c r="X227" s="32">
        <f t="shared" si="36"/>
        <v>0</v>
      </c>
      <c r="Y227" s="25">
        <f t="shared" si="37"/>
        <v>0</v>
      </c>
      <c r="AD227" s="26"/>
    </row>
    <row r="228" spans="1:30" x14ac:dyDescent="0.2">
      <c r="A228" s="24">
        <f t="shared" si="38"/>
        <v>9.8742088290657488</v>
      </c>
      <c r="B228" s="32">
        <v>97.5</v>
      </c>
      <c r="C228" s="32"/>
      <c r="D228" s="25">
        <f t="shared" si="30"/>
        <v>0</v>
      </c>
      <c r="E228" s="32">
        <v>97.5</v>
      </c>
      <c r="F228" s="8"/>
      <c r="G228" s="25">
        <f t="shared" si="31"/>
        <v>0</v>
      </c>
      <c r="H228" s="32">
        <v>97.5</v>
      </c>
      <c r="I228" s="32"/>
      <c r="J228" s="25">
        <f t="shared" si="32"/>
        <v>0</v>
      </c>
      <c r="K228" s="32">
        <v>97.5</v>
      </c>
      <c r="L228" s="31"/>
      <c r="M228" s="25">
        <f t="shared" si="33"/>
        <v>0</v>
      </c>
      <c r="N228" s="32">
        <v>97.5</v>
      </c>
      <c r="O228" s="32"/>
      <c r="P228" s="25">
        <f t="shared" si="34"/>
        <v>0</v>
      </c>
      <c r="Q228" s="32">
        <v>97.5</v>
      </c>
      <c r="R228" s="32"/>
      <c r="S228" s="25">
        <f t="shared" si="35"/>
        <v>0</v>
      </c>
      <c r="T228" s="32">
        <v>97.5</v>
      </c>
      <c r="U228" s="32"/>
      <c r="V228" s="25">
        <f t="shared" si="39"/>
        <v>0</v>
      </c>
      <c r="W228" s="32">
        <v>97.5</v>
      </c>
      <c r="X228" s="32">
        <f t="shared" si="36"/>
        <v>0</v>
      </c>
      <c r="Y228" s="25">
        <f t="shared" si="37"/>
        <v>0</v>
      </c>
      <c r="AD228" s="26"/>
    </row>
    <row r="229" spans="1:30" x14ac:dyDescent="0.2">
      <c r="A229" s="24">
        <f t="shared" si="38"/>
        <v>9.8994949366116654</v>
      </c>
      <c r="B229" s="32">
        <v>98</v>
      </c>
      <c r="C229" s="32"/>
      <c r="D229" s="25">
        <f t="shared" si="30"/>
        <v>0</v>
      </c>
      <c r="E229" s="32">
        <v>98</v>
      </c>
      <c r="F229" s="8"/>
      <c r="G229" s="25">
        <f t="shared" si="31"/>
        <v>0</v>
      </c>
      <c r="H229" s="32">
        <v>98</v>
      </c>
      <c r="I229" s="32"/>
      <c r="J229" s="25">
        <f t="shared" si="32"/>
        <v>0</v>
      </c>
      <c r="K229" s="32">
        <v>98</v>
      </c>
      <c r="L229" s="31"/>
      <c r="M229" s="25">
        <f t="shared" si="33"/>
        <v>0</v>
      </c>
      <c r="N229" s="32">
        <v>98</v>
      </c>
      <c r="O229" s="32"/>
      <c r="P229" s="25">
        <f t="shared" si="34"/>
        <v>0</v>
      </c>
      <c r="Q229" s="32">
        <v>98</v>
      </c>
      <c r="R229" s="32"/>
      <c r="S229" s="25">
        <f t="shared" si="35"/>
        <v>0</v>
      </c>
      <c r="T229" s="32">
        <v>98</v>
      </c>
      <c r="U229" s="32"/>
      <c r="V229" s="25">
        <f t="shared" si="39"/>
        <v>0</v>
      </c>
      <c r="W229" s="32">
        <v>98</v>
      </c>
      <c r="X229" s="32">
        <f t="shared" si="36"/>
        <v>0</v>
      </c>
      <c r="Y229" s="25">
        <f t="shared" si="37"/>
        <v>0</v>
      </c>
      <c r="AD229" s="26"/>
    </row>
    <row r="230" spans="1:30" x14ac:dyDescent="0.2">
      <c r="A230" s="24">
        <f t="shared" si="38"/>
        <v>9.9247166206396038</v>
      </c>
      <c r="B230" s="32">
        <v>98.5</v>
      </c>
      <c r="C230" s="32"/>
      <c r="D230" s="25">
        <f t="shared" si="30"/>
        <v>0</v>
      </c>
      <c r="E230" s="32">
        <v>98.5</v>
      </c>
      <c r="F230" s="8"/>
      <c r="G230" s="25">
        <f t="shared" si="31"/>
        <v>0</v>
      </c>
      <c r="H230" s="32">
        <v>98.5</v>
      </c>
      <c r="I230" s="32"/>
      <c r="J230" s="25">
        <f t="shared" si="32"/>
        <v>0</v>
      </c>
      <c r="K230" s="32">
        <v>98.5</v>
      </c>
      <c r="L230" s="31"/>
      <c r="M230" s="25">
        <f t="shared" si="33"/>
        <v>0</v>
      </c>
      <c r="N230" s="32">
        <v>98.5</v>
      </c>
      <c r="O230" s="32"/>
      <c r="P230" s="25">
        <f t="shared" si="34"/>
        <v>0</v>
      </c>
      <c r="Q230" s="32">
        <v>98.5</v>
      </c>
      <c r="R230" s="32"/>
      <c r="S230" s="25">
        <f t="shared" si="35"/>
        <v>0</v>
      </c>
      <c r="T230" s="32">
        <v>98.5</v>
      </c>
      <c r="U230" s="32"/>
      <c r="V230" s="25">
        <f t="shared" si="39"/>
        <v>0</v>
      </c>
      <c r="W230" s="32">
        <v>98.5</v>
      </c>
      <c r="X230" s="32">
        <f t="shared" si="36"/>
        <v>0</v>
      </c>
      <c r="Y230" s="25">
        <f t="shared" si="37"/>
        <v>0</v>
      </c>
      <c r="AD230" s="26"/>
    </row>
    <row r="231" spans="1:30" x14ac:dyDescent="0.2">
      <c r="A231" s="24">
        <f t="shared" si="38"/>
        <v>9.9498743710661994</v>
      </c>
      <c r="B231" s="32">
        <v>99</v>
      </c>
      <c r="C231" s="32"/>
      <c r="D231" s="25">
        <f t="shared" si="30"/>
        <v>0</v>
      </c>
      <c r="E231" s="32">
        <v>99</v>
      </c>
      <c r="F231" s="8"/>
      <c r="G231" s="25">
        <f t="shared" si="31"/>
        <v>0</v>
      </c>
      <c r="H231" s="32">
        <v>99</v>
      </c>
      <c r="I231" s="32"/>
      <c r="J231" s="25">
        <f t="shared" si="32"/>
        <v>0</v>
      </c>
      <c r="K231" s="32">
        <v>99</v>
      </c>
      <c r="L231" s="31"/>
      <c r="M231" s="25">
        <f t="shared" si="33"/>
        <v>0</v>
      </c>
      <c r="N231" s="32">
        <v>99</v>
      </c>
      <c r="O231" s="32"/>
      <c r="P231" s="25">
        <f t="shared" si="34"/>
        <v>0</v>
      </c>
      <c r="Q231" s="32">
        <v>99</v>
      </c>
      <c r="R231" s="32"/>
      <c r="S231" s="25">
        <f t="shared" si="35"/>
        <v>0</v>
      </c>
      <c r="T231" s="32">
        <v>99</v>
      </c>
      <c r="U231" s="32"/>
      <c r="V231" s="25">
        <f t="shared" si="39"/>
        <v>0</v>
      </c>
      <c r="W231" s="32">
        <v>99</v>
      </c>
      <c r="X231" s="32">
        <f t="shared" si="36"/>
        <v>0</v>
      </c>
      <c r="Y231" s="25">
        <f t="shared" si="37"/>
        <v>0</v>
      </c>
      <c r="AD231" s="26"/>
    </row>
    <row r="232" spans="1:30" x14ac:dyDescent="0.2">
      <c r="A232" s="24">
        <f t="shared" si="38"/>
        <v>9.9749686716300019</v>
      </c>
      <c r="B232" s="32">
        <v>99.5</v>
      </c>
      <c r="C232" s="32"/>
      <c r="D232" s="25">
        <f t="shared" si="30"/>
        <v>0</v>
      </c>
      <c r="E232" s="32">
        <v>99.5</v>
      </c>
      <c r="F232" s="8"/>
      <c r="G232" s="25">
        <f t="shared" si="31"/>
        <v>0</v>
      </c>
      <c r="H232" s="32">
        <v>99.5</v>
      </c>
      <c r="I232" s="32"/>
      <c r="J232" s="25">
        <f t="shared" si="32"/>
        <v>0</v>
      </c>
      <c r="K232" s="32">
        <v>99.5</v>
      </c>
      <c r="L232" s="31"/>
      <c r="M232" s="25">
        <f t="shared" si="33"/>
        <v>0</v>
      </c>
      <c r="N232" s="32">
        <v>99.5</v>
      </c>
      <c r="O232" s="32"/>
      <c r="P232" s="25">
        <f t="shared" si="34"/>
        <v>0</v>
      </c>
      <c r="Q232" s="32">
        <v>99.5</v>
      </c>
      <c r="R232" s="32"/>
      <c r="S232" s="25">
        <f t="shared" si="35"/>
        <v>0</v>
      </c>
      <c r="T232" s="32">
        <v>99.5</v>
      </c>
      <c r="U232" s="32"/>
      <c r="V232" s="25">
        <f t="shared" si="39"/>
        <v>0</v>
      </c>
      <c r="W232" s="32">
        <v>99.5</v>
      </c>
      <c r="X232" s="32">
        <f t="shared" si="36"/>
        <v>0</v>
      </c>
      <c r="Y232" s="25">
        <f t="shared" si="37"/>
        <v>0</v>
      </c>
      <c r="AD232" s="26"/>
    </row>
    <row r="233" spans="1:30" x14ac:dyDescent="0.2">
      <c r="A233" s="24">
        <f t="shared" si="38"/>
        <v>10</v>
      </c>
      <c r="B233" s="32">
        <v>100</v>
      </c>
      <c r="C233" s="32"/>
      <c r="D233" s="25">
        <f t="shared" si="30"/>
        <v>0</v>
      </c>
      <c r="E233" s="32">
        <v>100</v>
      </c>
      <c r="F233" s="8"/>
      <c r="G233" s="25">
        <f t="shared" si="31"/>
        <v>0</v>
      </c>
      <c r="H233" s="32">
        <v>100</v>
      </c>
      <c r="I233" s="32"/>
      <c r="J233" s="25">
        <f t="shared" si="32"/>
        <v>0</v>
      </c>
      <c r="K233" s="32">
        <v>100</v>
      </c>
      <c r="L233" s="31"/>
      <c r="M233" s="25">
        <f t="shared" si="33"/>
        <v>0</v>
      </c>
      <c r="N233" s="32">
        <v>100</v>
      </c>
      <c r="O233" s="32"/>
      <c r="P233" s="25">
        <f t="shared" si="34"/>
        <v>0</v>
      </c>
      <c r="Q233" s="32">
        <v>100</v>
      </c>
      <c r="R233" s="32"/>
      <c r="S233" s="25">
        <f t="shared" si="35"/>
        <v>0</v>
      </c>
      <c r="T233" s="32">
        <v>100</v>
      </c>
      <c r="U233" s="32"/>
      <c r="V233" s="25">
        <f t="shared" si="39"/>
        <v>0</v>
      </c>
      <c r="W233" s="32">
        <v>100</v>
      </c>
      <c r="X233" s="32">
        <f t="shared" si="36"/>
        <v>0</v>
      </c>
      <c r="Y233" s="25">
        <f t="shared" si="37"/>
        <v>0</v>
      </c>
      <c r="AD233" s="26"/>
    </row>
    <row r="234" spans="1:30" x14ac:dyDescent="0.2">
      <c r="A234" s="24">
        <f t="shared" si="38"/>
        <v>10.024968827881711</v>
      </c>
      <c r="B234" s="32">
        <v>100.5</v>
      </c>
      <c r="C234" s="32"/>
      <c r="D234" s="25">
        <f t="shared" si="30"/>
        <v>0</v>
      </c>
      <c r="E234" s="32">
        <v>100.5</v>
      </c>
      <c r="F234" s="8"/>
      <c r="G234" s="25">
        <f t="shared" si="31"/>
        <v>0</v>
      </c>
      <c r="H234" s="32">
        <v>100.5</v>
      </c>
      <c r="I234" s="32"/>
      <c r="J234" s="25">
        <f t="shared" si="32"/>
        <v>0</v>
      </c>
      <c r="K234" s="32">
        <v>100.5</v>
      </c>
      <c r="L234" s="31"/>
      <c r="M234" s="25">
        <f t="shared" si="33"/>
        <v>0</v>
      </c>
      <c r="N234" s="32">
        <v>100.5</v>
      </c>
      <c r="O234" s="32"/>
      <c r="P234" s="25">
        <f t="shared" si="34"/>
        <v>0</v>
      </c>
      <c r="Q234" s="32">
        <v>100.5</v>
      </c>
      <c r="R234" s="32"/>
      <c r="S234" s="25">
        <f t="shared" si="35"/>
        <v>0</v>
      </c>
      <c r="T234" s="32">
        <v>100.5</v>
      </c>
      <c r="U234" s="32"/>
      <c r="V234" s="25">
        <f t="shared" si="39"/>
        <v>0</v>
      </c>
      <c r="W234" s="32">
        <v>100.5</v>
      </c>
      <c r="X234" s="32">
        <f t="shared" si="36"/>
        <v>0</v>
      </c>
      <c r="Y234" s="25">
        <f t="shared" si="37"/>
        <v>0</v>
      </c>
      <c r="AD234" s="26"/>
    </row>
    <row r="235" spans="1:30" x14ac:dyDescent="0.2">
      <c r="A235" s="24">
        <f t="shared" si="38"/>
        <v>10.04987562112089</v>
      </c>
      <c r="B235" s="32">
        <v>101</v>
      </c>
      <c r="C235" s="32"/>
      <c r="D235" s="25">
        <f t="shared" si="30"/>
        <v>0</v>
      </c>
      <c r="E235" s="32">
        <v>101</v>
      </c>
      <c r="F235" s="8"/>
      <c r="G235" s="25">
        <f t="shared" si="31"/>
        <v>0</v>
      </c>
      <c r="H235" s="32">
        <v>101</v>
      </c>
      <c r="I235" s="32"/>
      <c r="J235" s="25">
        <f t="shared" si="32"/>
        <v>0</v>
      </c>
      <c r="K235" s="32">
        <v>101</v>
      </c>
      <c r="L235" s="31"/>
      <c r="M235" s="25">
        <f t="shared" si="33"/>
        <v>0</v>
      </c>
      <c r="N235" s="32">
        <v>101</v>
      </c>
      <c r="O235" s="32"/>
      <c r="P235" s="25">
        <f t="shared" si="34"/>
        <v>0</v>
      </c>
      <c r="Q235" s="32">
        <v>101</v>
      </c>
      <c r="R235" s="32"/>
      <c r="S235" s="25">
        <f t="shared" si="35"/>
        <v>0</v>
      </c>
      <c r="T235" s="32">
        <v>101</v>
      </c>
      <c r="U235" s="32"/>
      <c r="V235" s="25">
        <f t="shared" si="39"/>
        <v>0</v>
      </c>
      <c r="W235" s="32">
        <v>101</v>
      </c>
      <c r="X235" s="32">
        <f t="shared" si="36"/>
        <v>0</v>
      </c>
      <c r="Y235" s="25">
        <f t="shared" si="37"/>
        <v>0</v>
      </c>
      <c r="AD235" s="26"/>
    </row>
    <row r="236" spans="1:30" x14ac:dyDescent="0.2">
      <c r="A236" s="24">
        <f t="shared" si="38"/>
        <v>10.074720839804943</v>
      </c>
      <c r="B236" s="32">
        <v>101.5</v>
      </c>
      <c r="C236" s="32"/>
      <c r="D236" s="25">
        <f t="shared" si="30"/>
        <v>0</v>
      </c>
      <c r="E236" s="32">
        <v>101.5</v>
      </c>
      <c r="F236" s="8"/>
      <c r="G236" s="25">
        <f t="shared" si="31"/>
        <v>0</v>
      </c>
      <c r="H236" s="32">
        <v>101.5</v>
      </c>
      <c r="I236" s="32"/>
      <c r="J236" s="25">
        <f t="shared" si="32"/>
        <v>0</v>
      </c>
      <c r="K236" s="32">
        <v>101.5</v>
      </c>
      <c r="L236" s="31"/>
      <c r="M236" s="25">
        <f t="shared" si="33"/>
        <v>0</v>
      </c>
      <c r="N236" s="32">
        <v>101.5</v>
      </c>
      <c r="O236" s="32"/>
      <c r="P236" s="25">
        <f t="shared" si="34"/>
        <v>0</v>
      </c>
      <c r="Q236" s="32">
        <v>101.5</v>
      </c>
      <c r="R236" s="32"/>
      <c r="S236" s="25">
        <f t="shared" si="35"/>
        <v>0</v>
      </c>
      <c r="T236" s="32">
        <v>101.5</v>
      </c>
      <c r="U236" s="32"/>
      <c r="V236" s="25">
        <f t="shared" si="39"/>
        <v>0</v>
      </c>
      <c r="W236" s="32">
        <v>101.5</v>
      </c>
      <c r="X236" s="32">
        <f t="shared" si="36"/>
        <v>0</v>
      </c>
      <c r="Y236" s="25">
        <f t="shared" si="37"/>
        <v>0</v>
      </c>
      <c r="AD236" s="26"/>
    </row>
    <row r="237" spans="1:30" x14ac:dyDescent="0.2">
      <c r="A237" s="24">
        <f t="shared" si="38"/>
        <v>10.099504938362077</v>
      </c>
      <c r="B237" s="32">
        <v>102</v>
      </c>
      <c r="C237" s="32"/>
      <c r="D237" s="25">
        <f t="shared" si="30"/>
        <v>0</v>
      </c>
      <c r="E237" s="32">
        <v>102</v>
      </c>
      <c r="F237" s="8"/>
      <c r="G237" s="25">
        <f t="shared" si="31"/>
        <v>0</v>
      </c>
      <c r="H237" s="32">
        <v>102</v>
      </c>
      <c r="I237" s="32"/>
      <c r="J237" s="25">
        <f t="shared" si="32"/>
        <v>0</v>
      </c>
      <c r="K237" s="32">
        <v>102</v>
      </c>
      <c r="L237" s="31"/>
      <c r="M237" s="25">
        <f t="shared" si="33"/>
        <v>0</v>
      </c>
      <c r="N237" s="32">
        <v>102</v>
      </c>
      <c r="O237" s="32"/>
      <c r="P237" s="25">
        <f t="shared" si="34"/>
        <v>0</v>
      </c>
      <c r="Q237" s="32">
        <v>102</v>
      </c>
      <c r="R237" s="32"/>
      <c r="S237" s="25">
        <f t="shared" si="35"/>
        <v>0</v>
      </c>
      <c r="T237" s="32">
        <v>102</v>
      </c>
      <c r="U237" s="32"/>
      <c r="V237" s="25">
        <f t="shared" si="39"/>
        <v>0</v>
      </c>
      <c r="W237" s="32">
        <v>102</v>
      </c>
      <c r="X237" s="32">
        <f t="shared" si="36"/>
        <v>0</v>
      </c>
      <c r="Y237" s="25">
        <f t="shared" si="37"/>
        <v>0</v>
      </c>
      <c r="AD237" s="26"/>
    </row>
    <row r="238" spans="1:30" x14ac:dyDescent="0.2">
      <c r="A238" s="24">
        <f t="shared" si="38"/>
        <v>10.124228365658293</v>
      </c>
      <c r="B238" s="32">
        <v>102.5</v>
      </c>
      <c r="C238" s="32"/>
      <c r="D238" s="25">
        <f t="shared" si="30"/>
        <v>0</v>
      </c>
      <c r="E238" s="32">
        <v>102.5</v>
      </c>
      <c r="F238" s="8"/>
      <c r="G238" s="25">
        <f t="shared" si="31"/>
        <v>0</v>
      </c>
      <c r="H238" s="32">
        <v>102.5</v>
      </c>
      <c r="I238" s="32"/>
      <c r="J238" s="25">
        <f t="shared" si="32"/>
        <v>0</v>
      </c>
      <c r="K238" s="32">
        <v>102.5</v>
      </c>
      <c r="L238" s="31"/>
      <c r="M238" s="25">
        <f t="shared" si="33"/>
        <v>0</v>
      </c>
      <c r="N238" s="32">
        <v>102.5</v>
      </c>
      <c r="O238" s="32"/>
      <c r="P238" s="25">
        <f t="shared" si="34"/>
        <v>0</v>
      </c>
      <c r="Q238" s="32">
        <v>102.5</v>
      </c>
      <c r="R238" s="32"/>
      <c r="S238" s="25">
        <f t="shared" si="35"/>
        <v>0</v>
      </c>
      <c r="T238" s="32">
        <v>102.5</v>
      </c>
      <c r="U238" s="32"/>
      <c r="V238" s="25">
        <f t="shared" si="39"/>
        <v>0</v>
      </c>
      <c r="W238" s="32">
        <v>102.5</v>
      </c>
      <c r="X238" s="32">
        <f t="shared" si="36"/>
        <v>0</v>
      </c>
      <c r="Y238" s="25">
        <f t="shared" si="37"/>
        <v>0</v>
      </c>
      <c r="AD238" s="26"/>
    </row>
    <row r="239" spans="1:30" x14ac:dyDescent="0.2">
      <c r="A239" s="24">
        <f t="shared" si="38"/>
        <v>10.148891565092219</v>
      </c>
      <c r="B239" s="32">
        <v>103</v>
      </c>
      <c r="C239" s="32"/>
      <c r="D239" s="25">
        <f t="shared" si="30"/>
        <v>0</v>
      </c>
      <c r="E239" s="32">
        <v>103</v>
      </c>
      <c r="F239" s="8"/>
      <c r="G239" s="25">
        <f t="shared" si="31"/>
        <v>0</v>
      </c>
      <c r="H239" s="32">
        <v>103</v>
      </c>
      <c r="I239" s="32"/>
      <c r="J239" s="25">
        <f t="shared" si="32"/>
        <v>0</v>
      </c>
      <c r="K239" s="32">
        <v>103</v>
      </c>
      <c r="L239" s="31"/>
      <c r="M239" s="25">
        <f t="shared" si="33"/>
        <v>0</v>
      </c>
      <c r="N239" s="32">
        <v>103</v>
      </c>
      <c r="O239" s="32"/>
      <c r="P239" s="25">
        <f t="shared" si="34"/>
        <v>0</v>
      </c>
      <c r="Q239" s="32">
        <v>103</v>
      </c>
      <c r="R239" s="32"/>
      <c r="S239" s="25">
        <f t="shared" si="35"/>
        <v>0</v>
      </c>
      <c r="T239" s="32">
        <v>103</v>
      </c>
      <c r="U239" s="32"/>
      <c r="V239" s="25">
        <f t="shared" si="39"/>
        <v>0</v>
      </c>
      <c r="W239" s="32">
        <v>103</v>
      </c>
      <c r="X239" s="32">
        <f t="shared" si="36"/>
        <v>0</v>
      </c>
      <c r="Y239" s="25">
        <f t="shared" si="37"/>
        <v>0</v>
      </c>
      <c r="AD239" s="26"/>
    </row>
    <row r="240" spans="1:30" x14ac:dyDescent="0.2">
      <c r="A240" s="24">
        <f t="shared" si="38"/>
        <v>10.173494974687902</v>
      </c>
      <c r="B240" s="32">
        <v>103.5</v>
      </c>
      <c r="C240" s="32"/>
      <c r="D240" s="25">
        <f t="shared" si="30"/>
        <v>0</v>
      </c>
      <c r="E240" s="32">
        <v>103.5</v>
      </c>
      <c r="F240" s="8"/>
      <c r="G240" s="25">
        <f t="shared" si="31"/>
        <v>0</v>
      </c>
      <c r="H240" s="32">
        <v>103.5</v>
      </c>
      <c r="I240" s="32"/>
      <c r="J240" s="25">
        <f t="shared" si="32"/>
        <v>0</v>
      </c>
      <c r="K240" s="32">
        <v>103.5</v>
      </c>
      <c r="L240" s="31"/>
      <c r="M240" s="25">
        <f t="shared" si="33"/>
        <v>0</v>
      </c>
      <c r="N240" s="32">
        <v>103.5</v>
      </c>
      <c r="O240" s="32"/>
      <c r="P240" s="25">
        <f t="shared" si="34"/>
        <v>0</v>
      </c>
      <c r="Q240" s="32">
        <v>103.5</v>
      </c>
      <c r="R240" s="32"/>
      <c r="S240" s="25">
        <f t="shared" si="35"/>
        <v>0</v>
      </c>
      <c r="T240" s="32">
        <v>103.5</v>
      </c>
      <c r="U240" s="32"/>
      <c r="V240" s="25">
        <f t="shared" si="39"/>
        <v>0</v>
      </c>
      <c r="W240" s="32">
        <v>103.5</v>
      </c>
      <c r="X240" s="32">
        <f t="shared" si="36"/>
        <v>0</v>
      </c>
      <c r="Y240" s="25">
        <f t="shared" si="37"/>
        <v>0</v>
      </c>
      <c r="AD240" s="26"/>
    </row>
    <row r="241" spans="1:30" x14ac:dyDescent="0.2">
      <c r="A241" s="24">
        <f t="shared" si="38"/>
        <v>10.198039027185569</v>
      </c>
      <c r="B241" s="32">
        <v>104</v>
      </c>
      <c r="C241" s="32"/>
      <c r="D241" s="25">
        <f t="shared" si="30"/>
        <v>0</v>
      </c>
      <c r="E241" s="32">
        <v>104</v>
      </c>
      <c r="F241" s="8"/>
      <c r="G241" s="25">
        <f t="shared" si="31"/>
        <v>0</v>
      </c>
      <c r="H241" s="32">
        <v>104</v>
      </c>
      <c r="I241" s="32"/>
      <c r="J241" s="25">
        <f t="shared" si="32"/>
        <v>0</v>
      </c>
      <c r="K241" s="32">
        <v>104</v>
      </c>
      <c r="L241" s="31"/>
      <c r="M241" s="25">
        <f t="shared" si="33"/>
        <v>0</v>
      </c>
      <c r="N241" s="32">
        <v>104</v>
      </c>
      <c r="O241" s="32"/>
      <c r="P241" s="25">
        <f t="shared" si="34"/>
        <v>0</v>
      </c>
      <c r="Q241" s="32">
        <v>104</v>
      </c>
      <c r="R241" s="32"/>
      <c r="S241" s="25">
        <f t="shared" si="35"/>
        <v>0</v>
      </c>
      <c r="T241" s="32">
        <v>104</v>
      </c>
      <c r="U241" s="32"/>
      <c r="V241" s="25">
        <f t="shared" si="39"/>
        <v>0</v>
      </c>
      <c r="W241" s="32">
        <v>104</v>
      </c>
      <c r="X241" s="32">
        <f t="shared" si="36"/>
        <v>0</v>
      </c>
      <c r="Y241" s="25">
        <f t="shared" si="37"/>
        <v>0</v>
      </c>
      <c r="AD241" s="26"/>
    </row>
    <row r="242" spans="1:30" x14ac:dyDescent="0.2">
      <c r="A242" s="24">
        <f t="shared" si="38"/>
        <v>10.222524150130436</v>
      </c>
      <c r="B242" s="32">
        <v>104.5</v>
      </c>
      <c r="C242" s="32"/>
      <c r="D242" s="25">
        <f t="shared" si="30"/>
        <v>0</v>
      </c>
      <c r="E242" s="32">
        <v>104.5</v>
      </c>
      <c r="F242" s="8"/>
      <c r="G242" s="25">
        <f t="shared" si="31"/>
        <v>0</v>
      </c>
      <c r="H242" s="32">
        <v>104.5</v>
      </c>
      <c r="I242" s="32"/>
      <c r="J242" s="25">
        <f t="shared" si="32"/>
        <v>0</v>
      </c>
      <c r="K242" s="32">
        <v>104.5</v>
      </c>
      <c r="L242" s="31"/>
      <c r="M242" s="25">
        <f t="shared" si="33"/>
        <v>0</v>
      </c>
      <c r="N242" s="32">
        <v>104.5</v>
      </c>
      <c r="O242" s="32"/>
      <c r="P242" s="25">
        <f t="shared" si="34"/>
        <v>0</v>
      </c>
      <c r="Q242" s="32">
        <v>104.5</v>
      </c>
      <c r="R242" s="32"/>
      <c r="S242" s="25">
        <f t="shared" si="35"/>
        <v>0</v>
      </c>
      <c r="T242" s="32">
        <v>104.5</v>
      </c>
      <c r="U242" s="32"/>
      <c r="V242" s="25">
        <f t="shared" si="39"/>
        <v>0</v>
      </c>
      <c r="W242" s="32">
        <v>104.5</v>
      </c>
      <c r="X242" s="32">
        <f t="shared" si="36"/>
        <v>0</v>
      </c>
      <c r="Y242" s="25">
        <f t="shared" si="37"/>
        <v>0</v>
      </c>
      <c r="AD242" s="26"/>
    </row>
    <row r="243" spans="1:30" x14ac:dyDescent="0.2">
      <c r="A243" s="24">
        <f t="shared" si="38"/>
        <v>10.246950765959598</v>
      </c>
      <c r="B243" s="32">
        <v>105</v>
      </c>
      <c r="C243" s="32"/>
      <c r="D243" s="25">
        <f t="shared" si="30"/>
        <v>0</v>
      </c>
      <c r="E243" s="32">
        <v>105</v>
      </c>
      <c r="F243" s="8"/>
      <c r="G243" s="25">
        <f t="shared" si="31"/>
        <v>0</v>
      </c>
      <c r="H243" s="32">
        <v>105</v>
      </c>
      <c r="I243" s="32"/>
      <c r="J243" s="25">
        <f t="shared" si="32"/>
        <v>0</v>
      </c>
      <c r="K243" s="32">
        <v>105</v>
      </c>
      <c r="L243" s="31"/>
      <c r="M243" s="25">
        <f t="shared" si="33"/>
        <v>0</v>
      </c>
      <c r="N243" s="32">
        <v>105</v>
      </c>
      <c r="O243" s="32"/>
      <c r="P243" s="25">
        <f t="shared" si="34"/>
        <v>0</v>
      </c>
      <c r="Q243" s="32">
        <v>105</v>
      </c>
      <c r="R243" s="32"/>
      <c r="S243" s="25">
        <f t="shared" si="35"/>
        <v>0</v>
      </c>
      <c r="T243" s="32">
        <v>105</v>
      </c>
      <c r="U243" s="32"/>
      <c r="V243" s="25">
        <f t="shared" si="39"/>
        <v>0</v>
      </c>
      <c r="W243" s="32">
        <v>105</v>
      </c>
      <c r="X243" s="32">
        <f t="shared" si="36"/>
        <v>0</v>
      </c>
      <c r="Y243" s="25">
        <f t="shared" si="37"/>
        <v>0</v>
      </c>
      <c r="AD243" s="26"/>
    </row>
    <row r="244" spans="1:30" x14ac:dyDescent="0.2">
      <c r="A244" s="24">
        <f t="shared" si="38"/>
        <v>10.271319292087069</v>
      </c>
      <c r="B244" s="32">
        <v>105.5</v>
      </c>
      <c r="C244" s="32"/>
      <c r="D244" s="25">
        <f t="shared" si="30"/>
        <v>0</v>
      </c>
      <c r="E244" s="32">
        <v>105.5</v>
      </c>
      <c r="F244" s="8"/>
      <c r="G244" s="25">
        <f t="shared" si="31"/>
        <v>0</v>
      </c>
      <c r="H244" s="32">
        <v>105.5</v>
      </c>
      <c r="I244" s="32"/>
      <c r="J244" s="25">
        <f t="shared" si="32"/>
        <v>0</v>
      </c>
      <c r="K244" s="32">
        <v>105.5</v>
      </c>
      <c r="L244" s="31"/>
      <c r="M244" s="25">
        <f t="shared" si="33"/>
        <v>0</v>
      </c>
      <c r="N244" s="32">
        <v>105.5</v>
      </c>
      <c r="O244" s="32"/>
      <c r="P244" s="25">
        <f t="shared" si="34"/>
        <v>0</v>
      </c>
      <c r="Q244" s="32">
        <v>105.5</v>
      </c>
      <c r="R244" s="32"/>
      <c r="S244" s="25">
        <f t="shared" si="35"/>
        <v>0</v>
      </c>
      <c r="T244" s="32">
        <v>105.5</v>
      </c>
      <c r="U244" s="32"/>
      <c r="V244" s="25">
        <f t="shared" si="39"/>
        <v>0</v>
      </c>
      <c r="W244" s="32">
        <v>105.5</v>
      </c>
      <c r="X244" s="32">
        <f t="shared" si="36"/>
        <v>0</v>
      </c>
      <c r="Y244" s="25">
        <f t="shared" si="37"/>
        <v>0</v>
      </c>
      <c r="AD244" s="26"/>
    </row>
    <row r="245" spans="1:30" x14ac:dyDescent="0.2">
      <c r="A245" s="24">
        <f t="shared" si="38"/>
        <v>10.295630140987001</v>
      </c>
      <c r="B245" s="32">
        <v>106</v>
      </c>
      <c r="C245" s="32"/>
      <c r="D245" s="25">
        <f t="shared" si="30"/>
        <v>0</v>
      </c>
      <c r="E245" s="32">
        <v>106</v>
      </c>
      <c r="F245" s="8"/>
      <c r="G245" s="25">
        <f t="shared" si="31"/>
        <v>0</v>
      </c>
      <c r="H245" s="32">
        <v>106</v>
      </c>
      <c r="I245" s="32"/>
      <c r="J245" s="25">
        <f t="shared" si="32"/>
        <v>0</v>
      </c>
      <c r="K245" s="32">
        <v>106</v>
      </c>
      <c r="L245" s="31"/>
      <c r="M245" s="25">
        <f t="shared" si="33"/>
        <v>0</v>
      </c>
      <c r="N245" s="32">
        <v>106</v>
      </c>
      <c r="O245" s="32"/>
      <c r="P245" s="25">
        <f t="shared" si="34"/>
        <v>0</v>
      </c>
      <c r="Q245" s="32">
        <v>106</v>
      </c>
      <c r="R245" s="32"/>
      <c r="S245" s="25">
        <f t="shared" si="35"/>
        <v>0</v>
      </c>
      <c r="T245" s="32">
        <v>106</v>
      </c>
      <c r="U245" s="32"/>
      <c r="V245" s="25">
        <f t="shared" si="39"/>
        <v>0</v>
      </c>
      <c r="W245" s="32">
        <v>106</v>
      </c>
      <c r="X245" s="32">
        <f t="shared" si="36"/>
        <v>0</v>
      </c>
      <c r="Y245" s="25">
        <f t="shared" si="37"/>
        <v>0</v>
      </c>
      <c r="AD245" s="26"/>
    </row>
    <row r="246" spans="1:30" x14ac:dyDescent="0.2">
      <c r="A246" s="24">
        <f t="shared" si="38"/>
        <v>10.319883720275147</v>
      </c>
      <c r="B246" s="32">
        <v>106.5</v>
      </c>
      <c r="C246" s="32"/>
      <c r="D246" s="25">
        <f t="shared" si="30"/>
        <v>0</v>
      </c>
      <c r="E246" s="32">
        <v>106.5</v>
      </c>
      <c r="F246" s="8"/>
      <c r="G246" s="25">
        <f t="shared" si="31"/>
        <v>0</v>
      </c>
      <c r="H246" s="32">
        <v>106.5</v>
      </c>
      <c r="I246" s="32"/>
      <c r="J246" s="25">
        <f t="shared" si="32"/>
        <v>0</v>
      </c>
      <c r="K246" s="32">
        <v>106.5</v>
      </c>
      <c r="L246" s="31"/>
      <c r="M246" s="25">
        <f t="shared" si="33"/>
        <v>0</v>
      </c>
      <c r="N246" s="32">
        <v>106.5</v>
      </c>
      <c r="O246" s="32"/>
      <c r="P246" s="25">
        <f t="shared" si="34"/>
        <v>0</v>
      </c>
      <c r="Q246" s="32">
        <v>106.5</v>
      </c>
      <c r="R246" s="32"/>
      <c r="S246" s="25">
        <f t="shared" si="35"/>
        <v>0</v>
      </c>
      <c r="T246" s="32">
        <v>106.5</v>
      </c>
      <c r="U246" s="32"/>
      <c r="V246" s="25">
        <f t="shared" si="39"/>
        <v>0</v>
      </c>
      <c r="W246" s="32">
        <v>106.5</v>
      </c>
      <c r="X246" s="32">
        <f t="shared" si="36"/>
        <v>0</v>
      </c>
      <c r="Y246" s="25">
        <f t="shared" si="37"/>
        <v>0</v>
      </c>
      <c r="AD246" s="26"/>
    </row>
    <row r="247" spans="1:30" x14ac:dyDescent="0.2">
      <c r="A247" s="24">
        <f t="shared" si="38"/>
        <v>10.344080432788601</v>
      </c>
      <c r="B247" s="32">
        <v>107</v>
      </c>
      <c r="C247" s="32"/>
      <c r="D247" s="25">
        <f t="shared" si="30"/>
        <v>0</v>
      </c>
      <c r="E247" s="32">
        <v>107</v>
      </c>
      <c r="F247" s="8"/>
      <c r="G247" s="25">
        <f t="shared" si="31"/>
        <v>0</v>
      </c>
      <c r="H247" s="32">
        <v>107</v>
      </c>
      <c r="I247" s="32"/>
      <c r="J247" s="25">
        <f t="shared" si="32"/>
        <v>0</v>
      </c>
      <c r="K247" s="32">
        <v>107</v>
      </c>
      <c r="L247" s="31"/>
      <c r="M247" s="25">
        <f t="shared" si="33"/>
        <v>0</v>
      </c>
      <c r="N247" s="32">
        <v>107</v>
      </c>
      <c r="O247" s="32"/>
      <c r="P247" s="25">
        <f t="shared" si="34"/>
        <v>0</v>
      </c>
      <c r="Q247" s="32">
        <v>107</v>
      </c>
      <c r="R247" s="32"/>
      <c r="S247" s="25">
        <f t="shared" si="35"/>
        <v>0</v>
      </c>
      <c r="T247" s="32">
        <v>107</v>
      </c>
      <c r="U247" s="32"/>
      <c r="V247" s="25">
        <f t="shared" si="39"/>
        <v>0</v>
      </c>
      <c r="W247" s="32">
        <v>107</v>
      </c>
      <c r="X247" s="32">
        <f t="shared" si="36"/>
        <v>0</v>
      </c>
      <c r="Y247" s="25">
        <f t="shared" si="37"/>
        <v>0</v>
      </c>
      <c r="AD247" s="26"/>
    </row>
    <row r="248" spans="1:30" x14ac:dyDescent="0.2">
      <c r="A248" s="24">
        <f t="shared" si="38"/>
        <v>10.36822067666386</v>
      </c>
      <c r="B248" s="32">
        <v>107.5</v>
      </c>
      <c r="C248" s="32"/>
      <c r="D248" s="25">
        <f t="shared" si="30"/>
        <v>0</v>
      </c>
      <c r="E248" s="32">
        <v>107.5</v>
      </c>
      <c r="F248" s="8"/>
      <c r="G248" s="25">
        <f t="shared" si="31"/>
        <v>0</v>
      </c>
      <c r="H248" s="32">
        <v>107.5</v>
      </c>
      <c r="I248" s="32"/>
      <c r="J248" s="25">
        <f t="shared" si="32"/>
        <v>0</v>
      </c>
      <c r="K248" s="32">
        <v>107.5</v>
      </c>
      <c r="L248" s="31"/>
      <c r="M248" s="25">
        <f t="shared" si="33"/>
        <v>0</v>
      </c>
      <c r="N248" s="32">
        <v>107.5</v>
      </c>
      <c r="O248" s="32"/>
      <c r="P248" s="25">
        <f t="shared" si="34"/>
        <v>0</v>
      </c>
      <c r="Q248" s="32">
        <v>107.5</v>
      </c>
      <c r="R248" s="32"/>
      <c r="S248" s="25">
        <f t="shared" si="35"/>
        <v>0</v>
      </c>
      <c r="T248" s="32">
        <v>107.5</v>
      </c>
      <c r="U248" s="32"/>
      <c r="V248" s="25">
        <f t="shared" si="39"/>
        <v>0</v>
      </c>
      <c r="W248" s="32">
        <v>107.5</v>
      </c>
      <c r="X248" s="32">
        <f t="shared" si="36"/>
        <v>0</v>
      </c>
      <c r="Y248" s="25">
        <f t="shared" si="37"/>
        <v>0</v>
      </c>
      <c r="AD248" s="26"/>
    </row>
    <row r="249" spans="1:30" x14ac:dyDescent="0.2">
      <c r="A249" s="24">
        <f t="shared" si="38"/>
        <v>10.392304845413264</v>
      </c>
      <c r="B249" s="32">
        <v>108</v>
      </c>
      <c r="C249" s="32"/>
      <c r="D249" s="25">
        <f t="shared" si="30"/>
        <v>0</v>
      </c>
      <c r="E249" s="32">
        <v>108</v>
      </c>
      <c r="F249" s="8"/>
      <c r="G249" s="25">
        <f t="shared" si="31"/>
        <v>0</v>
      </c>
      <c r="H249" s="32">
        <v>108</v>
      </c>
      <c r="I249" s="32"/>
      <c r="J249" s="25">
        <f t="shared" si="32"/>
        <v>0</v>
      </c>
      <c r="K249" s="32">
        <v>108</v>
      </c>
      <c r="L249" s="31"/>
      <c r="M249" s="25">
        <f t="shared" si="33"/>
        <v>0</v>
      </c>
      <c r="N249" s="32">
        <v>108</v>
      </c>
      <c r="O249" s="32"/>
      <c r="P249" s="25">
        <f t="shared" si="34"/>
        <v>0</v>
      </c>
      <c r="Q249" s="32">
        <v>108</v>
      </c>
      <c r="R249" s="32"/>
      <c r="S249" s="25">
        <f t="shared" si="35"/>
        <v>0</v>
      </c>
      <c r="T249" s="32">
        <v>108</v>
      </c>
      <c r="U249" s="32"/>
      <c r="V249" s="25">
        <f t="shared" si="39"/>
        <v>0</v>
      </c>
      <c r="W249" s="32">
        <v>108</v>
      </c>
      <c r="X249" s="32">
        <f t="shared" si="36"/>
        <v>0</v>
      </c>
      <c r="Y249" s="25">
        <f t="shared" si="37"/>
        <v>0</v>
      </c>
      <c r="AD249" s="26"/>
    </row>
    <row r="250" spans="1:30" x14ac:dyDescent="0.2">
      <c r="A250" s="24">
        <f t="shared" si="38"/>
        <v>10.41633332799983</v>
      </c>
      <c r="B250" s="32">
        <v>108.5</v>
      </c>
      <c r="C250" s="32"/>
      <c r="D250" s="25">
        <f t="shared" si="30"/>
        <v>0</v>
      </c>
      <c r="E250" s="32">
        <v>108.5</v>
      </c>
      <c r="F250" s="8"/>
      <c r="G250" s="25">
        <f t="shared" si="31"/>
        <v>0</v>
      </c>
      <c r="H250" s="32">
        <v>108.5</v>
      </c>
      <c r="I250" s="32"/>
      <c r="J250" s="25">
        <f t="shared" si="32"/>
        <v>0</v>
      </c>
      <c r="K250" s="32">
        <v>108.5</v>
      </c>
      <c r="L250" s="31"/>
      <c r="M250" s="25">
        <f t="shared" si="33"/>
        <v>0</v>
      </c>
      <c r="N250" s="32">
        <v>108.5</v>
      </c>
      <c r="O250" s="32"/>
      <c r="P250" s="25">
        <f t="shared" si="34"/>
        <v>0</v>
      </c>
      <c r="Q250" s="32">
        <v>108.5</v>
      </c>
      <c r="R250" s="32"/>
      <c r="S250" s="25">
        <f t="shared" si="35"/>
        <v>0</v>
      </c>
      <c r="T250" s="32">
        <v>108.5</v>
      </c>
      <c r="U250" s="32"/>
      <c r="V250" s="25">
        <f t="shared" si="39"/>
        <v>0</v>
      </c>
      <c r="W250" s="32">
        <v>108.5</v>
      </c>
      <c r="X250" s="32">
        <f t="shared" si="36"/>
        <v>0</v>
      </c>
      <c r="Y250" s="25">
        <f t="shared" si="37"/>
        <v>0</v>
      </c>
      <c r="AD250" s="26"/>
    </row>
    <row r="251" spans="1:30" x14ac:dyDescent="0.2">
      <c r="A251" s="24">
        <f t="shared" si="38"/>
        <v>10.440306508910551</v>
      </c>
      <c r="B251" s="32">
        <v>109</v>
      </c>
      <c r="C251" s="32"/>
      <c r="D251" s="25">
        <f t="shared" si="30"/>
        <v>0</v>
      </c>
      <c r="E251" s="32">
        <v>109</v>
      </c>
      <c r="F251" s="8"/>
      <c r="G251" s="25">
        <f t="shared" si="31"/>
        <v>0</v>
      </c>
      <c r="H251" s="32">
        <v>109</v>
      </c>
      <c r="I251" s="32"/>
      <c r="J251" s="25">
        <f t="shared" si="32"/>
        <v>0</v>
      </c>
      <c r="K251" s="32">
        <v>109</v>
      </c>
      <c r="L251" s="31"/>
      <c r="M251" s="25">
        <f t="shared" si="33"/>
        <v>0</v>
      </c>
      <c r="N251" s="32">
        <v>109</v>
      </c>
      <c r="O251" s="32"/>
      <c r="P251" s="25">
        <f t="shared" si="34"/>
        <v>0</v>
      </c>
      <c r="Q251" s="32">
        <v>109</v>
      </c>
      <c r="R251" s="32"/>
      <c r="S251" s="25">
        <f t="shared" si="35"/>
        <v>0</v>
      </c>
      <c r="T251" s="32">
        <v>109</v>
      </c>
      <c r="U251" s="32"/>
      <c r="V251" s="25">
        <f t="shared" si="39"/>
        <v>0</v>
      </c>
      <c r="W251" s="32">
        <v>109</v>
      </c>
      <c r="X251" s="32">
        <f t="shared" si="36"/>
        <v>0</v>
      </c>
      <c r="Y251" s="25">
        <f t="shared" si="37"/>
        <v>0</v>
      </c>
      <c r="AD251" s="26"/>
    </row>
    <row r="252" spans="1:30" x14ac:dyDescent="0.2">
      <c r="A252" s="24">
        <f t="shared" si="38"/>
        <v>10.464224768228174</v>
      </c>
      <c r="B252" s="32">
        <v>109.5</v>
      </c>
      <c r="C252" s="32"/>
      <c r="D252" s="25">
        <f t="shared" si="30"/>
        <v>0</v>
      </c>
      <c r="E252" s="32">
        <v>109.5</v>
      </c>
      <c r="F252" s="8"/>
      <c r="G252" s="25">
        <f t="shared" si="31"/>
        <v>0</v>
      </c>
      <c r="H252" s="32">
        <v>109.5</v>
      </c>
      <c r="I252" s="32"/>
      <c r="J252" s="25">
        <f t="shared" si="32"/>
        <v>0</v>
      </c>
      <c r="K252" s="32">
        <v>109.5</v>
      </c>
      <c r="L252" s="31"/>
      <c r="M252" s="25">
        <f t="shared" si="33"/>
        <v>0</v>
      </c>
      <c r="N252" s="32">
        <v>109.5</v>
      </c>
      <c r="O252" s="32"/>
      <c r="P252" s="25">
        <f t="shared" si="34"/>
        <v>0</v>
      </c>
      <c r="Q252" s="32">
        <v>109.5</v>
      </c>
      <c r="R252" s="32"/>
      <c r="S252" s="25">
        <f t="shared" si="35"/>
        <v>0</v>
      </c>
      <c r="T252" s="32">
        <v>109.5</v>
      </c>
      <c r="U252" s="32"/>
      <c r="V252" s="25">
        <f t="shared" si="39"/>
        <v>0</v>
      </c>
      <c r="W252" s="32">
        <v>109.5</v>
      </c>
      <c r="X252" s="32">
        <f t="shared" si="36"/>
        <v>0</v>
      </c>
      <c r="Y252" s="25">
        <f t="shared" si="37"/>
        <v>0</v>
      </c>
      <c r="AD252" s="26"/>
    </row>
    <row r="253" spans="1:30" x14ac:dyDescent="0.2">
      <c r="A253" s="24">
        <f t="shared" si="38"/>
        <v>10.488088481701515</v>
      </c>
      <c r="B253" s="32">
        <v>110</v>
      </c>
      <c r="C253" s="32"/>
      <c r="D253" s="25">
        <f t="shared" si="30"/>
        <v>0</v>
      </c>
      <c r="E253" s="32">
        <v>110</v>
      </c>
      <c r="F253" s="8"/>
      <c r="G253" s="25">
        <f t="shared" si="31"/>
        <v>0</v>
      </c>
      <c r="H253" s="32">
        <v>110</v>
      </c>
      <c r="I253" s="32"/>
      <c r="J253" s="25">
        <f t="shared" si="32"/>
        <v>0</v>
      </c>
      <c r="K253" s="32">
        <v>110</v>
      </c>
      <c r="L253" s="31"/>
      <c r="M253" s="25">
        <f t="shared" si="33"/>
        <v>0</v>
      </c>
      <c r="N253" s="32">
        <v>110</v>
      </c>
      <c r="O253" s="32"/>
      <c r="P253" s="25">
        <f t="shared" si="34"/>
        <v>0</v>
      </c>
      <c r="Q253" s="32">
        <v>110</v>
      </c>
      <c r="R253" s="32"/>
      <c r="S253" s="25">
        <f t="shared" si="35"/>
        <v>0</v>
      </c>
      <c r="T253" s="32">
        <v>110</v>
      </c>
      <c r="U253" s="32"/>
      <c r="V253" s="25">
        <f t="shared" si="39"/>
        <v>0</v>
      </c>
      <c r="W253" s="32">
        <v>110</v>
      </c>
      <c r="X253" s="32">
        <f t="shared" si="36"/>
        <v>0</v>
      </c>
      <c r="Y253" s="25">
        <f t="shared" si="37"/>
        <v>0</v>
      </c>
      <c r="AD253" s="26"/>
    </row>
    <row r="254" spans="1:30" x14ac:dyDescent="0.2">
      <c r="A254" s="24">
        <f t="shared" si="38"/>
        <v>10.51189802081432</v>
      </c>
      <c r="B254" s="32">
        <v>110.5</v>
      </c>
      <c r="C254" s="32"/>
      <c r="D254" s="25">
        <f t="shared" si="30"/>
        <v>0</v>
      </c>
      <c r="E254" s="32">
        <v>110.5</v>
      </c>
      <c r="F254" s="8"/>
      <c r="G254" s="25">
        <f t="shared" si="31"/>
        <v>0</v>
      </c>
      <c r="H254" s="32">
        <v>110.5</v>
      </c>
      <c r="I254" s="32"/>
      <c r="J254" s="25">
        <f t="shared" si="32"/>
        <v>0</v>
      </c>
      <c r="K254" s="32">
        <v>110.5</v>
      </c>
      <c r="L254" s="31"/>
      <c r="M254" s="25">
        <f t="shared" si="33"/>
        <v>0</v>
      </c>
      <c r="N254" s="32">
        <v>110.5</v>
      </c>
      <c r="O254" s="32"/>
      <c r="P254" s="25">
        <f t="shared" si="34"/>
        <v>0</v>
      </c>
      <c r="Q254" s="32">
        <v>110.5</v>
      </c>
      <c r="R254" s="32"/>
      <c r="S254" s="25">
        <f t="shared" si="35"/>
        <v>0</v>
      </c>
      <c r="T254" s="32">
        <v>110.5</v>
      </c>
      <c r="U254" s="32"/>
      <c r="V254" s="25">
        <f t="shared" si="39"/>
        <v>0</v>
      </c>
      <c r="W254" s="32">
        <v>110.5</v>
      </c>
      <c r="X254" s="32">
        <f t="shared" si="36"/>
        <v>0</v>
      </c>
      <c r="Y254" s="25">
        <f t="shared" si="37"/>
        <v>0</v>
      </c>
      <c r="AD254" s="26"/>
    </row>
    <row r="255" spans="1:30" x14ac:dyDescent="0.2">
      <c r="A255" s="24">
        <f t="shared" si="38"/>
        <v>10.535653752852738</v>
      </c>
      <c r="B255" s="32">
        <v>111</v>
      </c>
      <c r="C255" s="32"/>
      <c r="D255" s="25">
        <f t="shared" si="30"/>
        <v>0</v>
      </c>
      <c r="E255" s="32">
        <v>111</v>
      </c>
      <c r="F255" s="8"/>
      <c r="G255" s="25">
        <f t="shared" si="31"/>
        <v>0</v>
      </c>
      <c r="H255" s="32">
        <v>111</v>
      </c>
      <c r="I255" s="32"/>
      <c r="J255" s="25">
        <f t="shared" si="32"/>
        <v>0</v>
      </c>
      <c r="K255" s="32">
        <v>111</v>
      </c>
      <c r="L255" s="31"/>
      <c r="M255" s="25">
        <f t="shared" si="33"/>
        <v>0</v>
      </c>
      <c r="N255" s="32">
        <v>111</v>
      </c>
      <c r="O255" s="32"/>
      <c r="P255" s="25">
        <f t="shared" si="34"/>
        <v>0</v>
      </c>
      <c r="Q255" s="32">
        <v>111</v>
      </c>
      <c r="R255" s="32"/>
      <c r="S255" s="25">
        <f t="shared" si="35"/>
        <v>0</v>
      </c>
      <c r="T255" s="32">
        <v>111</v>
      </c>
      <c r="U255" s="32"/>
      <c r="V255" s="25">
        <f t="shared" si="39"/>
        <v>0</v>
      </c>
      <c r="W255" s="32">
        <v>111</v>
      </c>
      <c r="X255" s="32">
        <f t="shared" si="36"/>
        <v>0</v>
      </c>
      <c r="Y255" s="25">
        <f t="shared" si="37"/>
        <v>0</v>
      </c>
      <c r="AD255" s="26"/>
    </row>
    <row r="256" spans="1:30" x14ac:dyDescent="0.2">
      <c r="A256" s="24">
        <f t="shared" si="38"/>
        <v>10.559356040971437</v>
      </c>
      <c r="B256" s="32">
        <v>111.5</v>
      </c>
      <c r="C256" s="32"/>
      <c r="D256" s="25">
        <f t="shared" si="30"/>
        <v>0</v>
      </c>
      <c r="E256" s="32">
        <v>111.5</v>
      </c>
      <c r="F256" s="8"/>
      <c r="G256" s="25">
        <f t="shared" si="31"/>
        <v>0</v>
      </c>
      <c r="H256" s="32">
        <v>111.5</v>
      </c>
      <c r="I256" s="32"/>
      <c r="J256" s="25">
        <f t="shared" si="32"/>
        <v>0</v>
      </c>
      <c r="K256" s="32">
        <v>111.5</v>
      </c>
      <c r="L256" s="31"/>
      <c r="M256" s="25">
        <f t="shared" si="33"/>
        <v>0</v>
      </c>
      <c r="N256" s="32">
        <v>111.5</v>
      </c>
      <c r="O256" s="32"/>
      <c r="P256" s="25">
        <f t="shared" si="34"/>
        <v>0</v>
      </c>
      <c r="Q256" s="32">
        <v>111.5</v>
      </c>
      <c r="R256" s="32"/>
      <c r="S256" s="25">
        <f t="shared" si="35"/>
        <v>0</v>
      </c>
      <c r="T256" s="32">
        <v>111.5</v>
      </c>
      <c r="U256" s="32"/>
      <c r="V256" s="25">
        <f t="shared" si="39"/>
        <v>0</v>
      </c>
      <c r="W256" s="32">
        <v>111.5</v>
      </c>
      <c r="X256" s="32">
        <f t="shared" si="36"/>
        <v>0</v>
      </c>
      <c r="Y256" s="25">
        <f t="shared" si="37"/>
        <v>0</v>
      </c>
      <c r="AD256" s="26"/>
    </row>
    <row r="257" spans="1:30" x14ac:dyDescent="0.2">
      <c r="A257" s="24">
        <f t="shared" si="38"/>
        <v>10.583005244258363</v>
      </c>
      <c r="B257" s="32">
        <v>112</v>
      </c>
      <c r="C257" s="32"/>
      <c r="D257" s="25">
        <f t="shared" si="30"/>
        <v>0</v>
      </c>
      <c r="E257" s="32">
        <v>112</v>
      </c>
      <c r="F257" s="8"/>
      <c r="G257" s="25">
        <f t="shared" si="31"/>
        <v>0</v>
      </c>
      <c r="H257" s="32">
        <v>112</v>
      </c>
      <c r="I257" s="32"/>
      <c r="J257" s="25">
        <f t="shared" si="32"/>
        <v>0</v>
      </c>
      <c r="K257" s="32">
        <v>112</v>
      </c>
      <c r="L257" s="31"/>
      <c r="M257" s="25">
        <f t="shared" si="33"/>
        <v>0</v>
      </c>
      <c r="N257" s="32">
        <v>112</v>
      </c>
      <c r="O257" s="32"/>
      <c r="P257" s="25">
        <f t="shared" si="34"/>
        <v>0</v>
      </c>
      <c r="Q257" s="32">
        <v>112</v>
      </c>
      <c r="R257" s="32"/>
      <c r="S257" s="25">
        <f t="shared" si="35"/>
        <v>0</v>
      </c>
      <c r="T257" s="32">
        <v>112</v>
      </c>
      <c r="U257" s="32"/>
      <c r="V257" s="25">
        <f t="shared" si="39"/>
        <v>0</v>
      </c>
      <c r="W257" s="32">
        <v>112</v>
      </c>
      <c r="X257" s="32">
        <f t="shared" si="36"/>
        <v>0</v>
      </c>
      <c r="Y257" s="25">
        <f t="shared" si="37"/>
        <v>0</v>
      </c>
      <c r="AD257" s="26"/>
    </row>
    <row r="258" spans="1:30" x14ac:dyDescent="0.2">
      <c r="A258" s="24">
        <f t="shared" si="38"/>
        <v>10.606601717798213</v>
      </c>
      <c r="B258" s="32">
        <v>112.5</v>
      </c>
      <c r="C258" s="32"/>
      <c r="D258" s="25">
        <f t="shared" si="30"/>
        <v>0</v>
      </c>
      <c r="E258" s="32">
        <v>112.5</v>
      </c>
      <c r="F258" s="8"/>
      <c r="G258" s="25">
        <f t="shared" si="31"/>
        <v>0</v>
      </c>
      <c r="H258" s="32">
        <v>112.5</v>
      </c>
      <c r="I258" s="32"/>
      <c r="J258" s="25">
        <f t="shared" si="32"/>
        <v>0</v>
      </c>
      <c r="K258" s="32">
        <v>112.5</v>
      </c>
      <c r="L258" s="31"/>
      <c r="M258" s="25">
        <f t="shared" si="33"/>
        <v>0</v>
      </c>
      <c r="N258" s="32">
        <v>112.5</v>
      </c>
      <c r="O258" s="32"/>
      <c r="P258" s="25">
        <f t="shared" si="34"/>
        <v>0</v>
      </c>
      <c r="Q258" s="32">
        <v>112.5</v>
      </c>
      <c r="R258" s="32"/>
      <c r="S258" s="25">
        <f t="shared" si="35"/>
        <v>0</v>
      </c>
      <c r="T258" s="32">
        <v>112.5</v>
      </c>
      <c r="U258" s="32"/>
      <c r="V258" s="25">
        <f t="shared" si="39"/>
        <v>0</v>
      </c>
      <c r="W258" s="32">
        <v>112.5</v>
      </c>
      <c r="X258" s="32">
        <f t="shared" si="36"/>
        <v>0</v>
      </c>
      <c r="Y258" s="25">
        <f t="shared" si="37"/>
        <v>0</v>
      </c>
      <c r="AD258" s="26"/>
    </row>
    <row r="259" spans="1:30" x14ac:dyDescent="0.2">
      <c r="A259" s="24">
        <f t="shared" si="38"/>
        <v>10.63014581273465</v>
      </c>
      <c r="B259" s="32">
        <v>113</v>
      </c>
      <c r="C259" s="32"/>
      <c r="D259" s="25">
        <f t="shared" si="30"/>
        <v>0</v>
      </c>
      <c r="E259" s="32">
        <v>113</v>
      </c>
      <c r="F259" s="8"/>
      <c r="G259" s="25">
        <f t="shared" si="31"/>
        <v>0</v>
      </c>
      <c r="H259" s="32">
        <v>113</v>
      </c>
      <c r="I259" s="32"/>
      <c r="J259" s="25">
        <f t="shared" si="32"/>
        <v>0</v>
      </c>
      <c r="K259" s="32">
        <v>113</v>
      </c>
      <c r="L259" s="31"/>
      <c r="M259" s="25">
        <f t="shared" si="33"/>
        <v>0</v>
      </c>
      <c r="N259" s="32">
        <v>113</v>
      </c>
      <c r="O259" s="32"/>
      <c r="P259" s="25">
        <f t="shared" si="34"/>
        <v>0</v>
      </c>
      <c r="Q259" s="32">
        <v>113</v>
      </c>
      <c r="R259" s="32"/>
      <c r="S259" s="25">
        <f t="shared" si="35"/>
        <v>0</v>
      </c>
      <c r="T259" s="32">
        <v>113</v>
      </c>
      <c r="U259" s="32"/>
      <c r="V259" s="25">
        <f t="shared" si="39"/>
        <v>0</v>
      </c>
      <c r="W259" s="32">
        <v>113</v>
      </c>
      <c r="X259" s="32">
        <f t="shared" si="36"/>
        <v>0</v>
      </c>
      <c r="Y259" s="25">
        <f t="shared" si="37"/>
        <v>0</v>
      </c>
      <c r="AD259" s="26"/>
    </row>
    <row r="260" spans="1:30" x14ac:dyDescent="0.2">
      <c r="A260" s="24">
        <f t="shared" si="38"/>
        <v>10.653637876331258</v>
      </c>
      <c r="B260" s="32">
        <v>113.5</v>
      </c>
      <c r="C260" s="32"/>
      <c r="D260" s="25">
        <f t="shared" si="30"/>
        <v>0</v>
      </c>
      <c r="E260" s="32">
        <v>113.5</v>
      </c>
      <c r="F260" s="8"/>
      <c r="G260" s="25">
        <f t="shared" si="31"/>
        <v>0</v>
      </c>
      <c r="H260" s="32">
        <v>113.5</v>
      </c>
      <c r="I260" s="32"/>
      <c r="J260" s="25">
        <f t="shared" si="32"/>
        <v>0</v>
      </c>
      <c r="K260" s="32">
        <v>113.5</v>
      </c>
      <c r="L260" s="31"/>
      <c r="M260" s="25">
        <f t="shared" si="33"/>
        <v>0</v>
      </c>
      <c r="N260" s="32">
        <v>113.5</v>
      </c>
      <c r="O260" s="32"/>
      <c r="P260" s="25">
        <f t="shared" si="34"/>
        <v>0</v>
      </c>
      <c r="Q260" s="32">
        <v>113.5</v>
      </c>
      <c r="R260" s="32"/>
      <c r="S260" s="25">
        <f t="shared" si="35"/>
        <v>0</v>
      </c>
      <c r="T260" s="32">
        <v>113.5</v>
      </c>
      <c r="U260" s="32"/>
      <c r="V260" s="25">
        <f t="shared" si="39"/>
        <v>0</v>
      </c>
      <c r="W260" s="32">
        <v>113.5</v>
      </c>
      <c r="X260" s="32">
        <f t="shared" si="36"/>
        <v>0</v>
      </c>
      <c r="Y260" s="25">
        <f t="shared" si="37"/>
        <v>0</v>
      </c>
      <c r="AD260" s="26"/>
    </row>
    <row r="261" spans="1:30" x14ac:dyDescent="0.2">
      <c r="A261" s="24">
        <f t="shared" si="38"/>
        <v>10.677078252031311</v>
      </c>
      <c r="B261" s="32">
        <v>114</v>
      </c>
      <c r="C261" s="32"/>
      <c r="D261" s="25">
        <f t="shared" ref="D261:D324" si="40">C261</f>
        <v>0</v>
      </c>
      <c r="E261" s="32">
        <v>114</v>
      </c>
      <c r="F261" s="8"/>
      <c r="G261" s="25">
        <f t="shared" ref="G261:G324" si="41">F261+$AB$2</f>
        <v>0</v>
      </c>
      <c r="H261" s="32">
        <v>114</v>
      </c>
      <c r="I261" s="32"/>
      <c r="J261" s="25">
        <f t="shared" ref="J261:J324" si="42">I261+$AB$3</f>
        <v>0</v>
      </c>
      <c r="K261" s="32">
        <v>114</v>
      </c>
      <c r="L261" s="31"/>
      <c r="M261" s="25">
        <f t="shared" ref="M261:M324" si="43">L261+$AB$4</f>
        <v>0</v>
      </c>
      <c r="N261" s="32">
        <v>114</v>
      </c>
      <c r="O261" s="32"/>
      <c r="P261" s="25">
        <f t="shared" ref="P261:P324" si="44">O261+$AB$5</f>
        <v>0</v>
      </c>
      <c r="Q261" s="32">
        <v>114</v>
      </c>
      <c r="R261" s="32"/>
      <c r="S261" s="25">
        <f t="shared" ref="S261:S324" si="45">R261+$AB$6</f>
        <v>0</v>
      </c>
      <c r="T261" s="32">
        <v>114</v>
      </c>
      <c r="U261" s="32"/>
      <c r="V261" s="25">
        <f t="shared" si="39"/>
        <v>0</v>
      </c>
      <c r="W261" s="32">
        <v>114</v>
      </c>
      <c r="X261" s="32">
        <f t="shared" ref="X261:X324" si="46">U261</f>
        <v>0</v>
      </c>
      <c r="Y261" s="25">
        <f t="shared" ref="Y261:Y324" si="47">X261+$AB$8</f>
        <v>0</v>
      </c>
      <c r="AD261" s="26"/>
    </row>
    <row r="262" spans="1:30" x14ac:dyDescent="0.2">
      <c r="A262" s="24">
        <f t="shared" ref="A262:A325" si="48">SQRT(B262)</f>
        <v>10.700467279516348</v>
      </c>
      <c r="B262" s="32">
        <v>114.5</v>
      </c>
      <c r="C262" s="32"/>
      <c r="D262" s="25">
        <f t="shared" si="40"/>
        <v>0</v>
      </c>
      <c r="E262" s="32">
        <v>114.5</v>
      </c>
      <c r="F262" s="8"/>
      <c r="G262" s="25">
        <f t="shared" si="41"/>
        <v>0</v>
      </c>
      <c r="H262" s="32">
        <v>114.5</v>
      </c>
      <c r="I262" s="32"/>
      <c r="J262" s="25">
        <f t="shared" si="42"/>
        <v>0</v>
      </c>
      <c r="K262" s="32">
        <v>114.5</v>
      </c>
      <c r="L262" s="31"/>
      <c r="M262" s="25">
        <f t="shared" si="43"/>
        <v>0</v>
      </c>
      <c r="N262" s="32">
        <v>114.5</v>
      </c>
      <c r="O262" s="32"/>
      <c r="P262" s="25">
        <f t="shared" si="44"/>
        <v>0</v>
      </c>
      <c r="Q262" s="32">
        <v>114.5</v>
      </c>
      <c r="R262" s="32"/>
      <c r="S262" s="25">
        <f t="shared" si="45"/>
        <v>0</v>
      </c>
      <c r="T262" s="32">
        <v>114.5</v>
      </c>
      <c r="U262" s="32"/>
      <c r="V262" s="25">
        <f t="shared" ref="V262:V325" si="49">Y262</f>
        <v>0</v>
      </c>
      <c r="W262" s="32">
        <v>114.5</v>
      </c>
      <c r="X262" s="32">
        <f t="shared" si="46"/>
        <v>0</v>
      </c>
      <c r="Y262" s="25">
        <f t="shared" si="47"/>
        <v>0</v>
      </c>
      <c r="AD262" s="26"/>
    </row>
    <row r="263" spans="1:30" x14ac:dyDescent="0.2">
      <c r="A263" s="24">
        <f t="shared" si="48"/>
        <v>10.723805294763608</v>
      </c>
      <c r="B263" s="32">
        <v>115</v>
      </c>
      <c r="C263" s="32"/>
      <c r="D263" s="25">
        <f t="shared" si="40"/>
        <v>0</v>
      </c>
      <c r="E263" s="32">
        <v>115</v>
      </c>
      <c r="F263" s="8"/>
      <c r="G263" s="25">
        <f t="shared" si="41"/>
        <v>0</v>
      </c>
      <c r="H263" s="32">
        <v>115</v>
      </c>
      <c r="I263" s="32"/>
      <c r="J263" s="25">
        <f t="shared" si="42"/>
        <v>0</v>
      </c>
      <c r="K263" s="32">
        <v>115</v>
      </c>
      <c r="L263" s="31"/>
      <c r="M263" s="25">
        <f t="shared" si="43"/>
        <v>0</v>
      </c>
      <c r="N263" s="32">
        <v>115</v>
      </c>
      <c r="O263" s="32"/>
      <c r="P263" s="25">
        <f t="shared" si="44"/>
        <v>0</v>
      </c>
      <c r="Q263" s="32">
        <v>115</v>
      </c>
      <c r="R263" s="32"/>
      <c r="S263" s="25">
        <f t="shared" si="45"/>
        <v>0</v>
      </c>
      <c r="T263" s="32">
        <v>115</v>
      </c>
      <c r="U263" s="32"/>
      <c r="V263" s="25">
        <f t="shared" si="49"/>
        <v>0</v>
      </c>
      <c r="W263" s="32">
        <v>115</v>
      </c>
      <c r="X263" s="32">
        <f t="shared" si="46"/>
        <v>0</v>
      </c>
      <c r="Y263" s="25">
        <f t="shared" si="47"/>
        <v>0</v>
      </c>
      <c r="AD263" s="26"/>
    </row>
    <row r="264" spans="1:30" x14ac:dyDescent="0.2">
      <c r="A264" s="24">
        <f t="shared" si="48"/>
        <v>10.747092630102339</v>
      </c>
      <c r="B264" s="32">
        <v>115.5</v>
      </c>
      <c r="C264" s="32"/>
      <c r="D264" s="25">
        <f t="shared" si="40"/>
        <v>0</v>
      </c>
      <c r="E264" s="32">
        <v>115.5</v>
      </c>
      <c r="F264" s="8"/>
      <c r="G264" s="25">
        <f t="shared" si="41"/>
        <v>0</v>
      </c>
      <c r="H264" s="32">
        <v>115.5</v>
      </c>
      <c r="I264" s="32"/>
      <c r="J264" s="25">
        <f t="shared" si="42"/>
        <v>0</v>
      </c>
      <c r="K264" s="32">
        <v>115.5</v>
      </c>
      <c r="L264" s="31"/>
      <c r="M264" s="25">
        <f t="shared" si="43"/>
        <v>0</v>
      </c>
      <c r="N264" s="32">
        <v>115.5</v>
      </c>
      <c r="O264" s="32"/>
      <c r="P264" s="25">
        <f t="shared" si="44"/>
        <v>0</v>
      </c>
      <c r="Q264" s="32">
        <v>115.5</v>
      </c>
      <c r="R264" s="32"/>
      <c r="S264" s="25">
        <f t="shared" si="45"/>
        <v>0</v>
      </c>
      <c r="T264" s="32">
        <v>115.5</v>
      </c>
      <c r="U264" s="32"/>
      <c r="V264" s="25">
        <f t="shared" si="49"/>
        <v>0</v>
      </c>
      <c r="W264" s="32">
        <v>115.5</v>
      </c>
      <c r="X264" s="32">
        <f t="shared" si="46"/>
        <v>0</v>
      </c>
      <c r="Y264" s="25">
        <f t="shared" si="47"/>
        <v>0</v>
      </c>
      <c r="AD264" s="26"/>
    </row>
    <row r="265" spans="1:30" x14ac:dyDescent="0.2">
      <c r="A265" s="24">
        <f t="shared" si="48"/>
        <v>10.770329614269007</v>
      </c>
      <c r="B265" s="32">
        <v>116</v>
      </c>
      <c r="C265" s="32"/>
      <c r="D265" s="25">
        <f t="shared" si="40"/>
        <v>0</v>
      </c>
      <c r="E265" s="32">
        <v>116</v>
      </c>
      <c r="F265" s="8"/>
      <c r="G265" s="25">
        <f t="shared" si="41"/>
        <v>0</v>
      </c>
      <c r="H265" s="32">
        <v>116</v>
      </c>
      <c r="I265" s="32"/>
      <c r="J265" s="25">
        <f t="shared" si="42"/>
        <v>0</v>
      </c>
      <c r="K265" s="32">
        <v>116</v>
      </c>
      <c r="L265" s="31"/>
      <c r="M265" s="25">
        <f t="shared" si="43"/>
        <v>0</v>
      </c>
      <c r="N265" s="32">
        <v>116</v>
      </c>
      <c r="O265" s="32"/>
      <c r="P265" s="25">
        <f t="shared" si="44"/>
        <v>0</v>
      </c>
      <c r="Q265" s="32">
        <v>116</v>
      </c>
      <c r="R265" s="32"/>
      <c r="S265" s="25">
        <f t="shared" si="45"/>
        <v>0</v>
      </c>
      <c r="T265" s="32">
        <v>116</v>
      </c>
      <c r="U265" s="32"/>
      <c r="V265" s="25">
        <f t="shared" si="49"/>
        <v>0</v>
      </c>
      <c r="W265" s="32">
        <v>116</v>
      </c>
      <c r="X265" s="32">
        <f t="shared" si="46"/>
        <v>0</v>
      </c>
      <c r="Y265" s="25">
        <f t="shared" si="47"/>
        <v>0</v>
      </c>
      <c r="AD265" s="26"/>
    </row>
    <row r="266" spans="1:30" x14ac:dyDescent="0.2">
      <c r="A266" s="24">
        <f t="shared" si="48"/>
        <v>10.793516572461451</v>
      </c>
      <c r="B266" s="32">
        <v>116.5</v>
      </c>
      <c r="C266" s="32"/>
      <c r="D266" s="25">
        <f t="shared" si="40"/>
        <v>0</v>
      </c>
      <c r="E266" s="32">
        <v>116.5</v>
      </c>
      <c r="F266" s="8"/>
      <c r="G266" s="25">
        <f t="shared" si="41"/>
        <v>0</v>
      </c>
      <c r="H266" s="32">
        <v>116.5</v>
      </c>
      <c r="I266" s="32"/>
      <c r="J266" s="25">
        <f t="shared" si="42"/>
        <v>0</v>
      </c>
      <c r="K266" s="32">
        <v>116.5</v>
      </c>
      <c r="L266" s="31"/>
      <c r="M266" s="25">
        <f t="shared" si="43"/>
        <v>0</v>
      </c>
      <c r="N266" s="32">
        <v>116.5</v>
      </c>
      <c r="O266" s="32"/>
      <c r="P266" s="25">
        <f t="shared" si="44"/>
        <v>0</v>
      </c>
      <c r="Q266" s="32">
        <v>116.5</v>
      </c>
      <c r="R266" s="32"/>
      <c r="S266" s="25">
        <f t="shared" si="45"/>
        <v>0</v>
      </c>
      <c r="T266" s="32">
        <v>116.5</v>
      </c>
      <c r="U266" s="32"/>
      <c r="V266" s="25">
        <f t="shared" si="49"/>
        <v>0</v>
      </c>
      <c r="W266" s="32">
        <v>116.5</v>
      </c>
      <c r="X266" s="32">
        <f t="shared" si="46"/>
        <v>0</v>
      </c>
      <c r="Y266" s="25">
        <f t="shared" si="47"/>
        <v>0</v>
      </c>
      <c r="AD266" s="26"/>
    </row>
    <row r="267" spans="1:30" x14ac:dyDescent="0.2">
      <c r="A267" s="24">
        <f t="shared" si="48"/>
        <v>10.816653826391969</v>
      </c>
      <c r="B267" s="32">
        <v>117</v>
      </c>
      <c r="C267" s="32"/>
      <c r="D267" s="25">
        <f t="shared" si="40"/>
        <v>0</v>
      </c>
      <c r="E267" s="32">
        <v>117</v>
      </c>
      <c r="F267" s="8"/>
      <c r="G267" s="25">
        <f t="shared" si="41"/>
        <v>0</v>
      </c>
      <c r="H267" s="32">
        <v>117</v>
      </c>
      <c r="I267" s="32"/>
      <c r="J267" s="25">
        <f t="shared" si="42"/>
        <v>0</v>
      </c>
      <c r="K267" s="32">
        <v>117</v>
      </c>
      <c r="L267" s="31"/>
      <c r="M267" s="25">
        <f t="shared" si="43"/>
        <v>0</v>
      </c>
      <c r="N267" s="32">
        <v>117</v>
      </c>
      <c r="O267" s="32"/>
      <c r="P267" s="25">
        <f t="shared" si="44"/>
        <v>0</v>
      </c>
      <c r="Q267" s="32">
        <v>117</v>
      </c>
      <c r="R267" s="32"/>
      <c r="S267" s="25">
        <f t="shared" si="45"/>
        <v>0</v>
      </c>
      <c r="T267" s="32">
        <v>117</v>
      </c>
      <c r="U267" s="32"/>
      <c r="V267" s="25">
        <f t="shared" si="49"/>
        <v>0</v>
      </c>
      <c r="W267" s="32">
        <v>117</v>
      </c>
      <c r="X267" s="32">
        <f t="shared" si="46"/>
        <v>0</v>
      </c>
      <c r="Y267" s="25">
        <f t="shared" si="47"/>
        <v>0</v>
      </c>
      <c r="AD267" s="26"/>
    </row>
    <row r="268" spans="1:30" x14ac:dyDescent="0.2">
      <c r="A268" s="24">
        <f t="shared" si="48"/>
        <v>10.8397416943394</v>
      </c>
      <c r="B268" s="32">
        <v>117.5</v>
      </c>
      <c r="C268" s="32"/>
      <c r="D268" s="25">
        <f t="shared" si="40"/>
        <v>0</v>
      </c>
      <c r="E268" s="32">
        <v>117.5</v>
      </c>
      <c r="F268" s="8"/>
      <c r="G268" s="25">
        <f t="shared" si="41"/>
        <v>0</v>
      </c>
      <c r="H268" s="32">
        <v>117.5</v>
      </c>
      <c r="I268" s="32"/>
      <c r="J268" s="25">
        <f t="shared" si="42"/>
        <v>0</v>
      </c>
      <c r="K268" s="32">
        <v>117.5</v>
      </c>
      <c r="L268" s="31"/>
      <c r="M268" s="25">
        <f t="shared" si="43"/>
        <v>0</v>
      </c>
      <c r="N268" s="32">
        <v>117.5</v>
      </c>
      <c r="O268" s="32"/>
      <c r="P268" s="25">
        <f t="shared" si="44"/>
        <v>0</v>
      </c>
      <c r="Q268" s="32">
        <v>117.5</v>
      </c>
      <c r="R268" s="32"/>
      <c r="S268" s="25">
        <f t="shared" si="45"/>
        <v>0</v>
      </c>
      <c r="T268" s="32">
        <v>117.5</v>
      </c>
      <c r="U268" s="32"/>
      <c r="V268" s="25">
        <f t="shared" si="49"/>
        <v>0</v>
      </c>
      <c r="W268" s="32">
        <v>117.5</v>
      </c>
      <c r="X268" s="32">
        <f t="shared" si="46"/>
        <v>0</v>
      </c>
      <c r="Y268" s="25">
        <f t="shared" si="47"/>
        <v>0</v>
      </c>
      <c r="AD268" s="26"/>
    </row>
    <row r="269" spans="1:30" x14ac:dyDescent="0.2">
      <c r="A269" s="24">
        <f t="shared" si="48"/>
        <v>10.862780491200215</v>
      </c>
      <c r="B269" s="32">
        <v>118</v>
      </c>
      <c r="C269" s="32"/>
      <c r="D269" s="25">
        <f t="shared" si="40"/>
        <v>0</v>
      </c>
      <c r="E269" s="32">
        <v>118</v>
      </c>
      <c r="F269" s="8"/>
      <c r="G269" s="25">
        <f t="shared" si="41"/>
        <v>0</v>
      </c>
      <c r="H269" s="32">
        <v>118</v>
      </c>
      <c r="I269" s="32"/>
      <c r="J269" s="25">
        <f t="shared" si="42"/>
        <v>0</v>
      </c>
      <c r="K269" s="32">
        <v>118</v>
      </c>
      <c r="L269" s="31"/>
      <c r="M269" s="25">
        <f t="shared" si="43"/>
        <v>0</v>
      </c>
      <c r="N269" s="32">
        <v>118</v>
      </c>
      <c r="O269" s="32"/>
      <c r="P269" s="25">
        <f t="shared" si="44"/>
        <v>0</v>
      </c>
      <c r="Q269" s="32">
        <v>118</v>
      </c>
      <c r="R269" s="32"/>
      <c r="S269" s="25">
        <f t="shared" si="45"/>
        <v>0</v>
      </c>
      <c r="T269" s="32">
        <v>118</v>
      </c>
      <c r="U269" s="32"/>
      <c r="V269" s="25">
        <f t="shared" si="49"/>
        <v>0</v>
      </c>
      <c r="W269" s="32">
        <v>118</v>
      </c>
      <c r="X269" s="32">
        <f t="shared" si="46"/>
        <v>0</v>
      </c>
      <c r="Y269" s="25">
        <f t="shared" si="47"/>
        <v>0</v>
      </c>
      <c r="AD269" s="26"/>
    </row>
    <row r="270" spans="1:30" x14ac:dyDescent="0.2">
      <c r="A270" s="24">
        <f t="shared" si="48"/>
        <v>10.88577052853862</v>
      </c>
      <c r="B270" s="32">
        <v>118.5</v>
      </c>
      <c r="C270" s="32"/>
      <c r="D270" s="25">
        <f t="shared" si="40"/>
        <v>0</v>
      </c>
      <c r="E270" s="32">
        <v>118.5</v>
      </c>
      <c r="F270" s="8"/>
      <c r="G270" s="25">
        <f t="shared" si="41"/>
        <v>0</v>
      </c>
      <c r="H270" s="32">
        <v>118.5</v>
      </c>
      <c r="I270" s="32"/>
      <c r="J270" s="25">
        <f t="shared" si="42"/>
        <v>0</v>
      </c>
      <c r="K270" s="32">
        <v>118.5</v>
      </c>
      <c r="L270" s="31"/>
      <c r="M270" s="25">
        <f t="shared" si="43"/>
        <v>0</v>
      </c>
      <c r="N270" s="32">
        <v>118.5</v>
      </c>
      <c r="O270" s="32"/>
      <c r="P270" s="25">
        <f t="shared" si="44"/>
        <v>0</v>
      </c>
      <c r="Q270" s="32">
        <v>118.5</v>
      </c>
      <c r="R270" s="32"/>
      <c r="S270" s="25">
        <f t="shared" si="45"/>
        <v>0</v>
      </c>
      <c r="T270" s="32">
        <v>118.5</v>
      </c>
      <c r="U270" s="32"/>
      <c r="V270" s="25">
        <f t="shared" si="49"/>
        <v>0</v>
      </c>
      <c r="W270" s="32">
        <v>118.5</v>
      </c>
      <c r="X270" s="32">
        <f t="shared" si="46"/>
        <v>0</v>
      </c>
      <c r="Y270" s="25">
        <f t="shared" si="47"/>
        <v>0</v>
      </c>
      <c r="AD270" s="26"/>
    </row>
    <row r="271" spans="1:30" x14ac:dyDescent="0.2">
      <c r="A271" s="24">
        <f t="shared" si="48"/>
        <v>10.908712114635714</v>
      </c>
      <c r="B271" s="32">
        <v>119</v>
      </c>
      <c r="C271" s="32"/>
      <c r="D271" s="25">
        <f t="shared" si="40"/>
        <v>0</v>
      </c>
      <c r="E271" s="32">
        <v>119</v>
      </c>
      <c r="F271" s="8"/>
      <c r="G271" s="25">
        <f t="shared" si="41"/>
        <v>0</v>
      </c>
      <c r="H271" s="32">
        <v>119</v>
      </c>
      <c r="I271" s="32"/>
      <c r="J271" s="25">
        <f t="shared" si="42"/>
        <v>0</v>
      </c>
      <c r="K271" s="32">
        <v>119</v>
      </c>
      <c r="L271" s="31"/>
      <c r="M271" s="25">
        <f t="shared" si="43"/>
        <v>0</v>
      </c>
      <c r="N271" s="32">
        <v>119</v>
      </c>
      <c r="O271" s="32"/>
      <c r="P271" s="25">
        <f t="shared" si="44"/>
        <v>0</v>
      </c>
      <c r="Q271" s="32">
        <v>119</v>
      </c>
      <c r="R271" s="32"/>
      <c r="S271" s="25">
        <f t="shared" si="45"/>
        <v>0</v>
      </c>
      <c r="T271" s="32">
        <v>119</v>
      </c>
      <c r="U271" s="32"/>
      <c r="V271" s="25">
        <f t="shared" si="49"/>
        <v>0</v>
      </c>
      <c r="W271" s="32">
        <v>119</v>
      </c>
      <c r="X271" s="32">
        <f t="shared" si="46"/>
        <v>0</v>
      </c>
      <c r="Y271" s="25">
        <f t="shared" si="47"/>
        <v>0</v>
      </c>
      <c r="AD271" s="26"/>
    </row>
    <row r="272" spans="1:30" x14ac:dyDescent="0.2">
      <c r="A272" s="24">
        <f t="shared" si="48"/>
        <v>10.931605554537724</v>
      </c>
      <c r="B272" s="32">
        <v>119.5</v>
      </c>
      <c r="C272" s="32"/>
      <c r="D272" s="25">
        <f t="shared" si="40"/>
        <v>0</v>
      </c>
      <c r="E272" s="32">
        <v>119.5</v>
      </c>
      <c r="F272" s="8"/>
      <c r="G272" s="25">
        <f t="shared" si="41"/>
        <v>0</v>
      </c>
      <c r="H272" s="32">
        <v>119.5</v>
      </c>
      <c r="I272" s="32"/>
      <c r="J272" s="25">
        <f t="shared" si="42"/>
        <v>0</v>
      </c>
      <c r="K272" s="32">
        <v>119.5</v>
      </c>
      <c r="L272" s="31"/>
      <c r="M272" s="25">
        <f t="shared" si="43"/>
        <v>0</v>
      </c>
      <c r="N272" s="32">
        <v>119.5</v>
      </c>
      <c r="O272" s="32"/>
      <c r="P272" s="25">
        <f t="shared" si="44"/>
        <v>0</v>
      </c>
      <c r="Q272" s="32">
        <v>119.5</v>
      </c>
      <c r="R272" s="32"/>
      <c r="S272" s="25">
        <f t="shared" si="45"/>
        <v>0</v>
      </c>
      <c r="T272" s="32">
        <v>119.5</v>
      </c>
      <c r="U272" s="32"/>
      <c r="V272" s="25">
        <f t="shared" si="49"/>
        <v>0</v>
      </c>
      <c r="W272" s="32">
        <v>119.5</v>
      </c>
      <c r="X272" s="32">
        <f t="shared" si="46"/>
        <v>0</v>
      </c>
      <c r="Y272" s="25">
        <f t="shared" si="47"/>
        <v>0</v>
      </c>
      <c r="AD272" s="26"/>
    </row>
    <row r="273" spans="1:30" x14ac:dyDescent="0.2">
      <c r="A273" s="24">
        <f t="shared" si="48"/>
        <v>10.954451150103322</v>
      </c>
      <c r="B273" s="32">
        <v>120</v>
      </c>
      <c r="C273" s="32"/>
      <c r="D273" s="25">
        <f t="shared" si="40"/>
        <v>0</v>
      </c>
      <c r="E273" s="32">
        <v>120</v>
      </c>
      <c r="F273" s="8"/>
      <c r="G273" s="25">
        <f t="shared" si="41"/>
        <v>0</v>
      </c>
      <c r="H273" s="32">
        <v>120</v>
      </c>
      <c r="I273" s="32"/>
      <c r="J273" s="25">
        <f t="shared" si="42"/>
        <v>0</v>
      </c>
      <c r="K273" s="32">
        <v>120</v>
      </c>
      <c r="L273" s="31"/>
      <c r="M273" s="25">
        <f t="shared" si="43"/>
        <v>0</v>
      </c>
      <c r="N273" s="32">
        <v>120</v>
      </c>
      <c r="O273" s="32"/>
      <c r="P273" s="25">
        <f t="shared" si="44"/>
        <v>0</v>
      </c>
      <c r="Q273" s="32">
        <v>120</v>
      </c>
      <c r="R273" s="32"/>
      <c r="S273" s="25">
        <f t="shared" si="45"/>
        <v>0</v>
      </c>
      <c r="T273" s="32">
        <v>120</v>
      </c>
      <c r="U273" s="32"/>
      <c r="V273" s="25">
        <f t="shared" si="49"/>
        <v>0</v>
      </c>
      <c r="W273" s="32">
        <v>120</v>
      </c>
      <c r="X273" s="32">
        <f t="shared" si="46"/>
        <v>0</v>
      </c>
      <c r="Y273" s="25">
        <f t="shared" si="47"/>
        <v>0</v>
      </c>
      <c r="AD273" s="26"/>
    </row>
    <row r="274" spans="1:30" x14ac:dyDescent="0.2">
      <c r="A274" s="24">
        <f t="shared" si="48"/>
        <v>10.977249200050075</v>
      </c>
      <c r="B274" s="32">
        <v>120.5</v>
      </c>
      <c r="C274" s="32"/>
      <c r="D274" s="25">
        <f t="shared" si="40"/>
        <v>0</v>
      </c>
      <c r="E274" s="32">
        <v>120.5</v>
      </c>
      <c r="F274" s="8"/>
      <c r="G274" s="25">
        <f t="shared" si="41"/>
        <v>0</v>
      </c>
      <c r="H274" s="32">
        <v>120.5</v>
      </c>
      <c r="I274" s="32"/>
      <c r="J274" s="25">
        <f t="shared" si="42"/>
        <v>0</v>
      </c>
      <c r="K274" s="32">
        <v>120.5</v>
      </c>
      <c r="L274" s="31"/>
      <c r="M274" s="25">
        <f t="shared" si="43"/>
        <v>0</v>
      </c>
      <c r="N274" s="32">
        <v>120.5</v>
      </c>
      <c r="O274" s="32"/>
      <c r="P274" s="25">
        <f t="shared" si="44"/>
        <v>0</v>
      </c>
      <c r="Q274" s="32">
        <v>120.5</v>
      </c>
      <c r="R274" s="32"/>
      <c r="S274" s="25">
        <f t="shared" si="45"/>
        <v>0</v>
      </c>
      <c r="T274" s="32">
        <v>120.5</v>
      </c>
      <c r="U274" s="32"/>
      <c r="V274" s="25">
        <f t="shared" si="49"/>
        <v>0</v>
      </c>
      <c r="W274" s="32">
        <v>120.5</v>
      </c>
      <c r="X274" s="32">
        <f t="shared" si="46"/>
        <v>0</v>
      </c>
      <c r="Y274" s="25">
        <f t="shared" si="47"/>
        <v>0</v>
      </c>
      <c r="AD274" s="26"/>
    </row>
    <row r="275" spans="1:30" x14ac:dyDescent="0.2">
      <c r="A275" s="24">
        <f t="shared" si="48"/>
        <v>11</v>
      </c>
      <c r="B275" s="32">
        <v>121</v>
      </c>
      <c r="C275" s="32"/>
      <c r="D275" s="25">
        <f t="shared" si="40"/>
        <v>0</v>
      </c>
      <c r="E275" s="32">
        <v>121</v>
      </c>
      <c r="F275" s="8"/>
      <c r="G275" s="25">
        <f t="shared" si="41"/>
        <v>0</v>
      </c>
      <c r="H275" s="32">
        <v>121</v>
      </c>
      <c r="I275" s="32"/>
      <c r="J275" s="25">
        <f t="shared" si="42"/>
        <v>0</v>
      </c>
      <c r="K275" s="32">
        <v>121</v>
      </c>
      <c r="L275" s="31"/>
      <c r="M275" s="25">
        <f t="shared" si="43"/>
        <v>0</v>
      </c>
      <c r="N275" s="32">
        <v>121</v>
      </c>
      <c r="O275" s="32"/>
      <c r="P275" s="25">
        <f t="shared" si="44"/>
        <v>0</v>
      </c>
      <c r="Q275" s="32">
        <v>121</v>
      </c>
      <c r="R275" s="32"/>
      <c r="S275" s="25">
        <f t="shared" si="45"/>
        <v>0</v>
      </c>
      <c r="T275" s="32">
        <v>121</v>
      </c>
      <c r="U275" s="32"/>
      <c r="V275" s="25">
        <f t="shared" si="49"/>
        <v>0</v>
      </c>
      <c r="W275" s="32">
        <v>121</v>
      </c>
      <c r="X275" s="32">
        <f t="shared" si="46"/>
        <v>0</v>
      </c>
      <c r="Y275" s="25">
        <f t="shared" si="47"/>
        <v>0</v>
      </c>
      <c r="AD275" s="26"/>
    </row>
    <row r="276" spans="1:30" x14ac:dyDescent="0.2">
      <c r="A276" s="24">
        <f t="shared" si="48"/>
        <v>11.022703842524301</v>
      </c>
      <c r="B276" s="32">
        <v>121.5</v>
      </c>
      <c r="C276" s="32"/>
      <c r="D276" s="25">
        <f t="shared" si="40"/>
        <v>0</v>
      </c>
      <c r="E276" s="32">
        <v>121.5</v>
      </c>
      <c r="F276" s="8"/>
      <c r="G276" s="25">
        <f t="shared" si="41"/>
        <v>0</v>
      </c>
      <c r="H276" s="32">
        <v>121.5</v>
      </c>
      <c r="I276" s="32"/>
      <c r="J276" s="25">
        <f t="shared" si="42"/>
        <v>0</v>
      </c>
      <c r="K276" s="32">
        <v>121.5</v>
      </c>
      <c r="L276" s="31"/>
      <c r="M276" s="25">
        <f t="shared" si="43"/>
        <v>0</v>
      </c>
      <c r="N276" s="32">
        <v>121.5</v>
      </c>
      <c r="O276" s="32"/>
      <c r="P276" s="25">
        <f t="shared" si="44"/>
        <v>0</v>
      </c>
      <c r="Q276" s="32">
        <v>121.5</v>
      </c>
      <c r="R276" s="32"/>
      <c r="S276" s="25">
        <f t="shared" si="45"/>
        <v>0</v>
      </c>
      <c r="T276" s="32">
        <v>121.5</v>
      </c>
      <c r="U276" s="32"/>
      <c r="V276" s="25">
        <f t="shared" si="49"/>
        <v>0</v>
      </c>
      <c r="W276" s="32">
        <v>121.5</v>
      </c>
      <c r="X276" s="32">
        <f t="shared" si="46"/>
        <v>0</v>
      </c>
      <c r="Y276" s="25">
        <f t="shared" si="47"/>
        <v>0</v>
      </c>
      <c r="AD276" s="26"/>
    </row>
    <row r="277" spans="1:30" x14ac:dyDescent="0.2">
      <c r="A277" s="24">
        <f t="shared" si="48"/>
        <v>11.045361017187261</v>
      </c>
      <c r="B277" s="32">
        <v>122</v>
      </c>
      <c r="C277" s="32"/>
      <c r="D277" s="25">
        <f t="shared" si="40"/>
        <v>0</v>
      </c>
      <c r="E277" s="32">
        <v>122</v>
      </c>
      <c r="F277" s="8"/>
      <c r="G277" s="25">
        <f t="shared" si="41"/>
        <v>0</v>
      </c>
      <c r="H277" s="32">
        <v>122</v>
      </c>
      <c r="I277" s="32"/>
      <c r="J277" s="25">
        <f t="shared" si="42"/>
        <v>0</v>
      </c>
      <c r="K277" s="32">
        <v>122</v>
      </c>
      <c r="L277" s="31"/>
      <c r="M277" s="25">
        <f t="shared" si="43"/>
        <v>0</v>
      </c>
      <c r="N277" s="32">
        <v>122</v>
      </c>
      <c r="O277" s="32"/>
      <c r="P277" s="25">
        <f t="shared" si="44"/>
        <v>0</v>
      </c>
      <c r="Q277" s="32">
        <v>122</v>
      </c>
      <c r="R277" s="32"/>
      <c r="S277" s="25">
        <f t="shared" si="45"/>
        <v>0</v>
      </c>
      <c r="T277" s="32">
        <v>122</v>
      </c>
      <c r="U277" s="32"/>
      <c r="V277" s="25">
        <f t="shared" si="49"/>
        <v>0</v>
      </c>
      <c r="W277" s="32">
        <v>122</v>
      </c>
      <c r="X277" s="32">
        <f t="shared" si="46"/>
        <v>0</v>
      </c>
      <c r="Y277" s="25">
        <f t="shared" si="47"/>
        <v>0</v>
      </c>
      <c r="AD277" s="26"/>
    </row>
    <row r="278" spans="1:30" x14ac:dyDescent="0.2">
      <c r="A278" s="24">
        <f t="shared" si="48"/>
        <v>11.067971810589327</v>
      </c>
      <c r="B278" s="32">
        <v>122.5</v>
      </c>
      <c r="C278" s="32"/>
      <c r="D278" s="25">
        <f t="shared" si="40"/>
        <v>0</v>
      </c>
      <c r="E278" s="32">
        <v>122.5</v>
      </c>
      <c r="F278" s="8"/>
      <c r="G278" s="25">
        <f t="shared" si="41"/>
        <v>0</v>
      </c>
      <c r="H278" s="32">
        <v>122.5</v>
      </c>
      <c r="I278" s="32"/>
      <c r="J278" s="25">
        <f t="shared" si="42"/>
        <v>0</v>
      </c>
      <c r="K278" s="32">
        <v>122.5</v>
      </c>
      <c r="L278" s="31"/>
      <c r="M278" s="25">
        <f t="shared" si="43"/>
        <v>0</v>
      </c>
      <c r="N278" s="32">
        <v>122.5</v>
      </c>
      <c r="O278" s="32"/>
      <c r="P278" s="25">
        <f t="shared" si="44"/>
        <v>0</v>
      </c>
      <c r="Q278" s="32">
        <v>122.5</v>
      </c>
      <c r="R278" s="32"/>
      <c r="S278" s="25">
        <f t="shared" si="45"/>
        <v>0</v>
      </c>
      <c r="T278" s="32">
        <v>122.5</v>
      </c>
      <c r="U278" s="32"/>
      <c r="V278" s="25">
        <f t="shared" si="49"/>
        <v>0</v>
      </c>
      <c r="W278" s="32">
        <v>122.5</v>
      </c>
      <c r="X278" s="32">
        <f t="shared" si="46"/>
        <v>0</v>
      </c>
      <c r="Y278" s="25">
        <f t="shared" si="47"/>
        <v>0</v>
      </c>
      <c r="AD278" s="26"/>
    </row>
    <row r="279" spans="1:30" x14ac:dyDescent="0.2">
      <c r="A279" s="24">
        <f t="shared" si="48"/>
        <v>11.090536506409418</v>
      </c>
      <c r="B279" s="32">
        <v>123</v>
      </c>
      <c r="C279" s="32"/>
      <c r="D279" s="25">
        <f t="shared" si="40"/>
        <v>0</v>
      </c>
      <c r="E279" s="32">
        <v>123</v>
      </c>
      <c r="F279" s="8"/>
      <c r="G279" s="25">
        <f t="shared" si="41"/>
        <v>0</v>
      </c>
      <c r="H279" s="32">
        <v>123</v>
      </c>
      <c r="I279" s="32"/>
      <c r="J279" s="25">
        <f t="shared" si="42"/>
        <v>0</v>
      </c>
      <c r="K279" s="32">
        <v>123</v>
      </c>
      <c r="L279" s="31"/>
      <c r="M279" s="25">
        <f t="shared" si="43"/>
        <v>0</v>
      </c>
      <c r="N279" s="32">
        <v>123</v>
      </c>
      <c r="O279" s="32"/>
      <c r="P279" s="25">
        <f t="shared" si="44"/>
        <v>0</v>
      </c>
      <c r="Q279" s="32">
        <v>123</v>
      </c>
      <c r="R279" s="32"/>
      <c r="S279" s="25">
        <f t="shared" si="45"/>
        <v>0</v>
      </c>
      <c r="T279" s="32">
        <v>123</v>
      </c>
      <c r="U279" s="32"/>
      <c r="V279" s="25">
        <f t="shared" si="49"/>
        <v>0</v>
      </c>
      <c r="W279" s="32">
        <v>123</v>
      </c>
      <c r="X279" s="32">
        <f t="shared" si="46"/>
        <v>0</v>
      </c>
      <c r="Y279" s="25">
        <f t="shared" si="47"/>
        <v>0</v>
      </c>
      <c r="AD279" s="26"/>
    </row>
    <row r="280" spans="1:30" x14ac:dyDescent="0.2">
      <c r="A280" s="24">
        <f t="shared" si="48"/>
        <v>11.113055385446435</v>
      </c>
      <c r="B280" s="32">
        <v>123.5</v>
      </c>
      <c r="C280" s="32"/>
      <c r="D280" s="25">
        <f t="shared" si="40"/>
        <v>0</v>
      </c>
      <c r="E280" s="32">
        <v>123.5</v>
      </c>
      <c r="F280" s="8"/>
      <c r="G280" s="25">
        <f t="shared" si="41"/>
        <v>0</v>
      </c>
      <c r="H280" s="32">
        <v>123.5</v>
      </c>
      <c r="I280" s="32"/>
      <c r="J280" s="25">
        <f t="shared" si="42"/>
        <v>0</v>
      </c>
      <c r="K280" s="32">
        <v>123.5</v>
      </c>
      <c r="L280" s="31"/>
      <c r="M280" s="25">
        <f t="shared" si="43"/>
        <v>0</v>
      </c>
      <c r="N280" s="32">
        <v>123.5</v>
      </c>
      <c r="O280" s="32"/>
      <c r="P280" s="25">
        <f t="shared" si="44"/>
        <v>0</v>
      </c>
      <c r="Q280" s="32">
        <v>123.5</v>
      </c>
      <c r="R280" s="32"/>
      <c r="S280" s="25">
        <f t="shared" si="45"/>
        <v>0</v>
      </c>
      <c r="T280" s="32">
        <v>123.5</v>
      </c>
      <c r="U280" s="32"/>
      <c r="V280" s="25">
        <f t="shared" si="49"/>
        <v>0</v>
      </c>
      <c r="W280" s="32">
        <v>123.5</v>
      </c>
      <c r="X280" s="32">
        <f t="shared" si="46"/>
        <v>0</v>
      </c>
      <c r="Y280" s="25">
        <f t="shared" si="47"/>
        <v>0</v>
      </c>
      <c r="AD280" s="26"/>
    </row>
    <row r="281" spans="1:30" x14ac:dyDescent="0.2">
      <c r="A281" s="24">
        <f t="shared" si="48"/>
        <v>11.135528725660043</v>
      </c>
      <c r="B281" s="32">
        <v>124</v>
      </c>
      <c r="C281" s="32"/>
      <c r="D281" s="25">
        <f t="shared" si="40"/>
        <v>0</v>
      </c>
      <c r="E281" s="32">
        <v>124</v>
      </c>
      <c r="F281" s="8"/>
      <c r="G281" s="25">
        <f t="shared" si="41"/>
        <v>0</v>
      </c>
      <c r="H281" s="32">
        <v>124</v>
      </c>
      <c r="I281" s="32"/>
      <c r="J281" s="25">
        <f t="shared" si="42"/>
        <v>0</v>
      </c>
      <c r="K281" s="32">
        <v>124</v>
      </c>
      <c r="L281" s="31"/>
      <c r="M281" s="25">
        <f t="shared" si="43"/>
        <v>0</v>
      </c>
      <c r="N281" s="32">
        <v>124</v>
      </c>
      <c r="O281" s="32"/>
      <c r="P281" s="25">
        <f t="shared" si="44"/>
        <v>0</v>
      </c>
      <c r="Q281" s="32">
        <v>124</v>
      </c>
      <c r="R281" s="32"/>
      <c r="S281" s="25">
        <f t="shared" si="45"/>
        <v>0</v>
      </c>
      <c r="T281" s="32">
        <v>124</v>
      </c>
      <c r="U281" s="32"/>
      <c r="V281" s="25">
        <f t="shared" si="49"/>
        <v>0</v>
      </c>
      <c r="W281" s="32">
        <v>124</v>
      </c>
      <c r="X281" s="32">
        <f t="shared" si="46"/>
        <v>0</v>
      </c>
      <c r="Y281" s="25">
        <f t="shared" si="47"/>
        <v>0</v>
      </c>
      <c r="AD281" s="26"/>
    </row>
    <row r="282" spans="1:30" x14ac:dyDescent="0.2">
      <c r="A282" s="24">
        <f t="shared" si="48"/>
        <v>11.157956802210698</v>
      </c>
      <c r="B282" s="32">
        <v>124.5</v>
      </c>
      <c r="C282" s="32"/>
      <c r="D282" s="25">
        <f t="shared" si="40"/>
        <v>0</v>
      </c>
      <c r="E282" s="32">
        <v>124.5</v>
      </c>
      <c r="F282" s="8"/>
      <c r="G282" s="25">
        <f t="shared" si="41"/>
        <v>0</v>
      </c>
      <c r="H282" s="32">
        <v>124.5</v>
      </c>
      <c r="I282" s="32"/>
      <c r="J282" s="25">
        <f t="shared" si="42"/>
        <v>0</v>
      </c>
      <c r="K282" s="32">
        <v>124.5</v>
      </c>
      <c r="L282" s="31"/>
      <c r="M282" s="25">
        <f t="shared" si="43"/>
        <v>0</v>
      </c>
      <c r="N282" s="32">
        <v>124.5</v>
      </c>
      <c r="O282" s="32"/>
      <c r="P282" s="25">
        <f t="shared" si="44"/>
        <v>0</v>
      </c>
      <c r="Q282" s="32">
        <v>124.5</v>
      </c>
      <c r="R282" s="32"/>
      <c r="S282" s="25">
        <f t="shared" si="45"/>
        <v>0</v>
      </c>
      <c r="T282" s="32">
        <v>124.5</v>
      </c>
      <c r="U282" s="32"/>
      <c r="V282" s="25">
        <f t="shared" si="49"/>
        <v>0</v>
      </c>
      <c r="W282" s="32">
        <v>124.5</v>
      </c>
      <c r="X282" s="32">
        <f t="shared" si="46"/>
        <v>0</v>
      </c>
      <c r="Y282" s="25">
        <f t="shared" si="47"/>
        <v>0</v>
      </c>
      <c r="AD282" s="26"/>
    </row>
    <row r="283" spans="1:30" x14ac:dyDescent="0.2">
      <c r="A283" s="24">
        <f t="shared" si="48"/>
        <v>11.180339887498949</v>
      </c>
      <c r="B283" s="32">
        <v>125</v>
      </c>
      <c r="C283" s="32"/>
      <c r="D283" s="25">
        <f t="shared" si="40"/>
        <v>0</v>
      </c>
      <c r="E283" s="32">
        <v>125</v>
      </c>
      <c r="F283" s="8"/>
      <c r="G283" s="25">
        <f t="shared" si="41"/>
        <v>0</v>
      </c>
      <c r="H283" s="32">
        <v>125</v>
      </c>
      <c r="I283" s="32"/>
      <c r="J283" s="25">
        <f t="shared" si="42"/>
        <v>0</v>
      </c>
      <c r="K283" s="32">
        <v>125</v>
      </c>
      <c r="L283" s="31"/>
      <c r="M283" s="25">
        <f t="shared" si="43"/>
        <v>0</v>
      </c>
      <c r="N283" s="32">
        <v>125</v>
      </c>
      <c r="O283" s="32"/>
      <c r="P283" s="25">
        <f t="shared" si="44"/>
        <v>0</v>
      </c>
      <c r="Q283" s="32">
        <v>125</v>
      </c>
      <c r="R283" s="32"/>
      <c r="S283" s="25">
        <f t="shared" si="45"/>
        <v>0</v>
      </c>
      <c r="T283" s="32">
        <v>125</v>
      </c>
      <c r="U283" s="32"/>
      <c r="V283" s="25">
        <f t="shared" si="49"/>
        <v>0</v>
      </c>
      <c r="W283" s="32">
        <v>125</v>
      </c>
      <c r="X283" s="32">
        <f t="shared" si="46"/>
        <v>0</v>
      </c>
      <c r="Y283" s="25">
        <f t="shared" si="47"/>
        <v>0</v>
      </c>
      <c r="AD283" s="26"/>
    </row>
    <row r="284" spans="1:30" x14ac:dyDescent="0.2">
      <c r="A284" s="24">
        <f t="shared" si="48"/>
        <v>11.202678251204039</v>
      </c>
      <c r="B284" s="32">
        <v>125.5</v>
      </c>
      <c r="C284" s="32"/>
      <c r="D284" s="25">
        <f t="shared" si="40"/>
        <v>0</v>
      </c>
      <c r="E284" s="32">
        <v>125.5</v>
      </c>
      <c r="F284" s="8"/>
      <c r="G284" s="25">
        <f t="shared" si="41"/>
        <v>0</v>
      </c>
      <c r="H284" s="32">
        <v>125.5</v>
      </c>
      <c r="I284" s="32"/>
      <c r="J284" s="25">
        <f t="shared" si="42"/>
        <v>0</v>
      </c>
      <c r="K284" s="32">
        <v>125.5</v>
      </c>
      <c r="L284" s="31"/>
      <c r="M284" s="25">
        <f t="shared" si="43"/>
        <v>0</v>
      </c>
      <c r="N284" s="32">
        <v>125.5</v>
      </c>
      <c r="O284" s="32"/>
      <c r="P284" s="25">
        <f t="shared" si="44"/>
        <v>0</v>
      </c>
      <c r="Q284" s="32">
        <v>125.5</v>
      </c>
      <c r="R284" s="32"/>
      <c r="S284" s="25">
        <f t="shared" si="45"/>
        <v>0</v>
      </c>
      <c r="T284" s="32">
        <v>125.5</v>
      </c>
      <c r="U284" s="32"/>
      <c r="V284" s="25">
        <f t="shared" si="49"/>
        <v>0</v>
      </c>
      <c r="W284" s="32">
        <v>125.5</v>
      </c>
      <c r="X284" s="32">
        <f t="shared" si="46"/>
        <v>0</v>
      </c>
      <c r="Y284" s="25">
        <f t="shared" si="47"/>
        <v>0</v>
      </c>
      <c r="AD284" s="26"/>
    </row>
    <row r="285" spans="1:30" x14ac:dyDescent="0.2">
      <c r="A285" s="24">
        <f t="shared" si="48"/>
        <v>11.224972160321824</v>
      </c>
      <c r="B285" s="32">
        <v>126</v>
      </c>
      <c r="C285" s="32"/>
      <c r="D285" s="25">
        <f t="shared" si="40"/>
        <v>0</v>
      </c>
      <c r="E285" s="32">
        <v>126</v>
      </c>
      <c r="F285" s="8"/>
      <c r="G285" s="25">
        <f t="shared" si="41"/>
        <v>0</v>
      </c>
      <c r="H285" s="32">
        <v>126</v>
      </c>
      <c r="I285" s="32"/>
      <c r="J285" s="25">
        <f t="shared" si="42"/>
        <v>0</v>
      </c>
      <c r="K285" s="32">
        <v>126</v>
      </c>
      <c r="L285" s="31"/>
      <c r="M285" s="25">
        <f t="shared" si="43"/>
        <v>0</v>
      </c>
      <c r="N285" s="32">
        <v>126</v>
      </c>
      <c r="O285" s="32"/>
      <c r="P285" s="25">
        <f t="shared" si="44"/>
        <v>0</v>
      </c>
      <c r="Q285" s="32">
        <v>126</v>
      </c>
      <c r="R285" s="32"/>
      <c r="S285" s="25">
        <f t="shared" si="45"/>
        <v>0</v>
      </c>
      <c r="T285" s="32">
        <v>126</v>
      </c>
      <c r="U285" s="32"/>
      <c r="V285" s="25">
        <f t="shared" si="49"/>
        <v>0</v>
      </c>
      <c r="W285" s="32">
        <v>126</v>
      </c>
      <c r="X285" s="32">
        <f t="shared" si="46"/>
        <v>0</v>
      </c>
      <c r="Y285" s="25">
        <f t="shared" si="47"/>
        <v>0</v>
      </c>
      <c r="AD285" s="26"/>
    </row>
    <row r="286" spans="1:30" x14ac:dyDescent="0.2">
      <c r="A286" s="24">
        <f t="shared" si="48"/>
        <v>11.247221879201993</v>
      </c>
      <c r="B286" s="32">
        <v>126.5</v>
      </c>
      <c r="C286" s="32"/>
      <c r="D286" s="25">
        <f t="shared" si="40"/>
        <v>0</v>
      </c>
      <c r="E286" s="32">
        <v>126.5</v>
      </c>
      <c r="F286" s="8"/>
      <c r="G286" s="25">
        <f t="shared" si="41"/>
        <v>0</v>
      </c>
      <c r="H286" s="32">
        <v>126.5</v>
      </c>
      <c r="I286" s="32"/>
      <c r="J286" s="25">
        <f t="shared" si="42"/>
        <v>0</v>
      </c>
      <c r="K286" s="32">
        <v>126.5</v>
      </c>
      <c r="L286" s="31"/>
      <c r="M286" s="25">
        <f t="shared" si="43"/>
        <v>0</v>
      </c>
      <c r="N286" s="32">
        <v>126.5</v>
      </c>
      <c r="O286" s="32"/>
      <c r="P286" s="25">
        <f t="shared" si="44"/>
        <v>0</v>
      </c>
      <c r="Q286" s="32">
        <v>126.5</v>
      </c>
      <c r="R286" s="32"/>
      <c r="S286" s="25">
        <f t="shared" si="45"/>
        <v>0</v>
      </c>
      <c r="T286" s="32">
        <v>126.5</v>
      </c>
      <c r="U286" s="32"/>
      <c r="V286" s="25">
        <f t="shared" si="49"/>
        <v>0</v>
      </c>
      <c r="W286" s="32">
        <v>126.5</v>
      </c>
      <c r="X286" s="32">
        <f t="shared" si="46"/>
        <v>0</v>
      </c>
      <c r="Y286" s="25">
        <f t="shared" si="47"/>
        <v>0</v>
      </c>
      <c r="AD286" s="26"/>
    </row>
    <row r="287" spans="1:30" x14ac:dyDescent="0.2">
      <c r="A287" s="24">
        <f t="shared" si="48"/>
        <v>11.269427669584644</v>
      </c>
      <c r="B287" s="32">
        <v>127</v>
      </c>
      <c r="C287" s="32"/>
      <c r="D287" s="25">
        <f t="shared" si="40"/>
        <v>0</v>
      </c>
      <c r="E287" s="32">
        <v>127</v>
      </c>
      <c r="F287" s="8"/>
      <c r="G287" s="25">
        <f t="shared" si="41"/>
        <v>0</v>
      </c>
      <c r="H287" s="32">
        <v>127</v>
      </c>
      <c r="I287" s="32"/>
      <c r="J287" s="25">
        <f t="shared" si="42"/>
        <v>0</v>
      </c>
      <c r="K287" s="32">
        <v>127</v>
      </c>
      <c r="L287" s="31"/>
      <c r="M287" s="25">
        <f t="shared" si="43"/>
        <v>0</v>
      </c>
      <c r="N287" s="32">
        <v>127</v>
      </c>
      <c r="O287" s="32"/>
      <c r="P287" s="25">
        <f t="shared" si="44"/>
        <v>0</v>
      </c>
      <c r="Q287" s="32">
        <v>127</v>
      </c>
      <c r="R287" s="32"/>
      <c r="S287" s="25">
        <f t="shared" si="45"/>
        <v>0</v>
      </c>
      <c r="T287" s="32">
        <v>127</v>
      </c>
      <c r="U287" s="32"/>
      <c r="V287" s="25">
        <f t="shared" si="49"/>
        <v>0</v>
      </c>
      <c r="W287" s="32">
        <v>127</v>
      </c>
      <c r="X287" s="32">
        <f t="shared" si="46"/>
        <v>0</v>
      </c>
      <c r="Y287" s="25">
        <f t="shared" si="47"/>
        <v>0</v>
      </c>
      <c r="AD287" s="26"/>
    </row>
    <row r="288" spans="1:30" x14ac:dyDescent="0.2">
      <c r="A288" s="24">
        <f t="shared" si="48"/>
        <v>11.291589790636214</v>
      </c>
      <c r="B288" s="32">
        <v>127.5</v>
      </c>
      <c r="C288" s="32"/>
      <c r="D288" s="25">
        <f t="shared" si="40"/>
        <v>0</v>
      </c>
      <c r="E288" s="32">
        <v>127.5</v>
      </c>
      <c r="F288" s="8"/>
      <c r="G288" s="25">
        <f t="shared" si="41"/>
        <v>0</v>
      </c>
      <c r="H288" s="32">
        <v>127.5</v>
      </c>
      <c r="I288" s="32"/>
      <c r="J288" s="25">
        <f t="shared" si="42"/>
        <v>0</v>
      </c>
      <c r="K288" s="32">
        <v>127.5</v>
      </c>
      <c r="L288" s="31"/>
      <c r="M288" s="25">
        <f t="shared" si="43"/>
        <v>0</v>
      </c>
      <c r="N288" s="32">
        <v>127.5</v>
      </c>
      <c r="O288" s="32"/>
      <c r="P288" s="25">
        <f t="shared" si="44"/>
        <v>0</v>
      </c>
      <c r="Q288" s="32">
        <v>127.5</v>
      </c>
      <c r="R288" s="32"/>
      <c r="S288" s="25">
        <f t="shared" si="45"/>
        <v>0</v>
      </c>
      <c r="T288" s="32">
        <v>127.5</v>
      </c>
      <c r="U288" s="32"/>
      <c r="V288" s="25">
        <f t="shared" si="49"/>
        <v>0</v>
      </c>
      <c r="W288" s="32">
        <v>127.5</v>
      </c>
      <c r="X288" s="32">
        <f t="shared" si="46"/>
        <v>0</v>
      </c>
      <c r="Y288" s="25">
        <f t="shared" si="47"/>
        <v>0</v>
      </c>
      <c r="AD288" s="26"/>
    </row>
    <row r="289" spans="1:30" x14ac:dyDescent="0.2">
      <c r="A289" s="24">
        <f t="shared" si="48"/>
        <v>11.313708498984761</v>
      </c>
      <c r="B289" s="32">
        <v>128</v>
      </c>
      <c r="C289" s="32"/>
      <c r="D289" s="25">
        <f t="shared" si="40"/>
        <v>0</v>
      </c>
      <c r="E289" s="32">
        <v>128</v>
      </c>
      <c r="F289" s="8"/>
      <c r="G289" s="25">
        <f t="shared" si="41"/>
        <v>0</v>
      </c>
      <c r="H289" s="32">
        <v>128</v>
      </c>
      <c r="I289" s="32"/>
      <c r="J289" s="25">
        <f t="shared" si="42"/>
        <v>0</v>
      </c>
      <c r="K289" s="32">
        <v>128</v>
      </c>
      <c r="L289" s="31"/>
      <c r="M289" s="25">
        <f t="shared" si="43"/>
        <v>0</v>
      </c>
      <c r="N289" s="32">
        <v>128</v>
      </c>
      <c r="O289" s="32"/>
      <c r="P289" s="25">
        <f t="shared" si="44"/>
        <v>0</v>
      </c>
      <c r="Q289" s="32">
        <v>128</v>
      </c>
      <c r="R289" s="32"/>
      <c r="S289" s="25">
        <f t="shared" si="45"/>
        <v>0</v>
      </c>
      <c r="T289" s="32">
        <v>128</v>
      </c>
      <c r="U289" s="32"/>
      <c r="V289" s="25">
        <f t="shared" si="49"/>
        <v>0</v>
      </c>
      <c r="W289" s="32">
        <v>128</v>
      </c>
      <c r="X289" s="32">
        <f t="shared" si="46"/>
        <v>0</v>
      </c>
      <c r="Y289" s="25">
        <f t="shared" si="47"/>
        <v>0</v>
      </c>
      <c r="AD289" s="26"/>
    </row>
    <row r="290" spans="1:30" x14ac:dyDescent="0.2">
      <c r="A290" s="24">
        <f t="shared" si="48"/>
        <v>11.335784048754634</v>
      </c>
      <c r="B290" s="32">
        <v>128.5</v>
      </c>
      <c r="C290" s="32"/>
      <c r="D290" s="25">
        <f t="shared" si="40"/>
        <v>0</v>
      </c>
      <c r="E290" s="32">
        <v>128.5</v>
      </c>
      <c r="F290" s="8"/>
      <c r="G290" s="25">
        <f t="shared" si="41"/>
        <v>0</v>
      </c>
      <c r="H290" s="32">
        <v>128.5</v>
      </c>
      <c r="I290" s="32"/>
      <c r="J290" s="25">
        <f t="shared" si="42"/>
        <v>0</v>
      </c>
      <c r="K290" s="32">
        <v>128.5</v>
      </c>
      <c r="L290" s="31"/>
      <c r="M290" s="25">
        <f t="shared" si="43"/>
        <v>0</v>
      </c>
      <c r="N290" s="32">
        <v>128.5</v>
      </c>
      <c r="O290" s="32"/>
      <c r="P290" s="25">
        <f t="shared" si="44"/>
        <v>0</v>
      </c>
      <c r="Q290" s="32">
        <v>128.5</v>
      </c>
      <c r="R290" s="32"/>
      <c r="S290" s="25">
        <f t="shared" si="45"/>
        <v>0</v>
      </c>
      <c r="T290" s="32">
        <v>128.5</v>
      </c>
      <c r="U290" s="32"/>
      <c r="V290" s="25">
        <f t="shared" si="49"/>
        <v>0</v>
      </c>
      <c r="W290" s="32">
        <v>128.5</v>
      </c>
      <c r="X290" s="32">
        <f t="shared" si="46"/>
        <v>0</v>
      </c>
      <c r="Y290" s="25">
        <f t="shared" si="47"/>
        <v>0</v>
      </c>
      <c r="AD290" s="26"/>
    </row>
    <row r="291" spans="1:30" x14ac:dyDescent="0.2">
      <c r="A291" s="24">
        <f t="shared" si="48"/>
        <v>11.357816691600547</v>
      </c>
      <c r="B291" s="32">
        <v>129</v>
      </c>
      <c r="C291" s="32"/>
      <c r="D291" s="25">
        <f t="shared" si="40"/>
        <v>0</v>
      </c>
      <c r="E291" s="32">
        <v>129</v>
      </c>
      <c r="F291" s="8"/>
      <c r="G291" s="25">
        <f t="shared" si="41"/>
        <v>0</v>
      </c>
      <c r="H291" s="32">
        <v>129</v>
      </c>
      <c r="I291" s="32"/>
      <c r="J291" s="25">
        <f t="shared" si="42"/>
        <v>0</v>
      </c>
      <c r="K291" s="32">
        <v>129</v>
      </c>
      <c r="L291" s="31"/>
      <c r="M291" s="25">
        <f t="shared" si="43"/>
        <v>0</v>
      </c>
      <c r="N291" s="32">
        <v>129</v>
      </c>
      <c r="O291" s="32"/>
      <c r="P291" s="25">
        <f t="shared" si="44"/>
        <v>0</v>
      </c>
      <c r="Q291" s="32">
        <v>129</v>
      </c>
      <c r="R291" s="32"/>
      <c r="S291" s="25">
        <f t="shared" si="45"/>
        <v>0</v>
      </c>
      <c r="T291" s="32">
        <v>129</v>
      </c>
      <c r="U291" s="32"/>
      <c r="V291" s="25">
        <f t="shared" si="49"/>
        <v>0</v>
      </c>
      <c r="W291" s="32">
        <v>129</v>
      </c>
      <c r="X291" s="32">
        <f t="shared" si="46"/>
        <v>0</v>
      </c>
      <c r="Y291" s="25">
        <f t="shared" si="47"/>
        <v>0</v>
      </c>
      <c r="AD291" s="26"/>
    </row>
    <row r="292" spans="1:30" x14ac:dyDescent="0.2">
      <c r="A292" s="24">
        <f t="shared" si="48"/>
        <v>11.379806676741042</v>
      </c>
      <c r="B292" s="32">
        <v>129.5</v>
      </c>
      <c r="C292" s="32"/>
      <c r="D292" s="25">
        <f t="shared" si="40"/>
        <v>0</v>
      </c>
      <c r="E292" s="32">
        <v>129.5</v>
      </c>
      <c r="F292" s="8"/>
      <c r="G292" s="25">
        <f t="shared" si="41"/>
        <v>0</v>
      </c>
      <c r="H292" s="32">
        <v>129.5</v>
      </c>
      <c r="I292" s="32"/>
      <c r="J292" s="25">
        <f t="shared" si="42"/>
        <v>0</v>
      </c>
      <c r="K292" s="32">
        <v>129.5</v>
      </c>
      <c r="L292" s="31"/>
      <c r="M292" s="25">
        <f t="shared" si="43"/>
        <v>0</v>
      </c>
      <c r="N292" s="32">
        <v>129.5</v>
      </c>
      <c r="O292" s="32"/>
      <c r="P292" s="25">
        <f t="shared" si="44"/>
        <v>0</v>
      </c>
      <c r="Q292" s="32">
        <v>129.5</v>
      </c>
      <c r="R292" s="32"/>
      <c r="S292" s="25">
        <f t="shared" si="45"/>
        <v>0</v>
      </c>
      <c r="T292" s="32">
        <v>129.5</v>
      </c>
      <c r="U292" s="32"/>
      <c r="V292" s="25">
        <f t="shared" si="49"/>
        <v>0</v>
      </c>
      <c r="W292" s="32">
        <v>129.5</v>
      </c>
      <c r="X292" s="32">
        <f t="shared" si="46"/>
        <v>0</v>
      </c>
      <c r="Y292" s="25">
        <f t="shared" si="47"/>
        <v>0</v>
      </c>
      <c r="AD292" s="26"/>
    </row>
    <row r="293" spans="1:30" x14ac:dyDescent="0.2">
      <c r="A293" s="24">
        <f t="shared" si="48"/>
        <v>11.401754250991379</v>
      </c>
      <c r="B293" s="32">
        <v>130</v>
      </c>
      <c r="C293" s="32"/>
      <c r="D293" s="25">
        <f t="shared" si="40"/>
        <v>0</v>
      </c>
      <c r="E293" s="32">
        <v>130</v>
      </c>
      <c r="F293" s="8"/>
      <c r="G293" s="25">
        <f t="shared" si="41"/>
        <v>0</v>
      </c>
      <c r="H293" s="32">
        <v>130</v>
      </c>
      <c r="I293" s="32"/>
      <c r="J293" s="25">
        <f t="shared" si="42"/>
        <v>0</v>
      </c>
      <c r="K293" s="32">
        <v>130</v>
      </c>
      <c r="L293" s="31"/>
      <c r="M293" s="25">
        <f t="shared" si="43"/>
        <v>0</v>
      </c>
      <c r="N293" s="32">
        <v>130</v>
      </c>
      <c r="O293" s="32"/>
      <c r="P293" s="25">
        <f t="shared" si="44"/>
        <v>0</v>
      </c>
      <c r="Q293" s="32">
        <v>130</v>
      </c>
      <c r="R293" s="32"/>
      <c r="S293" s="25">
        <f t="shared" si="45"/>
        <v>0</v>
      </c>
      <c r="T293" s="32">
        <v>130</v>
      </c>
      <c r="U293" s="32"/>
      <c r="V293" s="25">
        <f t="shared" si="49"/>
        <v>0</v>
      </c>
      <c r="W293" s="32">
        <v>130</v>
      </c>
      <c r="X293" s="32">
        <f t="shared" si="46"/>
        <v>0</v>
      </c>
      <c r="Y293" s="25">
        <f t="shared" si="47"/>
        <v>0</v>
      </c>
      <c r="AD293" s="26"/>
    </row>
    <row r="294" spans="1:30" x14ac:dyDescent="0.2">
      <c r="A294" s="24">
        <f t="shared" si="48"/>
        <v>11.423659658795863</v>
      </c>
      <c r="B294" s="32">
        <v>130.5</v>
      </c>
      <c r="C294" s="32"/>
      <c r="D294" s="25">
        <f t="shared" si="40"/>
        <v>0</v>
      </c>
      <c r="E294" s="32">
        <v>130.5</v>
      </c>
      <c r="F294" s="8"/>
      <c r="G294" s="25">
        <f t="shared" si="41"/>
        <v>0</v>
      </c>
      <c r="H294" s="32">
        <v>130.5</v>
      </c>
      <c r="I294" s="32"/>
      <c r="J294" s="25">
        <f t="shared" si="42"/>
        <v>0</v>
      </c>
      <c r="K294" s="32">
        <v>130.5</v>
      </c>
      <c r="L294" s="31"/>
      <c r="M294" s="25">
        <f t="shared" si="43"/>
        <v>0</v>
      </c>
      <c r="N294" s="32">
        <v>130.5</v>
      </c>
      <c r="O294" s="32"/>
      <c r="P294" s="25">
        <f t="shared" si="44"/>
        <v>0</v>
      </c>
      <c r="Q294" s="32">
        <v>130.5</v>
      </c>
      <c r="R294" s="32"/>
      <c r="S294" s="25">
        <f t="shared" si="45"/>
        <v>0</v>
      </c>
      <c r="T294" s="32">
        <v>130.5</v>
      </c>
      <c r="U294" s="32"/>
      <c r="V294" s="25">
        <f t="shared" si="49"/>
        <v>0</v>
      </c>
      <c r="W294" s="32">
        <v>130.5</v>
      </c>
      <c r="X294" s="32">
        <f t="shared" si="46"/>
        <v>0</v>
      </c>
      <c r="Y294" s="25">
        <f t="shared" si="47"/>
        <v>0</v>
      </c>
      <c r="AD294" s="26"/>
    </row>
    <row r="295" spans="1:30" x14ac:dyDescent="0.2">
      <c r="A295" s="24">
        <f t="shared" si="48"/>
        <v>11.445523142259598</v>
      </c>
      <c r="B295" s="32">
        <v>131</v>
      </c>
      <c r="C295" s="32"/>
      <c r="D295" s="25">
        <f t="shared" si="40"/>
        <v>0</v>
      </c>
      <c r="E295" s="32">
        <v>131</v>
      </c>
      <c r="F295" s="8"/>
      <c r="G295" s="25">
        <f t="shared" si="41"/>
        <v>0</v>
      </c>
      <c r="H295" s="32">
        <v>131</v>
      </c>
      <c r="I295" s="32"/>
      <c r="J295" s="25">
        <f t="shared" si="42"/>
        <v>0</v>
      </c>
      <c r="K295" s="32">
        <v>131</v>
      </c>
      <c r="L295" s="31"/>
      <c r="M295" s="25">
        <f t="shared" si="43"/>
        <v>0</v>
      </c>
      <c r="N295" s="32">
        <v>131</v>
      </c>
      <c r="O295" s="32"/>
      <c r="P295" s="25">
        <f t="shared" si="44"/>
        <v>0</v>
      </c>
      <c r="Q295" s="32">
        <v>131</v>
      </c>
      <c r="R295" s="32"/>
      <c r="S295" s="25">
        <f t="shared" si="45"/>
        <v>0</v>
      </c>
      <c r="T295" s="32">
        <v>131</v>
      </c>
      <c r="U295" s="32"/>
      <c r="V295" s="25">
        <f t="shared" si="49"/>
        <v>0</v>
      </c>
      <c r="W295" s="32">
        <v>131</v>
      </c>
      <c r="X295" s="32">
        <f t="shared" si="46"/>
        <v>0</v>
      </c>
      <c r="Y295" s="25">
        <f t="shared" si="47"/>
        <v>0</v>
      </c>
      <c r="AD295" s="26"/>
    </row>
    <row r="296" spans="1:30" x14ac:dyDescent="0.2">
      <c r="A296" s="24">
        <f t="shared" si="48"/>
        <v>11.467344941179714</v>
      </c>
      <c r="B296" s="32">
        <v>131.5</v>
      </c>
      <c r="C296" s="32"/>
      <c r="D296" s="25">
        <f t="shared" si="40"/>
        <v>0</v>
      </c>
      <c r="E296" s="32">
        <v>131.5</v>
      </c>
      <c r="F296" s="8"/>
      <c r="G296" s="25">
        <f t="shared" si="41"/>
        <v>0</v>
      </c>
      <c r="H296" s="32">
        <v>131.5</v>
      </c>
      <c r="I296" s="32"/>
      <c r="J296" s="25">
        <f t="shared" si="42"/>
        <v>0</v>
      </c>
      <c r="K296" s="32">
        <v>131.5</v>
      </c>
      <c r="L296" s="31"/>
      <c r="M296" s="25">
        <f t="shared" si="43"/>
        <v>0</v>
      </c>
      <c r="N296" s="32">
        <v>131.5</v>
      </c>
      <c r="O296" s="32"/>
      <c r="P296" s="25">
        <f t="shared" si="44"/>
        <v>0</v>
      </c>
      <c r="Q296" s="32">
        <v>131.5</v>
      </c>
      <c r="R296" s="32"/>
      <c r="S296" s="25">
        <f t="shared" si="45"/>
        <v>0</v>
      </c>
      <c r="T296" s="32">
        <v>131.5</v>
      </c>
      <c r="U296" s="32"/>
      <c r="V296" s="25">
        <f t="shared" si="49"/>
        <v>0</v>
      </c>
      <c r="W296" s="32">
        <v>131.5</v>
      </c>
      <c r="X296" s="32">
        <f t="shared" si="46"/>
        <v>0</v>
      </c>
      <c r="Y296" s="25">
        <f t="shared" si="47"/>
        <v>0</v>
      </c>
      <c r="AD296" s="26"/>
    </row>
    <row r="297" spans="1:30" x14ac:dyDescent="0.2">
      <c r="A297" s="24">
        <f t="shared" si="48"/>
        <v>11.489125293076057</v>
      </c>
      <c r="B297" s="32">
        <v>132</v>
      </c>
      <c r="C297" s="32"/>
      <c r="D297" s="25">
        <f t="shared" si="40"/>
        <v>0</v>
      </c>
      <c r="E297" s="32">
        <v>132</v>
      </c>
      <c r="F297" s="8"/>
      <c r="G297" s="25">
        <f t="shared" si="41"/>
        <v>0</v>
      </c>
      <c r="H297" s="32">
        <v>132</v>
      </c>
      <c r="I297" s="32"/>
      <c r="J297" s="25">
        <f t="shared" si="42"/>
        <v>0</v>
      </c>
      <c r="K297" s="32">
        <v>132</v>
      </c>
      <c r="L297" s="31"/>
      <c r="M297" s="25">
        <f t="shared" si="43"/>
        <v>0</v>
      </c>
      <c r="N297" s="32">
        <v>132</v>
      </c>
      <c r="O297" s="32"/>
      <c r="P297" s="25">
        <f t="shared" si="44"/>
        <v>0</v>
      </c>
      <c r="Q297" s="32">
        <v>132</v>
      </c>
      <c r="R297" s="32"/>
      <c r="S297" s="25">
        <f t="shared" si="45"/>
        <v>0</v>
      </c>
      <c r="T297" s="32">
        <v>132</v>
      </c>
      <c r="U297" s="32"/>
      <c r="V297" s="25">
        <f t="shared" si="49"/>
        <v>0</v>
      </c>
      <c r="W297" s="32">
        <v>132</v>
      </c>
      <c r="X297" s="32">
        <f t="shared" si="46"/>
        <v>0</v>
      </c>
      <c r="Y297" s="25">
        <f t="shared" si="47"/>
        <v>0</v>
      </c>
      <c r="AD297" s="26"/>
    </row>
    <row r="298" spans="1:30" x14ac:dyDescent="0.2">
      <c r="A298" s="24">
        <f t="shared" si="48"/>
        <v>11.510864433221338</v>
      </c>
      <c r="B298" s="32">
        <v>132.5</v>
      </c>
      <c r="C298" s="32"/>
      <c r="D298" s="25">
        <f t="shared" si="40"/>
        <v>0</v>
      </c>
      <c r="E298" s="32">
        <v>132.5</v>
      </c>
      <c r="F298" s="8"/>
      <c r="G298" s="25">
        <f t="shared" si="41"/>
        <v>0</v>
      </c>
      <c r="H298" s="32">
        <v>132.5</v>
      </c>
      <c r="I298" s="32"/>
      <c r="J298" s="25">
        <f t="shared" si="42"/>
        <v>0</v>
      </c>
      <c r="K298" s="32">
        <v>132.5</v>
      </c>
      <c r="L298" s="31"/>
      <c r="M298" s="25">
        <f t="shared" si="43"/>
        <v>0</v>
      </c>
      <c r="N298" s="32">
        <v>132.5</v>
      </c>
      <c r="O298" s="32"/>
      <c r="P298" s="25">
        <f t="shared" si="44"/>
        <v>0</v>
      </c>
      <c r="Q298" s="32">
        <v>132.5</v>
      </c>
      <c r="R298" s="32"/>
      <c r="S298" s="25">
        <f t="shared" si="45"/>
        <v>0</v>
      </c>
      <c r="T298" s="32">
        <v>132.5</v>
      </c>
      <c r="U298" s="32"/>
      <c r="V298" s="25">
        <f t="shared" si="49"/>
        <v>0</v>
      </c>
      <c r="W298" s="32">
        <v>132.5</v>
      </c>
      <c r="X298" s="32">
        <f t="shared" si="46"/>
        <v>0</v>
      </c>
      <c r="Y298" s="25">
        <f t="shared" si="47"/>
        <v>0</v>
      </c>
      <c r="AD298" s="26"/>
    </row>
    <row r="299" spans="1:30" x14ac:dyDescent="0.2">
      <c r="A299" s="24">
        <f t="shared" si="48"/>
        <v>11.532562594670797</v>
      </c>
      <c r="B299" s="32">
        <v>133</v>
      </c>
      <c r="C299" s="32"/>
      <c r="D299" s="25">
        <f t="shared" si="40"/>
        <v>0</v>
      </c>
      <c r="E299" s="32">
        <v>133</v>
      </c>
      <c r="F299" s="8"/>
      <c r="G299" s="25">
        <f t="shared" si="41"/>
        <v>0</v>
      </c>
      <c r="H299" s="32">
        <v>133</v>
      </c>
      <c r="I299" s="32"/>
      <c r="J299" s="25">
        <f t="shared" si="42"/>
        <v>0</v>
      </c>
      <c r="K299" s="32">
        <v>133</v>
      </c>
      <c r="L299" s="31"/>
      <c r="M299" s="25">
        <f t="shared" si="43"/>
        <v>0</v>
      </c>
      <c r="N299" s="32">
        <v>133</v>
      </c>
      <c r="O299" s="32"/>
      <c r="P299" s="25">
        <f t="shared" si="44"/>
        <v>0</v>
      </c>
      <c r="Q299" s="32">
        <v>133</v>
      </c>
      <c r="R299" s="32"/>
      <c r="S299" s="25">
        <f t="shared" si="45"/>
        <v>0</v>
      </c>
      <c r="T299" s="32">
        <v>133</v>
      </c>
      <c r="U299" s="32"/>
      <c r="V299" s="25">
        <f t="shared" si="49"/>
        <v>0</v>
      </c>
      <c r="W299" s="32">
        <v>133</v>
      </c>
      <c r="X299" s="32">
        <f t="shared" si="46"/>
        <v>0</v>
      </c>
      <c r="Y299" s="25">
        <f t="shared" si="47"/>
        <v>0</v>
      </c>
      <c r="AD299" s="26"/>
    </row>
    <row r="300" spans="1:30" x14ac:dyDescent="0.2">
      <c r="A300" s="24">
        <f t="shared" si="48"/>
        <v>11.554220008291344</v>
      </c>
      <c r="B300" s="32">
        <v>133.5</v>
      </c>
      <c r="C300" s="32"/>
      <c r="D300" s="25">
        <f t="shared" si="40"/>
        <v>0</v>
      </c>
      <c r="E300" s="32">
        <v>133.5</v>
      </c>
      <c r="F300" s="8"/>
      <c r="G300" s="25">
        <f t="shared" si="41"/>
        <v>0</v>
      </c>
      <c r="H300" s="32">
        <v>133.5</v>
      </c>
      <c r="I300" s="32"/>
      <c r="J300" s="25">
        <f t="shared" si="42"/>
        <v>0</v>
      </c>
      <c r="K300" s="32">
        <v>133.5</v>
      </c>
      <c r="L300" s="31"/>
      <c r="M300" s="25">
        <f t="shared" si="43"/>
        <v>0</v>
      </c>
      <c r="N300" s="32">
        <v>133.5</v>
      </c>
      <c r="O300" s="32"/>
      <c r="P300" s="25">
        <f t="shared" si="44"/>
        <v>0</v>
      </c>
      <c r="Q300" s="32">
        <v>133.5</v>
      </c>
      <c r="R300" s="32"/>
      <c r="S300" s="25">
        <f t="shared" si="45"/>
        <v>0</v>
      </c>
      <c r="T300" s="32">
        <v>133.5</v>
      </c>
      <c r="U300" s="32"/>
      <c r="V300" s="25">
        <f t="shared" si="49"/>
        <v>0</v>
      </c>
      <c r="W300" s="32">
        <v>133.5</v>
      </c>
      <c r="X300" s="32">
        <f t="shared" si="46"/>
        <v>0</v>
      </c>
      <c r="Y300" s="25">
        <f t="shared" si="47"/>
        <v>0</v>
      </c>
      <c r="AD300" s="26"/>
    </row>
    <row r="301" spans="1:30" x14ac:dyDescent="0.2">
      <c r="A301" s="24">
        <f t="shared" si="48"/>
        <v>11.575836902790225</v>
      </c>
      <c r="B301" s="32">
        <v>134</v>
      </c>
      <c r="C301" s="32"/>
      <c r="D301" s="25">
        <f t="shared" si="40"/>
        <v>0</v>
      </c>
      <c r="E301" s="32">
        <v>134</v>
      </c>
      <c r="F301" s="8"/>
      <c r="G301" s="25">
        <f t="shared" si="41"/>
        <v>0</v>
      </c>
      <c r="H301" s="32">
        <v>134</v>
      </c>
      <c r="I301" s="32"/>
      <c r="J301" s="25">
        <f t="shared" si="42"/>
        <v>0</v>
      </c>
      <c r="K301" s="32">
        <v>134</v>
      </c>
      <c r="L301" s="31"/>
      <c r="M301" s="25">
        <f t="shared" si="43"/>
        <v>0</v>
      </c>
      <c r="N301" s="32">
        <v>134</v>
      </c>
      <c r="O301" s="32"/>
      <c r="P301" s="25">
        <f t="shared" si="44"/>
        <v>0</v>
      </c>
      <c r="Q301" s="32">
        <v>134</v>
      </c>
      <c r="R301" s="32"/>
      <c r="S301" s="25">
        <f t="shared" si="45"/>
        <v>0</v>
      </c>
      <c r="T301" s="32">
        <v>134</v>
      </c>
      <c r="U301" s="32"/>
      <c r="V301" s="25">
        <f t="shared" si="49"/>
        <v>0</v>
      </c>
      <c r="W301" s="32">
        <v>134</v>
      </c>
      <c r="X301" s="32">
        <f t="shared" si="46"/>
        <v>0</v>
      </c>
      <c r="Y301" s="25">
        <f t="shared" si="47"/>
        <v>0</v>
      </c>
      <c r="AD301" s="26"/>
    </row>
    <row r="302" spans="1:30" x14ac:dyDescent="0.2">
      <c r="A302" s="24">
        <f t="shared" si="48"/>
        <v>11.597413504743201</v>
      </c>
      <c r="B302" s="32">
        <v>134.5</v>
      </c>
      <c r="C302" s="32"/>
      <c r="D302" s="25">
        <f t="shared" si="40"/>
        <v>0</v>
      </c>
      <c r="E302" s="32">
        <v>134.5</v>
      </c>
      <c r="F302" s="8"/>
      <c r="G302" s="25">
        <f t="shared" si="41"/>
        <v>0</v>
      </c>
      <c r="H302" s="32">
        <v>134.5</v>
      </c>
      <c r="I302" s="32"/>
      <c r="J302" s="25">
        <f t="shared" si="42"/>
        <v>0</v>
      </c>
      <c r="K302" s="32">
        <v>134.5</v>
      </c>
      <c r="L302" s="31"/>
      <c r="M302" s="25">
        <f t="shared" si="43"/>
        <v>0</v>
      </c>
      <c r="N302" s="32">
        <v>134.5</v>
      </c>
      <c r="O302" s="32"/>
      <c r="P302" s="25">
        <f t="shared" si="44"/>
        <v>0</v>
      </c>
      <c r="Q302" s="32">
        <v>134.5</v>
      </c>
      <c r="R302" s="32"/>
      <c r="S302" s="25">
        <f t="shared" si="45"/>
        <v>0</v>
      </c>
      <c r="T302" s="32">
        <v>134.5</v>
      </c>
      <c r="U302" s="32"/>
      <c r="V302" s="25">
        <f t="shared" si="49"/>
        <v>0</v>
      </c>
      <c r="W302" s="32">
        <v>134.5</v>
      </c>
      <c r="X302" s="32">
        <f t="shared" si="46"/>
        <v>0</v>
      </c>
      <c r="Y302" s="25">
        <f t="shared" si="47"/>
        <v>0</v>
      </c>
      <c r="AD302" s="26"/>
    </row>
    <row r="303" spans="1:30" x14ac:dyDescent="0.2">
      <c r="A303" s="24">
        <f t="shared" si="48"/>
        <v>11.61895003862225</v>
      </c>
      <c r="B303" s="32">
        <v>135</v>
      </c>
      <c r="C303" s="32"/>
      <c r="D303" s="25">
        <f t="shared" si="40"/>
        <v>0</v>
      </c>
      <c r="E303" s="32">
        <v>135</v>
      </c>
      <c r="F303" s="8"/>
      <c r="G303" s="25">
        <f t="shared" si="41"/>
        <v>0</v>
      </c>
      <c r="H303" s="32">
        <v>135</v>
      </c>
      <c r="I303" s="32"/>
      <c r="J303" s="25">
        <f t="shared" si="42"/>
        <v>0</v>
      </c>
      <c r="K303" s="32">
        <v>135</v>
      </c>
      <c r="L303" s="31"/>
      <c r="M303" s="25">
        <f t="shared" si="43"/>
        <v>0</v>
      </c>
      <c r="N303" s="32">
        <v>135</v>
      </c>
      <c r="O303" s="32"/>
      <c r="P303" s="25">
        <f t="shared" si="44"/>
        <v>0</v>
      </c>
      <c r="Q303" s="32">
        <v>135</v>
      </c>
      <c r="R303" s="32"/>
      <c r="S303" s="25">
        <f t="shared" si="45"/>
        <v>0</v>
      </c>
      <c r="T303" s="32">
        <v>135</v>
      </c>
      <c r="U303" s="32"/>
      <c r="V303" s="25">
        <f t="shared" si="49"/>
        <v>0</v>
      </c>
      <c r="W303" s="32">
        <v>135</v>
      </c>
      <c r="X303" s="32">
        <f t="shared" si="46"/>
        <v>0</v>
      </c>
      <c r="Y303" s="25">
        <f t="shared" si="47"/>
        <v>0</v>
      </c>
      <c r="AD303" s="26"/>
    </row>
    <row r="304" spans="1:30" x14ac:dyDescent="0.2">
      <c r="A304" s="24">
        <f t="shared" si="48"/>
        <v>11.640446726822816</v>
      </c>
      <c r="B304" s="32">
        <v>135.5</v>
      </c>
      <c r="C304" s="32"/>
      <c r="D304" s="25">
        <f t="shared" si="40"/>
        <v>0</v>
      </c>
      <c r="E304" s="32">
        <v>135.5</v>
      </c>
      <c r="F304" s="8"/>
      <c r="G304" s="25">
        <f t="shared" si="41"/>
        <v>0</v>
      </c>
      <c r="H304" s="32">
        <v>135.5</v>
      </c>
      <c r="I304" s="32"/>
      <c r="J304" s="25">
        <f t="shared" si="42"/>
        <v>0</v>
      </c>
      <c r="K304" s="32">
        <v>135.5</v>
      </c>
      <c r="L304" s="31"/>
      <c r="M304" s="25">
        <f t="shared" si="43"/>
        <v>0</v>
      </c>
      <c r="N304" s="32">
        <v>135.5</v>
      </c>
      <c r="O304" s="32"/>
      <c r="P304" s="25">
        <f t="shared" si="44"/>
        <v>0</v>
      </c>
      <c r="Q304" s="32">
        <v>135.5</v>
      </c>
      <c r="R304" s="32"/>
      <c r="S304" s="25">
        <f t="shared" si="45"/>
        <v>0</v>
      </c>
      <c r="T304" s="32">
        <v>135.5</v>
      </c>
      <c r="U304" s="32"/>
      <c r="V304" s="25">
        <f t="shared" si="49"/>
        <v>0</v>
      </c>
      <c r="W304" s="32">
        <v>135.5</v>
      </c>
      <c r="X304" s="32">
        <f t="shared" si="46"/>
        <v>0</v>
      </c>
      <c r="Y304" s="25">
        <f t="shared" si="47"/>
        <v>0</v>
      </c>
      <c r="AD304" s="26"/>
    </row>
    <row r="305" spans="1:30" x14ac:dyDescent="0.2">
      <c r="A305" s="24">
        <f t="shared" si="48"/>
        <v>11.661903789690601</v>
      </c>
      <c r="B305" s="32">
        <v>136</v>
      </c>
      <c r="C305" s="32"/>
      <c r="D305" s="25">
        <f t="shared" si="40"/>
        <v>0</v>
      </c>
      <c r="E305" s="32">
        <v>136</v>
      </c>
      <c r="F305" s="8"/>
      <c r="G305" s="25">
        <f t="shared" si="41"/>
        <v>0</v>
      </c>
      <c r="H305" s="32">
        <v>136</v>
      </c>
      <c r="I305" s="32"/>
      <c r="J305" s="25">
        <f t="shared" si="42"/>
        <v>0</v>
      </c>
      <c r="K305" s="32">
        <v>136</v>
      </c>
      <c r="L305" s="31"/>
      <c r="M305" s="25">
        <f t="shared" si="43"/>
        <v>0</v>
      </c>
      <c r="N305" s="32">
        <v>136</v>
      </c>
      <c r="O305" s="32"/>
      <c r="P305" s="25">
        <f t="shared" si="44"/>
        <v>0</v>
      </c>
      <c r="Q305" s="32">
        <v>136</v>
      </c>
      <c r="R305" s="32"/>
      <c r="S305" s="25">
        <f t="shared" si="45"/>
        <v>0</v>
      </c>
      <c r="T305" s="32">
        <v>136</v>
      </c>
      <c r="U305" s="32"/>
      <c r="V305" s="25">
        <f t="shared" si="49"/>
        <v>0</v>
      </c>
      <c r="W305" s="32">
        <v>136</v>
      </c>
      <c r="X305" s="32">
        <f t="shared" si="46"/>
        <v>0</v>
      </c>
      <c r="Y305" s="25">
        <f t="shared" si="47"/>
        <v>0</v>
      </c>
      <c r="AD305" s="26"/>
    </row>
    <row r="306" spans="1:30" x14ac:dyDescent="0.2">
      <c r="A306" s="24">
        <f t="shared" si="48"/>
        <v>11.683321445547923</v>
      </c>
      <c r="B306" s="32">
        <v>136.5</v>
      </c>
      <c r="C306" s="32"/>
      <c r="D306" s="25">
        <f t="shared" si="40"/>
        <v>0</v>
      </c>
      <c r="E306" s="32">
        <v>136.5</v>
      </c>
      <c r="F306" s="8"/>
      <c r="G306" s="25">
        <f t="shared" si="41"/>
        <v>0</v>
      </c>
      <c r="H306" s="32">
        <v>136.5</v>
      </c>
      <c r="I306" s="32"/>
      <c r="J306" s="25">
        <f t="shared" si="42"/>
        <v>0</v>
      </c>
      <c r="K306" s="32">
        <v>136.5</v>
      </c>
      <c r="L306" s="31"/>
      <c r="M306" s="25">
        <f t="shared" si="43"/>
        <v>0</v>
      </c>
      <c r="N306" s="32">
        <v>136.5</v>
      </c>
      <c r="O306" s="32"/>
      <c r="P306" s="25">
        <f t="shared" si="44"/>
        <v>0</v>
      </c>
      <c r="Q306" s="32">
        <v>136.5</v>
      </c>
      <c r="R306" s="32"/>
      <c r="S306" s="25">
        <f t="shared" si="45"/>
        <v>0</v>
      </c>
      <c r="T306" s="32">
        <v>136.5</v>
      </c>
      <c r="U306" s="32"/>
      <c r="V306" s="25">
        <f t="shared" si="49"/>
        <v>0</v>
      </c>
      <c r="W306" s="32">
        <v>136.5</v>
      </c>
      <c r="X306" s="32">
        <f t="shared" si="46"/>
        <v>0</v>
      </c>
      <c r="Y306" s="25">
        <f t="shared" si="47"/>
        <v>0</v>
      </c>
      <c r="AD306" s="26"/>
    </row>
    <row r="307" spans="1:30" x14ac:dyDescent="0.2">
      <c r="A307" s="24">
        <f t="shared" si="48"/>
        <v>11.704699910719626</v>
      </c>
      <c r="B307" s="32">
        <v>137</v>
      </c>
      <c r="C307" s="32"/>
      <c r="D307" s="25">
        <f t="shared" si="40"/>
        <v>0</v>
      </c>
      <c r="E307" s="32">
        <v>137</v>
      </c>
      <c r="F307" s="8"/>
      <c r="G307" s="25">
        <f t="shared" si="41"/>
        <v>0</v>
      </c>
      <c r="H307" s="32">
        <v>137</v>
      </c>
      <c r="I307" s="32"/>
      <c r="J307" s="25">
        <f t="shared" si="42"/>
        <v>0</v>
      </c>
      <c r="K307" s="32">
        <v>137</v>
      </c>
      <c r="L307" s="31"/>
      <c r="M307" s="25">
        <f t="shared" si="43"/>
        <v>0</v>
      </c>
      <c r="N307" s="32">
        <v>137</v>
      </c>
      <c r="O307" s="32"/>
      <c r="P307" s="25">
        <f t="shared" si="44"/>
        <v>0</v>
      </c>
      <c r="Q307" s="32">
        <v>137</v>
      </c>
      <c r="R307" s="32"/>
      <c r="S307" s="25">
        <f t="shared" si="45"/>
        <v>0</v>
      </c>
      <c r="T307" s="32">
        <v>137</v>
      </c>
      <c r="U307" s="32"/>
      <c r="V307" s="25">
        <f t="shared" si="49"/>
        <v>0</v>
      </c>
      <c r="W307" s="32">
        <v>137</v>
      </c>
      <c r="X307" s="32">
        <f t="shared" si="46"/>
        <v>0</v>
      </c>
      <c r="Y307" s="25">
        <f t="shared" si="47"/>
        <v>0</v>
      </c>
      <c r="AD307" s="26"/>
    </row>
    <row r="308" spans="1:30" x14ac:dyDescent="0.2">
      <c r="A308" s="24">
        <f t="shared" si="48"/>
        <v>11.726039399558575</v>
      </c>
      <c r="B308" s="32">
        <v>137.5</v>
      </c>
      <c r="C308" s="32"/>
      <c r="D308" s="25">
        <f t="shared" si="40"/>
        <v>0</v>
      </c>
      <c r="E308" s="32">
        <v>137.5</v>
      </c>
      <c r="F308" s="8"/>
      <c r="G308" s="25">
        <f t="shared" si="41"/>
        <v>0</v>
      </c>
      <c r="H308" s="32">
        <v>137.5</v>
      </c>
      <c r="I308" s="32"/>
      <c r="J308" s="25">
        <f t="shared" si="42"/>
        <v>0</v>
      </c>
      <c r="K308" s="32">
        <v>137.5</v>
      </c>
      <c r="L308" s="31"/>
      <c r="M308" s="25">
        <f t="shared" si="43"/>
        <v>0</v>
      </c>
      <c r="N308" s="32">
        <v>137.5</v>
      </c>
      <c r="O308" s="32"/>
      <c r="P308" s="25">
        <f t="shared" si="44"/>
        <v>0</v>
      </c>
      <c r="Q308" s="32">
        <v>137.5</v>
      </c>
      <c r="R308" s="32"/>
      <c r="S308" s="25">
        <f t="shared" si="45"/>
        <v>0</v>
      </c>
      <c r="T308" s="32">
        <v>137.5</v>
      </c>
      <c r="U308" s="32"/>
      <c r="V308" s="25">
        <f t="shared" si="49"/>
        <v>0</v>
      </c>
      <c r="W308" s="32">
        <v>137.5</v>
      </c>
      <c r="X308" s="32">
        <f t="shared" si="46"/>
        <v>0</v>
      </c>
      <c r="Y308" s="25">
        <f t="shared" si="47"/>
        <v>0</v>
      </c>
      <c r="AD308" s="26"/>
    </row>
    <row r="309" spans="1:30" x14ac:dyDescent="0.2">
      <c r="A309" s="24">
        <f t="shared" si="48"/>
        <v>11.74734012447073</v>
      </c>
      <c r="B309" s="32">
        <v>138</v>
      </c>
      <c r="C309" s="32"/>
      <c r="D309" s="25">
        <f t="shared" si="40"/>
        <v>0</v>
      </c>
      <c r="E309" s="32">
        <v>138</v>
      </c>
      <c r="F309" s="8"/>
      <c r="G309" s="25">
        <f t="shared" si="41"/>
        <v>0</v>
      </c>
      <c r="H309" s="32">
        <v>138</v>
      </c>
      <c r="I309" s="32"/>
      <c r="J309" s="25">
        <f t="shared" si="42"/>
        <v>0</v>
      </c>
      <c r="K309" s="32">
        <v>138</v>
      </c>
      <c r="L309" s="31"/>
      <c r="M309" s="25">
        <f t="shared" si="43"/>
        <v>0</v>
      </c>
      <c r="N309" s="32">
        <v>138</v>
      </c>
      <c r="O309" s="32"/>
      <c r="P309" s="25">
        <f t="shared" si="44"/>
        <v>0</v>
      </c>
      <c r="Q309" s="32">
        <v>138</v>
      </c>
      <c r="R309" s="32"/>
      <c r="S309" s="25">
        <f t="shared" si="45"/>
        <v>0</v>
      </c>
      <c r="T309" s="32">
        <v>138</v>
      </c>
      <c r="U309" s="32"/>
      <c r="V309" s="25">
        <f t="shared" si="49"/>
        <v>0</v>
      </c>
      <c r="W309" s="32">
        <v>138</v>
      </c>
      <c r="X309" s="32">
        <f t="shared" si="46"/>
        <v>0</v>
      </c>
      <c r="Y309" s="25">
        <f t="shared" si="47"/>
        <v>0</v>
      </c>
      <c r="AD309" s="26"/>
    </row>
    <row r="310" spans="1:30" x14ac:dyDescent="0.2">
      <c r="A310" s="24">
        <f t="shared" si="48"/>
        <v>11.76860229593982</v>
      </c>
      <c r="B310" s="32">
        <v>138.5</v>
      </c>
      <c r="C310" s="32"/>
      <c r="D310" s="25">
        <f t="shared" si="40"/>
        <v>0</v>
      </c>
      <c r="E310" s="32">
        <v>138.5</v>
      </c>
      <c r="F310" s="8"/>
      <c r="G310" s="25">
        <f t="shared" si="41"/>
        <v>0</v>
      </c>
      <c r="H310" s="32">
        <v>138.5</v>
      </c>
      <c r="I310" s="32"/>
      <c r="J310" s="25">
        <f t="shared" si="42"/>
        <v>0</v>
      </c>
      <c r="K310" s="32">
        <v>138.5</v>
      </c>
      <c r="L310" s="31"/>
      <c r="M310" s="25">
        <f t="shared" si="43"/>
        <v>0</v>
      </c>
      <c r="N310" s="32">
        <v>138.5</v>
      </c>
      <c r="O310" s="32"/>
      <c r="P310" s="25">
        <f t="shared" si="44"/>
        <v>0</v>
      </c>
      <c r="Q310" s="32">
        <v>138.5</v>
      </c>
      <c r="R310" s="32"/>
      <c r="S310" s="25">
        <f t="shared" si="45"/>
        <v>0</v>
      </c>
      <c r="T310" s="32">
        <v>138.5</v>
      </c>
      <c r="U310" s="32"/>
      <c r="V310" s="25">
        <f t="shared" si="49"/>
        <v>0</v>
      </c>
      <c r="W310" s="32">
        <v>138.5</v>
      </c>
      <c r="X310" s="32">
        <f t="shared" si="46"/>
        <v>0</v>
      </c>
      <c r="Y310" s="25">
        <f t="shared" si="47"/>
        <v>0</v>
      </c>
      <c r="AD310" s="26"/>
    </row>
    <row r="311" spans="1:30" x14ac:dyDescent="0.2">
      <c r="A311" s="24">
        <f t="shared" si="48"/>
        <v>11.789826122551595</v>
      </c>
      <c r="B311" s="32">
        <v>139</v>
      </c>
      <c r="C311" s="32"/>
      <c r="D311" s="25">
        <f t="shared" si="40"/>
        <v>0</v>
      </c>
      <c r="E311" s="32">
        <v>139</v>
      </c>
      <c r="F311" s="8"/>
      <c r="G311" s="25">
        <f t="shared" si="41"/>
        <v>0</v>
      </c>
      <c r="H311" s="32">
        <v>139</v>
      </c>
      <c r="I311" s="32"/>
      <c r="J311" s="25">
        <f t="shared" si="42"/>
        <v>0</v>
      </c>
      <c r="K311" s="32">
        <v>139</v>
      </c>
      <c r="L311" s="31"/>
      <c r="M311" s="25">
        <f t="shared" si="43"/>
        <v>0</v>
      </c>
      <c r="N311" s="32">
        <v>139</v>
      </c>
      <c r="O311" s="32"/>
      <c r="P311" s="25">
        <f t="shared" si="44"/>
        <v>0</v>
      </c>
      <c r="Q311" s="32">
        <v>139</v>
      </c>
      <c r="R311" s="32"/>
      <c r="S311" s="25">
        <f t="shared" si="45"/>
        <v>0</v>
      </c>
      <c r="T311" s="32">
        <v>139</v>
      </c>
      <c r="U311" s="32"/>
      <c r="V311" s="25">
        <f t="shared" si="49"/>
        <v>0</v>
      </c>
      <c r="W311" s="32">
        <v>139</v>
      </c>
      <c r="X311" s="32">
        <f t="shared" si="46"/>
        <v>0</v>
      </c>
      <c r="Y311" s="25">
        <f t="shared" si="47"/>
        <v>0</v>
      </c>
      <c r="AD311" s="26"/>
    </row>
    <row r="312" spans="1:30" x14ac:dyDescent="0.2">
      <c r="A312" s="24">
        <f t="shared" si="48"/>
        <v>11.811011811017716</v>
      </c>
      <c r="B312" s="32">
        <v>139.5</v>
      </c>
      <c r="C312" s="32"/>
      <c r="D312" s="25">
        <f t="shared" si="40"/>
        <v>0</v>
      </c>
      <c r="E312" s="32">
        <v>139.5</v>
      </c>
      <c r="F312" s="8"/>
      <c r="G312" s="25">
        <f t="shared" si="41"/>
        <v>0</v>
      </c>
      <c r="H312" s="32">
        <v>139.5</v>
      </c>
      <c r="I312" s="32"/>
      <c r="J312" s="25">
        <f t="shared" si="42"/>
        <v>0</v>
      </c>
      <c r="K312" s="32">
        <v>139.5</v>
      </c>
      <c r="L312" s="31"/>
      <c r="M312" s="25">
        <f t="shared" si="43"/>
        <v>0</v>
      </c>
      <c r="N312" s="32">
        <v>139.5</v>
      </c>
      <c r="O312" s="32"/>
      <c r="P312" s="25">
        <f t="shared" si="44"/>
        <v>0</v>
      </c>
      <c r="Q312" s="32">
        <v>139.5</v>
      </c>
      <c r="R312" s="32"/>
      <c r="S312" s="25">
        <f t="shared" si="45"/>
        <v>0</v>
      </c>
      <c r="T312" s="32">
        <v>139.5</v>
      </c>
      <c r="U312" s="32"/>
      <c r="V312" s="25">
        <f t="shared" si="49"/>
        <v>0</v>
      </c>
      <c r="W312" s="32">
        <v>139.5</v>
      </c>
      <c r="X312" s="32">
        <f t="shared" si="46"/>
        <v>0</v>
      </c>
      <c r="Y312" s="25">
        <f t="shared" si="47"/>
        <v>0</v>
      </c>
      <c r="AD312" s="26"/>
    </row>
    <row r="313" spans="1:30" x14ac:dyDescent="0.2">
      <c r="A313" s="24">
        <f t="shared" si="48"/>
        <v>11.832159566199232</v>
      </c>
      <c r="B313" s="32">
        <v>140</v>
      </c>
      <c r="C313" s="32"/>
      <c r="D313" s="25">
        <f t="shared" si="40"/>
        <v>0</v>
      </c>
      <c r="E313" s="32">
        <v>140</v>
      </c>
      <c r="F313" s="8"/>
      <c r="G313" s="25">
        <f t="shared" si="41"/>
        <v>0</v>
      </c>
      <c r="H313" s="32">
        <v>140</v>
      </c>
      <c r="I313" s="32"/>
      <c r="J313" s="25">
        <f t="shared" si="42"/>
        <v>0</v>
      </c>
      <c r="K313" s="32">
        <v>140</v>
      </c>
      <c r="L313" s="31"/>
      <c r="M313" s="25">
        <f t="shared" si="43"/>
        <v>0</v>
      </c>
      <c r="N313" s="32">
        <v>140</v>
      </c>
      <c r="O313" s="32"/>
      <c r="P313" s="25">
        <f t="shared" si="44"/>
        <v>0</v>
      </c>
      <c r="Q313" s="32">
        <v>140</v>
      </c>
      <c r="R313" s="32"/>
      <c r="S313" s="25">
        <f t="shared" si="45"/>
        <v>0</v>
      </c>
      <c r="T313" s="32">
        <v>140</v>
      </c>
      <c r="U313" s="32"/>
      <c r="V313" s="25">
        <f t="shared" si="49"/>
        <v>0</v>
      </c>
      <c r="W313" s="32">
        <v>140</v>
      </c>
      <c r="X313" s="32">
        <f t="shared" si="46"/>
        <v>0</v>
      </c>
      <c r="Y313" s="25">
        <f t="shared" si="47"/>
        <v>0</v>
      </c>
      <c r="AD313" s="26"/>
    </row>
    <row r="314" spans="1:30" x14ac:dyDescent="0.2">
      <c r="A314" s="24">
        <f t="shared" si="48"/>
        <v>11.853269591129697</v>
      </c>
      <c r="B314" s="32">
        <v>140.5</v>
      </c>
      <c r="C314" s="32"/>
      <c r="D314" s="25">
        <f t="shared" si="40"/>
        <v>0</v>
      </c>
      <c r="E314" s="32">
        <v>140.5</v>
      </c>
      <c r="F314" s="8"/>
      <c r="G314" s="25">
        <f t="shared" si="41"/>
        <v>0</v>
      </c>
      <c r="H314" s="32">
        <v>140.5</v>
      </c>
      <c r="I314" s="32"/>
      <c r="J314" s="25">
        <f t="shared" si="42"/>
        <v>0</v>
      </c>
      <c r="K314" s="32">
        <v>140.5</v>
      </c>
      <c r="L314" s="31"/>
      <c r="M314" s="25">
        <f t="shared" si="43"/>
        <v>0</v>
      </c>
      <c r="N314" s="32">
        <v>140.5</v>
      </c>
      <c r="O314" s="32"/>
      <c r="P314" s="25">
        <f t="shared" si="44"/>
        <v>0</v>
      </c>
      <c r="Q314" s="32">
        <v>140.5</v>
      </c>
      <c r="R314" s="32"/>
      <c r="S314" s="25">
        <f t="shared" si="45"/>
        <v>0</v>
      </c>
      <c r="T314" s="32">
        <v>140.5</v>
      </c>
      <c r="U314" s="32"/>
      <c r="V314" s="25">
        <f t="shared" si="49"/>
        <v>0</v>
      </c>
      <c r="W314" s="32">
        <v>140.5</v>
      </c>
      <c r="X314" s="32">
        <f t="shared" si="46"/>
        <v>0</v>
      </c>
      <c r="Y314" s="25">
        <f t="shared" si="47"/>
        <v>0</v>
      </c>
      <c r="AD314" s="26"/>
    </row>
    <row r="315" spans="1:30" x14ac:dyDescent="0.2">
      <c r="A315" s="24">
        <f t="shared" si="48"/>
        <v>11.874342087037917</v>
      </c>
      <c r="B315" s="32">
        <v>141</v>
      </c>
      <c r="C315" s="32"/>
      <c r="D315" s="25">
        <f t="shared" si="40"/>
        <v>0</v>
      </c>
      <c r="E315" s="32">
        <v>141</v>
      </c>
      <c r="F315" s="8"/>
      <c r="G315" s="25">
        <f t="shared" si="41"/>
        <v>0</v>
      </c>
      <c r="H315" s="32">
        <v>141</v>
      </c>
      <c r="I315" s="32"/>
      <c r="J315" s="25">
        <f t="shared" si="42"/>
        <v>0</v>
      </c>
      <c r="K315" s="32">
        <v>141</v>
      </c>
      <c r="L315" s="31"/>
      <c r="M315" s="25">
        <f t="shared" si="43"/>
        <v>0</v>
      </c>
      <c r="N315" s="32">
        <v>141</v>
      </c>
      <c r="O315" s="32"/>
      <c r="P315" s="25">
        <f t="shared" si="44"/>
        <v>0</v>
      </c>
      <c r="Q315" s="32">
        <v>141</v>
      </c>
      <c r="R315" s="32"/>
      <c r="S315" s="25">
        <f t="shared" si="45"/>
        <v>0</v>
      </c>
      <c r="T315" s="32">
        <v>141</v>
      </c>
      <c r="U315" s="32"/>
      <c r="V315" s="25">
        <f t="shared" si="49"/>
        <v>0</v>
      </c>
      <c r="W315" s="32">
        <v>141</v>
      </c>
      <c r="X315" s="32">
        <f t="shared" si="46"/>
        <v>0</v>
      </c>
      <c r="Y315" s="25">
        <f t="shared" si="47"/>
        <v>0</v>
      </c>
      <c r="AD315" s="26"/>
    </row>
    <row r="316" spans="1:30" x14ac:dyDescent="0.2">
      <c r="A316" s="24">
        <f t="shared" si="48"/>
        <v>11.895377253370318</v>
      </c>
      <c r="B316" s="32">
        <v>141.5</v>
      </c>
      <c r="C316" s="32"/>
      <c r="D316" s="25">
        <f t="shared" si="40"/>
        <v>0</v>
      </c>
      <c r="E316" s="32">
        <v>141.5</v>
      </c>
      <c r="F316" s="8"/>
      <c r="G316" s="25">
        <f t="shared" si="41"/>
        <v>0</v>
      </c>
      <c r="H316" s="32">
        <v>141.5</v>
      </c>
      <c r="I316" s="32"/>
      <c r="J316" s="25">
        <f t="shared" si="42"/>
        <v>0</v>
      </c>
      <c r="K316" s="32">
        <v>141.5</v>
      </c>
      <c r="L316" s="31"/>
      <c r="M316" s="25">
        <f t="shared" si="43"/>
        <v>0</v>
      </c>
      <c r="N316" s="32">
        <v>141.5</v>
      </c>
      <c r="O316" s="32"/>
      <c r="P316" s="25">
        <f t="shared" si="44"/>
        <v>0</v>
      </c>
      <c r="Q316" s="32">
        <v>141.5</v>
      </c>
      <c r="R316" s="32"/>
      <c r="S316" s="25">
        <f t="shared" si="45"/>
        <v>0</v>
      </c>
      <c r="T316" s="32">
        <v>141.5</v>
      </c>
      <c r="U316" s="32"/>
      <c r="V316" s="25">
        <f t="shared" si="49"/>
        <v>0</v>
      </c>
      <c r="W316" s="32">
        <v>141.5</v>
      </c>
      <c r="X316" s="32">
        <f t="shared" si="46"/>
        <v>0</v>
      </c>
      <c r="Y316" s="25">
        <f t="shared" si="47"/>
        <v>0</v>
      </c>
      <c r="AD316" s="26"/>
    </row>
    <row r="317" spans="1:30" x14ac:dyDescent="0.2">
      <c r="A317" s="24">
        <f t="shared" si="48"/>
        <v>11.916375287812984</v>
      </c>
      <c r="B317" s="32">
        <v>142</v>
      </c>
      <c r="C317" s="32"/>
      <c r="D317" s="25">
        <f t="shared" si="40"/>
        <v>0</v>
      </c>
      <c r="E317" s="32">
        <v>142</v>
      </c>
      <c r="F317" s="8"/>
      <c r="G317" s="25">
        <f t="shared" si="41"/>
        <v>0</v>
      </c>
      <c r="H317" s="32">
        <v>142</v>
      </c>
      <c r="I317" s="32"/>
      <c r="J317" s="25">
        <f t="shared" si="42"/>
        <v>0</v>
      </c>
      <c r="K317" s="32">
        <v>142</v>
      </c>
      <c r="L317" s="31"/>
      <c r="M317" s="25">
        <f t="shared" si="43"/>
        <v>0</v>
      </c>
      <c r="N317" s="32">
        <v>142</v>
      </c>
      <c r="O317" s="32"/>
      <c r="P317" s="25">
        <f t="shared" si="44"/>
        <v>0</v>
      </c>
      <c r="Q317" s="32">
        <v>142</v>
      </c>
      <c r="R317" s="32"/>
      <c r="S317" s="25">
        <f t="shared" si="45"/>
        <v>0</v>
      </c>
      <c r="T317" s="32">
        <v>142</v>
      </c>
      <c r="U317" s="32"/>
      <c r="V317" s="25">
        <f t="shared" si="49"/>
        <v>0</v>
      </c>
      <c r="W317" s="32">
        <v>142</v>
      </c>
      <c r="X317" s="32">
        <f t="shared" si="46"/>
        <v>0</v>
      </c>
      <c r="Y317" s="25">
        <f t="shared" si="47"/>
        <v>0</v>
      </c>
      <c r="AD317" s="26"/>
    </row>
    <row r="318" spans="1:30" x14ac:dyDescent="0.2">
      <c r="A318" s="24">
        <f t="shared" si="48"/>
        <v>11.937336386313323</v>
      </c>
      <c r="B318" s="32">
        <v>142.5</v>
      </c>
      <c r="C318" s="32"/>
      <c r="D318" s="25">
        <f t="shared" si="40"/>
        <v>0</v>
      </c>
      <c r="E318" s="32">
        <v>142.5</v>
      </c>
      <c r="F318" s="8"/>
      <c r="G318" s="25">
        <f t="shared" si="41"/>
        <v>0</v>
      </c>
      <c r="H318" s="32">
        <v>142.5</v>
      </c>
      <c r="I318" s="32"/>
      <c r="J318" s="25">
        <f t="shared" si="42"/>
        <v>0</v>
      </c>
      <c r="K318" s="32">
        <v>142.5</v>
      </c>
      <c r="L318" s="31"/>
      <c r="M318" s="25">
        <f t="shared" si="43"/>
        <v>0</v>
      </c>
      <c r="N318" s="32">
        <v>142.5</v>
      </c>
      <c r="O318" s="32"/>
      <c r="P318" s="25">
        <f t="shared" si="44"/>
        <v>0</v>
      </c>
      <c r="Q318" s="32">
        <v>142.5</v>
      </c>
      <c r="R318" s="32"/>
      <c r="S318" s="25">
        <f t="shared" si="45"/>
        <v>0</v>
      </c>
      <c r="T318" s="32">
        <v>142.5</v>
      </c>
      <c r="U318" s="32"/>
      <c r="V318" s="25">
        <f t="shared" si="49"/>
        <v>0</v>
      </c>
      <c r="W318" s="32">
        <v>142.5</v>
      </c>
      <c r="X318" s="32">
        <f t="shared" si="46"/>
        <v>0</v>
      </c>
      <c r="Y318" s="25">
        <f t="shared" si="47"/>
        <v>0</v>
      </c>
      <c r="AD318" s="26"/>
    </row>
    <row r="319" spans="1:30" x14ac:dyDescent="0.2">
      <c r="A319" s="24">
        <f t="shared" si="48"/>
        <v>11.958260743101398</v>
      </c>
      <c r="B319" s="32">
        <v>143</v>
      </c>
      <c r="C319" s="32"/>
      <c r="D319" s="25">
        <f t="shared" si="40"/>
        <v>0</v>
      </c>
      <c r="E319" s="32">
        <v>143</v>
      </c>
      <c r="F319" s="8"/>
      <c r="G319" s="25">
        <f t="shared" si="41"/>
        <v>0</v>
      </c>
      <c r="H319" s="32">
        <v>143</v>
      </c>
      <c r="I319" s="32"/>
      <c r="J319" s="25">
        <f t="shared" si="42"/>
        <v>0</v>
      </c>
      <c r="K319" s="32">
        <v>143</v>
      </c>
      <c r="L319" s="31"/>
      <c r="M319" s="25">
        <f t="shared" si="43"/>
        <v>0</v>
      </c>
      <c r="N319" s="32">
        <v>143</v>
      </c>
      <c r="O319" s="32"/>
      <c r="P319" s="25">
        <f t="shared" si="44"/>
        <v>0</v>
      </c>
      <c r="Q319" s="32">
        <v>143</v>
      </c>
      <c r="R319" s="32"/>
      <c r="S319" s="25">
        <f t="shared" si="45"/>
        <v>0</v>
      </c>
      <c r="T319" s="32">
        <v>143</v>
      </c>
      <c r="U319" s="32"/>
      <c r="V319" s="25">
        <f t="shared" si="49"/>
        <v>0</v>
      </c>
      <c r="W319" s="32">
        <v>143</v>
      </c>
      <c r="X319" s="32">
        <f t="shared" si="46"/>
        <v>0</v>
      </c>
      <c r="Y319" s="25">
        <f t="shared" si="47"/>
        <v>0</v>
      </c>
      <c r="AD319" s="26"/>
    </row>
    <row r="320" spans="1:30" x14ac:dyDescent="0.2">
      <c r="A320" s="24">
        <f t="shared" si="48"/>
        <v>11.979148550710939</v>
      </c>
      <c r="B320" s="32">
        <v>143.5</v>
      </c>
      <c r="C320" s="32"/>
      <c r="D320" s="25">
        <f t="shared" si="40"/>
        <v>0</v>
      </c>
      <c r="E320" s="32">
        <v>143.5</v>
      </c>
      <c r="F320" s="8"/>
      <c r="G320" s="25">
        <f t="shared" si="41"/>
        <v>0</v>
      </c>
      <c r="H320" s="32">
        <v>143.5</v>
      </c>
      <c r="I320" s="32"/>
      <c r="J320" s="25">
        <f t="shared" si="42"/>
        <v>0</v>
      </c>
      <c r="K320" s="32">
        <v>143.5</v>
      </c>
      <c r="L320" s="31"/>
      <c r="M320" s="25">
        <f t="shared" si="43"/>
        <v>0</v>
      </c>
      <c r="N320" s="32">
        <v>143.5</v>
      </c>
      <c r="O320" s="32"/>
      <c r="P320" s="25">
        <f t="shared" si="44"/>
        <v>0</v>
      </c>
      <c r="Q320" s="32">
        <v>143.5</v>
      </c>
      <c r="R320" s="32"/>
      <c r="S320" s="25">
        <f t="shared" si="45"/>
        <v>0</v>
      </c>
      <c r="T320" s="32">
        <v>143.5</v>
      </c>
      <c r="U320" s="32"/>
      <c r="V320" s="25">
        <f t="shared" si="49"/>
        <v>0</v>
      </c>
      <c r="W320" s="32">
        <v>143.5</v>
      </c>
      <c r="X320" s="32">
        <f t="shared" si="46"/>
        <v>0</v>
      </c>
      <c r="Y320" s="25">
        <f t="shared" si="47"/>
        <v>0</v>
      </c>
      <c r="AD320" s="26"/>
    </row>
    <row r="321" spans="1:30" x14ac:dyDescent="0.2">
      <c r="A321" s="24">
        <f t="shared" si="48"/>
        <v>12</v>
      </c>
      <c r="B321" s="32">
        <v>144</v>
      </c>
      <c r="C321" s="32"/>
      <c r="D321" s="25">
        <f t="shared" si="40"/>
        <v>0</v>
      </c>
      <c r="E321" s="32">
        <v>144</v>
      </c>
      <c r="F321" s="8"/>
      <c r="G321" s="25">
        <f t="shared" si="41"/>
        <v>0</v>
      </c>
      <c r="H321" s="32">
        <v>144</v>
      </c>
      <c r="I321" s="32"/>
      <c r="J321" s="25">
        <f t="shared" si="42"/>
        <v>0</v>
      </c>
      <c r="K321" s="32">
        <v>144</v>
      </c>
      <c r="L321" s="31"/>
      <c r="M321" s="25">
        <f t="shared" si="43"/>
        <v>0</v>
      </c>
      <c r="N321" s="32">
        <v>144</v>
      </c>
      <c r="O321" s="32"/>
      <c r="P321" s="25">
        <f t="shared" si="44"/>
        <v>0</v>
      </c>
      <c r="Q321" s="32">
        <v>144</v>
      </c>
      <c r="R321" s="32"/>
      <c r="S321" s="25">
        <f t="shared" si="45"/>
        <v>0</v>
      </c>
      <c r="T321" s="32">
        <v>144</v>
      </c>
      <c r="U321" s="32"/>
      <c r="V321" s="25">
        <f t="shared" si="49"/>
        <v>0</v>
      </c>
      <c r="W321" s="32">
        <v>144</v>
      </c>
      <c r="X321" s="32">
        <f t="shared" si="46"/>
        <v>0</v>
      </c>
      <c r="Y321" s="25">
        <f t="shared" si="47"/>
        <v>0</v>
      </c>
      <c r="AD321" s="26"/>
    </row>
    <row r="322" spans="1:30" x14ac:dyDescent="0.2">
      <c r="A322" s="24">
        <f t="shared" si="48"/>
        <v>12.020815280171307</v>
      </c>
      <c r="B322" s="32">
        <v>144.5</v>
      </c>
      <c r="C322" s="32"/>
      <c r="D322" s="25">
        <f t="shared" si="40"/>
        <v>0</v>
      </c>
      <c r="E322" s="32">
        <v>144.5</v>
      </c>
      <c r="F322" s="8"/>
      <c r="G322" s="25">
        <f t="shared" si="41"/>
        <v>0</v>
      </c>
      <c r="H322" s="32">
        <v>144.5</v>
      </c>
      <c r="I322" s="32"/>
      <c r="J322" s="25">
        <f t="shared" si="42"/>
        <v>0</v>
      </c>
      <c r="K322" s="32">
        <v>144.5</v>
      </c>
      <c r="L322" s="31"/>
      <c r="M322" s="25">
        <f t="shared" si="43"/>
        <v>0</v>
      </c>
      <c r="N322" s="32">
        <v>144.5</v>
      </c>
      <c r="O322" s="32"/>
      <c r="P322" s="25">
        <f t="shared" si="44"/>
        <v>0</v>
      </c>
      <c r="Q322" s="32">
        <v>144.5</v>
      </c>
      <c r="R322" s="32"/>
      <c r="S322" s="25">
        <f t="shared" si="45"/>
        <v>0</v>
      </c>
      <c r="T322" s="32">
        <v>144.5</v>
      </c>
      <c r="U322" s="32"/>
      <c r="V322" s="25">
        <f t="shared" si="49"/>
        <v>0</v>
      </c>
      <c r="W322" s="32">
        <v>144.5</v>
      </c>
      <c r="X322" s="32">
        <f t="shared" si="46"/>
        <v>0</v>
      </c>
      <c r="Y322" s="25">
        <f t="shared" si="47"/>
        <v>0</v>
      </c>
      <c r="AD322" s="26"/>
    </row>
    <row r="323" spans="1:30" x14ac:dyDescent="0.2">
      <c r="A323" s="24">
        <f t="shared" si="48"/>
        <v>12.041594578792296</v>
      </c>
      <c r="B323" s="32">
        <v>145</v>
      </c>
      <c r="C323" s="32"/>
      <c r="D323" s="25">
        <f t="shared" si="40"/>
        <v>0</v>
      </c>
      <c r="E323" s="32">
        <v>145</v>
      </c>
      <c r="F323" s="8"/>
      <c r="G323" s="25">
        <f t="shared" si="41"/>
        <v>0</v>
      </c>
      <c r="H323" s="32">
        <v>145</v>
      </c>
      <c r="I323" s="32"/>
      <c r="J323" s="25">
        <f t="shared" si="42"/>
        <v>0</v>
      </c>
      <c r="K323" s="32">
        <v>145</v>
      </c>
      <c r="L323" s="31"/>
      <c r="M323" s="25">
        <f t="shared" si="43"/>
        <v>0</v>
      </c>
      <c r="N323" s="32">
        <v>145</v>
      </c>
      <c r="O323" s="32"/>
      <c r="P323" s="25">
        <f t="shared" si="44"/>
        <v>0</v>
      </c>
      <c r="Q323" s="32">
        <v>145</v>
      </c>
      <c r="R323" s="32"/>
      <c r="S323" s="25">
        <f t="shared" si="45"/>
        <v>0</v>
      </c>
      <c r="T323" s="32">
        <v>145</v>
      </c>
      <c r="U323" s="32"/>
      <c r="V323" s="25">
        <f t="shared" si="49"/>
        <v>0</v>
      </c>
      <c r="W323" s="32">
        <v>145</v>
      </c>
      <c r="X323" s="32">
        <f t="shared" si="46"/>
        <v>0</v>
      </c>
      <c r="Y323" s="25">
        <f t="shared" si="47"/>
        <v>0</v>
      </c>
      <c r="AD323" s="26"/>
    </row>
    <row r="324" spans="1:30" x14ac:dyDescent="0.2">
      <c r="A324" s="24">
        <f t="shared" si="48"/>
        <v>12.062338081814818</v>
      </c>
      <c r="B324" s="32">
        <v>145.5</v>
      </c>
      <c r="C324" s="32"/>
      <c r="D324" s="25">
        <f t="shared" si="40"/>
        <v>0</v>
      </c>
      <c r="E324" s="32">
        <v>145.5</v>
      </c>
      <c r="F324" s="8"/>
      <c r="G324" s="25">
        <f t="shared" si="41"/>
        <v>0</v>
      </c>
      <c r="H324" s="32">
        <v>145.5</v>
      </c>
      <c r="I324" s="32"/>
      <c r="J324" s="25">
        <f t="shared" si="42"/>
        <v>0</v>
      </c>
      <c r="K324" s="32">
        <v>145.5</v>
      </c>
      <c r="L324" s="31"/>
      <c r="M324" s="25">
        <f t="shared" si="43"/>
        <v>0</v>
      </c>
      <c r="N324" s="32">
        <v>145.5</v>
      </c>
      <c r="O324" s="32"/>
      <c r="P324" s="25">
        <f t="shared" si="44"/>
        <v>0</v>
      </c>
      <c r="Q324" s="32">
        <v>145.5</v>
      </c>
      <c r="R324" s="32"/>
      <c r="S324" s="25">
        <f t="shared" si="45"/>
        <v>0</v>
      </c>
      <c r="T324" s="32">
        <v>145.5</v>
      </c>
      <c r="U324" s="32"/>
      <c r="V324" s="25">
        <f t="shared" si="49"/>
        <v>0</v>
      </c>
      <c r="W324" s="32">
        <v>145.5</v>
      </c>
      <c r="X324" s="32">
        <f t="shared" si="46"/>
        <v>0</v>
      </c>
      <c r="Y324" s="25">
        <f t="shared" si="47"/>
        <v>0</v>
      </c>
      <c r="AD324" s="26"/>
    </row>
    <row r="325" spans="1:30" x14ac:dyDescent="0.2">
      <c r="A325" s="24">
        <f t="shared" si="48"/>
        <v>12.083045973594572</v>
      </c>
      <c r="B325" s="32">
        <v>146</v>
      </c>
      <c r="C325" s="32"/>
      <c r="D325" s="25">
        <f t="shared" ref="D325:D388" si="50">C325</f>
        <v>0</v>
      </c>
      <c r="E325" s="32">
        <v>146</v>
      </c>
      <c r="F325" s="8"/>
      <c r="G325" s="25">
        <f t="shared" ref="G325:G388" si="51">F325+$AB$2</f>
        <v>0</v>
      </c>
      <c r="H325" s="32">
        <v>146</v>
      </c>
      <c r="I325" s="32"/>
      <c r="J325" s="25">
        <f t="shared" ref="J325:J388" si="52">I325+$AB$3</f>
        <v>0</v>
      </c>
      <c r="K325" s="32">
        <v>146</v>
      </c>
      <c r="L325" s="31"/>
      <c r="M325" s="25">
        <f t="shared" ref="M325:M388" si="53">L325+$AB$4</f>
        <v>0</v>
      </c>
      <c r="N325" s="32">
        <v>146</v>
      </c>
      <c r="O325" s="32"/>
      <c r="P325" s="25">
        <f t="shared" ref="P325:P388" si="54">O325+$AB$5</f>
        <v>0</v>
      </c>
      <c r="Q325" s="32">
        <v>146</v>
      </c>
      <c r="R325" s="32"/>
      <c r="S325" s="25">
        <f t="shared" ref="S325:S388" si="55">R325+$AB$6</f>
        <v>0</v>
      </c>
      <c r="T325" s="32">
        <v>146</v>
      </c>
      <c r="U325" s="32"/>
      <c r="V325" s="25">
        <f t="shared" si="49"/>
        <v>0</v>
      </c>
      <c r="W325" s="32">
        <v>146</v>
      </c>
      <c r="X325" s="32">
        <f t="shared" ref="X325:X388" si="56">U325</f>
        <v>0</v>
      </c>
      <c r="Y325" s="25">
        <f t="shared" ref="Y325:Y388" si="57">X325+$AB$8</f>
        <v>0</v>
      </c>
      <c r="AD325" s="26"/>
    </row>
    <row r="326" spans="1:30" x14ac:dyDescent="0.2">
      <c r="A326" s="24">
        <f t="shared" ref="A326:A389" si="58">SQRT(B326)</f>
        <v>12.103718436910205</v>
      </c>
      <c r="B326" s="32">
        <v>146.5</v>
      </c>
      <c r="C326" s="32"/>
      <c r="D326" s="25">
        <f t="shared" si="50"/>
        <v>0</v>
      </c>
      <c r="E326" s="32">
        <v>146.5</v>
      </c>
      <c r="F326" s="8"/>
      <c r="G326" s="25">
        <f t="shared" si="51"/>
        <v>0</v>
      </c>
      <c r="H326" s="32">
        <v>146.5</v>
      </c>
      <c r="I326" s="32"/>
      <c r="J326" s="25">
        <f t="shared" si="52"/>
        <v>0</v>
      </c>
      <c r="K326" s="32">
        <v>146.5</v>
      </c>
      <c r="L326" s="31"/>
      <c r="M326" s="25">
        <f t="shared" si="53"/>
        <v>0</v>
      </c>
      <c r="N326" s="32">
        <v>146.5</v>
      </c>
      <c r="O326" s="32"/>
      <c r="P326" s="25">
        <f t="shared" si="54"/>
        <v>0</v>
      </c>
      <c r="Q326" s="32">
        <v>146.5</v>
      </c>
      <c r="R326" s="32"/>
      <c r="S326" s="25">
        <f t="shared" si="55"/>
        <v>0</v>
      </c>
      <c r="T326" s="32">
        <v>146.5</v>
      </c>
      <c r="U326" s="32"/>
      <c r="V326" s="25">
        <f t="shared" ref="V326:V389" si="59">Y326</f>
        <v>0</v>
      </c>
      <c r="W326" s="32">
        <v>146.5</v>
      </c>
      <c r="X326" s="32">
        <f t="shared" si="56"/>
        <v>0</v>
      </c>
      <c r="Y326" s="25">
        <f t="shared" si="57"/>
        <v>0</v>
      </c>
      <c r="AD326" s="26"/>
    </row>
    <row r="327" spans="1:30" x14ac:dyDescent="0.2">
      <c r="A327" s="24">
        <f t="shared" si="58"/>
        <v>12.124355652982141</v>
      </c>
      <c r="B327" s="32">
        <v>147</v>
      </c>
      <c r="C327" s="32"/>
      <c r="D327" s="25">
        <f t="shared" si="50"/>
        <v>0</v>
      </c>
      <c r="E327" s="32">
        <v>147</v>
      </c>
      <c r="F327" s="8"/>
      <c r="G327" s="25">
        <f t="shared" si="51"/>
        <v>0</v>
      </c>
      <c r="H327" s="32">
        <v>147</v>
      </c>
      <c r="I327" s="32"/>
      <c r="J327" s="25">
        <f t="shared" si="52"/>
        <v>0</v>
      </c>
      <c r="K327" s="32">
        <v>147</v>
      </c>
      <c r="L327" s="31"/>
      <c r="M327" s="25">
        <f t="shared" si="53"/>
        <v>0</v>
      </c>
      <c r="N327" s="32">
        <v>147</v>
      </c>
      <c r="O327" s="32"/>
      <c r="P327" s="25">
        <f t="shared" si="54"/>
        <v>0</v>
      </c>
      <c r="Q327" s="32">
        <v>147</v>
      </c>
      <c r="R327" s="32"/>
      <c r="S327" s="25">
        <f t="shared" si="55"/>
        <v>0</v>
      </c>
      <c r="T327" s="32">
        <v>147</v>
      </c>
      <c r="U327" s="32"/>
      <c r="V327" s="25">
        <f t="shared" si="59"/>
        <v>0</v>
      </c>
      <c r="W327" s="32">
        <v>147</v>
      </c>
      <c r="X327" s="32">
        <f t="shared" si="56"/>
        <v>0</v>
      </c>
      <c r="Y327" s="25">
        <f t="shared" si="57"/>
        <v>0</v>
      </c>
      <c r="AD327" s="26"/>
    </row>
    <row r="328" spans="1:30" x14ac:dyDescent="0.2">
      <c r="A328" s="24">
        <f t="shared" si="58"/>
        <v>12.144957801491119</v>
      </c>
      <c r="B328" s="32">
        <v>147.5</v>
      </c>
      <c r="C328" s="32"/>
      <c r="D328" s="25">
        <f t="shared" si="50"/>
        <v>0</v>
      </c>
      <c r="E328" s="32">
        <v>147.5</v>
      </c>
      <c r="F328" s="8"/>
      <c r="G328" s="25">
        <f t="shared" si="51"/>
        <v>0</v>
      </c>
      <c r="H328" s="32">
        <v>147.5</v>
      </c>
      <c r="I328" s="32"/>
      <c r="J328" s="25">
        <f t="shared" si="52"/>
        <v>0</v>
      </c>
      <c r="K328" s="32">
        <v>147.5</v>
      </c>
      <c r="L328" s="31"/>
      <c r="M328" s="25">
        <f t="shared" si="53"/>
        <v>0</v>
      </c>
      <c r="N328" s="32">
        <v>147.5</v>
      </c>
      <c r="O328" s="32"/>
      <c r="P328" s="25">
        <f t="shared" si="54"/>
        <v>0</v>
      </c>
      <c r="Q328" s="32">
        <v>147.5</v>
      </c>
      <c r="R328" s="32"/>
      <c r="S328" s="25">
        <f t="shared" si="55"/>
        <v>0</v>
      </c>
      <c r="T328" s="32">
        <v>147.5</v>
      </c>
      <c r="U328" s="32"/>
      <c r="V328" s="25">
        <f t="shared" si="59"/>
        <v>0</v>
      </c>
      <c r="W328" s="32">
        <v>147.5</v>
      </c>
      <c r="X328" s="32">
        <f t="shared" si="56"/>
        <v>0</v>
      </c>
      <c r="Y328" s="25">
        <f t="shared" si="57"/>
        <v>0</v>
      </c>
      <c r="AD328" s="26"/>
    </row>
    <row r="329" spans="1:30" x14ac:dyDescent="0.2">
      <c r="A329" s="24">
        <f t="shared" si="58"/>
        <v>12.165525060596439</v>
      </c>
      <c r="B329" s="32">
        <v>148</v>
      </c>
      <c r="C329" s="32"/>
      <c r="D329" s="25">
        <f t="shared" si="50"/>
        <v>0</v>
      </c>
      <c r="E329" s="32">
        <v>148</v>
      </c>
      <c r="F329" s="8"/>
      <c r="G329" s="25">
        <f t="shared" si="51"/>
        <v>0</v>
      </c>
      <c r="H329" s="32">
        <v>148</v>
      </c>
      <c r="I329" s="32"/>
      <c r="J329" s="25">
        <f t="shared" si="52"/>
        <v>0</v>
      </c>
      <c r="K329" s="32">
        <v>148</v>
      </c>
      <c r="L329" s="31"/>
      <c r="M329" s="25">
        <f t="shared" si="53"/>
        <v>0</v>
      </c>
      <c r="N329" s="32">
        <v>148</v>
      </c>
      <c r="O329" s="32"/>
      <c r="P329" s="25">
        <f t="shared" si="54"/>
        <v>0</v>
      </c>
      <c r="Q329" s="32">
        <v>148</v>
      </c>
      <c r="R329" s="32"/>
      <c r="S329" s="25">
        <f t="shared" si="55"/>
        <v>0</v>
      </c>
      <c r="T329" s="32">
        <v>148</v>
      </c>
      <c r="U329" s="32"/>
      <c r="V329" s="25">
        <f t="shared" si="59"/>
        <v>0</v>
      </c>
      <c r="W329" s="32">
        <v>148</v>
      </c>
      <c r="X329" s="32">
        <f t="shared" si="56"/>
        <v>0</v>
      </c>
      <c r="Y329" s="25">
        <f t="shared" si="57"/>
        <v>0</v>
      </c>
      <c r="AD329" s="26"/>
    </row>
    <row r="330" spans="1:30" x14ac:dyDescent="0.2">
      <c r="A330" s="24">
        <f t="shared" si="58"/>
        <v>12.186057606953941</v>
      </c>
      <c r="B330" s="32">
        <v>148.5</v>
      </c>
      <c r="C330" s="32"/>
      <c r="D330" s="25">
        <f t="shared" si="50"/>
        <v>0</v>
      </c>
      <c r="E330" s="32">
        <v>148.5</v>
      </c>
      <c r="F330" s="8"/>
      <c r="G330" s="25">
        <f t="shared" si="51"/>
        <v>0</v>
      </c>
      <c r="H330" s="32">
        <v>148.5</v>
      </c>
      <c r="I330" s="32"/>
      <c r="J330" s="25">
        <f t="shared" si="52"/>
        <v>0</v>
      </c>
      <c r="K330" s="32">
        <v>148.5</v>
      </c>
      <c r="L330" s="31"/>
      <c r="M330" s="25">
        <f t="shared" si="53"/>
        <v>0</v>
      </c>
      <c r="N330" s="32">
        <v>148.5</v>
      </c>
      <c r="O330" s="32"/>
      <c r="P330" s="25">
        <f t="shared" si="54"/>
        <v>0</v>
      </c>
      <c r="Q330" s="32">
        <v>148.5</v>
      </c>
      <c r="R330" s="32"/>
      <c r="S330" s="25">
        <f t="shared" si="55"/>
        <v>0</v>
      </c>
      <c r="T330" s="32">
        <v>148.5</v>
      </c>
      <c r="U330" s="32"/>
      <c r="V330" s="25">
        <f t="shared" si="59"/>
        <v>0</v>
      </c>
      <c r="W330" s="32">
        <v>148.5</v>
      </c>
      <c r="X330" s="32">
        <f t="shared" si="56"/>
        <v>0</v>
      </c>
      <c r="Y330" s="25">
        <f t="shared" si="57"/>
        <v>0</v>
      </c>
      <c r="AD330" s="26"/>
    </row>
    <row r="331" spans="1:30" x14ac:dyDescent="0.2">
      <c r="A331" s="24">
        <f t="shared" si="58"/>
        <v>12.206555615733702</v>
      </c>
      <c r="B331" s="32">
        <v>149</v>
      </c>
      <c r="C331" s="32"/>
      <c r="D331" s="25">
        <f t="shared" si="50"/>
        <v>0</v>
      </c>
      <c r="E331" s="32">
        <v>149</v>
      </c>
      <c r="F331" s="8"/>
      <c r="G331" s="25">
        <f t="shared" si="51"/>
        <v>0</v>
      </c>
      <c r="H331" s="32">
        <v>149</v>
      </c>
      <c r="I331" s="32"/>
      <c r="J331" s="25">
        <f t="shared" si="52"/>
        <v>0</v>
      </c>
      <c r="K331" s="32">
        <v>149</v>
      </c>
      <c r="L331" s="31"/>
      <c r="M331" s="25">
        <f t="shared" si="53"/>
        <v>0</v>
      </c>
      <c r="N331" s="32">
        <v>149</v>
      </c>
      <c r="O331" s="32"/>
      <c r="P331" s="25">
        <f t="shared" si="54"/>
        <v>0</v>
      </c>
      <c r="Q331" s="32">
        <v>149</v>
      </c>
      <c r="R331" s="32"/>
      <c r="S331" s="25">
        <f t="shared" si="55"/>
        <v>0</v>
      </c>
      <c r="T331" s="32">
        <v>149</v>
      </c>
      <c r="U331" s="32"/>
      <c r="V331" s="25">
        <f t="shared" si="59"/>
        <v>0</v>
      </c>
      <c r="W331" s="32">
        <v>149</v>
      </c>
      <c r="X331" s="32">
        <f t="shared" si="56"/>
        <v>0</v>
      </c>
      <c r="Y331" s="25">
        <f t="shared" si="57"/>
        <v>0</v>
      </c>
      <c r="AD331" s="26"/>
    </row>
    <row r="332" spans="1:30" x14ac:dyDescent="0.2">
      <c r="A332" s="24">
        <f t="shared" si="58"/>
        <v>12.227019260637483</v>
      </c>
      <c r="B332" s="32">
        <v>149.5</v>
      </c>
      <c r="C332" s="32"/>
      <c r="D332" s="25">
        <f t="shared" si="50"/>
        <v>0</v>
      </c>
      <c r="E332" s="32">
        <v>149.5</v>
      </c>
      <c r="F332" s="8"/>
      <c r="G332" s="25">
        <f t="shared" si="51"/>
        <v>0</v>
      </c>
      <c r="H332" s="32">
        <v>149.5</v>
      </c>
      <c r="I332" s="32"/>
      <c r="J332" s="25">
        <f t="shared" si="52"/>
        <v>0</v>
      </c>
      <c r="K332" s="32">
        <v>149.5</v>
      </c>
      <c r="L332" s="31"/>
      <c r="M332" s="25">
        <f t="shared" si="53"/>
        <v>0</v>
      </c>
      <c r="N332" s="32">
        <v>149.5</v>
      </c>
      <c r="O332" s="32"/>
      <c r="P332" s="25">
        <f t="shared" si="54"/>
        <v>0</v>
      </c>
      <c r="Q332" s="32">
        <v>149.5</v>
      </c>
      <c r="R332" s="32"/>
      <c r="S332" s="25">
        <f t="shared" si="55"/>
        <v>0</v>
      </c>
      <c r="T332" s="32">
        <v>149.5</v>
      </c>
      <c r="U332" s="32"/>
      <c r="V332" s="25">
        <f t="shared" si="59"/>
        <v>0</v>
      </c>
      <c r="W332" s="32">
        <v>149.5</v>
      </c>
      <c r="X332" s="32">
        <f t="shared" si="56"/>
        <v>0</v>
      </c>
      <c r="Y332" s="25">
        <f t="shared" si="57"/>
        <v>0</v>
      </c>
      <c r="AD332" s="26"/>
    </row>
    <row r="333" spans="1:30" x14ac:dyDescent="0.2">
      <c r="A333" s="24">
        <f t="shared" si="58"/>
        <v>12.24744871391589</v>
      </c>
      <c r="B333" s="32">
        <v>150</v>
      </c>
      <c r="C333" s="32"/>
      <c r="D333" s="25">
        <f t="shared" si="50"/>
        <v>0</v>
      </c>
      <c r="E333" s="32">
        <v>150</v>
      </c>
      <c r="F333" s="8"/>
      <c r="G333" s="25">
        <f t="shared" si="51"/>
        <v>0</v>
      </c>
      <c r="H333" s="32">
        <v>150</v>
      </c>
      <c r="I333" s="32"/>
      <c r="J333" s="25">
        <f t="shared" si="52"/>
        <v>0</v>
      </c>
      <c r="K333" s="32">
        <v>150</v>
      </c>
      <c r="L333" s="31"/>
      <c r="M333" s="25">
        <f t="shared" si="53"/>
        <v>0</v>
      </c>
      <c r="N333" s="32">
        <v>150</v>
      </c>
      <c r="O333" s="32"/>
      <c r="P333" s="25">
        <f t="shared" si="54"/>
        <v>0</v>
      </c>
      <c r="Q333" s="32">
        <v>150</v>
      </c>
      <c r="R333" s="32"/>
      <c r="S333" s="25">
        <f t="shared" si="55"/>
        <v>0</v>
      </c>
      <c r="T333" s="32">
        <v>150</v>
      </c>
      <c r="U333" s="32"/>
      <c r="V333" s="25">
        <f t="shared" si="59"/>
        <v>0</v>
      </c>
      <c r="W333" s="32">
        <v>150</v>
      </c>
      <c r="X333" s="32">
        <f t="shared" si="56"/>
        <v>0</v>
      </c>
      <c r="Y333" s="25">
        <f t="shared" si="57"/>
        <v>0</v>
      </c>
      <c r="AD333" s="26"/>
    </row>
    <row r="334" spans="1:30" x14ac:dyDescent="0.2">
      <c r="A334" s="24">
        <f t="shared" si="58"/>
        <v>12.267844146385297</v>
      </c>
      <c r="B334" s="32">
        <v>150.5</v>
      </c>
      <c r="C334" s="32"/>
      <c r="D334" s="25">
        <f t="shared" si="50"/>
        <v>0</v>
      </c>
      <c r="E334" s="32">
        <v>150.5</v>
      </c>
      <c r="F334" s="8"/>
      <c r="G334" s="25">
        <f t="shared" si="51"/>
        <v>0</v>
      </c>
      <c r="H334" s="32">
        <v>150.5</v>
      </c>
      <c r="I334" s="32"/>
      <c r="J334" s="25">
        <f t="shared" si="52"/>
        <v>0</v>
      </c>
      <c r="K334" s="32">
        <v>150.5</v>
      </c>
      <c r="L334" s="31"/>
      <c r="M334" s="25">
        <f t="shared" si="53"/>
        <v>0</v>
      </c>
      <c r="N334" s="32">
        <v>150.5</v>
      </c>
      <c r="O334" s="32"/>
      <c r="P334" s="25">
        <f t="shared" si="54"/>
        <v>0</v>
      </c>
      <c r="Q334" s="32">
        <v>150.5</v>
      </c>
      <c r="R334" s="32"/>
      <c r="S334" s="25">
        <f t="shared" si="55"/>
        <v>0</v>
      </c>
      <c r="T334" s="32">
        <v>150.5</v>
      </c>
      <c r="U334" s="32"/>
      <c r="V334" s="25">
        <f t="shared" si="59"/>
        <v>0</v>
      </c>
      <c r="W334" s="32">
        <v>150.5</v>
      </c>
      <c r="X334" s="32">
        <f t="shared" si="56"/>
        <v>0</v>
      </c>
      <c r="Y334" s="25">
        <f t="shared" si="57"/>
        <v>0</v>
      </c>
      <c r="AD334" s="26"/>
    </row>
    <row r="335" spans="1:30" x14ac:dyDescent="0.2">
      <c r="A335" s="24">
        <f t="shared" si="58"/>
        <v>12.288205727444508</v>
      </c>
      <c r="B335" s="32">
        <v>151</v>
      </c>
      <c r="C335" s="32"/>
      <c r="D335" s="25">
        <f t="shared" si="50"/>
        <v>0</v>
      </c>
      <c r="E335" s="32">
        <v>151</v>
      </c>
      <c r="F335" s="8"/>
      <c r="G335" s="25">
        <f t="shared" si="51"/>
        <v>0</v>
      </c>
      <c r="H335" s="32">
        <v>151</v>
      </c>
      <c r="I335" s="32"/>
      <c r="J335" s="25">
        <f t="shared" si="52"/>
        <v>0</v>
      </c>
      <c r="K335" s="32">
        <v>151</v>
      </c>
      <c r="L335" s="31"/>
      <c r="M335" s="25">
        <f t="shared" si="53"/>
        <v>0</v>
      </c>
      <c r="N335" s="32">
        <v>151</v>
      </c>
      <c r="O335" s="32"/>
      <c r="P335" s="25">
        <f t="shared" si="54"/>
        <v>0</v>
      </c>
      <c r="Q335" s="32">
        <v>151</v>
      </c>
      <c r="R335" s="32"/>
      <c r="S335" s="25">
        <f t="shared" si="55"/>
        <v>0</v>
      </c>
      <c r="T335" s="32">
        <v>151</v>
      </c>
      <c r="U335" s="32"/>
      <c r="V335" s="25">
        <f t="shared" si="59"/>
        <v>0</v>
      </c>
      <c r="W335" s="32">
        <v>151</v>
      </c>
      <c r="X335" s="32">
        <f t="shared" si="56"/>
        <v>0</v>
      </c>
      <c r="Y335" s="25">
        <f t="shared" si="57"/>
        <v>0</v>
      </c>
      <c r="AD335" s="26"/>
    </row>
    <row r="336" spans="1:30" x14ac:dyDescent="0.2">
      <c r="A336" s="24">
        <f t="shared" si="58"/>
        <v>12.308533625091171</v>
      </c>
      <c r="B336" s="32">
        <v>151.5</v>
      </c>
      <c r="C336" s="32"/>
      <c r="D336" s="25">
        <f t="shared" si="50"/>
        <v>0</v>
      </c>
      <c r="E336" s="32">
        <v>151.5</v>
      </c>
      <c r="F336" s="8"/>
      <c r="G336" s="25">
        <f t="shared" si="51"/>
        <v>0</v>
      </c>
      <c r="H336" s="32">
        <v>151.5</v>
      </c>
      <c r="I336" s="32"/>
      <c r="J336" s="25">
        <f t="shared" si="52"/>
        <v>0</v>
      </c>
      <c r="K336" s="32">
        <v>151.5</v>
      </c>
      <c r="L336" s="31"/>
      <c r="M336" s="25">
        <f t="shared" si="53"/>
        <v>0</v>
      </c>
      <c r="N336" s="32">
        <v>151.5</v>
      </c>
      <c r="O336" s="32"/>
      <c r="P336" s="25">
        <f t="shared" si="54"/>
        <v>0</v>
      </c>
      <c r="Q336" s="32">
        <v>151.5</v>
      </c>
      <c r="R336" s="32"/>
      <c r="S336" s="25">
        <f t="shared" si="55"/>
        <v>0</v>
      </c>
      <c r="T336" s="32">
        <v>151.5</v>
      </c>
      <c r="U336" s="32"/>
      <c r="V336" s="25">
        <f t="shared" si="59"/>
        <v>0</v>
      </c>
      <c r="W336" s="32">
        <v>151.5</v>
      </c>
      <c r="X336" s="32">
        <f t="shared" si="56"/>
        <v>0</v>
      </c>
      <c r="Y336" s="25">
        <f t="shared" si="57"/>
        <v>0</v>
      </c>
      <c r="AD336" s="26"/>
    </row>
    <row r="337" spans="1:30" x14ac:dyDescent="0.2">
      <c r="A337" s="24">
        <f t="shared" si="58"/>
        <v>12.328828005937952</v>
      </c>
      <c r="B337" s="32">
        <v>152</v>
      </c>
      <c r="C337" s="32"/>
      <c r="D337" s="25">
        <f t="shared" si="50"/>
        <v>0</v>
      </c>
      <c r="E337" s="32">
        <v>152</v>
      </c>
      <c r="F337" s="8"/>
      <c r="G337" s="25">
        <f t="shared" si="51"/>
        <v>0</v>
      </c>
      <c r="H337" s="32">
        <v>152</v>
      </c>
      <c r="I337" s="32"/>
      <c r="J337" s="25">
        <f t="shared" si="52"/>
        <v>0</v>
      </c>
      <c r="K337" s="32">
        <v>152</v>
      </c>
      <c r="L337" s="31"/>
      <c r="M337" s="25">
        <f t="shared" si="53"/>
        <v>0</v>
      </c>
      <c r="N337" s="32">
        <v>152</v>
      </c>
      <c r="O337" s="32"/>
      <c r="P337" s="25">
        <f t="shared" si="54"/>
        <v>0</v>
      </c>
      <c r="Q337" s="32">
        <v>152</v>
      </c>
      <c r="R337" s="32"/>
      <c r="S337" s="25">
        <f t="shared" si="55"/>
        <v>0</v>
      </c>
      <c r="T337" s="32">
        <v>152</v>
      </c>
      <c r="U337" s="32"/>
      <c r="V337" s="25">
        <f t="shared" si="59"/>
        <v>0</v>
      </c>
      <c r="W337" s="32">
        <v>152</v>
      </c>
      <c r="X337" s="32">
        <f t="shared" si="56"/>
        <v>0</v>
      </c>
      <c r="Y337" s="25">
        <f t="shared" si="57"/>
        <v>0</v>
      </c>
      <c r="AD337" s="26"/>
    </row>
    <row r="338" spans="1:30" x14ac:dyDescent="0.2">
      <c r="A338" s="24">
        <f t="shared" si="58"/>
        <v>12.349089035228468</v>
      </c>
      <c r="B338" s="32">
        <v>152.5</v>
      </c>
      <c r="C338" s="32"/>
      <c r="D338" s="25">
        <f t="shared" si="50"/>
        <v>0</v>
      </c>
      <c r="E338" s="32">
        <v>152.5</v>
      </c>
      <c r="F338" s="8"/>
      <c r="G338" s="25">
        <f t="shared" si="51"/>
        <v>0</v>
      </c>
      <c r="H338" s="32">
        <v>152.5</v>
      </c>
      <c r="I338" s="32"/>
      <c r="J338" s="25">
        <f t="shared" si="52"/>
        <v>0</v>
      </c>
      <c r="K338" s="32">
        <v>152.5</v>
      </c>
      <c r="L338" s="31"/>
      <c r="M338" s="25">
        <f t="shared" si="53"/>
        <v>0</v>
      </c>
      <c r="N338" s="32">
        <v>152.5</v>
      </c>
      <c r="O338" s="32"/>
      <c r="P338" s="25">
        <f t="shared" si="54"/>
        <v>0</v>
      </c>
      <c r="Q338" s="32">
        <v>152.5</v>
      </c>
      <c r="R338" s="32"/>
      <c r="S338" s="25">
        <f t="shared" si="55"/>
        <v>0</v>
      </c>
      <c r="T338" s="32">
        <v>152.5</v>
      </c>
      <c r="U338" s="32"/>
      <c r="V338" s="25">
        <f t="shared" si="59"/>
        <v>0</v>
      </c>
      <c r="W338" s="32">
        <v>152.5</v>
      </c>
      <c r="X338" s="32">
        <f t="shared" si="56"/>
        <v>0</v>
      </c>
      <c r="Y338" s="25">
        <f t="shared" si="57"/>
        <v>0</v>
      </c>
      <c r="AD338" s="26"/>
    </row>
    <row r="339" spans="1:30" x14ac:dyDescent="0.2">
      <c r="A339" s="24">
        <f t="shared" si="58"/>
        <v>12.369316876852981</v>
      </c>
      <c r="B339" s="32">
        <v>153</v>
      </c>
      <c r="C339" s="32"/>
      <c r="D339" s="25">
        <f t="shared" si="50"/>
        <v>0</v>
      </c>
      <c r="E339" s="32">
        <v>153</v>
      </c>
      <c r="F339" s="8"/>
      <c r="G339" s="25">
        <f t="shared" si="51"/>
        <v>0</v>
      </c>
      <c r="H339" s="32">
        <v>153</v>
      </c>
      <c r="I339" s="32"/>
      <c r="J339" s="25">
        <f t="shared" si="52"/>
        <v>0</v>
      </c>
      <c r="K339" s="32">
        <v>153</v>
      </c>
      <c r="L339" s="31"/>
      <c r="M339" s="25">
        <f t="shared" si="53"/>
        <v>0</v>
      </c>
      <c r="N339" s="32">
        <v>153</v>
      </c>
      <c r="O339" s="32"/>
      <c r="P339" s="25">
        <f t="shared" si="54"/>
        <v>0</v>
      </c>
      <c r="Q339" s="32">
        <v>153</v>
      </c>
      <c r="R339" s="32"/>
      <c r="S339" s="25">
        <f t="shared" si="55"/>
        <v>0</v>
      </c>
      <c r="T339" s="32">
        <v>153</v>
      </c>
      <c r="U339" s="32"/>
      <c r="V339" s="25">
        <f t="shared" si="59"/>
        <v>0</v>
      </c>
      <c r="W339" s="32">
        <v>153</v>
      </c>
      <c r="X339" s="32">
        <f t="shared" si="56"/>
        <v>0</v>
      </c>
      <c r="Y339" s="25">
        <f t="shared" si="57"/>
        <v>0</v>
      </c>
      <c r="AD339" s="26"/>
    </row>
    <row r="340" spans="1:30" x14ac:dyDescent="0.2">
      <c r="A340" s="24">
        <f t="shared" si="58"/>
        <v>12.389511693363866</v>
      </c>
      <c r="B340" s="32">
        <v>153.5</v>
      </c>
      <c r="C340" s="32"/>
      <c r="D340" s="25">
        <f t="shared" si="50"/>
        <v>0</v>
      </c>
      <c r="E340" s="32">
        <v>153.5</v>
      </c>
      <c r="F340" s="8"/>
      <c r="G340" s="25">
        <f t="shared" si="51"/>
        <v>0</v>
      </c>
      <c r="H340" s="32">
        <v>153.5</v>
      </c>
      <c r="I340" s="32"/>
      <c r="J340" s="25">
        <f t="shared" si="52"/>
        <v>0</v>
      </c>
      <c r="K340" s="32">
        <v>153.5</v>
      </c>
      <c r="L340" s="31"/>
      <c r="M340" s="25">
        <f t="shared" si="53"/>
        <v>0</v>
      </c>
      <c r="N340" s="32">
        <v>153.5</v>
      </c>
      <c r="O340" s="32"/>
      <c r="P340" s="25">
        <f t="shared" si="54"/>
        <v>0</v>
      </c>
      <c r="Q340" s="32">
        <v>153.5</v>
      </c>
      <c r="R340" s="32"/>
      <c r="S340" s="25">
        <f t="shared" si="55"/>
        <v>0</v>
      </c>
      <c r="T340" s="32">
        <v>153.5</v>
      </c>
      <c r="U340" s="32"/>
      <c r="V340" s="25">
        <f t="shared" si="59"/>
        <v>0</v>
      </c>
      <c r="W340" s="32">
        <v>153.5</v>
      </c>
      <c r="X340" s="32">
        <f t="shared" si="56"/>
        <v>0</v>
      </c>
      <c r="Y340" s="25">
        <f t="shared" si="57"/>
        <v>0</v>
      </c>
      <c r="AD340" s="26"/>
    </row>
    <row r="341" spans="1:30" x14ac:dyDescent="0.2">
      <c r="A341" s="24">
        <f t="shared" si="58"/>
        <v>12.409673645990857</v>
      </c>
      <c r="B341" s="32">
        <v>154</v>
      </c>
      <c r="C341" s="32"/>
      <c r="D341" s="25">
        <f t="shared" si="50"/>
        <v>0</v>
      </c>
      <c r="E341" s="32">
        <v>154</v>
      </c>
      <c r="F341" s="8"/>
      <c r="G341" s="25">
        <f t="shared" si="51"/>
        <v>0</v>
      </c>
      <c r="H341" s="32">
        <v>154</v>
      </c>
      <c r="I341" s="32"/>
      <c r="J341" s="25">
        <f t="shared" si="52"/>
        <v>0</v>
      </c>
      <c r="K341" s="32">
        <v>154</v>
      </c>
      <c r="L341" s="31"/>
      <c r="M341" s="25">
        <f t="shared" si="53"/>
        <v>0</v>
      </c>
      <c r="N341" s="32">
        <v>154</v>
      </c>
      <c r="O341" s="32"/>
      <c r="P341" s="25">
        <f t="shared" si="54"/>
        <v>0</v>
      </c>
      <c r="Q341" s="32">
        <v>154</v>
      </c>
      <c r="R341" s="32"/>
      <c r="S341" s="25">
        <f t="shared" si="55"/>
        <v>0</v>
      </c>
      <c r="T341" s="32">
        <v>154</v>
      </c>
      <c r="U341" s="32"/>
      <c r="V341" s="25">
        <f t="shared" si="59"/>
        <v>0</v>
      </c>
      <c r="W341" s="32">
        <v>154</v>
      </c>
      <c r="X341" s="32">
        <f t="shared" si="56"/>
        <v>0</v>
      </c>
      <c r="Y341" s="25">
        <f t="shared" si="57"/>
        <v>0</v>
      </c>
      <c r="AD341" s="26"/>
    </row>
    <row r="342" spans="1:30" x14ac:dyDescent="0.2">
      <c r="A342" s="24">
        <f t="shared" si="58"/>
        <v>12.429802894656053</v>
      </c>
      <c r="B342" s="32">
        <v>154.5</v>
      </c>
      <c r="C342" s="32"/>
      <c r="D342" s="25">
        <f t="shared" si="50"/>
        <v>0</v>
      </c>
      <c r="E342" s="32">
        <v>154.5</v>
      </c>
      <c r="F342" s="8"/>
      <c r="G342" s="25">
        <f t="shared" si="51"/>
        <v>0</v>
      </c>
      <c r="H342" s="32">
        <v>154.5</v>
      </c>
      <c r="I342" s="32"/>
      <c r="J342" s="25">
        <f t="shared" si="52"/>
        <v>0</v>
      </c>
      <c r="K342" s="32">
        <v>154.5</v>
      </c>
      <c r="L342" s="31"/>
      <c r="M342" s="25">
        <f t="shared" si="53"/>
        <v>0</v>
      </c>
      <c r="N342" s="32">
        <v>154.5</v>
      </c>
      <c r="O342" s="32"/>
      <c r="P342" s="25">
        <f t="shared" si="54"/>
        <v>0</v>
      </c>
      <c r="Q342" s="32">
        <v>154.5</v>
      </c>
      <c r="R342" s="32"/>
      <c r="S342" s="25">
        <f t="shared" si="55"/>
        <v>0</v>
      </c>
      <c r="T342" s="32">
        <v>154.5</v>
      </c>
      <c r="U342" s="32"/>
      <c r="V342" s="25">
        <f t="shared" si="59"/>
        <v>0</v>
      </c>
      <c r="W342" s="32">
        <v>154.5</v>
      </c>
      <c r="X342" s="32">
        <f t="shared" si="56"/>
        <v>0</v>
      </c>
      <c r="Y342" s="25">
        <f t="shared" si="57"/>
        <v>0</v>
      </c>
      <c r="AD342" s="26"/>
    </row>
    <row r="343" spans="1:30" x14ac:dyDescent="0.2">
      <c r="A343" s="24">
        <f t="shared" si="58"/>
        <v>12.449899597988733</v>
      </c>
      <c r="B343" s="32">
        <v>155</v>
      </c>
      <c r="C343" s="32"/>
      <c r="D343" s="25">
        <f t="shared" si="50"/>
        <v>0</v>
      </c>
      <c r="E343" s="32">
        <v>155</v>
      </c>
      <c r="F343" s="8"/>
      <c r="G343" s="25">
        <f t="shared" si="51"/>
        <v>0</v>
      </c>
      <c r="H343" s="32">
        <v>155</v>
      </c>
      <c r="I343" s="32"/>
      <c r="J343" s="25">
        <f t="shared" si="52"/>
        <v>0</v>
      </c>
      <c r="K343" s="32">
        <v>155</v>
      </c>
      <c r="L343" s="31"/>
      <c r="M343" s="25">
        <f t="shared" si="53"/>
        <v>0</v>
      </c>
      <c r="N343" s="32">
        <v>155</v>
      </c>
      <c r="O343" s="32"/>
      <c r="P343" s="25">
        <f t="shared" si="54"/>
        <v>0</v>
      </c>
      <c r="Q343" s="32">
        <v>155</v>
      </c>
      <c r="R343" s="32"/>
      <c r="S343" s="25">
        <f t="shared" si="55"/>
        <v>0</v>
      </c>
      <c r="T343" s="32">
        <v>155</v>
      </c>
      <c r="U343" s="32"/>
      <c r="V343" s="25">
        <f t="shared" si="59"/>
        <v>0</v>
      </c>
      <c r="W343" s="32">
        <v>155</v>
      </c>
      <c r="X343" s="32">
        <f t="shared" si="56"/>
        <v>0</v>
      </c>
      <c r="Y343" s="25">
        <f t="shared" si="57"/>
        <v>0</v>
      </c>
      <c r="AD343" s="26"/>
    </row>
    <row r="344" spans="1:30" x14ac:dyDescent="0.2">
      <c r="A344" s="24">
        <f t="shared" si="58"/>
        <v>12.469963913339926</v>
      </c>
      <c r="B344" s="32">
        <v>155.5</v>
      </c>
      <c r="C344" s="32"/>
      <c r="D344" s="25">
        <f t="shared" si="50"/>
        <v>0</v>
      </c>
      <c r="E344" s="32">
        <v>155.5</v>
      </c>
      <c r="F344" s="8"/>
      <c r="G344" s="25">
        <f t="shared" si="51"/>
        <v>0</v>
      </c>
      <c r="H344" s="32">
        <v>155.5</v>
      </c>
      <c r="I344" s="32"/>
      <c r="J344" s="25">
        <f t="shared" si="52"/>
        <v>0</v>
      </c>
      <c r="K344" s="32">
        <v>155.5</v>
      </c>
      <c r="L344" s="31"/>
      <c r="M344" s="25">
        <f t="shared" si="53"/>
        <v>0</v>
      </c>
      <c r="N344" s="32">
        <v>155.5</v>
      </c>
      <c r="O344" s="32"/>
      <c r="P344" s="25">
        <f t="shared" si="54"/>
        <v>0</v>
      </c>
      <c r="Q344" s="32">
        <v>155.5</v>
      </c>
      <c r="R344" s="32"/>
      <c r="S344" s="25">
        <f t="shared" si="55"/>
        <v>0</v>
      </c>
      <c r="T344" s="32">
        <v>155.5</v>
      </c>
      <c r="U344" s="32"/>
      <c r="V344" s="25">
        <f t="shared" si="59"/>
        <v>0</v>
      </c>
      <c r="W344" s="32">
        <v>155.5</v>
      </c>
      <c r="X344" s="32">
        <f t="shared" si="56"/>
        <v>0</v>
      </c>
      <c r="Y344" s="25">
        <f t="shared" si="57"/>
        <v>0</v>
      </c>
      <c r="AD344" s="26"/>
    </row>
    <row r="345" spans="1:30" x14ac:dyDescent="0.2">
      <c r="A345" s="24">
        <f t="shared" si="58"/>
        <v>12.489995996796797</v>
      </c>
      <c r="B345" s="32">
        <v>156</v>
      </c>
      <c r="C345" s="32"/>
      <c r="D345" s="25">
        <f t="shared" si="50"/>
        <v>0</v>
      </c>
      <c r="E345" s="32">
        <v>156</v>
      </c>
      <c r="F345" s="8"/>
      <c r="G345" s="25">
        <f t="shared" si="51"/>
        <v>0</v>
      </c>
      <c r="H345" s="32">
        <v>156</v>
      </c>
      <c r="I345" s="32"/>
      <c r="J345" s="25">
        <f t="shared" si="52"/>
        <v>0</v>
      </c>
      <c r="K345" s="32">
        <v>156</v>
      </c>
      <c r="L345" s="31"/>
      <c r="M345" s="25">
        <f t="shared" si="53"/>
        <v>0</v>
      </c>
      <c r="N345" s="32">
        <v>156</v>
      </c>
      <c r="O345" s="32"/>
      <c r="P345" s="25">
        <f t="shared" si="54"/>
        <v>0</v>
      </c>
      <c r="Q345" s="32">
        <v>156</v>
      </c>
      <c r="R345" s="32"/>
      <c r="S345" s="25">
        <f t="shared" si="55"/>
        <v>0</v>
      </c>
      <c r="T345" s="32">
        <v>156</v>
      </c>
      <c r="U345" s="32"/>
      <c r="V345" s="25">
        <f t="shared" si="59"/>
        <v>0</v>
      </c>
      <c r="W345" s="32">
        <v>156</v>
      </c>
      <c r="X345" s="32">
        <f t="shared" si="56"/>
        <v>0</v>
      </c>
      <c r="Y345" s="25">
        <f t="shared" si="57"/>
        <v>0</v>
      </c>
      <c r="AD345" s="26"/>
    </row>
    <row r="346" spans="1:30" x14ac:dyDescent="0.2">
      <c r="A346" s="24">
        <f t="shared" si="58"/>
        <v>12.509996003196804</v>
      </c>
      <c r="B346" s="32">
        <v>156.5</v>
      </c>
      <c r="C346" s="32"/>
      <c r="D346" s="25">
        <f t="shared" si="50"/>
        <v>0</v>
      </c>
      <c r="E346" s="32">
        <v>156.5</v>
      </c>
      <c r="F346" s="8"/>
      <c r="G346" s="25">
        <f t="shared" si="51"/>
        <v>0</v>
      </c>
      <c r="H346" s="32">
        <v>156.5</v>
      </c>
      <c r="I346" s="32"/>
      <c r="J346" s="25">
        <f t="shared" si="52"/>
        <v>0</v>
      </c>
      <c r="K346" s="32">
        <v>156.5</v>
      </c>
      <c r="L346" s="31"/>
      <c r="M346" s="25">
        <f t="shared" si="53"/>
        <v>0</v>
      </c>
      <c r="N346" s="32">
        <v>156.5</v>
      </c>
      <c r="O346" s="32"/>
      <c r="P346" s="25">
        <f t="shared" si="54"/>
        <v>0</v>
      </c>
      <c r="Q346" s="32">
        <v>156.5</v>
      </c>
      <c r="R346" s="32"/>
      <c r="S346" s="25">
        <f t="shared" si="55"/>
        <v>0</v>
      </c>
      <c r="T346" s="32">
        <v>156.5</v>
      </c>
      <c r="U346" s="32"/>
      <c r="V346" s="25">
        <f t="shared" si="59"/>
        <v>0</v>
      </c>
      <c r="W346" s="32">
        <v>156.5</v>
      </c>
      <c r="X346" s="32">
        <f t="shared" si="56"/>
        <v>0</v>
      </c>
      <c r="Y346" s="25">
        <f t="shared" si="57"/>
        <v>0</v>
      </c>
      <c r="AD346" s="26"/>
    </row>
    <row r="347" spans="1:30" x14ac:dyDescent="0.2">
      <c r="A347" s="24">
        <f t="shared" si="58"/>
        <v>12.529964086141668</v>
      </c>
      <c r="B347" s="32">
        <v>157</v>
      </c>
      <c r="C347" s="32"/>
      <c r="D347" s="25">
        <f t="shared" si="50"/>
        <v>0</v>
      </c>
      <c r="E347" s="32">
        <v>157</v>
      </c>
      <c r="F347" s="8"/>
      <c r="G347" s="25">
        <f t="shared" si="51"/>
        <v>0</v>
      </c>
      <c r="H347" s="32">
        <v>157</v>
      </c>
      <c r="I347" s="32"/>
      <c r="J347" s="25">
        <f t="shared" si="52"/>
        <v>0</v>
      </c>
      <c r="K347" s="32">
        <v>157</v>
      </c>
      <c r="L347" s="31"/>
      <c r="M347" s="25">
        <f t="shared" si="53"/>
        <v>0</v>
      </c>
      <c r="N347" s="32">
        <v>157</v>
      </c>
      <c r="O347" s="32"/>
      <c r="P347" s="25">
        <f t="shared" si="54"/>
        <v>0</v>
      </c>
      <c r="Q347" s="32">
        <v>157</v>
      </c>
      <c r="R347" s="32"/>
      <c r="S347" s="25">
        <f t="shared" si="55"/>
        <v>0</v>
      </c>
      <c r="T347" s="32">
        <v>157</v>
      </c>
      <c r="U347" s="32"/>
      <c r="V347" s="25">
        <f t="shared" si="59"/>
        <v>0</v>
      </c>
      <c r="W347" s="32">
        <v>157</v>
      </c>
      <c r="X347" s="32">
        <f t="shared" si="56"/>
        <v>0</v>
      </c>
      <c r="Y347" s="25">
        <f t="shared" si="57"/>
        <v>0</v>
      </c>
      <c r="AD347" s="26"/>
    </row>
    <row r="348" spans="1:30" x14ac:dyDescent="0.2">
      <c r="A348" s="24">
        <f t="shared" si="58"/>
        <v>12.549900398011133</v>
      </c>
      <c r="B348" s="32">
        <v>157.5</v>
      </c>
      <c r="C348" s="32"/>
      <c r="D348" s="25">
        <f t="shared" si="50"/>
        <v>0</v>
      </c>
      <c r="E348" s="32">
        <v>157.5</v>
      </c>
      <c r="F348" s="8"/>
      <c r="G348" s="25">
        <f t="shared" si="51"/>
        <v>0</v>
      </c>
      <c r="H348" s="32">
        <v>157.5</v>
      </c>
      <c r="I348" s="32"/>
      <c r="J348" s="25">
        <f t="shared" si="52"/>
        <v>0</v>
      </c>
      <c r="K348" s="32">
        <v>157.5</v>
      </c>
      <c r="L348" s="31"/>
      <c r="M348" s="25">
        <f t="shared" si="53"/>
        <v>0</v>
      </c>
      <c r="N348" s="32">
        <v>157.5</v>
      </c>
      <c r="O348" s="32"/>
      <c r="P348" s="25">
        <f t="shared" si="54"/>
        <v>0</v>
      </c>
      <c r="Q348" s="32">
        <v>157.5</v>
      </c>
      <c r="R348" s="32"/>
      <c r="S348" s="25">
        <f t="shared" si="55"/>
        <v>0</v>
      </c>
      <c r="T348" s="32">
        <v>157.5</v>
      </c>
      <c r="U348" s="32"/>
      <c r="V348" s="25">
        <f t="shared" si="59"/>
        <v>0</v>
      </c>
      <c r="W348" s="32">
        <v>157.5</v>
      </c>
      <c r="X348" s="32">
        <f t="shared" si="56"/>
        <v>0</v>
      </c>
      <c r="Y348" s="25">
        <f t="shared" si="57"/>
        <v>0</v>
      </c>
      <c r="AD348" s="26"/>
    </row>
    <row r="349" spans="1:30" x14ac:dyDescent="0.2">
      <c r="A349" s="24">
        <f t="shared" si="58"/>
        <v>12.569805089976535</v>
      </c>
      <c r="B349" s="32">
        <v>158</v>
      </c>
      <c r="C349" s="32"/>
      <c r="D349" s="25">
        <f t="shared" si="50"/>
        <v>0</v>
      </c>
      <c r="E349" s="32">
        <v>158</v>
      </c>
      <c r="F349" s="8"/>
      <c r="G349" s="25">
        <f t="shared" si="51"/>
        <v>0</v>
      </c>
      <c r="H349" s="32">
        <v>158</v>
      </c>
      <c r="I349" s="32"/>
      <c r="J349" s="25">
        <f t="shared" si="52"/>
        <v>0</v>
      </c>
      <c r="K349" s="32">
        <v>158</v>
      </c>
      <c r="L349" s="31"/>
      <c r="M349" s="25">
        <f t="shared" si="53"/>
        <v>0</v>
      </c>
      <c r="N349" s="32">
        <v>158</v>
      </c>
      <c r="O349" s="32"/>
      <c r="P349" s="25">
        <f t="shared" si="54"/>
        <v>0</v>
      </c>
      <c r="Q349" s="32">
        <v>158</v>
      </c>
      <c r="R349" s="32"/>
      <c r="S349" s="25">
        <f t="shared" si="55"/>
        <v>0</v>
      </c>
      <c r="T349" s="32">
        <v>158</v>
      </c>
      <c r="U349" s="32"/>
      <c r="V349" s="25">
        <f t="shared" si="59"/>
        <v>0</v>
      </c>
      <c r="W349" s="32">
        <v>158</v>
      </c>
      <c r="X349" s="32">
        <f t="shared" si="56"/>
        <v>0</v>
      </c>
      <c r="Y349" s="25">
        <f t="shared" si="57"/>
        <v>0</v>
      </c>
      <c r="AD349" s="26"/>
    </row>
    <row r="350" spans="1:30" x14ac:dyDescent="0.2">
      <c r="A350" s="24">
        <f t="shared" si="58"/>
        <v>12.589678312014172</v>
      </c>
      <c r="B350" s="32">
        <v>158.5</v>
      </c>
      <c r="C350" s="32"/>
      <c r="D350" s="25">
        <f t="shared" si="50"/>
        <v>0</v>
      </c>
      <c r="E350" s="32">
        <v>158.5</v>
      </c>
      <c r="F350" s="8"/>
      <c r="G350" s="25">
        <f t="shared" si="51"/>
        <v>0</v>
      </c>
      <c r="H350" s="32">
        <v>158.5</v>
      </c>
      <c r="I350" s="32"/>
      <c r="J350" s="25">
        <f t="shared" si="52"/>
        <v>0</v>
      </c>
      <c r="K350" s="32">
        <v>158.5</v>
      </c>
      <c r="L350" s="31"/>
      <c r="M350" s="25">
        <f t="shared" si="53"/>
        <v>0</v>
      </c>
      <c r="N350" s="32">
        <v>158.5</v>
      </c>
      <c r="O350" s="32"/>
      <c r="P350" s="25">
        <f t="shared" si="54"/>
        <v>0</v>
      </c>
      <c r="Q350" s="32">
        <v>158.5</v>
      </c>
      <c r="R350" s="32"/>
      <c r="S350" s="25">
        <f t="shared" si="55"/>
        <v>0</v>
      </c>
      <c r="T350" s="32">
        <v>158.5</v>
      </c>
      <c r="U350" s="32"/>
      <c r="V350" s="25">
        <f t="shared" si="59"/>
        <v>0</v>
      </c>
      <c r="W350" s="32">
        <v>158.5</v>
      </c>
      <c r="X350" s="32">
        <f t="shared" si="56"/>
        <v>0</v>
      </c>
      <c r="Y350" s="25">
        <f t="shared" si="57"/>
        <v>0</v>
      </c>
      <c r="AD350" s="26"/>
    </row>
    <row r="351" spans="1:30" x14ac:dyDescent="0.2">
      <c r="A351" s="24">
        <f t="shared" si="58"/>
        <v>12.609520212918492</v>
      </c>
      <c r="B351" s="32">
        <v>159</v>
      </c>
      <c r="C351" s="32"/>
      <c r="D351" s="25">
        <f t="shared" si="50"/>
        <v>0</v>
      </c>
      <c r="E351" s="32">
        <v>159</v>
      </c>
      <c r="F351" s="8"/>
      <c r="G351" s="25">
        <f t="shared" si="51"/>
        <v>0</v>
      </c>
      <c r="H351" s="32">
        <v>159</v>
      </c>
      <c r="I351" s="32"/>
      <c r="J351" s="25">
        <f t="shared" si="52"/>
        <v>0</v>
      </c>
      <c r="K351" s="32">
        <v>159</v>
      </c>
      <c r="L351" s="31"/>
      <c r="M351" s="25">
        <f t="shared" si="53"/>
        <v>0</v>
      </c>
      <c r="N351" s="32">
        <v>159</v>
      </c>
      <c r="O351" s="32"/>
      <c r="P351" s="25">
        <f t="shared" si="54"/>
        <v>0</v>
      </c>
      <c r="Q351" s="32">
        <v>159</v>
      </c>
      <c r="R351" s="32"/>
      <c r="S351" s="25">
        <f t="shared" si="55"/>
        <v>0</v>
      </c>
      <c r="T351" s="32">
        <v>159</v>
      </c>
      <c r="U351" s="32"/>
      <c r="V351" s="25">
        <f t="shared" si="59"/>
        <v>0</v>
      </c>
      <c r="W351" s="32">
        <v>159</v>
      </c>
      <c r="X351" s="32">
        <f t="shared" si="56"/>
        <v>0</v>
      </c>
      <c r="Y351" s="25">
        <f t="shared" si="57"/>
        <v>0</v>
      </c>
      <c r="AD351" s="26"/>
    </row>
    <row r="352" spans="1:30" x14ac:dyDescent="0.2">
      <c r="A352" s="24">
        <f t="shared" si="58"/>
        <v>12.629330940315089</v>
      </c>
      <c r="B352" s="32">
        <v>159.5</v>
      </c>
      <c r="C352" s="32"/>
      <c r="D352" s="25">
        <f t="shared" si="50"/>
        <v>0</v>
      </c>
      <c r="E352" s="32">
        <v>159.5</v>
      </c>
      <c r="F352" s="8"/>
      <c r="G352" s="25">
        <f t="shared" si="51"/>
        <v>0</v>
      </c>
      <c r="H352" s="32">
        <v>159.5</v>
      </c>
      <c r="I352" s="32"/>
      <c r="J352" s="25">
        <f t="shared" si="52"/>
        <v>0</v>
      </c>
      <c r="K352" s="32">
        <v>159.5</v>
      </c>
      <c r="L352" s="31"/>
      <c r="M352" s="25">
        <f t="shared" si="53"/>
        <v>0</v>
      </c>
      <c r="N352" s="32">
        <v>159.5</v>
      </c>
      <c r="O352" s="32"/>
      <c r="P352" s="25">
        <f t="shared" si="54"/>
        <v>0</v>
      </c>
      <c r="Q352" s="32">
        <v>159.5</v>
      </c>
      <c r="R352" s="32"/>
      <c r="S352" s="25">
        <f t="shared" si="55"/>
        <v>0</v>
      </c>
      <c r="T352" s="32">
        <v>159.5</v>
      </c>
      <c r="U352" s="32"/>
      <c r="V352" s="25">
        <f t="shared" si="59"/>
        <v>0</v>
      </c>
      <c r="W352" s="32">
        <v>159.5</v>
      </c>
      <c r="X352" s="32">
        <f t="shared" si="56"/>
        <v>0</v>
      </c>
      <c r="Y352" s="25">
        <f t="shared" si="57"/>
        <v>0</v>
      </c>
      <c r="AD352" s="26"/>
    </row>
    <row r="353" spans="1:30" x14ac:dyDescent="0.2">
      <c r="A353" s="24">
        <f t="shared" si="58"/>
        <v>12.649110640673518</v>
      </c>
      <c r="B353" s="32">
        <v>160</v>
      </c>
      <c r="C353" s="32"/>
      <c r="D353" s="25">
        <f t="shared" si="50"/>
        <v>0</v>
      </c>
      <c r="E353" s="32">
        <v>160</v>
      </c>
      <c r="F353" s="8"/>
      <c r="G353" s="25">
        <f t="shared" si="51"/>
        <v>0</v>
      </c>
      <c r="H353" s="32">
        <v>160</v>
      </c>
      <c r="I353" s="32"/>
      <c r="J353" s="25">
        <f t="shared" si="52"/>
        <v>0</v>
      </c>
      <c r="K353" s="32">
        <v>160</v>
      </c>
      <c r="L353" s="31"/>
      <c r="M353" s="25">
        <f t="shared" si="53"/>
        <v>0</v>
      </c>
      <c r="N353" s="32">
        <v>160</v>
      </c>
      <c r="O353" s="32"/>
      <c r="P353" s="25">
        <f t="shared" si="54"/>
        <v>0</v>
      </c>
      <c r="Q353" s="32">
        <v>160</v>
      </c>
      <c r="R353" s="32"/>
      <c r="S353" s="25">
        <f t="shared" si="55"/>
        <v>0</v>
      </c>
      <c r="T353" s="32">
        <v>160</v>
      </c>
      <c r="U353" s="32"/>
      <c r="V353" s="25">
        <f t="shared" si="59"/>
        <v>0</v>
      </c>
      <c r="W353" s="32">
        <v>160</v>
      </c>
      <c r="X353" s="32">
        <f t="shared" si="56"/>
        <v>0</v>
      </c>
      <c r="Y353" s="25">
        <f t="shared" si="57"/>
        <v>0</v>
      </c>
      <c r="AD353" s="26"/>
    </row>
    <row r="354" spans="1:30" x14ac:dyDescent="0.2">
      <c r="A354" s="24">
        <f t="shared" si="58"/>
        <v>12.668859459319927</v>
      </c>
      <c r="B354" s="32">
        <v>160.5</v>
      </c>
      <c r="C354" s="32"/>
      <c r="D354" s="25">
        <f t="shared" si="50"/>
        <v>0</v>
      </c>
      <c r="E354" s="32">
        <v>160.5</v>
      </c>
      <c r="F354" s="8"/>
      <c r="G354" s="25">
        <f t="shared" si="51"/>
        <v>0</v>
      </c>
      <c r="H354" s="32">
        <v>160.5</v>
      </c>
      <c r="I354" s="32"/>
      <c r="J354" s="25">
        <f t="shared" si="52"/>
        <v>0</v>
      </c>
      <c r="K354" s="32">
        <v>160.5</v>
      </c>
      <c r="L354" s="31"/>
      <c r="M354" s="25">
        <f t="shared" si="53"/>
        <v>0</v>
      </c>
      <c r="N354" s="32">
        <v>160.5</v>
      </c>
      <c r="O354" s="32"/>
      <c r="P354" s="25">
        <f t="shared" si="54"/>
        <v>0</v>
      </c>
      <c r="Q354" s="32">
        <v>160.5</v>
      </c>
      <c r="R354" s="32"/>
      <c r="S354" s="25">
        <f t="shared" si="55"/>
        <v>0</v>
      </c>
      <c r="T354" s="32">
        <v>160.5</v>
      </c>
      <c r="U354" s="32"/>
      <c r="V354" s="25">
        <f t="shared" si="59"/>
        <v>0</v>
      </c>
      <c r="W354" s="32">
        <v>160.5</v>
      </c>
      <c r="X354" s="32">
        <f t="shared" si="56"/>
        <v>0</v>
      </c>
      <c r="Y354" s="25">
        <f t="shared" si="57"/>
        <v>0</v>
      </c>
      <c r="AD354" s="26"/>
    </row>
    <row r="355" spans="1:30" x14ac:dyDescent="0.2">
      <c r="A355" s="24">
        <f t="shared" si="58"/>
        <v>12.68857754044952</v>
      </c>
      <c r="B355" s="32">
        <v>161</v>
      </c>
      <c r="C355" s="32"/>
      <c r="D355" s="25">
        <f t="shared" si="50"/>
        <v>0</v>
      </c>
      <c r="E355" s="32">
        <v>161</v>
      </c>
      <c r="F355" s="8"/>
      <c r="G355" s="25">
        <f t="shared" si="51"/>
        <v>0</v>
      </c>
      <c r="H355" s="32">
        <v>161</v>
      </c>
      <c r="I355" s="32"/>
      <c r="J355" s="25">
        <f t="shared" si="52"/>
        <v>0</v>
      </c>
      <c r="K355" s="32">
        <v>161</v>
      </c>
      <c r="L355" s="31"/>
      <c r="M355" s="25">
        <f t="shared" si="53"/>
        <v>0</v>
      </c>
      <c r="N355" s="32">
        <v>161</v>
      </c>
      <c r="O355" s="32"/>
      <c r="P355" s="25">
        <f t="shared" si="54"/>
        <v>0</v>
      </c>
      <c r="Q355" s="32">
        <v>161</v>
      </c>
      <c r="R355" s="32"/>
      <c r="S355" s="25">
        <f t="shared" si="55"/>
        <v>0</v>
      </c>
      <c r="T355" s="32">
        <v>161</v>
      </c>
      <c r="U355" s="32"/>
      <c r="V355" s="25">
        <f t="shared" si="59"/>
        <v>0</v>
      </c>
      <c r="W355" s="32">
        <v>161</v>
      </c>
      <c r="X355" s="32">
        <f t="shared" si="56"/>
        <v>0</v>
      </c>
      <c r="Y355" s="25">
        <f t="shared" si="57"/>
        <v>0</v>
      </c>
      <c r="AD355" s="26"/>
    </row>
    <row r="356" spans="1:30" x14ac:dyDescent="0.2">
      <c r="A356" s="24">
        <f t="shared" si="58"/>
        <v>12.708265027138834</v>
      </c>
      <c r="B356" s="32">
        <v>161.5</v>
      </c>
      <c r="C356" s="32"/>
      <c r="D356" s="25">
        <f t="shared" si="50"/>
        <v>0</v>
      </c>
      <c r="E356" s="32">
        <v>161.5</v>
      </c>
      <c r="F356" s="8"/>
      <c r="G356" s="25">
        <f t="shared" si="51"/>
        <v>0</v>
      </c>
      <c r="H356" s="32">
        <v>161.5</v>
      </c>
      <c r="I356" s="32"/>
      <c r="J356" s="25">
        <f t="shared" si="52"/>
        <v>0</v>
      </c>
      <c r="K356" s="32">
        <v>161.5</v>
      </c>
      <c r="L356" s="31"/>
      <c r="M356" s="25">
        <f t="shared" si="53"/>
        <v>0</v>
      </c>
      <c r="N356" s="32">
        <v>161.5</v>
      </c>
      <c r="O356" s="32"/>
      <c r="P356" s="25">
        <f t="shared" si="54"/>
        <v>0</v>
      </c>
      <c r="Q356" s="32">
        <v>161.5</v>
      </c>
      <c r="R356" s="32"/>
      <c r="S356" s="25">
        <f t="shared" si="55"/>
        <v>0</v>
      </c>
      <c r="T356" s="32">
        <v>161.5</v>
      </c>
      <c r="U356" s="32"/>
      <c r="V356" s="25">
        <f t="shared" si="59"/>
        <v>0</v>
      </c>
      <c r="W356" s="32">
        <v>161.5</v>
      </c>
      <c r="X356" s="32">
        <f t="shared" si="56"/>
        <v>0</v>
      </c>
      <c r="Y356" s="25">
        <f t="shared" si="57"/>
        <v>0</v>
      </c>
      <c r="AD356" s="26"/>
    </row>
    <row r="357" spans="1:30" x14ac:dyDescent="0.2">
      <c r="A357" s="24">
        <f t="shared" si="58"/>
        <v>12.727922061357855</v>
      </c>
      <c r="B357" s="32">
        <v>162</v>
      </c>
      <c r="C357" s="32"/>
      <c r="D357" s="25">
        <f t="shared" si="50"/>
        <v>0</v>
      </c>
      <c r="E357" s="32">
        <v>162</v>
      </c>
      <c r="F357" s="8"/>
      <c r="G357" s="25">
        <f t="shared" si="51"/>
        <v>0</v>
      </c>
      <c r="H357" s="32">
        <v>162</v>
      </c>
      <c r="I357" s="32"/>
      <c r="J357" s="25">
        <f t="shared" si="52"/>
        <v>0</v>
      </c>
      <c r="K357" s="32">
        <v>162</v>
      </c>
      <c r="L357" s="31"/>
      <c r="M357" s="25">
        <f t="shared" si="53"/>
        <v>0</v>
      </c>
      <c r="N357" s="32">
        <v>162</v>
      </c>
      <c r="O357" s="32"/>
      <c r="P357" s="25">
        <f t="shared" si="54"/>
        <v>0</v>
      </c>
      <c r="Q357" s="32">
        <v>162</v>
      </c>
      <c r="R357" s="32"/>
      <c r="S357" s="25">
        <f t="shared" si="55"/>
        <v>0</v>
      </c>
      <c r="T357" s="32">
        <v>162</v>
      </c>
      <c r="U357" s="32"/>
      <c r="V357" s="25">
        <f t="shared" si="59"/>
        <v>0</v>
      </c>
      <c r="W357" s="32">
        <v>162</v>
      </c>
      <c r="X357" s="32">
        <f t="shared" si="56"/>
        <v>0</v>
      </c>
      <c r="Y357" s="25">
        <f t="shared" si="57"/>
        <v>0</v>
      </c>
      <c r="AD357" s="26"/>
    </row>
    <row r="358" spans="1:30" x14ac:dyDescent="0.2">
      <c r="A358" s="24">
        <f t="shared" si="58"/>
        <v>12.747548783981962</v>
      </c>
      <c r="B358" s="32">
        <v>162.5</v>
      </c>
      <c r="C358" s="32"/>
      <c r="D358" s="25">
        <f t="shared" si="50"/>
        <v>0</v>
      </c>
      <c r="E358" s="32">
        <v>162.5</v>
      </c>
      <c r="F358" s="8"/>
      <c r="G358" s="25">
        <f t="shared" si="51"/>
        <v>0</v>
      </c>
      <c r="H358" s="32">
        <v>162.5</v>
      </c>
      <c r="I358" s="32"/>
      <c r="J358" s="25">
        <f t="shared" si="52"/>
        <v>0</v>
      </c>
      <c r="K358" s="32">
        <v>162.5</v>
      </c>
      <c r="L358" s="31"/>
      <c r="M358" s="25">
        <f t="shared" si="53"/>
        <v>0</v>
      </c>
      <c r="N358" s="32">
        <v>162.5</v>
      </c>
      <c r="O358" s="32"/>
      <c r="P358" s="25">
        <f t="shared" si="54"/>
        <v>0</v>
      </c>
      <c r="Q358" s="32">
        <v>162.5</v>
      </c>
      <c r="R358" s="32"/>
      <c r="S358" s="25">
        <f t="shared" si="55"/>
        <v>0</v>
      </c>
      <c r="T358" s="32">
        <v>162.5</v>
      </c>
      <c r="U358" s="32"/>
      <c r="V358" s="25">
        <f t="shared" si="59"/>
        <v>0</v>
      </c>
      <c r="W358" s="32">
        <v>162.5</v>
      </c>
      <c r="X358" s="32">
        <f t="shared" si="56"/>
        <v>0</v>
      </c>
      <c r="Y358" s="25">
        <f t="shared" si="57"/>
        <v>0</v>
      </c>
      <c r="AD358" s="26"/>
    </row>
    <row r="359" spans="1:30" x14ac:dyDescent="0.2">
      <c r="A359" s="24">
        <f t="shared" si="58"/>
        <v>12.767145334803704</v>
      </c>
      <c r="B359" s="32">
        <v>163</v>
      </c>
      <c r="C359" s="32"/>
      <c r="D359" s="25">
        <f t="shared" si="50"/>
        <v>0</v>
      </c>
      <c r="E359" s="32">
        <v>163</v>
      </c>
      <c r="F359" s="8"/>
      <c r="G359" s="25">
        <f t="shared" si="51"/>
        <v>0</v>
      </c>
      <c r="H359" s="32">
        <v>163</v>
      </c>
      <c r="I359" s="32"/>
      <c r="J359" s="25">
        <f t="shared" si="52"/>
        <v>0</v>
      </c>
      <c r="K359" s="32">
        <v>163</v>
      </c>
      <c r="L359" s="31"/>
      <c r="M359" s="25">
        <f t="shared" si="53"/>
        <v>0</v>
      </c>
      <c r="N359" s="32">
        <v>163</v>
      </c>
      <c r="O359" s="32"/>
      <c r="P359" s="25">
        <f t="shared" si="54"/>
        <v>0</v>
      </c>
      <c r="Q359" s="32">
        <v>163</v>
      </c>
      <c r="R359" s="32"/>
      <c r="S359" s="25">
        <f t="shared" si="55"/>
        <v>0</v>
      </c>
      <c r="T359" s="32">
        <v>163</v>
      </c>
      <c r="U359" s="32"/>
      <c r="V359" s="25">
        <f t="shared" si="59"/>
        <v>0</v>
      </c>
      <c r="W359" s="32">
        <v>163</v>
      </c>
      <c r="X359" s="32">
        <f t="shared" si="56"/>
        <v>0</v>
      </c>
      <c r="Y359" s="25">
        <f t="shared" si="57"/>
        <v>0</v>
      </c>
      <c r="AD359" s="26"/>
    </row>
    <row r="360" spans="1:30" x14ac:dyDescent="0.2">
      <c r="A360" s="24">
        <f t="shared" si="58"/>
        <v>12.786711852544421</v>
      </c>
      <c r="B360" s="32">
        <v>163.5</v>
      </c>
      <c r="C360" s="32"/>
      <c r="D360" s="25">
        <f t="shared" si="50"/>
        <v>0</v>
      </c>
      <c r="E360" s="32">
        <v>163.5</v>
      </c>
      <c r="F360" s="8"/>
      <c r="G360" s="25">
        <f t="shared" si="51"/>
        <v>0</v>
      </c>
      <c r="H360" s="32">
        <v>163.5</v>
      </c>
      <c r="I360" s="32"/>
      <c r="J360" s="25">
        <f t="shared" si="52"/>
        <v>0</v>
      </c>
      <c r="K360" s="32">
        <v>163.5</v>
      </c>
      <c r="L360" s="31"/>
      <c r="M360" s="25">
        <f t="shared" si="53"/>
        <v>0</v>
      </c>
      <c r="N360" s="32">
        <v>163.5</v>
      </c>
      <c r="O360" s="32"/>
      <c r="P360" s="25">
        <f t="shared" si="54"/>
        <v>0</v>
      </c>
      <c r="Q360" s="32">
        <v>163.5</v>
      </c>
      <c r="R360" s="32"/>
      <c r="S360" s="25">
        <f t="shared" si="55"/>
        <v>0</v>
      </c>
      <c r="T360" s="32">
        <v>163.5</v>
      </c>
      <c r="U360" s="32"/>
      <c r="V360" s="25">
        <f t="shared" si="59"/>
        <v>0</v>
      </c>
      <c r="W360" s="32">
        <v>163.5</v>
      </c>
      <c r="X360" s="32">
        <f t="shared" si="56"/>
        <v>0</v>
      </c>
      <c r="Y360" s="25">
        <f t="shared" si="57"/>
        <v>0</v>
      </c>
      <c r="AD360" s="26"/>
    </row>
    <row r="361" spans="1:30" x14ac:dyDescent="0.2">
      <c r="A361" s="24">
        <f t="shared" si="58"/>
        <v>12.806248474865697</v>
      </c>
      <c r="B361" s="32">
        <v>164</v>
      </c>
      <c r="C361" s="32"/>
      <c r="D361" s="25">
        <f t="shared" si="50"/>
        <v>0</v>
      </c>
      <c r="E361" s="32">
        <v>164</v>
      </c>
      <c r="F361" s="8"/>
      <c r="G361" s="25">
        <f t="shared" si="51"/>
        <v>0</v>
      </c>
      <c r="H361" s="32">
        <v>164</v>
      </c>
      <c r="I361" s="32"/>
      <c r="J361" s="25">
        <f t="shared" si="52"/>
        <v>0</v>
      </c>
      <c r="K361" s="32">
        <v>164</v>
      </c>
      <c r="L361" s="31"/>
      <c r="M361" s="25">
        <f t="shared" si="53"/>
        <v>0</v>
      </c>
      <c r="N361" s="32">
        <v>164</v>
      </c>
      <c r="O361" s="32"/>
      <c r="P361" s="25">
        <f t="shared" si="54"/>
        <v>0</v>
      </c>
      <c r="Q361" s="32">
        <v>164</v>
      </c>
      <c r="R361" s="32"/>
      <c r="S361" s="25">
        <f t="shared" si="55"/>
        <v>0</v>
      </c>
      <c r="T361" s="32">
        <v>164</v>
      </c>
      <c r="U361" s="32"/>
      <c r="V361" s="25">
        <f t="shared" si="59"/>
        <v>0</v>
      </c>
      <c r="W361" s="32">
        <v>164</v>
      </c>
      <c r="X361" s="32">
        <f t="shared" si="56"/>
        <v>0</v>
      </c>
      <c r="Y361" s="25">
        <f t="shared" si="57"/>
        <v>0</v>
      </c>
      <c r="AD361" s="26"/>
    </row>
    <row r="362" spans="1:30" x14ac:dyDescent="0.2">
      <c r="A362" s="24">
        <f t="shared" si="58"/>
        <v>12.82575533838066</v>
      </c>
      <c r="B362" s="32">
        <v>164.5</v>
      </c>
      <c r="C362" s="32"/>
      <c r="D362" s="25">
        <f t="shared" si="50"/>
        <v>0</v>
      </c>
      <c r="E362" s="32">
        <v>164.5</v>
      </c>
      <c r="F362" s="8"/>
      <c r="G362" s="25">
        <f t="shared" si="51"/>
        <v>0</v>
      </c>
      <c r="H362" s="32">
        <v>164.5</v>
      </c>
      <c r="I362" s="32"/>
      <c r="J362" s="25">
        <f t="shared" si="52"/>
        <v>0</v>
      </c>
      <c r="K362" s="32">
        <v>164.5</v>
      </c>
      <c r="L362" s="31"/>
      <c r="M362" s="25">
        <f t="shared" si="53"/>
        <v>0</v>
      </c>
      <c r="N362" s="32">
        <v>164.5</v>
      </c>
      <c r="O362" s="32"/>
      <c r="P362" s="25">
        <f t="shared" si="54"/>
        <v>0</v>
      </c>
      <c r="Q362" s="32">
        <v>164.5</v>
      </c>
      <c r="R362" s="32"/>
      <c r="S362" s="25">
        <f t="shared" si="55"/>
        <v>0</v>
      </c>
      <c r="T362" s="32">
        <v>164.5</v>
      </c>
      <c r="U362" s="32"/>
      <c r="V362" s="25">
        <f t="shared" si="59"/>
        <v>0</v>
      </c>
      <c r="W362" s="32">
        <v>164.5</v>
      </c>
      <c r="X362" s="32">
        <f t="shared" si="56"/>
        <v>0</v>
      </c>
      <c r="Y362" s="25">
        <f t="shared" si="57"/>
        <v>0</v>
      </c>
      <c r="AD362" s="26"/>
    </row>
    <row r="363" spans="1:30" x14ac:dyDescent="0.2">
      <c r="A363" s="24">
        <f t="shared" si="58"/>
        <v>12.845232578665129</v>
      </c>
      <c r="B363" s="32">
        <v>165</v>
      </c>
      <c r="C363" s="32"/>
      <c r="D363" s="25">
        <f t="shared" si="50"/>
        <v>0</v>
      </c>
      <c r="E363" s="32">
        <v>165</v>
      </c>
      <c r="F363" s="8"/>
      <c r="G363" s="25">
        <f t="shared" si="51"/>
        <v>0</v>
      </c>
      <c r="H363" s="32">
        <v>165</v>
      </c>
      <c r="I363" s="32"/>
      <c r="J363" s="25">
        <f t="shared" si="52"/>
        <v>0</v>
      </c>
      <c r="K363" s="32">
        <v>165</v>
      </c>
      <c r="L363" s="31"/>
      <c r="M363" s="25">
        <f t="shared" si="53"/>
        <v>0</v>
      </c>
      <c r="N363" s="32">
        <v>165</v>
      </c>
      <c r="O363" s="32"/>
      <c r="P363" s="25">
        <f t="shared" si="54"/>
        <v>0</v>
      </c>
      <c r="Q363" s="32">
        <v>165</v>
      </c>
      <c r="R363" s="32"/>
      <c r="S363" s="25">
        <f t="shared" si="55"/>
        <v>0</v>
      </c>
      <c r="T363" s="32">
        <v>165</v>
      </c>
      <c r="U363" s="32"/>
      <c r="V363" s="25">
        <f t="shared" si="59"/>
        <v>0</v>
      </c>
      <c r="W363" s="32">
        <v>165</v>
      </c>
      <c r="X363" s="32">
        <f t="shared" si="56"/>
        <v>0</v>
      </c>
      <c r="Y363" s="25">
        <f t="shared" si="57"/>
        <v>0</v>
      </c>
      <c r="AD363" s="26"/>
    </row>
    <row r="364" spans="1:30" x14ac:dyDescent="0.2">
      <c r="A364" s="24">
        <f t="shared" si="58"/>
        <v>12.864680330268607</v>
      </c>
      <c r="B364" s="32">
        <v>165.5</v>
      </c>
      <c r="C364" s="32"/>
      <c r="D364" s="25">
        <f t="shared" si="50"/>
        <v>0</v>
      </c>
      <c r="E364" s="32">
        <v>165.5</v>
      </c>
      <c r="F364" s="8"/>
      <c r="G364" s="25">
        <f t="shared" si="51"/>
        <v>0</v>
      </c>
      <c r="H364" s="32">
        <v>165.5</v>
      </c>
      <c r="I364" s="32"/>
      <c r="J364" s="25">
        <f t="shared" si="52"/>
        <v>0</v>
      </c>
      <c r="K364" s="32">
        <v>165.5</v>
      </c>
      <c r="L364" s="31"/>
      <c r="M364" s="25">
        <f t="shared" si="53"/>
        <v>0</v>
      </c>
      <c r="N364" s="32">
        <v>165.5</v>
      </c>
      <c r="O364" s="32"/>
      <c r="P364" s="25">
        <f t="shared" si="54"/>
        <v>0</v>
      </c>
      <c r="Q364" s="32">
        <v>165.5</v>
      </c>
      <c r="R364" s="32"/>
      <c r="S364" s="25">
        <f t="shared" si="55"/>
        <v>0</v>
      </c>
      <c r="T364" s="32">
        <v>165.5</v>
      </c>
      <c r="U364" s="32"/>
      <c r="V364" s="25">
        <f t="shared" si="59"/>
        <v>0</v>
      </c>
      <c r="W364" s="32">
        <v>165.5</v>
      </c>
      <c r="X364" s="32">
        <f t="shared" si="56"/>
        <v>0</v>
      </c>
      <c r="Y364" s="25">
        <f t="shared" si="57"/>
        <v>0</v>
      </c>
      <c r="AD364" s="26"/>
    </row>
    <row r="365" spans="1:30" x14ac:dyDescent="0.2">
      <c r="A365" s="24">
        <f t="shared" si="58"/>
        <v>12.884098726725126</v>
      </c>
      <c r="B365" s="32">
        <v>166</v>
      </c>
      <c r="C365" s="32"/>
      <c r="D365" s="25">
        <f t="shared" si="50"/>
        <v>0</v>
      </c>
      <c r="E365" s="32">
        <v>166</v>
      </c>
      <c r="F365" s="8"/>
      <c r="G365" s="25">
        <f t="shared" si="51"/>
        <v>0</v>
      </c>
      <c r="H365" s="32">
        <v>166</v>
      </c>
      <c r="I365" s="32"/>
      <c r="J365" s="25">
        <f t="shared" si="52"/>
        <v>0</v>
      </c>
      <c r="K365" s="32">
        <v>166</v>
      </c>
      <c r="L365" s="31"/>
      <c r="M365" s="25">
        <f t="shared" si="53"/>
        <v>0</v>
      </c>
      <c r="N365" s="32">
        <v>166</v>
      </c>
      <c r="O365" s="32"/>
      <c r="P365" s="25">
        <f t="shared" si="54"/>
        <v>0</v>
      </c>
      <c r="Q365" s="32">
        <v>166</v>
      </c>
      <c r="R365" s="32"/>
      <c r="S365" s="25">
        <f t="shared" si="55"/>
        <v>0</v>
      </c>
      <c r="T365" s="32">
        <v>166</v>
      </c>
      <c r="U365" s="32"/>
      <c r="V365" s="25">
        <f t="shared" si="59"/>
        <v>0</v>
      </c>
      <c r="W365" s="32">
        <v>166</v>
      </c>
      <c r="X365" s="32">
        <f t="shared" si="56"/>
        <v>0</v>
      </c>
      <c r="Y365" s="25">
        <f t="shared" si="57"/>
        <v>0</v>
      </c>
      <c r="AD365" s="26"/>
    </row>
    <row r="366" spans="1:30" x14ac:dyDescent="0.2">
      <c r="A366" s="24">
        <f t="shared" si="58"/>
        <v>12.90348790056394</v>
      </c>
      <c r="B366" s="32">
        <v>166.5</v>
      </c>
      <c r="C366" s="32"/>
      <c r="D366" s="25">
        <f t="shared" si="50"/>
        <v>0</v>
      </c>
      <c r="E366" s="32">
        <v>166.5</v>
      </c>
      <c r="F366" s="8"/>
      <c r="G366" s="25">
        <f t="shared" si="51"/>
        <v>0</v>
      </c>
      <c r="H366" s="32">
        <v>166.5</v>
      </c>
      <c r="I366" s="32"/>
      <c r="J366" s="25">
        <f t="shared" si="52"/>
        <v>0</v>
      </c>
      <c r="K366" s="32">
        <v>166.5</v>
      </c>
      <c r="L366" s="31"/>
      <c r="M366" s="25">
        <f t="shared" si="53"/>
        <v>0</v>
      </c>
      <c r="N366" s="32">
        <v>166.5</v>
      </c>
      <c r="O366" s="32"/>
      <c r="P366" s="25">
        <f t="shared" si="54"/>
        <v>0</v>
      </c>
      <c r="Q366" s="32">
        <v>166.5</v>
      </c>
      <c r="R366" s="32"/>
      <c r="S366" s="25">
        <f t="shared" si="55"/>
        <v>0</v>
      </c>
      <c r="T366" s="32">
        <v>166.5</v>
      </c>
      <c r="U366" s="32"/>
      <c r="V366" s="25">
        <f t="shared" si="59"/>
        <v>0</v>
      </c>
      <c r="W366" s="32">
        <v>166.5</v>
      </c>
      <c r="X366" s="32">
        <f t="shared" si="56"/>
        <v>0</v>
      </c>
      <c r="Y366" s="25">
        <f t="shared" si="57"/>
        <v>0</v>
      </c>
      <c r="AD366" s="26"/>
    </row>
    <row r="367" spans="1:30" x14ac:dyDescent="0.2">
      <c r="A367" s="24">
        <f t="shared" si="58"/>
        <v>12.922847983320086</v>
      </c>
      <c r="B367" s="32">
        <v>167</v>
      </c>
      <c r="C367" s="32"/>
      <c r="D367" s="25">
        <f t="shared" si="50"/>
        <v>0</v>
      </c>
      <c r="E367" s="32">
        <v>167</v>
      </c>
      <c r="F367" s="8"/>
      <c r="G367" s="25">
        <f t="shared" si="51"/>
        <v>0</v>
      </c>
      <c r="H367" s="32">
        <v>167</v>
      </c>
      <c r="I367" s="32"/>
      <c r="J367" s="25">
        <f t="shared" si="52"/>
        <v>0</v>
      </c>
      <c r="K367" s="32">
        <v>167</v>
      </c>
      <c r="L367" s="31"/>
      <c r="M367" s="25">
        <f t="shared" si="53"/>
        <v>0</v>
      </c>
      <c r="N367" s="32">
        <v>167</v>
      </c>
      <c r="O367" s="32"/>
      <c r="P367" s="25">
        <f t="shared" si="54"/>
        <v>0</v>
      </c>
      <c r="Q367" s="32">
        <v>167</v>
      </c>
      <c r="R367" s="32"/>
      <c r="S367" s="25">
        <f t="shared" si="55"/>
        <v>0</v>
      </c>
      <c r="T367" s="32">
        <v>167</v>
      </c>
      <c r="U367" s="32"/>
      <c r="V367" s="25">
        <f t="shared" si="59"/>
        <v>0</v>
      </c>
      <c r="W367" s="32">
        <v>167</v>
      </c>
      <c r="X367" s="32">
        <f t="shared" si="56"/>
        <v>0</v>
      </c>
      <c r="Y367" s="25">
        <f t="shared" si="57"/>
        <v>0</v>
      </c>
      <c r="AD367" s="26"/>
    </row>
    <row r="368" spans="1:30" x14ac:dyDescent="0.2">
      <c r="A368" s="24">
        <f t="shared" si="58"/>
        <v>12.942179105544785</v>
      </c>
      <c r="B368" s="32">
        <v>167.5</v>
      </c>
      <c r="C368" s="32"/>
      <c r="D368" s="25">
        <f t="shared" si="50"/>
        <v>0</v>
      </c>
      <c r="E368" s="32">
        <v>167.5</v>
      </c>
      <c r="F368" s="8"/>
      <c r="G368" s="25">
        <f t="shared" si="51"/>
        <v>0</v>
      </c>
      <c r="H368" s="32">
        <v>167.5</v>
      </c>
      <c r="I368" s="32"/>
      <c r="J368" s="25">
        <f t="shared" si="52"/>
        <v>0</v>
      </c>
      <c r="K368" s="32">
        <v>167.5</v>
      </c>
      <c r="L368" s="31"/>
      <c r="M368" s="25">
        <f t="shared" si="53"/>
        <v>0</v>
      </c>
      <c r="N368" s="32">
        <v>167.5</v>
      </c>
      <c r="O368" s="32"/>
      <c r="P368" s="25">
        <f t="shared" si="54"/>
        <v>0</v>
      </c>
      <c r="Q368" s="32">
        <v>167.5</v>
      </c>
      <c r="R368" s="32"/>
      <c r="S368" s="25">
        <f t="shared" si="55"/>
        <v>0</v>
      </c>
      <c r="T368" s="32">
        <v>167.5</v>
      </c>
      <c r="U368" s="32"/>
      <c r="V368" s="25">
        <f t="shared" si="59"/>
        <v>0</v>
      </c>
      <c r="W368" s="32">
        <v>167.5</v>
      </c>
      <c r="X368" s="32">
        <f t="shared" si="56"/>
        <v>0</v>
      </c>
      <c r="Y368" s="25">
        <f t="shared" si="57"/>
        <v>0</v>
      </c>
      <c r="AD368" s="26"/>
    </row>
    <row r="369" spans="1:30" x14ac:dyDescent="0.2">
      <c r="A369" s="24">
        <f t="shared" si="58"/>
        <v>12.961481396815721</v>
      </c>
      <c r="B369" s="32">
        <v>168</v>
      </c>
      <c r="C369" s="32"/>
      <c r="D369" s="25">
        <f t="shared" si="50"/>
        <v>0</v>
      </c>
      <c r="E369" s="32">
        <v>168</v>
      </c>
      <c r="F369" s="8"/>
      <c r="G369" s="25">
        <f t="shared" si="51"/>
        <v>0</v>
      </c>
      <c r="H369" s="32">
        <v>168</v>
      </c>
      <c r="I369" s="32"/>
      <c r="J369" s="25">
        <f t="shared" si="52"/>
        <v>0</v>
      </c>
      <c r="K369" s="32">
        <v>168</v>
      </c>
      <c r="L369" s="31"/>
      <c r="M369" s="25">
        <f t="shared" si="53"/>
        <v>0</v>
      </c>
      <c r="N369" s="32">
        <v>168</v>
      </c>
      <c r="O369" s="32"/>
      <c r="P369" s="25">
        <f t="shared" si="54"/>
        <v>0</v>
      </c>
      <c r="Q369" s="32">
        <v>168</v>
      </c>
      <c r="R369" s="32"/>
      <c r="S369" s="25">
        <f t="shared" si="55"/>
        <v>0</v>
      </c>
      <c r="T369" s="32">
        <v>168</v>
      </c>
      <c r="U369" s="32"/>
      <c r="V369" s="25">
        <f t="shared" si="59"/>
        <v>0</v>
      </c>
      <c r="W369" s="32">
        <v>168</v>
      </c>
      <c r="X369" s="32">
        <f t="shared" si="56"/>
        <v>0</v>
      </c>
      <c r="Y369" s="25">
        <f t="shared" si="57"/>
        <v>0</v>
      </c>
      <c r="AD369" s="26"/>
    </row>
    <row r="370" spans="1:30" x14ac:dyDescent="0.2">
      <c r="A370" s="24">
        <f t="shared" si="58"/>
        <v>12.98075498574717</v>
      </c>
      <c r="B370" s="32">
        <v>168.5</v>
      </c>
      <c r="C370" s="32"/>
      <c r="D370" s="25">
        <f t="shared" si="50"/>
        <v>0</v>
      </c>
      <c r="E370" s="32">
        <v>168.5</v>
      </c>
      <c r="F370" s="8"/>
      <c r="G370" s="25">
        <f t="shared" si="51"/>
        <v>0</v>
      </c>
      <c r="H370" s="32">
        <v>168.5</v>
      </c>
      <c r="I370" s="32"/>
      <c r="J370" s="25">
        <f t="shared" si="52"/>
        <v>0</v>
      </c>
      <c r="K370" s="32">
        <v>168.5</v>
      </c>
      <c r="L370" s="31"/>
      <c r="M370" s="25">
        <f t="shared" si="53"/>
        <v>0</v>
      </c>
      <c r="N370" s="32">
        <v>168.5</v>
      </c>
      <c r="O370" s="32"/>
      <c r="P370" s="25">
        <f t="shared" si="54"/>
        <v>0</v>
      </c>
      <c r="Q370" s="32">
        <v>168.5</v>
      </c>
      <c r="R370" s="32"/>
      <c r="S370" s="25">
        <f t="shared" si="55"/>
        <v>0</v>
      </c>
      <c r="T370" s="32">
        <v>168.5</v>
      </c>
      <c r="U370" s="32"/>
      <c r="V370" s="25">
        <f t="shared" si="59"/>
        <v>0</v>
      </c>
      <c r="W370" s="32">
        <v>168.5</v>
      </c>
      <c r="X370" s="32">
        <f t="shared" si="56"/>
        <v>0</v>
      </c>
      <c r="Y370" s="25">
        <f t="shared" si="57"/>
        <v>0</v>
      </c>
      <c r="AD370" s="26"/>
    </row>
    <row r="371" spans="1:30" x14ac:dyDescent="0.2">
      <c r="A371" s="24">
        <f t="shared" si="58"/>
        <v>13</v>
      </c>
      <c r="B371" s="32">
        <v>169</v>
      </c>
      <c r="C371" s="32"/>
      <c r="D371" s="25">
        <f t="shared" si="50"/>
        <v>0</v>
      </c>
      <c r="E371" s="32">
        <v>169</v>
      </c>
      <c r="F371" s="8"/>
      <c r="G371" s="25">
        <f t="shared" si="51"/>
        <v>0</v>
      </c>
      <c r="H371" s="32">
        <v>169</v>
      </c>
      <c r="I371" s="32"/>
      <c r="J371" s="25">
        <f t="shared" si="52"/>
        <v>0</v>
      </c>
      <c r="K371" s="32">
        <v>169</v>
      </c>
      <c r="L371" s="31"/>
      <c r="M371" s="25">
        <f t="shared" si="53"/>
        <v>0</v>
      </c>
      <c r="N371" s="32">
        <v>169</v>
      </c>
      <c r="O371" s="32"/>
      <c r="P371" s="25">
        <f t="shared" si="54"/>
        <v>0</v>
      </c>
      <c r="Q371" s="32">
        <v>169</v>
      </c>
      <c r="R371" s="32"/>
      <c r="S371" s="25">
        <f t="shared" si="55"/>
        <v>0</v>
      </c>
      <c r="T371" s="32">
        <v>169</v>
      </c>
      <c r="U371" s="32"/>
      <c r="V371" s="25">
        <f t="shared" si="59"/>
        <v>0</v>
      </c>
      <c r="W371" s="32">
        <v>169</v>
      </c>
      <c r="X371" s="32">
        <f t="shared" si="56"/>
        <v>0</v>
      </c>
      <c r="Y371" s="25">
        <f t="shared" si="57"/>
        <v>0</v>
      </c>
      <c r="AD371" s="26"/>
    </row>
    <row r="372" spans="1:30" x14ac:dyDescent="0.2">
      <c r="A372" s="24">
        <f t="shared" si="58"/>
        <v>13.019216566291536</v>
      </c>
      <c r="B372" s="32">
        <v>169.5</v>
      </c>
      <c r="C372" s="32"/>
      <c r="D372" s="25">
        <f t="shared" si="50"/>
        <v>0</v>
      </c>
      <c r="E372" s="32">
        <v>169.5</v>
      </c>
      <c r="F372" s="8"/>
      <c r="G372" s="25">
        <f t="shared" si="51"/>
        <v>0</v>
      </c>
      <c r="H372" s="32">
        <v>169.5</v>
      </c>
      <c r="I372" s="32"/>
      <c r="J372" s="25">
        <f t="shared" si="52"/>
        <v>0</v>
      </c>
      <c r="K372" s="32">
        <v>169.5</v>
      </c>
      <c r="L372" s="31"/>
      <c r="M372" s="25">
        <f t="shared" si="53"/>
        <v>0</v>
      </c>
      <c r="N372" s="32">
        <v>169.5</v>
      </c>
      <c r="O372" s="32"/>
      <c r="P372" s="25">
        <f t="shared" si="54"/>
        <v>0</v>
      </c>
      <c r="Q372" s="32">
        <v>169.5</v>
      </c>
      <c r="R372" s="32"/>
      <c r="S372" s="25">
        <f t="shared" si="55"/>
        <v>0</v>
      </c>
      <c r="T372" s="32">
        <v>169.5</v>
      </c>
      <c r="U372" s="32"/>
      <c r="V372" s="25">
        <f t="shared" si="59"/>
        <v>0</v>
      </c>
      <c r="W372" s="32">
        <v>169.5</v>
      </c>
      <c r="X372" s="32">
        <f t="shared" si="56"/>
        <v>0</v>
      </c>
      <c r="Y372" s="25">
        <f t="shared" si="57"/>
        <v>0</v>
      </c>
      <c r="AD372" s="26"/>
    </row>
    <row r="373" spans="1:30" x14ac:dyDescent="0.2">
      <c r="A373" s="24">
        <f t="shared" si="58"/>
        <v>13.038404810405298</v>
      </c>
      <c r="B373" s="32">
        <v>170</v>
      </c>
      <c r="C373" s="32"/>
      <c r="D373" s="25">
        <f t="shared" si="50"/>
        <v>0</v>
      </c>
      <c r="E373" s="32">
        <v>170</v>
      </c>
      <c r="F373" s="8"/>
      <c r="G373" s="25">
        <f t="shared" si="51"/>
        <v>0</v>
      </c>
      <c r="H373" s="32">
        <v>170</v>
      </c>
      <c r="I373" s="32"/>
      <c r="J373" s="25">
        <f t="shared" si="52"/>
        <v>0</v>
      </c>
      <c r="K373" s="32">
        <v>170</v>
      </c>
      <c r="L373" s="31"/>
      <c r="M373" s="25">
        <f t="shared" si="53"/>
        <v>0</v>
      </c>
      <c r="N373" s="32">
        <v>170</v>
      </c>
      <c r="O373" s="32"/>
      <c r="P373" s="25">
        <f t="shared" si="54"/>
        <v>0</v>
      </c>
      <c r="Q373" s="32">
        <v>170</v>
      </c>
      <c r="R373" s="32"/>
      <c r="S373" s="25">
        <f t="shared" si="55"/>
        <v>0</v>
      </c>
      <c r="T373" s="32">
        <v>170</v>
      </c>
      <c r="U373" s="32"/>
      <c r="V373" s="25">
        <f t="shared" si="59"/>
        <v>0</v>
      </c>
      <c r="W373" s="32">
        <v>170</v>
      </c>
      <c r="X373" s="32">
        <f t="shared" si="56"/>
        <v>0</v>
      </c>
      <c r="Y373" s="25">
        <f t="shared" si="57"/>
        <v>0</v>
      </c>
      <c r="AD373" s="26"/>
    </row>
    <row r="374" spans="1:30" x14ac:dyDescent="0.2">
      <c r="A374" s="24">
        <f t="shared" si="58"/>
        <v>13.057564857200596</v>
      </c>
      <c r="B374" s="32">
        <v>170.5</v>
      </c>
      <c r="C374" s="32"/>
      <c r="D374" s="25">
        <f t="shared" si="50"/>
        <v>0</v>
      </c>
      <c r="E374" s="32">
        <v>170.5</v>
      </c>
      <c r="F374" s="8"/>
      <c r="G374" s="25">
        <f t="shared" si="51"/>
        <v>0</v>
      </c>
      <c r="H374" s="32">
        <v>170.5</v>
      </c>
      <c r="I374" s="32"/>
      <c r="J374" s="25">
        <f t="shared" si="52"/>
        <v>0</v>
      </c>
      <c r="K374" s="32">
        <v>170.5</v>
      </c>
      <c r="L374" s="31"/>
      <c r="M374" s="25">
        <f t="shared" si="53"/>
        <v>0</v>
      </c>
      <c r="N374" s="32">
        <v>170.5</v>
      </c>
      <c r="O374" s="32"/>
      <c r="P374" s="25">
        <f t="shared" si="54"/>
        <v>0</v>
      </c>
      <c r="Q374" s="32">
        <v>170.5</v>
      </c>
      <c r="R374" s="32"/>
      <c r="S374" s="25">
        <f t="shared" si="55"/>
        <v>0</v>
      </c>
      <c r="T374" s="32">
        <v>170.5</v>
      </c>
      <c r="U374" s="32"/>
      <c r="V374" s="25">
        <f t="shared" si="59"/>
        <v>0</v>
      </c>
      <c r="W374" s="32">
        <v>170.5</v>
      </c>
      <c r="X374" s="32">
        <f t="shared" si="56"/>
        <v>0</v>
      </c>
      <c r="Y374" s="25">
        <f t="shared" si="57"/>
        <v>0</v>
      </c>
      <c r="AD374" s="26"/>
    </row>
    <row r="375" spans="1:30" x14ac:dyDescent="0.2">
      <c r="A375" s="24">
        <f t="shared" si="58"/>
        <v>13.076696830622021</v>
      </c>
      <c r="B375" s="32">
        <v>171</v>
      </c>
      <c r="C375" s="32"/>
      <c r="D375" s="25">
        <f t="shared" si="50"/>
        <v>0</v>
      </c>
      <c r="E375" s="32">
        <v>171</v>
      </c>
      <c r="F375" s="8"/>
      <c r="G375" s="25">
        <f t="shared" si="51"/>
        <v>0</v>
      </c>
      <c r="H375" s="32">
        <v>171</v>
      </c>
      <c r="I375" s="32"/>
      <c r="J375" s="25">
        <f t="shared" si="52"/>
        <v>0</v>
      </c>
      <c r="K375" s="32">
        <v>171</v>
      </c>
      <c r="L375" s="31"/>
      <c r="M375" s="25">
        <f t="shared" si="53"/>
        <v>0</v>
      </c>
      <c r="N375" s="32">
        <v>171</v>
      </c>
      <c r="O375" s="32"/>
      <c r="P375" s="25">
        <f t="shared" si="54"/>
        <v>0</v>
      </c>
      <c r="Q375" s="32">
        <v>171</v>
      </c>
      <c r="R375" s="32"/>
      <c r="S375" s="25">
        <f t="shared" si="55"/>
        <v>0</v>
      </c>
      <c r="T375" s="32">
        <v>171</v>
      </c>
      <c r="U375" s="32"/>
      <c r="V375" s="25">
        <f t="shared" si="59"/>
        <v>0</v>
      </c>
      <c r="W375" s="32">
        <v>171</v>
      </c>
      <c r="X375" s="32">
        <f t="shared" si="56"/>
        <v>0</v>
      </c>
      <c r="Y375" s="25">
        <f t="shared" si="57"/>
        <v>0</v>
      </c>
      <c r="AD375" s="26"/>
    </row>
    <row r="376" spans="1:30" x14ac:dyDescent="0.2">
      <c r="A376" s="24">
        <f t="shared" si="58"/>
        <v>13.095800853708795</v>
      </c>
      <c r="B376" s="32">
        <v>171.5</v>
      </c>
      <c r="C376" s="32"/>
      <c r="D376" s="25">
        <f t="shared" si="50"/>
        <v>0</v>
      </c>
      <c r="E376" s="32">
        <v>171.5</v>
      </c>
      <c r="F376" s="8"/>
      <c r="G376" s="25">
        <f t="shared" si="51"/>
        <v>0</v>
      </c>
      <c r="H376" s="32">
        <v>171.5</v>
      </c>
      <c r="I376" s="32"/>
      <c r="J376" s="25">
        <f t="shared" si="52"/>
        <v>0</v>
      </c>
      <c r="K376" s="32">
        <v>171.5</v>
      </c>
      <c r="L376" s="31"/>
      <c r="M376" s="25">
        <f t="shared" si="53"/>
        <v>0</v>
      </c>
      <c r="N376" s="32">
        <v>171.5</v>
      </c>
      <c r="O376" s="32"/>
      <c r="P376" s="25">
        <f t="shared" si="54"/>
        <v>0</v>
      </c>
      <c r="Q376" s="32">
        <v>171.5</v>
      </c>
      <c r="R376" s="32"/>
      <c r="S376" s="25">
        <f t="shared" si="55"/>
        <v>0</v>
      </c>
      <c r="T376" s="32">
        <v>171.5</v>
      </c>
      <c r="U376" s="32"/>
      <c r="V376" s="25">
        <f t="shared" si="59"/>
        <v>0</v>
      </c>
      <c r="W376" s="32">
        <v>171.5</v>
      </c>
      <c r="X376" s="32">
        <f t="shared" si="56"/>
        <v>0</v>
      </c>
      <c r="Y376" s="25">
        <f t="shared" si="57"/>
        <v>0</v>
      </c>
      <c r="AD376" s="26"/>
    </row>
    <row r="377" spans="1:30" x14ac:dyDescent="0.2">
      <c r="A377" s="24">
        <f t="shared" si="58"/>
        <v>13.114877048604001</v>
      </c>
      <c r="B377" s="32">
        <v>172</v>
      </c>
      <c r="C377" s="32"/>
      <c r="D377" s="25">
        <f t="shared" si="50"/>
        <v>0</v>
      </c>
      <c r="E377" s="32">
        <v>172</v>
      </c>
      <c r="F377" s="8"/>
      <c r="G377" s="25">
        <f t="shared" si="51"/>
        <v>0</v>
      </c>
      <c r="H377" s="32">
        <v>172</v>
      </c>
      <c r="I377" s="32"/>
      <c r="J377" s="25">
        <f t="shared" si="52"/>
        <v>0</v>
      </c>
      <c r="K377" s="32">
        <v>172</v>
      </c>
      <c r="L377" s="31"/>
      <c r="M377" s="25">
        <f t="shared" si="53"/>
        <v>0</v>
      </c>
      <c r="N377" s="32">
        <v>172</v>
      </c>
      <c r="O377" s="32"/>
      <c r="P377" s="25">
        <f t="shared" si="54"/>
        <v>0</v>
      </c>
      <c r="Q377" s="32">
        <v>172</v>
      </c>
      <c r="R377" s="32"/>
      <c r="S377" s="25">
        <f t="shared" si="55"/>
        <v>0</v>
      </c>
      <c r="T377" s="32">
        <v>172</v>
      </c>
      <c r="U377" s="32"/>
      <c r="V377" s="25">
        <f t="shared" si="59"/>
        <v>0</v>
      </c>
      <c r="W377" s="32">
        <v>172</v>
      </c>
      <c r="X377" s="32">
        <f t="shared" si="56"/>
        <v>0</v>
      </c>
      <c r="Y377" s="25">
        <f t="shared" si="57"/>
        <v>0</v>
      </c>
      <c r="AD377" s="26"/>
    </row>
    <row r="378" spans="1:30" x14ac:dyDescent="0.2">
      <c r="A378" s="24">
        <f t="shared" si="58"/>
        <v>13.133925536563698</v>
      </c>
      <c r="B378" s="32">
        <v>172.5</v>
      </c>
      <c r="C378" s="32"/>
      <c r="D378" s="25">
        <f t="shared" si="50"/>
        <v>0</v>
      </c>
      <c r="E378" s="32">
        <v>172.5</v>
      </c>
      <c r="F378" s="8"/>
      <c r="G378" s="25">
        <f t="shared" si="51"/>
        <v>0</v>
      </c>
      <c r="H378" s="32">
        <v>172.5</v>
      </c>
      <c r="I378" s="32"/>
      <c r="J378" s="25">
        <f t="shared" si="52"/>
        <v>0</v>
      </c>
      <c r="K378" s="32">
        <v>172.5</v>
      </c>
      <c r="L378" s="31"/>
      <c r="M378" s="25">
        <f t="shared" si="53"/>
        <v>0</v>
      </c>
      <c r="N378" s="32">
        <v>172.5</v>
      </c>
      <c r="O378" s="32"/>
      <c r="P378" s="25">
        <f t="shared" si="54"/>
        <v>0</v>
      </c>
      <c r="Q378" s="32">
        <v>172.5</v>
      </c>
      <c r="R378" s="32"/>
      <c r="S378" s="25">
        <f t="shared" si="55"/>
        <v>0</v>
      </c>
      <c r="T378" s="32">
        <v>172.5</v>
      </c>
      <c r="U378" s="32"/>
      <c r="V378" s="25">
        <f t="shared" si="59"/>
        <v>0</v>
      </c>
      <c r="W378" s="32">
        <v>172.5</v>
      </c>
      <c r="X378" s="32">
        <f t="shared" si="56"/>
        <v>0</v>
      </c>
      <c r="Y378" s="25">
        <f t="shared" si="57"/>
        <v>0</v>
      </c>
      <c r="AD378" s="26"/>
    </row>
    <row r="379" spans="1:30" x14ac:dyDescent="0.2">
      <c r="A379" s="24">
        <f t="shared" si="58"/>
        <v>13.152946437965905</v>
      </c>
      <c r="B379" s="32">
        <v>173</v>
      </c>
      <c r="C379" s="32"/>
      <c r="D379" s="25">
        <f t="shared" si="50"/>
        <v>0</v>
      </c>
      <c r="E379" s="32">
        <v>173</v>
      </c>
      <c r="F379" s="8"/>
      <c r="G379" s="25">
        <f t="shared" si="51"/>
        <v>0</v>
      </c>
      <c r="H379" s="32">
        <v>173</v>
      </c>
      <c r="I379" s="32"/>
      <c r="J379" s="25">
        <f t="shared" si="52"/>
        <v>0</v>
      </c>
      <c r="K379" s="32">
        <v>173</v>
      </c>
      <c r="L379" s="31"/>
      <c r="M379" s="25">
        <f t="shared" si="53"/>
        <v>0</v>
      </c>
      <c r="N379" s="32">
        <v>173</v>
      </c>
      <c r="O379" s="32"/>
      <c r="P379" s="25">
        <f t="shared" si="54"/>
        <v>0</v>
      </c>
      <c r="Q379" s="32">
        <v>173</v>
      </c>
      <c r="R379" s="32"/>
      <c r="S379" s="25">
        <f t="shared" si="55"/>
        <v>0</v>
      </c>
      <c r="T379" s="32">
        <v>173</v>
      </c>
      <c r="U379" s="32"/>
      <c r="V379" s="25">
        <f t="shared" si="59"/>
        <v>0</v>
      </c>
      <c r="W379" s="32">
        <v>173</v>
      </c>
      <c r="X379" s="32">
        <f t="shared" si="56"/>
        <v>0</v>
      </c>
      <c r="Y379" s="25">
        <f t="shared" si="57"/>
        <v>0</v>
      </c>
      <c r="AD379" s="26"/>
    </row>
    <row r="380" spans="1:30" x14ac:dyDescent="0.2">
      <c r="A380" s="24">
        <f t="shared" si="58"/>
        <v>13.171939872319491</v>
      </c>
      <c r="B380" s="32">
        <v>173.5</v>
      </c>
      <c r="C380" s="32"/>
      <c r="D380" s="25">
        <f t="shared" si="50"/>
        <v>0</v>
      </c>
      <c r="E380" s="32">
        <v>173.5</v>
      </c>
      <c r="F380" s="8"/>
      <c r="G380" s="25">
        <f t="shared" si="51"/>
        <v>0</v>
      </c>
      <c r="H380" s="32">
        <v>173.5</v>
      </c>
      <c r="I380" s="32"/>
      <c r="J380" s="25">
        <f t="shared" si="52"/>
        <v>0</v>
      </c>
      <c r="K380" s="32">
        <v>173.5</v>
      </c>
      <c r="L380" s="31"/>
      <c r="M380" s="25">
        <f t="shared" si="53"/>
        <v>0</v>
      </c>
      <c r="N380" s="32">
        <v>173.5</v>
      </c>
      <c r="O380" s="32"/>
      <c r="P380" s="25">
        <f t="shared" si="54"/>
        <v>0</v>
      </c>
      <c r="Q380" s="32">
        <v>173.5</v>
      </c>
      <c r="R380" s="32"/>
      <c r="S380" s="25">
        <f t="shared" si="55"/>
        <v>0</v>
      </c>
      <c r="T380" s="32">
        <v>173.5</v>
      </c>
      <c r="U380" s="32"/>
      <c r="V380" s="25">
        <f t="shared" si="59"/>
        <v>0</v>
      </c>
      <c r="W380" s="32">
        <v>173.5</v>
      </c>
      <c r="X380" s="32">
        <f t="shared" si="56"/>
        <v>0</v>
      </c>
      <c r="Y380" s="25">
        <f t="shared" si="57"/>
        <v>0</v>
      </c>
      <c r="AD380" s="26"/>
    </row>
    <row r="381" spans="1:30" x14ac:dyDescent="0.2">
      <c r="A381" s="24">
        <f t="shared" si="58"/>
        <v>13.19090595827292</v>
      </c>
      <c r="B381" s="32">
        <v>174</v>
      </c>
      <c r="C381" s="32"/>
      <c r="D381" s="25">
        <f t="shared" si="50"/>
        <v>0</v>
      </c>
      <c r="E381" s="32">
        <v>174</v>
      </c>
      <c r="F381" s="8"/>
      <c r="G381" s="25">
        <f t="shared" si="51"/>
        <v>0</v>
      </c>
      <c r="H381" s="32">
        <v>174</v>
      </c>
      <c r="I381" s="32"/>
      <c r="J381" s="25">
        <f t="shared" si="52"/>
        <v>0</v>
      </c>
      <c r="K381" s="32">
        <v>174</v>
      </c>
      <c r="L381" s="31"/>
      <c r="M381" s="25">
        <f t="shared" si="53"/>
        <v>0</v>
      </c>
      <c r="N381" s="32">
        <v>174</v>
      </c>
      <c r="O381" s="32"/>
      <c r="P381" s="25">
        <f t="shared" si="54"/>
        <v>0</v>
      </c>
      <c r="Q381" s="32">
        <v>174</v>
      </c>
      <c r="R381" s="32"/>
      <c r="S381" s="25">
        <f t="shared" si="55"/>
        <v>0</v>
      </c>
      <c r="T381" s="32">
        <v>174</v>
      </c>
      <c r="U381" s="32"/>
      <c r="V381" s="25">
        <f t="shared" si="59"/>
        <v>0</v>
      </c>
      <c r="W381" s="32">
        <v>174</v>
      </c>
      <c r="X381" s="32">
        <f t="shared" si="56"/>
        <v>0</v>
      </c>
      <c r="Y381" s="25">
        <f t="shared" si="57"/>
        <v>0</v>
      </c>
      <c r="AD381" s="26"/>
    </row>
    <row r="382" spans="1:30" x14ac:dyDescent="0.2">
      <c r="A382" s="24">
        <f t="shared" si="58"/>
        <v>13.209844813622906</v>
      </c>
      <c r="B382" s="32">
        <v>174.5</v>
      </c>
      <c r="C382" s="32"/>
      <c r="D382" s="25">
        <f t="shared" si="50"/>
        <v>0</v>
      </c>
      <c r="E382" s="32">
        <v>174.5</v>
      </c>
      <c r="F382" s="8"/>
      <c r="G382" s="25">
        <f t="shared" si="51"/>
        <v>0</v>
      </c>
      <c r="H382" s="32">
        <v>174.5</v>
      </c>
      <c r="I382" s="32"/>
      <c r="J382" s="25">
        <f t="shared" si="52"/>
        <v>0</v>
      </c>
      <c r="K382" s="32">
        <v>174.5</v>
      </c>
      <c r="L382" s="31"/>
      <c r="M382" s="25">
        <f t="shared" si="53"/>
        <v>0</v>
      </c>
      <c r="N382" s="32">
        <v>174.5</v>
      </c>
      <c r="O382" s="32"/>
      <c r="P382" s="25">
        <f t="shared" si="54"/>
        <v>0</v>
      </c>
      <c r="Q382" s="32">
        <v>174.5</v>
      </c>
      <c r="R382" s="32"/>
      <c r="S382" s="25">
        <f t="shared" si="55"/>
        <v>0</v>
      </c>
      <c r="T382" s="32">
        <v>174.5</v>
      </c>
      <c r="U382" s="32"/>
      <c r="V382" s="25">
        <f t="shared" si="59"/>
        <v>0</v>
      </c>
      <c r="W382" s="32">
        <v>174.5</v>
      </c>
      <c r="X382" s="32">
        <f t="shared" si="56"/>
        <v>0</v>
      </c>
      <c r="Y382" s="25">
        <f t="shared" si="57"/>
        <v>0</v>
      </c>
      <c r="AD382" s="26"/>
    </row>
    <row r="383" spans="1:30" x14ac:dyDescent="0.2">
      <c r="A383" s="24">
        <f t="shared" si="58"/>
        <v>13.228756555322953</v>
      </c>
      <c r="B383" s="32">
        <v>175</v>
      </c>
      <c r="C383" s="32"/>
      <c r="D383" s="25">
        <f t="shared" si="50"/>
        <v>0</v>
      </c>
      <c r="E383" s="32">
        <v>175</v>
      </c>
      <c r="F383" s="8"/>
      <c r="G383" s="25">
        <f t="shared" si="51"/>
        <v>0</v>
      </c>
      <c r="H383" s="32">
        <v>175</v>
      </c>
      <c r="I383" s="32"/>
      <c r="J383" s="25">
        <f t="shared" si="52"/>
        <v>0</v>
      </c>
      <c r="K383" s="32">
        <v>175</v>
      </c>
      <c r="L383" s="31"/>
      <c r="M383" s="25">
        <f t="shared" si="53"/>
        <v>0</v>
      </c>
      <c r="N383" s="32">
        <v>175</v>
      </c>
      <c r="O383" s="32"/>
      <c r="P383" s="25">
        <f t="shared" si="54"/>
        <v>0</v>
      </c>
      <c r="Q383" s="32">
        <v>175</v>
      </c>
      <c r="R383" s="32"/>
      <c r="S383" s="25">
        <f t="shared" si="55"/>
        <v>0</v>
      </c>
      <c r="T383" s="32">
        <v>175</v>
      </c>
      <c r="U383" s="32"/>
      <c r="V383" s="25">
        <f t="shared" si="59"/>
        <v>0</v>
      </c>
      <c r="W383" s="32">
        <v>175</v>
      </c>
      <c r="X383" s="32">
        <f t="shared" si="56"/>
        <v>0</v>
      </c>
      <c r="Y383" s="25">
        <f t="shared" si="57"/>
        <v>0</v>
      </c>
      <c r="AD383" s="26"/>
    </row>
    <row r="384" spans="1:30" x14ac:dyDescent="0.2">
      <c r="A384" s="24">
        <f t="shared" si="58"/>
        <v>13.24764129949177</v>
      </c>
      <c r="B384" s="32">
        <v>175.5</v>
      </c>
      <c r="C384" s="32"/>
      <c r="D384" s="25">
        <f t="shared" si="50"/>
        <v>0</v>
      </c>
      <c r="E384" s="32">
        <v>175.5</v>
      </c>
      <c r="F384" s="8"/>
      <c r="G384" s="25">
        <f t="shared" si="51"/>
        <v>0</v>
      </c>
      <c r="H384" s="32">
        <v>175.5</v>
      </c>
      <c r="I384" s="32"/>
      <c r="J384" s="25">
        <f t="shared" si="52"/>
        <v>0</v>
      </c>
      <c r="K384" s="32">
        <v>175.5</v>
      </c>
      <c r="L384" s="31"/>
      <c r="M384" s="25">
        <f t="shared" si="53"/>
        <v>0</v>
      </c>
      <c r="N384" s="32">
        <v>175.5</v>
      </c>
      <c r="O384" s="32"/>
      <c r="P384" s="25">
        <f t="shared" si="54"/>
        <v>0</v>
      </c>
      <c r="Q384" s="32">
        <v>175.5</v>
      </c>
      <c r="R384" s="32"/>
      <c r="S384" s="25">
        <f t="shared" si="55"/>
        <v>0</v>
      </c>
      <c r="T384" s="32">
        <v>175.5</v>
      </c>
      <c r="U384" s="32"/>
      <c r="V384" s="25">
        <f t="shared" si="59"/>
        <v>0</v>
      </c>
      <c r="W384" s="32">
        <v>175.5</v>
      </c>
      <c r="X384" s="32">
        <f t="shared" si="56"/>
        <v>0</v>
      </c>
      <c r="Y384" s="25">
        <f t="shared" si="57"/>
        <v>0</v>
      </c>
      <c r="AD384" s="26"/>
    </row>
    <row r="385" spans="1:30" x14ac:dyDescent="0.2">
      <c r="A385" s="24">
        <f t="shared" si="58"/>
        <v>13.266499161421599</v>
      </c>
      <c r="B385" s="32">
        <v>176</v>
      </c>
      <c r="C385" s="32"/>
      <c r="D385" s="25">
        <f t="shared" si="50"/>
        <v>0</v>
      </c>
      <c r="E385" s="32">
        <v>176</v>
      </c>
      <c r="F385" s="8"/>
      <c r="G385" s="25">
        <f t="shared" si="51"/>
        <v>0</v>
      </c>
      <c r="H385" s="32">
        <v>176</v>
      </c>
      <c r="I385" s="32"/>
      <c r="J385" s="25">
        <f t="shared" si="52"/>
        <v>0</v>
      </c>
      <c r="K385" s="32">
        <v>176</v>
      </c>
      <c r="L385" s="31"/>
      <c r="M385" s="25">
        <f t="shared" si="53"/>
        <v>0</v>
      </c>
      <c r="N385" s="32">
        <v>176</v>
      </c>
      <c r="O385" s="32"/>
      <c r="P385" s="25">
        <f t="shared" si="54"/>
        <v>0</v>
      </c>
      <c r="Q385" s="32">
        <v>176</v>
      </c>
      <c r="R385" s="32"/>
      <c r="S385" s="25">
        <f t="shared" si="55"/>
        <v>0</v>
      </c>
      <c r="T385" s="32">
        <v>176</v>
      </c>
      <c r="U385" s="32"/>
      <c r="V385" s="25">
        <f t="shared" si="59"/>
        <v>0</v>
      </c>
      <c r="W385" s="32">
        <v>176</v>
      </c>
      <c r="X385" s="32">
        <f t="shared" si="56"/>
        <v>0</v>
      </c>
      <c r="Y385" s="25">
        <f t="shared" si="57"/>
        <v>0</v>
      </c>
      <c r="AD385" s="26"/>
    </row>
    <row r="386" spans="1:30" x14ac:dyDescent="0.2">
      <c r="A386" s="24">
        <f t="shared" si="58"/>
        <v>13.285330255586423</v>
      </c>
      <c r="B386" s="32">
        <v>176.5</v>
      </c>
      <c r="C386" s="32"/>
      <c r="D386" s="25">
        <f t="shared" si="50"/>
        <v>0</v>
      </c>
      <c r="E386" s="32">
        <v>176.5</v>
      </c>
      <c r="F386" s="8"/>
      <c r="G386" s="25">
        <f t="shared" si="51"/>
        <v>0</v>
      </c>
      <c r="H386" s="32">
        <v>176.5</v>
      </c>
      <c r="I386" s="32"/>
      <c r="J386" s="25">
        <f t="shared" si="52"/>
        <v>0</v>
      </c>
      <c r="K386" s="32">
        <v>176.5</v>
      </c>
      <c r="L386" s="31"/>
      <c r="M386" s="25">
        <f t="shared" si="53"/>
        <v>0</v>
      </c>
      <c r="N386" s="32">
        <v>176.5</v>
      </c>
      <c r="O386" s="32"/>
      <c r="P386" s="25">
        <f t="shared" si="54"/>
        <v>0</v>
      </c>
      <c r="Q386" s="32">
        <v>176.5</v>
      </c>
      <c r="R386" s="32"/>
      <c r="S386" s="25">
        <f t="shared" si="55"/>
        <v>0</v>
      </c>
      <c r="T386" s="32">
        <v>176.5</v>
      </c>
      <c r="U386" s="32"/>
      <c r="V386" s="25">
        <f t="shared" si="59"/>
        <v>0</v>
      </c>
      <c r="W386" s="32">
        <v>176.5</v>
      </c>
      <c r="X386" s="32">
        <f t="shared" si="56"/>
        <v>0</v>
      </c>
      <c r="Y386" s="25">
        <f t="shared" si="57"/>
        <v>0</v>
      </c>
      <c r="AD386" s="26"/>
    </row>
    <row r="387" spans="1:30" x14ac:dyDescent="0.2">
      <c r="A387" s="24">
        <f t="shared" si="58"/>
        <v>13.30413469565007</v>
      </c>
      <c r="B387" s="32">
        <v>177</v>
      </c>
      <c r="C387" s="32"/>
      <c r="D387" s="25">
        <f t="shared" si="50"/>
        <v>0</v>
      </c>
      <c r="E387" s="32">
        <v>177</v>
      </c>
      <c r="F387" s="8"/>
      <c r="G387" s="25">
        <f t="shared" si="51"/>
        <v>0</v>
      </c>
      <c r="H387" s="32">
        <v>177</v>
      </c>
      <c r="I387" s="32"/>
      <c r="J387" s="25">
        <f t="shared" si="52"/>
        <v>0</v>
      </c>
      <c r="K387" s="32">
        <v>177</v>
      </c>
      <c r="L387" s="31"/>
      <c r="M387" s="25">
        <f t="shared" si="53"/>
        <v>0</v>
      </c>
      <c r="N387" s="32">
        <v>177</v>
      </c>
      <c r="O387" s="32"/>
      <c r="P387" s="25">
        <f t="shared" si="54"/>
        <v>0</v>
      </c>
      <c r="Q387" s="32">
        <v>177</v>
      </c>
      <c r="R387" s="32"/>
      <c r="S387" s="25">
        <f t="shared" si="55"/>
        <v>0</v>
      </c>
      <c r="T387" s="32">
        <v>177</v>
      </c>
      <c r="U387" s="32"/>
      <c r="V387" s="25">
        <f t="shared" si="59"/>
        <v>0</v>
      </c>
      <c r="W387" s="32">
        <v>177</v>
      </c>
      <c r="X387" s="32">
        <f t="shared" si="56"/>
        <v>0</v>
      </c>
      <c r="Y387" s="25">
        <f t="shared" si="57"/>
        <v>0</v>
      </c>
      <c r="AD387" s="26"/>
    </row>
    <row r="388" spans="1:30" x14ac:dyDescent="0.2">
      <c r="A388" s="24">
        <f t="shared" si="58"/>
        <v>13.322912594474229</v>
      </c>
      <c r="B388" s="32">
        <v>177.5</v>
      </c>
      <c r="C388" s="32"/>
      <c r="D388" s="25">
        <f t="shared" si="50"/>
        <v>0</v>
      </c>
      <c r="E388" s="32">
        <v>177.5</v>
      </c>
      <c r="F388" s="8"/>
      <c r="G388" s="25">
        <f t="shared" si="51"/>
        <v>0</v>
      </c>
      <c r="H388" s="32">
        <v>177.5</v>
      </c>
      <c r="I388" s="32"/>
      <c r="J388" s="25">
        <f t="shared" si="52"/>
        <v>0</v>
      </c>
      <c r="K388" s="32">
        <v>177.5</v>
      </c>
      <c r="L388" s="31"/>
      <c r="M388" s="25">
        <f t="shared" si="53"/>
        <v>0</v>
      </c>
      <c r="N388" s="32">
        <v>177.5</v>
      </c>
      <c r="O388" s="32"/>
      <c r="P388" s="25">
        <f t="shared" si="54"/>
        <v>0</v>
      </c>
      <c r="Q388" s="32">
        <v>177.5</v>
      </c>
      <c r="R388" s="32"/>
      <c r="S388" s="25">
        <f t="shared" si="55"/>
        <v>0</v>
      </c>
      <c r="T388" s="32">
        <v>177.5</v>
      </c>
      <c r="U388" s="32"/>
      <c r="V388" s="25">
        <f t="shared" si="59"/>
        <v>0</v>
      </c>
      <c r="W388" s="32">
        <v>177.5</v>
      </c>
      <c r="X388" s="32">
        <f t="shared" si="56"/>
        <v>0</v>
      </c>
      <c r="Y388" s="25">
        <f t="shared" si="57"/>
        <v>0</v>
      </c>
      <c r="AD388" s="26"/>
    </row>
    <row r="389" spans="1:30" x14ac:dyDescent="0.2">
      <c r="A389" s="24">
        <f t="shared" si="58"/>
        <v>13.341664064126334</v>
      </c>
      <c r="B389" s="32">
        <v>178</v>
      </c>
      <c r="C389" s="32"/>
      <c r="D389" s="25">
        <f t="shared" ref="D389:D452" si="60">C389</f>
        <v>0</v>
      </c>
      <c r="E389" s="32">
        <v>178</v>
      </c>
      <c r="F389" s="8"/>
      <c r="G389" s="25">
        <f t="shared" ref="G389:G452" si="61">F389+$AB$2</f>
        <v>0</v>
      </c>
      <c r="H389" s="32">
        <v>178</v>
      </c>
      <c r="I389" s="32"/>
      <c r="J389" s="25">
        <f t="shared" ref="J389:J452" si="62">I389+$AB$3</f>
        <v>0</v>
      </c>
      <c r="K389" s="32">
        <v>178</v>
      </c>
      <c r="L389" s="31"/>
      <c r="M389" s="25">
        <f t="shared" ref="M389:M452" si="63">L389+$AB$4</f>
        <v>0</v>
      </c>
      <c r="N389" s="32">
        <v>178</v>
      </c>
      <c r="O389" s="32"/>
      <c r="P389" s="25">
        <f t="shared" ref="P389:P452" si="64">O389+$AB$5</f>
        <v>0</v>
      </c>
      <c r="Q389" s="32">
        <v>178</v>
      </c>
      <c r="R389" s="32"/>
      <c r="S389" s="25">
        <f t="shared" ref="S389:S452" si="65">R389+$AB$6</f>
        <v>0</v>
      </c>
      <c r="T389" s="32">
        <v>178</v>
      </c>
      <c r="U389" s="32"/>
      <c r="V389" s="25">
        <f t="shared" si="59"/>
        <v>0</v>
      </c>
      <c r="W389" s="32">
        <v>178</v>
      </c>
      <c r="X389" s="32">
        <f t="shared" ref="X389:X452" si="66">U389</f>
        <v>0</v>
      </c>
      <c r="Y389" s="25">
        <f t="shared" ref="Y389:Y452" si="67">X389+$AB$8</f>
        <v>0</v>
      </c>
      <c r="AD389" s="26"/>
    </row>
    <row r="390" spans="1:30" x14ac:dyDescent="0.2">
      <c r="A390" s="24">
        <f t="shared" ref="A390:A453" si="68">SQRT(B390)</f>
        <v>13.360389215887388</v>
      </c>
      <c r="B390" s="32">
        <v>178.5</v>
      </c>
      <c r="C390" s="32"/>
      <c r="D390" s="25">
        <f t="shared" si="60"/>
        <v>0</v>
      </c>
      <c r="E390" s="32">
        <v>178.5</v>
      </c>
      <c r="F390" s="8"/>
      <c r="G390" s="25">
        <f t="shared" si="61"/>
        <v>0</v>
      </c>
      <c r="H390" s="32">
        <v>178.5</v>
      </c>
      <c r="I390" s="32"/>
      <c r="J390" s="25">
        <f t="shared" si="62"/>
        <v>0</v>
      </c>
      <c r="K390" s="32">
        <v>178.5</v>
      </c>
      <c r="L390" s="31"/>
      <c r="M390" s="25">
        <f t="shared" si="63"/>
        <v>0</v>
      </c>
      <c r="N390" s="32">
        <v>178.5</v>
      </c>
      <c r="O390" s="32"/>
      <c r="P390" s="25">
        <f t="shared" si="64"/>
        <v>0</v>
      </c>
      <c r="Q390" s="32">
        <v>178.5</v>
      </c>
      <c r="R390" s="32"/>
      <c r="S390" s="25">
        <f t="shared" si="65"/>
        <v>0</v>
      </c>
      <c r="T390" s="32">
        <v>178.5</v>
      </c>
      <c r="U390" s="32"/>
      <c r="V390" s="25">
        <f t="shared" ref="V390:V453" si="69">Y390</f>
        <v>0</v>
      </c>
      <c r="W390" s="32">
        <v>178.5</v>
      </c>
      <c r="X390" s="32">
        <f t="shared" si="66"/>
        <v>0</v>
      </c>
      <c r="Y390" s="25">
        <f t="shared" si="67"/>
        <v>0</v>
      </c>
      <c r="AD390" s="26"/>
    </row>
    <row r="391" spans="1:30" x14ac:dyDescent="0.2">
      <c r="A391" s="24">
        <f t="shared" si="68"/>
        <v>13.379088160259652</v>
      </c>
      <c r="B391" s="32">
        <v>179</v>
      </c>
      <c r="C391" s="32"/>
      <c r="D391" s="25">
        <f t="shared" si="60"/>
        <v>0</v>
      </c>
      <c r="E391" s="32">
        <v>179</v>
      </c>
      <c r="F391" s="8"/>
      <c r="G391" s="25">
        <f t="shared" si="61"/>
        <v>0</v>
      </c>
      <c r="H391" s="32">
        <v>179</v>
      </c>
      <c r="I391" s="32"/>
      <c r="J391" s="25">
        <f t="shared" si="62"/>
        <v>0</v>
      </c>
      <c r="K391" s="32">
        <v>179</v>
      </c>
      <c r="L391" s="31"/>
      <c r="M391" s="25">
        <f t="shared" si="63"/>
        <v>0</v>
      </c>
      <c r="N391" s="32">
        <v>179</v>
      </c>
      <c r="O391" s="32"/>
      <c r="P391" s="25">
        <f t="shared" si="64"/>
        <v>0</v>
      </c>
      <c r="Q391" s="32">
        <v>179</v>
      </c>
      <c r="R391" s="32"/>
      <c r="S391" s="25">
        <f t="shared" si="65"/>
        <v>0</v>
      </c>
      <c r="T391" s="32">
        <v>179</v>
      </c>
      <c r="U391" s="32"/>
      <c r="V391" s="25">
        <f t="shared" si="69"/>
        <v>0</v>
      </c>
      <c r="W391" s="32">
        <v>179</v>
      </c>
      <c r="X391" s="32">
        <f t="shared" si="66"/>
        <v>0</v>
      </c>
      <c r="Y391" s="25">
        <f t="shared" si="67"/>
        <v>0</v>
      </c>
      <c r="AD391" s="26"/>
    </row>
    <row r="392" spans="1:30" x14ac:dyDescent="0.2">
      <c r="A392" s="24">
        <f t="shared" si="68"/>
        <v>13.397761006974262</v>
      </c>
      <c r="B392" s="32">
        <v>179.5</v>
      </c>
      <c r="C392" s="32"/>
      <c r="D392" s="25">
        <f t="shared" si="60"/>
        <v>0</v>
      </c>
      <c r="E392" s="32">
        <v>179.5</v>
      </c>
      <c r="F392" s="8"/>
      <c r="G392" s="25">
        <f t="shared" si="61"/>
        <v>0</v>
      </c>
      <c r="H392" s="32">
        <v>179.5</v>
      </c>
      <c r="I392" s="32"/>
      <c r="J392" s="25">
        <f t="shared" si="62"/>
        <v>0</v>
      </c>
      <c r="K392" s="32">
        <v>179.5</v>
      </c>
      <c r="L392" s="31"/>
      <c r="M392" s="25">
        <f t="shared" si="63"/>
        <v>0</v>
      </c>
      <c r="N392" s="32">
        <v>179.5</v>
      </c>
      <c r="O392" s="32"/>
      <c r="P392" s="25">
        <f t="shared" si="64"/>
        <v>0</v>
      </c>
      <c r="Q392" s="32">
        <v>179.5</v>
      </c>
      <c r="R392" s="32"/>
      <c r="S392" s="25">
        <f t="shared" si="65"/>
        <v>0</v>
      </c>
      <c r="T392" s="32">
        <v>179.5</v>
      </c>
      <c r="U392" s="32"/>
      <c r="V392" s="25">
        <f t="shared" si="69"/>
        <v>0</v>
      </c>
      <c r="W392" s="32">
        <v>179.5</v>
      </c>
      <c r="X392" s="32">
        <f t="shared" si="66"/>
        <v>0</v>
      </c>
      <c r="Y392" s="25">
        <f t="shared" si="67"/>
        <v>0</v>
      </c>
      <c r="AD392" s="26"/>
    </row>
    <row r="393" spans="1:30" x14ac:dyDescent="0.2">
      <c r="A393" s="24">
        <f t="shared" si="68"/>
        <v>13.416407864998739</v>
      </c>
      <c r="B393" s="32">
        <v>180</v>
      </c>
      <c r="C393" s="32"/>
      <c r="D393" s="25">
        <f t="shared" si="60"/>
        <v>0</v>
      </c>
      <c r="E393" s="32">
        <v>180</v>
      </c>
      <c r="F393" s="8"/>
      <c r="G393" s="25">
        <f t="shared" si="61"/>
        <v>0</v>
      </c>
      <c r="H393" s="32">
        <v>180</v>
      </c>
      <c r="I393" s="32"/>
      <c r="J393" s="25">
        <f t="shared" si="62"/>
        <v>0</v>
      </c>
      <c r="K393" s="32">
        <v>180</v>
      </c>
      <c r="L393" s="31"/>
      <c r="M393" s="25">
        <f t="shared" si="63"/>
        <v>0</v>
      </c>
      <c r="N393" s="32">
        <v>180</v>
      </c>
      <c r="O393" s="32"/>
      <c r="P393" s="25">
        <f t="shared" si="64"/>
        <v>0</v>
      </c>
      <c r="Q393" s="32">
        <v>180</v>
      </c>
      <c r="R393" s="32"/>
      <c r="S393" s="25">
        <f t="shared" si="65"/>
        <v>0</v>
      </c>
      <c r="T393" s="32">
        <v>180</v>
      </c>
      <c r="U393" s="32"/>
      <c r="V393" s="25">
        <f t="shared" si="69"/>
        <v>0</v>
      </c>
      <c r="W393" s="32">
        <v>180</v>
      </c>
      <c r="X393" s="32">
        <f t="shared" si="66"/>
        <v>0</v>
      </c>
      <c r="Y393" s="25">
        <f t="shared" si="67"/>
        <v>0</v>
      </c>
      <c r="AD393" s="26"/>
    </row>
    <row r="394" spans="1:30" x14ac:dyDescent="0.2">
      <c r="A394" s="24">
        <f t="shared" si="68"/>
        <v>13.435028842544403</v>
      </c>
      <c r="B394" s="32">
        <v>180.5</v>
      </c>
      <c r="C394" s="32"/>
      <c r="D394" s="25">
        <f t="shared" si="60"/>
        <v>0</v>
      </c>
      <c r="E394" s="32">
        <v>180.5</v>
      </c>
      <c r="F394" s="8"/>
      <c r="G394" s="25">
        <f t="shared" si="61"/>
        <v>0</v>
      </c>
      <c r="H394" s="32">
        <v>180.5</v>
      </c>
      <c r="I394" s="32"/>
      <c r="J394" s="25">
        <f t="shared" si="62"/>
        <v>0</v>
      </c>
      <c r="K394" s="32">
        <v>180.5</v>
      </c>
      <c r="L394" s="31"/>
      <c r="M394" s="25">
        <f t="shared" si="63"/>
        <v>0</v>
      </c>
      <c r="N394" s="32">
        <v>180.5</v>
      </c>
      <c r="O394" s="32"/>
      <c r="P394" s="25">
        <f t="shared" si="64"/>
        <v>0</v>
      </c>
      <c r="Q394" s="32">
        <v>180.5</v>
      </c>
      <c r="R394" s="32"/>
      <c r="S394" s="25">
        <f t="shared" si="65"/>
        <v>0</v>
      </c>
      <c r="T394" s="32">
        <v>180.5</v>
      </c>
      <c r="U394" s="32"/>
      <c r="V394" s="25">
        <f t="shared" si="69"/>
        <v>0</v>
      </c>
      <c r="W394" s="32">
        <v>180.5</v>
      </c>
      <c r="X394" s="32">
        <f t="shared" si="66"/>
        <v>0</v>
      </c>
      <c r="Y394" s="25">
        <f t="shared" si="67"/>
        <v>0</v>
      </c>
      <c r="AD394" s="26"/>
    </row>
    <row r="395" spans="1:30" x14ac:dyDescent="0.2">
      <c r="A395" s="24">
        <f t="shared" si="68"/>
        <v>13.45362404707371</v>
      </c>
      <c r="B395" s="32">
        <v>181</v>
      </c>
      <c r="C395" s="32"/>
      <c r="D395" s="25">
        <f t="shared" si="60"/>
        <v>0</v>
      </c>
      <c r="E395" s="32">
        <v>181</v>
      </c>
      <c r="F395" s="8"/>
      <c r="G395" s="25">
        <f t="shared" si="61"/>
        <v>0</v>
      </c>
      <c r="H395" s="32">
        <v>181</v>
      </c>
      <c r="I395" s="32"/>
      <c r="J395" s="25">
        <f t="shared" si="62"/>
        <v>0</v>
      </c>
      <c r="K395" s="32">
        <v>181</v>
      </c>
      <c r="L395" s="31"/>
      <c r="M395" s="25">
        <f t="shared" si="63"/>
        <v>0</v>
      </c>
      <c r="N395" s="32">
        <v>181</v>
      </c>
      <c r="O395" s="32"/>
      <c r="P395" s="25">
        <f t="shared" si="64"/>
        <v>0</v>
      </c>
      <c r="Q395" s="32">
        <v>181</v>
      </c>
      <c r="R395" s="32"/>
      <c r="S395" s="25">
        <f t="shared" si="65"/>
        <v>0</v>
      </c>
      <c r="T395" s="32">
        <v>181</v>
      </c>
      <c r="U395" s="32"/>
      <c r="V395" s="25">
        <f t="shared" si="69"/>
        <v>0</v>
      </c>
      <c r="W395" s="32">
        <v>181</v>
      </c>
      <c r="X395" s="32">
        <f t="shared" si="66"/>
        <v>0</v>
      </c>
      <c r="Y395" s="25">
        <f t="shared" si="67"/>
        <v>0</v>
      </c>
      <c r="AD395" s="26"/>
    </row>
    <row r="396" spans="1:30" x14ac:dyDescent="0.2">
      <c r="A396" s="24">
        <f t="shared" si="68"/>
        <v>13.47219358530748</v>
      </c>
      <c r="B396" s="32">
        <v>181.5</v>
      </c>
      <c r="C396" s="32"/>
      <c r="D396" s="25">
        <f t="shared" si="60"/>
        <v>0</v>
      </c>
      <c r="E396" s="32">
        <v>181.5</v>
      </c>
      <c r="F396" s="8"/>
      <c r="G396" s="25">
        <f t="shared" si="61"/>
        <v>0</v>
      </c>
      <c r="H396" s="32">
        <v>181.5</v>
      </c>
      <c r="I396" s="32"/>
      <c r="J396" s="25">
        <f t="shared" si="62"/>
        <v>0</v>
      </c>
      <c r="K396" s="32">
        <v>181.5</v>
      </c>
      <c r="L396" s="31"/>
      <c r="M396" s="25">
        <f t="shared" si="63"/>
        <v>0</v>
      </c>
      <c r="N396" s="32">
        <v>181.5</v>
      </c>
      <c r="O396" s="32"/>
      <c r="P396" s="25">
        <f t="shared" si="64"/>
        <v>0</v>
      </c>
      <c r="Q396" s="32">
        <v>181.5</v>
      </c>
      <c r="R396" s="32"/>
      <c r="S396" s="25">
        <f t="shared" si="65"/>
        <v>0</v>
      </c>
      <c r="T396" s="32">
        <v>181.5</v>
      </c>
      <c r="U396" s="32"/>
      <c r="V396" s="25">
        <f t="shared" si="69"/>
        <v>0</v>
      </c>
      <c r="W396" s="32">
        <v>181.5</v>
      </c>
      <c r="X396" s="32">
        <f t="shared" si="66"/>
        <v>0</v>
      </c>
      <c r="Y396" s="25">
        <f t="shared" si="67"/>
        <v>0</v>
      </c>
      <c r="AD396" s="26"/>
    </row>
    <row r="397" spans="1:30" x14ac:dyDescent="0.2">
      <c r="A397" s="24">
        <f t="shared" si="68"/>
        <v>13.490737563232042</v>
      </c>
      <c r="B397" s="32">
        <v>182</v>
      </c>
      <c r="C397" s="32"/>
      <c r="D397" s="25">
        <f t="shared" si="60"/>
        <v>0</v>
      </c>
      <c r="E397" s="32">
        <v>182</v>
      </c>
      <c r="F397" s="8"/>
      <c r="G397" s="25">
        <f t="shared" si="61"/>
        <v>0</v>
      </c>
      <c r="H397" s="32">
        <v>182</v>
      </c>
      <c r="I397" s="32"/>
      <c r="J397" s="25">
        <f t="shared" si="62"/>
        <v>0</v>
      </c>
      <c r="K397" s="32">
        <v>182</v>
      </c>
      <c r="L397" s="31"/>
      <c r="M397" s="25">
        <f t="shared" si="63"/>
        <v>0</v>
      </c>
      <c r="N397" s="32">
        <v>182</v>
      </c>
      <c r="O397" s="32"/>
      <c r="P397" s="25">
        <f t="shared" si="64"/>
        <v>0</v>
      </c>
      <c r="Q397" s="32">
        <v>182</v>
      </c>
      <c r="R397" s="32"/>
      <c r="S397" s="25">
        <f t="shared" si="65"/>
        <v>0</v>
      </c>
      <c r="T397" s="32">
        <v>182</v>
      </c>
      <c r="U397" s="32"/>
      <c r="V397" s="25">
        <f t="shared" si="69"/>
        <v>0</v>
      </c>
      <c r="W397" s="32">
        <v>182</v>
      </c>
      <c r="X397" s="32">
        <f t="shared" si="66"/>
        <v>0</v>
      </c>
      <c r="Y397" s="25">
        <f t="shared" si="67"/>
        <v>0</v>
      </c>
      <c r="AD397" s="26"/>
    </row>
    <row r="398" spans="1:30" x14ac:dyDescent="0.2">
      <c r="A398" s="24">
        <f t="shared" si="68"/>
        <v>13.509256086106296</v>
      </c>
      <c r="B398" s="32">
        <v>182.5</v>
      </c>
      <c r="C398" s="32"/>
      <c r="D398" s="25">
        <f t="shared" si="60"/>
        <v>0</v>
      </c>
      <c r="E398" s="32">
        <v>182.5</v>
      </c>
      <c r="F398" s="8"/>
      <c r="G398" s="25">
        <f t="shared" si="61"/>
        <v>0</v>
      </c>
      <c r="H398" s="32">
        <v>182.5</v>
      </c>
      <c r="I398" s="32"/>
      <c r="J398" s="25">
        <f t="shared" si="62"/>
        <v>0</v>
      </c>
      <c r="K398" s="32">
        <v>182.5</v>
      </c>
      <c r="L398" s="31"/>
      <c r="M398" s="25">
        <f t="shared" si="63"/>
        <v>0</v>
      </c>
      <c r="N398" s="32">
        <v>182.5</v>
      </c>
      <c r="O398" s="32"/>
      <c r="P398" s="25">
        <f t="shared" si="64"/>
        <v>0</v>
      </c>
      <c r="Q398" s="32">
        <v>182.5</v>
      </c>
      <c r="R398" s="32"/>
      <c r="S398" s="25">
        <f t="shared" si="65"/>
        <v>0</v>
      </c>
      <c r="T398" s="32">
        <v>182.5</v>
      </c>
      <c r="U398" s="32"/>
      <c r="V398" s="25">
        <f t="shared" si="69"/>
        <v>0</v>
      </c>
      <c r="W398" s="32">
        <v>182.5</v>
      </c>
      <c r="X398" s="32">
        <f t="shared" si="66"/>
        <v>0</v>
      </c>
      <c r="Y398" s="25">
        <f t="shared" si="67"/>
        <v>0</v>
      </c>
      <c r="AD398" s="26"/>
    </row>
    <row r="399" spans="1:30" x14ac:dyDescent="0.2">
      <c r="A399" s="24">
        <f t="shared" si="68"/>
        <v>13.527749258468683</v>
      </c>
      <c r="B399" s="32">
        <v>183</v>
      </c>
      <c r="C399" s="32"/>
      <c r="D399" s="25">
        <f t="shared" si="60"/>
        <v>0</v>
      </c>
      <c r="E399" s="32">
        <v>183</v>
      </c>
      <c r="F399" s="8"/>
      <c r="G399" s="25">
        <f t="shared" si="61"/>
        <v>0</v>
      </c>
      <c r="H399" s="32">
        <v>183</v>
      </c>
      <c r="I399" s="32"/>
      <c r="J399" s="25">
        <f t="shared" si="62"/>
        <v>0</v>
      </c>
      <c r="K399" s="32">
        <v>183</v>
      </c>
      <c r="L399" s="31"/>
      <c r="M399" s="25">
        <f t="shared" si="63"/>
        <v>0</v>
      </c>
      <c r="N399" s="32">
        <v>183</v>
      </c>
      <c r="O399" s="32"/>
      <c r="P399" s="25">
        <f t="shared" si="64"/>
        <v>0</v>
      </c>
      <c r="Q399" s="32">
        <v>183</v>
      </c>
      <c r="R399" s="32"/>
      <c r="S399" s="25">
        <f t="shared" si="65"/>
        <v>0</v>
      </c>
      <c r="T399" s="32">
        <v>183</v>
      </c>
      <c r="U399" s="32"/>
      <c r="V399" s="25">
        <f t="shared" si="69"/>
        <v>0</v>
      </c>
      <c r="W399" s="32">
        <v>183</v>
      </c>
      <c r="X399" s="32">
        <f t="shared" si="66"/>
        <v>0</v>
      </c>
      <c r="Y399" s="25">
        <f t="shared" si="67"/>
        <v>0</v>
      </c>
      <c r="AD399" s="26"/>
    </row>
    <row r="400" spans="1:30" x14ac:dyDescent="0.2">
      <c r="A400" s="24">
        <f t="shared" si="68"/>
        <v>13.546217184144066</v>
      </c>
      <c r="B400" s="32">
        <v>183.5</v>
      </c>
      <c r="C400" s="32"/>
      <c r="D400" s="25">
        <f t="shared" si="60"/>
        <v>0</v>
      </c>
      <c r="E400" s="32">
        <v>183.5</v>
      </c>
      <c r="F400" s="8"/>
      <c r="G400" s="25">
        <f t="shared" si="61"/>
        <v>0</v>
      </c>
      <c r="H400" s="32">
        <v>183.5</v>
      </c>
      <c r="I400" s="32"/>
      <c r="J400" s="25">
        <f t="shared" si="62"/>
        <v>0</v>
      </c>
      <c r="K400" s="32">
        <v>183.5</v>
      </c>
      <c r="L400" s="31"/>
      <c r="M400" s="25">
        <f t="shared" si="63"/>
        <v>0</v>
      </c>
      <c r="N400" s="32">
        <v>183.5</v>
      </c>
      <c r="O400" s="32"/>
      <c r="P400" s="25">
        <f t="shared" si="64"/>
        <v>0</v>
      </c>
      <c r="Q400" s="32">
        <v>183.5</v>
      </c>
      <c r="R400" s="32"/>
      <c r="S400" s="25">
        <f t="shared" si="65"/>
        <v>0</v>
      </c>
      <c r="T400" s="32">
        <v>183.5</v>
      </c>
      <c r="U400" s="32"/>
      <c r="V400" s="25">
        <f t="shared" si="69"/>
        <v>0</v>
      </c>
      <c r="W400" s="32">
        <v>183.5</v>
      </c>
      <c r="X400" s="32">
        <f t="shared" si="66"/>
        <v>0</v>
      </c>
      <c r="Y400" s="25">
        <f t="shared" si="67"/>
        <v>0</v>
      </c>
      <c r="AD400" s="26"/>
    </row>
    <row r="401" spans="1:30" x14ac:dyDescent="0.2">
      <c r="A401" s="24">
        <f t="shared" si="68"/>
        <v>13.564659966250536</v>
      </c>
      <c r="B401" s="32">
        <v>184</v>
      </c>
      <c r="C401" s="32"/>
      <c r="D401" s="25">
        <f t="shared" si="60"/>
        <v>0</v>
      </c>
      <c r="E401" s="32">
        <v>184</v>
      </c>
      <c r="F401" s="8"/>
      <c r="G401" s="25">
        <f t="shared" si="61"/>
        <v>0</v>
      </c>
      <c r="H401" s="32">
        <v>184</v>
      </c>
      <c r="I401" s="32"/>
      <c r="J401" s="25">
        <f t="shared" si="62"/>
        <v>0</v>
      </c>
      <c r="K401" s="32">
        <v>184</v>
      </c>
      <c r="L401" s="31"/>
      <c r="M401" s="25">
        <f t="shared" si="63"/>
        <v>0</v>
      </c>
      <c r="N401" s="32">
        <v>184</v>
      </c>
      <c r="O401" s="32"/>
      <c r="P401" s="25">
        <f t="shared" si="64"/>
        <v>0</v>
      </c>
      <c r="Q401" s="32">
        <v>184</v>
      </c>
      <c r="R401" s="32"/>
      <c r="S401" s="25">
        <f t="shared" si="65"/>
        <v>0</v>
      </c>
      <c r="T401" s="32">
        <v>184</v>
      </c>
      <c r="U401" s="32"/>
      <c r="V401" s="25">
        <f t="shared" si="69"/>
        <v>0</v>
      </c>
      <c r="W401" s="32">
        <v>184</v>
      </c>
      <c r="X401" s="32">
        <f t="shared" si="66"/>
        <v>0</v>
      </c>
      <c r="Y401" s="25">
        <f t="shared" si="67"/>
        <v>0</v>
      </c>
      <c r="AD401" s="26"/>
    </row>
    <row r="402" spans="1:30" x14ac:dyDescent="0.2">
      <c r="A402" s="24">
        <f t="shared" si="68"/>
        <v>13.583077707206124</v>
      </c>
      <c r="B402" s="32">
        <v>184.5</v>
      </c>
      <c r="C402" s="32"/>
      <c r="D402" s="25">
        <f t="shared" si="60"/>
        <v>0</v>
      </c>
      <c r="E402" s="32">
        <v>184.5</v>
      </c>
      <c r="F402" s="8"/>
      <c r="G402" s="25">
        <f t="shared" si="61"/>
        <v>0</v>
      </c>
      <c r="H402" s="32">
        <v>184.5</v>
      </c>
      <c r="I402" s="32"/>
      <c r="J402" s="25">
        <f t="shared" si="62"/>
        <v>0</v>
      </c>
      <c r="K402" s="32">
        <v>184.5</v>
      </c>
      <c r="L402" s="31"/>
      <c r="M402" s="25">
        <f t="shared" si="63"/>
        <v>0</v>
      </c>
      <c r="N402" s="32">
        <v>184.5</v>
      </c>
      <c r="O402" s="32"/>
      <c r="P402" s="25">
        <f t="shared" si="64"/>
        <v>0</v>
      </c>
      <c r="Q402" s="32">
        <v>184.5</v>
      </c>
      <c r="R402" s="32"/>
      <c r="S402" s="25">
        <f t="shared" si="65"/>
        <v>0</v>
      </c>
      <c r="T402" s="32">
        <v>184.5</v>
      </c>
      <c r="U402" s="32"/>
      <c r="V402" s="25">
        <f t="shared" si="69"/>
        <v>0</v>
      </c>
      <c r="W402" s="32">
        <v>184.5</v>
      </c>
      <c r="X402" s="32">
        <f t="shared" si="66"/>
        <v>0</v>
      </c>
      <c r="Y402" s="25">
        <f t="shared" si="67"/>
        <v>0</v>
      </c>
      <c r="AD402" s="26"/>
    </row>
    <row r="403" spans="1:30" x14ac:dyDescent="0.2">
      <c r="A403" s="24">
        <f t="shared" si="68"/>
        <v>13.601470508735444</v>
      </c>
      <c r="B403" s="32">
        <v>185</v>
      </c>
      <c r="C403" s="32"/>
      <c r="D403" s="25">
        <f t="shared" si="60"/>
        <v>0</v>
      </c>
      <c r="E403" s="32">
        <v>185</v>
      </c>
      <c r="F403" s="8"/>
      <c r="G403" s="25">
        <f t="shared" si="61"/>
        <v>0</v>
      </c>
      <c r="H403" s="32">
        <v>185</v>
      </c>
      <c r="I403" s="32"/>
      <c r="J403" s="25">
        <f t="shared" si="62"/>
        <v>0</v>
      </c>
      <c r="K403" s="32">
        <v>185</v>
      </c>
      <c r="L403" s="31"/>
      <c r="M403" s="25">
        <f t="shared" si="63"/>
        <v>0</v>
      </c>
      <c r="N403" s="32">
        <v>185</v>
      </c>
      <c r="O403" s="32"/>
      <c r="P403" s="25">
        <f t="shared" si="64"/>
        <v>0</v>
      </c>
      <c r="Q403" s="32">
        <v>185</v>
      </c>
      <c r="R403" s="32"/>
      <c r="S403" s="25">
        <f t="shared" si="65"/>
        <v>0</v>
      </c>
      <c r="T403" s="32">
        <v>185</v>
      </c>
      <c r="U403" s="32"/>
      <c r="V403" s="25">
        <f t="shared" si="69"/>
        <v>0</v>
      </c>
      <c r="W403" s="32">
        <v>185</v>
      </c>
      <c r="X403" s="32">
        <f t="shared" si="66"/>
        <v>0</v>
      </c>
      <c r="Y403" s="25">
        <f t="shared" si="67"/>
        <v>0</v>
      </c>
      <c r="AD403" s="26"/>
    </row>
    <row r="404" spans="1:30" x14ac:dyDescent="0.2">
      <c r="A404" s="24">
        <f t="shared" si="68"/>
        <v>13.619838471876236</v>
      </c>
      <c r="B404" s="32">
        <v>185.5</v>
      </c>
      <c r="C404" s="32"/>
      <c r="D404" s="25">
        <f t="shared" si="60"/>
        <v>0</v>
      </c>
      <c r="E404" s="32">
        <v>185.5</v>
      </c>
      <c r="F404" s="8"/>
      <c r="G404" s="25">
        <f t="shared" si="61"/>
        <v>0</v>
      </c>
      <c r="H404" s="32">
        <v>185.5</v>
      </c>
      <c r="I404" s="32"/>
      <c r="J404" s="25">
        <f t="shared" si="62"/>
        <v>0</v>
      </c>
      <c r="K404" s="32">
        <v>185.5</v>
      </c>
      <c r="L404" s="31"/>
      <c r="M404" s="25">
        <f t="shared" si="63"/>
        <v>0</v>
      </c>
      <c r="N404" s="32">
        <v>185.5</v>
      </c>
      <c r="O404" s="32"/>
      <c r="P404" s="25">
        <f t="shared" si="64"/>
        <v>0</v>
      </c>
      <c r="Q404" s="32">
        <v>185.5</v>
      </c>
      <c r="R404" s="32"/>
      <c r="S404" s="25">
        <f t="shared" si="65"/>
        <v>0</v>
      </c>
      <c r="T404" s="32">
        <v>185.5</v>
      </c>
      <c r="U404" s="32"/>
      <c r="V404" s="25">
        <f t="shared" si="69"/>
        <v>0</v>
      </c>
      <c r="W404" s="32">
        <v>185.5</v>
      </c>
      <c r="X404" s="32">
        <f t="shared" si="66"/>
        <v>0</v>
      </c>
      <c r="Y404" s="25">
        <f t="shared" si="67"/>
        <v>0</v>
      </c>
      <c r="AD404" s="26"/>
    </row>
    <row r="405" spans="1:30" x14ac:dyDescent="0.2">
      <c r="A405" s="24">
        <f t="shared" si="68"/>
        <v>13.638181696985855</v>
      </c>
      <c r="B405" s="32">
        <v>186</v>
      </c>
      <c r="C405" s="32"/>
      <c r="D405" s="25">
        <f t="shared" si="60"/>
        <v>0</v>
      </c>
      <c r="E405" s="32">
        <v>186</v>
      </c>
      <c r="F405" s="8"/>
      <c r="G405" s="25">
        <f t="shared" si="61"/>
        <v>0</v>
      </c>
      <c r="H405" s="32">
        <v>186</v>
      </c>
      <c r="I405" s="32"/>
      <c r="J405" s="25">
        <f t="shared" si="62"/>
        <v>0</v>
      </c>
      <c r="K405" s="32">
        <v>186</v>
      </c>
      <c r="L405" s="31"/>
      <c r="M405" s="25">
        <f t="shared" si="63"/>
        <v>0</v>
      </c>
      <c r="N405" s="32">
        <v>186</v>
      </c>
      <c r="O405" s="32"/>
      <c r="P405" s="25">
        <f t="shared" si="64"/>
        <v>0</v>
      </c>
      <c r="Q405" s="32">
        <v>186</v>
      </c>
      <c r="R405" s="32"/>
      <c r="S405" s="25">
        <f t="shared" si="65"/>
        <v>0</v>
      </c>
      <c r="T405" s="32">
        <v>186</v>
      </c>
      <c r="U405" s="32"/>
      <c r="V405" s="25">
        <f t="shared" si="69"/>
        <v>0</v>
      </c>
      <c r="W405" s="32">
        <v>186</v>
      </c>
      <c r="X405" s="32">
        <f t="shared" si="66"/>
        <v>0</v>
      </c>
      <c r="Y405" s="25">
        <f t="shared" si="67"/>
        <v>0</v>
      </c>
      <c r="AD405" s="26"/>
    </row>
    <row r="406" spans="1:30" x14ac:dyDescent="0.2">
      <c r="A406" s="24">
        <f t="shared" si="68"/>
        <v>13.656500283747663</v>
      </c>
      <c r="B406" s="32">
        <v>186.5</v>
      </c>
      <c r="C406" s="32"/>
      <c r="D406" s="25">
        <f t="shared" si="60"/>
        <v>0</v>
      </c>
      <c r="E406" s="32">
        <v>186.5</v>
      </c>
      <c r="F406" s="8"/>
      <c r="G406" s="25">
        <f t="shared" si="61"/>
        <v>0</v>
      </c>
      <c r="H406" s="32">
        <v>186.5</v>
      </c>
      <c r="I406" s="32"/>
      <c r="J406" s="25">
        <f t="shared" si="62"/>
        <v>0</v>
      </c>
      <c r="K406" s="32">
        <v>186.5</v>
      </c>
      <c r="L406" s="31"/>
      <c r="M406" s="25">
        <f t="shared" si="63"/>
        <v>0</v>
      </c>
      <c r="N406" s="32">
        <v>186.5</v>
      </c>
      <c r="O406" s="32"/>
      <c r="P406" s="25">
        <f t="shared" si="64"/>
        <v>0</v>
      </c>
      <c r="Q406" s="32">
        <v>186.5</v>
      </c>
      <c r="R406" s="32"/>
      <c r="S406" s="25">
        <f t="shared" si="65"/>
        <v>0</v>
      </c>
      <c r="T406" s="32">
        <v>186.5</v>
      </c>
      <c r="U406" s="32"/>
      <c r="V406" s="25">
        <f t="shared" si="69"/>
        <v>0</v>
      </c>
      <c r="W406" s="32">
        <v>186.5</v>
      </c>
      <c r="X406" s="32">
        <f t="shared" si="66"/>
        <v>0</v>
      </c>
      <c r="Y406" s="25">
        <f t="shared" si="67"/>
        <v>0</v>
      </c>
      <c r="AD406" s="26"/>
    </row>
    <row r="407" spans="1:30" x14ac:dyDescent="0.2">
      <c r="A407" s="24">
        <f t="shared" si="68"/>
        <v>13.674794331177344</v>
      </c>
      <c r="B407" s="32">
        <v>187</v>
      </c>
      <c r="C407" s="32"/>
      <c r="D407" s="25">
        <f t="shared" si="60"/>
        <v>0</v>
      </c>
      <c r="E407" s="32">
        <v>187</v>
      </c>
      <c r="F407" s="8"/>
      <c r="G407" s="25">
        <f t="shared" si="61"/>
        <v>0</v>
      </c>
      <c r="H407" s="32">
        <v>187</v>
      </c>
      <c r="I407" s="32"/>
      <c r="J407" s="25">
        <f t="shared" si="62"/>
        <v>0</v>
      </c>
      <c r="K407" s="32">
        <v>187</v>
      </c>
      <c r="L407" s="31"/>
      <c r="M407" s="25">
        <f t="shared" si="63"/>
        <v>0</v>
      </c>
      <c r="N407" s="32">
        <v>187</v>
      </c>
      <c r="O407" s="32"/>
      <c r="P407" s="25">
        <f t="shared" si="64"/>
        <v>0</v>
      </c>
      <c r="Q407" s="32">
        <v>187</v>
      </c>
      <c r="R407" s="32"/>
      <c r="S407" s="25">
        <f t="shared" si="65"/>
        <v>0</v>
      </c>
      <c r="T407" s="32">
        <v>187</v>
      </c>
      <c r="U407" s="32"/>
      <c r="V407" s="25">
        <f t="shared" si="69"/>
        <v>0</v>
      </c>
      <c r="W407" s="32">
        <v>187</v>
      </c>
      <c r="X407" s="32">
        <f t="shared" si="66"/>
        <v>0</v>
      </c>
      <c r="Y407" s="25">
        <f t="shared" si="67"/>
        <v>0</v>
      </c>
      <c r="AD407" s="26"/>
    </row>
    <row r="408" spans="1:30" x14ac:dyDescent="0.2">
      <c r="A408" s="24">
        <f t="shared" si="68"/>
        <v>13.693063937629153</v>
      </c>
      <c r="B408" s="32">
        <v>187.5</v>
      </c>
      <c r="C408" s="32"/>
      <c r="D408" s="25">
        <f t="shared" si="60"/>
        <v>0</v>
      </c>
      <c r="E408" s="32">
        <v>187.5</v>
      </c>
      <c r="F408" s="8"/>
      <c r="G408" s="25">
        <f t="shared" si="61"/>
        <v>0</v>
      </c>
      <c r="H408" s="32">
        <v>187.5</v>
      </c>
      <c r="I408" s="32"/>
      <c r="J408" s="25">
        <f t="shared" si="62"/>
        <v>0</v>
      </c>
      <c r="K408" s="32">
        <v>187.5</v>
      </c>
      <c r="L408" s="31"/>
      <c r="M408" s="25">
        <f t="shared" si="63"/>
        <v>0</v>
      </c>
      <c r="N408" s="32">
        <v>187.5</v>
      </c>
      <c r="O408" s="32"/>
      <c r="P408" s="25">
        <f t="shared" si="64"/>
        <v>0</v>
      </c>
      <c r="Q408" s="32">
        <v>187.5</v>
      </c>
      <c r="R408" s="32"/>
      <c r="S408" s="25">
        <f t="shared" si="65"/>
        <v>0</v>
      </c>
      <c r="T408" s="32">
        <v>187.5</v>
      </c>
      <c r="U408" s="32"/>
      <c r="V408" s="25">
        <f t="shared" si="69"/>
        <v>0</v>
      </c>
      <c r="W408" s="32">
        <v>187.5</v>
      </c>
      <c r="X408" s="32">
        <f t="shared" si="66"/>
        <v>0</v>
      </c>
      <c r="Y408" s="25">
        <f t="shared" si="67"/>
        <v>0</v>
      </c>
      <c r="AD408" s="26"/>
    </row>
    <row r="409" spans="1:30" x14ac:dyDescent="0.2">
      <c r="A409" s="24">
        <f t="shared" si="68"/>
        <v>13.711309200802088</v>
      </c>
      <c r="B409" s="32">
        <v>188</v>
      </c>
      <c r="C409" s="32"/>
      <c r="D409" s="25">
        <f t="shared" si="60"/>
        <v>0</v>
      </c>
      <c r="E409" s="32">
        <v>188</v>
      </c>
      <c r="F409" s="8"/>
      <c r="G409" s="25">
        <f t="shared" si="61"/>
        <v>0</v>
      </c>
      <c r="H409" s="32">
        <v>188</v>
      </c>
      <c r="I409" s="32"/>
      <c r="J409" s="25">
        <f t="shared" si="62"/>
        <v>0</v>
      </c>
      <c r="K409" s="32">
        <v>188</v>
      </c>
      <c r="L409" s="31"/>
      <c r="M409" s="25">
        <f t="shared" si="63"/>
        <v>0</v>
      </c>
      <c r="N409" s="32">
        <v>188</v>
      </c>
      <c r="O409" s="32"/>
      <c r="P409" s="25">
        <f t="shared" si="64"/>
        <v>0</v>
      </c>
      <c r="Q409" s="32">
        <v>188</v>
      </c>
      <c r="R409" s="32"/>
      <c r="S409" s="25">
        <f t="shared" si="65"/>
        <v>0</v>
      </c>
      <c r="T409" s="32">
        <v>188</v>
      </c>
      <c r="U409" s="32"/>
      <c r="V409" s="25">
        <f t="shared" si="69"/>
        <v>0</v>
      </c>
      <c r="W409" s="32">
        <v>188</v>
      </c>
      <c r="X409" s="32">
        <f t="shared" si="66"/>
        <v>0</v>
      </c>
      <c r="Y409" s="25">
        <f t="shared" si="67"/>
        <v>0</v>
      </c>
      <c r="AD409" s="26"/>
    </row>
    <row r="410" spans="1:30" x14ac:dyDescent="0.2">
      <c r="A410" s="24">
        <f t="shared" si="68"/>
        <v>13.729530217745982</v>
      </c>
      <c r="B410" s="32">
        <v>188.5</v>
      </c>
      <c r="C410" s="32"/>
      <c r="D410" s="25">
        <f t="shared" si="60"/>
        <v>0</v>
      </c>
      <c r="E410" s="32">
        <v>188.5</v>
      </c>
      <c r="F410" s="8"/>
      <c r="G410" s="25">
        <f t="shared" si="61"/>
        <v>0</v>
      </c>
      <c r="H410" s="32">
        <v>188.5</v>
      </c>
      <c r="I410" s="32"/>
      <c r="J410" s="25">
        <f t="shared" si="62"/>
        <v>0</v>
      </c>
      <c r="K410" s="32">
        <v>188.5</v>
      </c>
      <c r="L410" s="31"/>
      <c r="M410" s="25">
        <f t="shared" si="63"/>
        <v>0</v>
      </c>
      <c r="N410" s="32">
        <v>188.5</v>
      </c>
      <c r="O410" s="32"/>
      <c r="P410" s="25">
        <f t="shared" si="64"/>
        <v>0</v>
      </c>
      <c r="Q410" s="32">
        <v>188.5</v>
      </c>
      <c r="R410" s="32"/>
      <c r="S410" s="25">
        <f t="shared" si="65"/>
        <v>0</v>
      </c>
      <c r="T410" s="32">
        <v>188.5</v>
      </c>
      <c r="U410" s="32"/>
      <c r="V410" s="25">
        <f t="shared" si="69"/>
        <v>0</v>
      </c>
      <c r="W410" s="32">
        <v>188.5</v>
      </c>
      <c r="X410" s="32">
        <f t="shared" si="66"/>
        <v>0</v>
      </c>
      <c r="Y410" s="25">
        <f t="shared" si="67"/>
        <v>0</v>
      </c>
      <c r="AD410" s="26"/>
    </row>
    <row r="411" spans="1:30" x14ac:dyDescent="0.2">
      <c r="A411" s="24">
        <f t="shared" si="68"/>
        <v>13.74772708486752</v>
      </c>
      <c r="B411" s="32">
        <v>189</v>
      </c>
      <c r="C411" s="32"/>
      <c r="D411" s="25">
        <f t="shared" si="60"/>
        <v>0</v>
      </c>
      <c r="E411" s="32">
        <v>189</v>
      </c>
      <c r="F411" s="8"/>
      <c r="G411" s="25">
        <f t="shared" si="61"/>
        <v>0</v>
      </c>
      <c r="H411" s="32">
        <v>189</v>
      </c>
      <c r="I411" s="32"/>
      <c r="J411" s="25">
        <f t="shared" si="62"/>
        <v>0</v>
      </c>
      <c r="K411" s="32">
        <v>189</v>
      </c>
      <c r="L411" s="31"/>
      <c r="M411" s="25">
        <f t="shared" si="63"/>
        <v>0</v>
      </c>
      <c r="N411" s="32">
        <v>189</v>
      </c>
      <c r="O411" s="32"/>
      <c r="P411" s="25">
        <f t="shared" si="64"/>
        <v>0</v>
      </c>
      <c r="Q411" s="32">
        <v>189</v>
      </c>
      <c r="R411" s="32"/>
      <c r="S411" s="25">
        <f t="shared" si="65"/>
        <v>0</v>
      </c>
      <c r="T411" s="32">
        <v>189</v>
      </c>
      <c r="U411" s="32"/>
      <c r="V411" s="25">
        <f t="shared" si="69"/>
        <v>0</v>
      </c>
      <c r="W411" s="32">
        <v>189</v>
      </c>
      <c r="X411" s="32">
        <f t="shared" si="66"/>
        <v>0</v>
      </c>
      <c r="Y411" s="25">
        <f t="shared" si="67"/>
        <v>0</v>
      </c>
      <c r="AD411" s="26"/>
    </row>
    <row r="412" spans="1:30" x14ac:dyDescent="0.2">
      <c r="A412" s="24">
        <f t="shared" si="68"/>
        <v>13.765899897936205</v>
      </c>
      <c r="B412" s="32">
        <v>189.5</v>
      </c>
      <c r="C412" s="32"/>
      <c r="D412" s="25">
        <f t="shared" si="60"/>
        <v>0</v>
      </c>
      <c r="E412" s="32">
        <v>189.5</v>
      </c>
      <c r="F412" s="8"/>
      <c r="G412" s="25">
        <f t="shared" si="61"/>
        <v>0</v>
      </c>
      <c r="H412" s="32">
        <v>189.5</v>
      </c>
      <c r="I412" s="32"/>
      <c r="J412" s="25">
        <f t="shared" si="62"/>
        <v>0</v>
      </c>
      <c r="K412" s="32">
        <v>189.5</v>
      </c>
      <c r="L412" s="31"/>
      <c r="M412" s="25">
        <f t="shared" si="63"/>
        <v>0</v>
      </c>
      <c r="N412" s="32">
        <v>189.5</v>
      </c>
      <c r="O412" s="32"/>
      <c r="P412" s="25">
        <f t="shared" si="64"/>
        <v>0</v>
      </c>
      <c r="Q412" s="32">
        <v>189.5</v>
      </c>
      <c r="R412" s="32"/>
      <c r="S412" s="25">
        <f t="shared" si="65"/>
        <v>0</v>
      </c>
      <c r="T412" s="32">
        <v>189.5</v>
      </c>
      <c r="U412" s="32"/>
      <c r="V412" s="25">
        <f t="shared" si="69"/>
        <v>0</v>
      </c>
      <c r="W412" s="32">
        <v>189.5</v>
      </c>
      <c r="X412" s="32">
        <f t="shared" si="66"/>
        <v>0</v>
      </c>
      <c r="Y412" s="25">
        <f t="shared" si="67"/>
        <v>0</v>
      </c>
      <c r="AD412" s="26"/>
    </row>
    <row r="413" spans="1:30" x14ac:dyDescent="0.2">
      <c r="A413" s="24">
        <f t="shared" si="68"/>
        <v>13.784048752090222</v>
      </c>
      <c r="B413" s="32">
        <v>190</v>
      </c>
      <c r="C413" s="32"/>
      <c r="D413" s="25">
        <f t="shared" si="60"/>
        <v>0</v>
      </c>
      <c r="E413" s="32">
        <v>190</v>
      </c>
      <c r="F413" s="8"/>
      <c r="G413" s="25">
        <f t="shared" si="61"/>
        <v>0</v>
      </c>
      <c r="H413" s="32">
        <v>190</v>
      </c>
      <c r="I413" s="32"/>
      <c r="J413" s="25">
        <f t="shared" si="62"/>
        <v>0</v>
      </c>
      <c r="K413" s="32">
        <v>190</v>
      </c>
      <c r="L413" s="31"/>
      <c r="M413" s="25">
        <f t="shared" si="63"/>
        <v>0</v>
      </c>
      <c r="N413" s="32">
        <v>190</v>
      </c>
      <c r="O413" s="32"/>
      <c r="P413" s="25">
        <f t="shared" si="64"/>
        <v>0</v>
      </c>
      <c r="Q413" s="32">
        <v>190</v>
      </c>
      <c r="R413" s="32"/>
      <c r="S413" s="25">
        <f t="shared" si="65"/>
        <v>0</v>
      </c>
      <c r="T413" s="32">
        <v>190</v>
      </c>
      <c r="U413" s="32"/>
      <c r="V413" s="25">
        <f t="shared" si="69"/>
        <v>0</v>
      </c>
      <c r="W413" s="32">
        <v>190</v>
      </c>
      <c r="X413" s="32">
        <f t="shared" si="66"/>
        <v>0</v>
      </c>
      <c r="Y413" s="25">
        <f t="shared" si="67"/>
        <v>0</v>
      </c>
      <c r="AD413" s="26"/>
    </row>
    <row r="414" spans="1:30" x14ac:dyDescent="0.2">
      <c r="A414" s="24">
        <f t="shared" si="68"/>
        <v>13.80217374184226</v>
      </c>
      <c r="B414" s="32">
        <v>190.5</v>
      </c>
      <c r="C414" s="32"/>
      <c r="D414" s="25">
        <f t="shared" si="60"/>
        <v>0</v>
      </c>
      <c r="E414" s="32">
        <v>190.5</v>
      </c>
      <c r="F414" s="8"/>
      <c r="G414" s="25">
        <f t="shared" si="61"/>
        <v>0</v>
      </c>
      <c r="H414" s="32">
        <v>190.5</v>
      </c>
      <c r="I414" s="32"/>
      <c r="J414" s="25">
        <f t="shared" si="62"/>
        <v>0</v>
      </c>
      <c r="K414" s="32">
        <v>190.5</v>
      </c>
      <c r="L414" s="31"/>
      <c r="M414" s="25">
        <f t="shared" si="63"/>
        <v>0</v>
      </c>
      <c r="N414" s="32">
        <v>190.5</v>
      </c>
      <c r="O414" s="32"/>
      <c r="P414" s="25">
        <f t="shared" si="64"/>
        <v>0</v>
      </c>
      <c r="Q414" s="32">
        <v>190.5</v>
      </c>
      <c r="R414" s="32"/>
      <c r="S414" s="25">
        <f t="shared" si="65"/>
        <v>0</v>
      </c>
      <c r="T414" s="32">
        <v>190.5</v>
      </c>
      <c r="U414" s="32"/>
      <c r="V414" s="25">
        <f t="shared" si="69"/>
        <v>0</v>
      </c>
      <c r="W414" s="32">
        <v>190.5</v>
      </c>
      <c r="X414" s="32">
        <f t="shared" si="66"/>
        <v>0</v>
      </c>
      <c r="Y414" s="25">
        <f t="shared" si="67"/>
        <v>0</v>
      </c>
      <c r="AD414" s="26"/>
    </row>
    <row r="415" spans="1:30" x14ac:dyDescent="0.2">
      <c r="A415" s="24">
        <f t="shared" si="68"/>
        <v>13.820274961085254</v>
      </c>
      <c r="B415" s="32">
        <v>191</v>
      </c>
      <c r="C415" s="32"/>
      <c r="D415" s="25">
        <f t="shared" si="60"/>
        <v>0</v>
      </c>
      <c r="E415" s="32">
        <v>191</v>
      </c>
      <c r="F415" s="8"/>
      <c r="G415" s="25">
        <f t="shared" si="61"/>
        <v>0</v>
      </c>
      <c r="H415" s="32">
        <v>191</v>
      </c>
      <c r="I415" s="32"/>
      <c r="J415" s="25">
        <f t="shared" si="62"/>
        <v>0</v>
      </c>
      <c r="K415" s="32">
        <v>191</v>
      </c>
      <c r="L415" s="31"/>
      <c r="M415" s="25">
        <f t="shared" si="63"/>
        <v>0</v>
      </c>
      <c r="N415" s="32">
        <v>191</v>
      </c>
      <c r="O415" s="32"/>
      <c r="P415" s="25">
        <f t="shared" si="64"/>
        <v>0</v>
      </c>
      <c r="Q415" s="32">
        <v>191</v>
      </c>
      <c r="R415" s="32"/>
      <c r="S415" s="25">
        <f t="shared" si="65"/>
        <v>0</v>
      </c>
      <c r="T415" s="32">
        <v>191</v>
      </c>
      <c r="U415" s="32"/>
      <c r="V415" s="25">
        <f t="shared" si="69"/>
        <v>0</v>
      </c>
      <c r="W415" s="32">
        <v>191</v>
      </c>
      <c r="X415" s="32">
        <f t="shared" si="66"/>
        <v>0</v>
      </c>
      <c r="Y415" s="25">
        <f t="shared" si="67"/>
        <v>0</v>
      </c>
      <c r="AD415" s="26"/>
    </row>
    <row r="416" spans="1:30" x14ac:dyDescent="0.2">
      <c r="A416" s="24">
        <f t="shared" si="68"/>
        <v>13.838352503098047</v>
      </c>
      <c r="B416" s="32">
        <v>191.5</v>
      </c>
      <c r="C416" s="32"/>
      <c r="D416" s="25">
        <f t="shared" si="60"/>
        <v>0</v>
      </c>
      <c r="E416" s="32">
        <v>191.5</v>
      </c>
      <c r="F416" s="8"/>
      <c r="G416" s="25">
        <f t="shared" si="61"/>
        <v>0</v>
      </c>
      <c r="H416" s="32">
        <v>191.5</v>
      </c>
      <c r="I416" s="32"/>
      <c r="J416" s="25">
        <f t="shared" si="62"/>
        <v>0</v>
      </c>
      <c r="K416" s="32">
        <v>191.5</v>
      </c>
      <c r="L416" s="31"/>
      <c r="M416" s="25">
        <f t="shared" si="63"/>
        <v>0</v>
      </c>
      <c r="N416" s="32">
        <v>191.5</v>
      </c>
      <c r="O416" s="32"/>
      <c r="P416" s="25">
        <f t="shared" si="64"/>
        <v>0</v>
      </c>
      <c r="Q416" s="32">
        <v>191.5</v>
      </c>
      <c r="R416" s="32"/>
      <c r="S416" s="25">
        <f t="shared" si="65"/>
        <v>0</v>
      </c>
      <c r="T416" s="32">
        <v>191.5</v>
      </c>
      <c r="U416" s="32"/>
      <c r="V416" s="25">
        <f t="shared" si="69"/>
        <v>0</v>
      </c>
      <c r="W416" s="32">
        <v>191.5</v>
      </c>
      <c r="X416" s="32">
        <f t="shared" si="66"/>
        <v>0</v>
      </c>
      <c r="Y416" s="25">
        <f t="shared" si="67"/>
        <v>0</v>
      </c>
      <c r="AD416" s="26"/>
    </row>
    <row r="417" spans="1:30" x14ac:dyDescent="0.2">
      <c r="A417" s="24">
        <f t="shared" si="68"/>
        <v>13.856406460551018</v>
      </c>
      <c r="B417" s="32">
        <v>192</v>
      </c>
      <c r="C417" s="32"/>
      <c r="D417" s="25">
        <f t="shared" si="60"/>
        <v>0</v>
      </c>
      <c r="E417" s="32">
        <v>192</v>
      </c>
      <c r="F417" s="8"/>
      <c r="G417" s="25">
        <f t="shared" si="61"/>
        <v>0</v>
      </c>
      <c r="H417" s="32">
        <v>192</v>
      </c>
      <c r="I417" s="32"/>
      <c r="J417" s="25">
        <f t="shared" si="62"/>
        <v>0</v>
      </c>
      <c r="K417" s="32">
        <v>192</v>
      </c>
      <c r="L417" s="31"/>
      <c r="M417" s="25">
        <f t="shared" si="63"/>
        <v>0</v>
      </c>
      <c r="N417" s="32">
        <v>192</v>
      </c>
      <c r="O417" s="32"/>
      <c r="P417" s="25">
        <f t="shared" si="64"/>
        <v>0</v>
      </c>
      <c r="Q417" s="32">
        <v>192</v>
      </c>
      <c r="R417" s="32"/>
      <c r="S417" s="25">
        <f t="shared" si="65"/>
        <v>0</v>
      </c>
      <c r="T417" s="32">
        <v>192</v>
      </c>
      <c r="U417" s="32"/>
      <c r="V417" s="25">
        <f t="shared" si="69"/>
        <v>0</v>
      </c>
      <c r="W417" s="32">
        <v>192</v>
      </c>
      <c r="X417" s="32">
        <f t="shared" si="66"/>
        <v>0</v>
      </c>
      <c r="Y417" s="25">
        <f t="shared" si="67"/>
        <v>0</v>
      </c>
      <c r="AD417" s="26"/>
    </row>
    <row r="418" spans="1:30" x14ac:dyDescent="0.2">
      <c r="A418" s="24">
        <f t="shared" si="68"/>
        <v>13.874436925511608</v>
      </c>
      <c r="B418" s="32">
        <v>192.5</v>
      </c>
      <c r="C418" s="32"/>
      <c r="D418" s="25">
        <f t="shared" si="60"/>
        <v>0</v>
      </c>
      <c r="E418" s="32">
        <v>192.5</v>
      </c>
      <c r="F418" s="8"/>
      <c r="G418" s="25">
        <f t="shared" si="61"/>
        <v>0</v>
      </c>
      <c r="H418" s="32">
        <v>192.5</v>
      </c>
      <c r="I418" s="32"/>
      <c r="J418" s="25">
        <f t="shared" si="62"/>
        <v>0</v>
      </c>
      <c r="K418" s="32">
        <v>192.5</v>
      </c>
      <c r="L418" s="31"/>
      <c r="M418" s="25">
        <f t="shared" si="63"/>
        <v>0</v>
      </c>
      <c r="N418" s="32">
        <v>192.5</v>
      </c>
      <c r="O418" s="32"/>
      <c r="P418" s="25">
        <f t="shared" si="64"/>
        <v>0</v>
      </c>
      <c r="Q418" s="32">
        <v>192.5</v>
      </c>
      <c r="R418" s="32"/>
      <c r="S418" s="25">
        <f t="shared" si="65"/>
        <v>0</v>
      </c>
      <c r="T418" s="32">
        <v>192.5</v>
      </c>
      <c r="U418" s="32"/>
      <c r="V418" s="25">
        <f t="shared" si="69"/>
        <v>0</v>
      </c>
      <c r="W418" s="32">
        <v>192.5</v>
      </c>
      <c r="X418" s="32">
        <f t="shared" si="66"/>
        <v>0</v>
      </c>
      <c r="Y418" s="25">
        <f t="shared" si="67"/>
        <v>0</v>
      </c>
      <c r="AD418" s="26"/>
    </row>
    <row r="419" spans="1:30" x14ac:dyDescent="0.2">
      <c r="A419" s="24">
        <f t="shared" si="68"/>
        <v>13.892443989449804</v>
      </c>
      <c r="B419" s="32">
        <v>193</v>
      </c>
      <c r="C419" s="32"/>
      <c r="D419" s="25">
        <f t="shared" si="60"/>
        <v>0</v>
      </c>
      <c r="E419" s="32">
        <v>193</v>
      </c>
      <c r="F419" s="8"/>
      <c r="G419" s="25">
        <f t="shared" si="61"/>
        <v>0</v>
      </c>
      <c r="H419" s="32">
        <v>193</v>
      </c>
      <c r="I419" s="32"/>
      <c r="J419" s="25">
        <f t="shared" si="62"/>
        <v>0</v>
      </c>
      <c r="K419" s="32">
        <v>193</v>
      </c>
      <c r="L419" s="31"/>
      <c r="M419" s="25">
        <f t="shared" si="63"/>
        <v>0</v>
      </c>
      <c r="N419" s="32">
        <v>193</v>
      </c>
      <c r="O419" s="32"/>
      <c r="P419" s="25">
        <f t="shared" si="64"/>
        <v>0</v>
      </c>
      <c r="Q419" s="32">
        <v>193</v>
      </c>
      <c r="R419" s="32"/>
      <c r="S419" s="25">
        <f t="shared" si="65"/>
        <v>0</v>
      </c>
      <c r="T419" s="32">
        <v>193</v>
      </c>
      <c r="U419" s="32"/>
      <c r="V419" s="25">
        <f t="shared" si="69"/>
        <v>0</v>
      </c>
      <c r="W419" s="32">
        <v>193</v>
      </c>
      <c r="X419" s="32">
        <f t="shared" si="66"/>
        <v>0</v>
      </c>
      <c r="Y419" s="25">
        <f t="shared" si="67"/>
        <v>0</v>
      </c>
      <c r="AD419" s="26"/>
    </row>
    <row r="420" spans="1:30" x14ac:dyDescent="0.2">
      <c r="A420" s="24">
        <f t="shared" si="68"/>
        <v>13.910427743243556</v>
      </c>
      <c r="B420" s="32">
        <v>193.5</v>
      </c>
      <c r="C420" s="32"/>
      <c r="D420" s="25">
        <f t="shared" si="60"/>
        <v>0</v>
      </c>
      <c r="E420" s="32">
        <v>193.5</v>
      </c>
      <c r="F420" s="8"/>
      <c r="G420" s="25">
        <f t="shared" si="61"/>
        <v>0</v>
      </c>
      <c r="H420" s="32">
        <v>193.5</v>
      </c>
      <c r="I420" s="32"/>
      <c r="J420" s="25">
        <f t="shared" si="62"/>
        <v>0</v>
      </c>
      <c r="K420" s="32">
        <v>193.5</v>
      </c>
      <c r="L420" s="31"/>
      <c r="M420" s="25">
        <f t="shared" si="63"/>
        <v>0</v>
      </c>
      <c r="N420" s="32">
        <v>193.5</v>
      </c>
      <c r="O420" s="32"/>
      <c r="P420" s="25">
        <f t="shared" si="64"/>
        <v>0</v>
      </c>
      <c r="Q420" s="32">
        <v>193.5</v>
      </c>
      <c r="R420" s="32"/>
      <c r="S420" s="25">
        <f t="shared" si="65"/>
        <v>0</v>
      </c>
      <c r="T420" s="32">
        <v>193.5</v>
      </c>
      <c r="U420" s="32"/>
      <c r="V420" s="25">
        <f t="shared" si="69"/>
        <v>0</v>
      </c>
      <c r="W420" s="32">
        <v>193.5</v>
      </c>
      <c r="X420" s="32">
        <f t="shared" si="66"/>
        <v>0</v>
      </c>
      <c r="Y420" s="25">
        <f t="shared" si="67"/>
        <v>0</v>
      </c>
      <c r="AD420" s="26"/>
    </row>
    <row r="421" spans="1:30" x14ac:dyDescent="0.2">
      <c r="A421" s="24">
        <f t="shared" si="68"/>
        <v>13.928388277184119</v>
      </c>
      <c r="B421" s="32">
        <v>194</v>
      </c>
      <c r="C421" s="32"/>
      <c r="D421" s="25">
        <f t="shared" si="60"/>
        <v>0</v>
      </c>
      <c r="E421" s="32">
        <v>194</v>
      </c>
      <c r="F421" s="8"/>
      <c r="G421" s="25">
        <f t="shared" si="61"/>
        <v>0</v>
      </c>
      <c r="H421" s="32">
        <v>194</v>
      </c>
      <c r="I421" s="32"/>
      <c r="J421" s="25">
        <f t="shared" si="62"/>
        <v>0</v>
      </c>
      <c r="K421" s="32">
        <v>194</v>
      </c>
      <c r="L421" s="31"/>
      <c r="M421" s="25">
        <f t="shared" si="63"/>
        <v>0</v>
      </c>
      <c r="N421" s="32">
        <v>194</v>
      </c>
      <c r="O421" s="32"/>
      <c r="P421" s="25">
        <f t="shared" si="64"/>
        <v>0</v>
      </c>
      <c r="Q421" s="32">
        <v>194</v>
      </c>
      <c r="R421" s="32"/>
      <c r="S421" s="25">
        <f t="shared" si="65"/>
        <v>0</v>
      </c>
      <c r="T421" s="32">
        <v>194</v>
      </c>
      <c r="U421" s="32"/>
      <c r="V421" s="25">
        <f t="shared" si="69"/>
        <v>0</v>
      </c>
      <c r="W421" s="32">
        <v>194</v>
      </c>
      <c r="X421" s="32">
        <f t="shared" si="66"/>
        <v>0</v>
      </c>
      <c r="Y421" s="25">
        <f t="shared" si="67"/>
        <v>0</v>
      </c>
      <c r="AD421" s="26"/>
    </row>
    <row r="422" spans="1:30" x14ac:dyDescent="0.2">
      <c r="A422" s="24">
        <f t="shared" si="68"/>
        <v>13.946325680981353</v>
      </c>
      <c r="B422" s="32">
        <v>194.5</v>
      </c>
      <c r="C422" s="32"/>
      <c r="D422" s="25">
        <f t="shared" si="60"/>
        <v>0</v>
      </c>
      <c r="E422" s="32">
        <v>194.5</v>
      </c>
      <c r="F422" s="8"/>
      <c r="G422" s="25">
        <f t="shared" si="61"/>
        <v>0</v>
      </c>
      <c r="H422" s="32">
        <v>194.5</v>
      </c>
      <c r="I422" s="32"/>
      <c r="J422" s="25">
        <f t="shared" si="62"/>
        <v>0</v>
      </c>
      <c r="K422" s="32">
        <v>194.5</v>
      </c>
      <c r="L422" s="31"/>
      <c r="M422" s="25">
        <f t="shared" si="63"/>
        <v>0</v>
      </c>
      <c r="N422" s="32">
        <v>194.5</v>
      </c>
      <c r="O422" s="32"/>
      <c r="P422" s="25">
        <f t="shared" si="64"/>
        <v>0</v>
      </c>
      <c r="Q422" s="32">
        <v>194.5</v>
      </c>
      <c r="R422" s="32"/>
      <c r="S422" s="25">
        <f t="shared" si="65"/>
        <v>0</v>
      </c>
      <c r="T422" s="32">
        <v>194.5</v>
      </c>
      <c r="U422" s="32"/>
      <c r="V422" s="25">
        <f t="shared" si="69"/>
        <v>0</v>
      </c>
      <c r="W422" s="32">
        <v>194.5</v>
      </c>
      <c r="X422" s="32">
        <f t="shared" si="66"/>
        <v>0</v>
      </c>
      <c r="Y422" s="25">
        <f t="shared" si="67"/>
        <v>0</v>
      </c>
      <c r="AD422" s="26"/>
    </row>
    <row r="423" spans="1:30" x14ac:dyDescent="0.2">
      <c r="A423" s="24">
        <f t="shared" si="68"/>
        <v>13.964240043768941</v>
      </c>
      <c r="B423" s="32">
        <v>195</v>
      </c>
      <c r="C423" s="32"/>
      <c r="D423" s="25">
        <f t="shared" si="60"/>
        <v>0</v>
      </c>
      <c r="E423" s="32">
        <v>195</v>
      </c>
      <c r="F423" s="8"/>
      <c r="G423" s="25">
        <f t="shared" si="61"/>
        <v>0</v>
      </c>
      <c r="H423" s="32">
        <v>195</v>
      </c>
      <c r="I423" s="32"/>
      <c r="J423" s="25">
        <f t="shared" si="62"/>
        <v>0</v>
      </c>
      <c r="K423" s="32">
        <v>195</v>
      </c>
      <c r="L423" s="31"/>
      <c r="M423" s="25">
        <f t="shared" si="63"/>
        <v>0</v>
      </c>
      <c r="N423" s="32">
        <v>195</v>
      </c>
      <c r="O423" s="32"/>
      <c r="P423" s="25">
        <f t="shared" si="64"/>
        <v>0</v>
      </c>
      <c r="Q423" s="32">
        <v>195</v>
      </c>
      <c r="R423" s="32"/>
      <c r="S423" s="25">
        <f t="shared" si="65"/>
        <v>0</v>
      </c>
      <c r="T423" s="32">
        <v>195</v>
      </c>
      <c r="U423" s="32"/>
      <c r="V423" s="25">
        <f t="shared" si="69"/>
        <v>0</v>
      </c>
      <c r="W423" s="32">
        <v>195</v>
      </c>
      <c r="X423" s="32">
        <f t="shared" si="66"/>
        <v>0</v>
      </c>
      <c r="Y423" s="25">
        <f t="shared" si="67"/>
        <v>0</v>
      </c>
      <c r="AD423" s="26"/>
    </row>
    <row r="424" spans="1:30" x14ac:dyDescent="0.2">
      <c r="A424" s="24">
        <f t="shared" si="68"/>
        <v>13.982131454109563</v>
      </c>
      <c r="B424" s="32">
        <v>195.5</v>
      </c>
      <c r="C424" s="32"/>
      <c r="D424" s="25">
        <f t="shared" si="60"/>
        <v>0</v>
      </c>
      <c r="E424" s="32">
        <v>195.5</v>
      </c>
      <c r="F424" s="8"/>
      <c r="G424" s="25">
        <f t="shared" si="61"/>
        <v>0</v>
      </c>
      <c r="H424" s="32">
        <v>195.5</v>
      </c>
      <c r="I424" s="32"/>
      <c r="J424" s="25">
        <f t="shared" si="62"/>
        <v>0</v>
      </c>
      <c r="K424" s="32">
        <v>195.5</v>
      </c>
      <c r="L424" s="31"/>
      <c r="M424" s="25">
        <f t="shared" si="63"/>
        <v>0</v>
      </c>
      <c r="N424" s="32">
        <v>195.5</v>
      </c>
      <c r="O424" s="32"/>
      <c r="P424" s="25">
        <f t="shared" si="64"/>
        <v>0</v>
      </c>
      <c r="Q424" s="32">
        <v>195.5</v>
      </c>
      <c r="R424" s="32"/>
      <c r="S424" s="25">
        <f t="shared" si="65"/>
        <v>0</v>
      </c>
      <c r="T424" s="32">
        <v>195.5</v>
      </c>
      <c r="U424" s="32"/>
      <c r="V424" s="25">
        <f t="shared" si="69"/>
        <v>0</v>
      </c>
      <c r="W424" s="32">
        <v>195.5</v>
      </c>
      <c r="X424" s="32">
        <f t="shared" si="66"/>
        <v>0</v>
      </c>
      <c r="Y424" s="25">
        <f t="shared" si="67"/>
        <v>0</v>
      </c>
      <c r="AD424" s="26"/>
    </row>
    <row r="425" spans="1:30" x14ac:dyDescent="0.2">
      <c r="A425" s="24">
        <f t="shared" si="68"/>
        <v>14</v>
      </c>
      <c r="B425" s="32">
        <v>196</v>
      </c>
      <c r="C425" s="32"/>
      <c r="D425" s="25">
        <f t="shared" si="60"/>
        <v>0</v>
      </c>
      <c r="E425" s="32">
        <v>196</v>
      </c>
      <c r="F425" s="8"/>
      <c r="G425" s="25">
        <f t="shared" si="61"/>
        <v>0</v>
      </c>
      <c r="H425" s="32">
        <v>196</v>
      </c>
      <c r="I425" s="32"/>
      <c r="J425" s="25">
        <f t="shared" si="62"/>
        <v>0</v>
      </c>
      <c r="K425" s="32">
        <v>196</v>
      </c>
      <c r="L425" s="31"/>
      <c r="M425" s="25">
        <f t="shared" si="63"/>
        <v>0</v>
      </c>
      <c r="N425" s="32">
        <v>196</v>
      </c>
      <c r="O425" s="32"/>
      <c r="P425" s="25">
        <f t="shared" si="64"/>
        <v>0</v>
      </c>
      <c r="Q425" s="32">
        <v>196</v>
      </c>
      <c r="R425" s="32"/>
      <c r="S425" s="25">
        <f t="shared" si="65"/>
        <v>0</v>
      </c>
      <c r="T425" s="32">
        <v>196</v>
      </c>
      <c r="U425" s="32"/>
      <c r="V425" s="25">
        <f t="shared" si="69"/>
        <v>0</v>
      </c>
      <c r="W425" s="32">
        <v>196</v>
      </c>
      <c r="X425" s="32">
        <f t="shared" si="66"/>
        <v>0</v>
      </c>
      <c r="Y425" s="25">
        <f t="shared" si="67"/>
        <v>0</v>
      </c>
      <c r="AD425" s="26"/>
    </row>
    <row r="426" spans="1:30" x14ac:dyDescent="0.2">
      <c r="A426" s="24">
        <f t="shared" si="68"/>
        <v>14.017845768876187</v>
      </c>
      <c r="B426" s="32">
        <v>196.5</v>
      </c>
      <c r="C426" s="32"/>
      <c r="D426" s="25">
        <f t="shared" si="60"/>
        <v>0</v>
      </c>
      <c r="E426" s="32">
        <v>196.5</v>
      </c>
      <c r="F426" s="8"/>
      <c r="G426" s="25">
        <f t="shared" si="61"/>
        <v>0</v>
      </c>
      <c r="H426" s="32">
        <v>196.5</v>
      </c>
      <c r="I426" s="32"/>
      <c r="J426" s="25">
        <f t="shared" si="62"/>
        <v>0</v>
      </c>
      <c r="K426" s="32">
        <v>196.5</v>
      </c>
      <c r="L426" s="31"/>
      <c r="M426" s="25">
        <f t="shared" si="63"/>
        <v>0</v>
      </c>
      <c r="N426" s="32">
        <v>196.5</v>
      </c>
      <c r="O426" s="32"/>
      <c r="P426" s="25">
        <f t="shared" si="64"/>
        <v>0</v>
      </c>
      <c r="Q426" s="32">
        <v>196.5</v>
      </c>
      <c r="R426" s="32"/>
      <c r="S426" s="25">
        <f t="shared" si="65"/>
        <v>0</v>
      </c>
      <c r="T426" s="32">
        <v>196.5</v>
      </c>
      <c r="U426" s="32"/>
      <c r="V426" s="25">
        <f t="shared" si="69"/>
        <v>0</v>
      </c>
      <c r="W426" s="32">
        <v>196.5</v>
      </c>
      <c r="X426" s="32">
        <f t="shared" si="66"/>
        <v>0</v>
      </c>
      <c r="Y426" s="25">
        <f t="shared" si="67"/>
        <v>0</v>
      </c>
      <c r="AD426" s="26"/>
    </row>
    <row r="427" spans="1:30" x14ac:dyDescent="0.2">
      <c r="A427" s="24">
        <f t="shared" si="68"/>
        <v>14.035668847618199</v>
      </c>
      <c r="B427" s="32">
        <v>197</v>
      </c>
      <c r="C427" s="32"/>
      <c r="D427" s="25">
        <f t="shared" si="60"/>
        <v>0</v>
      </c>
      <c r="E427" s="32">
        <v>197</v>
      </c>
      <c r="F427" s="8"/>
      <c r="G427" s="25">
        <f t="shared" si="61"/>
        <v>0</v>
      </c>
      <c r="H427" s="32">
        <v>197</v>
      </c>
      <c r="I427" s="32"/>
      <c r="J427" s="25">
        <f t="shared" si="62"/>
        <v>0</v>
      </c>
      <c r="K427" s="32">
        <v>197</v>
      </c>
      <c r="L427" s="31"/>
      <c r="M427" s="25">
        <f t="shared" si="63"/>
        <v>0</v>
      </c>
      <c r="N427" s="32">
        <v>197</v>
      </c>
      <c r="O427" s="32"/>
      <c r="P427" s="25">
        <f t="shared" si="64"/>
        <v>0</v>
      </c>
      <c r="Q427" s="32">
        <v>197</v>
      </c>
      <c r="R427" s="32"/>
      <c r="S427" s="25">
        <f t="shared" si="65"/>
        <v>0</v>
      </c>
      <c r="T427" s="32">
        <v>197</v>
      </c>
      <c r="U427" s="32"/>
      <c r="V427" s="25">
        <f t="shared" si="69"/>
        <v>0</v>
      </c>
      <c r="W427" s="32">
        <v>197</v>
      </c>
      <c r="X427" s="32">
        <f t="shared" si="66"/>
        <v>0</v>
      </c>
      <c r="Y427" s="25">
        <f t="shared" si="67"/>
        <v>0</v>
      </c>
      <c r="AD427" s="26"/>
    </row>
    <row r="428" spans="1:30" x14ac:dyDescent="0.2">
      <c r="A428" s="24">
        <f t="shared" si="68"/>
        <v>14.053469322555197</v>
      </c>
      <c r="B428" s="32">
        <v>197.5</v>
      </c>
      <c r="C428" s="32"/>
      <c r="D428" s="25">
        <f t="shared" si="60"/>
        <v>0</v>
      </c>
      <c r="E428" s="32">
        <v>197.5</v>
      </c>
      <c r="F428" s="8"/>
      <c r="G428" s="25">
        <f t="shared" si="61"/>
        <v>0</v>
      </c>
      <c r="H428" s="32">
        <v>197.5</v>
      </c>
      <c r="I428" s="32"/>
      <c r="J428" s="25">
        <f t="shared" si="62"/>
        <v>0</v>
      </c>
      <c r="K428" s="32">
        <v>197.5</v>
      </c>
      <c r="L428" s="31"/>
      <c r="M428" s="25">
        <f t="shared" si="63"/>
        <v>0</v>
      </c>
      <c r="N428" s="32">
        <v>197.5</v>
      </c>
      <c r="O428" s="32"/>
      <c r="P428" s="25">
        <f t="shared" si="64"/>
        <v>0</v>
      </c>
      <c r="Q428" s="32">
        <v>197.5</v>
      </c>
      <c r="R428" s="32"/>
      <c r="S428" s="25">
        <f t="shared" si="65"/>
        <v>0</v>
      </c>
      <c r="T428" s="32">
        <v>197.5</v>
      </c>
      <c r="U428" s="32"/>
      <c r="V428" s="25">
        <f t="shared" si="69"/>
        <v>0</v>
      </c>
      <c r="W428" s="32">
        <v>197.5</v>
      </c>
      <c r="X428" s="32">
        <f t="shared" si="66"/>
        <v>0</v>
      </c>
      <c r="Y428" s="25">
        <f t="shared" si="67"/>
        <v>0</v>
      </c>
      <c r="AD428" s="26"/>
    </row>
    <row r="429" spans="1:30" x14ac:dyDescent="0.2">
      <c r="A429" s="24">
        <f t="shared" si="68"/>
        <v>14.071247279470288</v>
      </c>
      <c r="B429" s="32">
        <v>198</v>
      </c>
      <c r="C429" s="32"/>
      <c r="D429" s="25">
        <f t="shared" si="60"/>
        <v>0</v>
      </c>
      <c r="E429" s="32">
        <v>198</v>
      </c>
      <c r="F429" s="8"/>
      <c r="G429" s="25">
        <f t="shared" si="61"/>
        <v>0</v>
      </c>
      <c r="H429" s="32">
        <v>198</v>
      </c>
      <c r="I429" s="32"/>
      <c r="J429" s="25">
        <f t="shared" si="62"/>
        <v>0</v>
      </c>
      <c r="K429" s="32">
        <v>198</v>
      </c>
      <c r="L429" s="31"/>
      <c r="M429" s="25">
        <f t="shared" si="63"/>
        <v>0</v>
      </c>
      <c r="N429" s="32">
        <v>198</v>
      </c>
      <c r="O429" s="32"/>
      <c r="P429" s="25">
        <f t="shared" si="64"/>
        <v>0</v>
      </c>
      <c r="Q429" s="32">
        <v>198</v>
      </c>
      <c r="R429" s="32"/>
      <c r="S429" s="25">
        <f t="shared" si="65"/>
        <v>0</v>
      </c>
      <c r="T429" s="32">
        <v>198</v>
      </c>
      <c r="U429" s="32"/>
      <c r="V429" s="25">
        <f t="shared" si="69"/>
        <v>0</v>
      </c>
      <c r="W429" s="32">
        <v>198</v>
      </c>
      <c r="X429" s="32">
        <f t="shared" si="66"/>
        <v>0</v>
      </c>
      <c r="Y429" s="25">
        <f t="shared" si="67"/>
        <v>0</v>
      </c>
      <c r="AD429" s="26"/>
    </row>
    <row r="430" spans="1:30" x14ac:dyDescent="0.2">
      <c r="A430" s="24">
        <f t="shared" si="68"/>
        <v>14.089002803605371</v>
      </c>
      <c r="B430" s="32">
        <v>198.5</v>
      </c>
      <c r="C430" s="32"/>
      <c r="D430" s="25">
        <f t="shared" si="60"/>
        <v>0</v>
      </c>
      <c r="E430" s="32">
        <v>198.5</v>
      </c>
      <c r="F430" s="8"/>
      <c r="G430" s="25">
        <f t="shared" si="61"/>
        <v>0</v>
      </c>
      <c r="H430" s="32">
        <v>198.5</v>
      </c>
      <c r="I430" s="32"/>
      <c r="J430" s="25">
        <f t="shared" si="62"/>
        <v>0</v>
      </c>
      <c r="K430" s="32">
        <v>198.5</v>
      </c>
      <c r="L430" s="31"/>
      <c r="M430" s="25">
        <f t="shared" si="63"/>
        <v>0</v>
      </c>
      <c r="N430" s="32">
        <v>198.5</v>
      </c>
      <c r="O430" s="32"/>
      <c r="P430" s="25">
        <f t="shared" si="64"/>
        <v>0</v>
      </c>
      <c r="Q430" s="32">
        <v>198.5</v>
      </c>
      <c r="R430" s="32"/>
      <c r="S430" s="25">
        <f t="shared" si="65"/>
        <v>0</v>
      </c>
      <c r="T430" s="32">
        <v>198.5</v>
      </c>
      <c r="U430" s="32"/>
      <c r="V430" s="25">
        <f t="shared" si="69"/>
        <v>0</v>
      </c>
      <c r="W430" s="32">
        <v>198.5</v>
      </c>
      <c r="X430" s="32">
        <f t="shared" si="66"/>
        <v>0</v>
      </c>
      <c r="Y430" s="25">
        <f t="shared" si="67"/>
        <v>0</v>
      </c>
      <c r="AD430" s="26"/>
    </row>
    <row r="431" spans="1:30" x14ac:dyDescent="0.2">
      <c r="A431" s="24">
        <f t="shared" si="68"/>
        <v>14.106735979665885</v>
      </c>
      <c r="B431" s="32">
        <v>199</v>
      </c>
      <c r="C431" s="32"/>
      <c r="D431" s="25">
        <f t="shared" si="60"/>
        <v>0</v>
      </c>
      <c r="E431" s="32">
        <v>199</v>
      </c>
      <c r="F431" s="8"/>
      <c r="G431" s="25">
        <f t="shared" si="61"/>
        <v>0</v>
      </c>
      <c r="H431" s="32">
        <v>199</v>
      </c>
      <c r="I431" s="32"/>
      <c r="J431" s="25">
        <f t="shared" si="62"/>
        <v>0</v>
      </c>
      <c r="K431" s="32">
        <v>199</v>
      </c>
      <c r="L431" s="31"/>
      <c r="M431" s="25">
        <f t="shared" si="63"/>
        <v>0</v>
      </c>
      <c r="N431" s="32">
        <v>199</v>
      </c>
      <c r="O431" s="32"/>
      <c r="P431" s="25">
        <f t="shared" si="64"/>
        <v>0</v>
      </c>
      <c r="Q431" s="32">
        <v>199</v>
      </c>
      <c r="R431" s="32"/>
      <c r="S431" s="25">
        <f t="shared" si="65"/>
        <v>0</v>
      </c>
      <c r="T431" s="32">
        <v>199</v>
      </c>
      <c r="U431" s="32"/>
      <c r="V431" s="25">
        <f t="shared" si="69"/>
        <v>0</v>
      </c>
      <c r="W431" s="32">
        <v>199</v>
      </c>
      <c r="X431" s="32">
        <f t="shared" si="66"/>
        <v>0</v>
      </c>
      <c r="Y431" s="25">
        <f t="shared" si="67"/>
        <v>0</v>
      </c>
      <c r="AD431" s="26"/>
    </row>
    <row r="432" spans="1:30" x14ac:dyDescent="0.2">
      <c r="A432" s="24">
        <f t="shared" si="68"/>
        <v>14.124446891825535</v>
      </c>
      <c r="B432" s="32">
        <v>199.5</v>
      </c>
      <c r="C432" s="32"/>
      <c r="D432" s="25">
        <f t="shared" si="60"/>
        <v>0</v>
      </c>
      <c r="E432" s="32">
        <v>199.5</v>
      </c>
      <c r="F432" s="8"/>
      <c r="G432" s="25">
        <f t="shared" si="61"/>
        <v>0</v>
      </c>
      <c r="H432" s="32">
        <v>199.5</v>
      </c>
      <c r="I432" s="32"/>
      <c r="J432" s="25">
        <f t="shared" si="62"/>
        <v>0</v>
      </c>
      <c r="K432" s="32">
        <v>199.5</v>
      </c>
      <c r="L432" s="31"/>
      <c r="M432" s="25">
        <f t="shared" si="63"/>
        <v>0</v>
      </c>
      <c r="N432" s="32">
        <v>199.5</v>
      </c>
      <c r="O432" s="32"/>
      <c r="P432" s="25">
        <f t="shared" si="64"/>
        <v>0</v>
      </c>
      <c r="Q432" s="32">
        <v>199.5</v>
      </c>
      <c r="R432" s="32"/>
      <c r="S432" s="25">
        <f t="shared" si="65"/>
        <v>0</v>
      </c>
      <c r="T432" s="32">
        <v>199.5</v>
      </c>
      <c r="U432" s="32"/>
      <c r="V432" s="25">
        <f t="shared" si="69"/>
        <v>0</v>
      </c>
      <c r="W432" s="32">
        <v>199.5</v>
      </c>
      <c r="X432" s="32">
        <f t="shared" si="66"/>
        <v>0</v>
      </c>
      <c r="Y432" s="25">
        <f t="shared" si="67"/>
        <v>0</v>
      </c>
      <c r="AD432" s="26"/>
    </row>
    <row r="433" spans="1:30" x14ac:dyDescent="0.2">
      <c r="A433" s="24">
        <f t="shared" si="68"/>
        <v>14.142135623730951</v>
      </c>
      <c r="B433" s="32">
        <v>200</v>
      </c>
      <c r="C433" s="32"/>
      <c r="D433" s="25">
        <f t="shared" si="60"/>
        <v>0</v>
      </c>
      <c r="E433" s="32">
        <v>200</v>
      </c>
      <c r="F433" s="8"/>
      <c r="G433" s="25">
        <f t="shared" si="61"/>
        <v>0</v>
      </c>
      <c r="H433" s="32">
        <v>200</v>
      </c>
      <c r="I433" s="32"/>
      <c r="J433" s="25">
        <f t="shared" si="62"/>
        <v>0</v>
      </c>
      <c r="K433" s="32">
        <v>200</v>
      </c>
      <c r="L433" s="31"/>
      <c r="M433" s="25">
        <f t="shared" si="63"/>
        <v>0</v>
      </c>
      <c r="N433" s="32">
        <v>200</v>
      </c>
      <c r="O433" s="32"/>
      <c r="P433" s="25">
        <f t="shared" si="64"/>
        <v>0</v>
      </c>
      <c r="Q433" s="32">
        <v>200</v>
      </c>
      <c r="R433" s="32"/>
      <c r="S433" s="25">
        <f t="shared" si="65"/>
        <v>0</v>
      </c>
      <c r="T433" s="32">
        <v>200</v>
      </c>
      <c r="U433" s="32"/>
      <c r="V433" s="25">
        <f t="shared" si="69"/>
        <v>0</v>
      </c>
      <c r="W433" s="32">
        <v>200</v>
      </c>
      <c r="X433" s="32">
        <f t="shared" si="66"/>
        <v>0</v>
      </c>
      <c r="Y433" s="25">
        <f t="shared" si="67"/>
        <v>0</v>
      </c>
      <c r="AD433" s="26"/>
    </row>
    <row r="434" spans="1:30" x14ac:dyDescent="0.2">
      <c r="A434" s="24">
        <f t="shared" si="68"/>
        <v>14.159802258506296</v>
      </c>
      <c r="B434" s="32">
        <v>200.5</v>
      </c>
      <c r="C434" s="32"/>
      <c r="D434" s="25">
        <f t="shared" si="60"/>
        <v>0</v>
      </c>
      <c r="E434" s="32">
        <v>200.5</v>
      </c>
      <c r="F434" s="8"/>
      <c r="G434" s="25">
        <f t="shared" si="61"/>
        <v>0</v>
      </c>
      <c r="H434" s="32">
        <v>200.5</v>
      </c>
      <c r="I434" s="32"/>
      <c r="J434" s="25">
        <f t="shared" si="62"/>
        <v>0</v>
      </c>
      <c r="K434" s="32">
        <v>200.5</v>
      </c>
      <c r="L434" s="31"/>
      <c r="M434" s="25">
        <f t="shared" si="63"/>
        <v>0</v>
      </c>
      <c r="N434" s="32">
        <v>200.5</v>
      </c>
      <c r="O434" s="32"/>
      <c r="P434" s="25">
        <f t="shared" si="64"/>
        <v>0</v>
      </c>
      <c r="Q434" s="32">
        <v>200.5</v>
      </c>
      <c r="R434" s="32"/>
      <c r="S434" s="25">
        <f t="shared" si="65"/>
        <v>0</v>
      </c>
      <c r="T434" s="32">
        <v>200.5</v>
      </c>
      <c r="U434" s="32"/>
      <c r="V434" s="25">
        <f t="shared" si="69"/>
        <v>0</v>
      </c>
      <c r="W434" s="32">
        <v>200.5</v>
      </c>
      <c r="X434" s="32">
        <f t="shared" si="66"/>
        <v>0</v>
      </c>
      <c r="Y434" s="25">
        <f t="shared" si="67"/>
        <v>0</v>
      </c>
      <c r="AD434" s="26"/>
    </row>
    <row r="435" spans="1:30" x14ac:dyDescent="0.2">
      <c r="A435" s="24">
        <f t="shared" si="68"/>
        <v>14.177446878757825</v>
      </c>
      <c r="B435" s="32">
        <v>201</v>
      </c>
      <c r="C435" s="32"/>
      <c r="D435" s="25">
        <f t="shared" si="60"/>
        <v>0</v>
      </c>
      <c r="E435" s="32">
        <v>201</v>
      </c>
      <c r="F435" s="8"/>
      <c r="G435" s="25">
        <f t="shared" si="61"/>
        <v>0</v>
      </c>
      <c r="H435" s="32">
        <v>201</v>
      </c>
      <c r="I435" s="32"/>
      <c r="J435" s="25">
        <f t="shared" si="62"/>
        <v>0</v>
      </c>
      <c r="K435" s="32">
        <v>201</v>
      </c>
      <c r="L435" s="31"/>
      <c r="M435" s="25">
        <f t="shared" si="63"/>
        <v>0</v>
      </c>
      <c r="N435" s="32">
        <v>201</v>
      </c>
      <c r="O435" s="32"/>
      <c r="P435" s="25">
        <f t="shared" si="64"/>
        <v>0</v>
      </c>
      <c r="Q435" s="32">
        <v>201</v>
      </c>
      <c r="R435" s="32"/>
      <c r="S435" s="25">
        <f t="shared" si="65"/>
        <v>0</v>
      </c>
      <c r="T435" s="32">
        <v>201</v>
      </c>
      <c r="U435" s="32"/>
      <c r="V435" s="25">
        <f t="shared" si="69"/>
        <v>0</v>
      </c>
      <c r="W435" s="32">
        <v>201</v>
      </c>
      <c r="X435" s="32">
        <f t="shared" si="66"/>
        <v>0</v>
      </c>
      <c r="Y435" s="25">
        <f t="shared" si="67"/>
        <v>0</v>
      </c>
      <c r="AD435" s="26"/>
    </row>
    <row r="436" spans="1:30" x14ac:dyDescent="0.2">
      <c r="A436" s="24">
        <f t="shared" si="68"/>
        <v>14.19506956657839</v>
      </c>
      <c r="B436" s="32">
        <v>201.5</v>
      </c>
      <c r="C436" s="32"/>
      <c r="D436" s="25">
        <f t="shared" si="60"/>
        <v>0</v>
      </c>
      <c r="E436" s="32">
        <v>201.5</v>
      </c>
      <c r="F436" s="8"/>
      <c r="G436" s="25">
        <f t="shared" si="61"/>
        <v>0</v>
      </c>
      <c r="H436" s="32">
        <v>201.5</v>
      </c>
      <c r="I436" s="32"/>
      <c r="J436" s="25">
        <f t="shared" si="62"/>
        <v>0</v>
      </c>
      <c r="K436" s="32">
        <v>201.5</v>
      </c>
      <c r="L436" s="31"/>
      <c r="M436" s="25">
        <f t="shared" si="63"/>
        <v>0</v>
      </c>
      <c r="N436" s="32">
        <v>201.5</v>
      </c>
      <c r="O436" s="32"/>
      <c r="P436" s="25">
        <f t="shared" si="64"/>
        <v>0</v>
      </c>
      <c r="Q436" s="32">
        <v>201.5</v>
      </c>
      <c r="R436" s="32"/>
      <c r="S436" s="25">
        <f t="shared" si="65"/>
        <v>0</v>
      </c>
      <c r="T436" s="32">
        <v>201.5</v>
      </c>
      <c r="U436" s="32"/>
      <c r="V436" s="25">
        <f t="shared" si="69"/>
        <v>0</v>
      </c>
      <c r="W436" s="32">
        <v>201.5</v>
      </c>
      <c r="X436" s="32">
        <f t="shared" si="66"/>
        <v>0</v>
      </c>
      <c r="Y436" s="25">
        <f t="shared" si="67"/>
        <v>0</v>
      </c>
      <c r="AD436" s="26"/>
    </row>
    <row r="437" spans="1:30" x14ac:dyDescent="0.2">
      <c r="A437" s="24">
        <f t="shared" si="68"/>
        <v>14.212670403551895</v>
      </c>
      <c r="B437" s="32">
        <v>202</v>
      </c>
      <c r="C437" s="32"/>
      <c r="D437" s="25">
        <f t="shared" si="60"/>
        <v>0</v>
      </c>
      <c r="E437" s="32">
        <v>202</v>
      </c>
      <c r="F437" s="8"/>
      <c r="G437" s="25">
        <f t="shared" si="61"/>
        <v>0</v>
      </c>
      <c r="H437" s="32">
        <v>202</v>
      </c>
      <c r="I437" s="32"/>
      <c r="J437" s="25">
        <f t="shared" si="62"/>
        <v>0</v>
      </c>
      <c r="K437" s="32">
        <v>202</v>
      </c>
      <c r="L437" s="31"/>
      <c r="M437" s="25">
        <f t="shared" si="63"/>
        <v>0</v>
      </c>
      <c r="N437" s="32">
        <v>202</v>
      </c>
      <c r="O437" s="32"/>
      <c r="P437" s="25">
        <f t="shared" si="64"/>
        <v>0</v>
      </c>
      <c r="Q437" s="32">
        <v>202</v>
      </c>
      <c r="R437" s="32"/>
      <c r="S437" s="25">
        <f t="shared" si="65"/>
        <v>0</v>
      </c>
      <c r="T437" s="32">
        <v>202</v>
      </c>
      <c r="U437" s="32"/>
      <c r="V437" s="25">
        <f t="shared" si="69"/>
        <v>0</v>
      </c>
      <c r="W437" s="32">
        <v>202</v>
      </c>
      <c r="X437" s="32">
        <f t="shared" si="66"/>
        <v>0</v>
      </c>
      <c r="Y437" s="25">
        <f t="shared" si="67"/>
        <v>0</v>
      </c>
      <c r="AD437" s="26"/>
    </row>
    <row r="438" spans="1:30" x14ac:dyDescent="0.2">
      <c r="A438" s="24">
        <f t="shared" si="68"/>
        <v>14.230249470757707</v>
      </c>
      <c r="B438" s="32">
        <v>202.5</v>
      </c>
      <c r="C438" s="32"/>
      <c r="D438" s="25">
        <f t="shared" si="60"/>
        <v>0</v>
      </c>
      <c r="E438" s="32">
        <v>202.5</v>
      </c>
      <c r="F438" s="8"/>
      <c r="G438" s="25">
        <f t="shared" si="61"/>
        <v>0</v>
      </c>
      <c r="H438" s="32">
        <v>202.5</v>
      </c>
      <c r="I438" s="32"/>
      <c r="J438" s="25">
        <f t="shared" si="62"/>
        <v>0</v>
      </c>
      <c r="K438" s="32">
        <v>202.5</v>
      </c>
      <c r="L438" s="31"/>
      <c r="M438" s="25">
        <f t="shared" si="63"/>
        <v>0</v>
      </c>
      <c r="N438" s="32">
        <v>202.5</v>
      </c>
      <c r="O438" s="32"/>
      <c r="P438" s="25">
        <f t="shared" si="64"/>
        <v>0</v>
      </c>
      <c r="Q438" s="32">
        <v>202.5</v>
      </c>
      <c r="R438" s="32"/>
      <c r="S438" s="25">
        <f t="shared" si="65"/>
        <v>0</v>
      </c>
      <c r="T438" s="32">
        <v>202.5</v>
      </c>
      <c r="U438" s="32"/>
      <c r="V438" s="25">
        <f t="shared" si="69"/>
        <v>0</v>
      </c>
      <c r="W438" s="32">
        <v>202.5</v>
      </c>
      <c r="X438" s="32">
        <f t="shared" si="66"/>
        <v>0</v>
      </c>
      <c r="Y438" s="25">
        <f t="shared" si="67"/>
        <v>0</v>
      </c>
      <c r="AD438" s="26"/>
    </row>
    <row r="439" spans="1:30" x14ac:dyDescent="0.2">
      <c r="A439" s="24">
        <f t="shared" si="68"/>
        <v>14.247806848775006</v>
      </c>
      <c r="B439" s="32">
        <v>203</v>
      </c>
      <c r="C439" s="32"/>
      <c r="D439" s="25">
        <f t="shared" si="60"/>
        <v>0</v>
      </c>
      <c r="E439" s="32">
        <v>203</v>
      </c>
      <c r="F439" s="8"/>
      <c r="G439" s="25">
        <f t="shared" si="61"/>
        <v>0</v>
      </c>
      <c r="H439" s="32">
        <v>203</v>
      </c>
      <c r="I439" s="32"/>
      <c r="J439" s="25">
        <f t="shared" si="62"/>
        <v>0</v>
      </c>
      <c r="K439" s="32">
        <v>203</v>
      </c>
      <c r="L439" s="31"/>
      <c r="M439" s="25">
        <f t="shared" si="63"/>
        <v>0</v>
      </c>
      <c r="N439" s="32">
        <v>203</v>
      </c>
      <c r="O439" s="32"/>
      <c r="P439" s="25">
        <f t="shared" si="64"/>
        <v>0</v>
      </c>
      <c r="Q439" s="32">
        <v>203</v>
      </c>
      <c r="R439" s="32"/>
      <c r="S439" s="25">
        <f t="shared" si="65"/>
        <v>0</v>
      </c>
      <c r="T439" s="32">
        <v>203</v>
      </c>
      <c r="U439" s="32"/>
      <c r="V439" s="25">
        <f t="shared" si="69"/>
        <v>0</v>
      </c>
      <c r="W439" s="32">
        <v>203</v>
      </c>
      <c r="X439" s="32">
        <f t="shared" si="66"/>
        <v>0</v>
      </c>
      <c r="Y439" s="25">
        <f t="shared" si="67"/>
        <v>0</v>
      </c>
      <c r="AD439" s="26"/>
    </row>
    <row r="440" spans="1:30" x14ac:dyDescent="0.2">
      <c r="A440" s="24">
        <f t="shared" si="68"/>
        <v>14.265342617687105</v>
      </c>
      <c r="B440" s="32">
        <v>203.5</v>
      </c>
      <c r="C440" s="32"/>
      <c r="D440" s="25">
        <f t="shared" si="60"/>
        <v>0</v>
      </c>
      <c r="E440" s="32">
        <v>203.5</v>
      </c>
      <c r="F440" s="8"/>
      <c r="G440" s="25">
        <f t="shared" si="61"/>
        <v>0</v>
      </c>
      <c r="H440" s="32">
        <v>203.5</v>
      </c>
      <c r="I440" s="32"/>
      <c r="J440" s="25">
        <f t="shared" si="62"/>
        <v>0</v>
      </c>
      <c r="K440" s="32">
        <v>203.5</v>
      </c>
      <c r="L440" s="31"/>
      <c r="M440" s="25">
        <f t="shared" si="63"/>
        <v>0</v>
      </c>
      <c r="N440" s="32">
        <v>203.5</v>
      </c>
      <c r="O440" s="32"/>
      <c r="P440" s="25">
        <f t="shared" si="64"/>
        <v>0</v>
      </c>
      <c r="Q440" s="32">
        <v>203.5</v>
      </c>
      <c r="R440" s="32"/>
      <c r="S440" s="25">
        <f t="shared" si="65"/>
        <v>0</v>
      </c>
      <c r="T440" s="32">
        <v>203.5</v>
      </c>
      <c r="U440" s="32"/>
      <c r="V440" s="25">
        <f t="shared" si="69"/>
        <v>0</v>
      </c>
      <c r="W440" s="32">
        <v>203.5</v>
      </c>
      <c r="X440" s="32">
        <f t="shared" si="66"/>
        <v>0</v>
      </c>
      <c r="Y440" s="25">
        <f t="shared" si="67"/>
        <v>0</v>
      </c>
      <c r="AD440" s="26"/>
    </row>
    <row r="441" spans="1:30" x14ac:dyDescent="0.2">
      <c r="A441" s="24">
        <f t="shared" si="68"/>
        <v>14.282856857085701</v>
      </c>
      <c r="B441" s="32">
        <v>204</v>
      </c>
      <c r="C441" s="32"/>
      <c r="D441" s="25">
        <f t="shared" si="60"/>
        <v>0</v>
      </c>
      <c r="E441" s="32">
        <v>204</v>
      </c>
      <c r="F441" s="8"/>
      <c r="G441" s="25">
        <f t="shared" si="61"/>
        <v>0</v>
      </c>
      <c r="H441" s="32">
        <v>204</v>
      </c>
      <c r="I441" s="32"/>
      <c r="J441" s="25">
        <f t="shared" si="62"/>
        <v>0</v>
      </c>
      <c r="K441" s="32">
        <v>204</v>
      </c>
      <c r="L441" s="31"/>
      <c r="M441" s="25">
        <f t="shared" si="63"/>
        <v>0</v>
      </c>
      <c r="N441" s="32">
        <v>204</v>
      </c>
      <c r="O441" s="32"/>
      <c r="P441" s="25">
        <f t="shared" si="64"/>
        <v>0</v>
      </c>
      <c r="Q441" s="32">
        <v>204</v>
      </c>
      <c r="R441" s="32"/>
      <c r="S441" s="25">
        <f t="shared" si="65"/>
        <v>0</v>
      </c>
      <c r="T441" s="32">
        <v>204</v>
      </c>
      <c r="U441" s="32"/>
      <c r="V441" s="25">
        <f t="shared" si="69"/>
        <v>0</v>
      </c>
      <c r="W441" s="32">
        <v>204</v>
      </c>
      <c r="X441" s="32">
        <f t="shared" si="66"/>
        <v>0</v>
      </c>
      <c r="Y441" s="25">
        <f t="shared" si="67"/>
        <v>0</v>
      </c>
      <c r="AD441" s="26"/>
    </row>
    <row r="442" spans="1:30" x14ac:dyDescent="0.2">
      <c r="A442" s="24">
        <f t="shared" si="68"/>
        <v>14.300349646075091</v>
      </c>
      <c r="B442" s="32">
        <v>204.5</v>
      </c>
      <c r="C442" s="32"/>
      <c r="D442" s="25">
        <f t="shared" si="60"/>
        <v>0</v>
      </c>
      <c r="E442" s="32">
        <v>204.5</v>
      </c>
      <c r="F442" s="8"/>
      <c r="G442" s="25">
        <f t="shared" si="61"/>
        <v>0</v>
      </c>
      <c r="H442" s="32">
        <v>204.5</v>
      </c>
      <c r="I442" s="32"/>
      <c r="J442" s="25">
        <f t="shared" si="62"/>
        <v>0</v>
      </c>
      <c r="K442" s="32">
        <v>204.5</v>
      </c>
      <c r="L442" s="31"/>
      <c r="M442" s="25">
        <f t="shared" si="63"/>
        <v>0</v>
      </c>
      <c r="N442" s="32">
        <v>204.5</v>
      </c>
      <c r="O442" s="32"/>
      <c r="P442" s="25">
        <f t="shared" si="64"/>
        <v>0</v>
      </c>
      <c r="Q442" s="32">
        <v>204.5</v>
      </c>
      <c r="R442" s="32"/>
      <c r="S442" s="25">
        <f t="shared" si="65"/>
        <v>0</v>
      </c>
      <c r="T442" s="32">
        <v>204.5</v>
      </c>
      <c r="U442" s="32"/>
      <c r="V442" s="25">
        <f t="shared" si="69"/>
        <v>0</v>
      </c>
      <c r="W442" s="32">
        <v>204.5</v>
      </c>
      <c r="X442" s="32">
        <f t="shared" si="66"/>
        <v>0</v>
      </c>
      <c r="Y442" s="25">
        <f t="shared" si="67"/>
        <v>0</v>
      </c>
      <c r="AD442" s="26"/>
    </row>
    <row r="443" spans="1:30" x14ac:dyDescent="0.2">
      <c r="A443" s="24">
        <f t="shared" si="68"/>
        <v>14.317821063276353</v>
      </c>
      <c r="B443" s="32">
        <v>205</v>
      </c>
      <c r="C443" s="32"/>
      <c r="D443" s="25">
        <f t="shared" si="60"/>
        <v>0</v>
      </c>
      <c r="E443" s="32">
        <v>205</v>
      </c>
      <c r="F443" s="8"/>
      <c r="G443" s="25">
        <f t="shared" si="61"/>
        <v>0</v>
      </c>
      <c r="H443" s="32">
        <v>205</v>
      </c>
      <c r="I443" s="32"/>
      <c r="J443" s="25">
        <f t="shared" si="62"/>
        <v>0</v>
      </c>
      <c r="K443" s="32">
        <v>205</v>
      </c>
      <c r="L443" s="31"/>
      <c r="M443" s="25">
        <f t="shared" si="63"/>
        <v>0</v>
      </c>
      <c r="N443" s="32">
        <v>205</v>
      </c>
      <c r="O443" s="32"/>
      <c r="P443" s="25">
        <f t="shared" si="64"/>
        <v>0</v>
      </c>
      <c r="Q443" s="32">
        <v>205</v>
      </c>
      <c r="R443" s="32"/>
      <c r="S443" s="25">
        <f t="shared" si="65"/>
        <v>0</v>
      </c>
      <c r="T443" s="32">
        <v>205</v>
      </c>
      <c r="U443" s="32"/>
      <c r="V443" s="25">
        <f t="shared" si="69"/>
        <v>0</v>
      </c>
      <c r="W443" s="32">
        <v>205</v>
      </c>
      <c r="X443" s="32">
        <f t="shared" si="66"/>
        <v>0</v>
      </c>
      <c r="Y443" s="25">
        <f t="shared" si="67"/>
        <v>0</v>
      </c>
      <c r="AD443" s="26"/>
    </row>
    <row r="444" spans="1:30" x14ac:dyDescent="0.2">
      <c r="A444" s="24">
        <f t="shared" si="68"/>
        <v>14.33527118683145</v>
      </c>
      <c r="B444" s="32">
        <v>205.5</v>
      </c>
      <c r="C444" s="32"/>
      <c r="D444" s="25">
        <f t="shared" si="60"/>
        <v>0</v>
      </c>
      <c r="E444" s="32">
        <v>205.5</v>
      </c>
      <c r="F444" s="8"/>
      <c r="G444" s="25">
        <f t="shared" si="61"/>
        <v>0</v>
      </c>
      <c r="H444" s="32">
        <v>205.5</v>
      </c>
      <c r="I444" s="32"/>
      <c r="J444" s="25">
        <f t="shared" si="62"/>
        <v>0</v>
      </c>
      <c r="K444" s="32">
        <v>205.5</v>
      </c>
      <c r="L444" s="31"/>
      <c r="M444" s="25">
        <f t="shared" si="63"/>
        <v>0</v>
      </c>
      <c r="N444" s="32">
        <v>205.5</v>
      </c>
      <c r="O444" s="32"/>
      <c r="P444" s="25">
        <f t="shared" si="64"/>
        <v>0</v>
      </c>
      <c r="Q444" s="32">
        <v>205.5</v>
      </c>
      <c r="R444" s="32"/>
      <c r="S444" s="25">
        <f t="shared" si="65"/>
        <v>0</v>
      </c>
      <c r="T444" s="32">
        <v>205.5</v>
      </c>
      <c r="U444" s="32"/>
      <c r="V444" s="25">
        <f t="shared" si="69"/>
        <v>0</v>
      </c>
      <c r="W444" s="32">
        <v>205.5</v>
      </c>
      <c r="X444" s="32">
        <f t="shared" si="66"/>
        <v>0</v>
      </c>
      <c r="Y444" s="25">
        <f t="shared" si="67"/>
        <v>0</v>
      </c>
      <c r="AD444" s="26"/>
    </row>
    <row r="445" spans="1:30" x14ac:dyDescent="0.2">
      <c r="A445" s="24">
        <f t="shared" si="68"/>
        <v>14.352700094407323</v>
      </c>
      <c r="B445" s="32">
        <v>206</v>
      </c>
      <c r="C445" s="32"/>
      <c r="D445" s="25">
        <f t="shared" si="60"/>
        <v>0</v>
      </c>
      <c r="E445" s="32">
        <v>206</v>
      </c>
      <c r="F445" s="8"/>
      <c r="G445" s="25">
        <f t="shared" si="61"/>
        <v>0</v>
      </c>
      <c r="H445" s="32">
        <v>206</v>
      </c>
      <c r="I445" s="32"/>
      <c r="J445" s="25">
        <f t="shared" si="62"/>
        <v>0</v>
      </c>
      <c r="K445" s="32">
        <v>206</v>
      </c>
      <c r="L445" s="31"/>
      <c r="M445" s="25">
        <f t="shared" si="63"/>
        <v>0</v>
      </c>
      <c r="N445" s="32">
        <v>206</v>
      </c>
      <c r="O445" s="32"/>
      <c r="P445" s="25">
        <f t="shared" si="64"/>
        <v>0</v>
      </c>
      <c r="Q445" s="32">
        <v>206</v>
      </c>
      <c r="R445" s="32"/>
      <c r="S445" s="25">
        <f t="shared" si="65"/>
        <v>0</v>
      </c>
      <c r="T445" s="32">
        <v>206</v>
      </c>
      <c r="U445" s="32"/>
      <c r="V445" s="25">
        <f t="shared" si="69"/>
        <v>0</v>
      </c>
      <c r="W445" s="32">
        <v>206</v>
      </c>
      <c r="X445" s="32">
        <f t="shared" si="66"/>
        <v>0</v>
      </c>
      <c r="Y445" s="25">
        <f t="shared" si="67"/>
        <v>0</v>
      </c>
      <c r="AD445" s="26"/>
    </row>
    <row r="446" spans="1:30" x14ac:dyDescent="0.2">
      <c r="A446" s="24">
        <f t="shared" si="68"/>
        <v>14.370107863199914</v>
      </c>
      <c r="B446" s="32">
        <v>206.5</v>
      </c>
      <c r="C446" s="32"/>
      <c r="D446" s="25">
        <f t="shared" si="60"/>
        <v>0</v>
      </c>
      <c r="E446" s="32">
        <v>206.5</v>
      </c>
      <c r="F446" s="8"/>
      <c r="G446" s="25">
        <f t="shared" si="61"/>
        <v>0</v>
      </c>
      <c r="H446" s="32">
        <v>206.5</v>
      </c>
      <c r="I446" s="32"/>
      <c r="J446" s="25">
        <f t="shared" si="62"/>
        <v>0</v>
      </c>
      <c r="K446" s="32">
        <v>206.5</v>
      </c>
      <c r="L446" s="31"/>
      <c r="M446" s="25">
        <f t="shared" si="63"/>
        <v>0</v>
      </c>
      <c r="N446" s="32">
        <v>206.5</v>
      </c>
      <c r="O446" s="32"/>
      <c r="P446" s="25">
        <f t="shared" si="64"/>
        <v>0</v>
      </c>
      <c r="Q446" s="32">
        <v>206.5</v>
      </c>
      <c r="R446" s="32"/>
      <c r="S446" s="25">
        <f t="shared" si="65"/>
        <v>0</v>
      </c>
      <c r="T446" s="32">
        <v>206.5</v>
      </c>
      <c r="U446" s="32"/>
      <c r="V446" s="25">
        <f t="shared" si="69"/>
        <v>0</v>
      </c>
      <c r="W446" s="32">
        <v>206.5</v>
      </c>
      <c r="X446" s="32">
        <f t="shared" si="66"/>
        <v>0</v>
      </c>
      <c r="Y446" s="25">
        <f t="shared" si="67"/>
        <v>0</v>
      </c>
      <c r="AD446" s="26"/>
    </row>
    <row r="447" spans="1:30" x14ac:dyDescent="0.2">
      <c r="A447" s="24">
        <f t="shared" si="68"/>
        <v>14.387494569938159</v>
      </c>
      <c r="B447" s="32">
        <v>207</v>
      </c>
      <c r="C447" s="32"/>
      <c r="D447" s="25">
        <f t="shared" si="60"/>
        <v>0</v>
      </c>
      <c r="E447" s="32">
        <v>207</v>
      </c>
      <c r="F447" s="8"/>
      <c r="G447" s="25">
        <f t="shared" si="61"/>
        <v>0</v>
      </c>
      <c r="H447" s="32">
        <v>207</v>
      </c>
      <c r="I447" s="32"/>
      <c r="J447" s="25">
        <f t="shared" si="62"/>
        <v>0</v>
      </c>
      <c r="K447" s="32">
        <v>207</v>
      </c>
      <c r="L447" s="31"/>
      <c r="M447" s="25">
        <f t="shared" si="63"/>
        <v>0</v>
      </c>
      <c r="N447" s="32">
        <v>207</v>
      </c>
      <c r="O447" s="32"/>
      <c r="P447" s="25">
        <f t="shared" si="64"/>
        <v>0</v>
      </c>
      <c r="Q447" s="32">
        <v>207</v>
      </c>
      <c r="R447" s="32"/>
      <c r="S447" s="25">
        <f t="shared" si="65"/>
        <v>0</v>
      </c>
      <c r="T447" s="32">
        <v>207</v>
      </c>
      <c r="U447" s="32"/>
      <c r="V447" s="25">
        <f t="shared" si="69"/>
        <v>0</v>
      </c>
      <c r="W447" s="32">
        <v>207</v>
      </c>
      <c r="X447" s="32">
        <f t="shared" si="66"/>
        <v>0</v>
      </c>
      <c r="Y447" s="25">
        <f t="shared" si="67"/>
        <v>0</v>
      </c>
      <c r="AD447" s="26"/>
    </row>
    <row r="448" spans="1:30" x14ac:dyDescent="0.2">
      <c r="A448" s="24">
        <f t="shared" si="68"/>
        <v>14.404860290887934</v>
      </c>
      <c r="B448" s="32">
        <v>207.5</v>
      </c>
      <c r="C448" s="32"/>
      <c r="D448" s="25">
        <f t="shared" si="60"/>
        <v>0</v>
      </c>
      <c r="E448" s="32">
        <v>207.5</v>
      </c>
      <c r="F448" s="8"/>
      <c r="G448" s="25">
        <f t="shared" si="61"/>
        <v>0</v>
      </c>
      <c r="H448" s="32">
        <v>207.5</v>
      </c>
      <c r="I448" s="32"/>
      <c r="J448" s="25">
        <f t="shared" si="62"/>
        <v>0</v>
      </c>
      <c r="K448" s="32">
        <v>207.5</v>
      </c>
      <c r="L448" s="31"/>
      <c r="M448" s="25">
        <f t="shared" si="63"/>
        <v>0</v>
      </c>
      <c r="N448" s="32">
        <v>207.5</v>
      </c>
      <c r="O448" s="32"/>
      <c r="P448" s="25">
        <f t="shared" si="64"/>
        <v>0</v>
      </c>
      <c r="Q448" s="32">
        <v>207.5</v>
      </c>
      <c r="R448" s="32"/>
      <c r="S448" s="25">
        <f t="shared" si="65"/>
        <v>0</v>
      </c>
      <c r="T448" s="32">
        <v>207.5</v>
      </c>
      <c r="U448" s="32"/>
      <c r="V448" s="25">
        <f t="shared" si="69"/>
        <v>0</v>
      </c>
      <c r="W448" s="32">
        <v>207.5</v>
      </c>
      <c r="X448" s="32">
        <f t="shared" si="66"/>
        <v>0</v>
      </c>
      <c r="Y448" s="25">
        <f t="shared" si="67"/>
        <v>0</v>
      </c>
      <c r="AD448" s="26"/>
    </row>
    <row r="449" spans="1:30" x14ac:dyDescent="0.2">
      <c r="A449" s="24">
        <f t="shared" si="68"/>
        <v>14.422205101855956</v>
      </c>
      <c r="B449" s="32">
        <v>208</v>
      </c>
      <c r="C449" s="32"/>
      <c r="D449" s="25">
        <f t="shared" si="60"/>
        <v>0</v>
      </c>
      <c r="E449" s="32">
        <v>208</v>
      </c>
      <c r="F449" s="8"/>
      <c r="G449" s="25">
        <f t="shared" si="61"/>
        <v>0</v>
      </c>
      <c r="H449" s="32">
        <v>208</v>
      </c>
      <c r="I449" s="32"/>
      <c r="J449" s="25">
        <f t="shared" si="62"/>
        <v>0</v>
      </c>
      <c r="K449" s="32">
        <v>208</v>
      </c>
      <c r="L449" s="31"/>
      <c r="M449" s="25">
        <f t="shared" si="63"/>
        <v>0</v>
      </c>
      <c r="N449" s="32">
        <v>208</v>
      </c>
      <c r="O449" s="32"/>
      <c r="P449" s="25">
        <f t="shared" si="64"/>
        <v>0</v>
      </c>
      <c r="Q449" s="32">
        <v>208</v>
      </c>
      <c r="R449" s="32"/>
      <c r="S449" s="25">
        <f t="shared" si="65"/>
        <v>0</v>
      </c>
      <c r="T449" s="32">
        <v>208</v>
      </c>
      <c r="U449" s="32"/>
      <c r="V449" s="25">
        <f t="shared" si="69"/>
        <v>0</v>
      </c>
      <c r="W449" s="32">
        <v>208</v>
      </c>
      <c r="X449" s="32">
        <f t="shared" si="66"/>
        <v>0</v>
      </c>
      <c r="Y449" s="25">
        <f t="shared" si="67"/>
        <v>0</v>
      </c>
      <c r="AD449" s="26"/>
    </row>
    <row r="450" spans="1:30" x14ac:dyDescent="0.2">
      <c r="A450" s="24">
        <f t="shared" si="68"/>
        <v>14.439529078193651</v>
      </c>
      <c r="B450" s="32">
        <v>208.5</v>
      </c>
      <c r="C450" s="32"/>
      <c r="D450" s="25">
        <f t="shared" si="60"/>
        <v>0</v>
      </c>
      <c r="E450" s="32">
        <v>208.5</v>
      </c>
      <c r="F450" s="8"/>
      <c r="G450" s="25">
        <f t="shared" si="61"/>
        <v>0</v>
      </c>
      <c r="H450" s="32">
        <v>208.5</v>
      </c>
      <c r="I450" s="32"/>
      <c r="J450" s="25">
        <f t="shared" si="62"/>
        <v>0</v>
      </c>
      <c r="K450" s="32">
        <v>208.5</v>
      </c>
      <c r="L450" s="31"/>
      <c r="M450" s="25">
        <f t="shared" si="63"/>
        <v>0</v>
      </c>
      <c r="N450" s="32">
        <v>208.5</v>
      </c>
      <c r="O450" s="32"/>
      <c r="P450" s="25">
        <f t="shared" si="64"/>
        <v>0</v>
      </c>
      <c r="Q450" s="32">
        <v>208.5</v>
      </c>
      <c r="R450" s="32"/>
      <c r="S450" s="25">
        <f t="shared" si="65"/>
        <v>0</v>
      </c>
      <c r="T450" s="32">
        <v>208.5</v>
      </c>
      <c r="U450" s="32"/>
      <c r="V450" s="25">
        <f t="shared" si="69"/>
        <v>0</v>
      </c>
      <c r="W450" s="32">
        <v>208.5</v>
      </c>
      <c r="X450" s="32">
        <f t="shared" si="66"/>
        <v>0</v>
      </c>
      <c r="Y450" s="25">
        <f t="shared" si="67"/>
        <v>0</v>
      </c>
      <c r="AD450" s="26"/>
    </row>
    <row r="451" spans="1:30" x14ac:dyDescent="0.2">
      <c r="A451" s="24">
        <f t="shared" si="68"/>
        <v>14.456832294800961</v>
      </c>
      <c r="B451" s="32">
        <v>209</v>
      </c>
      <c r="C451" s="32"/>
      <c r="D451" s="25">
        <f t="shared" si="60"/>
        <v>0</v>
      </c>
      <c r="E451" s="32">
        <v>209</v>
      </c>
      <c r="F451" s="8"/>
      <c r="G451" s="25">
        <f t="shared" si="61"/>
        <v>0</v>
      </c>
      <c r="H451" s="32">
        <v>209</v>
      </c>
      <c r="I451" s="32"/>
      <c r="J451" s="25">
        <f t="shared" si="62"/>
        <v>0</v>
      </c>
      <c r="K451" s="32">
        <v>209</v>
      </c>
      <c r="L451" s="31"/>
      <c r="M451" s="25">
        <f t="shared" si="63"/>
        <v>0</v>
      </c>
      <c r="N451" s="32">
        <v>209</v>
      </c>
      <c r="O451" s="32"/>
      <c r="P451" s="25">
        <f t="shared" si="64"/>
        <v>0</v>
      </c>
      <c r="Q451" s="32">
        <v>209</v>
      </c>
      <c r="R451" s="32"/>
      <c r="S451" s="25">
        <f t="shared" si="65"/>
        <v>0</v>
      </c>
      <c r="T451" s="32">
        <v>209</v>
      </c>
      <c r="U451" s="32"/>
      <c r="V451" s="25">
        <f t="shared" si="69"/>
        <v>0</v>
      </c>
      <c r="W451" s="32">
        <v>209</v>
      </c>
      <c r="X451" s="32">
        <f t="shared" si="66"/>
        <v>0</v>
      </c>
      <c r="Y451" s="25">
        <f t="shared" si="67"/>
        <v>0</v>
      </c>
      <c r="AD451" s="26"/>
    </row>
    <row r="452" spans="1:30" x14ac:dyDescent="0.2">
      <c r="A452" s="24">
        <f t="shared" si="68"/>
        <v>14.474114826130128</v>
      </c>
      <c r="B452" s="32">
        <v>209.5</v>
      </c>
      <c r="C452" s="32"/>
      <c r="D452" s="25">
        <f t="shared" si="60"/>
        <v>0</v>
      </c>
      <c r="E452" s="32">
        <v>209.5</v>
      </c>
      <c r="F452" s="8"/>
      <c r="G452" s="25">
        <f t="shared" si="61"/>
        <v>0</v>
      </c>
      <c r="H452" s="32">
        <v>209.5</v>
      </c>
      <c r="I452" s="32"/>
      <c r="J452" s="25">
        <f t="shared" si="62"/>
        <v>0</v>
      </c>
      <c r="K452" s="32">
        <v>209.5</v>
      </c>
      <c r="L452" s="31"/>
      <c r="M452" s="25">
        <f t="shared" si="63"/>
        <v>0</v>
      </c>
      <c r="N452" s="32">
        <v>209.5</v>
      </c>
      <c r="O452" s="32"/>
      <c r="P452" s="25">
        <f t="shared" si="64"/>
        <v>0</v>
      </c>
      <c r="Q452" s="32">
        <v>209.5</v>
      </c>
      <c r="R452" s="32"/>
      <c r="S452" s="25">
        <f t="shared" si="65"/>
        <v>0</v>
      </c>
      <c r="T452" s="32">
        <v>209.5</v>
      </c>
      <c r="U452" s="32"/>
      <c r="V452" s="25">
        <f t="shared" si="69"/>
        <v>0</v>
      </c>
      <c r="W452" s="32">
        <v>209.5</v>
      </c>
      <c r="X452" s="32">
        <f t="shared" si="66"/>
        <v>0</v>
      </c>
      <c r="Y452" s="25">
        <f t="shared" si="67"/>
        <v>0</v>
      </c>
      <c r="AD452" s="26"/>
    </row>
    <row r="453" spans="1:30" x14ac:dyDescent="0.2">
      <c r="A453" s="24">
        <f t="shared" si="68"/>
        <v>14.491376746189438</v>
      </c>
      <c r="B453" s="32">
        <v>210</v>
      </c>
      <c r="C453" s="32"/>
      <c r="D453" s="25">
        <f t="shared" ref="D453:D516" si="70">C453</f>
        <v>0</v>
      </c>
      <c r="E453" s="32">
        <v>210</v>
      </c>
      <c r="F453" s="8"/>
      <c r="G453" s="25">
        <f t="shared" ref="G453:G516" si="71">F453+$AB$2</f>
        <v>0</v>
      </c>
      <c r="H453" s="32">
        <v>210</v>
      </c>
      <c r="I453" s="32"/>
      <c r="J453" s="25">
        <f t="shared" ref="J453:J516" si="72">I453+$AB$3</f>
        <v>0</v>
      </c>
      <c r="K453" s="32">
        <v>210</v>
      </c>
      <c r="L453" s="31"/>
      <c r="M453" s="25">
        <f t="shared" ref="M453:M516" si="73">L453+$AB$4</f>
        <v>0</v>
      </c>
      <c r="N453" s="32">
        <v>210</v>
      </c>
      <c r="O453" s="32"/>
      <c r="P453" s="25">
        <f t="shared" ref="P453:P516" si="74">O453+$AB$5</f>
        <v>0</v>
      </c>
      <c r="Q453" s="32">
        <v>210</v>
      </c>
      <c r="R453" s="32"/>
      <c r="S453" s="25">
        <f t="shared" ref="S453:S516" si="75">R453+$AB$6</f>
        <v>0</v>
      </c>
      <c r="T453" s="32">
        <v>210</v>
      </c>
      <c r="U453" s="32"/>
      <c r="V453" s="25">
        <f t="shared" si="69"/>
        <v>0</v>
      </c>
      <c r="W453" s="32">
        <v>210</v>
      </c>
      <c r="X453" s="32">
        <f t="shared" ref="X453:X516" si="76">U453</f>
        <v>0</v>
      </c>
      <c r="Y453" s="25">
        <f t="shared" ref="Y453:Y516" si="77">X453+$AB$8</f>
        <v>0</v>
      </c>
      <c r="AD453" s="26"/>
    </row>
    <row r="454" spans="1:30" x14ac:dyDescent="0.2">
      <c r="A454" s="24">
        <f t="shared" ref="A454:A517" si="78">SQRT(B454)</f>
        <v>14.508618128546908</v>
      </c>
      <c r="B454" s="32">
        <v>210.5</v>
      </c>
      <c r="C454" s="32"/>
      <c r="D454" s="25">
        <f t="shared" si="70"/>
        <v>0</v>
      </c>
      <c r="E454" s="32">
        <v>210.5</v>
      </c>
      <c r="F454" s="8"/>
      <c r="G454" s="25">
        <f t="shared" si="71"/>
        <v>0</v>
      </c>
      <c r="H454" s="32">
        <v>210.5</v>
      </c>
      <c r="I454" s="32"/>
      <c r="J454" s="25">
        <f t="shared" si="72"/>
        <v>0</v>
      </c>
      <c r="K454" s="32">
        <v>210.5</v>
      </c>
      <c r="L454" s="31"/>
      <c r="M454" s="25">
        <f t="shared" si="73"/>
        <v>0</v>
      </c>
      <c r="N454" s="32">
        <v>210.5</v>
      </c>
      <c r="O454" s="32"/>
      <c r="P454" s="25">
        <f t="shared" si="74"/>
        <v>0</v>
      </c>
      <c r="Q454" s="32">
        <v>210.5</v>
      </c>
      <c r="R454" s="32"/>
      <c r="S454" s="25">
        <f t="shared" si="75"/>
        <v>0</v>
      </c>
      <c r="T454" s="32">
        <v>210.5</v>
      </c>
      <c r="U454" s="32"/>
      <c r="V454" s="25">
        <f t="shared" ref="V454:V517" si="79">Y454</f>
        <v>0</v>
      </c>
      <c r="W454" s="32">
        <v>210.5</v>
      </c>
      <c r="X454" s="32">
        <f t="shared" si="76"/>
        <v>0</v>
      </c>
      <c r="Y454" s="25">
        <f t="shared" si="77"/>
        <v>0</v>
      </c>
      <c r="AD454" s="26"/>
    </row>
    <row r="455" spans="1:30" x14ac:dyDescent="0.2">
      <c r="A455" s="24">
        <f t="shared" si="78"/>
        <v>14.52583904633395</v>
      </c>
      <c r="B455" s="32">
        <v>211</v>
      </c>
      <c r="C455" s="32"/>
      <c r="D455" s="25">
        <f t="shared" si="70"/>
        <v>0</v>
      </c>
      <c r="E455" s="32">
        <v>211</v>
      </c>
      <c r="F455" s="8"/>
      <c r="G455" s="25">
        <f t="shared" si="71"/>
        <v>0</v>
      </c>
      <c r="H455" s="32">
        <v>211</v>
      </c>
      <c r="I455" s="32"/>
      <c r="J455" s="25">
        <f t="shared" si="72"/>
        <v>0</v>
      </c>
      <c r="K455" s="32">
        <v>211</v>
      </c>
      <c r="L455" s="31"/>
      <c r="M455" s="25">
        <f t="shared" si="73"/>
        <v>0</v>
      </c>
      <c r="N455" s="32">
        <v>211</v>
      </c>
      <c r="O455" s="32"/>
      <c r="P455" s="25">
        <f t="shared" si="74"/>
        <v>0</v>
      </c>
      <c r="Q455" s="32">
        <v>211</v>
      </c>
      <c r="R455" s="32"/>
      <c r="S455" s="25">
        <f t="shared" si="75"/>
        <v>0</v>
      </c>
      <c r="T455" s="32">
        <v>211</v>
      </c>
      <c r="U455" s="32"/>
      <c r="V455" s="25">
        <f t="shared" si="79"/>
        <v>0</v>
      </c>
      <c r="W455" s="32">
        <v>211</v>
      </c>
      <c r="X455" s="32">
        <f t="shared" si="76"/>
        <v>0</v>
      </c>
      <c r="Y455" s="25">
        <f t="shared" si="77"/>
        <v>0</v>
      </c>
      <c r="AD455" s="26"/>
    </row>
    <row r="456" spans="1:30" x14ac:dyDescent="0.2">
      <c r="A456" s="24">
        <f t="shared" si="78"/>
        <v>14.543039572248986</v>
      </c>
      <c r="B456" s="32">
        <v>211.5</v>
      </c>
      <c r="C456" s="32"/>
      <c r="D456" s="25">
        <f t="shared" si="70"/>
        <v>0</v>
      </c>
      <c r="E456" s="32">
        <v>211.5</v>
      </c>
      <c r="F456" s="8"/>
      <c r="G456" s="25">
        <f t="shared" si="71"/>
        <v>0</v>
      </c>
      <c r="H456" s="32">
        <v>211.5</v>
      </c>
      <c r="I456" s="32"/>
      <c r="J456" s="25">
        <f t="shared" si="72"/>
        <v>0</v>
      </c>
      <c r="K456" s="32">
        <v>211.5</v>
      </c>
      <c r="L456" s="31"/>
      <c r="M456" s="25">
        <f t="shared" si="73"/>
        <v>0</v>
      </c>
      <c r="N456" s="32">
        <v>211.5</v>
      </c>
      <c r="O456" s="32"/>
      <c r="P456" s="25">
        <f t="shared" si="74"/>
        <v>0</v>
      </c>
      <c r="Q456" s="32">
        <v>211.5</v>
      </c>
      <c r="R456" s="32"/>
      <c r="S456" s="25">
        <f t="shared" si="75"/>
        <v>0</v>
      </c>
      <c r="T456" s="32">
        <v>211.5</v>
      </c>
      <c r="U456" s="32"/>
      <c r="V456" s="25">
        <f t="shared" si="79"/>
        <v>0</v>
      </c>
      <c r="W456" s="32">
        <v>211.5</v>
      </c>
      <c r="X456" s="32">
        <f t="shared" si="76"/>
        <v>0</v>
      </c>
      <c r="Y456" s="25">
        <f t="shared" si="77"/>
        <v>0</v>
      </c>
      <c r="AD456" s="26"/>
    </row>
    <row r="457" spans="1:30" x14ac:dyDescent="0.2">
      <c r="A457" s="24">
        <f t="shared" si="78"/>
        <v>14.560219778561036</v>
      </c>
      <c r="B457" s="32">
        <v>212</v>
      </c>
      <c r="C457" s="32"/>
      <c r="D457" s="25">
        <f t="shared" si="70"/>
        <v>0</v>
      </c>
      <c r="E457" s="32">
        <v>212</v>
      </c>
      <c r="F457" s="8"/>
      <c r="G457" s="25">
        <f t="shared" si="71"/>
        <v>0</v>
      </c>
      <c r="H457" s="32">
        <v>212</v>
      </c>
      <c r="I457" s="32"/>
      <c r="J457" s="25">
        <f t="shared" si="72"/>
        <v>0</v>
      </c>
      <c r="K457" s="32">
        <v>212</v>
      </c>
      <c r="L457" s="31"/>
      <c r="M457" s="25">
        <f t="shared" si="73"/>
        <v>0</v>
      </c>
      <c r="N457" s="32">
        <v>212</v>
      </c>
      <c r="O457" s="32"/>
      <c r="P457" s="25">
        <f t="shared" si="74"/>
        <v>0</v>
      </c>
      <c r="Q457" s="32">
        <v>212</v>
      </c>
      <c r="R457" s="32"/>
      <c r="S457" s="25">
        <f t="shared" si="75"/>
        <v>0</v>
      </c>
      <c r="T457" s="32">
        <v>212</v>
      </c>
      <c r="U457" s="32"/>
      <c r="V457" s="25">
        <f t="shared" si="79"/>
        <v>0</v>
      </c>
      <c r="W457" s="32">
        <v>212</v>
      </c>
      <c r="X457" s="32">
        <f t="shared" si="76"/>
        <v>0</v>
      </c>
      <c r="Y457" s="25">
        <f t="shared" si="77"/>
        <v>0</v>
      </c>
      <c r="AD457" s="26"/>
    </row>
    <row r="458" spans="1:30" x14ac:dyDescent="0.2">
      <c r="A458" s="24">
        <f t="shared" si="78"/>
        <v>14.577379737113251</v>
      </c>
      <c r="B458" s="32">
        <v>212.5</v>
      </c>
      <c r="C458" s="32"/>
      <c r="D458" s="25">
        <f t="shared" si="70"/>
        <v>0</v>
      </c>
      <c r="E458" s="32">
        <v>212.5</v>
      </c>
      <c r="F458" s="8"/>
      <c r="G458" s="25">
        <f t="shared" si="71"/>
        <v>0</v>
      </c>
      <c r="H458" s="32">
        <v>212.5</v>
      </c>
      <c r="I458" s="32"/>
      <c r="J458" s="25">
        <f t="shared" si="72"/>
        <v>0</v>
      </c>
      <c r="K458" s="32">
        <v>212.5</v>
      </c>
      <c r="L458" s="31"/>
      <c r="M458" s="25">
        <f t="shared" si="73"/>
        <v>0</v>
      </c>
      <c r="N458" s="32">
        <v>212.5</v>
      </c>
      <c r="O458" s="32"/>
      <c r="P458" s="25">
        <f t="shared" si="74"/>
        <v>0</v>
      </c>
      <c r="Q458" s="32">
        <v>212.5</v>
      </c>
      <c r="R458" s="32"/>
      <c r="S458" s="25">
        <f t="shared" si="75"/>
        <v>0</v>
      </c>
      <c r="T458" s="32">
        <v>212.5</v>
      </c>
      <c r="U458" s="32"/>
      <c r="V458" s="25">
        <f t="shared" si="79"/>
        <v>0</v>
      </c>
      <c r="W458" s="32">
        <v>212.5</v>
      </c>
      <c r="X458" s="32">
        <f t="shared" si="76"/>
        <v>0</v>
      </c>
      <c r="Y458" s="25">
        <f t="shared" si="77"/>
        <v>0</v>
      </c>
      <c r="AD458" s="26"/>
    </row>
    <row r="459" spans="1:30" x14ac:dyDescent="0.2">
      <c r="A459" s="24">
        <f t="shared" si="78"/>
        <v>14.594519519326424</v>
      </c>
      <c r="B459" s="32">
        <v>213</v>
      </c>
      <c r="C459" s="32"/>
      <c r="D459" s="25">
        <f t="shared" si="70"/>
        <v>0</v>
      </c>
      <c r="E459" s="32">
        <v>213</v>
      </c>
      <c r="F459" s="8"/>
      <c r="G459" s="25">
        <f t="shared" si="71"/>
        <v>0</v>
      </c>
      <c r="H459" s="32">
        <v>213</v>
      </c>
      <c r="I459" s="32"/>
      <c r="J459" s="25">
        <f t="shared" si="72"/>
        <v>0</v>
      </c>
      <c r="K459" s="32">
        <v>213</v>
      </c>
      <c r="L459" s="31"/>
      <c r="M459" s="25">
        <f t="shared" si="73"/>
        <v>0</v>
      </c>
      <c r="N459" s="32">
        <v>213</v>
      </c>
      <c r="O459" s="32"/>
      <c r="P459" s="25">
        <f t="shared" si="74"/>
        <v>0</v>
      </c>
      <c r="Q459" s="32">
        <v>213</v>
      </c>
      <c r="R459" s="32"/>
      <c r="S459" s="25">
        <f t="shared" si="75"/>
        <v>0</v>
      </c>
      <c r="T459" s="32">
        <v>213</v>
      </c>
      <c r="U459" s="32"/>
      <c r="V459" s="25">
        <f t="shared" si="79"/>
        <v>0</v>
      </c>
      <c r="W459" s="32">
        <v>213</v>
      </c>
      <c r="X459" s="32">
        <f t="shared" si="76"/>
        <v>0</v>
      </c>
      <c r="Y459" s="25">
        <f t="shared" si="77"/>
        <v>0</v>
      </c>
      <c r="AD459" s="26"/>
    </row>
    <row r="460" spans="1:30" x14ac:dyDescent="0.2">
      <c r="A460" s="24">
        <f t="shared" si="78"/>
        <v>14.611639196202457</v>
      </c>
      <c r="B460" s="32">
        <v>213.5</v>
      </c>
      <c r="C460" s="32"/>
      <c r="D460" s="25">
        <f t="shared" si="70"/>
        <v>0</v>
      </c>
      <c r="E460" s="32">
        <v>213.5</v>
      </c>
      <c r="F460" s="8"/>
      <c r="G460" s="25">
        <f t="shared" si="71"/>
        <v>0</v>
      </c>
      <c r="H460" s="32">
        <v>213.5</v>
      </c>
      <c r="I460" s="32"/>
      <c r="J460" s="25">
        <f t="shared" si="72"/>
        <v>0</v>
      </c>
      <c r="K460" s="32">
        <v>213.5</v>
      </c>
      <c r="L460" s="31"/>
      <c r="M460" s="25">
        <f t="shared" si="73"/>
        <v>0</v>
      </c>
      <c r="N460" s="32">
        <v>213.5</v>
      </c>
      <c r="O460" s="32"/>
      <c r="P460" s="25">
        <f t="shared" si="74"/>
        <v>0</v>
      </c>
      <c r="Q460" s="32">
        <v>213.5</v>
      </c>
      <c r="R460" s="32"/>
      <c r="S460" s="25">
        <f t="shared" si="75"/>
        <v>0</v>
      </c>
      <c r="T460" s="32">
        <v>213.5</v>
      </c>
      <c r="U460" s="32"/>
      <c r="V460" s="25">
        <f t="shared" si="79"/>
        <v>0</v>
      </c>
      <c r="W460" s="32">
        <v>213.5</v>
      </c>
      <c r="X460" s="32">
        <f t="shared" si="76"/>
        <v>0</v>
      </c>
      <c r="Y460" s="25">
        <f t="shared" si="77"/>
        <v>0</v>
      </c>
      <c r="AD460" s="26"/>
    </row>
    <row r="461" spans="1:30" x14ac:dyDescent="0.2">
      <c r="A461" s="24">
        <f t="shared" si="78"/>
        <v>14.628738838327793</v>
      </c>
      <c r="B461" s="32">
        <v>214</v>
      </c>
      <c r="C461" s="32"/>
      <c r="D461" s="25">
        <f t="shared" si="70"/>
        <v>0</v>
      </c>
      <c r="E461" s="32">
        <v>214</v>
      </c>
      <c r="F461" s="8"/>
      <c r="G461" s="25">
        <f t="shared" si="71"/>
        <v>0</v>
      </c>
      <c r="H461" s="32">
        <v>214</v>
      </c>
      <c r="I461" s="32"/>
      <c r="J461" s="25">
        <f t="shared" si="72"/>
        <v>0</v>
      </c>
      <c r="K461" s="32">
        <v>214</v>
      </c>
      <c r="L461" s="31"/>
      <c r="M461" s="25">
        <f t="shared" si="73"/>
        <v>0</v>
      </c>
      <c r="N461" s="32">
        <v>214</v>
      </c>
      <c r="O461" s="32"/>
      <c r="P461" s="25">
        <f t="shared" si="74"/>
        <v>0</v>
      </c>
      <c r="Q461" s="32">
        <v>214</v>
      </c>
      <c r="R461" s="32"/>
      <c r="S461" s="25">
        <f t="shared" si="75"/>
        <v>0</v>
      </c>
      <c r="T461" s="32">
        <v>214</v>
      </c>
      <c r="U461" s="32"/>
      <c r="V461" s="25">
        <f t="shared" si="79"/>
        <v>0</v>
      </c>
      <c r="W461" s="32">
        <v>214</v>
      </c>
      <c r="X461" s="32">
        <f t="shared" si="76"/>
        <v>0</v>
      </c>
      <c r="Y461" s="25">
        <f t="shared" si="77"/>
        <v>0</v>
      </c>
      <c r="AD461" s="26"/>
    </row>
    <row r="462" spans="1:30" x14ac:dyDescent="0.2">
      <c r="A462" s="24">
        <f t="shared" si="78"/>
        <v>14.64581851587681</v>
      </c>
      <c r="B462" s="32">
        <v>214.5</v>
      </c>
      <c r="C462" s="32"/>
      <c r="D462" s="25">
        <f t="shared" si="70"/>
        <v>0</v>
      </c>
      <c r="E462" s="32">
        <v>214.5</v>
      </c>
      <c r="F462" s="8"/>
      <c r="G462" s="25">
        <f t="shared" si="71"/>
        <v>0</v>
      </c>
      <c r="H462" s="32">
        <v>214.5</v>
      </c>
      <c r="I462" s="32"/>
      <c r="J462" s="25">
        <f t="shared" si="72"/>
        <v>0</v>
      </c>
      <c r="K462" s="32">
        <v>214.5</v>
      </c>
      <c r="L462" s="31"/>
      <c r="M462" s="25">
        <f t="shared" si="73"/>
        <v>0</v>
      </c>
      <c r="N462" s="32">
        <v>214.5</v>
      </c>
      <c r="O462" s="32"/>
      <c r="P462" s="25">
        <f t="shared" si="74"/>
        <v>0</v>
      </c>
      <c r="Q462" s="32">
        <v>214.5</v>
      </c>
      <c r="R462" s="32"/>
      <c r="S462" s="25">
        <f t="shared" si="75"/>
        <v>0</v>
      </c>
      <c r="T462" s="32">
        <v>214.5</v>
      </c>
      <c r="U462" s="32"/>
      <c r="V462" s="25">
        <f t="shared" si="79"/>
        <v>0</v>
      </c>
      <c r="W462" s="32">
        <v>214.5</v>
      </c>
      <c r="X462" s="32">
        <f t="shared" si="76"/>
        <v>0</v>
      </c>
      <c r="Y462" s="25">
        <f t="shared" si="77"/>
        <v>0</v>
      </c>
      <c r="AD462" s="26"/>
    </row>
    <row r="463" spans="1:30" x14ac:dyDescent="0.2">
      <c r="A463" s="24">
        <f t="shared" si="78"/>
        <v>14.66287829861518</v>
      </c>
      <c r="B463" s="32">
        <v>215</v>
      </c>
      <c r="C463" s="32"/>
      <c r="D463" s="25">
        <f t="shared" si="70"/>
        <v>0</v>
      </c>
      <c r="E463" s="32">
        <v>215</v>
      </c>
      <c r="F463" s="8"/>
      <c r="G463" s="25">
        <f t="shared" si="71"/>
        <v>0</v>
      </c>
      <c r="H463" s="32">
        <v>215</v>
      </c>
      <c r="I463" s="32"/>
      <c r="J463" s="25">
        <f t="shared" si="72"/>
        <v>0</v>
      </c>
      <c r="K463" s="32">
        <v>215</v>
      </c>
      <c r="L463" s="31"/>
      <c r="M463" s="25">
        <f t="shared" si="73"/>
        <v>0</v>
      </c>
      <c r="N463" s="32">
        <v>215</v>
      </c>
      <c r="O463" s="32"/>
      <c r="P463" s="25">
        <f t="shared" si="74"/>
        <v>0</v>
      </c>
      <c r="Q463" s="32">
        <v>215</v>
      </c>
      <c r="R463" s="32"/>
      <c r="S463" s="25">
        <f t="shared" si="75"/>
        <v>0</v>
      </c>
      <c r="T463" s="32">
        <v>215</v>
      </c>
      <c r="U463" s="32"/>
      <c r="V463" s="25">
        <f t="shared" si="79"/>
        <v>0</v>
      </c>
      <c r="W463" s="32">
        <v>215</v>
      </c>
      <c r="X463" s="32">
        <f t="shared" si="76"/>
        <v>0</v>
      </c>
      <c r="Y463" s="25">
        <f t="shared" si="77"/>
        <v>0</v>
      </c>
      <c r="AD463" s="26"/>
    </row>
    <row r="464" spans="1:30" x14ac:dyDescent="0.2">
      <c r="A464" s="24">
        <f t="shared" si="78"/>
        <v>14.679918255903198</v>
      </c>
      <c r="B464" s="32">
        <v>215.5</v>
      </c>
      <c r="C464" s="32"/>
      <c r="D464" s="25">
        <f t="shared" si="70"/>
        <v>0</v>
      </c>
      <c r="E464" s="32">
        <v>215.5</v>
      </c>
      <c r="F464" s="8"/>
      <c r="G464" s="25">
        <f t="shared" si="71"/>
        <v>0</v>
      </c>
      <c r="H464" s="32">
        <v>215.5</v>
      </c>
      <c r="I464" s="32"/>
      <c r="J464" s="25">
        <f t="shared" si="72"/>
        <v>0</v>
      </c>
      <c r="K464" s="32">
        <v>215.5</v>
      </c>
      <c r="L464" s="31"/>
      <c r="M464" s="25">
        <f t="shared" si="73"/>
        <v>0</v>
      </c>
      <c r="N464" s="32">
        <v>215.5</v>
      </c>
      <c r="O464" s="32"/>
      <c r="P464" s="25">
        <f t="shared" si="74"/>
        <v>0</v>
      </c>
      <c r="Q464" s="32">
        <v>215.5</v>
      </c>
      <c r="R464" s="32"/>
      <c r="S464" s="25">
        <f t="shared" si="75"/>
        <v>0</v>
      </c>
      <c r="T464" s="32">
        <v>215.5</v>
      </c>
      <c r="U464" s="32"/>
      <c r="V464" s="25">
        <f t="shared" si="79"/>
        <v>0</v>
      </c>
      <c r="W464" s="32">
        <v>215.5</v>
      </c>
      <c r="X464" s="32">
        <f t="shared" si="76"/>
        <v>0</v>
      </c>
      <c r="Y464" s="25">
        <f t="shared" si="77"/>
        <v>0</v>
      </c>
      <c r="AD464" s="26"/>
    </row>
    <row r="465" spans="1:30" x14ac:dyDescent="0.2">
      <c r="A465" s="24">
        <f t="shared" si="78"/>
        <v>14.696938456699069</v>
      </c>
      <c r="B465" s="32">
        <v>216</v>
      </c>
      <c r="C465" s="32"/>
      <c r="D465" s="25">
        <f t="shared" si="70"/>
        <v>0</v>
      </c>
      <c r="E465" s="32">
        <v>216</v>
      </c>
      <c r="F465" s="8"/>
      <c r="G465" s="25">
        <f t="shared" si="71"/>
        <v>0</v>
      </c>
      <c r="H465" s="32">
        <v>216</v>
      </c>
      <c r="I465" s="32"/>
      <c r="J465" s="25">
        <f t="shared" si="72"/>
        <v>0</v>
      </c>
      <c r="K465" s="32">
        <v>216</v>
      </c>
      <c r="L465" s="31"/>
      <c r="M465" s="25">
        <f t="shared" si="73"/>
        <v>0</v>
      </c>
      <c r="N465" s="32">
        <v>216</v>
      </c>
      <c r="O465" s="32"/>
      <c r="P465" s="25">
        <f t="shared" si="74"/>
        <v>0</v>
      </c>
      <c r="Q465" s="32">
        <v>216</v>
      </c>
      <c r="R465" s="32"/>
      <c r="S465" s="25">
        <f t="shared" si="75"/>
        <v>0</v>
      </c>
      <c r="T465" s="32">
        <v>216</v>
      </c>
      <c r="U465" s="32"/>
      <c r="V465" s="25">
        <f t="shared" si="79"/>
        <v>0</v>
      </c>
      <c r="W465" s="32">
        <v>216</v>
      </c>
      <c r="X465" s="32">
        <f t="shared" si="76"/>
        <v>0</v>
      </c>
      <c r="Y465" s="25">
        <f t="shared" si="77"/>
        <v>0</v>
      </c>
      <c r="AD465" s="26"/>
    </row>
    <row r="466" spans="1:30" x14ac:dyDescent="0.2">
      <c r="A466" s="24">
        <f t="shared" si="78"/>
        <v>14.713938969562161</v>
      </c>
      <c r="B466" s="32">
        <v>216.5</v>
      </c>
      <c r="C466" s="32"/>
      <c r="D466" s="25">
        <f t="shared" si="70"/>
        <v>0</v>
      </c>
      <c r="E466" s="32">
        <v>216.5</v>
      </c>
      <c r="F466" s="8"/>
      <c r="G466" s="25">
        <f t="shared" si="71"/>
        <v>0</v>
      </c>
      <c r="H466" s="32">
        <v>216.5</v>
      </c>
      <c r="I466" s="32"/>
      <c r="J466" s="25">
        <f t="shared" si="72"/>
        <v>0</v>
      </c>
      <c r="K466" s="32">
        <v>216.5</v>
      </c>
      <c r="L466" s="31"/>
      <c r="M466" s="25">
        <f t="shared" si="73"/>
        <v>0</v>
      </c>
      <c r="N466" s="32">
        <v>216.5</v>
      </c>
      <c r="O466" s="32"/>
      <c r="P466" s="25">
        <f t="shared" si="74"/>
        <v>0</v>
      </c>
      <c r="Q466" s="32">
        <v>216.5</v>
      </c>
      <c r="R466" s="32"/>
      <c r="S466" s="25">
        <f t="shared" si="75"/>
        <v>0</v>
      </c>
      <c r="T466" s="32">
        <v>216.5</v>
      </c>
      <c r="U466" s="32"/>
      <c r="V466" s="25">
        <f t="shared" si="79"/>
        <v>0</v>
      </c>
      <c r="W466" s="32">
        <v>216.5</v>
      </c>
      <c r="X466" s="32">
        <f t="shared" si="76"/>
        <v>0</v>
      </c>
      <c r="Y466" s="25">
        <f t="shared" si="77"/>
        <v>0</v>
      </c>
      <c r="AD466" s="26"/>
    </row>
    <row r="467" spans="1:30" x14ac:dyDescent="0.2">
      <c r="A467" s="24">
        <f t="shared" si="78"/>
        <v>14.730919862656235</v>
      </c>
      <c r="B467" s="32">
        <v>217</v>
      </c>
      <c r="C467" s="32"/>
      <c r="D467" s="25">
        <f t="shared" si="70"/>
        <v>0</v>
      </c>
      <c r="E467" s="32">
        <v>217</v>
      </c>
      <c r="F467" s="8"/>
      <c r="G467" s="25">
        <f t="shared" si="71"/>
        <v>0</v>
      </c>
      <c r="H467" s="32">
        <v>217</v>
      </c>
      <c r="I467" s="32"/>
      <c r="J467" s="25">
        <f t="shared" si="72"/>
        <v>0</v>
      </c>
      <c r="K467" s="32">
        <v>217</v>
      </c>
      <c r="L467" s="31"/>
      <c r="M467" s="25">
        <f t="shared" si="73"/>
        <v>0</v>
      </c>
      <c r="N467" s="32">
        <v>217</v>
      </c>
      <c r="O467" s="32"/>
      <c r="P467" s="25">
        <f t="shared" si="74"/>
        <v>0</v>
      </c>
      <c r="Q467" s="32">
        <v>217</v>
      </c>
      <c r="R467" s="32"/>
      <c r="S467" s="25">
        <f t="shared" si="75"/>
        <v>0</v>
      </c>
      <c r="T467" s="32">
        <v>217</v>
      </c>
      <c r="U467" s="32"/>
      <c r="V467" s="25">
        <f t="shared" si="79"/>
        <v>0</v>
      </c>
      <c r="W467" s="32">
        <v>217</v>
      </c>
      <c r="X467" s="32">
        <f t="shared" si="76"/>
        <v>0</v>
      </c>
      <c r="Y467" s="25">
        <f t="shared" si="77"/>
        <v>0</v>
      </c>
      <c r="AD467" s="26"/>
    </row>
    <row r="468" spans="1:30" x14ac:dyDescent="0.2">
      <c r="A468" s="24">
        <f t="shared" si="78"/>
        <v>14.747881203752625</v>
      </c>
      <c r="B468" s="32">
        <v>217.5</v>
      </c>
      <c r="C468" s="32"/>
      <c r="D468" s="25">
        <f t="shared" si="70"/>
        <v>0</v>
      </c>
      <c r="E468" s="32">
        <v>217.5</v>
      </c>
      <c r="F468" s="8"/>
      <c r="G468" s="25">
        <f t="shared" si="71"/>
        <v>0</v>
      </c>
      <c r="H468" s="32">
        <v>217.5</v>
      </c>
      <c r="I468" s="32"/>
      <c r="J468" s="25">
        <f t="shared" si="72"/>
        <v>0</v>
      </c>
      <c r="K468" s="32">
        <v>217.5</v>
      </c>
      <c r="L468" s="31"/>
      <c r="M468" s="25">
        <f t="shared" si="73"/>
        <v>0</v>
      </c>
      <c r="N468" s="32">
        <v>217.5</v>
      </c>
      <c r="O468" s="32"/>
      <c r="P468" s="25">
        <f t="shared" si="74"/>
        <v>0</v>
      </c>
      <c r="Q468" s="32">
        <v>217.5</v>
      </c>
      <c r="R468" s="32"/>
      <c r="S468" s="25">
        <f t="shared" si="75"/>
        <v>0</v>
      </c>
      <c r="T468" s="32">
        <v>217.5</v>
      </c>
      <c r="U468" s="32"/>
      <c r="V468" s="25">
        <f t="shared" si="79"/>
        <v>0</v>
      </c>
      <c r="W468" s="32">
        <v>217.5</v>
      </c>
      <c r="X468" s="32">
        <f t="shared" si="76"/>
        <v>0</v>
      </c>
      <c r="Y468" s="25">
        <f t="shared" si="77"/>
        <v>0</v>
      </c>
      <c r="AD468" s="26"/>
    </row>
    <row r="469" spans="1:30" x14ac:dyDescent="0.2">
      <c r="A469" s="24">
        <f t="shared" si="78"/>
        <v>14.7648230602334</v>
      </c>
      <c r="B469" s="32">
        <v>218</v>
      </c>
      <c r="C469" s="32"/>
      <c r="D469" s="25">
        <f t="shared" si="70"/>
        <v>0</v>
      </c>
      <c r="E469" s="32">
        <v>218</v>
      </c>
      <c r="F469" s="8"/>
      <c r="G469" s="25">
        <f t="shared" si="71"/>
        <v>0</v>
      </c>
      <c r="H469" s="32">
        <v>218</v>
      </c>
      <c r="I469" s="32"/>
      <c r="J469" s="25">
        <f t="shared" si="72"/>
        <v>0</v>
      </c>
      <c r="K469" s="32">
        <v>218</v>
      </c>
      <c r="L469" s="31"/>
      <c r="M469" s="25">
        <f t="shared" si="73"/>
        <v>0</v>
      </c>
      <c r="N469" s="32">
        <v>218</v>
      </c>
      <c r="O469" s="32"/>
      <c r="P469" s="25">
        <f t="shared" si="74"/>
        <v>0</v>
      </c>
      <c r="Q469" s="32">
        <v>218</v>
      </c>
      <c r="R469" s="32"/>
      <c r="S469" s="25">
        <f t="shared" si="75"/>
        <v>0</v>
      </c>
      <c r="T469" s="32">
        <v>218</v>
      </c>
      <c r="U469" s="32"/>
      <c r="V469" s="25">
        <f t="shared" si="79"/>
        <v>0</v>
      </c>
      <c r="W469" s="32">
        <v>218</v>
      </c>
      <c r="X469" s="32">
        <f t="shared" si="76"/>
        <v>0</v>
      </c>
      <c r="Y469" s="25">
        <f t="shared" si="77"/>
        <v>0</v>
      </c>
      <c r="AD469" s="26"/>
    </row>
    <row r="470" spans="1:30" x14ac:dyDescent="0.2">
      <c r="A470" s="24">
        <f t="shared" si="78"/>
        <v>14.781745499094482</v>
      </c>
      <c r="B470" s="32">
        <v>218.5</v>
      </c>
      <c r="C470" s="32"/>
      <c r="D470" s="25">
        <f t="shared" si="70"/>
        <v>0</v>
      </c>
      <c r="E470" s="32">
        <v>218.5</v>
      </c>
      <c r="F470" s="8"/>
      <c r="G470" s="25">
        <f t="shared" si="71"/>
        <v>0</v>
      </c>
      <c r="H470" s="32">
        <v>218.5</v>
      </c>
      <c r="I470" s="32"/>
      <c r="J470" s="25">
        <f t="shared" si="72"/>
        <v>0</v>
      </c>
      <c r="K470" s="32">
        <v>218.5</v>
      </c>
      <c r="L470" s="31"/>
      <c r="M470" s="25">
        <f t="shared" si="73"/>
        <v>0</v>
      </c>
      <c r="N470" s="32">
        <v>218.5</v>
      </c>
      <c r="O470" s="32"/>
      <c r="P470" s="25">
        <f t="shared" si="74"/>
        <v>0</v>
      </c>
      <c r="Q470" s="32">
        <v>218.5</v>
      </c>
      <c r="R470" s="32"/>
      <c r="S470" s="25">
        <f t="shared" si="75"/>
        <v>0</v>
      </c>
      <c r="T470" s="32">
        <v>218.5</v>
      </c>
      <c r="U470" s="32"/>
      <c r="V470" s="25">
        <f t="shared" si="79"/>
        <v>0</v>
      </c>
      <c r="W470" s="32">
        <v>218.5</v>
      </c>
      <c r="X470" s="32">
        <f t="shared" si="76"/>
        <v>0</v>
      </c>
      <c r="Y470" s="25">
        <f t="shared" si="77"/>
        <v>0</v>
      </c>
      <c r="AD470" s="26"/>
    </row>
    <row r="471" spans="1:30" x14ac:dyDescent="0.2">
      <c r="A471" s="24">
        <f t="shared" si="78"/>
        <v>14.798648586948742</v>
      </c>
      <c r="B471" s="32">
        <v>219</v>
      </c>
      <c r="C471" s="32"/>
      <c r="D471" s="25">
        <f t="shared" si="70"/>
        <v>0</v>
      </c>
      <c r="E471" s="32">
        <v>219</v>
      </c>
      <c r="F471" s="8"/>
      <c r="G471" s="25">
        <f t="shared" si="71"/>
        <v>0</v>
      </c>
      <c r="H471" s="32">
        <v>219</v>
      </c>
      <c r="I471" s="32"/>
      <c r="J471" s="25">
        <f t="shared" si="72"/>
        <v>0</v>
      </c>
      <c r="K471" s="32">
        <v>219</v>
      </c>
      <c r="L471" s="31"/>
      <c r="M471" s="25">
        <f t="shared" si="73"/>
        <v>0</v>
      </c>
      <c r="N471" s="32">
        <v>219</v>
      </c>
      <c r="O471" s="32"/>
      <c r="P471" s="25">
        <f t="shared" si="74"/>
        <v>0</v>
      </c>
      <c r="Q471" s="32">
        <v>219</v>
      </c>
      <c r="R471" s="32"/>
      <c r="S471" s="25">
        <f t="shared" si="75"/>
        <v>0</v>
      </c>
      <c r="T471" s="32">
        <v>219</v>
      </c>
      <c r="U471" s="32"/>
      <c r="V471" s="25">
        <f t="shared" si="79"/>
        <v>0</v>
      </c>
      <c r="W471" s="32">
        <v>219</v>
      </c>
      <c r="X471" s="32">
        <f t="shared" si="76"/>
        <v>0</v>
      </c>
      <c r="Y471" s="25">
        <f t="shared" si="77"/>
        <v>0</v>
      </c>
      <c r="AD471" s="26"/>
    </row>
    <row r="472" spans="1:30" x14ac:dyDescent="0.2">
      <c r="A472" s="24">
        <f t="shared" si="78"/>
        <v>14.815532390029054</v>
      </c>
      <c r="B472" s="32">
        <v>219.5</v>
      </c>
      <c r="C472" s="32"/>
      <c r="D472" s="25">
        <f t="shared" si="70"/>
        <v>0</v>
      </c>
      <c r="E472" s="32">
        <v>219.5</v>
      </c>
      <c r="F472" s="8"/>
      <c r="G472" s="25">
        <f t="shared" si="71"/>
        <v>0</v>
      </c>
      <c r="H472" s="32">
        <v>219.5</v>
      </c>
      <c r="I472" s="32"/>
      <c r="J472" s="25">
        <f t="shared" si="72"/>
        <v>0</v>
      </c>
      <c r="K472" s="32">
        <v>219.5</v>
      </c>
      <c r="L472" s="31"/>
      <c r="M472" s="25">
        <f t="shared" si="73"/>
        <v>0</v>
      </c>
      <c r="N472" s="32">
        <v>219.5</v>
      </c>
      <c r="O472" s="32"/>
      <c r="P472" s="25">
        <f t="shared" si="74"/>
        <v>0</v>
      </c>
      <c r="Q472" s="32">
        <v>219.5</v>
      </c>
      <c r="R472" s="32"/>
      <c r="S472" s="25">
        <f t="shared" si="75"/>
        <v>0</v>
      </c>
      <c r="T472" s="32">
        <v>219.5</v>
      </c>
      <c r="U472" s="32"/>
      <c r="V472" s="25">
        <f t="shared" si="79"/>
        <v>0</v>
      </c>
      <c r="W472" s="32">
        <v>219.5</v>
      </c>
      <c r="X472" s="32">
        <f t="shared" si="76"/>
        <v>0</v>
      </c>
      <c r="Y472" s="25">
        <f t="shared" si="77"/>
        <v>0</v>
      </c>
      <c r="AD472" s="26"/>
    </row>
    <row r="473" spans="1:30" x14ac:dyDescent="0.2">
      <c r="A473" s="24">
        <f t="shared" si="78"/>
        <v>14.832396974191326</v>
      </c>
      <c r="B473" s="32">
        <v>220</v>
      </c>
      <c r="C473" s="32"/>
      <c r="D473" s="25">
        <f t="shared" si="70"/>
        <v>0</v>
      </c>
      <c r="E473" s="32">
        <v>220</v>
      </c>
      <c r="F473" s="8"/>
      <c r="G473" s="25">
        <f t="shared" si="71"/>
        <v>0</v>
      </c>
      <c r="H473" s="32">
        <v>220</v>
      </c>
      <c r="I473" s="32"/>
      <c r="J473" s="25">
        <f t="shared" si="72"/>
        <v>0</v>
      </c>
      <c r="K473" s="32">
        <v>220</v>
      </c>
      <c r="L473" s="31"/>
      <c r="M473" s="25">
        <f t="shared" si="73"/>
        <v>0</v>
      </c>
      <c r="N473" s="32">
        <v>220</v>
      </c>
      <c r="O473" s="32"/>
      <c r="P473" s="25">
        <f t="shared" si="74"/>
        <v>0</v>
      </c>
      <c r="Q473" s="32">
        <v>220</v>
      </c>
      <c r="R473" s="32"/>
      <c r="S473" s="25">
        <f t="shared" si="75"/>
        <v>0</v>
      </c>
      <c r="T473" s="32">
        <v>220</v>
      </c>
      <c r="U473" s="32"/>
      <c r="V473" s="25">
        <f t="shared" si="79"/>
        <v>0</v>
      </c>
      <c r="W473" s="32">
        <v>220</v>
      </c>
      <c r="X473" s="32">
        <f t="shared" si="76"/>
        <v>0</v>
      </c>
      <c r="Y473" s="25">
        <f t="shared" si="77"/>
        <v>0</v>
      </c>
      <c r="AD473" s="26"/>
    </row>
    <row r="474" spans="1:30" x14ac:dyDescent="0.2">
      <c r="A474" s="24">
        <f t="shared" si="78"/>
        <v>14.849242404917497</v>
      </c>
      <c r="B474" s="32">
        <v>220.5</v>
      </c>
      <c r="C474" s="32"/>
      <c r="D474" s="25">
        <f t="shared" si="70"/>
        <v>0</v>
      </c>
      <c r="E474" s="32">
        <v>220.5</v>
      </c>
      <c r="F474" s="8"/>
      <c r="G474" s="25">
        <f t="shared" si="71"/>
        <v>0</v>
      </c>
      <c r="H474" s="32">
        <v>220.5</v>
      </c>
      <c r="I474" s="32"/>
      <c r="J474" s="25">
        <f t="shared" si="72"/>
        <v>0</v>
      </c>
      <c r="K474" s="32">
        <v>220.5</v>
      </c>
      <c r="L474" s="31"/>
      <c r="M474" s="25">
        <f t="shared" si="73"/>
        <v>0</v>
      </c>
      <c r="N474" s="32">
        <v>220.5</v>
      </c>
      <c r="O474" s="32"/>
      <c r="P474" s="25">
        <f t="shared" si="74"/>
        <v>0</v>
      </c>
      <c r="Q474" s="32">
        <v>220.5</v>
      </c>
      <c r="R474" s="32"/>
      <c r="S474" s="25">
        <f t="shared" si="75"/>
        <v>0</v>
      </c>
      <c r="T474" s="32">
        <v>220.5</v>
      </c>
      <c r="U474" s="32"/>
      <c r="V474" s="25">
        <f t="shared" si="79"/>
        <v>0</v>
      </c>
      <c r="W474" s="32">
        <v>220.5</v>
      </c>
      <c r="X474" s="32">
        <f t="shared" si="76"/>
        <v>0</v>
      </c>
      <c r="Y474" s="25">
        <f t="shared" si="77"/>
        <v>0</v>
      </c>
      <c r="AD474" s="26"/>
    </row>
    <row r="475" spans="1:30" x14ac:dyDescent="0.2">
      <c r="A475" s="24">
        <f t="shared" si="78"/>
        <v>14.866068747318506</v>
      </c>
      <c r="B475" s="32">
        <v>221</v>
      </c>
      <c r="C475" s="32"/>
      <c r="D475" s="25">
        <f t="shared" si="70"/>
        <v>0</v>
      </c>
      <c r="E475" s="32">
        <v>221</v>
      </c>
      <c r="F475" s="8"/>
      <c r="G475" s="25">
        <f t="shared" si="71"/>
        <v>0</v>
      </c>
      <c r="H475" s="32">
        <v>221</v>
      </c>
      <c r="I475" s="32"/>
      <c r="J475" s="25">
        <f t="shared" si="72"/>
        <v>0</v>
      </c>
      <c r="K475" s="32">
        <v>221</v>
      </c>
      <c r="L475" s="31"/>
      <c r="M475" s="25">
        <f t="shared" si="73"/>
        <v>0</v>
      </c>
      <c r="N475" s="32">
        <v>221</v>
      </c>
      <c r="O475" s="32"/>
      <c r="P475" s="25">
        <f t="shared" si="74"/>
        <v>0</v>
      </c>
      <c r="Q475" s="32">
        <v>221</v>
      </c>
      <c r="R475" s="32"/>
      <c r="S475" s="25">
        <f t="shared" si="75"/>
        <v>0</v>
      </c>
      <c r="T475" s="32">
        <v>221</v>
      </c>
      <c r="U475" s="32"/>
      <c r="V475" s="25">
        <f t="shared" si="79"/>
        <v>0</v>
      </c>
      <c r="W475" s="32">
        <v>221</v>
      </c>
      <c r="X475" s="32">
        <f t="shared" si="76"/>
        <v>0</v>
      </c>
      <c r="Y475" s="25">
        <f t="shared" si="77"/>
        <v>0</v>
      </c>
      <c r="AD475" s="26"/>
    </row>
    <row r="476" spans="1:30" x14ac:dyDescent="0.2">
      <c r="A476" s="24">
        <f t="shared" si="78"/>
        <v>14.882876066137216</v>
      </c>
      <c r="B476" s="32">
        <v>221.5</v>
      </c>
      <c r="C476" s="32"/>
      <c r="D476" s="25">
        <f t="shared" si="70"/>
        <v>0</v>
      </c>
      <c r="E476" s="32">
        <v>221.5</v>
      </c>
      <c r="F476" s="8"/>
      <c r="G476" s="25">
        <f t="shared" si="71"/>
        <v>0</v>
      </c>
      <c r="H476" s="32">
        <v>221.5</v>
      </c>
      <c r="I476" s="32"/>
      <c r="J476" s="25">
        <f t="shared" si="72"/>
        <v>0</v>
      </c>
      <c r="K476" s="32">
        <v>221.5</v>
      </c>
      <c r="L476" s="31"/>
      <c r="M476" s="25">
        <f t="shared" si="73"/>
        <v>0</v>
      </c>
      <c r="N476" s="32">
        <v>221.5</v>
      </c>
      <c r="O476" s="32"/>
      <c r="P476" s="25">
        <f t="shared" si="74"/>
        <v>0</v>
      </c>
      <c r="Q476" s="32">
        <v>221.5</v>
      </c>
      <c r="R476" s="32"/>
      <c r="S476" s="25">
        <f t="shared" si="75"/>
        <v>0</v>
      </c>
      <c r="T476" s="32">
        <v>221.5</v>
      </c>
      <c r="U476" s="32"/>
      <c r="V476" s="25">
        <f t="shared" si="79"/>
        <v>0</v>
      </c>
      <c r="W476" s="32">
        <v>221.5</v>
      </c>
      <c r="X476" s="32">
        <f t="shared" si="76"/>
        <v>0</v>
      </c>
      <c r="Y476" s="25">
        <f t="shared" si="77"/>
        <v>0</v>
      </c>
      <c r="AD476" s="26"/>
    </row>
    <row r="477" spans="1:30" x14ac:dyDescent="0.2">
      <c r="A477" s="24">
        <f t="shared" si="78"/>
        <v>14.89966442575134</v>
      </c>
      <c r="B477" s="32">
        <v>222</v>
      </c>
      <c r="C477" s="32"/>
      <c r="D477" s="25">
        <f t="shared" si="70"/>
        <v>0</v>
      </c>
      <c r="E477" s="32">
        <v>222</v>
      </c>
      <c r="F477" s="8"/>
      <c r="G477" s="25">
        <f t="shared" si="71"/>
        <v>0</v>
      </c>
      <c r="H477" s="32">
        <v>222</v>
      </c>
      <c r="I477" s="32"/>
      <c r="J477" s="25">
        <f t="shared" si="72"/>
        <v>0</v>
      </c>
      <c r="K477" s="32">
        <v>222</v>
      </c>
      <c r="L477" s="31"/>
      <c r="M477" s="25">
        <f t="shared" si="73"/>
        <v>0</v>
      </c>
      <c r="N477" s="32">
        <v>222</v>
      </c>
      <c r="O477" s="32"/>
      <c r="P477" s="25">
        <f t="shared" si="74"/>
        <v>0</v>
      </c>
      <c r="Q477" s="32">
        <v>222</v>
      </c>
      <c r="R477" s="32"/>
      <c r="S477" s="25">
        <f t="shared" si="75"/>
        <v>0</v>
      </c>
      <c r="T477" s="32">
        <v>222</v>
      </c>
      <c r="U477" s="32"/>
      <c r="V477" s="25">
        <f t="shared" si="79"/>
        <v>0</v>
      </c>
      <c r="W477" s="32">
        <v>222</v>
      </c>
      <c r="X477" s="32">
        <f t="shared" si="76"/>
        <v>0</v>
      </c>
      <c r="Y477" s="25">
        <f t="shared" si="77"/>
        <v>0</v>
      </c>
      <c r="AD477" s="26"/>
    </row>
    <row r="478" spans="1:30" x14ac:dyDescent="0.2">
      <c r="A478" s="24">
        <f t="shared" si="78"/>
        <v>14.916433890176299</v>
      </c>
      <c r="B478" s="32">
        <v>222.5</v>
      </c>
      <c r="C478" s="32"/>
      <c r="D478" s="25">
        <f t="shared" si="70"/>
        <v>0</v>
      </c>
      <c r="E478" s="32">
        <v>222.5</v>
      </c>
      <c r="F478" s="8"/>
      <c r="G478" s="25">
        <f t="shared" si="71"/>
        <v>0</v>
      </c>
      <c r="H478" s="32">
        <v>222.5</v>
      </c>
      <c r="I478" s="32"/>
      <c r="J478" s="25">
        <f t="shared" si="72"/>
        <v>0</v>
      </c>
      <c r="K478" s="32">
        <v>222.5</v>
      </c>
      <c r="L478" s="31"/>
      <c r="M478" s="25">
        <f t="shared" si="73"/>
        <v>0</v>
      </c>
      <c r="N478" s="32">
        <v>222.5</v>
      </c>
      <c r="O478" s="32"/>
      <c r="P478" s="25">
        <f t="shared" si="74"/>
        <v>0</v>
      </c>
      <c r="Q478" s="32">
        <v>222.5</v>
      </c>
      <c r="R478" s="32"/>
      <c r="S478" s="25">
        <f t="shared" si="75"/>
        <v>0</v>
      </c>
      <c r="T478" s="32">
        <v>222.5</v>
      </c>
      <c r="U478" s="32"/>
      <c r="V478" s="25">
        <f t="shared" si="79"/>
        <v>0</v>
      </c>
      <c r="W478" s="32">
        <v>222.5</v>
      </c>
      <c r="X478" s="32">
        <f t="shared" si="76"/>
        <v>0</v>
      </c>
      <c r="Y478" s="25">
        <f t="shared" si="77"/>
        <v>0</v>
      </c>
      <c r="AD478" s="26"/>
    </row>
    <row r="479" spans="1:30" x14ac:dyDescent="0.2">
      <c r="A479" s="24">
        <f t="shared" si="78"/>
        <v>14.933184523068078</v>
      </c>
      <c r="B479" s="32">
        <v>223</v>
      </c>
      <c r="C479" s="32"/>
      <c r="D479" s="25">
        <f t="shared" si="70"/>
        <v>0</v>
      </c>
      <c r="E479" s="32">
        <v>223</v>
      </c>
      <c r="F479" s="8"/>
      <c r="G479" s="25">
        <f t="shared" si="71"/>
        <v>0</v>
      </c>
      <c r="H479" s="32">
        <v>223</v>
      </c>
      <c r="I479" s="32"/>
      <c r="J479" s="25">
        <f t="shared" si="72"/>
        <v>0</v>
      </c>
      <c r="K479" s="32">
        <v>223</v>
      </c>
      <c r="L479" s="31"/>
      <c r="M479" s="25">
        <f t="shared" si="73"/>
        <v>0</v>
      </c>
      <c r="N479" s="32">
        <v>223</v>
      </c>
      <c r="O479" s="32"/>
      <c r="P479" s="25">
        <f t="shared" si="74"/>
        <v>0</v>
      </c>
      <c r="Q479" s="32">
        <v>223</v>
      </c>
      <c r="R479" s="32"/>
      <c r="S479" s="25">
        <f t="shared" si="75"/>
        <v>0</v>
      </c>
      <c r="T479" s="32">
        <v>223</v>
      </c>
      <c r="U479" s="32"/>
      <c r="V479" s="25">
        <f t="shared" si="79"/>
        <v>0</v>
      </c>
      <c r="W479" s="32">
        <v>223</v>
      </c>
      <c r="X479" s="32">
        <f t="shared" si="76"/>
        <v>0</v>
      </c>
      <c r="Y479" s="25">
        <f t="shared" si="77"/>
        <v>0</v>
      </c>
      <c r="AD479" s="26"/>
    </row>
    <row r="480" spans="1:30" x14ac:dyDescent="0.2">
      <c r="A480" s="24">
        <f t="shared" si="78"/>
        <v>14.949916387726054</v>
      </c>
      <c r="B480" s="32">
        <v>223.5</v>
      </c>
      <c r="C480" s="32"/>
      <c r="D480" s="25">
        <f t="shared" si="70"/>
        <v>0</v>
      </c>
      <c r="E480" s="32">
        <v>223.5</v>
      </c>
      <c r="F480" s="8"/>
      <c r="G480" s="25">
        <f t="shared" si="71"/>
        <v>0</v>
      </c>
      <c r="H480" s="32">
        <v>223.5</v>
      </c>
      <c r="I480" s="32"/>
      <c r="J480" s="25">
        <f t="shared" si="72"/>
        <v>0</v>
      </c>
      <c r="K480" s="32">
        <v>223.5</v>
      </c>
      <c r="L480" s="31"/>
      <c r="M480" s="25">
        <f t="shared" si="73"/>
        <v>0</v>
      </c>
      <c r="N480" s="32">
        <v>223.5</v>
      </c>
      <c r="O480" s="32"/>
      <c r="P480" s="25">
        <f t="shared" si="74"/>
        <v>0</v>
      </c>
      <c r="Q480" s="32">
        <v>223.5</v>
      </c>
      <c r="R480" s="32"/>
      <c r="S480" s="25">
        <f t="shared" si="75"/>
        <v>0</v>
      </c>
      <c r="T480" s="32">
        <v>223.5</v>
      </c>
      <c r="U480" s="32"/>
      <c r="V480" s="25">
        <f t="shared" si="79"/>
        <v>0</v>
      </c>
      <c r="W480" s="32">
        <v>223.5</v>
      </c>
      <c r="X480" s="32">
        <f t="shared" si="76"/>
        <v>0</v>
      </c>
      <c r="Y480" s="25">
        <f t="shared" si="77"/>
        <v>0</v>
      </c>
      <c r="AD480" s="26"/>
    </row>
    <row r="481" spans="1:30" x14ac:dyDescent="0.2">
      <c r="A481" s="24">
        <f t="shared" si="78"/>
        <v>14.966629547095765</v>
      </c>
      <c r="B481" s="32">
        <v>224</v>
      </c>
      <c r="C481" s="32"/>
      <c r="D481" s="25">
        <f t="shared" si="70"/>
        <v>0</v>
      </c>
      <c r="E481" s="32">
        <v>224</v>
      </c>
      <c r="F481" s="8"/>
      <c r="G481" s="25">
        <f t="shared" si="71"/>
        <v>0</v>
      </c>
      <c r="H481" s="32">
        <v>224</v>
      </c>
      <c r="I481" s="32"/>
      <c r="J481" s="25">
        <f t="shared" si="72"/>
        <v>0</v>
      </c>
      <c r="K481" s="32">
        <v>224</v>
      </c>
      <c r="L481" s="31"/>
      <c r="M481" s="25">
        <f t="shared" si="73"/>
        <v>0</v>
      </c>
      <c r="N481" s="32">
        <v>224</v>
      </c>
      <c r="O481" s="32"/>
      <c r="P481" s="25">
        <f t="shared" si="74"/>
        <v>0</v>
      </c>
      <c r="Q481" s="32">
        <v>224</v>
      </c>
      <c r="R481" s="32"/>
      <c r="S481" s="25">
        <f t="shared" si="75"/>
        <v>0</v>
      </c>
      <c r="T481" s="32">
        <v>224</v>
      </c>
      <c r="U481" s="32"/>
      <c r="V481" s="25">
        <f t="shared" si="79"/>
        <v>0</v>
      </c>
      <c r="W481" s="32">
        <v>224</v>
      </c>
      <c r="X481" s="32">
        <f t="shared" si="76"/>
        <v>0</v>
      </c>
      <c r="Y481" s="25">
        <f t="shared" si="77"/>
        <v>0</v>
      </c>
      <c r="AD481" s="26"/>
    </row>
    <row r="482" spans="1:30" x14ac:dyDescent="0.2">
      <c r="A482" s="24">
        <f t="shared" si="78"/>
        <v>14.983324063771697</v>
      </c>
      <c r="B482" s="32">
        <v>224.5</v>
      </c>
      <c r="C482" s="32"/>
      <c r="D482" s="25">
        <f t="shared" si="70"/>
        <v>0</v>
      </c>
      <c r="E482" s="32">
        <v>224.5</v>
      </c>
      <c r="F482" s="8"/>
      <c r="G482" s="25">
        <f t="shared" si="71"/>
        <v>0</v>
      </c>
      <c r="H482" s="32">
        <v>224.5</v>
      </c>
      <c r="I482" s="32"/>
      <c r="J482" s="25">
        <f t="shared" si="72"/>
        <v>0</v>
      </c>
      <c r="K482" s="32">
        <v>224.5</v>
      </c>
      <c r="L482" s="31"/>
      <c r="M482" s="25">
        <f t="shared" si="73"/>
        <v>0</v>
      </c>
      <c r="N482" s="32">
        <v>224.5</v>
      </c>
      <c r="O482" s="32"/>
      <c r="P482" s="25">
        <f t="shared" si="74"/>
        <v>0</v>
      </c>
      <c r="Q482" s="32">
        <v>224.5</v>
      </c>
      <c r="R482" s="32"/>
      <c r="S482" s="25">
        <f t="shared" si="75"/>
        <v>0</v>
      </c>
      <c r="T482" s="32">
        <v>224.5</v>
      </c>
      <c r="U482" s="32"/>
      <c r="V482" s="25">
        <f t="shared" si="79"/>
        <v>0</v>
      </c>
      <c r="W482" s="32">
        <v>224.5</v>
      </c>
      <c r="X482" s="32">
        <f t="shared" si="76"/>
        <v>0</v>
      </c>
      <c r="Y482" s="25">
        <f t="shared" si="77"/>
        <v>0</v>
      </c>
      <c r="AD482" s="26"/>
    </row>
    <row r="483" spans="1:30" x14ac:dyDescent="0.2">
      <c r="A483" s="24">
        <f t="shared" si="78"/>
        <v>15</v>
      </c>
      <c r="B483" s="32">
        <v>225</v>
      </c>
      <c r="C483" s="32"/>
      <c r="D483" s="25">
        <f t="shared" si="70"/>
        <v>0</v>
      </c>
      <c r="E483" s="32">
        <v>225</v>
      </c>
      <c r="F483" s="8"/>
      <c r="G483" s="25">
        <f t="shared" si="71"/>
        <v>0</v>
      </c>
      <c r="H483" s="32">
        <v>225</v>
      </c>
      <c r="I483" s="32"/>
      <c r="J483" s="25">
        <f t="shared" si="72"/>
        <v>0</v>
      </c>
      <c r="K483" s="32">
        <v>225</v>
      </c>
      <c r="L483" s="31"/>
      <c r="M483" s="25">
        <f t="shared" si="73"/>
        <v>0</v>
      </c>
      <c r="N483" s="32">
        <v>225</v>
      </c>
      <c r="O483" s="32"/>
      <c r="P483" s="25">
        <f t="shared" si="74"/>
        <v>0</v>
      </c>
      <c r="Q483" s="32">
        <v>225</v>
      </c>
      <c r="R483" s="32"/>
      <c r="S483" s="25">
        <f t="shared" si="75"/>
        <v>0</v>
      </c>
      <c r="T483" s="32">
        <v>225</v>
      </c>
      <c r="U483" s="32"/>
      <c r="V483" s="25">
        <f t="shared" si="79"/>
        <v>0</v>
      </c>
      <c r="W483" s="32">
        <v>225</v>
      </c>
      <c r="X483" s="32">
        <f t="shared" si="76"/>
        <v>0</v>
      </c>
      <c r="Y483" s="25">
        <f t="shared" si="77"/>
        <v>0</v>
      </c>
      <c r="AD483" s="26"/>
    </row>
    <row r="484" spans="1:30" x14ac:dyDescent="0.2">
      <c r="A484" s="24">
        <f t="shared" si="78"/>
        <v>15.016657417681207</v>
      </c>
      <c r="B484" s="32">
        <v>225.5</v>
      </c>
      <c r="C484" s="32"/>
      <c r="D484" s="25">
        <f t="shared" si="70"/>
        <v>0</v>
      </c>
      <c r="E484" s="32">
        <v>225.5</v>
      </c>
      <c r="F484" s="8"/>
      <c r="G484" s="25">
        <f t="shared" si="71"/>
        <v>0</v>
      </c>
      <c r="H484" s="32">
        <v>225.5</v>
      </c>
      <c r="I484" s="32"/>
      <c r="J484" s="25">
        <f t="shared" si="72"/>
        <v>0</v>
      </c>
      <c r="K484" s="32">
        <v>225.5</v>
      </c>
      <c r="L484" s="31"/>
      <c r="M484" s="25">
        <f t="shared" si="73"/>
        <v>0</v>
      </c>
      <c r="N484" s="32">
        <v>225.5</v>
      </c>
      <c r="O484" s="32"/>
      <c r="P484" s="25">
        <f t="shared" si="74"/>
        <v>0</v>
      </c>
      <c r="Q484" s="32">
        <v>225.5</v>
      </c>
      <c r="R484" s="32"/>
      <c r="S484" s="25">
        <f t="shared" si="75"/>
        <v>0</v>
      </c>
      <c r="T484" s="32">
        <v>225.5</v>
      </c>
      <c r="U484" s="32"/>
      <c r="V484" s="25">
        <f t="shared" si="79"/>
        <v>0</v>
      </c>
      <c r="W484" s="32">
        <v>225.5</v>
      </c>
      <c r="X484" s="32">
        <f t="shared" si="76"/>
        <v>0</v>
      </c>
      <c r="Y484" s="25">
        <f t="shared" si="77"/>
        <v>0</v>
      </c>
      <c r="AD484" s="26"/>
    </row>
    <row r="485" spans="1:30" x14ac:dyDescent="0.2">
      <c r="A485" s="24">
        <f t="shared" si="78"/>
        <v>15.033296378372908</v>
      </c>
      <c r="B485" s="32">
        <v>226</v>
      </c>
      <c r="C485" s="32"/>
      <c r="D485" s="25">
        <f t="shared" si="70"/>
        <v>0</v>
      </c>
      <c r="E485" s="32">
        <v>226</v>
      </c>
      <c r="F485" s="8"/>
      <c r="G485" s="25">
        <f t="shared" si="71"/>
        <v>0</v>
      </c>
      <c r="H485" s="32">
        <v>226</v>
      </c>
      <c r="I485" s="32"/>
      <c r="J485" s="25">
        <f t="shared" si="72"/>
        <v>0</v>
      </c>
      <c r="K485" s="32">
        <v>226</v>
      </c>
      <c r="L485" s="31"/>
      <c r="M485" s="25">
        <f t="shared" si="73"/>
        <v>0</v>
      </c>
      <c r="N485" s="32">
        <v>226</v>
      </c>
      <c r="O485" s="32"/>
      <c r="P485" s="25">
        <f t="shared" si="74"/>
        <v>0</v>
      </c>
      <c r="Q485" s="32">
        <v>226</v>
      </c>
      <c r="R485" s="32"/>
      <c r="S485" s="25">
        <f t="shared" si="75"/>
        <v>0</v>
      </c>
      <c r="T485" s="32">
        <v>226</v>
      </c>
      <c r="U485" s="32"/>
      <c r="V485" s="25">
        <f t="shared" si="79"/>
        <v>0</v>
      </c>
      <c r="W485" s="32">
        <v>226</v>
      </c>
      <c r="X485" s="32">
        <f t="shared" si="76"/>
        <v>0</v>
      </c>
      <c r="Y485" s="25">
        <f t="shared" si="77"/>
        <v>0</v>
      </c>
      <c r="AD485" s="26"/>
    </row>
    <row r="486" spans="1:30" x14ac:dyDescent="0.2">
      <c r="A486" s="24">
        <f t="shared" si="78"/>
        <v>15.049916943292411</v>
      </c>
      <c r="B486" s="32">
        <v>226.5</v>
      </c>
      <c r="C486" s="32"/>
      <c r="D486" s="25">
        <f t="shared" si="70"/>
        <v>0</v>
      </c>
      <c r="E486" s="32">
        <v>226.5</v>
      </c>
      <c r="F486" s="8"/>
      <c r="G486" s="25">
        <f t="shared" si="71"/>
        <v>0</v>
      </c>
      <c r="H486" s="32">
        <v>226.5</v>
      </c>
      <c r="I486" s="32"/>
      <c r="J486" s="25">
        <f t="shared" si="72"/>
        <v>0</v>
      </c>
      <c r="K486" s="32">
        <v>226.5</v>
      </c>
      <c r="L486" s="31"/>
      <c r="M486" s="25">
        <f t="shared" si="73"/>
        <v>0</v>
      </c>
      <c r="N486" s="32">
        <v>226.5</v>
      </c>
      <c r="O486" s="32"/>
      <c r="P486" s="25">
        <f t="shared" si="74"/>
        <v>0</v>
      </c>
      <c r="Q486" s="32">
        <v>226.5</v>
      </c>
      <c r="R486" s="32"/>
      <c r="S486" s="25">
        <f t="shared" si="75"/>
        <v>0</v>
      </c>
      <c r="T486" s="32">
        <v>226.5</v>
      </c>
      <c r="U486" s="32"/>
      <c r="V486" s="25">
        <f t="shared" si="79"/>
        <v>0</v>
      </c>
      <c r="W486" s="32">
        <v>226.5</v>
      </c>
      <c r="X486" s="32">
        <f t="shared" si="76"/>
        <v>0</v>
      </c>
      <c r="Y486" s="25">
        <f t="shared" si="77"/>
        <v>0</v>
      </c>
      <c r="AD486" s="26"/>
    </row>
    <row r="487" spans="1:30" x14ac:dyDescent="0.2">
      <c r="A487" s="24">
        <f t="shared" si="78"/>
        <v>15.066519173319364</v>
      </c>
      <c r="B487" s="32">
        <v>227</v>
      </c>
      <c r="C487" s="32"/>
      <c r="D487" s="25">
        <f t="shared" si="70"/>
        <v>0</v>
      </c>
      <c r="E487" s="32">
        <v>227</v>
      </c>
      <c r="F487" s="8"/>
      <c r="G487" s="25">
        <f t="shared" si="71"/>
        <v>0</v>
      </c>
      <c r="H487" s="32">
        <v>227</v>
      </c>
      <c r="I487" s="32"/>
      <c r="J487" s="25">
        <f t="shared" si="72"/>
        <v>0</v>
      </c>
      <c r="K487" s="32">
        <v>227</v>
      </c>
      <c r="L487" s="31"/>
      <c r="M487" s="25">
        <f t="shared" si="73"/>
        <v>0</v>
      </c>
      <c r="N487" s="32">
        <v>227</v>
      </c>
      <c r="O487" s="32"/>
      <c r="P487" s="25">
        <f t="shared" si="74"/>
        <v>0</v>
      </c>
      <c r="Q487" s="32">
        <v>227</v>
      </c>
      <c r="R487" s="32"/>
      <c r="S487" s="25">
        <f t="shared" si="75"/>
        <v>0</v>
      </c>
      <c r="T487" s="32">
        <v>227</v>
      </c>
      <c r="U487" s="32"/>
      <c r="V487" s="25">
        <f t="shared" si="79"/>
        <v>0</v>
      </c>
      <c r="W487" s="32">
        <v>227</v>
      </c>
      <c r="X487" s="32">
        <f t="shared" si="76"/>
        <v>0</v>
      </c>
      <c r="Y487" s="25">
        <f t="shared" si="77"/>
        <v>0</v>
      </c>
      <c r="AD487" s="26"/>
    </row>
    <row r="488" spans="1:30" x14ac:dyDescent="0.2">
      <c r="A488" s="24">
        <f t="shared" si="78"/>
        <v>15.083103128998356</v>
      </c>
      <c r="B488" s="32">
        <v>227.5</v>
      </c>
      <c r="C488" s="32"/>
      <c r="D488" s="25">
        <f t="shared" si="70"/>
        <v>0</v>
      </c>
      <c r="E488" s="32">
        <v>227.5</v>
      </c>
      <c r="F488" s="8"/>
      <c r="G488" s="25">
        <f t="shared" si="71"/>
        <v>0</v>
      </c>
      <c r="H488" s="32">
        <v>227.5</v>
      </c>
      <c r="I488" s="32"/>
      <c r="J488" s="25">
        <f t="shared" si="72"/>
        <v>0</v>
      </c>
      <c r="K488" s="32">
        <v>227.5</v>
      </c>
      <c r="L488" s="31"/>
      <c r="M488" s="25">
        <f t="shared" si="73"/>
        <v>0</v>
      </c>
      <c r="N488" s="32">
        <v>227.5</v>
      </c>
      <c r="O488" s="32"/>
      <c r="P488" s="25">
        <f t="shared" si="74"/>
        <v>0</v>
      </c>
      <c r="Q488" s="32">
        <v>227.5</v>
      </c>
      <c r="R488" s="32"/>
      <c r="S488" s="25">
        <f t="shared" si="75"/>
        <v>0</v>
      </c>
      <c r="T488" s="32">
        <v>227.5</v>
      </c>
      <c r="U488" s="32"/>
      <c r="V488" s="25">
        <f t="shared" si="79"/>
        <v>0</v>
      </c>
      <c r="W488" s="32">
        <v>227.5</v>
      </c>
      <c r="X488" s="32">
        <f t="shared" si="76"/>
        <v>0</v>
      </c>
      <c r="Y488" s="25">
        <f t="shared" si="77"/>
        <v>0</v>
      </c>
      <c r="AD488" s="26"/>
    </row>
    <row r="489" spans="1:30" x14ac:dyDescent="0.2">
      <c r="A489" s="24">
        <f t="shared" si="78"/>
        <v>15.0996688705415</v>
      </c>
      <c r="B489" s="32">
        <v>228</v>
      </c>
      <c r="C489" s="32"/>
      <c r="D489" s="25">
        <f t="shared" si="70"/>
        <v>0</v>
      </c>
      <c r="E489" s="32">
        <v>228</v>
      </c>
      <c r="F489" s="8"/>
      <c r="G489" s="25">
        <f t="shared" si="71"/>
        <v>0</v>
      </c>
      <c r="H489" s="32">
        <v>228</v>
      </c>
      <c r="I489" s="32"/>
      <c r="J489" s="25">
        <f t="shared" si="72"/>
        <v>0</v>
      </c>
      <c r="K489" s="32">
        <v>228</v>
      </c>
      <c r="L489" s="31"/>
      <c r="M489" s="25">
        <f t="shared" si="73"/>
        <v>0</v>
      </c>
      <c r="N489" s="32">
        <v>228</v>
      </c>
      <c r="O489" s="32"/>
      <c r="P489" s="25">
        <f t="shared" si="74"/>
        <v>0</v>
      </c>
      <c r="Q489" s="32">
        <v>228</v>
      </c>
      <c r="R489" s="32"/>
      <c r="S489" s="25">
        <f t="shared" si="75"/>
        <v>0</v>
      </c>
      <c r="T489" s="32">
        <v>228</v>
      </c>
      <c r="U489" s="32"/>
      <c r="V489" s="25">
        <f t="shared" si="79"/>
        <v>0</v>
      </c>
      <c r="W489" s="32">
        <v>228</v>
      </c>
      <c r="X489" s="32">
        <f t="shared" si="76"/>
        <v>0</v>
      </c>
      <c r="Y489" s="25">
        <f t="shared" si="77"/>
        <v>0</v>
      </c>
      <c r="AD489" s="26"/>
    </row>
    <row r="490" spans="1:30" x14ac:dyDescent="0.2">
      <c r="A490" s="24">
        <f t="shared" si="78"/>
        <v>15.116216457830975</v>
      </c>
      <c r="B490" s="32">
        <v>228.5</v>
      </c>
      <c r="C490" s="32"/>
      <c r="D490" s="25">
        <f t="shared" si="70"/>
        <v>0</v>
      </c>
      <c r="E490" s="32">
        <v>228.5</v>
      </c>
      <c r="F490" s="8"/>
      <c r="G490" s="25">
        <f t="shared" si="71"/>
        <v>0</v>
      </c>
      <c r="H490" s="32">
        <v>228.5</v>
      </c>
      <c r="I490" s="32"/>
      <c r="J490" s="25">
        <f t="shared" si="72"/>
        <v>0</v>
      </c>
      <c r="K490" s="32">
        <v>228.5</v>
      </c>
      <c r="L490" s="31"/>
      <c r="M490" s="25">
        <f t="shared" si="73"/>
        <v>0</v>
      </c>
      <c r="N490" s="32">
        <v>228.5</v>
      </c>
      <c r="O490" s="32"/>
      <c r="P490" s="25">
        <f t="shared" si="74"/>
        <v>0</v>
      </c>
      <c r="Q490" s="32">
        <v>228.5</v>
      </c>
      <c r="R490" s="32"/>
      <c r="S490" s="25">
        <f t="shared" si="75"/>
        <v>0</v>
      </c>
      <c r="T490" s="32">
        <v>228.5</v>
      </c>
      <c r="U490" s="32"/>
      <c r="V490" s="25">
        <f t="shared" si="79"/>
        <v>0</v>
      </c>
      <c r="W490" s="32">
        <v>228.5</v>
      </c>
      <c r="X490" s="32">
        <f t="shared" si="76"/>
        <v>0</v>
      </c>
      <c r="Y490" s="25">
        <f t="shared" si="77"/>
        <v>0</v>
      </c>
      <c r="AD490" s="26"/>
    </row>
    <row r="491" spans="1:30" x14ac:dyDescent="0.2">
      <c r="A491" s="24">
        <f t="shared" si="78"/>
        <v>15.132745950421556</v>
      </c>
      <c r="B491" s="32">
        <v>229</v>
      </c>
      <c r="C491" s="32"/>
      <c r="D491" s="25">
        <f t="shared" si="70"/>
        <v>0</v>
      </c>
      <c r="E491" s="32">
        <v>229</v>
      </c>
      <c r="F491" s="8"/>
      <c r="G491" s="25">
        <f t="shared" si="71"/>
        <v>0</v>
      </c>
      <c r="H491" s="32">
        <v>229</v>
      </c>
      <c r="I491" s="32"/>
      <c r="J491" s="25">
        <f t="shared" si="72"/>
        <v>0</v>
      </c>
      <c r="K491" s="32">
        <v>229</v>
      </c>
      <c r="L491" s="31"/>
      <c r="M491" s="25">
        <f t="shared" si="73"/>
        <v>0</v>
      </c>
      <c r="N491" s="32">
        <v>229</v>
      </c>
      <c r="O491" s="32"/>
      <c r="P491" s="25">
        <f t="shared" si="74"/>
        <v>0</v>
      </c>
      <c r="Q491" s="32">
        <v>229</v>
      </c>
      <c r="R491" s="32"/>
      <c r="S491" s="25">
        <f t="shared" si="75"/>
        <v>0</v>
      </c>
      <c r="T491" s="32">
        <v>229</v>
      </c>
      <c r="U491" s="32"/>
      <c r="V491" s="25">
        <f t="shared" si="79"/>
        <v>0</v>
      </c>
      <c r="W491" s="32">
        <v>229</v>
      </c>
      <c r="X491" s="32">
        <f t="shared" si="76"/>
        <v>0</v>
      </c>
      <c r="Y491" s="25">
        <f t="shared" si="77"/>
        <v>0</v>
      </c>
      <c r="AD491" s="26"/>
    </row>
    <row r="492" spans="1:30" x14ac:dyDescent="0.2">
      <c r="A492" s="24">
        <f t="shared" si="78"/>
        <v>15.149257407543116</v>
      </c>
      <c r="B492" s="32">
        <v>229.5</v>
      </c>
      <c r="C492" s="32"/>
      <c r="D492" s="25">
        <f t="shared" si="70"/>
        <v>0</v>
      </c>
      <c r="E492" s="32">
        <v>229.5</v>
      </c>
      <c r="F492" s="8"/>
      <c r="G492" s="25">
        <f t="shared" si="71"/>
        <v>0</v>
      </c>
      <c r="H492" s="32">
        <v>229.5</v>
      </c>
      <c r="I492" s="32"/>
      <c r="J492" s="25">
        <f t="shared" si="72"/>
        <v>0</v>
      </c>
      <c r="K492" s="32">
        <v>229.5</v>
      </c>
      <c r="L492" s="31"/>
      <c r="M492" s="25">
        <f t="shared" si="73"/>
        <v>0</v>
      </c>
      <c r="N492" s="32">
        <v>229.5</v>
      </c>
      <c r="O492" s="32"/>
      <c r="P492" s="25">
        <f t="shared" si="74"/>
        <v>0</v>
      </c>
      <c r="Q492" s="32">
        <v>229.5</v>
      </c>
      <c r="R492" s="32"/>
      <c r="S492" s="25">
        <f t="shared" si="75"/>
        <v>0</v>
      </c>
      <c r="T492" s="32">
        <v>229.5</v>
      </c>
      <c r="U492" s="32"/>
      <c r="V492" s="25">
        <f t="shared" si="79"/>
        <v>0</v>
      </c>
      <c r="W492" s="32">
        <v>229.5</v>
      </c>
      <c r="X492" s="32">
        <f t="shared" si="76"/>
        <v>0</v>
      </c>
      <c r="Y492" s="25">
        <f t="shared" si="77"/>
        <v>0</v>
      </c>
      <c r="AD492" s="26"/>
    </row>
    <row r="493" spans="1:30" x14ac:dyDescent="0.2">
      <c r="A493" s="24">
        <f t="shared" si="78"/>
        <v>15.165750888103101</v>
      </c>
      <c r="B493" s="32">
        <v>230</v>
      </c>
      <c r="C493" s="32"/>
      <c r="D493" s="25">
        <f t="shared" si="70"/>
        <v>0</v>
      </c>
      <c r="E493" s="32">
        <v>230</v>
      </c>
      <c r="F493" s="8"/>
      <c r="G493" s="25">
        <f t="shared" si="71"/>
        <v>0</v>
      </c>
      <c r="H493" s="32">
        <v>230</v>
      </c>
      <c r="I493" s="32"/>
      <c r="J493" s="25">
        <f t="shared" si="72"/>
        <v>0</v>
      </c>
      <c r="K493" s="32">
        <v>230</v>
      </c>
      <c r="L493" s="31"/>
      <c r="M493" s="25">
        <f t="shared" si="73"/>
        <v>0</v>
      </c>
      <c r="N493" s="32">
        <v>230</v>
      </c>
      <c r="O493" s="32"/>
      <c r="P493" s="25">
        <f t="shared" si="74"/>
        <v>0</v>
      </c>
      <c r="Q493" s="32">
        <v>230</v>
      </c>
      <c r="R493" s="32"/>
      <c r="S493" s="25">
        <f t="shared" si="75"/>
        <v>0</v>
      </c>
      <c r="T493" s="32">
        <v>230</v>
      </c>
      <c r="U493" s="32"/>
      <c r="V493" s="25">
        <f t="shared" si="79"/>
        <v>0</v>
      </c>
      <c r="W493" s="32">
        <v>230</v>
      </c>
      <c r="X493" s="32">
        <f t="shared" si="76"/>
        <v>0</v>
      </c>
      <c r="Y493" s="25">
        <f t="shared" si="77"/>
        <v>0</v>
      </c>
      <c r="AD493" s="26"/>
    </row>
    <row r="494" spans="1:30" x14ac:dyDescent="0.2">
      <c r="A494" s="24">
        <f t="shared" si="78"/>
        <v>15.182226450688976</v>
      </c>
      <c r="B494" s="32">
        <v>230.5</v>
      </c>
      <c r="C494" s="32"/>
      <c r="D494" s="25">
        <f t="shared" si="70"/>
        <v>0</v>
      </c>
      <c r="E494" s="32">
        <v>230.5</v>
      </c>
      <c r="F494" s="8"/>
      <c r="G494" s="25">
        <f t="shared" si="71"/>
        <v>0</v>
      </c>
      <c r="H494" s="32">
        <v>230.5</v>
      </c>
      <c r="I494" s="32"/>
      <c r="J494" s="25">
        <f t="shared" si="72"/>
        <v>0</v>
      </c>
      <c r="K494" s="32">
        <v>230.5</v>
      </c>
      <c r="L494" s="31"/>
      <c r="M494" s="25">
        <f t="shared" si="73"/>
        <v>0</v>
      </c>
      <c r="N494" s="32">
        <v>230.5</v>
      </c>
      <c r="O494" s="32"/>
      <c r="P494" s="25">
        <f t="shared" si="74"/>
        <v>0</v>
      </c>
      <c r="Q494" s="32">
        <v>230.5</v>
      </c>
      <c r="R494" s="32"/>
      <c r="S494" s="25">
        <f t="shared" si="75"/>
        <v>0</v>
      </c>
      <c r="T494" s="32">
        <v>230.5</v>
      </c>
      <c r="U494" s="32"/>
      <c r="V494" s="25">
        <f t="shared" si="79"/>
        <v>0</v>
      </c>
      <c r="W494" s="32">
        <v>230.5</v>
      </c>
      <c r="X494" s="32">
        <f t="shared" si="76"/>
        <v>0</v>
      </c>
      <c r="Y494" s="25">
        <f t="shared" si="77"/>
        <v>0</v>
      </c>
      <c r="AD494" s="26"/>
    </row>
    <row r="495" spans="1:30" x14ac:dyDescent="0.2">
      <c r="A495" s="24">
        <f t="shared" si="78"/>
        <v>15.198684153570664</v>
      </c>
      <c r="B495" s="32">
        <v>231</v>
      </c>
      <c r="C495" s="32"/>
      <c r="D495" s="25">
        <f t="shared" si="70"/>
        <v>0</v>
      </c>
      <c r="E495" s="32">
        <v>231</v>
      </c>
      <c r="F495" s="8"/>
      <c r="G495" s="25">
        <f t="shared" si="71"/>
        <v>0</v>
      </c>
      <c r="H495" s="32">
        <v>231</v>
      </c>
      <c r="I495" s="32"/>
      <c r="J495" s="25">
        <f t="shared" si="72"/>
        <v>0</v>
      </c>
      <c r="K495" s="32">
        <v>231</v>
      </c>
      <c r="L495" s="31"/>
      <c r="M495" s="25">
        <f t="shared" si="73"/>
        <v>0</v>
      </c>
      <c r="N495" s="32">
        <v>231</v>
      </c>
      <c r="O495" s="32"/>
      <c r="P495" s="25">
        <f t="shared" si="74"/>
        <v>0</v>
      </c>
      <c r="Q495" s="32">
        <v>231</v>
      </c>
      <c r="R495" s="32"/>
      <c r="S495" s="25">
        <f t="shared" si="75"/>
        <v>0</v>
      </c>
      <c r="T495" s="32">
        <v>231</v>
      </c>
      <c r="U495" s="32"/>
      <c r="V495" s="25">
        <f t="shared" si="79"/>
        <v>0</v>
      </c>
      <c r="W495" s="32">
        <v>231</v>
      </c>
      <c r="X495" s="32">
        <f t="shared" si="76"/>
        <v>0</v>
      </c>
      <c r="Y495" s="25">
        <f t="shared" si="77"/>
        <v>0</v>
      </c>
      <c r="AD495" s="26"/>
    </row>
    <row r="496" spans="1:30" x14ac:dyDescent="0.2">
      <c r="A496" s="24">
        <f t="shared" si="78"/>
        <v>15.215124054702938</v>
      </c>
      <c r="B496" s="32">
        <v>231.5</v>
      </c>
      <c r="C496" s="32"/>
      <c r="D496" s="25">
        <f t="shared" si="70"/>
        <v>0</v>
      </c>
      <c r="E496" s="32">
        <v>231.5</v>
      </c>
      <c r="F496" s="8"/>
      <c r="G496" s="25">
        <f t="shared" si="71"/>
        <v>0</v>
      </c>
      <c r="H496" s="32">
        <v>231.5</v>
      </c>
      <c r="I496" s="32"/>
      <c r="J496" s="25">
        <f t="shared" si="72"/>
        <v>0</v>
      </c>
      <c r="K496" s="32">
        <v>231.5</v>
      </c>
      <c r="L496" s="31"/>
      <c r="M496" s="25">
        <f t="shared" si="73"/>
        <v>0</v>
      </c>
      <c r="N496" s="32">
        <v>231.5</v>
      </c>
      <c r="O496" s="32"/>
      <c r="P496" s="25">
        <f t="shared" si="74"/>
        <v>0</v>
      </c>
      <c r="Q496" s="32">
        <v>231.5</v>
      </c>
      <c r="R496" s="32"/>
      <c r="S496" s="25">
        <f t="shared" si="75"/>
        <v>0</v>
      </c>
      <c r="T496" s="32">
        <v>231.5</v>
      </c>
      <c r="U496" s="32"/>
      <c r="V496" s="25">
        <f t="shared" si="79"/>
        <v>0</v>
      </c>
      <c r="W496" s="32">
        <v>231.5</v>
      </c>
      <c r="X496" s="32">
        <f t="shared" si="76"/>
        <v>0</v>
      </c>
      <c r="Y496" s="25">
        <f t="shared" si="77"/>
        <v>0</v>
      </c>
      <c r="AD496" s="26"/>
    </row>
    <row r="497" spans="1:30" x14ac:dyDescent="0.2">
      <c r="A497" s="24">
        <f t="shared" si="78"/>
        <v>15.231546211727817</v>
      </c>
      <c r="B497" s="32">
        <v>232</v>
      </c>
      <c r="C497" s="32"/>
      <c r="D497" s="25">
        <f t="shared" si="70"/>
        <v>0</v>
      </c>
      <c r="E497" s="32">
        <v>232</v>
      </c>
      <c r="F497" s="8"/>
      <c r="G497" s="25">
        <f t="shared" si="71"/>
        <v>0</v>
      </c>
      <c r="H497" s="32">
        <v>232</v>
      </c>
      <c r="I497" s="32"/>
      <c r="J497" s="25">
        <f t="shared" si="72"/>
        <v>0</v>
      </c>
      <c r="K497" s="32">
        <v>232</v>
      </c>
      <c r="L497" s="31"/>
      <c r="M497" s="25">
        <f t="shared" si="73"/>
        <v>0</v>
      </c>
      <c r="N497" s="32">
        <v>232</v>
      </c>
      <c r="O497" s="32"/>
      <c r="P497" s="25">
        <f t="shared" si="74"/>
        <v>0</v>
      </c>
      <c r="Q497" s="32">
        <v>232</v>
      </c>
      <c r="R497" s="32"/>
      <c r="S497" s="25">
        <f t="shared" si="75"/>
        <v>0</v>
      </c>
      <c r="T497" s="32">
        <v>232</v>
      </c>
      <c r="U497" s="32"/>
      <c r="V497" s="25">
        <f t="shared" si="79"/>
        <v>0</v>
      </c>
      <c r="W497" s="32">
        <v>232</v>
      </c>
      <c r="X497" s="32">
        <f t="shared" si="76"/>
        <v>0</v>
      </c>
      <c r="Y497" s="25">
        <f t="shared" si="77"/>
        <v>0</v>
      </c>
      <c r="AD497" s="26"/>
    </row>
    <row r="498" spans="1:30" x14ac:dyDescent="0.2">
      <c r="A498" s="24">
        <f t="shared" si="78"/>
        <v>15.247950681976906</v>
      </c>
      <c r="B498" s="32">
        <v>232.5</v>
      </c>
      <c r="C498" s="32"/>
      <c r="D498" s="25">
        <f t="shared" si="70"/>
        <v>0</v>
      </c>
      <c r="E498" s="32">
        <v>232.5</v>
      </c>
      <c r="F498" s="8"/>
      <c r="G498" s="25">
        <f t="shared" si="71"/>
        <v>0</v>
      </c>
      <c r="H498" s="32">
        <v>232.5</v>
      </c>
      <c r="I498" s="32"/>
      <c r="J498" s="25">
        <f t="shared" si="72"/>
        <v>0</v>
      </c>
      <c r="K498" s="32">
        <v>232.5</v>
      </c>
      <c r="L498" s="31"/>
      <c r="M498" s="25">
        <f t="shared" si="73"/>
        <v>0</v>
      </c>
      <c r="N498" s="32">
        <v>232.5</v>
      </c>
      <c r="O498" s="32"/>
      <c r="P498" s="25">
        <f t="shared" si="74"/>
        <v>0</v>
      </c>
      <c r="Q498" s="32">
        <v>232.5</v>
      </c>
      <c r="R498" s="32"/>
      <c r="S498" s="25">
        <f t="shared" si="75"/>
        <v>0</v>
      </c>
      <c r="T498" s="32">
        <v>232.5</v>
      </c>
      <c r="U498" s="32"/>
      <c r="V498" s="25">
        <f t="shared" si="79"/>
        <v>0</v>
      </c>
      <c r="W498" s="32">
        <v>232.5</v>
      </c>
      <c r="X498" s="32">
        <f t="shared" si="76"/>
        <v>0</v>
      </c>
      <c r="Y498" s="25">
        <f t="shared" si="77"/>
        <v>0</v>
      </c>
      <c r="AD498" s="26"/>
    </row>
    <row r="499" spans="1:30" x14ac:dyDescent="0.2">
      <c r="A499" s="24">
        <f t="shared" si="78"/>
        <v>15.264337522473747</v>
      </c>
      <c r="B499" s="32">
        <v>233</v>
      </c>
      <c r="C499" s="32"/>
      <c r="D499" s="25">
        <f t="shared" si="70"/>
        <v>0</v>
      </c>
      <c r="E499" s="32">
        <v>233</v>
      </c>
      <c r="F499" s="8"/>
      <c r="G499" s="25">
        <f t="shared" si="71"/>
        <v>0</v>
      </c>
      <c r="H499" s="32">
        <v>233</v>
      </c>
      <c r="I499" s="32"/>
      <c r="J499" s="25">
        <f t="shared" si="72"/>
        <v>0</v>
      </c>
      <c r="K499" s="32">
        <v>233</v>
      </c>
      <c r="L499" s="31"/>
      <c r="M499" s="25">
        <f t="shared" si="73"/>
        <v>0</v>
      </c>
      <c r="N499" s="32">
        <v>233</v>
      </c>
      <c r="O499" s="32"/>
      <c r="P499" s="25">
        <f t="shared" si="74"/>
        <v>0</v>
      </c>
      <c r="Q499" s="32">
        <v>233</v>
      </c>
      <c r="R499" s="32"/>
      <c r="S499" s="25">
        <f t="shared" si="75"/>
        <v>0</v>
      </c>
      <c r="T499" s="32">
        <v>233</v>
      </c>
      <c r="U499" s="32"/>
      <c r="V499" s="25">
        <f t="shared" si="79"/>
        <v>0</v>
      </c>
      <c r="W499" s="32">
        <v>233</v>
      </c>
      <c r="X499" s="32">
        <f t="shared" si="76"/>
        <v>0</v>
      </c>
      <c r="Y499" s="25">
        <f t="shared" si="77"/>
        <v>0</v>
      </c>
      <c r="AD499" s="26"/>
    </row>
    <row r="500" spans="1:30" x14ac:dyDescent="0.2">
      <c r="A500" s="24">
        <f t="shared" si="78"/>
        <v>15.280706789936126</v>
      </c>
      <c r="B500" s="32">
        <v>233.5</v>
      </c>
      <c r="C500" s="32"/>
      <c r="D500" s="25">
        <f t="shared" si="70"/>
        <v>0</v>
      </c>
      <c r="E500" s="32">
        <v>233.5</v>
      </c>
      <c r="F500" s="8"/>
      <c r="G500" s="25">
        <f t="shared" si="71"/>
        <v>0</v>
      </c>
      <c r="H500" s="32">
        <v>233.5</v>
      </c>
      <c r="I500" s="32"/>
      <c r="J500" s="25">
        <f t="shared" si="72"/>
        <v>0</v>
      </c>
      <c r="K500" s="32">
        <v>233.5</v>
      </c>
      <c r="L500" s="31"/>
      <c r="M500" s="25">
        <f t="shared" si="73"/>
        <v>0</v>
      </c>
      <c r="N500" s="32">
        <v>233.5</v>
      </c>
      <c r="O500" s="32"/>
      <c r="P500" s="25">
        <f t="shared" si="74"/>
        <v>0</v>
      </c>
      <c r="Q500" s="32">
        <v>233.5</v>
      </c>
      <c r="R500" s="32"/>
      <c r="S500" s="25">
        <f t="shared" si="75"/>
        <v>0</v>
      </c>
      <c r="T500" s="32">
        <v>233.5</v>
      </c>
      <c r="U500" s="32"/>
      <c r="V500" s="25">
        <f t="shared" si="79"/>
        <v>0</v>
      </c>
      <c r="W500" s="32">
        <v>233.5</v>
      </c>
      <c r="X500" s="32">
        <f t="shared" si="76"/>
        <v>0</v>
      </c>
      <c r="Y500" s="25">
        <f t="shared" si="77"/>
        <v>0</v>
      </c>
      <c r="AD500" s="26"/>
    </row>
    <row r="501" spans="1:30" x14ac:dyDescent="0.2">
      <c r="A501" s="24">
        <f t="shared" si="78"/>
        <v>15.297058540778355</v>
      </c>
      <c r="B501" s="32">
        <v>234</v>
      </c>
      <c r="C501" s="32"/>
      <c r="D501" s="25">
        <f t="shared" si="70"/>
        <v>0</v>
      </c>
      <c r="E501" s="32">
        <v>234</v>
      </c>
      <c r="F501" s="8"/>
      <c r="G501" s="25">
        <f t="shared" si="71"/>
        <v>0</v>
      </c>
      <c r="H501" s="32">
        <v>234</v>
      </c>
      <c r="I501" s="32"/>
      <c r="J501" s="25">
        <f t="shared" si="72"/>
        <v>0</v>
      </c>
      <c r="K501" s="32">
        <v>234</v>
      </c>
      <c r="L501" s="31"/>
      <c r="M501" s="25">
        <f t="shared" si="73"/>
        <v>0</v>
      </c>
      <c r="N501" s="32">
        <v>234</v>
      </c>
      <c r="O501" s="32"/>
      <c r="P501" s="25">
        <f t="shared" si="74"/>
        <v>0</v>
      </c>
      <c r="Q501" s="32">
        <v>234</v>
      </c>
      <c r="R501" s="32"/>
      <c r="S501" s="25">
        <f t="shared" si="75"/>
        <v>0</v>
      </c>
      <c r="T501" s="32">
        <v>234</v>
      </c>
      <c r="U501" s="32"/>
      <c r="V501" s="25">
        <f t="shared" si="79"/>
        <v>0</v>
      </c>
      <c r="W501" s="32">
        <v>234</v>
      </c>
      <c r="X501" s="32">
        <f t="shared" si="76"/>
        <v>0</v>
      </c>
      <c r="Y501" s="25">
        <f t="shared" si="77"/>
        <v>0</v>
      </c>
      <c r="AD501" s="26"/>
    </row>
    <row r="502" spans="1:30" x14ac:dyDescent="0.2">
      <c r="A502" s="24">
        <f t="shared" si="78"/>
        <v>15.313392831113555</v>
      </c>
      <c r="B502" s="32">
        <v>234.5</v>
      </c>
      <c r="C502" s="32"/>
      <c r="D502" s="25">
        <f t="shared" si="70"/>
        <v>0</v>
      </c>
      <c r="E502" s="32">
        <v>234.5</v>
      </c>
      <c r="F502" s="8"/>
      <c r="G502" s="25">
        <f t="shared" si="71"/>
        <v>0</v>
      </c>
      <c r="H502" s="32">
        <v>234.5</v>
      </c>
      <c r="I502" s="32"/>
      <c r="J502" s="25">
        <f t="shared" si="72"/>
        <v>0</v>
      </c>
      <c r="K502" s="32">
        <v>234.5</v>
      </c>
      <c r="L502" s="31"/>
      <c r="M502" s="25">
        <f t="shared" si="73"/>
        <v>0</v>
      </c>
      <c r="N502" s="32">
        <v>234.5</v>
      </c>
      <c r="O502" s="32"/>
      <c r="P502" s="25">
        <f t="shared" si="74"/>
        <v>0</v>
      </c>
      <c r="Q502" s="32">
        <v>234.5</v>
      </c>
      <c r="R502" s="32"/>
      <c r="S502" s="25">
        <f t="shared" si="75"/>
        <v>0</v>
      </c>
      <c r="T502" s="32">
        <v>234.5</v>
      </c>
      <c r="U502" s="32"/>
      <c r="V502" s="25">
        <f t="shared" si="79"/>
        <v>0</v>
      </c>
      <c r="W502" s="32">
        <v>234.5</v>
      </c>
      <c r="X502" s="32">
        <f t="shared" si="76"/>
        <v>0</v>
      </c>
      <c r="Y502" s="25">
        <f t="shared" si="77"/>
        <v>0</v>
      </c>
      <c r="AD502" s="26"/>
    </row>
    <row r="503" spans="1:30" x14ac:dyDescent="0.2">
      <c r="A503" s="24">
        <f t="shared" si="78"/>
        <v>15.329709716755891</v>
      </c>
      <c r="B503" s="32">
        <v>235</v>
      </c>
      <c r="C503" s="32"/>
      <c r="D503" s="25">
        <f t="shared" si="70"/>
        <v>0</v>
      </c>
      <c r="E503" s="32">
        <v>235</v>
      </c>
      <c r="F503" s="8"/>
      <c r="G503" s="25">
        <f t="shared" si="71"/>
        <v>0</v>
      </c>
      <c r="H503" s="32">
        <v>235</v>
      </c>
      <c r="I503" s="32"/>
      <c r="J503" s="25">
        <f t="shared" si="72"/>
        <v>0</v>
      </c>
      <c r="K503" s="32">
        <v>235</v>
      </c>
      <c r="L503" s="31"/>
      <c r="M503" s="25">
        <f t="shared" si="73"/>
        <v>0</v>
      </c>
      <c r="N503" s="32">
        <v>235</v>
      </c>
      <c r="O503" s="32"/>
      <c r="P503" s="25">
        <f t="shared" si="74"/>
        <v>0</v>
      </c>
      <c r="Q503" s="32">
        <v>235</v>
      </c>
      <c r="R503" s="32"/>
      <c r="S503" s="25">
        <f t="shared" si="75"/>
        <v>0</v>
      </c>
      <c r="T503" s="32">
        <v>235</v>
      </c>
      <c r="U503" s="32"/>
      <c r="V503" s="25">
        <f t="shared" si="79"/>
        <v>0</v>
      </c>
      <c r="W503" s="32">
        <v>235</v>
      </c>
      <c r="X503" s="32">
        <f t="shared" si="76"/>
        <v>0</v>
      </c>
      <c r="Y503" s="25">
        <f t="shared" si="77"/>
        <v>0</v>
      </c>
      <c r="AD503" s="26"/>
    </row>
    <row r="504" spans="1:30" x14ac:dyDescent="0.2">
      <c r="A504" s="24">
        <f t="shared" si="78"/>
        <v>15.346009253222807</v>
      </c>
      <c r="B504" s="32">
        <v>235.5</v>
      </c>
      <c r="C504" s="32"/>
      <c r="D504" s="25">
        <f t="shared" si="70"/>
        <v>0</v>
      </c>
      <c r="E504" s="32">
        <v>235.5</v>
      </c>
      <c r="F504" s="8"/>
      <c r="G504" s="25">
        <f t="shared" si="71"/>
        <v>0</v>
      </c>
      <c r="H504" s="32">
        <v>235.5</v>
      </c>
      <c r="I504" s="32"/>
      <c r="J504" s="25">
        <f t="shared" si="72"/>
        <v>0</v>
      </c>
      <c r="K504" s="32">
        <v>235.5</v>
      </c>
      <c r="L504" s="31"/>
      <c r="M504" s="25">
        <f t="shared" si="73"/>
        <v>0</v>
      </c>
      <c r="N504" s="32">
        <v>235.5</v>
      </c>
      <c r="O504" s="32"/>
      <c r="P504" s="25">
        <f t="shared" si="74"/>
        <v>0</v>
      </c>
      <c r="Q504" s="32">
        <v>235.5</v>
      </c>
      <c r="R504" s="32"/>
      <c r="S504" s="25">
        <f t="shared" si="75"/>
        <v>0</v>
      </c>
      <c r="T504" s="32">
        <v>235.5</v>
      </c>
      <c r="U504" s="32"/>
      <c r="V504" s="25">
        <f t="shared" si="79"/>
        <v>0</v>
      </c>
      <c r="W504" s="32">
        <v>235.5</v>
      </c>
      <c r="X504" s="32">
        <f t="shared" si="76"/>
        <v>0</v>
      </c>
      <c r="Y504" s="25">
        <f t="shared" si="77"/>
        <v>0</v>
      </c>
      <c r="AD504" s="26"/>
    </row>
    <row r="505" spans="1:30" x14ac:dyDescent="0.2">
      <c r="A505" s="24">
        <f t="shared" si="78"/>
        <v>15.362291495737216</v>
      </c>
      <c r="B505" s="32">
        <v>236</v>
      </c>
      <c r="C505" s="32"/>
      <c r="D505" s="25">
        <f t="shared" si="70"/>
        <v>0</v>
      </c>
      <c r="E505" s="32">
        <v>236</v>
      </c>
      <c r="F505" s="8"/>
      <c r="G505" s="25">
        <f t="shared" si="71"/>
        <v>0</v>
      </c>
      <c r="H505" s="32">
        <v>236</v>
      </c>
      <c r="I505" s="32"/>
      <c r="J505" s="25">
        <f t="shared" si="72"/>
        <v>0</v>
      </c>
      <c r="K505" s="32">
        <v>236</v>
      </c>
      <c r="L505" s="31"/>
      <c r="M505" s="25">
        <f t="shared" si="73"/>
        <v>0</v>
      </c>
      <c r="N505" s="32">
        <v>236</v>
      </c>
      <c r="O505" s="32"/>
      <c r="P505" s="25">
        <f t="shared" si="74"/>
        <v>0</v>
      </c>
      <c r="Q505" s="32">
        <v>236</v>
      </c>
      <c r="R505" s="32"/>
      <c r="S505" s="25">
        <f t="shared" si="75"/>
        <v>0</v>
      </c>
      <c r="T505" s="32">
        <v>236</v>
      </c>
      <c r="U505" s="32"/>
      <c r="V505" s="25">
        <f t="shared" si="79"/>
        <v>0</v>
      </c>
      <c r="W505" s="32">
        <v>236</v>
      </c>
      <c r="X505" s="32">
        <f t="shared" si="76"/>
        <v>0</v>
      </c>
      <c r="Y505" s="25">
        <f t="shared" si="77"/>
        <v>0</v>
      </c>
      <c r="AD505" s="26"/>
    </row>
    <row r="506" spans="1:30" x14ac:dyDescent="0.2">
      <c r="A506" s="24">
        <f t="shared" si="78"/>
        <v>15.378556499229699</v>
      </c>
      <c r="B506" s="32">
        <v>236.5</v>
      </c>
      <c r="C506" s="32"/>
      <c r="D506" s="25">
        <f t="shared" si="70"/>
        <v>0</v>
      </c>
      <c r="E506" s="32">
        <v>236.5</v>
      </c>
      <c r="F506" s="8"/>
      <c r="G506" s="25">
        <f t="shared" si="71"/>
        <v>0</v>
      </c>
      <c r="H506" s="32">
        <v>236.5</v>
      </c>
      <c r="I506" s="32"/>
      <c r="J506" s="25">
        <f t="shared" si="72"/>
        <v>0</v>
      </c>
      <c r="K506" s="32">
        <v>236.5</v>
      </c>
      <c r="L506" s="31"/>
      <c r="M506" s="25">
        <f t="shared" si="73"/>
        <v>0</v>
      </c>
      <c r="N506" s="32">
        <v>236.5</v>
      </c>
      <c r="O506" s="32"/>
      <c r="P506" s="25">
        <f t="shared" si="74"/>
        <v>0</v>
      </c>
      <c r="Q506" s="32">
        <v>236.5</v>
      </c>
      <c r="R506" s="32"/>
      <c r="S506" s="25">
        <f t="shared" si="75"/>
        <v>0</v>
      </c>
      <c r="T506" s="32">
        <v>236.5</v>
      </c>
      <c r="U506" s="32"/>
      <c r="V506" s="25">
        <f t="shared" si="79"/>
        <v>0</v>
      </c>
      <c r="W506" s="32">
        <v>236.5</v>
      </c>
      <c r="X506" s="32">
        <f t="shared" si="76"/>
        <v>0</v>
      </c>
      <c r="Y506" s="25">
        <f t="shared" si="77"/>
        <v>0</v>
      </c>
      <c r="AD506" s="26"/>
    </row>
    <row r="507" spans="1:30" x14ac:dyDescent="0.2">
      <c r="A507" s="24">
        <f t="shared" si="78"/>
        <v>15.394804318340652</v>
      </c>
      <c r="B507" s="32">
        <v>237</v>
      </c>
      <c r="C507" s="32"/>
      <c r="D507" s="25">
        <f t="shared" si="70"/>
        <v>0</v>
      </c>
      <c r="E507" s="32">
        <v>237</v>
      </c>
      <c r="F507" s="8"/>
      <c r="G507" s="25">
        <f t="shared" si="71"/>
        <v>0</v>
      </c>
      <c r="H507" s="32">
        <v>237</v>
      </c>
      <c r="I507" s="32"/>
      <c r="J507" s="25">
        <f t="shared" si="72"/>
        <v>0</v>
      </c>
      <c r="K507" s="32">
        <v>237</v>
      </c>
      <c r="L507" s="31"/>
      <c r="M507" s="25">
        <f t="shared" si="73"/>
        <v>0</v>
      </c>
      <c r="N507" s="32">
        <v>237</v>
      </c>
      <c r="O507" s="32"/>
      <c r="P507" s="25">
        <f t="shared" si="74"/>
        <v>0</v>
      </c>
      <c r="Q507" s="32">
        <v>237</v>
      </c>
      <c r="R507" s="32"/>
      <c r="S507" s="25">
        <f t="shared" si="75"/>
        <v>0</v>
      </c>
      <c r="T507" s="32">
        <v>237</v>
      </c>
      <c r="U507" s="32"/>
      <c r="V507" s="25">
        <f t="shared" si="79"/>
        <v>0</v>
      </c>
      <c r="W507" s="32">
        <v>237</v>
      </c>
      <c r="X507" s="32">
        <f t="shared" si="76"/>
        <v>0</v>
      </c>
      <c r="Y507" s="25">
        <f t="shared" si="77"/>
        <v>0</v>
      </c>
      <c r="AD507" s="26"/>
    </row>
    <row r="508" spans="1:30" x14ac:dyDescent="0.2">
      <c r="A508" s="24">
        <f t="shared" si="78"/>
        <v>15.411035007422441</v>
      </c>
      <c r="B508" s="32">
        <v>237.5</v>
      </c>
      <c r="C508" s="32"/>
      <c r="D508" s="25">
        <f t="shared" si="70"/>
        <v>0</v>
      </c>
      <c r="E508" s="32">
        <v>237.5</v>
      </c>
      <c r="F508" s="8"/>
      <c r="G508" s="25">
        <f t="shared" si="71"/>
        <v>0</v>
      </c>
      <c r="H508" s="32">
        <v>237.5</v>
      </c>
      <c r="I508" s="32"/>
      <c r="J508" s="25">
        <f t="shared" si="72"/>
        <v>0</v>
      </c>
      <c r="K508" s="32">
        <v>237.5</v>
      </c>
      <c r="L508" s="31"/>
      <c r="M508" s="25">
        <f t="shared" si="73"/>
        <v>0</v>
      </c>
      <c r="N508" s="32">
        <v>237.5</v>
      </c>
      <c r="O508" s="32"/>
      <c r="P508" s="25">
        <f t="shared" si="74"/>
        <v>0</v>
      </c>
      <c r="Q508" s="32">
        <v>237.5</v>
      </c>
      <c r="R508" s="32"/>
      <c r="S508" s="25">
        <f t="shared" si="75"/>
        <v>0</v>
      </c>
      <c r="T508" s="32">
        <v>237.5</v>
      </c>
      <c r="U508" s="32"/>
      <c r="V508" s="25">
        <f t="shared" si="79"/>
        <v>0</v>
      </c>
      <c r="W508" s="32">
        <v>237.5</v>
      </c>
      <c r="X508" s="32">
        <f t="shared" si="76"/>
        <v>0</v>
      </c>
      <c r="Y508" s="25">
        <f t="shared" si="77"/>
        <v>0</v>
      </c>
      <c r="AD508" s="26"/>
    </row>
    <row r="509" spans="1:30" x14ac:dyDescent="0.2">
      <c r="A509" s="24">
        <f t="shared" si="78"/>
        <v>15.427248620541512</v>
      </c>
      <c r="B509" s="32">
        <v>238</v>
      </c>
      <c r="C509" s="32"/>
      <c r="D509" s="25">
        <f t="shared" si="70"/>
        <v>0</v>
      </c>
      <c r="E509" s="32">
        <v>238</v>
      </c>
      <c r="F509" s="8"/>
      <c r="G509" s="25">
        <f t="shared" si="71"/>
        <v>0</v>
      </c>
      <c r="H509" s="32">
        <v>238</v>
      </c>
      <c r="I509" s="32"/>
      <c r="J509" s="25">
        <f t="shared" si="72"/>
        <v>0</v>
      </c>
      <c r="K509" s="32">
        <v>238</v>
      </c>
      <c r="L509" s="31"/>
      <c r="M509" s="25">
        <f t="shared" si="73"/>
        <v>0</v>
      </c>
      <c r="N509" s="32">
        <v>238</v>
      </c>
      <c r="O509" s="32"/>
      <c r="P509" s="25">
        <f t="shared" si="74"/>
        <v>0</v>
      </c>
      <c r="Q509" s="32">
        <v>238</v>
      </c>
      <c r="R509" s="32"/>
      <c r="S509" s="25">
        <f t="shared" si="75"/>
        <v>0</v>
      </c>
      <c r="T509" s="32">
        <v>238</v>
      </c>
      <c r="U509" s="32"/>
      <c r="V509" s="25">
        <f t="shared" si="79"/>
        <v>0</v>
      </c>
      <c r="W509" s="32">
        <v>238</v>
      </c>
      <c r="X509" s="32">
        <f t="shared" si="76"/>
        <v>0</v>
      </c>
      <c r="Y509" s="25">
        <f t="shared" si="77"/>
        <v>0</v>
      </c>
      <c r="AD509" s="26"/>
    </row>
    <row r="510" spans="1:30" x14ac:dyDescent="0.2">
      <c r="A510" s="24">
        <f t="shared" si="78"/>
        <v>15.443445211480501</v>
      </c>
      <c r="B510" s="32">
        <v>238.5</v>
      </c>
      <c r="C510" s="32"/>
      <c r="D510" s="25">
        <f t="shared" si="70"/>
        <v>0</v>
      </c>
      <c r="E510" s="32">
        <v>238.5</v>
      </c>
      <c r="F510" s="8"/>
      <c r="G510" s="25">
        <f t="shared" si="71"/>
        <v>0</v>
      </c>
      <c r="H510" s="32">
        <v>238.5</v>
      </c>
      <c r="I510" s="32"/>
      <c r="J510" s="25">
        <f t="shared" si="72"/>
        <v>0</v>
      </c>
      <c r="K510" s="32">
        <v>238.5</v>
      </c>
      <c r="L510" s="31"/>
      <c r="M510" s="25">
        <f t="shared" si="73"/>
        <v>0</v>
      </c>
      <c r="N510" s="32">
        <v>238.5</v>
      </c>
      <c r="O510" s="32"/>
      <c r="P510" s="25">
        <f t="shared" si="74"/>
        <v>0</v>
      </c>
      <c r="Q510" s="32">
        <v>238.5</v>
      </c>
      <c r="R510" s="32"/>
      <c r="S510" s="25">
        <f t="shared" si="75"/>
        <v>0</v>
      </c>
      <c r="T510" s="32">
        <v>238.5</v>
      </c>
      <c r="U510" s="32"/>
      <c r="V510" s="25">
        <f t="shared" si="79"/>
        <v>0</v>
      </c>
      <c r="W510" s="32">
        <v>238.5</v>
      </c>
      <c r="X510" s="32">
        <f t="shared" si="76"/>
        <v>0</v>
      </c>
      <c r="Y510" s="25">
        <f t="shared" si="77"/>
        <v>0</v>
      </c>
      <c r="AD510" s="26"/>
    </row>
    <row r="511" spans="1:30" x14ac:dyDescent="0.2">
      <c r="A511" s="24">
        <f t="shared" si="78"/>
        <v>15.459624833740307</v>
      </c>
      <c r="B511" s="32">
        <v>239</v>
      </c>
      <c r="C511" s="32"/>
      <c r="D511" s="25">
        <f t="shared" si="70"/>
        <v>0</v>
      </c>
      <c r="E511" s="32">
        <v>239</v>
      </c>
      <c r="F511" s="8"/>
      <c r="G511" s="25">
        <f t="shared" si="71"/>
        <v>0</v>
      </c>
      <c r="H511" s="32">
        <v>239</v>
      </c>
      <c r="I511" s="32"/>
      <c r="J511" s="25">
        <f t="shared" si="72"/>
        <v>0</v>
      </c>
      <c r="K511" s="32">
        <v>239</v>
      </c>
      <c r="L511" s="31"/>
      <c r="M511" s="25">
        <f t="shared" si="73"/>
        <v>0</v>
      </c>
      <c r="N511" s="32">
        <v>239</v>
      </c>
      <c r="O511" s="32"/>
      <c r="P511" s="25">
        <f t="shared" si="74"/>
        <v>0</v>
      </c>
      <c r="Q511" s="32">
        <v>239</v>
      </c>
      <c r="R511" s="32"/>
      <c r="S511" s="25">
        <f t="shared" si="75"/>
        <v>0</v>
      </c>
      <c r="T511" s="32">
        <v>239</v>
      </c>
      <c r="U511" s="32"/>
      <c r="V511" s="25">
        <f t="shared" si="79"/>
        <v>0</v>
      </c>
      <c r="W511" s="32">
        <v>239</v>
      </c>
      <c r="X511" s="32">
        <f t="shared" si="76"/>
        <v>0</v>
      </c>
      <c r="Y511" s="25">
        <f t="shared" si="77"/>
        <v>0</v>
      </c>
      <c r="AD511" s="26"/>
    </row>
    <row r="512" spans="1:30" x14ac:dyDescent="0.2">
      <c r="A512" s="24">
        <f t="shared" si="78"/>
        <v>15.475787540542161</v>
      </c>
      <c r="B512" s="32">
        <v>239.5</v>
      </c>
      <c r="C512" s="32"/>
      <c r="D512" s="25">
        <f t="shared" si="70"/>
        <v>0</v>
      </c>
      <c r="E512" s="32">
        <v>239.5</v>
      </c>
      <c r="F512" s="8"/>
      <c r="G512" s="25">
        <f t="shared" si="71"/>
        <v>0</v>
      </c>
      <c r="H512" s="32">
        <v>239.5</v>
      </c>
      <c r="I512" s="32"/>
      <c r="J512" s="25">
        <f t="shared" si="72"/>
        <v>0</v>
      </c>
      <c r="K512" s="32">
        <v>239.5</v>
      </c>
      <c r="L512" s="31"/>
      <c r="M512" s="25">
        <f t="shared" si="73"/>
        <v>0</v>
      </c>
      <c r="N512" s="32">
        <v>239.5</v>
      </c>
      <c r="O512" s="32"/>
      <c r="P512" s="25">
        <f t="shared" si="74"/>
        <v>0</v>
      </c>
      <c r="Q512" s="32">
        <v>239.5</v>
      </c>
      <c r="R512" s="32"/>
      <c r="S512" s="25">
        <f t="shared" si="75"/>
        <v>0</v>
      </c>
      <c r="T512" s="32">
        <v>239.5</v>
      </c>
      <c r="U512" s="32"/>
      <c r="V512" s="25">
        <f t="shared" si="79"/>
        <v>0</v>
      </c>
      <c r="W512" s="32">
        <v>239.5</v>
      </c>
      <c r="X512" s="32">
        <f t="shared" si="76"/>
        <v>0</v>
      </c>
      <c r="Y512" s="25">
        <f t="shared" si="77"/>
        <v>0</v>
      </c>
      <c r="AD512" s="26"/>
    </row>
    <row r="513" spans="1:30" x14ac:dyDescent="0.2">
      <c r="A513" s="24">
        <f t="shared" si="78"/>
        <v>15.491933384829668</v>
      </c>
      <c r="B513" s="32">
        <v>240</v>
      </c>
      <c r="C513" s="32"/>
      <c r="D513" s="25">
        <f t="shared" si="70"/>
        <v>0</v>
      </c>
      <c r="E513" s="32">
        <v>240</v>
      </c>
      <c r="F513" s="8"/>
      <c r="G513" s="25">
        <f t="shared" si="71"/>
        <v>0</v>
      </c>
      <c r="H513" s="32">
        <v>240</v>
      </c>
      <c r="I513" s="32"/>
      <c r="J513" s="25">
        <f t="shared" si="72"/>
        <v>0</v>
      </c>
      <c r="K513" s="32">
        <v>240</v>
      </c>
      <c r="L513" s="31"/>
      <c r="M513" s="25">
        <f t="shared" si="73"/>
        <v>0</v>
      </c>
      <c r="N513" s="32">
        <v>240</v>
      </c>
      <c r="O513" s="32"/>
      <c r="P513" s="25">
        <f t="shared" si="74"/>
        <v>0</v>
      </c>
      <c r="Q513" s="32">
        <v>240</v>
      </c>
      <c r="R513" s="32"/>
      <c r="S513" s="25">
        <f t="shared" si="75"/>
        <v>0</v>
      </c>
      <c r="T513" s="32">
        <v>240</v>
      </c>
      <c r="U513" s="32"/>
      <c r="V513" s="25">
        <f t="shared" si="79"/>
        <v>0</v>
      </c>
      <c r="W513" s="32">
        <v>240</v>
      </c>
      <c r="X513" s="32">
        <f t="shared" si="76"/>
        <v>0</v>
      </c>
      <c r="Y513" s="25">
        <f t="shared" si="77"/>
        <v>0</v>
      </c>
      <c r="AD513" s="26"/>
    </row>
    <row r="514" spans="1:30" x14ac:dyDescent="0.2">
      <c r="A514" s="24">
        <f t="shared" si="78"/>
        <v>15.508062419270823</v>
      </c>
      <c r="B514" s="32">
        <v>240.5</v>
      </c>
      <c r="C514" s="32"/>
      <c r="D514" s="25">
        <f t="shared" si="70"/>
        <v>0</v>
      </c>
      <c r="E514" s="32">
        <v>240.5</v>
      </c>
      <c r="F514" s="8"/>
      <c r="G514" s="25">
        <f t="shared" si="71"/>
        <v>0</v>
      </c>
      <c r="H514" s="32">
        <v>240.5</v>
      </c>
      <c r="I514" s="32"/>
      <c r="J514" s="25">
        <f t="shared" si="72"/>
        <v>0</v>
      </c>
      <c r="K514" s="32">
        <v>240.5</v>
      </c>
      <c r="L514" s="31"/>
      <c r="M514" s="25">
        <f t="shared" si="73"/>
        <v>0</v>
      </c>
      <c r="N514" s="32">
        <v>240.5</v>
      </c>
      <c r="O514" s="32"/>
      <c r="P514" s="25">
        <f t="shared" si="74"/>
        <v>0</v>
      </c>
      <c r="Q514" s="32">
        <v>240.5</v>
      </c>
      <c r="R514" s="32"/>
      <c r="S514" s="25">
        <f t="shared" si="75"/>
        <v>0</v>
      </c>
      <c r="T514" s="32">
        <v>240.5</v>
      </c>
      <c r="U514" s="32"/>
      <c r="V514" s="25">
        <f t="shared" si="79"/>
        <v>0</v>
      </c>
      <c r="W514" s="32">
        <v>240.5</v>
      </c>
      <c r="X514" s="32">
        <f t="shared" si="76"/>
        <v>0</v>
      </c>
      <c r="Y514" s="25">
        <f t="shared" si="77"/>
        <v>0</v>
      </c>
      <c r="AD514" s="26"/>
    </row>
    <row r="515" spans="1:30" x14ac:dyDescent="0.2">
      <c r="A515" s="24">
        <f t="shared" si="78"/>
        <v>15.524174696260024</v>
      </c>
      <c r="B515" s="32">
        <v>241</v>
      </c>
      <c r="C515" s="32"/>
      <c r="D515" s="25">
        <f t="shared" si="70"/>
        <v>0</v>
      </c>
      <c r="E515" s="32">
        <v>241</v>
      </c>
      <c r="F515" s="8"/>
      <c r="G515" s="25">
        <f t="shared" si="71"/>
        <v>0</v>
      </c>
      <c r="H515" s="32">
        <v>241</v>
      </c>
      <c r="I515" s="32"/>
      <c r="J515" s="25">
        <f t="shared" si="72"/>
        <v>0</v>
      </c>
      <c r="K515" s="32">
        <v>241</v>
      </c>
      <c r="L515" s="31"/>
      <c r="M515" s="25">
        <f t="shared" si="73"/>
        <v>0</v>
      </c>
      <c r="N515" s="32">
        <v>241</v>
      </c>
      <c r="O515" s="32"/>
      <c r="P515" s="25">
        <f t="shared" si="74"/>
        <v>0</v>
      </c>
      <c r="Q515" s="32">
        <v>241</v>
      </c>
      <c r="R515" s="32"/>
      <c r="S515" s="25">
        <f t="shared" si="75"/>
        <v>0</v>
      </c>
      <c r="T515" s="32">
        <v>241</v>
      </c>
      <c r="U515" s="32"/>
      <c r="V515" s="25">
        <f t="shared" si="79"/>
        <v>0</v>
      </c>
      <c r="W515" s="32">
        <v>241</v>
      </c>
      <c r="X515" s="32">
        <f t="shared" si="76"/>
        <v>0</v>
      </c>
      <c r="Y515" s="25">
        <f t="shared" si="77"/>
        <v>0</v>
      </c>
      <c r="AD515" s="26"/>
    </row>
    <row r="516" spans="1:30" x14ac:dyDescent="0.2">
      <c r="A516" s="24">
        <f t="shared" si="78"/>
        <v>15.540270267920054</v>
      </c>
      <c r="B516" s="32">
        <v>241.5</v>
      </c>
      <c r="C516" s="32"/>
      <c r="D516" s="25">
        <f t="shared" si="70"/>
        <v>0</v>
      </c>
      <c r="E516" s="32">
        <v>241.5</v>
      </c>
      <c r="F516" s="8"/>
      <c r="G516" s="25">
        <f t="shared" si="71"/>
        <v>0</v>
      </c>
      <c r="H516" s="32">
        <v>241.5</v>
      </c>
      <c r="I516" s="32"/>
      <c r="J516" s="25">
        <f t="shared" si="72"/>
        <v>0</v>
      </c>
      <c r="K516" s="32">
        <v>241.5</v>
      </c>
      <c r="L516" s="31"/>
      <c r="M516" s="25">
        <f t="shared" si="73"/>
        <v>0</v>
      </c>
      <c r="N516" s="32">
        <v>241.5</v>
      </c>
      <c r="O516" s="32"/>
      <c r="P516" s="25">
        <f t="shared" si="74"/>
        <v>0</v>
      </c>
      <c r="Q516" s="32">
        <v>241.5</v>
      </c>
      <c r="R516" s="32"/>
      <c r="S516" s="25">
        <f t="shared" si="75"/>
        <v>0</v>
      </c>
      <c r="T516" s="32">
        <v>241.5</v>
      </c>
      <c r="U516" s="32"/>
      <c r="V516" s="25">
        <f t="shared" si="79"/>
        <v>0</v>
      </c>
      <c r="W516" s="32">
        <v>241.5</v>
      </c>
      <c r="X516" s="32">
        <f t="shared" si="76"/>
        <v>0</v>
      </c>
      <c r="Y516" s="25">
        <f t="shared" si="77"/>
        <v>0</v>
      </c>
      <c r="AD516" s="26"/>
    </row>
    <row r="517" spans="1:30" x14ac:dyDescent="0.2">
      <c r="A517" s="24">
        <f t="shared" si="78"/>
        <v>15.556349186104045</v>
      </c>
      <c r="B517" s="32">
        <v>242</v>
      </c>
      <c r="C517" s="32"/>
      <c r="D517" s="25">
        <f t="shared" ref="D517:D580" si="80">C517</f>
        <v>0</v>
      </c>
      <c r="E517" s="32">
        <v>242</v>
      </c>
      <c r="F517" s="8"/>
      <c r="G517" s="25">
        <f t="shared" ref="G517:G580" si="81">F517+$AB$2</f>
        <v>0</v>
      </c>
      <c r="H517" s="32">
        <v>242</v>
      </c>
      <c r="I517" s="32"/>
      <c r="J517" s="25">
        <f t="shared" ref="J517:J580" si="82">I517+$AB$3</f>
        <v>0</v>
      </c>
      <c r="K517" s="32">
        <v>242</v>
      </c>
      <c r="L517" s="31"/>
      <c r="M517" s="25">
        <f t="shared" ref="M517:M580" si="83">L517+$AB$4</f>
        <v>0</v>
      </c>
      <c r="N517" s="32">
        <v>242</v>
      </c>
      <c r="O517" s="32"/>
      <c r="P517" s="25">
        <f t="shared" ref="P517:P580" si="84">O517+$AB$5</f>
        <v>0</v>
      </c>
      <c r="Q517" s="32">
        <v>242</v>
      </c>
      <c r="R517" s="32"/>
      <c r="S517" s="25">
        <f t="shared" ref="S517:S580" si="85">R517+$AB$6</f>
        <v>0</v>
      </c>
      <c r="T517" s="32">
        <v>242</v>
      </c>
      <c r="U517" s="32"/>
      <c r="V517" s="25">
        <f t="shared" si="79"/>
        <v>0</v>
      </c>
      <c r="W517" s="32">
        <v>242</v>
      </c>
      <c r="X517" s="32">
        <f t="shared" ref="X517:X580" si="86">U517</f>
        <v>0</v>
      </c>
      <c r="Y517" s="25">
        <f t="shared" ref="Y517:Y580" si="87">X517+$AB$8</f>
        <v>0</v>
      </c>
      <c r="AD517" s="26"/>
    </row>
    <row r="518" spans="1:30" x14ac:dyDescent="0.2">
      <c r="A518" s="24">
        <f t="shared" ref="A518:A581" si="88">SQRT(B518)</f>
        <v>15.572411502397436</v>
      </c>
      <c r="B518" s="32">
        <v>242.5</v>
      </c>
      <c r="C518" s="32"/>
      <c r="D518" s="25">
        <f t="shared" si="80"/>
        <v>0</v>
      </c>
      <c r="E518" s="32">
        <v>242.5</v>
      </c>
      <c r="F518" s="8"/>
      <c r="G518" s="25">
        <f t="shared" si="81"/>
        <v>0</v>
      </c>
      <c r="H518" s="32">
        <v>242.5</v>
      </c>
      <c r="I518" s="32"/>
      <c r="J518" s="25">
        <f t="shared" si="82"/>
        <v>0</v>
      </c>
      <c r="K518" s="32">
        <v>242.5</v>
      </c>
      <c r="L518" s="31"/>
      <c r="M518" s="25">
        <f t="shared" si="83"/>
        <v>0</v>
      </c>
      <c r="N518" s="32">
        <v>242.5</v>
      </c>
      <c r="O518" s="32"/>
      <c r="P518" s="25">
        <f t="shared" si="84"/>
        <v>0</v>
      </c>
      <c r="Q518" s="32">
        <v>242.5</v>
      </c>
      <c r="R518" s="32"/>
      <c r="S518" s="25">
        <f t="shared" si="85"/>
        <v>0</v>
      </c>
      <c r="T518" s="32">
        <v>242.5</v>
      </c>
      <c r="U518" s="32"/>
      <c r="V518" s="25">
        <f t="shared" ref="V518:V581" si="89">Y518</f>
        <v>0</v>
      </c>
      <c r="W518" s="32">
        <v>242.5</v>
      </c>
      <c r="X518" s="32">
        <f t="shared" si="86"/>
        <v>0</v>
      </c>
      <c r="Y518" s="25">
        <f t="shared" si="87"/>
        <v>0</v>
      </c>
      <c r="AD518" s="26"/>
    </row>
    <row r="519" spans="1:30" x14ac:dyDescent="0.2">
      <c r="A519" s="24">
        <f t="shared" si="88"/>
        <v>15.588457268119896</v>
      </c>
      <c r="B519" s="32">
        <v>243</v>
      </c>
      <c r="C519" s="32"/>
      <c r="D519" s="25">
        <f t="shared" si="80"/>
        <v>0</v>
      </c>
      <c r="E519" s="32">
        <v>243</v>
      </c>
      <c r="F519" s="8"/>
      <c r="G519" s="25">
        <f t="shared" si="81"/>
        <v>0</v>
      </c>
      <c r="H519" s="32">
        <v>243</v>
      </c>
      <c r="I519" s="32"/>
      <c r="J519" s="25">
        <f t="shared" si="82"/>
        <v>0</v>
      </c>
      <c r="K519" s="32">
        <v>243</v>
      </c>
      <c r="L519" s="31"/>
      <c r="M519" s="25">
        <f t="shared" si="83"/>
        <v>0</v>
      </c>
      <c r="N519" s="32">
        <v>243</v>
      </c>
      <c r="O519" s="32"/>
      <c r="P519" s="25">
        <f t="shared" si="84"/>
        <v>0</v>
      </c>
      <c r="Q519" s="32">
        <v>243</v>
      </c>
      <c r="R519" s="32"/>
      <c r="S519" s="25">
        <f t="shared" si="85"/>
        <v>0</v>
      </c>
      <c r="T519" s="32">
        <v>243</v>
      </c>
      <c r="U519" s="32"/>
      <c r="V519" s="25">
        <f t="shared" si="89"/>
        <v>0</v>
      </c>
      <c r="W519" s="32">
        <v>243</v>
      </c>
      <c r="X519" s="32">
        <f t="shared" si="86"/>
        <v>0</v>
      </c>
      <c r="Y519" s="25">
        <f t="shared" si="87"/>
        <v>0</v>
      </c>
      <c r="AD519" s="26"/>
    </row>
    <row r="520" spans="1:30" x14ac:dyDescent="0.2">
      <c r="A520" s="24">
        <f t="shared" si="88"/>
        <v>15.604486534327235</v>
      </c>
      <c r="B520" s="32">
        <v>243.5</v>
      </c>
      <c r="C520" s="32"/>
      <c r="D520" s="25">
        <f t="shared" si="80"/>
        <v>0</v>
      </c>
      <c r="E520" s="32">
        <v>243.5</v>
      </c>
      <c r="F520" s="8"/>
      <c r="G520" s="25">
        <f t="shared" si="81"/>
        <v>0</v>
      </c>
      <c r="H520" s="32">
        <v>243.5</v>
      </c>
      <c r="I520" s="32"/>
      <c r="J520" s="25">
        <f t="shared" si="82"/>
        <v>0</v>
      </c>
      <c r="K520" s="32">
        <v>243.5</v>
      </c>
      <c r="L520" s="31"/>
      <c r="M520" s="25">
        <f t="shared" si="83"/>
        <v>0</v>
      </c>
      <c r="N520" s="32">
        <v>243.5</v>
      </c>
      <c r="O520" s="32"/>
      <c r="P520" s="25">
        <f t="shared" si="84"/>
        <v>0</v>
      </c>
      <c r="Q520" s="32">
        <v>243.5</v>
      </c>
      <c r="R520" s="32"/>
      <c r="S520" s="25">
        <f t="shared" si="85"/>
        <v>0</v>
      </c>
      <c r="T520" s="32">
        <v>243.5</v>
      </c>
      <c r="U520" s="32"/>
      <c r="V520" s="25">
        <f t="shared" si="89"/>
        <v>0</v>
      </c>
      <c r="W520" s="32">
        <v>243.5</v>
      </c>
      <c r="X520" s="32">
        <f t="shared" si="86"/>
        <v>0</v>
      </c>
      <c r="Y520" s="25">
        <f t="shared" si="87"/>
        <v>0</v>
      </c>
      <c r="AD520" s="26"/>
    </row>
    <row r="521" spans="1:30" x14ac:dyDescent="0.2">
      <c r="A521" s="24">
        <f t="shared" si="88"/>
        <v>15.620499351813308</v>
      </c>
      <c r="B521" s="32">
        <v>244</v>
      </c>
      <c r="C521" s="32"/>
      <c r="D521" s="25">
        <f t="shared" si="80"/>
        <v>0</v>
      </c>
      <c r="E521" s="32">
        <v>244</v>
      </c>
      <c r="F521" s="8"/>
      <c r="G521" s="25">
        <f t="shared" si="81"/>
        <v>0</v>
      </c>
      <c r="H521" s="32">
        <v>244</v>
      </c>
      <c r="I521" s="32"/>
      <c r="J521" s="25">
        <f t="shared" si="82"/>
        <v>0</v>
      </c>
      <c r="K521" s="32">
        <v>244</v>
      </c>
      <c r="L521" s="31"/>
      <c r="M521" s="25">
        <f t="shared" si="83"/>
        <v>0</v>
      </c>
      <c r="N521" s="32">
        <v>244</v>
      </c>
      <c r="O521" s="32"/>
      <c r="P521" s="25">
        <f t="shared" si="84"/>
        <v>0</v>
      </c>
      <c r="Q521" s="32">
        <v>244</v>
      </c>
      <c r="R521" s="32"/>
      <c r="S521" s="25">
        <f t="shared" si="85"/>
        <v>0</v>
      </c>
      <c r="T521" s="32">
        <v>244</v>
      </c>
      <c r="U521" s="32"/>
      <c r="V521" s="25">
        <f t="shared" si="89"/>
        <v>0</v>
      </c>
      <c r="W521" s="32">
        <v>244</v>
      </c>
      <c r="X521" s="32">
        <f t="shared" si="86"/>
        <v>0</v>
      </c>
      <c r="Y521" s="25">
        <f t="shared" si="87"/>
        <v>0</v>
      </c>
      <c r="AD521" s="26"/>
    </row>
    <row r="522" spans="1:30" x14ac:dyDescent="0.2">
      <c r="A522" s="24">
        <f t="shared" si="88"/>
        <v>15.636495771111889</v>
      </c>
      <c r="B522" s="32">
        <v>244.5</v>
      </c>
      <c r="C522" s="32"/>
      <c r="D522" s="25">
        <f t="shared" si="80"/>
        <v>0</v>
      </c>
      <c r="E522" s="32">
        <v>244.5</v>
      </c>
      <c r="F522" s="8"/>
      <c r="G522" s="25">
        <f t="shared" si="81"/>
        <v>0</v>
      </c>
      <c r="H522" s="32">
        <v>244.5</v>
      </c>
      <c r="I522" s="32"/>
      <c r="J522" s="25">
        <f t="shared" si="82"/>
        <v>0</v>
      </c>
      <c r="K522" s="32">
        <v>244.5</v>
      </c>
      <c r="L522" s="31"/>
      <c r="M522" s="25">
        <f t="shared" si="83"/>
        <v>0</v>
      </c>
      <c r="N522" s="32">
        <v>244.5</v>
      </c>
      <c r="O522" s="32"/>
      <c r="P522" s="25">
        <f t="shared" si="84"/>
        <v>0</v>
      </c>
      <c r="Q522" s="32">
        <v>244.5</v>
      </c>
      <c r="R522" s="32"/>
      <c r="S522" s="25">
        <f t="shared" si="85"/>
        <v>0</v>
      </c>
      <c r="T522" s="32">
        <v>244.5</v>
      </c>
      <c r="U522" s="32"/>
      <c r="V522" s="25">
        <f t="shared" si="89"/>
        <v>0</v>
      </c>
      <c r="W522" s="32">
        <v>244.5</v>
      </c>
      <c r="X522" s="32">
        <f t="shared" si="86"/>
        <v>0</v>
      </c>
      <c r="Y522" s="25">
        <f t="shared" si="87"/>
        <v>0</v>
      </c>
      <c r="AD522" s="26"/>
    </row>
    <row r="523" spans="1:30" x14ac:dyDescent="0.2">
      <c r="A523" s="24">
        <f t="shared" si="88"/>
        <v>15.652475842498529</v>
      </c>
      <c r="B523" s="32">
        <v>245</v>
      </c>
      <c r="C523" s="32"/>
      <c r="D523" s="25">
        <f t="shared" si="80"/>
        <v>0</v>
      </c>
      <c r="E523" s="32">
        <v>245</v>
      </c>
      <c r="F523" s="8"/>
      <c r="G523" s="25">
        <f t="shared" si="81"/>
        <v>0</v>
      </c>
      <c r="H523" s="32">
        <v>245</v>
      </c>
      <c r="I523" s="32"/>
      <c r="J523" s="25">
        <f t="shared" si="82"/>
        <v>0</v>
      </c>
      <c r="K523" s="32">
        <v>245</v>
      </c>
      <c r="L523" s="31"/>
      <c r="M523" s="25">
        <f t="shared" si="83"/>
        <v>0</v>
      </c>
      <c r="N523" s="32">
        <v>245</v>
      </c>
      <c r="O523" s="32"/>
      <c r="P523" s="25">
        <f t="shared" si="84"/>
        <v>0</v>
      </c>
      <c r="Q523" s="32">
        <v>245</v>
      </c>
      <c r="R523" s="32"/>
      <c r="S523" s="25">
        <f t="shared" si="85"/>
        <v>0</v>
      </c>
      <c r="T523" s="32">
        <v>245</v>
      </c>
      <c r="U523" s="32"/>
      <c r="V523" s="25">
        <f t="shared" si="89"/>
        <v>0</v>
      </c>
      <c r="W523" s="32">
        <v>245</v>
      </c>
      <c r="X523" s="32">
        <f t="shared" si="86"/>
        <v>0</v>
      </c>
      <c r="Y523" s="25">
        <f t="shared" si="87"/>
        <v>0</v>
      </c>
      <c r="AD523" s="26"/>
    </row>
    <row r="524" spans="1:30" x14ac:dyDescent="0.2">
      <c r="A524" s="24">
        <f t="shared" si="88"/>
        <v>15.668439615992398</v>
      </c>
      <c r="B524" s="32">
        <v>245.5</v>
      </c>
      <c r="C524" s="32"/>
      <c r="D524" s="25">
        <f t="shared" si="80"/>
        <v>0</v>
      </c>
      <c r="E524" s="32">
        <v>245.5</v>
      </c>
      <c r="F524" s="8"/>
      <c r="G524" s="25">
        <f t="shared" si="81"/>
        <v>0</v>
      </c>
      <c r="H524" s="32">
        <v>245.5</v>
      </c>
      <c r="I524" s="32"/>
      <c r="J524" s="25">
        <f t="shared" si="82"/>
        <v>0</v>
      </c>
      <c r="K524" s="32">
        <v>245.5</v>
      </c>
      <c r="L524" s="31"/>
      <c r="M524" s="25">
        <f t="shared" si="83"/>
        <v>0</v>
      </c>
      <c r="N524" s="32">
        <v>245.5</v>
      </c>
      <c r="O524" s="32"/>
      <c r="P524" s="25">
        <f t="shared" si="84"/>
        <v>0</v>
      </c>
      <c r="Q524" s="32">
        <v>245.5</v>
      </c>
      <c r="R524" s="32"/>
      <c r="S524" s="25">
        <f t="shared" si="85"/>
        <v>0</v>
      </c>
      <c r="T524" s="32">
        <v>245.5</v>
      </c>
      <c r="U524" s="32"/>
      <c r="V524" s="25">
        <f t="shared" si="89"/>
        <v>0</v>
      </c>
      <c r="W524" s="32">
        <v>245.5</v>
      </c>
      <c r="X524" s="32">
        <f t="shared" si="86"/>
        <v>0</v>
      </c>
      <c r="Y524" s="25">
        <f t="shared" si="87"/>
        <v>0</v>
      </c>
      <c r="AD524" s="26"/>
    </row>
    <row r="525" spans="1:30" x14ac:dyDescent="0.2">
      <c r="A525" s="24">
        <f t="shared" si="88"/>
        <v>15.684387141358123</v>
      </c>
      <c r="B525" s="32">
        <v>246</v>
      </c>
      <c r="C525" s="32"/>
      <c r="D525" s="25">
        <f t="shared" si="80"/>
        <v>0</v>
      </c>
      <c r="E525" s="32">
        <v>246</v>
      </c>
      <c r="F525" s="8"/>
      <c r="G525" s="25">
        <f t="shared" si="81"/>
        <v>0</v>
      </c>
      <c r="H525" s="32">
        <v>246</v>
      </c>
      <c r="I525" s="32"/>
      <c r="J525" s="25">
        <f t="shared" si="82"/>
        <v>0</v>
      </c>
      <c r="K525" s="32">
        <v>246</v>
      </c>
      <c r="L525" s="31"/>
      <c r="M525" s="25">
        <f t="shared" si="83"/>
        <v>0</v>
      </c>
      <c r="N525" s="32">
        <v>246</v>
      </c>
      <c r="O525" s="32"/>
      <c r="P525" s="25">
        <f t="shared" si="84"/>
        <v>0</v>
      </c>
      <c r="Q525" s="32">
        <v>246</v>
      </c>
      <c r="R525" s="32"/>
      <c r="S525" s="25">
        <f t="shared" si="85"/>
        <v>0</v>
      </c>
      <c r="T525" s="32">
        <v>246</v>
      </c>
      <c r="U525" s="32"/>
      <c r="V525" s="25">
        <f t="shared" si="89"/>
        <v>0</v>
      </c>
      <c r="W525" s="32">
        <v>246</v>
      </c>
      <c r="X525" s="32">
        <f t="shared" si="86"/>
        <v>0</v>
      </c>
      <c r="Y525" s="25">
        <f t="shared" si="87"/>
        <v>0</v>
      </c>
      <c r="AD525" s="26"/>
    </row>
    <row r="526" spans="1:30" x14ac:dyDescent="0.2">
      <c r="A526" s="24">
        <f t="shared" si="88"/>
        <v>15.700318468107582</v>
      </c>
      <c r="B526" s="32">
        <v>246.5</v>
      </c>
      <c r="C526" s="32"/>
      <c r="D526" s="25">
        <f t="shared" si="80"/>
        <v>0</v>
      </c>
      <c r="E526" s="32">
        <v>246.5</v>
      </c>
      <c r="F526" s="8"/>
      <c r="G526" s="25">
        <f t="shared" si="81"/>
        <v>0</v>
      </c>
      <c r="H526" s="32">
        <v>246.5</v>
      </c>
      <c r="I526" s="32"/>
      <c r="J526" s="25">
        <f t="shared" si="82"/>
        <v>0</v>
      </c>
      <c r="K526" s="32">
        <v>246.5</v>
      </c>
      <c r="L526" s="31"/>
      <c r="M526" s="25">
        <f t="shared" si="83"/>
        <v>0</v>
      </c>
      <c r="N526" s="32">
        <v>246.5</v>
      </c>
      <c r="O526" s="32"/>
      <c r="P526" s="25">
        <f t="shared" si="84"/>
        <v>0</v>
      </c>
      <c r="Q526" s="32">
        <v>246.5</v>
      </c>
      <c r="R526" s="32"/>
      <c r="S526" s="25">
        <f t="shared" si="85"/>
        <v>0</v>
      </c>
      <c r="T526" s="32">
        <v>246.5</v>
      </c>
      <c r="U526" s="32"/>
      <c r="V526" s="25">
        <f t="shared" si="89"/>
        <v>0</v>
      </c>
      <c r="W526" s="32">
        <v>246.5</v>
      </c>
      <c r="X526" s="32">
        <f t="shared" si="86"/>
        <v>0</v>
      </c>
      <c r="Y526" s="25">
        <f t="shared" si="87"/>
        <v>0</v>
      </c>
      <c r="AD526" s="26"/>
    </row>
    <row r="527" spans="1:30" x14ac:dyDescent="0.2">
      <c r="A527" s="24">
        <f t="shared" si="88"/>
        <v>15.716233645501712</v>
      </c>
      <c r="B527" s="32">
        <v>247</v>
      </c>
      <c r="C527" s="32"/>
      <c r="D527" s="25">
        <f t="shared" si="80"/>
        <v>0</v>
      </c>
      <c r="E527" s="32">
        <v>247</v>
      </c>
      <c r="F527" s="8"/>
      <c r="G527" s="25">
        <f t="shared" si="81"/>
        <v>0</v>
      </c>
      <c r="H527" s="32">
        <v>247</v>
      </c>
      <c r="I527" s="32"/>
      <c r="J527" s="25">
        <f t="shared" si="82"/>
        <v>0</v>
      </c>
      <c r="K527" s="32">
        <v>247</v>
      </c>
      <c r="L527" s="31"/>
      <c r="M527" s="25">
        <f t="shared" si="83"/>
        <v>0</v>
      </c>
      <c r="N527" s="32">
        <v>247</v>
      </c>
      <c r="O527" s="32"/>
      <c r="P527" s="25">
        <f t="shared" si="84"/>
        <v>0</v>
      </c>
      <c r="Q527" s="32">
        <v>247</v>
      </c>
      <c r="R527" s="32"/>
      <c r="S527" s="25">
        <f t="shared" si="85"/>
        <v>0</v>
      </c>
      <c r="T527" s="32">
        <v>247</v>
      </c>
      <c r="U527" s="32"/>
      <c r="V527" s="25">
        <f t="shared" si="89"/>
        <v>0</v>
      </c>
      <c r="W527" s="32">
        <v>247</v>
      </c>
      <c r="X527" s="32">
        <f t="shared" si="86"/>
        <v>0</v>
      </c>
      <c r="Y527" s="25">
        <f t="shared" si="87"/>
        <v>0</v>
      </c>
      <c r="AD527" s="26"/>
    </row>
    <row r="528" spans="1:30" x14ac:dyDescent="0.2">
      <c r="A528" s="24">
        <f t="shared" si="88"/>
        <v>15.732132722552274</v>
      </c>
      <c r="B528" s="32">
        <v>247.5</v>
      </c>
      <c r="C528" s="32"/>
      <c r="D528" s="25">
        <f t="shared" si="80"/>
        <v>0</v>
      </c>
      <c r="E528" s="32">
        <v>247.5</v>
      </c>
      <c r="F528" s="8"/>
      <c r="G528" s="25">
        <f t="shared" si="81"/>
        <v>0</v>
      </c>
      <c r="H528" s="32">
        <v>247.5</v>
      </c>
      <c r="I528" s="32"/>
      <c r="J528" s="25">
        <f t="shared" si="82"/>
        <v>0</v>
      </c>
      <c r="K528" s="32">
        <v>247.5</v>
      </c>
      <c r="L528" s="31"/>
      <c r="M528" s="25">
        <f t="shared" si="83"/>
        <v>0</v>
      </c>
      <c r="N528" s="32">
        <v>247.5</v>
      </c>
      <c r="O528" s="32"/>
      <c r="P528" s="25">
        <f t="shared" si="84"/>
        <v>0</v>
      </c>
      <c r="Q528" s="32">
        <v>247.5</v>
      </c>
      <c r="R528" s="32"/>
      <c r="S528" s="25">
        <f t="shared" si="85"/>
        <v>0</v>
      </c>
      <c r="T528" s="32">
        <v>247.5</v>
      </c>
      <c r="U528" s="32"/>
      <c r="V528" s="25">
        <f t="shared" si="89"/>
        <v>0</v>
      </c>
      <c r="W528" s="32">
        <v>247.5</v>
      </c>
      <c r="X528" s="32">
        <f t="shared" si="86"/>
        <v>0</v>
      </c>
      <c r="Y528" s="25">
        <f t="shared" si="87"/>
        <v>0</v>
      </c>
      <c r="AD528" s="26"/>
    </row>
    <row r="529" spans="1:30" x14ac:dyDescent="0.2">
      <c r="A529" s="24">
        <f t="shared" si="88"/>
        <v>15.748015748023622</v>
      </c>
      <c r="B529" s="32">
        <v>248</v>
      </c>
      <c r="C529" s="32"/>
      <c r="D529" s="25">
        <f t="shared" si="80"/>
        <v>0</v>
      </c>
      <c r="E529" s="32">
        <v>248</v>
      </c>
      <c r="F529" s="8"/>
      <c r="G529" s="25">
        <f t="shared" si="81"/>
        <v>0</v>
      </c>
      <c r="H529" s="32">
        <v>248</v>
      </c>
      <c r="I529" s="32"/>
      <c r="J529" s="25">
        <f t="shared" si="82"/>
        <v>0</v>
      </c>
      <c r="K529" s="32">
        <v>248</v>
      </c>
      <c r="L529" s="31"/>
      <c r="M529" s="25">
        <f t="shared" si="83"/>
        <v>0</v>
      </c>
      <c r="N529" s="32">
        <v>248</v>
      </c>
      <c r="O529" s="32"/>
      <c r="P529" s="25">
        <f t="shared" si="84"/>
        <v>0</v>
      </c>
      <c r="Q529" s="32">
        <v>248</v>
      </c>
      <c r="R529" s="32"/>
      <c r="S529" s="25">
        <f t="shared" si="85"/>
        <v>0</v>
      </c>
      <c r="T529" s="32">
        <v>248</v>
      </c>
      <c r="U529" s="32"/>
      <c r="V529" s="25">
        <f t="shared" si="89"/>
        <v>0</v>
      </c>
      <c r="W529" s="32">
        <v>248</v>
      </c>
      <c r="X529" s="32">
        <f t="shared" si="86"/>
        <v>0</v>
      </c>
      <c r="Y529" s="25">
        <f t="shared" si="87"/>
        <v>0</v>
      </c>
      <c r="AD529" s="26"/>
    </row>
    <row r="530" spans="1:30" x14ac:dyDescent="0.2">
      <c r="A530" s="24">
        <f t="shared" si="88"/>
        <v>15.763882770434446</v>
      </c>
      <c r="B530" s="32">
        <v>248.5</v>
      </c>
      <c r="C530" s="32"/>
      <c r="D530" s="25">
        <f t="shared" si="80"/>
        <v>0</v>
      </c>
      <c r="E530" s="32">
        <v>248.5</v>
      </c>
      <c r="F530" s="8"/>
      <c r="G530" s="25">
        <f t="shared" si="81"/>
        <v>0</v>
      </c>
      <c r="H530" s="32">
        <v>248.5</v>
      </c>
      <c r="I530" s="32"/>
      <c r="J530" s="25">
        <f t="shared" si="82"/>
        <v>0</v>
      </c>
      <c r="K530" s="32">
        <v>248.5</v>
      </c>
      <c r="L530" s="31"/>
      <c r="M530" s="25">
        <f t="shared" si="83"/>
        <v>0</v>
      </c>
      <c r="N530" s="32">
        <v>248.5</v>
      </c>
      <c r="O530" s="32"/>
      <c r="P530" s="25">
        <f t="shared" si="84"/>
        <v>0</v>
      </c>
      <c r="Q530" s="32">
        <v>248.5</v>
      </c>
      <c r="R530" s="32"/>
      <c r="S530" s="25">
        <f t="shared" si="85"/>
        <v>0</v>
      </c>
      <c r="T530" s="32">
        <v>248.5</v>
      </c>
      <c r="U530" s="32"/>
      <c r="V530" s="25">
        <f t="shared" si="89"/>
        <v>0</v>
      </c>
      <c r="W530" s="32">
        <v>248.5</v>
      </c>
      <c r="X530" s="32">
        <f t="shared" si="86"/>
        <v>0</v>
      </c>
      <c r="Y530" s="25">
        <f t="shared" si="87"/>
        <v>0</v>
      </c>
      <c r="AD530" s="26"/>
    </row>
    <row r="531" spans="1:30" x14ac:dyDescent="0.2">
      <c r="A531" s="24">
        <f t="shared" si="88"/>
        <v>15.779733838059499</v>
      </c>
      <c r="B531" s="32">
        <v>249</v>
      </c>
      <c r="C531" s="32"/>
      <c r="D531" s="25">
        <f t="shared" si="80"/>
        <v>0</v>
      </c>
      <c r="E531" s="32">
        <v>249</v>
      </c>
      <c r="F531" s="8"/>
      <c r="G531" s="25">
        <f t="shared" si="81"/>
        <v>0</v>
      </c>
      <c r="H531" s="32">
        <v>249</v>
      </c>
      <c r="I531" s="32"/>
      <c r="J531" s="25">
        <f t="shared" si="82"/>
        <v>0</v>
      </c>
      <c r="K531" s="32">
        <v>249</v>
      </c>
      <c r="L531" s="31"/>
      <c r="M531" s="25">
        <f t="shared" si="83"/>
        <v>0</v>
      </c>
      <c r="N531" s="32">
        <v>249</v>
      </c>
      <c r="O531" s="32"/>
      <c r="P531" s="25">
        <f t="shared" si="84"/>
        <v>0</v>
      </c>
      <c r="Q531" s="32">
        <v>249</v>
      </c>
      <c r="R531" s="32"/>
      <c r="S531" s="25">
        <f t="shared" si="85"/>
        <v>0</v>
      </c>
      <c r="T531" s="32">
        <v>249</v>
      </c>
      <c r="U531" s="32"/>
      <c r="V531" s="25">
        <f t="shared" si="89"/>
        <v>0</v>
      </c>
      <c r="W531" s="32">
        <v>249</v>
      </c>
      <c r="X531" s="32">
        <f t="shared" si="86"/>
        <v>0</v>
      </c>
      <c r="Y531" s="25">
        <f t="shared" si="87"/>
        <v>0</v>
      </c>
      <c r="AD531" s="26"/>
    </row>
    <row r="532" spans="1:30" x14ac:dyDescent="0.2">
      <c r="A532" s="24">
        <f t="shared" si="88"/>
        <v>15.795568998931314</v>
      </c>
      <c r="B532" s="32">
        <v>249.5</v>
      </c>
      <c r="C532" s="32"/>
      <c r="D532" s="25">
        <f t="shared" si="80"/>
        <v>0</v>
      </c>
      <c r="E532" s="32">
        <v>249.5</v>
      </c>
      <c r="F532" s="8"/>
      <c r="G532" s="25">
        <f t="shared" si="81"/>
        <v>0</v>
      </c>
      <c r="H532" s="32">
        <v>249.5</v>
      </c>
      <c r="I532" s="32"/>
      <c r="J532" s="25">
        <f t="shared" si="82"/>
        <v>0</v>
      </c>
      <c r="K532" s="32">
        <v>249.5</v>
      </c>
      <c r="L532" s="31"/>
      <c r="M532" s="25">
        <f t="shared" si="83"/>
        <v>0</v>
      </c>
      <c r="N532" s="32">
        <v>249.5</v>
      </c>
      <c r="O532" s="32"/>
      <c r="P532" s="25">
        <f t="shared" si="84"/>
        <v>0</v>
      </c>
      <c r="Q532" s="32">
        <v>249.5</v>
      </c>
      <c r="R532" s="32"/>
      <c r="S532" s="25">
        <f t="shared" si="85"/>
        <v>0</v>
      </c>
      <c r="T532" s="32">
        <v>249.5</v>
      </c>
      <c r="U532" s="32"/>
      <c r="V532" s="25">
        <f t="shared" si="89"/>
        <v>0</v>
      </c>
      <c r="W532" s="32">
        <v>249.5</v>
      </c>
      <c r="X532" s="32">
        <f t="shared" si="86"/>
        <v>0</v>
      </c>
      <c r="Y532" s="25">
        <f t="shared" si="87"/>
        <v>0</v>
      </c>
      <c r="AD532" s="26"/>
    </row>
    <row r="533" spans="1:30" x14ac:dyDescent="0.2">
      <c r="A533" s="24">
        <f t="shared" si="88"/>
        <v>15.811388300841896</v>
      </c>
      <c r="B533" s="32">
        <v>250</v>
      </c>
      <c r="C533" s="32"/>
      <c r="D533" s="25">
        <f t="shared" si="80"/>
        <v>0</v>
      </c>
      <c r="E533" s="32">
        <v>250</v>
      </c>
      <c r="F533" s="8"/>
      <c r="G533" s="25">
        <f t="shared" si="81"/>
        <v>0</v>
      </c>
      <c r="H533" s="32">
        <v>250</v>
      </c>
      <c r="I533" s="32"/>
      <c r="J533" s="25">
        <f t="shared" si="82"/>
        <v>0</v>
      </c>
      <c r="K533" s="32">
        <v>250</v>
      </c>
      <c r="L533" s="31"/>
      <c r="M533" s="25">
        <f t="shared" si="83"/>
        <v>0</v>
      </c>
      <c r="N533" s="32">
        <v>250</v>
      </c>
      <c r="O533" s="32"/>
      <c r="P533" s="25">
        <f t="shared" si="84"/>
        <v>0</v>
      </c>
      <c r="Q533" s="32">
        <v>250</v>
      </c>
      <c r="R533" s="32"/>
      <c r="S533" s="25">
        <f t="shared" si="85"/>
        <v>0</v>
      </c>
      <c r="T533" s="32">
        <v>250</v>
      </c>
      <c r="U533" s="32"/>
      <c r="V533" s="25">
        <f t="shared" si="89"/>
        <v>0</v>
      </c>
      <c r="W533" s="32">
        <v>250</v>
      </c>
      <c r="X533" s="32">
        <f t="shared" si="86"/>
        <v>0</v>
      </c>
      <c r="Y533" s="25">
        <f t="shared" si="87"/>
        <v>0</v>
      </c>
      <c r="AD533" s="26"/>
    </row>
    <row r="534" spans="1:30" x14ac:dyDescent="0.2">
      <c r="A534" s="24">
        <f t="shared" si="88"/>
        <v>15.827191791344413</v>
      </c>
      <c r="B534" s="32">
        <v>250.5</v>
      </c>
      <c r="C534" s="32"/>
      <c r="D534" s="25">
        <f t="shared" si="80"/>
        <v>0</v>
      </c>
      <c r="E534" s="32">
        <v>250.5</v>
      </c>
      <c r="F534" s="8"/>
      <c r="G534" s="25">
        <f t="shared" si="81"/>
        <v>0</v>
      </c>
      <c r="H534" s="32">
        <v>250.5</v>
      </c>
      <c r="I534" s="32"/>
      <c r="J534" s="25">
        <f t="shared" si="82"/>
        <v>0</v>
      </c>
      <c r="K534" s="32">
        <v>250.5</v>
      </c>
      <c r="L534" s="31"/>
      <c r="M534" s="25">
        <f t="shared" si="83"/>
        <v>0</v>
      </c>
      <c r="N534" s="32">
        <v>250.5</v>
      </c>
      <c r="O534" s="32"/>
      <c r="P534" s="25">
        <f t="shared" si="84"/>
        <v>0</v>
      </c>
      <c r="Q534" s="32">
        <v>250.5</v>
      </c>
      <c r="R534" s="32"/>
      <c r="S534" s="25">
        <f t="shared" si="85"/>
        <v>0</v>
      </c>
      <c r="T534" s="32">
        <v>250.5</v>
      </c>
      <c r="U534" s="32"/>
      <c r="V534" s="25">
        <f t="shared" si="89"/>
        <v>0</v>
      </c>
      <c r="W534" s="32">
        <v>250.5</v>
      </c>
      <c r="X534" s="32">
        <f t="shared" si="86"/>
        <v>0</v>
      </c>
      <c r="Y534" s="25">
        <f t="shared" si="87"/>
        <v>0</v>
      </c>
      <c r="AD534" s="26"/>
    </row>
    <row r="535" spans="1:30" x14ac:dyDescent="0.2">
      <c r="A535" s="24">
        <f t="shared" si="88"/>
        <v>15.842979517754859</v>
      </c>
      <c r="B535" s="32">
        <v>251</v>
      </c>
      <c r="C535" s="32"/>
      <c r="D535" s="25">
        <f t="shared" si="80"/>
        <v>0</v>
      </c>
      <c r="E535" s="32">
        <v>251</v>
      </c>
      <c r="F535" s="8"/>
      <c r="G535" s="25">
        <f t="shared" si="81"/>
        <v>0</v>
      </c>
      <c r="H535" s="32">
        <v>251</v>
      </c>
      <c r="I535" s="32"/>
      <c r="J535" s="25">
        <f t="shared" si="82"/>
        <v>0</v>
      </c>
      <c r="K535" s="32">
        <v>251</v>
      </c>
      <c r="L535" s="31"/>
      <c r="M535" s="25">
        <f t="shared" si="83"/>
        <v>0</v>
      </c>
      <c r="N535" s="32">
        <v>251</v>
      </c>
      <c r="O535" s="32"/>
      <c r="P535" s="25">
        <f t="shared" si="84"/>
        <v>0</v>
      </c>
      <c r="Q535" s="32">
        <v>251</v>
      </c>
      <c r="R535" s="32"/>
      <c r="S535" s="25">
        <f t="shared" si="85"/>
        <v>0</v>
      </c>
      <c r="T535" s="32">
        <v>251</v>
      </c>
      <c r="U535" s="32"/>
      <c r="V535" s="25">
        <f t="shared" si="89"/>
        <v>0</v>
      </c>
      <c r="W535" s="32">
        <v>251</v>
      </c>
      <c r="X535" s="32">
        <f t="shared" si="86"/>
        <v>0</v>
      </c>
      <c r="Y535" s="25">
        <f t="shared" si="87"/>
        <v>0</v>
      </c>
      <c r="AD535" s="26"/>
    </row>
    <row r="536" spans="1:30" x14ac:dyDescent="0.2">
      <c r="A536" s="24">
        <f t="shared" si="88"/>
        <v>15.858751527153705</v>
      </c>
      <c r="B536" s="32">
        <v>251.5</v>
      </c>
      <c r="C536" s="32"/>
      <c r="D536" s="25">
        <f t="shared" si="80"/>
        <v>0</v>
      </c>
      <c r="E536" s="32">
        <v>251.5</v>
      </c>
      <c r="F536" s="8"/>
      <c r="G536" s="25">
        <f t="shared" si="81"/>
        <v>0</v>
      </c>
      <c r="H536" s="32">
        <v>251.5</v>
      </c>
      <c r="I536" s="32"/>
      <c r="J536" s="25">
        <f t="shared" si="82"/>
        <v>0</v>
      </c>
      <c r="K536" s="32">
        <v>251.5</v>
      </c>
      <c r="L536" s="31"/>
      <c r="M536" s="25">
        <f t="shared" si="83"/>
        <v>0</v>
      </c>
      <c r="N536" s="32">
        <v>251.5</v>
      </c>
      <c r="O536" s="32"/>
      <c r="P536" s="25">
        <f t="shared" si="84"/>
        <v>0</v>
      </c>
      <c r="Q536" s="32">
        <v>251.5</v>
      </c>
      <c r="R536" s="32"/>
      <c r="S536" s="25">
        <f t="shared" si="85"/>
        <v>0</v>
      </c>
      <c r="T536" s="32">
        <v>251.5</v>
      </c>
      <c r="U536" s="32"/>
      <c r="V536" s="25">
        <f t="shared" si="89"/>
        <v>0</v>
      </c>
      <c r="W536" s="32">
        <v>251.5</v>
      </c>
      <c r="X536" s="32">
        <f t="shared" si="86"/>
        <v>0</v>
      </c>
      <c r="Y536" s="25">
        <f t="shared" si="87"/>
        <v>0</v>
      </c>
      <c r="AD536" s="26"/>
    </row>
    <row r="537" spans="1:30" x14ac:dyDescent="0.2">
      <c r="A537" s="24">
        <f t="shared" si="88"/>
        <v>15.874507866387544</v>
      </c>
      <c r="B537" s="32">
        <v>252</v>
      </c>
      <c r="C537" s="32"/>
      <c r="D537" s="25">
        <f t="shared" si="80"/>
        <v>0</v>
      </c>
      <c r="E537" s="32">
        <v>252</v>
      </c>
      <c r="F537" s="8"/>
      <c r="G537" s="25">
        <f t="shared" si="81"/>
        <v>0</v>
      </c>
      <c r="H537" s="32">
        <v>252</v>
      </c>
      <c r="I537" s="32"/>
      <c r="J537" s="25">
        <f t="shared" si="82"/>
        <v>0</v>
      </c>
      <c r="K537" s="32">
        <v>252</v>
      </c>
      <c r="L537" s="31"/>
      <c r="M537" s="25">
        <f t="shared" si="83"/>
        <v>0</v>
      </c>
      <c r="N537" s="32">
        <v>252</v>
      </c>
      <c r="O537" s="32"/>
      <c r="P537" s="25">
        <f t="shared" si="84"/>
        <v>0</v>
      </c>
      <c r="Q537" s="32">
        <v>252</v>
      </c>
      <c r="R537" s="32"/>
      <c r="S537" s="25">
        <f t="shared" si="85"/>
        <v>0</v>
      </c>
      <c r="T537" s="32">
        <v>252</v>
      </c>
      <c r="U537" s="32"/>
      <c r="V537" s="25">
        <f t="shared" si="89"/>
        <v>0</v>
      </c>
      <c r="W537" s="32">
        <v>252</v>
      </c>
      <c r="X537" s="32">
        <f t="shared" si="86"/>
        <v>0</v>
      </c>
      <c r="Y537" s="25">
        <f t="shared" si="87"/>
        <v>0</v>
      </c>
      <c r="AD537" s="26"/>
    </row>
    <row r="538" spans="1:30" x14ac:dyDescent="0.2">
      <c r="A538" s="24">
        <f t="shared" si="88"/>
        <v>15.890248582070704</v>
      </c>
      <c r="B538" s="32">
        <v>252.5</v>
      </c>
      <c r="C538" s="32"/>
      <c r="D538" s="25">
        <f t="shared" si="80"/>
        <v>0</v>
      </c>
      <c r="E538" s="32">
        <v>252.5</v>
      </c>
      <c r="F538" s="8"/>
      <c r="G538" s="25">
        <f t="shared" si="81"/>
        <v>0</v>
      </c>
      <c r="H538" s="32">
        <v>252.5</v>
      </c>
      <c r="I538" s="32"/>
      <c r="J538" s="25">
        <f t="shared" si="82"/>
        <v>0</v>
      </c>
      <c r="K538" s="32">
        <v>252.5</v>
      </c>
      <c r="L538" s="31"/>
      <c r="M538" s="25">
        <f t="shared" si="83"/>
        <v>0</v>
      </c>
      <c r="N538" s="32">
        <v>252.5</v>
      </c>
      <c r="O538" s="32"/>
      <c r="P538" s="25">
        <f t="shared" si="84"/>
        <v>0</v>
      </c>
      <c r="Q538" s="32">
        <v>252.5</v>
      </c>
      <c r="R538" s="32"/>
      <c r="S538" s="25">
        <f t="shared" si="85"/>
        <v>0</v>
      </c>
      <c r="T538" s="32">
        <v>252.5</v>
      </c>
      <c r="U538" s="32"/>
      <c r="V538" s="25">
        <f t="shared" si="89"/>
        <v>0</v>
      </c>
      <c r="W538" s="32">
        <v>252.5</v>
      </c>
      <c r="X538" s="32">
        <f t="shared" si="86"/>
        <v>0</v>
      </c>
      <c r="Y538" s="25">
        <f t="shared" si="87"/>
        <v>0</v>
      </c>
      <c r="AD538" s="26"/>
    </row>
    <row r="539" spans="1:30" x14ac:dyDescent="0.2">
      <c r="A539" s="24">
        <f t="shared" si="88"/>
        <v>15.905973720586866</v>
      </c>
      <c r="B539" s="32">
        <v>253</v>
      </c>
      <c r="C539" s="32"/>
      <c r="D539" s="25">
        <f t="shared" si="80"/>
        <v>0</v>
      </c>
      <c r="E539" s="32">
        <v>253</v>
      </c>
      <c r="F539" s="8"/>
      <c r="G539" s="25">
        <f t="shared" si="81"/>
        <v>0</v>
      </c>
      <c r="H539" s="32">
        <v>253</v>
      </c>
      <c r="I539" s="32"/>
      <c r="J539" s="25">
        <f t="shared" si="82"/>
        <v>0</v>
      </c>
      <c r="K539" s="32">
        <v>253</v>
      </c>
      <c r="L539" s="31"/>
      <c r="M539" s="25">
        <f t="shared" si="83"/>
        <v>0</v>
      </c>
      <c r="N539" s="32">
        <v>253</v>
      </c>
      <c r="O539" s="32"/>
      <c r="P539" s="25">
        <f t="shared" si="84"/>
        <v>0</v>
      </c>
      <c r="Q539" s="32">
        <v>253</v>
      </c>
      <c r="R539" s="32"/>
      <c r="S539" s="25">
        <f t="shared" si="85"/>
        <v>0</v>
      </c>
      <c r="T539" s="32">
        <v>253</v>
      </c>
      <c r="U539" s="32"/>
      <c r="V539" s="25">
        <f t="shared" si="89"/>
        <v>0</v>
      </c>
      <c r="W539" s="32">
        <v>253</v>
      </c>
      <c r="X539" s="32">
        <f t="shared" si="86"/>
        <v>0</v>
      </c>
      <c r="Y539" s="25">
        <f t="shared" si="87"/>
        <v>0</v>
      </c>
      <c r="AD539" s="26"/>
    </row>
    <row r="540" spans="1:30" x14ac:dyDescent="0.2">
      <c r="A540" s="24">
        <f t="shared" si="88"/>
        <v>15.921683328090658</v>
      </c>
      <c r="B540" s="32">
        <v>253.5</v>
      </c>
      <c r="C540" s="32"/>
      <c r="D540" s="25">
        <f t="shared" si="80"/>
        <v>0</v>
      </c>
      <c r="E540" s="32">
        <v>253.5</v>
      </c>
      <c r="F540" s="8"/>
      <c r="G540" s="25">
        <f t="shared" si="81"/>
        <v>0</v>
      </c>
      <c r="H540" s="32">
        <v>253.5</v>
      </c>
      <c r="I540" s="32"/>
      <c r="J540" s="25">
        <f t="shared" si="82"/>
        <v>0</v>
      </c>
      <c r="K540" s="32">
        <v>253.5</v>
      </c>
      <c r="L540" s="31"/>
      <c r="M540" s="25">
        <f t="shared" si="83"/>
        <v>0</v>
      </c>
      <c r="N540" s="32">
        <v>253.5</v>
      </c>
      <c r="O540" s="32"/>
      <c r="P540" s="25">
        <f t="shared" si="84"/>
        <v>0</v>
      </c>
      <c r="Q540" s="32">
        <v>253.5</v>
      </c>
      <c r="R540" s="32"/>
      <c r="S540" s="25">
        <f t="shared" si="85"/>
        <v>0</v>
      </c>
      <c r="T540" s="32">
        <v>253.5</v>
      </c>
      <c r="U540" s="32"/>
      <c r="V540" s="25">
        <f t="shared" si="89"/>
        <v>0</v>
      </c>
      <c r="W540" s="32">
        <v>253.5</v>
      </c>
      <c r="X540" s="32">
        <f t="shared" si="86"/>
        <v>0</v>
      </c>
      <c r="Y540" s="25">
        <f t="shared" si="87"/>
        <v>0</v>
      </c>
      <c r="AD540" s="26"/>
    </row>
    <row r="541" spans="1:30" x14ac:dyDescent="0.2">
      <c r="A541" s="24">
        <f t="shared" si="88"/>
        <v>15.937377450509228</v>
      </c>
      <c r="B541" s="32">
        <v>254</v>
      </c>
      <c r="C541" s="32"/>
      <c r="D541" s="25">
        <f t="shared" si="80"/>
        <v>0</v>
      </c>
      <c r="E541" s="32">
        <v>254</v>
      </c>
      <c r="F541" s="8"/>
      <c r="G541" s="25">
        <f t="shared" si="81"/>
        <v>0</v>
      </c>
      <c r="H541" s="32">
        <v>254</v>
      </c>
      <c r="I541" s="32"/>
      <c r="J541" s="25">
        <f t="shared" si="82"/>
        <v>0</v>
      </c>
      <c r="K541" s="32">
        <v>254</v>
      </c>
      <c r="L541" s="31"/>
      <c r="M541" s="25">
        <f t="shared" si="83"/>
        <v>0</v>
      </c>
      <c r="N541" s="32">
        <v>254</v>
      </c>
      <c r="O541" s="32"/>
      <c r="P541" s="25">
        <f t="shared" si="84"/>
        <v>0</v>
      </c>
      <c r="Q541" s="32">
        <v>254</v>
      </c>
      <c r="R541" s="32"/>
      <c r="S541" s="25">
        <f t="shared" si="85"/>
        <v>0</v>
      </c>
      <c r="T541" s="32">
        <v>254</v>
      </c>
      <c r="U541" s="32"/>
      <c r="V541" s="25">
        <f t="shared" si="89"/>
        <v>0</v>
      </c>
      <c r="W541" s="32">
        <v>254</v>
      </c>
      <c r="X541" s="32">
        <f t="shared" si="86"/>
        <v>0</v>
      </c>
      <c r="Y541" s="25">
        <f t="shared" si="87"/>
        <v>0</v>
      </c>
      <c r="AD541" s="26"/>
    </row>
    <row r="542" spans="1:30" x14ac:dyDescent="0.2">
      <c r="A542" s="24">
        <f t="shared" si="88"/>
        <v>15.953056133543816</v>
      </c>
      <c r="B542" s="32">
        <v>254.5</v>
      </c>
      <c r="C542" s="32"/>
      <c r="D542" s="25">
        <f t="shared" si="80"/>
        <v>0</v>
      </c>
      <c r="E542" s="32">
        <v>254.5</v>
      </c>
      <c r="F542" s="8"/>
      <c r="G542" s="25">
        <f t="shared" si="81"/>
        <v>0</v>
      </c>
      <c r="H542" s="32">
        <v>254.5</v>
      </c>
      <c r="I542" s="32"/>
      <c r="J542" s="25">
        <f t="shared" si="82"/>
        <v>0</v>
      </c>
      <c r="K542" s="32">
        <v>254.5</v>
      </c>
      <c r="L542" s="31"/>
      <c r="M542" s="25">
        <f t="shared" si="83"/>
        <v>0</v>
      </c>
      <c r="N542" s="32">
        <v>254.5</v>
      </c>
      <c r="O542" s="32"/>
      <c r="P542" s="25">
        <f t="shared" si="84"/>
        <v>0</v>
      </c>
      <c r="Q542" s="32">
        <v>254.5</v>
      </c>
      <c r="R542" s="32"/>
      <c r="S542" s="25">
        <f t="shared" si="85"/>
        <v>0</v>
      </c>
      <c r="T542" s="32">
        <v>254.5</v>
      </c>
      <c r="U542" s="32"/>
      <c r="V542" s="25">
        <f t="shared" si="89"/>
        <v>0</v>
      </c>
      <c r="W542" s="32">
        <v>254.5</v>
      </c>
      <c r="X542" s="32">
        <f t="shared" si="86"/>
        <v>0</v>
      </c>
      <c r="Y542" s="25">
        <f t="shared" si="87"/>
        <v>0</v>
      </c>
      <c r="AD542" s="26"/>
    </row>
    <row r="543" spans="1:30" x14ac:dyDescent="0.2">
      <c r="A543" s="24">
        <f t="shared" si="88"/>
        <v>15.968719422671311</v>
      </c>
      <c r="B543" s="32">
        <v>255</v>
      </c>
      <c r="C543" s="32"/>
      <c r="D543" s="25">
        <f t="shared" si="80"/>
        <v>0</v>
      </c>
      <c r="E543" s="32">
        <v>255</v>
      </c>
      <c r="F543" s="8"/>
      <c r="G543" s="25">
        <f t="shared" si="81"/>
        <v>0</v>
      </c>
      <c r="H543" s="32">
        <v>255</v>
      </c>
      <c r="I543" s="32"/>
      <c r="J543" s="25">
        <f t="shared" si="82"/>
        <v>0</v>
      </c>
      <c r="K543" s="32">
        <v>255</v>
      </c>
      <c r="L543" s="31"/>
      <c r="M543" s="25">
        <f t="shared" si="83"/>
        <v>0</v>
      </c>
      <c r="N543" s="32">
        <v>255</v>
      </c>
      <c r="O543" s="32"/>
      <c r="P543" s="25">
        <f t="shared" si="84"/>
        <v>0</v>
      </c>
      <c r="Q543" s="32">
        <v>255</v>
      </c>
      <c r="R543" s="32"/>
      <c r="S543" s="25">
        <f t="shared" si="85"/>
        <v>0</v>
      </c>
      <c r="T543" s="32">
        <v>255</v>
      </c>
      <c r="U543" s="32"/>
      <c r="V543" s="25">
        <f t="shared" si="89"/>
        <v>0</v>
      </c>
      <c r="W543" s="32">
        <v>255</v>
      </c>
      <c r="X543" s="32">
        <f t="shared" si="86"/>
        <v>0</v>
      </c>
      <c r="Y543" s="25">
        <f t="shared" si="87"/>
        <v>0</v>
      </c>
      <c r="AD543" s="26"/>
    </row>
    <row r="544" spans="1:30" x14ac:dyDescent="0.2">
      <c r="A544" s="24">
        <f t="shared" si="88"/>
        <v>15.984367363145781</v>
      </c>
      <c r="B544" s="32">
        <v>255.5</v>
      </c>
      <c r="C544" s="32"/>
      <c r="D544" s="25">
        <f t="shared" si="80"/>
        <v>0</v>
      </c>
      <c r="E544" s="32">
        <v>255.5</v>
      </c>
      <c r="F544" s="8"/>
      <c r="G544" s="25">
        <f t="shared" si="81"/>
        <v>0</v>
      </c>
      <c r="H544" s="32">
        <v>255.5</v>
      </c>
      <c r="I544" s="32"/>
      <c r="J544" s="25">
        <f t="shared" si="82"/>
        <v>0</v>
      </c>
      <c r="K544" s="32">
        <v>255.5</v>
      </c>
      <c r="L544" s="31"/>
      <c r="M544" s="25">
        <f t="shared" si="83"/>
        <v>0</v>
      </c>
      <c r="N544" s="32">
        <v>255.5</v>
      </c>
      <c r="O544" s="32"/>
      <c r="P544" s="25">
        <f t="shared" si="84"/>
        <v>0</v>
      </c>
      <c r="Q544" s="32">
        <v>255.5</v>
      </c>
      <c r="R544" s="32"/>
      <c r="S544" s="25">
        <f t="shared" si="85"/>
        <v>0</v>
      </c>
      <c r="T544" s="32">
        <v>255.5</v>
      </c>
      <c r="U544" s="32"/>
      <c r="V544" s="25">
        <f t="shared" si="89"/>
        <v>0</v>
      </c>
      <c r="W544" s="32">
        <v>255.5</v>
      </c>
      <c r="X544" s="32">
        <f t="shared" si="86"/>
        <v>0</v>
      </c>
      <c r="Y544" s="25">
        <f t="shared" si="87"/>
        <v>0</v>
      </c>
      <c r="AD544" s="26"/>
    </row>
    <row r="545" spans="1:30" x14ac:dyDescent="0.2">
      <c r="A545" s="24">
        <f t="shared" si="88"/>
        <v>16</v>
      </c>
      <c r="B545" s="32">
        <v>256</v>
      </c>
      <c r="C545" s="32"/>
      <c r="D545" s="25">
        <f t="shared" si="80"/>
        <v>0</v>
      </c>
      <c r="E545" s="32">
        <v>256</v>
      </c>
      <c r="F545" s="8"/>
      <c r="G545" s="25">
        <f t="shared" si="81"/>
        <v>0</v>
      </c>
      <c r="H545" s="32">
        <v>256</v>
      </c>
      <c r="I545" s="32"/>
      <c r="J545" s="25">
        <f t="shared" si="82"/>
        <v>0</v>
      </c>
      <c r="K545" s="32">
        <v>256</v>
      </c>
      <c r="L545" s="31"/>
      <c r="M545" s="25">
        <f t="shared" si="83"/>
        <v>0</v>
      </c>
      <c r="N545" s="32">
        <v>256</v>
      </c>
      <c r="O545" s="32"/>
      <c r="P545" s="25">
        <f t="shared" si="84"/>
        <v>0</v>
      </c>
      <c r="Q545" s="32">
        <v>256</v>
      </c>
      <c r="R545" s="32"/>
      <c r="S545" s="25">
        <f t="shared" si="85"/>
        <v>0</v>
      </c>
      <c r="T545" s="32">
        <v>256</v>
      </c>
      <c r="U545" s="32"/>
      <c r="V545" s="25">
        <f t="shared" si="89"/>
        <v>0</v>
      </c>
      <c r="W545" s="32">
        <v>256</v>
      </c>
      <c r="X545" s="32">
        <f t="shared" si="86"/>
        <v>0</v>
      </c>
      <c r="Y545" s="25">
        <f t="shared" si="87"/>
        <v>0</v>
      </c>
      <c r="AD545" s="26"/>
    </row>
    <row r="546" spans="1:30" x14ac:dyDescent="0.2">
      <c r="A546" s="24">
        <f t="shared" si="88"/>
        <v>16.015617378046965</v>
      </c>
      <c r="B546" s="32">
        <v>256.5</v>
      </c>
      <c r="C546" s="32"/>
      <c r="D546" s="25">
        <f t="shared" si="80"/>
        <v>0</v>
      </c>
      <c r="E546" s="32">
        <v>256.5</v>
      </c>
      <c r="F546" s="8"/>
      <c r="G546" s="25">
        <f t="shared" si="81"/>
        <v>0</v>
      </c>
      <c r="H546" s="32">
        <v>256.5</v>
      </c>
      <c r="I546" s="32"/>
      <c r="J546" s="25">
        <f t="shared" si="82"/>
        <v>0</v>
      </c>
      <c r="K546" s="32">
        <v>256.5</v>
      </c>
      <c r="L546" s="31"/>
      <c r="M546" s="25">
        <f t="shared" si="83"/>
        <v>0</v>
      </c>
      <c r="N546" s="32">
        <v>256.5</v>
      </c>
      <c r="O546" s="32"/>
      <c r="P546" s="25">
        <f t="shared" si="84"/>
        <v>0</v>
      </c>
      <c r="Q546" s="32">
        <v>256.5</v>
      </c>
      <c r="R546" s="32"/>
      <c r="S546" s="25">
        <f t="shared" si="85"/>
        <v>0</v>
      </c>
      <c r="T546" s="32">
        <v>256.5</v>
      </c>
      <c r="U546" s="32"/>
      <c r="V546" s="25">
        <f t="shared" si="89"/>
        <v>0</v>
      </c>
      <c r="W546" s="32">
        <v>256.5</v>
      </c>
      <c r="X546" s="32">
        <f t="shared" si="86"/>
        <v>0</v>
      </c>
      <c r="Y546" s="25">
        <f t="shared" si="87"/>
        <v>0</v>
      </c>
      <c r="AD546" s="26"/>
    </row>
    <row r="547" spans="1:30" x14ac:dyDescent="0.2">
      <c r="A547" s="24">
        <f t="shared" si="88"/>
        <v>16.031219541881399</v>
      </c>
      <c r="B547" s="32">
        <v>257</v>
      </c>
      <c r="C547" s="32"/>
      <c r="D547" s="25">
        <f t="shared" si="80"/>
        <v>0</v>
      </c>
      <c r="E547" s="32">
        <v>257</v>
      </c>
      <c r="F547" s="8"/>
      <c r="G547" s="25">
        <f t="shared" si="81"/>
        <v>0</v>
      </c>
      <c r="H547" s="32">
        <v>257</v>
      </c>
      <c r="I547" s="32"/>
      <c r="J547" s="25">
        <f t="shared" si="82"/>
        <v>0</v>
      </c>
      <c r="K547" s="32">
        <v>257</v>
      </c>
      <c r="L547" s="31"/>
      <c r="M547" s="25">
        <f t="shared" si="83"/>
        <v>0</v>
      </c>
      <c r="N547" s="32">
        <v>257</v>
      </c>
      <c r="O547" s="32"/>
      <c r="P547" s="25">
        <f t="shared" si="84"/>
        <v>0</v>
      </c>
      <c r="Q547" s="32">
        <v>257</v>
      </c>
      <c r="R547" s="32"/>
      <c r="S547" s="25">
        <f t="shared" si="85"/>
        <v>0</v>
      </c>
      <c r="T547" s="32">
        <v>257</v>
      </c>
      <c r="U547" s="32"/>
      <c r="V547" s="25">
        <f t="shared" si="89"/>
        <v>0</v>
      </c>
      <c r="W547" s="32">
        <v>257</v>
      </c>
      <c r="X547" s="32">
        <f t="shared" si="86"/>
        <v>0</v>
      </c>
      <c r="Y547" s="25">
        <f t="shared" si="87"/>
        <v>0</v>
      </c>
      <c r="AD547" s="26"/>
    </row>
    <row r="548" spans="1:30" x14ac:dyDescent="0.2">
      <c r="A548" s="24">
        <f t="shared" si="88"/>
        <v>16.046806535881213</v>
      </c>
      <c r="B548" s="32">
        <v>257.5</v>
      </c>
      <c r="C548" s="32"/>
      <c r="D548" s="25">
        <f t="shared" si="80"/>
        <v>0</v>
      </c>
      <c r="E548" s="32">
        <v>257.5</v>
      </c>
      <c r="F548" s="8"/>
      <c r="G548" s="25">
        <f t="shared" si="81"/>
        <v>0</v>
      </c>
      <c r="H548" s="32">
        <v>257.5</v>
      </c>
      <c r="I548" s="32"/>
      <c r="J548" s="25">
        <f t="shared" si="82"/>
        <v>0</v>
      </c>
      <c r="K548" s="32">
        <v>257.5</v>
      </c>
      <c r="L548" s="31"/>
      <c r="M548" s="25">
        <f t="shared" si="83"/>
        <v>0</v>
      </c>
      <c r="N548" s="32">
        <v>257.5</v>
      </c>
      <c r="O548" s="32"/>
      <c r="P548" s="25">
        <f t="shared" si="84"/>
        <v>0</v>
      </c>
      <c r="Q548" s="32">
        <v>257.5</v>
      </c>
      <c r="R548" s="32"/>
      <c r="S548" s="25">
        <f t="shared" si="85"/>
        <v>0</v>
      </c>
      <c r="T548" s="32">
        <v>257.5</v>
      </c>
      <c r="U548" s="32"/>
      <c r="V548" s="25">
        <f t="shared" si="89"/>
        <v>0</v>
      </c>
      <c r="W548" s="32">
        <v>257.5</v>
      </c>
      <c r="X548" s="32">
        <f t="shared" si="86"/>
        <v>0</v>
      </c>
      <c r="Y548" s="25">
        <f t="shared" si="87"/>
        <v>0</v>
      </c>
      <c r="AD548" s="26"/>
    </row>
    <row r="549" spans="1:30" x14ac:dyDescent="0.2">
      <c r="A549" s="24">
        <f t="shared" si="88"/>
        <v>16.06237840420901</v>
      </c>
      <c r="B549" s="32">
        <v>258</v>
      </c>
      <c r="C549" s="32"/>
      <c r="D549" s="25">
        <f t="shared" si="80"/>
        <v>0</v>
      </c>
      <c r="E549" s="32">
        <v>258</v>
      </c>
      <c r="F549" s="8"/>
      <c r="G549" s="25">
        <f t="shared" si="81"/>
        <v>0</v>
      </c>
      <c r="H549" s="32">
        <v>258</v>
      </c>
      <c r="I549" s="32"/>
      <c r="J549" s="25">
        <f t="shared" si="82"/>
        <v>0</v>
      </c>
      <c r="K549" s="32">
        <v>258</v>
      </c>
      <c r="L549" s="31"/>
      <c r="M549" s="25">
        <f t="shared" si="83"/>
        <v>0</v>
      </c>
      <c r="N549" s="32">
        <v>258</v>
      </c>
      <c r="O549" s="32"/>
      <c r="P549" s="25">
        <f t="shared" si="84"/>
        <v>0</v>
      </c>
      <c r="Q549" s="32">
        <v>258</v>
      </c>
      <c r="R549" s="32"/>
      <c r="S549" s="25">
        <f t="shared" si="85"/>
        <v>0</v>
      </c>
      <c r="T549" s="32">
        <v>258</v>
      </c>
      <c r="U549" s="32"/>
      <c r="V549" s="25">
        <f t="shared" si="89"/>
        <v>0</v>
      </c>
      <c r="W549" s="32">
        <v>258</v>
      </c>
      <c r="X549" s="32">
        <f t="shared" si="86"/>
        <v>0</v>
      </c>
      <c r="Y549" s="25">
        <f t="shared" si="87"/>
        <v>0</v>
      </c>
      <c r="AD549" s="26"/>
    </row>
    <row r="550" spans="1:30" x14ac:dyDescent="0.2">
      <c r="A550" s="24">
        <f t="shared" si="88"/>
        <v>16.077935190813527</v>
      </c>
      <c r="B550" s="32">
        <v>258.5</v>
      </c>
      <c r="C550" s="32"/>
      <c r="D550" s="25">
        <f t="shared" si="80"/>
        <v>0</v>
      </c>
      <c r="E550" s="32">
        <v>258.5</v>
      </c>
      <c r="F550" s="8"/>
      <c r="G550" s="25">
        <f t="shared" si="81"/>
        <v>0</v>
      </c>
      <c r="H550" s="32">
        <v>258.5</v>
      </c>
      <c r="I550" s="32"/>
      <c r="J550" s="25">
        <f t="shared" si="82"/>
        <v>0</v>
      </c>
      <c r="K550" s="32">
        <v>258.5</v>
      </c>
      <c r="L550" s="31"/>
      <c r="M550" s="25">
        <f t="shared" si="83"/>
        <v>0</v>
      </c>
      <c r="N550" s="32">
        <v>258.5</v>
      </c>
      <c r="O550" s="32"/>
      <c r="P550" s="25">
        <f t="shared" si="84"/>
        <v>0</v>
      </c>
      <c r="Q550" s="32">
        <v>258.5</v>
      </c>
      <c r="R550" s="32"/>
      <c r="S550" s="25">
        <f t="shared" si="85"/>
        <v>0</v>
      </c>
      <c r="T550" s="32">
        <v>258.5</v>
      </c>
      <c r="U550" s="32"/>
      <c r="V550" s="25">
        <f t="shared" si="89"/>
        <v>0</v>
      </c>
      <c r="W550" s="32">
        <v>258.5</v>
      </c>
      <c r="X550" s="32">
        <f t="shared" si="86"/>
        <v>0</v>
      </c>
      <c r="Y550" s="25">
        <f t="shared" si="87"/>
        <v>0</v>
      </c>
      <c r="AD550" s="26"/>
    </row>
    <row r="551" spans="1:30" x14ac:dyDescent="0.2">
      <c r="A551" s="24">
        <f t="shared" si="88"/>
        <v>16.093476939431081</v>
      </c>
      <c r="B551" s="32">
        <v>259</v>
      </c>
      <c r="C551" s="32"/>
      <c r="D551" s="25">
        <f t="shared" si="80"/>
        <v>0</v>
      </c>
      <c r="E551" s="32">
        <v>259</v>
      </c>
      <c r="F551" s="8"/>
      <c r="G551" s="25">
        <f t="shared" si="81"/>
        <v>0</v>
      </c>
      <c r="H551" s="32">
        <v>259</v>
      </c>
      <c r="I551" s="32"/>
      <c r="J551" s="25">
        <f t="shared" si="82"/>
        <v>0</v>
      </c>
      <c r="K551" s="32">
        <v>259</v>
      </c>
      <c r="L551" s="31"/>
      <c r="M551" s="25">
        <f t="shared" si="83"/>
        <v>0</v>
      </c>
      <c r="N551" s="32">
        <v>259</v>
      </c>
      <c r="O551" s="32"/>
      <c r="P551" s="25">
        <f t="shared" si="84"/>
        <v>0</v>
      </c>
      <c r="Q551" s="32">
        <v>259</v>
      </c>
      <c r="R551" s="32"/>
      <c r="S551" s="25">
        <f t="shared" si="85"/>
        <v>0</v>
      </c>
      <c r="T551" s="32">
        <v>259</v>
      </c>
      <c r="U551" s="32"/>
      <c r="V551" s="25">
        <f t="shared" si="89"/>
        <v>0</v>
      </c>
      <c r="W551" s="32">
        <v>259</v>
      </c>
      <c r="X551" s="32">
        <f t="shared" si="86"/>
        <v>0</v>
      </c>
      <c r="Y551" s="25">
        <f t="shared" si="87"/>
        <v>0</v>
      </c>
      <c r="AD551" s="26"/>
    </row>
    <row r="552" spans="1:30" x14ac:dyDescent="0.2">
      <c r="A552" s="24">
        <f t="shared" si="88"/>
        <v>16.109003693587013</v>
      </c>
      <c r="B552" s="32">
        <v>259.5</v>
      </c>
      <c r="C552" s="32"/>
      <c r="D552" s="25">
        <f t="shared" si="80"/>
        <v>0</v>
      </c>
      <c r="E552" s="32">
        <v>259.5</v>
      </c>
      <c r="F552" s="8"/>
      <c r="G552" s="25">
        <f t="shared" si="81"/>
        <v>0</v>
      </c>
      <c r="H552" s="32">
        <v>259.5</v>
      </c>
      <c r="I552" s="32"/>
      <c r="J552" s="25">
        <f t="shared" si="82"/>
        <v>0</v>
      </c>
      <c r="K552" s="32">
        <v>259.5</v>
      </c>
      <c r="L552" s="31"/>
      <c r="M552" s="25">
        <f t="shared" si="83"/>
        <v>0</v>
      </c>
      <c r="N552" s="32">
        <v>259.5</v>
      </c>
      <c r="O552" s="32"/>
      <c r="P552" s="25">
        <f t="shared" si="84"/>
        <v>0</v>
      </c>
      <c r="Q552" s="32">
        <v>259.5</v>
      </c>
      <c r="R552" s="32"/>
      <c r="S552" s="25">
        <f t="shared" si="85"/>
        <v>0</v>
      </c>
      <c r="T552" s="32">
        <v>259.5</v>
      </c>
      <c r="U552" s="32"/>
      <c r="V552" s="25">
        <f t="shared" si="89"/>
        <v>0</v>
      </c>
      <c r="W552" s="32">
        <v>259.5</v>
      </c>
      <c r="X552" s="32">
        <f t="shared" si="86"/>
        <v>0</v>
      </c>
      <c r="Y552" s="25">
        <f t="shared" si="87"/>
        <v>0</v>
      </c>
      <c r="AD552" s="26"/>
    </row>
    <row r="553" spans="1:30" x14ac:dyDescent="0.2">
      <c r="A553" s="24">
        <f t="shared" si="88"/>
        <v>16.124515496597098</v>
      </c>
      <c r="B553" s="32">
        <v>260</v>
      </c>
      <c r="C553" s="32"/>
      <c r="D553" s="25">
        <f t="shared" si="80"/>
        <v>0</v>
      </c>
      <c r="E553" s="32">
        <v>260</v>
      </c>
      <c r="F553" s="8"/>
      <c r="G553" s="25">
        <f t="shared" si="81"/>
        <v>0</v>
      </c>
      <c r="H553" s="32">
        <v>260</v>
      </c>
      <c r="I553" s="32"/>
      <c r="J553" s="25">
        <f t="shared" si="82"/>
        <v>0</v>
      </c>
      <c r="K553" s="32">
        <v>260</v>
      </c>
      <c r="L553" s="31"/>
      <c r="M553" s="25">
        <f t="shared" si="83"/>
        <v>0</v>
      </c>
      <c r="N553" s="32">
        <v>260</v>
      </c>
      <c r="O553" s="32"/>
      <c r="P553" s="25">
        <f t="shared" si="84"/>
        <v>0</v>
      </c>
      <c r="Q553" s="32">
        <v>260</v>
      </c>
      <c r="R553" s="32"/>
      <c r="S553" s="25">
        <f t="shared" si="85"/>
        <v>0</v>
      </c>
      <c r="T553" s="32">
        <v>260</v>
      </c>
      <c r="U553" s="32"/>
      <c r="V553" s="25">
        <f t="shared" si="89"/>
        <v>0</v>
      </c>
      <c r="W553" s="32">
        <v>260</v>
      </c>
      <c r="X553" s="32">
        <f t="shared" si="86"/>
        <v>0</v>
      </c>
      <c r="Y553" s="25">
        <f t="shared" si="87"/>
        <v>0</v>
      </c>
      <c r="AD553" s="26"/>
    </row>
    <row r="554" spans="1:30" x14ac:dyDescent="0.2">
      <c r="A554" s="24">
        <f t="shared" si="88"/>
        <v>16.140012391568973</v>
      </c>
      <c r="B554" s="32">
        <v>260.5</v>
      </c>
      <c r="C554" s="32"/>
      <c r="D554" s="25">
        <f t="shared" si="80"/>
        <v>0</v>
      </c>
      <c r="E554" s="32">
        <v>260.5</v>
      </c>
      <c r="F554" s="8"/>
      <c r="G554" s="25">
        <f t="shared" si="81"/>
        <v>0</v>
      </c>
      <c r="H554" s="32">
        <v>260.5</v>
      </c>
      <c r="I554" s="32"/>
      <c r="J554" s="25">
        <f t="shared" si="82"/>
        <v>0</v>
      </c>
      <c r="K554" s="32">
        <v>260.5</v>
      </c>
      <c r="L554" s="31"/>
      <c r="M554" s="25">
        <f t="shared" si="83"/>
        <v>0</v>
      </c>
      <c r="N554" s="32">
        <v>260.5</v>
      </c>
      <c r="O554" s="32"/>
      <c r="P554" s="25">
        <f t="shared" si="84"/>
        <v>0</v>
      </c>
      <c r="Q554" s="32">
        <v>260.5</v>
      </c>
      <c r="R554" s="32"/>
      <c r="S554" s="25">
        <f t="shared" si="85"/>
        <v>0</v>
      </c>
      <c r="T554" s="32">
        <v>260.5</v>
      </c>
      <c r="U554" s="32"/>
      <c r="V554" s="25">
        <f t="shared" si="89"/>
        <v>0</v>
      </c>
      <c r="W554" s="32">
        <v>260.5</v>
      </c>
      <c r="X554" s="32">
        <f t="shared" si="86"/>
        <v>0</v>
      </c>
      <c r="Y554" s="25">
        <f t="shared" si="87"/>
        <v>0</v>
      </c>
      <c r="AD554" s="26"/>
    </row>
    <row r="555" spans="1:30" x14ac:dyDescent="0.2">
      <c r="A555" s="24">
        <f t="shared" si="88"/>
        <v>16.15549442140351</v>
      </c>
      <c r="B555" s="32">
        <v>261</v>
      </c>
      <c r="C555" s="32"/>
      <c r="D555" s="25">
        <f t="shared" si="80"/>
        <v>0</v>
      </c>
      <c r="E555" s="32">
        <v>261</v>
      </c>
      <c r="F555" s="8"/>
      <c r="G555" s="25">
        <f t="shared" si="81"/>
        <v>0</v>
      </c>
      <c r="H555" s="32">
        <v>261</v>
      </c>
      <c r="I555" s="32"/>
      <c r="J555" s="25">
        <f t="shared" si="82"/>
        <v>0</v>
      </c>
      <c r="K555" s="32">
        <v>261</v>
      </c>
      <c r="L555" s="31"/>
      <c r="M555" s="25">
        <f t="shared" si="83"/>
        <v>0</v>
      </c>
      <c r="N555" s="32">
        <v>261</v>
      </c>
      <c r="O555" s="32"/>
      <c r="P555" s="25">
        <f t="shared" si="84"/>
        <v>0</v>
      </c>
      <c r="Q555" s="32">
        <v>261</v>
      </c>
      <c r="R555" s="32"/>
      <c r="S555" s="25">
        <f t="shared" si="85"/>
        <v>0</v>
      </c>
      <c r="T555" s="32">
        <v>261</v>
      </c>
      <c r="U555" s="32"/>
      <c r="V555" s="25">
        <f t="shared" si="89"/>
        <v>0</v>
      </c>
      <c r="W555" s="32">
        <v>261</v>
      </c>
      <c r="X555" s="32">
        <f t="shared" si="86"/>
        <v>0</v>
      </c>
      <c r="Y555" s="25">
        <f t="shared" si="87"/>
        <v>0</v>
      </c>
      <c r="AD555" s="26"/>
    </row>
    <row r="556" spans="1:30" x14ac:dyDescent="0.2">
      <c r="A556" s="24">
        <f t="shared" si="88"/>
        <v>16.170961628796228</v>
      </c>
      <c r="B556" s="32">
        <v>261.5</v>
      </c>
      <c r="C556" s="32"/>
      <c r="D556" s="25">
        <f t="shared" si="80"/>
        <v>0</v>
      </c>
      <c r="E556" s="32">
        <v>261.5</v>
      </c>
      <c r="F556" s="8"/>
      <c r="G556" s="25">
        <f t="shared" si="81"/>
        <v>0</v>
      </c>
      <c r="H556" s="32">
        <v>261.5</v>
      </c>
      <c r="I556" s="32"/>
      <c r="J556" s="25">
        <f t="shared" si="82"/>
        <v>0</v>
      </c>
      <c r="K556" s="32">
        <v>261.5</v>
      </c>
      <c r="L556" s="31"/>
      <c r="M556" s="25">
        <f t="shared" si="83"/>
        <v>0</v>
      </c>
      <c r="N556" s="32">
        <v>261.5</v>
      </c>
      <c r="O556" s="32"/>
      <c r="P556" s="25">
        <f t="shared" si="84"/>
        <v>0</v>
      </c>
      <c r="Q556" s="32">
        <v>261.5</v>
      </c>
      <c r="R556" s="32"/>
      <c r="S556" s="25">
        <f t="shared" si="85"/>
        <v>0</v>
      </c>
      <c r="T556" s="32">
        <v>261.5</v>
      </c>
      <c r="U556" s="32"/>
      <c r="V556" s="25">
        <f t="shared" si="89"/>
        <v>0</v>
      </c>
      <c r="W556" s="32">
        <v>261.5</v>
      </c>
      <c r="X556" s="32">
        <f t="shared" si="86"/>
        <v>0</v>
      </c>
      <c r="Y556" s="25">
        <f t="shared" si="87"/>
        <v>0</v>
      </c>
      <c r="AD556" s="26"/>
    </row>
    <row r="557" spans="1:30" x14ac:dyDescent="0.2">
      <c r="A557" s="24">
        <f t="shared" si="88"/>
        <v>16.186414056238647</v>
      </c>
      <c r="B557" s="32">
        <v>262</v>
      </c>
      <c r="C557" s="32"/>
      <c r="D557" s="25">
        <f t="shared" si="80"/>
        <v>0</v>
      </c>
      <c r="E557" s="32">
        <v>262</v>
      </c>
      <c r="F557" s="8"/>
      <c r="G557" s="25">
        <f t="shared" si="81"/>
        <v>0</v>
      </c>
      <c r="H557" s="32">
        <v>262</v>
      </c>
      <c r="I557" s="32"/>
      <c r="J557" s="25">
        <f t="shared" si="82"/>
        <v>0</v>
      </c>
      <c r="K557" s="32">
        <v>262</v>
      </c>
      <c r="L557" s="31"/>
      <c r="M557" s="25">
        <f t="shared" si="83"/>
        <v>0</v>
      </c>
      <c r="N557" s="32">
        <v>262</v>
      </c>
      <c r="O557" s="32"/>
      <c r="P557" s="25">
        <f t="shared" si="84"/>
        <v>0</v>
      </c>
      <c r="Q557" s="32">
        <v>262</v>
      </c>
      <c r="R557" s="32"/>
      <c r="S557" s="25">
        <f t="shared" si="85"/>
        <v>0</v>
      </c>
      <c r="T557" s="32">
        <v>262</v>
      </c>
      <c r="U557" s="32"/>
      <c r="V557" s="25">
        <f t="shared" si="89"/>
        <v>0</v>
      </c>
      <c r="W557" s="32">
        <v>262</v>
      </c>
      <c r="X557" s="32">
        <f t="shared" si="86"/>
        <v>0</v>
      </c>
      <c r="Y557" s="25">
        <f t="shared" si="87"/>
        <v>0</v>
      </c>
      <c r="AD557" s="26"/>
    </row>
    <row r="558" spans="1:30" x14ac:dyDescent="0.2">
      <c r="A558" s="24">
        <f t="shared" si="88"/>
        <v>16.201851746019649</v>
      </c>
      <c r="B558" s="32">
        <v>262.5</v>
      </c>
      <c r="C558" s="32"/>
      <c r="D558" s="25">
        <f t="shared" si="80"/>
        <v>0</v>
      </c>
      <c r="E558" s="32">
        <v>262.5</v>
      </c>
      <c r="F558" s="8"/>
      <c r="G558" s="25">
        <f t="shared" si="81"/>
        <v>0</v>
      </c>
      <c r="H558" s="32">
        <v>262.5</v>
      </c>
      <c r="I558" s="32"/>
      <c r="J558" s="25">
        <f t="shared" si="82"/>
        <v>0</v>
      </c>
      <c r="K558" s="32">
        <v>262.5</v>
      </c>
      <c r="L558" s="31"/>
      <c r="M558" s="25">
        <f t="shared" si="83"/>
        <v>0</v>
      </c>
      <c r="N558" s="32">
        <v>262.5</v>
      </c>
      <c r="O558" s="32"/>
      <c r="P558" s="25">
        <f t="shared" si="84"/>
        <v>0</v>
      </c>
      <c r="Q558" s="32">
        <v>262.5</v>
      </c>
      <c r="R558" s="32"/>
      <c r="S558" s="25">
        <f t="shared" si="85"/>
        <v>0</v>
      </c>
      <c r="T558" s="32">
        <v>262.5</v>
      </c>
      <c r="U558" s="32"/>
      <c r="V558" s="25">
        <f t="shared" si="89"/>
        <v>0</v>
      </c>
      <c r="W558" s="32">
        <v>262.5</v>
      </c>
      <c r="X558" s="32">
        <f t="shared" si="86"/>
        <v>0</v>
      </c>
      <c r="Y558" s="25">
        <f t="shared" si="87"/>
        <v>0</v>
      </c>
      <c r="AD558" s="26"/>
    </row>
    <row r="559" spans="1:30" x14ac:dyDescent="0.2">
      <c r="A559" s="24">
        <f t="shared" si="88"/>
        <v>16.217274740226856</v>
      </c>
      <c r="B559" s="32">
        <v>263</v>
      </c>
      <c r="C559" s="32"/>
      <c r="D559" s="25">
        <f t="shared" si="80"/>
        <v>0</v>
      </c>
      <c r="E559" s="32">
        <v>263</v>
      </c>
      <c r="F559" s="8"/>
      <c r="G559" s="25">
        <f t="shared" si="81"/>
        <v>0</v>
      </c>
      <c r="H559" s="32">
        <v>263</v>
      </c>
      <c r="I559" s="32"/>
      <c r="J559" s="25">
        <f t="shared" si="82"/>
        <v>0</v>
      </c>
      <c r="K559" s="32">
        <v>263</v>
      </c>
      <c r="L559" s="31"/>
      <c r="M559" s="25">
        <f t="shared" si="83"/>
        <v>0</v>
      </c>
      <c r="N559" s="32">
        <v>263</v>
      </c>
      <c r="O559" s="32"/>
      <c r="P559" s="25">
        <f t="shared" si="84"/>
        <v>0</v>
      </c>
      <c r="Q559" s="32">
        <v>263</v>
      </c>
      <c r="R559" s="32"/>
      <c r="S559" s="25">
        <f t="shared" si="85"/>
        <v>0</v>
      </c>
      <c r="T559" s="32">
        <v>263</v>
      </c>
      <c r="U559" s="32"/>
      <c r="V559" s="25">
        <f t="shared" si="89"/>
        <v>0</v>
      </c>
      <c r="W559" s="32">
        <v>263</v>
      </c>
      <c r="X559" s="32">
        <f t="shared" si="86"/>
        <v>0</v>
      </c>
      <c r="Y559" s="25">
        <f t="shared" si="87"/>
        <v>0</v>
      </c>
      <c r="AD559" s="26"/>
    </row>
    <row r="560" spans="1:30" x14ac:dyDescent="0.2">
      <c r="A560" s="24">
        <f t="shared" si="88"/>
        <v>16.232683080747925</v>
      </c>
      <c r="B560" s="32">
        <v>263.5</v>
      </c>
      <c r="C560" s="32"/>
      <c r="D560" s="25">
        <f t="shared" si="80"/>
        <v>0</v>
      </c>
      <c r="E560" s="32">
        <v>263.5</v>
      </c>
      <c r="F560" s="8"/>
      <c r="G560" s="25">
        <f t="shared" si="81"/>
        <v>0</v>
      </c>
      <c r="H560" s="32">
        <v>263.5</v>
      </c>
      <c r="I560" s="32"/>
      <c r="J560" s="25">
        <f t="shared" si="82"/>
        <v>0</v>
      </c>
      <c r="K560" s="32">
        <v>263.5</v>
      </c>
      <c r="L560" s="31"/>
      <c r="M560" s="25">
        <f t="shared" si="83"/>
        <v>0</v>
      </c>
      <c r="N560" s="32">
        <v>263.5</v>
      </c>
      <c r="O560" s="32"/>
      <c r="P560" s="25">
        <f t="shared" si="84"/>
        <v>0</v>
      </c>
      <c r="Q560" s="32">
        <v>263.5</v>
      </c>
      <c r="R560" s="32"/>
      <c r="S560" s="25">
        <f t="shared" si="85"/>
        <v>0</v>
      </c>
      <c r="T560" s="32">
        <v>263.5</v>
      </c>
      <c r="U560" s="32"/>
      <c r="V560" s="25">
        <f t="shared" si="89"/>
        <v>0</v>
      </c>
      <c r="W560" s="32">
        <v>263.5</v>
      </c>
      <c r="X560" s="32">
        <f t="shared" si="86"/>
        <v>0</v>
      </c>
      <c r="Y560" s="25">
        <f t="shared" si="87"/>
        <v>0</v>
      </c>
      <c r="AD560" s="26"/>
    </row>
    <row r="561" spans="1:30" x14ac:dyDescent="0.2">
      <c r="A561" s="24">
        <f t="shared" si="88"/>
        <v>16.248076809271922</v>
      </c>
      <c r="B561" s="32">
        <v>264</v>
      </c>
      <c r="C561" s="32"/>
      <c r="D561" s="25">
        <f t="shared" si="80"/>
        <v>0</v>
      </c>
      <c r="E561" s="32">
        <v>264</v>
      </c>
      <c r="F561" s="8"/>
      <c r="G561" s="25">
        <f t="shared" si="81"/>
        <v>0</v>
      </c>
      <c r="H561" s="32">
        <v>264</v>
      </c>
      <c r="I561" s="32"/>
      <c r="J561" s="25">
        <f t="shared" si="82"/>
        <v>0</v>
      </c>
      <c r="K561" s="32">
        <v>264</v>
      </c>
      <c r="L561" s="31"/>
      <c r="M561" s="25">
        <f t="shared" si="83"/>
        <v>0</v>
      </c>
      <c r="N561" s="32">
        <v>264</v>
      </c>
      <c r="O561" s="32"/>
      <c r="P561" s="25">
        <f t="shared" si="84"/>
        <v>0</v>
      </c>
      <c r="Q561" s="32">
        <v>264</v>
      </c>
      <c r="R561" s="32"/>
      <c r="S561" s="25">
        <f t="shared" si="85"/>
        <v>0</v>
      </c>
      <c r="T561" s="32">
        <v>264</v>
      </c>
      <c r="U561" s="32"/>
      <c r="V561" s="25">
        <f t="shared" si="89"/>
        <v>0</v>
      </c>
      <c r="W561" s="32">
        <v>264</v>
      </c>
      <c r="X561" s="32">
        <f t="shared" si="86"/>
        <v>0</v>
      </c>
      <c r="Y561" s="25">
        <f t="shared" si="87"/>
        <v>0</v>
      </c>
      <c r="AD561" s="26"/>
    </row>
    <row r="562" spans="1:30" x14ac:dyDescent="0.2">
      <c r="A562" s="24">
        <f t="shared" si="88"/>
        <v>16.263455967290593</v>
      </c>
      <c r="B562" s="32">
        <v>264.5</v>
      </c>
      <c r="C562" s="32"/>
      <c r="D562" s="25">
        <f t="shared" si="80"/>
        <v>0</v>
      </c>
      <c r="E562" s="32">
        <v>264.5</v>
      </c>
      <c r="F562" s="8"/>
      <c r="G562" s="25">
        <f t="shared" si="81"/>
        <v>0</v>
      </c>
      <c r="H562" s="32">
        <v>264.5</v>
      </c>
      <c r="I562" s="32"/>
      <c r="J562" s="25">
        <f t="shared" si="82"/>
        <v>0</v>
      </c>
      <c r="K562" s="32">
        <v>264.5</v>
      </c>
      <c r="L562" s="31"/>
      <c r="M562" s="25">
        <f t="shared" si="83"/>
        <v>0</v>
      </c>
      <c r="N562" s="32">
        <v>264.5</v>
      </c>
      <c r="O562" s="32"/>
      <c r="P562" s="25">
        <f t="shared" si="84"/>
        <v>0</v>
      </c>
      <c r="Q562" s="32">
        <v>264.5</v>
      </c>
      <c r="R562" s="32"/>
      <c r="S562" s="25">
        <f t="shared" si="85"/>
        <v>0</v>
      </c>
      <c r="T562" s="32">
        <v>264.5</v>
      </c>
      <c r="U562" s="32"/>
      <c r="V562" s="25">
        <f t="shared" si="89"/>
        <v>0</v>
      </c>
      <c r="W562" s="32">
        <v>264.5</v>
      </c>
      <c r="X562" s="32">
        <f t="shared" si="86"/>
        <v>0</v>
      </c>
      <c r="Y562" s="25">
        <f t="shared" si="87"/>
        <v>0</v>
      </c>
      <c r="AD562" s="26"/>
    </row>
    <row r="563" spans="1:30" x14ac:dyDescent="0.2">
      <c r="A563" s="24">
        <f t="shared" si="88"/>
        <v>16.278820596099706</v>
      </c>
      <c r="B563" s="32">
        <v>265</v>
      </c>
      <c r="C563" s="32"/>
      <c r="D563" s="25">
        <f t="shared" si="80"/>
        <v>0</v>
      </c>
      <c r="E563" s="32">
        <v>265</v>
      </c>
      <c r="F563" s="8"/>
      <c r="G563" s="25">
        <f t="shared" si="81"/>
        <v>0</v>
      </c>
      <c r="H563" s="32">
        <v>265</v>
      </c>
      <c r="I563" s="32"/>
      <c r="J563" s="25">
        <f t="shared" si="82"/>
        <v>0</v>
      </c>
      <c r="K563" s="32">
        <v>265</v>
      </c>
      <c r="L563" s="31"/>
      <c r="M563" s="25">
        <f t="shared" si="83"/>
        <v>0</v>
      </c>
      <c r="N563" s="32">
        <v>265</v>
      </c>
      <c r="O563" s="32"/>
      <c r="P563" s="25">
        <f t="shared" si="84"/>
        <v>0</v>
      </c>
      <c r="Q563" s="32">
        <v>265</v>
      </c>
      <c r="R563" s="32"/>
      <c r="S563" s="25">
        <f t="shared" si="85"/>
        <v>0</v>
      </c>
      <c r="T563" s="32">
        <v>265</v>
      </c>
      <c r="U563" s="32"/>
      <c r="V563" s="25">
        <f t="shared" si="89"/>
        <v>0</v>
      </c>
      <c r="W563" s="32">
        <v>265</v>
      </c>
      <c r="X563" s="32">
        <f t="shared" si="86"/>
        <v>0</v>
      </c>
      <c r="Y563" s="25">
        <f t="shared" si="87"/>
        <v>0</v>
      </c>
      <c r="AD563" s="26"/>
    </row>
    <row r="564" spans="1:30" x14ac:dyDescent="0.2">
      <c r="A564" s="24">
        <f t="shared" si="88"/>
        <v>16.294170736800325</v>
      </c>
      <c r="B564" s="32">
        <v>265.5</v>
      </c>
      <c r="C564" s="32"/>
      <c r="D564" s="25">
        <f t="shared" si="80"/>
        <v>0</v>
      </c>
      <c r="E564" s="32">
        <v>265.5</v>
      </c>
      <c r="F564" s="8"/>
      <c r="G564" s="25">
        <f t="shared" si="81"/>
        <v>0</v>
      </c>
      <c r="H564" s="32">
        <v>265.5</v>
      </c>
      <c r="I564" s="32"/>
      <c r="J564" s="25">
        <f t="shared" si="82"/>
        <v>0</v>
      </c>
      <c r="K564" s="32">
        <v>265.5</v>
      </c>
      <c r="L564" s="31"/>
      <c r="M564" s="25">
        <f t="shared" si="83"/>
        <v>0</v>
      </c>
      <c r="N564" s="32">
        <v>265.5</v>
      </c>
      <c r="O564" s="32"/>
      <c r="P564" s="25">
        <f t="shared" si="84"/>
        <v>0</v>
      </c>
      <c r="Q564" s="32">
        <v>265.5</v>
      </c>
      <c r="R564" s="32"/>
      <c r="S564" s="25">
        <f t="shared" si="85"/>
        <v>0</v>
      </c>
      <c r="T564" s="32">
        <v>265.5</v>
      </c>
      <c r="U564" s="32"/>
      <c r="V564" s="25">
        <f t="shared" si="89"/>
        <v>0</v>
      </c>
      <c r="W564" s="32">
        <v>265.5</v>
      </c>
      <c r="X564" s="32">
        <f t="shared" si="86"/>
        <v>0</v>
      </c>
      <c r="Y564" s="25">
        <f t="shared" si="87"/>
        <v>0</v>
      </c>
      <c r="AD564" s="26"/>
    </row>
    <row r="565" spans="1:30" x14ac:dyDescent="0.2">
      <c r="A565" s="24">
        <f t="shared" si="88"/>
        <v>16.30950643030009</v>
      </c>
      <c r="B565" s="32">
        <v>266</v>
      </c>
      <c r="C565" s="32"/>
      <c r="D565" s="25">
        <f t="shared" si="80"/>
        <v>0</v>
      </c>
      <c r="E565" s="32">
        <v>266</v>
      </c>
      <c r="F565" s="8"/>
      <c r="G565" s="25">
        <f t="shared" si="81"/>
        <v>0</v>
      </c>
      <c r="H565" s="32">
        <v>266</v>
      </c>
      <c r="I565" s="32"/>
      <c r="J565" s="25">
        <f t="shared" si="82"/>
        <v>0</v>
      </c>
      <c r="K565" s="32">
        <v>266</v>
      </c>
      <c r="L565" s="31"/>
      <c r="M565" s="25">
        <f t="shared" si="83"/>
        <v>0</v>
      </c>
      <c r="N565" s="32">
        <v>266</v>
      </c>
      <c r="O565" s="32"/>
      <c r="P565" s="25">
        <f t="shared" si="84"/>
        <v>0</v>
      </c>
      <c r="Q565" s="32">
        <v>266</v>
      </c>
      <c r="R565" s="32"/>
      <c r="S565" s="25">
        <f t="shared" si="85"/>
        <v>0</v>
      </c>
      <c r="T565" s="32">
        <v>266</v>
      </c>
      <c r="U565" s="32"/>
      <c r="V565" s="25">
        <f t="shared" si="89"/>
        <v>0</v>
      </c>
      <c r="W565" s="32">
        <v>266</v>
      </c>
      <c r="X565" s="32">
        <f t="shared" si="86"/>
        <v>0</v>
      </c>
      <c r="Y565" s="25">
        <f t="shared" si="87"/>
        <v>0</v>
      </c>
      <c r="AD565" s="26"/>
    </row>
    <row r="566" spans="1:30" x14ac:dyDescent="0.2">
      <c r="A566" s="24">
        <f t="shared" si="88"/>
        <v>16.324827717314509</v>
      </c>
      <c r="B566" s="32">
        <v>266.5</v>
      </c>
      <c r="C566" s="32"/>
      <c r="D566" s="25">
        <f t="shared" si="80"/>
        <v>0</v>
      </c>
      <c r="E566" s="32">
        <v>266.5</v>
      </c>
      <c r="F566" s="8"/>
      <c r="G566" s="25">
        <f t="shared" si="81"/>
        <v>0</v>
      </c>
      <c r="H566" s="32">
        <v>266.5</v>
      </c>
      <c r="I566" s="32"/>
      <c r="J566" s="25">
        <f t="shared" si="82"/>
        <v>0</v>
      </c>
      <c r="K566" s="32">
        <v>266.5</v>
      </c>
      <c r="L566" s="31"/>
      <c r="M566" s="25">
        <f t="shared" si="83"/>
        <v>0</v>
      </c>
      <c r="N566" s="32">
        <v>266.5</v>
      </c>
      <c r="O566" s="32"/>
      <c r="P566" s="25">
        <f t="shared" si="84"/>
        <v>0</v>
      </c>
      <c r="Q566" s="32">
        <v>266.5</v>
      </c>
      <c r="R566" s="32"/>
      <c r="S566" s="25">
        <f t="shared" si="85"/>
        <v>0</v>
      </c>
      <c r="T566" s="32">
        <v>266.5</v>
      </c>
      <c r="U566" s="32"/>
      <c r="V566" s="25">
        <f t="shared" si="89"/>
        <v>0</v>
      </c>
      <c r="W566" s="32">
        <v>266.5</v>
      </c>
      <c r="X566" s="32">
        <f t="shared" si="86"/>
        <v>0</v>
      </c>
      <c r="Y566" s="25">
        <f t="shared" si="87"/>
        <v>0</v>
      </c>
      <c r="AD566" s="26"/>
    </row>
    <row r="567" spans="1:30" x14ac:dyDescent="0.2">
      <c r="A567" s="24">
        <f t="shared" si="88"/>
        <v>16.340134638368191</v>
      </c>
      <c r="B567" s="32">
        <v>267</v>
      </c>
      <c r="C567" s="32"/>
      <c r="D567" s="25">
        <f t="shared" si="80"/>
        <v>0</v>
      </c>
      <c r="E567" s="32">
        <v>267</v>
      </c>
      <c r="F567" s="8"/>
      <c r="G567" s="25">
        <f t="shared" si="81"/>
        <v>0</v>
      </c>
      <c r="H567" s="32">
        <v>267</v>
      </c>
      <c r="I567" s="32"/>
      <c r="J567" s="25">
        <f t="shared" si="82"/>
        <v>0</v>
      </c>
      <c r="K567" s="32">
        <v>267</v>
      </c>
      <c r="L567" s="31"/>
      <c r="M567" s="25">
        <f t="shared" si="83"/>
        <v>0</v>
      </c>
      <c r="N567" s="32">
        <v>267</v>
      </c>
      <c r="O567" s="32"/>
      <c r="P567" s="25">
        <f t="shared" si="84"/>
        <v>0</v>
      </c>
      <c r="Q567" s="32">
        <v>267</v>
      </c>
      <c r="R567" s="32"/>
      <c r="S567" s="25">
        <f t="shared" si="85"/>
        <v>0</v>
      </c>
      <c r="T567" s="32">
        <v>267</v>
      </c>
      <c r="U567" s="32"/>
      <c r="V567" s="25">
        <f t="shared" si="89"/>
        <v>0</v>
      </c>
      <c r="W567" s="32">
        <v>267</v>
      </c>
      <c r="X567" s="32">
        <f t="shared" si="86"/>
        <v>0</v>
      </c>
      <c r="Y567" s="25">
        <f t="shared" si="87"/>
        <v>0</v>
      </c>
      <c r="AD567" s="26"/>
    </row>
    <row r="568" spans="1:30" x14ac:dyDescent="0.2">
      <c r="A568" s="24">
        <f t="shared" si="88"/>
        <v>16.355427233796124</v>
      </c>
      <c r="B568" s="32">
        <v>267.5</v>
      </c>
      <c r="C568" s="32"/>
      <c r="D568" s="25">
        <f t="shared" si="80"/>
        <v>0</v>
      </c>
      <c r="E568" s="32">
        <v>267.5</v>
      </c>
      <c r="F568" s="8"/>
      <c r="G568" s="25">
        <f t="shared" si="81"/>
        <v>0</v>
      </c>
      <c r="H568" s="32">
        <v>267.5</v>
      </c>
      <c r="I568" s="32"/>
      <c r="J568" s="25">
        <f t="shared" si="82"/>
        <v>0</v>
      </c>
      <c r="K568" s="32">
        <v>267.5</v>
      </c>
      <c r="L568" s="31"/>
      <c r="M568" s="25">
        <f t="shared" si="83"/>
        <v>0</v>
      </c>
      <c r="N568" s="32">
        <v>267.5</v>
      </c>
      <c r="O568" s="32"/>
      <c r="P568" s="25">
        <f t="shared" si="84"/>
        <v>0</v>
      </c>
      <c r="Q568" s="32">
        <v>267.5</v>
      </c>
      <c r="R568" s="32"/>
      <c r="S568" s="25">
        <f t="shared" si="85"/>
        <v>0</v>
      </c>
      <c r="T568" s="32">
        <v>267.5</v>
      </c>
      <c r="U568" s="32"/>
      <c r="V568" s="25">
        <f t="shared" si="89"/>
        <v>0</v>
      </c>
      <c r="W568" s="32">
        <v>267.5</v>
      </c>
      <c r="X568" s="32">
        <f t="shared" si="86"/>
        <v>0</v>
      </c>
      <c r="Y568" s="25">
        <f t="shared" si="87"/>
        <v>0</v>
      </c>
      <c r="AD568" s="26"/>
    </row>
    <row r="569" spans="1:30" x14ac:dyDescent="0.2">
      <c r="A569" s="24">
        <f t="shared" si="88"/>
        <v>16.370705543744901</v>
      </c>
      <c r="B569" s="32">
        <v>268</v>
      </c>
      <c r="C569" s="32"/>
      <c r="D569" s="25">
        <f t="shared" si="80"/>
        <v>0</v>
      </c>
      <c r="E569" s="32">
        <v>268</v>
      </c>
      <c r="F569" s="8"/>
      <c r="G569" s="25">
        <f t="shared" si="81"/>
        <v>0</v>
      </c>
      <c r="H569" s="32">
        <v>268</v>
      </c>
      <c r="I569" s="32"/>
      <c r="J569" s="25">
        <f t="shared" si="82"/>
        <v>0</v>
      </c>
      <c r="K569" s="32">
        <v>268</v>
      </c>
      <c r="L569" s="31"/>
      <c r="M569" s="25">
        <f t="shared" si="83"/>
        <v>0</v>
      </c>
      <c r="N569" s="32">
        <v>268</v>
      </c>
      <c r="O569" s="32"/>
      <c r="P569" s="25">
        <f t="shared" si="84"/>
        <v>0</v>
      </c>
      <c r="Q569" s="32">
        <v>268</v>
      </c>
      <c r="R569" s="32"/>
      <c r="S569" s="25">
        <f t="shared" si="85"/>
        <v>0</v>
      </c>
      <c r="T569" s="32">
        <v>268</v>
      </c>
      <c r="U569" s="32"/>
      <c r="V569" s="25">
        <f t="shared" si="89"/>
        <v>0</v>
      </c>
      <c r="W569" s="32">
        <v>268</v>
      </c>
      <c r="X569" s="32">
        <f t="shared" si="86"/>
        <v>0</v>
      </c>
      <c r="Y569" s="25">
        <f t="shared" si="87"/>
        <v>0</v>
      </c>
      <c r="AD569" s="26"/>
    </row>
    <row r="570" spans="1:30" x14ac:dyDescent="0.2">
      <c r="A570" s="24">
        <f t="shared" si="88"/>
        <v>16.385969608173941</v>
      </c>
      <c r="B570" s="32">
        <v>268.5</v>
      </c>
      <c r="C570" s="32"/>
      <c r="D570" s="25">
        <f t="shared" si="80"/>
        <v>0</v>
      </c>
      <c r="E570" s="32">
        <v>268.5</v>
      </c>
      <c r="F570" s="8"/>
      <c r="G570" s="25">
        <f t="shared" si="81"/>
        <v>0</v>
      </c>
      <c r="H570" s="32">
        <v>268.5</v>
      </c>
      <c r="I570" s="32"/>
      <c r="J570" s="25">
        <f t="shared" si="82"/>
        <v>0</v>
      </c>
      <c r="K570" s="32">
        <v>268.5</v>
      </c>
      <c r="L570" s="31"/>
      <c r="M570" s="25">
        <f t="shared" si="83"/>
        <v>0</v>
      </c>
      <c r="N570" s="32">
        <v>268.5</v>
      </c>
      <c r="O570" s="32"/>
      <c r="P570" s="25">
        <f t="shared" si="84"/>
        <v>0</v>
      </c>
      <c r="Q570" s="32">
        <v>268.5</v>
      </c>
      <c r="R570" s="32"/>
      <c r="S570" s="25">
        <f t="shared" si="85"/>
        <v>0</v>
      </c>
      <c r="T570" s="32">
        <v>268.5</v>
      </c>
      <c r="U570" s="32"/>
      <c r="V570" s="25">
        <f t="shared" si="89"/>
        <v>0</v>
      </c>
      <c r="W570" s="32">
        <v>268.5</v>
      </c>
      <c r="X570" s="32">
        <f t="shared" si="86"/>
        <v>0</v>
      </c>
      <c r="Y570" s="25">
        <f t="shared" si="87"/>
        <v>0</v>
      </c>
      <c r="AD570" s="26"/>
    </row>
    <row r="571" spans="1:30" x14ac:dyDescent="0.2">
      <c r="A571" s="24">
        <f t="shared" si="88"/>
        <v>16.401219466856727</v>
      </c>
      <c r="B571" s="32">
        <v>269</v>
      </c>
      <c r="C571" s="32"/>
      <c r="D571" s="25">
        <f t="shared" si="80"/>
        <v>0</v>
      </c>
      <c r="E571" s="32">
        <v>269</v>
      </c>
      <c r="F571" s="8"/>
      <c r="G571" s="25">
        <f t="shared" si="81"/>
        <v>0</v>
      </c>
      <c r="H571" s="32">
        <v>269</v>
      </c>
      <c r="I571" s="32"/>
      <c r="J571" s="25">
        <f t="shared" si="82"/>
        <v>0</v>
      </c>
      <c r="K571" s="32">
        <v>269</v>
      </c>
      <c r="L571" s="31"/>
      <c r="M571" s="25">
        <f t="shared" si="83"/>
        <v>0</v>
      </c>
      <c r="N571" s="32">
        <v>269</v>
      </c>
      <c r="O571" s="32"/>
      <c r="P571" s="25">
        <f t="shared" si="84"/>
        <v>0</v>
      </c>
      <c r="Q571" s="32">
        <v>269</v>
      </c>
      <c r="R571" s="32"/>
      <c r="S571" s="25">
        <f t="shared" si="85"/>
        <v>0</v>
      </c>
      <c r="T571" s="32">
        <v>269</v>
      </c>
      <c r="U571" s="32"/>
      <c r="V571" s="25">
        <f t="shared" si="89"/>
        <v>0</v>
      </c>
      <c r="W571" s="32">
        <v>269</v>
      </c>
      <c r="X571" s="32">
        <f t="shared" si="86"/>
        <v>0</v>
      </c>
      <c r="Y571" s="25">
        <f t="shared" si="87"/>
        <v>0</v>
      </c>
      <c r="AD571" s="26"/>
    </row>
    <row r="572" spans="1:30" x14ac:dyDescent="0.2">
      <c r="A572" s="24">
        <f t="shared" si="88"/>
        <v>16.416455159382004</v>
      </c>
      <c r="B572" s="32">
        <v>269.5</v>
      </c>
      <c r="C572" s="32"/>
      <c r="D572" s="25">
        <f t="shared" si="80"/>
        <v>0</v>
      </c>
      <c r="E572" s="32">
        <v>269.5</v>
      </c>
      <c r="F572" s="8"/>
      <c r="G572" s="25">
        <f t="shared" si="81"/>
        <v>0</v>
      </c>
      <c r="H572" s="32">
        <v>269.5</v>
      </c>
      <c r="I572" s="32"/>
      <c r="J572" s="25">
        <f t="shared" si="82"/>
        <v>0</v>
      </c>
      <c r="K572" s="32">
        <v>269.5</v>
      </c>
      <c r="L572" s="31"/>
      <c r="M572" s="25">
        <f t="shared" si="83"/>
        <v>0</v>
      </c>
      <c r="N572" s="32">
        <v>269.5</v>
      </c>
      <c r="O572" s="32"/>
      <c r="P572" s="25">
        <f t="shared" si="84"/>
        <v>0</v>
      </c>
      <c r="Q572" s="32">
        <v>269.5</v>
      </c>
      <c r="R572" s="32"/>
      <c r="S572" s="25">
        <f t="shared" si="85"/>
        <v>0</v>
      </c>
      <c r="T572" s="32">
        <v>269.5</v>
      </c>
      <c r="U572" s="32"/>
      <c r="V572" s="25">
        <f t="shared" si="89"/>
        <v>0</v>
      </c>
      <c r="W572" s="32">
        <v>269.5</v>
      </c>
      <c r="X572" s="32">
        <f t="shared" si="86"/>
        <v>0</v>
      </c>
      <c r="Y572" s="25">
        <f t="shared" si="87"/>
        <v>0</v>
      </c>
      <c r="AD572" s="26"/>
    </row>
    <row r="573" spans="1:30" x14ac:dyDescent="0.2">
      <c r="A573" s="24">
        <f t="shared" si="88"/>
        <v>16.431676725154983</v>
      </c>
      <c r="B573" s="32">
        <v>270</v>
      </c>
      <c r="C573" s="32"/>
      <c r="D573" s="25">
        <f t="shared" si="80"/>
        <v>0</v>
      </c>
      <c r="E573" s="32">
        <v>270</v>
      </c>
      <c r="F573" s="8"/>
      <c r="G573" s="25">
        <f t="shared" si="81"/>
        <v>0</v>
      </c>
      <c r="H573" s="32">
        <v>270</v>
      </c>
      <c r="I573" s="32"/>
      <c r="J573" s="25">
        <f t="shared" si="82"/>
        <v>0</v>
      </c>
      <c r="K573" s="32">
        <v>270</v>
      </c>
      <c r="L573" s="31"/>
      <c r="M573" s="25">
        <f t="shared" si="83"/>
        <v>0</v>
      </c>
      <c r="N573" s="32">
        <v>270</v>
      </c>
      <c r="O573" s="32"/>
      <c r="P573" s="25">
        <f t="shared" si="84"/>
        <v>0</v>
      </c>
      <c r="Q573" s="32">
        <v>270</v>
      </c>
      <c r="R573" s="32"/>
      <c r="S573" s="25">
        <f t="shared" si="85"/>
        <v>0</v>
      </c>
      <c r="T573" s="32">
        <v>270</v>
      </c>
      <c r="U573" s="32"/>
      <c r="V573" s="25">
        <f t="shared" si="89"/>
        <v>0</v>
      </c>
      <c r="W573" s="32">
        <v>270</v>
      </c>
      <c r="X573" s="32">
        <f t="shared" si="86"/>
        <v>0</v>
      </c>
      <c r="Y573" s="25">
        <f t="shared" si="87"/>
        <v>0</v>
      </c>
      <c r="AD573" s="26"/>
    </row>
    <row r="574" spans="1:30" x14ac:dyDescent="0.2">
      <c r="A574" s="24">
        <f t="shared" si="88"/>
        <v>16.446884203398525</v>
      </c>
      <c r="B574" s="32">
        <v>270.5</v>
      </c>
      <c r="C574" s="32"/>
      <c r="D574" s="25">
        <f t="shared" si="80"/>
        <v>0</v>
      </c>
      <c r="E574" s="32">
        <v>270.5</v>
      </c>
      <c r="F574" s="8"/>
      <c r="G574" s="25">
        <f t="shared" si="81"/>
        <v>0</v>
      </c>
      <c r="H574" s="32">
        <v>270.5</v>
      </c>
      <c r="I574" s="32"/>
      <c r="J574" s="25">
        <f t="shared" si="82"/>
        <v>0</v>
      </c>
      <c r="K574" s="32">
        <v>270.5</v>
      </c>
      <c r="L574" s="31"/>
      <c r="M574" s="25">
        <f t="shared" si="83"/>
        <v>0</v>
      </c>
      <c r="N574" s="32">
        <v>270.5</v>
      </c>
      <c r="O574" s="32"/>
      <c r="P574" s="25">
        <f t="shared" si="84"/>
        <v>0</v>
      </c>
      <c r="Q574" s="32">
        <v>270.5</v>
      </c>
      <c r="R574" s="32"/>
      <c r="S574" s="25">
        <f t="shared" si="85"/>
        <v>0</v>
      </c>
      <c r="T574" s="32">
        <v>270.5</v>
      </c>
      <c r="U574" s="32"/>
      <c r="V574" s="25">
        <f t="shared" si="89"/>
        <v>0</v>
      </c>
      <c r="W574" s="32">
        <v>270.5</v>
      </c>
      <c r="X574" s="32">
        <f t="shared" si="86"/>
        <v>0</v>
      </c>
      <c r="Y574" s="25">
        <f t="shared" si="87"/>
        <v>0</v>
      </c>
      <c r="AD574" s="26"/>
    </row>
    <row r="575" spans="1:30" x14ac:dyDescent="0.2">
      <c r="A575" s="24">
        <f t="shared" si="88"/>
        <v>16.46207763315433</v>
      </c>
      <c r="B575" s="32">
        <v>271</v>
      </c>
      <c r="C575" s="32"/>
      <c r="D575" s="25">
        <f t="shared" si="80"/>
        <v>0</v>
      </c>
      <c r="E575" s="32">
        <v>271</v>
      </c>
      <c r="F575" s="8"/>
      <c r="G575" s="25">
        <f t="shared" si="81"/>
        <v>0</v>
      </c>
      <c r="H575" s="32">
        <v>271</v>
      </c>
      <c r="I575" s="32"/>
      <c r="J575" s="25">
        <f t="shared" si="82"/>
        <v>0</v>
      </c>
      <c r="K575" s="32">
        <v>271</v>
      </c>
      <c r="L575" s="31"/>
      <c r="M575" s="25">
        <f t="shared" si="83"/>
        <v>0</v>
      </c>
      <c r="N575" s="32">
        <v>271</v>
      </c>
      <c r="O575" s="32"/>
      <c r="P575" s="25">
        <f t="shared" si="84"/>
        <v>0</v>
      </c>
      <c r="Q575" s="32">
        <v>271</v>
      </c>
      <c r="R575" s="32"/>
      <c r="S575" s="25">
        <f t="shared" si="85"/>
        <v>0</v>
      </c>
      <c r="T575" s="32">
        <v>271</v>
      </c>
      <c r="U575" s="32"/>
      <c r="V575" s="25">
        <f t="shared" si="89"/>
        <v>0</v>
      </c>
      <c r="W575" s="32">
        <v>271</v>
      </c>
      <c r="X575" s="32">
        <f t="shared" si="86"/>
        <v>0</v>
      </c>
      <c r="Y575" s="25">
        <f t="shared" si="87"/>
        <v>0</v>
      </c>
      <c r="AD575" s="26"/>
    </row>
    <row r="576" spans="1:30" x14ac:dyDescent="0.2">
      <c r="A576" s="24">
        <f t="shared" si="88"/>
        <v>16.477257053284081</v>
      </c>
      <c r="B576" s="32">
        <v>271.5</v>
      </c>
      <c r="C576" s="32"/>
      <c r="D576" s="25">
        <f t="shared" si="80"/>
        <v>0</v>
      </c>
      <c r="E576" s="32">
        <v>271.5</v>
      </c>
      <c r="F576" s="8"/>
      <c r="G576" s="25">
        <f t="shared" si="81"/>
        <v>0</v>
      </c>
      <c r="H576" s="32">
        <v>271.5</v>
      </c>
      <c r="I576" s="32"/>
      <c r="J576" s="25">
        <f t="shared" si="82"/>
        <v>0</v>
      </c>
      <c r="K576" s="32">
        <v>271.5</v>
      </c>
      <c r="L576" s="31"/>
      <c r="M576" s="25">
        <f t="shared" si="83"/>
        <v>0</v>
      </c>
      <c r="N576" s="32">
        <v>271.5</v>
      </c>
      <c r="O576" s="32"/>
      <c r="P576" s="25">
        <f t="shared" si="84"/>
        <v>0</v>
      </c>
      <c r="Q576" s="32">
        <v>271.5</v>
      </c>
      <c r="R576" s="32"/>
      <c r="S576" s="25">
        <f t="shared" si="85"/>
        <v>0</v>
      </c>
      <c r="T576" s="32">
        <v>271.5</v>
      </c>
      <c r="U576" s="32"/>
      <c r="V576" s="25">
        <f t="shared" si="89"/>
        <v>0</v>
      </c>
      <c r="W576" s="32">
        <v>271.5</v>
      </c>
      <c r="X576" s="32">
        <f t="shared" si="86"/>
        <v>0</v>
      </c>
      <c r="Y576" s="25">
        <f t="shared" si="87"/>
        <v>0</v>
      </c>
      <c r="AD576" s="26"/>
    </row>
    <row r="577" spans="1:30" x14ac:dyDescent="0.2">
      <c r="A577" s="24">
        <f t="shared" si="88"/>
        <v>16.492422502470642</v>
      </c>
      <c r="B577" s="32">
        <v>272</v>
      </c>
      <c r="C577" s="32"/>
      <c r="D577" s="25">
        <f t="shared" si="80"/>
        <v>0</v>
      </c>
      <c r="E577" s="32">
        <v>272</v>
      </c>
      <c r="F577" s="8"/>
      <c r="G577" s="25">
        <f t="shared" si="81"/>
        <v>0</v>
      </c>
      <c r="H577" s="32">
        <v>272</v>
      </c>
      <c r="I577" s="32"/>
      <c r="J577" s="25">
        <f t="shared" si="82"/>
        <v>0</v>
      </c>
      <c r="K577" s="32">
        <v>272</v>
      </c>
      <c r="L577" s="31"/>
      <c r="M577" s="25">
        <f t="shared" si="83"/>
        <v>0</v>
      </c>
      <c r="N577" s="32">
        <v>272</v>
      </c>
      <c r="O577" s="32"/>
      <c r="P577" s="25">
        <f t="shared" si="84"/>
        <v>0</v>
      </c>
      <c r="Q577" s="32">
        <v>272</v>
      </c>
      <c r="R577" s="32"/>
      <c r="S577" s="25">
        <f t="shared" si="85"/>
        <v>0</v>
      </c>
      <c r="T577" s="32">
        <v>272</v>
      </c>
      <c r="U577" s="32"/>
      <c r="V577" s="25">
        <f t="shared" si="89"/>
        <v>0</v>
      </c>
      <c r="W577" s="32">
        <v>272</v>
      </c>
      <c r="X577" s="32">
        <f t="shared" si="86"/>
        <v>0</v>
      </c>
      <c r="Y577" s="25">
        <f t="shared" si="87"/>
        <v>0</v>
      </c>
      <c r="AD577" s="26"/>
    </row>
    <row r="578" spans="1:30" x14ac:dyDescent="0.2">
      <c r="A578" s="24">
        <f t="shared" si="88"/>
        <v>16.507574019219177</v>
      </c>
      <c r="B578" s="32">
        <v>272.5</v>
      </c>
      <c r="C578" s="32"/>
      <c r="D578" s="25">
        <f t="shared" si="80"/>
        <v>0</v>
      </c>
      <c r="E578" s="32">
        <v>272.5</v>
      </c>
      <c r="F578" s="8"/>
      <c r="G578" s="25">
        <f t="shared" si="81"/>
        <v>0</v>
      </c>
      <c r="H578" s="32">
        <v>272.5</v>
      </c>
      <c r="I578" s="32"/>
      <c r="J578" s="25">
        <f t="shared" si="82"/>
        <v>0</v>
      </c>
      <c r="K578" s="32">
        <v>272.5</v>
      </c>
      <c r="L578" s="31"/>
      <c r="M578" s="25">
        <f t="shared" si="83"/>
        <v>0</v>
      </c>
      <c r="N578" s="32">
        <v>272.5</v>
      </c>
      <c r="O578" s="32"/>
      <c r="P578" s="25">
        <f t="shared" si="84"/>
        <v>0</v>
      </c>
      <c r="Q578" s="32">
        <v>272.5</v>
      </c>
      <c r="R578" s="32"/>
      <c r="S578" s="25">
        <f t="shared" si="85"/>
        <v>0</v>
      </c>
      <c r="T578" s="32">
        <v>272.5</v>
      </c>
      <c r="U578" s="32"/>
      <c r="V578" s="25">
        <f t="shared" si="89"/>
        <v>0</v>
      </c>
      <c r="W578" s="32">
        <v>272.5</v>
      </c>
      <c r="X578" s="32">
        <f t="shared" si="86"/>
        <v>0</v>
      </c>
      <c r="Y578" s="25">
        <f t="shared" si="87"/>
        <v>0</v>
      </c>
      <c r="AD578" s="26"/>
    </row>
    <row r="579" spans="1:30" x14ac:dyDescent="0.2">
      <c r="A579" s="24">
        <f t="shared" si="88"/>
        <v>16.522711641858304</v>
      </c>
      <c r="B579" s="32">
        <v>273</v>
      </c>
      <c r="C579" s="32"/>
      <c r="D579" s="25">
        <f t="shared" si="80"/>
        <v>0</v>
      </c>
      <c r="E579" s="32">
        <v>273</v>
      </c>
      <c r="F579" s="8"/>
      <c r="G579" s="25">
        <f t="shared" si="81"/>
        <v>0</v>
      </c>
      <c r="H579" s="32">
        <v>273</v>
      </c>
      <c r="I579" s="32"/>
      <c r="J579" s="25">
        <f t="shared" si="82"/>
        <v>0</v>
      </c>
      <c r="K579" s="32">
        <v>273</v>
      </c>
      <c r="L579" s="31"/>
      <c r="M579" s="25">
        <f t="shared" si="83"/>
        <v>0</v>
      </c>
      <c r="N579" s="32">
        <v>273</v>
      </c>
      <c r="O579" s="32"/>
      <c r="P579" s="25">
        <f t="shared" si="84"/>
        <v>0</v>
      </c>
      <c r="Q579" s="32">
        <v>273</v>
      </c>
      <c r="R579" s="32"/>
      <c r="S579" s="25">
        <f t="shared" si="85"/>
        <v>0</v>
      </c>
      <c r="T579" s="32">
        <v>273</v>
      </c>
      <c r="U579" s="32"/>
      <c r="V579" s="25">
        <f t="shared" si="89"/>
        <v>0</v>
      </c>
      <c r="W579" s="32">
        <v>273</v>
      </c>
      <c r="X579" s="32">
        <f t="shared" si="86"/>
        <v>0</v>
      </c>
      <c r="Y579" s="25">
        <f t="shared" si="87"/>
        <v>0</v>
      </c>
      <c r="AD579" s="26"/>
    </row>
    <row r="580" spans="1:30" x14ac:dyDescent="0.2">
      <c r="A580" s="24">
        <f t="shared" si="88"/>
        <v>16.537835408541227</v>
      </c>
      <c r="B580" s="32">
        <v>273.5</v>
      </c>
      <c r="C580" s="32"/>
      <c r="D580" s="25">
        <f t="shared" si="80"/>
        <v>0</v>
      </c>
      <c r="E580" s="32">
        <v>273.5</v>
      </c>
      <c r="F580" s="8"/>
      <c r="G580" s="25">
        <f t="shared" si="81"/>
        <v>0</v>
      </c>
      <c r="H580" s="32">
        <v>273.5</v>
      </c>
      <c r="I580" s="32"/>
      <c r="J580" s="25">
        <f t="shared" si="82"/>
        <v>0</v>
      </c>
      <c r="K580" s="32">
        <v>273.5</v>
      </c>
      <c r="L580" s="31"/>
      <c r="M580" s="25">
        <f t="shared" si="83"/>
        <v>0</v>
      </c>
      <c r="N580" s="32">
        <v>273.5</v>
      </c>
      <c r="O580" s="32"/>
      <c r="P580" s="25">
        <f t="shared" si="84"/>
        <v>0</v>
      </c>
      <c r="Q580" s="32">
        <v>273.5</v>
      </c>
      <c r="R580" s="32"/>
      <c r="S580" s="25">
        <f t="shared" si="85"/>
        <v>0</v>
      </c>
      <c r="T580" s="32">
        <v>273.5</v>
      </c>
      <c r="U580" s="32"/>
      <c r="V580" s="25">
        <f t="shared" si="89"/>
        <v>0</v>
      </c>
      <c r="W580" s="32">
        <v>273.5</v>
      </c>
      <c r="X580" s="32">
        <f t="shared" si="86"/>
        <v>0</v>
      </c>
      <c r="Y580" s="25">
        <f t="shared" si="87"/>
        <v>0</v>
      </c>
      <c r="AD580" s="26"/>
    </row>
    <row r="581" spans="1:30" x14ac:dyDescent="0.2">
      <c r="A581" s="24">
        <f t="shared" si="88"/>
        <v>16.552945357246848</v>
      </c>
      <c r="B581" s="32">
        <v>274</v>
      </c>
      <c r="C581" s="32"/>
      <c r="D581" s="25">
        <f t="shared" ref="D581:D644" si="90">C581</f>
        <v>0</v>
      </c>
      <c r="E581" s="32">
        <v>274</v>
      </c>
      <c r="F581" s="8"/>
      <c r="G581" s="25">
        <f t="shared" ref="G581:G644" si="91">F581+$AB$2</f>
        <v>0</v>
      </c>
      <c r="H581" s="32">
        <v>274</v>
      </c>
      <c r="I581" s="32"/>
      <c r="J581" s="25">
        <f t="shared" ref="J581:J644" si="92">I581+$AB$3</f>
        <v>0</v>
      </c>
      <c r="K581" s="32">
        <v>274</v>
      </c>
      <c r="L581" s="31"/>
      <c r="M581" s="25">
        <f t="shared" ref="M581:M644" si="93">L581+$AB$4</f>
        <v>0</v>
      </c>
      <c r="N581" s="32">
        <v>274</v>
      </c>
      <c r="O581" s="32"/>
      <c r="P581" s="25">
        <f t="shared" ref="P581:P644" si="94">O581+$AB$5</f>
        <v>0</v>
      </c>
      <c r="Q581" s="32">
        <v>274</v>
      </c>
      <c r="R581" s="32"/>
      <c r="S581" s="25">
        <f t="shared" ref="S581:S644" si="95">R581+$AB$6</f>
        <v>0</v>
      </c>
      <c r="T581" s="32">
        <v>274</v>
      </c>
      <c r="U581" s="32"/>
      <c r="V581" s="25">
        <f t="shared" si="89"/>
        <v>0</v>
      </c>
      <c r="W581" s="32">
        <v>274</v>
      </c>
      <c r="X581" s="32">
        <f t="shared" ref="X581:X644" si="96">U581</f>
        <v>0</v>
      </c>
      <c r="Y581" s="25">
        <f t="shared" ref="Y581:Y644" si="97">X581+$AB$8</f>
        <v>0</v>
      </c>
      <c r="AD581" s="26"/>
    </row>
    <row r="582" spans="1:30" x14ac:dyDescent="0.2">
      <c r="A582" s="24">
        <f t="shared" ref="A582:A645" si="98">SQRT(B582)</f>
        <v>16.568041525780892</v>
      </c>
      <c r="B582" s="32">
        <v>274.5</v>
      </c>
      <c r="C582" s="32"/>
      <c r="D582" s="25">
        <f t="shared" si="90"/>
        <v>0</v>
      </c>
      <c r="E582" s="32">
        <v>274.5</v>
      </c>
      <c r="F582" s="8"/>
      <c r="G582" s="25">
        <f t="shared" si="91"/>
        <v>0</v>
      </c>
      <c r="H582" s="32">
        <v>274.5</v>
      </c>
      <c r="I582" s="32"/>
      <c r="J582" s="25">
        <f t="shared" si="92"/>
        <v>0</v>
      </c>
      <c r="K582" s="32">
        <v>274.5</v>
      </c>
      <c r="L582" s="31"/>
      <c r="M582" s="25">
        <f t="shared" si="93"/>
        <v>0</v>
      </c>
      <c r="N582" s="32">
        <v>274.5</v>
      </c>
      <c r="O582" s="32"/>
      <c r="P582" s="25">
        <f t="shared" si="94"/>
        <v>0</v>
      </c>
      <c r="Q582" s="32">
        <v>274.5</v>
      </c>
      <c r="R582" s="32"/>
      <c r="S582" s="25">
        <f t="shared" si="95"/>
        <v>0</v>
      </c>
      <c r="T582" s="32">
        <v>274.5</v>
      </c>
      <c r="U582" s="32"/>
      <c r="V582" s="25">
        <f t="shared" ref="V582:V645" si="99">Y582</f>
        <v>0</v>
      </c>
      <c r="W582" s="32">
        <v>274.5</v>
      </c>
      <c r="X582" s="32">
        <f t="shared" si="96"/>
        <v>0</v>
      </c>
      <c r="Y582" s="25">
        <f t="shared" si="97"/>
        <v>0</v>
      </c>
      <c r="AD582" s="26"/>
    </row>
    <row r="583" spans="1:30" x14ac:dyDescent="0.2">
      <c r="A583" s="24">
        <f t="shared" si="98"/>
        <v>16.583123951777001</v>
      </c>
      <c r="B583" s="32">
        <v>275</v>
      </c>
      <c r="C583" s="32"/>
      <c r="D583" s="25">
        <f t="shared" si="90"/>
        <v>0</v>
      </c>
      <c r="E583" s="32">
        <v>275</v>
      </c>
      <c r="F583" s="8"/>
      <c r="G583" s="25">
        <f t="shared" si="91"/>
        <v>0</v>
      </c>
      <c r="H583" s="32">
        <v>275</v>
      </c>
      <c r="I583" s="32"/>
      <c r="J583" s="25">
        <f t="shared" si="92"/>
        <v>0</v>
      </c>
      <c r="K583" s="32">
        <v>275</v>
      </c>
      <c r="L583" s="31"/>
      <c r="M583" s="25">
        <f t="shared" si="93"/>
        <v>0</v>
      </c>
      <c r="N583" s="32">
        <v>275</v>
      </c>
      <c r="O583" s="32"/>
      <c r="P583" s="25">
        <f t="shared" si="94"/>
        <v>0</v>
      </c>
      <c r="Q583" s="32">
        <v>275</v>
      </c>
      <c r="R583" s="32"/>
      <c r="S583" s="25">
        <f t="shared" si="95"/>
        <v>0</v>
      </c>
      <c r="T583" s="32">
        <v>275</v>
      </c>
      <c r="U583" s="32"/>
      <c r="V583" s="25">
        <f t="shared" si="99"/>
        <v>0</v>
      </c>
      <c r="W583" s="32">
        <v>275</v>
      </c>
      <c r="X583" s="32">
        <f t="shared" si="96"/>
        <v>0</v>
      </c>
      <c r="Y583" s="25">
        <f t="shared" si="97"/>
        <v>0</v>
      </c>
      <c r="AD583" s="26"/>
    </row>
    <row r="584" spans="1:30" x14ac:dyDescent="0.2">
      <c r="A584" s="24">
        <f t="shared" si="98"/>
        <v>16.598192672697831</v>
      </c>
      <c r="B584" s="32">
        <v>275.5</v>
      </c>
      <c r="C584" s="32"/>
      <c r="D584" s="25">
        <f t="shared" si="90"/>
        <v>0</v>
      </c>
      <c r="E584" s="32">
        <v>275.5</v>
      </c>
      <c r="F584" s="8"/>
      <c r="G584" s="25">
        <f t="shared" si="91"/>
        <v>0</v>
      </c>
      <c r="H584" s="32">
        <v>275.5</v>
      </c>
      <c r="I584" s="32"/>
      <c r="J584" s="25">
        <f t="shared" si="92"/>
        <v>0</v>
      </c>
      <c r="K584" s="32">
        <v>275.5</v>
      </c>
      <c r="L584" s="31"/>
      <c r="M584" s="25">
        <f t="shared" si="93"/>
        <v>0</v>
      </c>
      <c r="N584" s="32">
        <v>275.5</v>
      </c>
      <c r="O584" s="32"/>
      <c r="P584" s="25">
        <f t="shared" si="94"/>
        <v>0</v>
      </c>
      <c r="Q584" s="32">
        <v>275.5</v>
      </c>
      <c r="R584" s="32"/>
      <c r="S584" s="25">
        <f t="shared" si="95"/>
        <v>0</v>
      </c>
      <c r="T584" s="32">
        <v>275.5</v>
      </c>
      <c r="U584" s="32"/>
      <c r="V584" s="25">
        <f t="shared" si="99"/>
        <v>0</v>
      </c>
      <c r="W584" s="32">
        <v>275.5</v>
      </c>
      <c r="X584" s="32">
        <f t="shared" si="96"/>
        <v>0</v>
      </c>
      <c r="Y584" s="25">
        <f t="shared" si="97"/>
        <v>0</v>
      </c>
      <c r="AD584" s="26"/>
    </row>
    <row r="585" spans="1:30" x14ac:dyDescent="0.2">
      <c r="A585" s="24">
        <f t="shared" si="98"/>
        <v>16.61324772583615</v>
      </c>
      <c r="B585" s="32">
        <v>276</v>
      </c>
      <c r="C585" s="32"/>
      <c r="D585" s="25">
        <f t="shared" si="90"/>
        <v>0</v>
      </c>
      <c r="E585" s="32">
        <v>276</v>
      </c>
      <c r="F585" s="8"/>
      <c r="G585" s="25">
        <f t="shared" si="91"/>
        <v>0</v>
      </c>
      <c r="H585" s="32">
        <v>276</v>
      </c>
      <c r="I585" s="32"/>
      <c r="J585" s="25">
        <f t="shared" si="92"/>
        <v>0</v>
      </c>
      <c r="K585" s="32">
        <v>276</v>
      </c>
      <c r="L585" s="31"/>
      <c r="M585" s="25">
        <f t="shared" si="93"/>
        <v>0</v>
      </c>
      <c r="N585" s="32">
        <v>276</v>
      </c>
      <c r="O585" s="32"/>
      <c r="P585" s="25">
        <f t="shared" si="94"/>
        <v>0</v>
      </c>
      <c r="Q585" s="32">
        <v>276</v>
      </c>
      <c r="R585" s="32"/>
      <c r="S585" s="25">
        <f t="shared" si="95"/>
        <v>0</v>
      </c>
      <c r="T585" s="32">
        <v>276</v>
      </c>
      <c r="U585" s="32"/>
      <c r="V585" s="25">
        <f t="shared" si="99"/>
        <v>0</v>
      </c>
      <c r="W585" s="32">
        <v>276</v>
      </c>
      <c r="X585" s="32">
        <f t="shared" si="96"/>
        <v>0</v>
      </c>
      <c r="Y585" s="25">
        <f t="shared" si="97"/>
        <v>0</v>
      </c>
      <c r="AD585" s="26"/>
    </row>
    <row r="586" spans="1:30" x14ac:dyDescent="0.2">
      <c r="A586" s="24">
        <f t="shared" si="98"/>
        <v>16.62828914831589</v>
      </c>
      <c r="B586" s="32">
        <v>276.5</v>
      </c>
      <c r="C586" s="32"/>
      <c r="D586" s="25">
        <f t="shared" si="90"/>
        <v>0</v>
      </c>
      <c r="E586" s="32">
        <v>276.5</v>
      </c>
      <c r="F586" s="8"/>
      <c r="G586" s="25">
        <f t="shared" si="91"/>
        <v>0</v>
      </c>
      <c r="H586" s="32">
        <v>276.5</v>
      </c>
      <c r="I586" s="32"/>
      <c r="J586" s="25">
        <f t="shared" si="92"/>
        <v>0</v>
      </c>
      <c r="K586" s="32">
        <v>276.5</v>
      </c>
      <c r="L586" s="31"/>
      <c r="M586" s="25">
        <f t="shared" si="93"/>
        <v>0</v>
      </c>
      <c r="N586" s="32">
        <v>276.5</v>
      </c>
      <c r="O586" s="32"/>
      <c r="P586" s="25">
        <f t="shared" si="94"/>
        <v>0</v>
      </c>
      <c r="Q586" s="32">
        <v>276.5</v>
      </c>
      <c r="R586" s="32"/>
      <c r="S586" s="25">
        <f t="shared" si="95"/>
        <v>0</v>
      </c>
      <c r="T586" s="32">
        <v>276.5</v>
      </c>
      <c r="U586" s="32"/>
      <c r="V586" s="25">
        <f t="shared" si="99"/>
        <v>0</v>
      </c>
      <c r="W586" s="32">
        <v>276.5</v>
      </c>
      <c r="X586" s="32">
        <f t="shared" si="96"/>
        <v>0</v>
      </c>
      <c r="Y586" s="25">
        <f t="shared" si="97"/>
        <v>0</v>
      </c>
      <c r="AD586" s="26"/>
    </row>
    <row r="587" spans="1:30" x14ac:dyDescent="0.2">
      <c r="A587" s="24">
        <f t="shared" si="98"/>
        <v>16.643316977093239</v>
      </c>
      <c r="B587" s="32">
        <v>277</v>
      </c>
      <c r="C587" s="32"/>
      <c r="D587" s="25">
        <f t="shared" si="90"/>
        <v>0</v>
      </c>
      <c r="E587" s="32">
        <v>277</v>
      </c>
      <c r="F587" s="8"/>
      <c r="G587" s="25">
        <f t="shared" si="91"/>
        <v>0</v>
      </c>
      <c r="H587" s="32">
        <v>277</v>
      </c>
      <c r="I587" s="32"/>
      <c r="J587" s="25">
        <f t="shared" si="92"/>
        <v>0</v>
      </c>
      <c r="K587" s="32">
        <v>277</v>
      </c>
      <c r="L587" s="31"/>
      <c r="M587" s="25">
        <f t="shared" si="93"/>
        <v>0</v>
      </c>
      <c r="N587" s="32">
        <v>277</v>
      </c>
      <c r="O587" s="32"/>
      <c r="P587" s="25">
        <f t="shared" si="94"/>
        <v>0</v>
      </c>
      <c r="Q587" s="32">
        <v>277</v>
      </c>
      <c r="R587" s="32"/>
      <c r="S587" s="25">
        <f t="shared" si="95"/>
        <v>0</v>
      </c>
      <c r="T587" s="32">
        <v>277</v>
      </c>
      <c r="U587" s="32"/>
      <c r="V587" s="25">
        <f t="shared" si="99"/>
        <v>0</v>
      </c>
      <c r="W587" s="32">
        <v>277</v>
      </c>
      <c r="X587" s="32">
        <f t="shared" si="96"/>
        <v>0</v>
      </c>
      <c r="Y587" s="25">
        <f t="shared" si="97"/>
        <v>0</v>
      </c>
      <c r="AD587" s="26"/>
    </row>
    <row r="588" spans="1:30" x14ac:dyDescent="0.2">
      <c r="A588" s="24">
        <f t="shared" si="98"/>
        <v>16.658331248957683</v>
      </c>
      <c r="B588" s="32">
        <v>277.5</v>
      </c>
      <c r="C588" s="32"/>
      <c r="D588" s="25">
        <f t="shared" si="90"/>
        <v>0</v>
      </c>
      <c r="E588" s="32">
        <v>277.5</v>
      </c>
      <c r="F588" s="8"/>
      <c r="G588" s="25">
        <f t="shared" si="91"/>
        <v>0</v>
      </c>
      <c r="H588" s="32">
        <v>277.5</v>
      </c>
      <c r="I588" s="32"/>
      <c r="J588" s="25">
        <f t="shared" si="92"/>
        <v>0</v>
      </c>
      <c r="K588" s="32">
        <v>277.5</v>
      </c>
      <c r="L588" s="31"/>
      <c r="M588" s="25">
        <f t="shared" si="93"/>
        <v>0</v>
      </c>
      <c r="N588" s="32">
        <v>277.5</v>
      </c>
      <c r="O588" s="32"/>
      <c r="P588" s="25">
        <f t="shared" si="94"/>
        <v>0</v>
      </c>
      <c r="Q588" s="32">
        <v>277.5</v>
      </c>
      <c r="R588" s="32"/>
      <c r="S588" s="25">
        <f t="shared" si="95"/>
        <v>0</v>
      </c>
      <c r="T588" s="32">
        <v>277.5</v>
      </c>
      <c r="U588" s="32"/>
      <c r="V588" s="25">
        <f t="shared" si="99"/>
        <v>0</v>
      </c>
      <c r="W588" s="32">
        <v>277.5</v>
      </c>
      <c r="X588" s="32">
        <f t="shared" si="96"/>
        <v>0</v>
      </c>
      <c r="Y588" s="25">
        <f t="shared" si="97"/>
        <v>0</v>
      </c>
      <c r="AD588" s="26"/>
    </row>
    <row r="589" spans="1:30" x14ac:dyDescent="0.2">
      <c r="A589" s="24">
        <f t="shared" si="98"/>
        <v>16.673332000533065</v>
      </c>
      <c r="B589" s="32">
        <v>278</v>
      </c>
      <c r="C589" s="32"/>
      <c r="D589" s="25">
        <f t="shared" si="90"/>
        <v>0</v>
      </c>
      <c r="E589" s="32">
        <v>278</v>
      </c>
      <c r="F589" s="8"/>
      <c r="G589" s="25">
        <f t="shared" si="91"/>
        <v>0</v>
      </c>
      <c r="H589" s="32">
        <v>278</v>
      </c>
      <c r="I589" s="32"/>
      <c r="J589" s="25">
        <f t="shared" si="92"/>
        <v>0</v>
      </c>
      <c r="K589" s="32">
        <v>278</v>
      </c>
      <c r="L589" s="31"/>
      <c r="M589" s="25">
        <f t="shared" si="93"/>
        <v>0</v>
      </c>
      <c r="N589" s="32">
        <v>278</v>
      </c>
      <c r="O589" s="32"/>
      <c r="P589" s="25">
        <f t="shared" si="94"/>
        <v>0</v>
      </c>
      <c r="Q589" s="32">
        <v>278</v>
      </c>
      <c r="R589" s="32"/>
      <c r="S589" s="25">
        <f t="shared" si="95"/>
        <v>0</v>
      </c>
      <c r="T589" s="32">
        <v>278</v>
      </c>
      <c r="U589" s="32"/>
      <c r="V589" s="25">
        <f t="shared" si="99"/>
        <v>0</v>
      </c>
      <c r="W589" s="32">
        <v>278</v>
      </c>
      <c r="X589" s="32">
        <f t="shared" si="96"/>
        <v>0</v>
      </c>
      <c r="Y589" s="25">
        <f t="shared" si="97"/>
        <v>0</v>
      </c>
      <c r="AD589" s="26"/>
    </row>
    <row r="590" spans="1:30" x14ac:dyDescent="0.2">
      <c r="A590" s="24">
        <f t="shared" si="98"/>
        <v>16.688319268278637</v>
      </c>
      <c r="B590" s="32">
        <v>278.5</v>
      </c>
      <c r="C590" s="32"/>
      <c r="D590" s="25">
        <f t="shared" si="90"/>
        <v>0</v>
      </c>
      <c r="E590" s="32">
        <v>278.5</v>
      </c>
      <c r="F590" s="8"/>
      <c r="G590" s="25">
        <f t="shared" si="91"/>
        <v>0</v>
      </c>
      <c r="H590" s="32">
        <v>278.5</v>
      </c>
      <c r="I590" s="32"/>
      <c r="J590" s="25">
        <f t="shared" si="92"/>
        <v>0</v>
      </c>
      <c r="K590" s="32">
        <v>278.5</v>
      </c>
      <c r="L590" s="31"/>
      <c r="M590" s="25">
        <f t="shared" si="93"/>
        <v>0</v>
      </c>
      <c r="N590" s="32">
        <v>278.5</v>
      </c>
      <c r="O590" s="32"/>
      <c r="P590" s="25">
        <f t="shared" si="94"/>
        <v>0</v>
      </c>
      <c r="Q590" s="32">
        <v>278.5</v>
      </c>
      <c r="R590" s="32"/>
      <c r="S590" s="25">
        <f t="shared" si="95"/>
        <v>0</v>
      </c>
      <c r="T590" s="32">
        <v>278.5</v>
      </c>
      <c r="U590" s="32"/>
      <c r="V590" s="25">
        <f t="shared" si="99"/>
        <v>0</v>
      </c>
      <c r="W590" s="32">
        <v>278.5</v>
      </c>
      <c r="X590" s="32">
        <f t="shared" si="96"/>
        <v>0</v>
      </c>
      <c r="Y590" s="25">
        <f t="shared" si="97"/>
        <v>0</v>
      </c>
      <c r="AD590" s="26"/>
    </row>
    <row r="591" spans="1:30" x14ac:dyDescent="0.2">
      <c r="A591" s="24">
        <f t="shared" si="98"/>
        <v>16.703293088490067</v>
      </c>
      <c r="B591" s="32">
        <v>279</v>
      </c>
      <c r="C591" s="32"/>
      <c r="D591" s="25">
        <f t="shared" si="90"/>
        <v>0</v>
      </c>
      <c r="E591" s="32">
        <v>279</v>
      </c>
      <c r="F591" s="8"/>
      <c r="G591" s="25">
        <f t="shared" si="91"/>
        <v>0</v>
      </c>
      <c r="H591" s="32">
        <v>279</v>
      </c>
      <c r="I591" s="32"/>
      <c r="J591" s="25">
        <f t="shared" si="92"/>
        <v>0</v>
      </c>
      <c r="K591" s="32">
        <v>279</v>
      </c>
      <c r="L591" s="31"/>
      <c r="M591" s="25">
        <f t="shared" si="93"/>
        <v>0</v>
      </c>
      <c r="N591" s="32">
        <v>279</v>
      </c>
      <c r="O591" s="32"/>
      <c r="P591" s="25">
        <f t="shared" si="94"/>
        <v>0</v>
      </c>
      <c r="Q591" s="32">
        <v>279</v>
      </c>
      <c r="R591" s="32"/>
      <c r="S591" s="25">
        <f t="shared" si="95"/>
        <v>0</v>
      </c>
      <c r="T591" s="32">
        <v>279</v>
      </c>
      <c r="U591" s="32"/>
      <c r="V591" s="25">
        <f t="shared" si="99"/>
        <v>0</v>
      </c>
      <c r="W591" s="32">
        <v>279</v>
      </c>
      <c r="X591" s="32">
        <f t="shared" si="96"/>
        <v>0</v>
      </c>
      <c r="Y591" s="25">
        <f t="shared" si="97"/>
        <v>0</v>
      </c>
      <c r="AD591" s="26"/>
    </row>
    <row r="592" spans="1:30" x14ac:dyDescent="0.2">
      <c r="A592" s="24">
        <f t="shared" si="98"/>
        <v>16.718253497300488</v>
      </c>
      <c r="B592" s="32">
        <v>279.5</v>
      </c>
      <c r="C592" s="32"/>
      <c r="D592" s="25">
        <f t="shared" si="90"/>
        <v>0</v>
      </c>
      <c r="E592" s="32">
        <v>279.5</v>
      </c>
      <c r="F592" s="8"/>
      <c r="G592" s="25">
        <f t="shared" si="91"/>
        <v>0</v>
      </c>
      <c r="H592" s="32">
        <v>279.5</v>
      </c>
      <c r="I592" s="32"/>
      <c r="J592" s="25">
        <f t="shared" si="92"/>
        <v>0</v>
      </c>
      <c r="K592" s="32">
        <v>279.5</v>
      </c>
      <c r="L592" s="31"/>
      <c r="M592" s="25">
        <f t="shared" si="93"/>
        <v>0</v>
      </c>
      <c r="N592" s="32">
        <v>279.5</v>
      </c>
      <c r="O592" s="32"/>
      <c r="P592" s="25">
        <f t="shared" si="94"/>
        <v>0</v>
      </c>
      <c r="Q592" s="32">
        <v>279.5</v>
      </c>
      <c r="R592" s="32"/>
      <c r="S592" s="25">
        <f t="shared" si="95"/>
        <v>0</v>
      </c>
      <c r="T592" s="32">
        <v>279.5</v>
      </c>
      <c r="U592" s="32"/>
      <c r="V592" s="25">
        <f t="shared" si="99"/>
        <v>0</v>
      </c>
      <c r="W592" s="32">
        <v>279.5</v>
      </c>
      <c r="X592" s="32">
        <f t="shared" si="96"/>
        <v>0</v>
      </c>
      <c r="Y592" s="25">
        <f t="shared" si="97"/>
        <v>0</v>
      </c>
      <c r="AD592" s="26"/>
    </row>
    <row r="593" spans="1:30" x14ac:dyDescent="0.2">
      <c r="A593" s="24">
        <f t="shared" si="98"/>
        <v>16.733200530681511</v>
      </c>
      <c r="B593" s="32">
        <v>280</v>
      </c>
      <c r="C593" s="32"/>
      <c r="D593" s="25">
        <f t="shared" si="90"/>
        <v>0</v>
      </c>
      <c r="E593" s="32">
        <v>280</v>
      </c>
      <c r="F593" s="8"/>
      <c r="G593" s="25">
        <f t="shared" si="91"/>
        <v>0</v>
      </c>
      <c r="H593" s="32">
        <v>280</v>
      </c>
      <c r="I593" s="32"/>
      <c r="J593" s="25">
        <f t="shared" si="92"/>
        <v>0</v>
      </c>
      <c r="K593" s="32">
        <v>280</v>
      </c>
      <c r="L593" s="31"/>
      <c r="M593" s="25">
        <f t="shared" si="93"/>
        <v>0</v>
      </c>
      <c r="N593" s="32">
        <v>280</v>
      </c>
      <c r="O593" s="32"/>
      <c r="P593" s="25">
        <f t="shared" si="94"/>
        <v>0</v>
      </c>
      <c r="Q593" s="32">
        <v>280</v>
      </c>
      <c r="R593" s="32"/>
      <c r="S593" s="25">
        <f t="shared" si="95"/>
        <v>0</v>
      </c>
      <c r="T593" s="32">
        <v>280</v>
      </c>
      <c r="U593" s="32"/>
      <c r="V593" s="25">
        <f t="shared" si="99"/>
        <v>0</v>
      </c>
      <c r="W593" s="32">
        <v>280</v>
      </c>
      <c r="X593" s="32">
        <f t="shared" si="96"/>
        <v>0</v>
      </c>
      <c r="Y593" s="25">
        <f t="shared" si="97"/>
        <v>0</v>
      </c>
      <c r="AD593" s="26"/>
    </row>
    <row r="594" spans="1:30" x14ac:dyDescent="0.2">
      <c r="A594" s="24">
        <f t="shared" si="98"/>
        <v>16.748134224444225</v>
      </c>
      <c r="B594" s="32">
        <v>280.5</v>
      </c>
      <c r="C594" s="32"/>
      <c r="D594" s="25">
        <f t="shared" si="90"/>
        <v>0</v>
      </c>
      <c r="E594" s="32">
        <v>280.5</v>
      </c>
      <c r="F594" s="8"/>
      <c r="G594" s="25">
        <f t="shared" si="91"/>
        <v>0</v>
      </c>
      <c r="H594" s="32">
        <v>280.5</v>
      </c>
      <c r="I594" s="32"/>
      <c r="J594" s="25">
        <f t="shared" si="92"/>
        <v>0</v>
      </c>
      <c r="K594" s="32">
        <v>280.5</v>
      </c>
      <c r="L594" s="31"/>
      <c r="M594" s="25">
        <f t="shared" si="93"/>
        <v>0</v>
      </c>
      <c r="N594" s="32">
        <v>280.5</v>
      </c>
      <c r="O594" s="32"/>
      <c r="P594" s="25">
        <f t="shared" si="94"/>
        <v>0</v>
      </c>
      <c r="Q594" s="32">
        <v>280.5</v>
      </c>
      <c r="R594" s="32"/>
      <c r="S594" s="25">
        <f t="shared" si="95"/>
        <v>0</v>
      </c>
      <c r="T594" s="32">
        <v>280.5</v>
      </c>
      <c r="U594" s="32"/>
      <c r="V594" s="25">
        <f t="shared" si="99"/>
        <v>0</v>
      </c>
      <c r="W594" s="32">
        <v>280.5</v>
      </c>
      <c r="X594" s="32">
        <f t="shared" si="96"/>
        <v>0</v>
      </c>
      <c r="Y594" s="25">
        <f t="shared" si="97"/>
        <v>0</v>
      </c>
      <c r="AD594" s="26"/>
    </row>
    <row r="595" spans="1:30" x14ac:dyDescent="0.2">
      <c r="A595" s="24">
        <f t="shared" si="98"/>
        <v>16.763054614240211</v>
      </c>
      <c r="B595" s="32">
        <v>281</v>
      </c>
      <c r="C595" s="32"/>
      <c r="D595" s="25">
        <f t="shared" si="90"/>
        <v>0</v>
      </c>
      <c r="E595" s="32">
        <v>281</v>
      </c>
      <c r="F595" s="8"/>
      <c r="G595" s="25">
        <f t="shared" si="91"/>
        <v>0</v>
      </c>
      <c r="H595" s="32">
        <v>281</v>
      </c>
      <c r="I595" s="32"/>
      <c r="J595" s="25">
        <f t="shared" si="92"/>
        <v>0</v>
      </c>
      <c r="K595" s="32">
        <v>281</v>
      </c>
      <c r="L595" s="31"/>
      <c r="M595" s="25">
        <f t="shared" si="93"/>
        <v>0</v>
      </c>
      <c r="N595" s="32">
        <v>281</v>
      </c>
      <c r="O595" s="32"/>
      <c r="P595" s="25">
        <f t="shared" si="94"/>
        <v>0</v>
      </c>
      <c r="Q595" s="32">
        <v>281</v>
      </c>
      <c r="R595" s="32"/>
      <c r="S595" s="25">
        <f t="shared" si="95"/>
        <v>0</v>
      </c>
      <c r="T595" s="32">
        <v>281</v>
      </c>
      <c r="U595" s="32"/>
      <c r="V595" s="25">
        <f t="shared" si="99"/>
        <v>0</v>
      </c>
      <c r="W595" s="32">
        <v>281</v>
      </c>
      <c r="X595" s="32">
        <f t="shared" si="96"/>
        <v>0</v>
      </c>
      <c r="Y595" s="25">
        <f t="shared" si="97"/>
        <v>0</v>
      </c>
      <c r="AD595" s="26"/>
    </row>
    <row r="596" spans="1:30" x14ac:dyDescent="0.2">
      <c r="A596" s="24">
        <f t="shared" si="98"/>
        <v>16.777961735562517</v>
      </c>
      <c r="B596" s="32">
        <v>281.5</v>
      </c>
      <c r="C596" s="32"/>
      <c r="D596" s="25">
        <f t="shared" si="90"/>
        <v>0</v>
      </c>
      <c r="E596" s="32">
        <v>281.5</v>
      </c>
      <c r="F596" s="8"/>
      <c r="G596" s="25">
        <f t="shared" si="91"/>
        <v>0</v>
      </c>
      <c r="H596" s="32">
        <v>281.5</v>
      </c>
      <c r="I596" s="32"/>
      <c r="J596" s="25">
        <f t="shared" si="92"/>
        <v>0</v>
      </c>
      <c r="K596" s="32">
        <v>281.5</v>
      </c>
      <c r="L596" s="31"/>
      <c r="M596" s="25">
        <f t="shared" si="93"/>
        <v>0</v>
      </c>
      <c r="N596" s="32">
        <v>281.5</v>
      </c>
      <c r="O596" s="32"/>
      <c r="P596" s="25">
        <f t="shared" si="94"/>
        <v>0</v>
      </c>
      <c r="Q596" s="32">
        <v>281.5</v>
      </c>
      <c r="R596" s="32"/>
      <c r="S596" s="25">
        <f t="shared" si="95"/>
        <v>0</v>
      </c>
      <c r="T596" s="32">
        <v>281.5</v>
      </c>
      <c r="U596" s="32"/>
      <c r="V596" s="25">
        <f t="shared" si="99"/>
        <v>0</v>
      </c>
      <c r="W596" s="32">
        <v>281.5</v>
      </c>
      <c r="X596" s="32">
        <f t="shared" si="96"/>
        <v>0</v>
      </c>
      <c r="Y596" s="25">
        <f t="shared" si="97"/>
        <v>0</v>
      </c>
      <c r="AD596" s="26"/>
    </row>
    <row r="597" spans="1:30" x14ac:dyDescent="0.2">
      <c r="A597" s="24">
        <f t="shared" si="98"/>
        <v>16.792855623746664</v>
      </c>
      <c r="B597" s="32">
        <v>282</v>
      </c>
      <c r="C597" s="32"/>
      <c r="D597" s="25">
        <f t="shared" si="90"/>
        <v>0</v>
      </c>
      <c r="E597" s="32">
        <v>282</v>
      </c>
      <c r="F597" s="8"/>
      <c r="G597" s="25">
        <f t="shared" si="91"/>
        <v>0</v>
      </c>
      <c r="H597" s="32">
        <v>282</v>
      </c>
      <c r="I597" s="32"/>
      <c r="J597" s="25">
        <f t="shared" si="92"/>
        <v>0</v>
      </c>
      <c r="K597" s="32">
        <v>282</v>
      </c>
      <c r="L597" s="31"/>
      <c r="M597" s="25">
        <f t="shared" si="93"/>
        <v>0</v>
      </c>
      <c r="N597" s="32">
        <v>282</v>
      </c>
      <c r="O597" s="32"/>
      <c r="P597" s="25">
        <f t="shared" si="94"/>
        <v>0</v>
      </c>
      <c r="Q597" s="32">
        <v>282</v>
      </c>
      <c r="R597" s="32"/>
      <c r="S597" s="25">
        <f t="shared" si="95"/>
        <v>0</v>
      </c>
      <c r="T597" s="32">
        <v>282</v>
      </c>
      <c r="U597" s="32"/>
      <c r="V597" s="25">
        <f t="shared" si="99"/>
        <v>0</v>
      </c>
      <c r="W597" s="32">
        <v>282</v>
      </c>
      <c r="X597" s="32">
        <f t="shared" si="96"/>
        <v>0</v>
      </c>
      <c r="Y597" s="25">
        <f t="shared" si="97"/>
        <v>0</v>
      </c>
      <c r="AD597" s="26"/>
    </row>
    <row r="598" spans="1:30" x14ac:dyDescent="0.2">
      <c r="A598" s="24">
        <f t="shared" si="98"/>
        <v>16.80773631397161</v>
      </c>
      <c r="B598" s="32">
        <v>282.5</v>
      </c>
      <c r="C598" s="32"/>
      <c r="D598" s="25">
        <f t="shared" si="90"/>
        <v>0</v>
      </c>
      <c r="E598" s="32">
        <v>282.5</v>
      </c>
      <c r="F598" s="8"/>
      <c r="G598" s="25">
        <f t="shared" si="91"/>
        <v>0</v>
      </c>
      <c r="H598" s="32">
        <v>282.5</v>
      </c>
      <c r="I598" s="32"/>
      <c r="J598" s="25">
        <f t="shared" si="92"/>
        <v>0</v>
      </c>
      <c r="K598" s="32">
        <v>282.5</v>
      </c>
      <c r="L598" s="31"/>
      <c r="M598" s="25">
        <f t="shared" si="93"/>
        <v>0</v>
      </c>
      <c r="N598" s="32">
        <v>282.5</v>
      </c>
      <c r="O598" s="32"/>
      <c r="P598" s="25">
        <f t="shared" si="94"/>
        <v>0</v>
      </c>
      <c r="Q598" s="32">
        <v>282.5</v>
      </c>
      <c r="R598" s="32"/>
      <c r="S598" s="25">
        <f t="shared" si="95"/>
        <v>0</v>
      </c>
      <c r="T598" s="32">
        <v>282.5</v>
      </c>
      <c r="U598" s="32"/>
      <c r="V598" s="25">
        <f t="shared" si="99"/>
        <v>0</v>
      </c>
      <c r="W598" s="32">
        <v>282.5</v>
      </c>
      <c r="X598" s="32">
        <f t="shared" si="96"/>
        <v>0</v>
      </c>
      <c r="Y598" s="25">
        <f t="shared" si="97"/>
        <v>0</v>
      </c>
      <c r="AD598" s="26"/>
    </row>
    <row r="599" spans="1:30" x14ac:dyDescent="0.2">
      <c r="A599" s="24">
        <f t="shared" si="98"/>
        <v>16.822603841260722</v>
      </c>
      <c r="B599" s="32">
        <v>283</v>
      </c>
      <c r="C599" s="32"/>
      <c r="D599" s="25">
        <f t="shared" si="90"/>
        <v>0</v>
      </c>
      <c r="E599" s="32">
        <v>283</v>
      </c>
      <c r="F599" s="8"/>
      <c r="G599" s="25">
        <f t="shared" si="91"/>
        <v>0</v>
      </c>
      <c r="H599" s="32">
        <v>283</v>
      </c>
      <c r="I599" s="32"/>
      <c r="J599" s="25">
        <f t="shared" si="92"/>
        <v>0</v>
      </c>
      <c r="K599" s="32">
        <v>283</v>
      </c>
      <c r="L599" s="31"/>
      <c r="M599" s="25">
        <f t="shared" si="93"/>
        <v>0</v>
      </c>
      <c r="N599" s="32">
        <v>283</v>
      </c>
      <c r="O599" s="32"/>
      <c r="P599" s="25">
        <f t="shared" si="94"/>
        <v>0</v>
      </c>
      <c r="Q599" s="32">
        <v>283</v>
      </c>
      <c r="R599" s="32"/>
      <c r="S599" s="25">
        <f t="shared" si="95"/>
        <v>0</v>
      </c>
      <c r="T599" s="32">
        <v>283</v>
      </c>
      <c r="U599" s="32"/>
      <c r="V599" s="25">
        <f t="shared" si="99"/>
        <v>0</v>
      </c>
      <c r="W599" s="32">
        <v>283</v>
      </c>
      <c r="X599" s="32">
        <f t="shared" si="96"/>
        <v>0</v>
      </c>
      <c r="Y599" s="25">
        <f t="shared" si="97"/>
        <v>0</v>
      </c>
      <c r="AD599" s="26"/>
    </row>
    <row r="600" spans="1:30" x14ac:dyDescent="0.2">
      <c r="A600" s="24">
        <f t="shared" si="98"/>
        <v>16.837458240482736</v>
      </c>
      <c r="B600" s="32">
        <v>283.5</v>
      </c>
      <c r="C600" s="32"/>
      <c r="D600" s="25">
        <f t="shared" si="90"/>
        <v>0</v>
      </c>
      <c r="E600" s="32">
        <v>283.5</v>
      </c>
      <c r="F600" s="8"/>
      <c r="G600" s="25">
        <f t="shared" si="91"/>
        <v>0</v>
      </c>
      <c r="H600" s="32">
        <v>283.5</v>
      </c>
      <c r="I600" s="32"/>
      <c r="J600" s="25">
        <f t="shared" si="92"/>
        <v>0</v>
      </c>
      <c r="K600" s="32">
        <v>283.5</v>
      </c>
      <c r="L600" s="31"/>
      <c r="M600" s="25">
        <f t="shared" si="93"/>
        <v>0</v>
      </c>
      <c r="N600" s="32">
        <v>283.5</v>
      </c>
      <c r="O600" s="32"/>
      <c r="P600" s="25">
        <f t="shared" si="94"/>
        <v>0</v>
      </c>
      <c r="Q600" s="32">
        <v>283.5</v>
      </c>
      <c r="R600" s="32"/>
      <c r="S600" s="25">
        <f t="shared" si="95"/>
        <v>0</v>
      </c>
      <c r="T600" s="32">
        <v>283.5</v>
      </c>
      <c r="U600" s="32"/>
      <c r="V600" s="25">
        <f t="shared" si="99"/>
        <v>0</v>
      </c>
      <c r="W600" s="32">
        <v>283.5</v>
      </c>
      <c r="X600" s="32">
        <f t="shared" si="96"/>
        <v>0</v>
      </c>
      <c r="Y600" s="25">
        <f t="shared" si="97"/>
        <v>0</v>
      </c>
      <c r="AD600" s="26"/>
    </row>
    <row r="601" spans="1:30" x14ac:dyDescent="0.2">
      <c r="A601" s="24">
        <f t="shared" si="98"/>
        <v>16.852299546352718</v>
      </c>
      <c r="B601" s="32">
        <v>284</v>
      </c>
      <c r="C601" s="32"/>
      <c r="D601" s="25">
        <f t="shared" si="90"/>
        <v>0</v>
      </c>
      <c r="E601" s="32">
        <v>284</v>
      </c>
      <c r="F601" s="8"/>
      <c r="G601" s="25">
        <f t="shared" si="91"/>
        <v>0</v>
      </c>
      <c r="H601" s="32">
        <v>284</v>
      </c>
      <c r="I601" s="32"/>
      <c r="J601" s="25">
        <f t="shared" si="92"/>
        <v>0</v>
      </c>
      <c r="K601" s="32">
        <v>284</v>
      </c>
      <c r="L601" s="31"/>
      <c r="M601" s="25">
        <f t="shared" si="93"/>
        <v>0</v>
      </c>
      <c r="N601" s="32">
        <v>284</v>
      </c>
      <c r="O601" s="32"/>
      <c r="P601" s="25">
        <f t="shared" si="94"/>
        <v>0</v>
      </c>
      <c r="Q601" s="32">
        <v>284</v>
      </c>
      <c r="R601" s="32"/>
      <c r="S601" s="25">
        <f t="shared" si="95"/>
        <v>0</v>
      </c>
      <c r="T601" s="32">
        <v>284</v>
      </c>
      <c r="U601" s="32"/>
      <c r="V601" s="25">
        <f t="shared" si="99"/>
        <v>0</v>
      </c>
      <c r="W601" s="32">
        <v>284</v>
      </c>
      <c r="X601" s="32">
        <f t="shared" si="96"/>
        <v>0</v>
      </c>
      <c r="Y601" s="25">
        <f t="shared" si="97"/>
        <v>0</v>
      </c>
      <c r="AD601" s="26"/>
    </row>
    <row r="602" spans="1:30" x14ac:dyDescent="0.2">
      <c r="A602" s="24">
        <f t="shared" si="98"/>
        <v>16.867127793432999</v>
      </c>
      <c r="B602" s="32">
        <v>284.5</v>
      </c>
      <c r="C602" s="32"/>
      <c r="D602" s="25">
        <f t="shared" si="90"/>
        <v>0</v>
      </c>
      <c r="E602" s="32">
        <v>284.5</v>
      </c>
      <c r="F602" s="8"/>
      <c r="G602" s="25">
        <f t="shared" si="91"/>
        <v>0</v>
      </c>
      <c r="H602" s="32">
        <v>284.5</v>
      </c>
      <c r="I602" s="32"/>
      <c r="J602" s="25">
        <f t="shared" si="92"/>
        <v>0</v>
      </c>
      <c r="K602" s="32">
        <v>284.5</v>
      </c>
      <c r="L602" s="31"/>
      <c r="M602" s="25">
        <f t="shared" si="93"/>
        <v>0</v>
      </c>
      <c r="N602" s="32">
        <v>284.5</v>
      </c>
      <c r="O602" s="32"/>
      <c r="P602" s="25">
        <f t="shared" si="94"/>
        <v>0</v>
      </c>
      <c r="Q602" s="32">
        <v>284.5</v>
      </c>
      <c r="R602" s="32"/>
      <c r="S602" s="25">
        <f t="shared" si="95"/>
        <v>0</v>
      </c>
      <c r="T602" s="32">
        <v>284.5</v>
      </c>
      <c r="U602" s="32"/>
      <c r="V602" s="25">
        <f t="shared" si="99"/>
        <v>0</v>
      </c>
      <c r="W602" s="32">
        <v>284.5</v>
      </c>
      <c r="X602" s="32">
        <f t="shared" si="96"/>
        <v>0</v>
      </c>
      <c r="Y602" s="25">
        <f t="shared" si="97"/>
        <v>0</v>
      </c>
      <c r="AD602" s="26"/>
    </row>
    <row r="603" spans="1:30" x14ac:dyDescent="0.2">
      <c r="A603" s="24">
        <f t="shared" si="98"/>
        <v>16.881943016134134</v>
      </c>
      <c r="B603" s="32">
        <v>285</v>
      </c>
      <c r="C603" s="32"/>
      <c r="D603" s="25">
        <f t="shared" si="90"/>
        <v>0</v>
      </c>
      <c r="E603" s="32">
        <v>285</v>
      </c>
      <c r="F603" s="8"/>
      <c r="G603" s="25">
        <f t="shared" si="91"/>
        <v>0</v>
      </c>
      <c r="H603" s="32">
        <v>285</v>
      </c>
      <c r="I603" s="32"/>
      <c r="J603" s="25">
        <f t="shared" si="92"/>
        <v>0</v>
      </c>
      <c r="K603" s="32">
        <v>285</v>
      </c>
      <c r="L603" s="31"/>
      <c r="M603" s="25">
        <f t="shared" si="93"/>
        <v>0</v>
      </c>
      <c r="N603" s="32">
        <v>285</v>
      </c>
      <c r="O603" s="32"/>
      <c r="P603" s="25">
        <f t="shared" si="94"/>
        <v>0</v>
      </c>
      <c r="Q603" s="32">
        <v>285</v>
      </c>
      <c r="R603" s="32"/>
      <c r="S603" s="25">
        <f t="shared" si="95"/>
        <v>0</v>
      </c>
      <c r="T603" s="32">
        <v>285</v>
      </c>
      <c r="U603" s="32"/>
      <c r="V603" s="25">
        <f t="shared" si="99"/>
        <v>0</v>
      </c>
      <c r="W603" s="32">
        <v>285</v>
      </c>
      <c r="X603" s="32">
        <f t="shared" si="96"/>
        <v>0</v>
      </c>
      <c r="Y603" s="25">
        <f t="shared" si="97"/>
        <v>0</v>
      </c>
      <c r="AD603" s="26"/>
    </row>
    <row r="604" spans="1:30" x14ac:dyDescent="0.2">
      <c r="A604" s="24">
        <f t="shared" si="98"/>
        <v>16.896745248715803</v>
      </c>
      <c r="B604" s="32">
        <v>285.5</v>
      </c>
      <c r="C604" s="32"/>
      <c r="D604" s="25">
        <f t="shared" si="90"/>
        <v>0</v>
      </c>
      <c r="E604" s="32">
        <v>285.5</v>
      </c>
      <c r="F604" s="8"/>
      <c r="G604" s="25">
        <f t="shared" si="91"/>
        <v>0</v>
      </c>
      <c r="H604" s="32">
        <v>285.5</v>
      </c>
      <c r="I604" s="32"/>
      <c r="J604" s="25">
        <f t="shared" si="92"/>
        <v>0</v>
      </c>
      <c r="K604" s="32">
        <v>285.5</v>
      </c>
      <c r="L604" s="31"/>
      <c r="M604" s="25">
        <f t="shared" si="93"/>
        <v>0</v>
      </c>
      <c r="N604" s="32">
        <v>285.5</v>
      </c>
      <c r="O604" s="32"/>
      <c r="P604" s="25">
        <f t="shared" si="94"/>
        <v>0</v>
      </c>
      <c r="Q604" s="32">
        <v>285.5</v>
      </c>
      <c r="R604" s="32"/>
      <c r="S604" s="25">
        <f t="shared" si="95"/>
        <v>0</v>
      </c>
      <c r="T604" s="32">
        <v>285.5</v>
      </c>
      <c r="U604" s="32"/>
      <c r="V604" s="25">
        <f t="shared" si="99"/>
        <v>0</v>
      </c>
      <c r="W604" s="32">
        <v>285.5</v>
      </c>
      <c r="X604" s="32">
        <f t="shared" si="96"/>
        <v>0</v>
      </c>
      <c r="Y604" s="25">
        <f t="shared" si="97"/>
        <v>0</v>
      </c>
      <c r="AD604" s="26"/>
    </row>
    <row r="605" spans="1:30" x14ac:dyDescent="0.2">
      <c r="A605" s="24">
        <f t="shared" si="98"/>
        <v>16.911534525287763</v>
      </c>
      <c r="B605" s="32">
        <v>286</v>
      </c>
      <c r="C605" s="32"/>
      <c r="D605" s="25">
        <f t="shared" si="90"/>
        <v>0</v>
      </c>
      <c r="E605" s="32">
        <v>286</v>
      </c>
      <c r="F605" s="8"/>
      <c r="G605" s="25">
        <f t="shared" si="91"/>
        <v>0</v>
      </c>
      <c r="H605" s="32">
        <v>286</v>
      </c>
      <c r="I605" s="32"/>
      <c r="J605" s="25">
        <f t="shared" si="92"/>
        <v>0</v>
      </c>
      <c r="K605" s="32">
        <v>286</v>
      </c>
      <c r="L605" s="31"/>
      <c r="M605" s="25">
        <f t="shared" si="93"/>
        <v>0</v>
      </c>
      <c r="N605" s="32">
        <v>286</v>
      </c>
      <c r="O605" s="32"/>
      <c r="P605" s="25">
        <f t="shared" si="94"/>
        <v>0</v>
      </c>
      <c r="Q605" s="32">
        <v>286</v>
      </c>
      <c r="R605" s="32"/>
      <c r="S605" s="25">
        <f t="shared" si="95"/>
        <v>0</v>
      </c>
      <c r="T605" s="32">
        <v>286</v>
      </c>
      <c r="U605" s="32"/>
      <c r="V605" s="25">
        <f t="shared" si="99"/>
        <v>0</v>
      </c>
      <c r="W605" s="32">
        <v>286</v>
      </c>
      <c r="X605" s="32">
        <f t="shared" si="96"/>
        <v>0</v>
      </c>
      <c r="Y605" s="25">
        <f t="shared" si="97"/>
        <v>0</v>
      </c>
      <c r="AD605" s="26"/>
    </row>
    <row r="606" spans="1:30" x14ac:dyDescent="0.2">
      <c r="A606" s="24">
        <f t="shared" si="98"/>
        <v>16.926310879810757</v>
      </c>
      <c r="B606" s="32">
        <v>286.5</v>
      </c>
      <c r="C606" s="32"/>
      <c r="D606" s="25">
        <f t="shared" si="90"/>
        <v>0</v>
      </c>
      <c r="E606" s="32">
        <v>286.5</v>
      </c>
      <c r="F606" s="8"/>
      <c r="G606" s="25">
        <f t="shared" si="91"/>
        <v>0</v>
      </c>
      <c r="H606" s="32">
        <v>286.5</v>
      </c>
      <c r="I606" s="32"/>
      <c r="J606" s="25">
        <f t="shared" si="92"/>
        <v>0</v>
      </c>
      <c r="K606" s="32">
        <v>286.5</v>
      </c>
      <c r="L606" s="31"/>
      <c r="M606" s="25">
        <f t="shared" si="93"/>
        <v>0</v>
      </c>
      <c r="N606" s="32">
        <v>286.5</v>
      </c>
      <c r="O606" s="32"/>
      <c r="P606" s="25">
        <f t="shared" si="94"/>
        <v>0</v>
      </c>
      <c r="Q606" s="32">
        <v>286.5</v>
      </c>
      <c r="R606" s="32"/>
      <c r="S606" s="25">
        <f t="shared" si="95"/>
        <v>0</v>
      </c>
      <c r="T606" s="32">
        <v>286.5</v>
      </c>
      <c r="U606" s="32"/>
      <c r="V606" s="25">
        <f t="shared" si="99"/>
        <v>0</v>
      </c>
      <c r="W606" s="32">
        <v>286.5</v>
      </c>
      <c r="X606" s="32">
        <f t="shared" si="96"/>
        <v>0</v>
      </c>
      <c r="Y606" s="25">
        <f t="shared" si="97"/>
        <v>0</v>
      </c>
      <c r="AD606" s="26"/>
    </row>
    <row r="607" spans="1:30" x14ac:dyDescent="0.2">
      <c r="A607" s="24">
        <f t="shared" si="98"/>
        <v>16.941074346097416</v>
      </c>
      <c r="B607" s="32">
        <v>287</v>
      </c>
      <c r="C607" s="32"/>
      <c r="D607" s="25">
        <f t="shared" si="90"/>
        <v>0</v>
      </c>
      <c r="E607" s="32">
        <v>287</v>
      </c>
      <c r="F607" s="8"/>
      <c r="G607" s="25">
        <f t="shared" si="91"/>
        <v>0</v>
      </c>
      <c r="H607" s="32">
        <v>287</v>
      </c>
      <c r="I607" s="32"/>
      <c r="J607" s="25">
        <f t="shared" si="92"/>
        <v>0</v>
      </c>
      <c r="K607" s="32">
        <v>287</v>
      </c>
      <c r="L607" s="31"/>
      <c r="M607" s="25">
        <f t="shared" si="93"/>
        <v>0</v>
      </c>
      <c r="N607" s="32">
        <v>287</v>
      </c>
      <c r="O607" s="32"/>
      <c r="P607" s="25">
        <f t="shared" si="94"/>
        <v>0</v>
      </c>
      <c r="Q607" s="32">
        <v>287</v>
      </c>
      <c r="R607" s="32"/>
      <c r="S607" s="25">
        <f t="shared" si="95"/>
        <v>0</v>
      </c>
      <c r="T607" s="32">
        <v>287</v>
      </c>
      <c r="U607" s="32"/>
      <c r="V607" s="25">
        <f t="shared" si="99"/>
        <v>0</v>
      </c>
      <c r="W607" s="32">
        <v>287</v>
      </c>
      <c r="X607" s="32">
        <f t="shared" si="96"/>
        <v>0</v>
      </c>
      <c r="Y607" s="25">
        <f t="shared" si="97"/>
        <v>0</v>
      </c>
      <c r="AD607" s="26"/>
    </row>
    <row r="608" spans="1:30" x14ac:dyDescent="0.2">
      <c r="A608" s="24">
        <f t="shared" si="98"/>
        <v>16.955824957813171</v>
      </c>
      <c r="B608" s="32">
        <v>287.5</v>
      </c>
      <c r="C608" s="32"/>
      <c r="D608" s="25">
        <f t="shared" si="90"/>
        <v>0</v>
      </c>
      <c r="E608" s="32">
        <v>287.5</v>
      </c>
      <c r="F608" s="8"/>
      <c r="G608" s="25">
        <f t="shared" si="91"/>
        <v>0</v>
      </c>
      <c r="H608" s="32">
        <v>287.5</v>
      </c>
      <c r="I608" s="32"/>
      <c r="J608" s="25">
        <f t="shared" si="92"/>
        <v>0</v>
      </c>
      <c r="K608" s="32">
        <v>287.5</v>
      </c>
      <c r="L608" s="31"/>
      <c r="M608" s="25">
        <f t="shared" si="93"/>
        <v>0</v>
      </c>
      <c r="N608" s="32">
        <v>287.5</v>
      </c>
      <c r="O608" s="32"/>
      <c r="P608" s="25">
        <f t="shared" si="94"/>
        <v>0</v>
      </c>
      <c r="Q608" s="32">
        <v>287.5</v>
      </c>
      <c r="R608" s="32"/>
      <c r="S608" s="25">
        <f t="shared" si="95"/>
        <v>0</v>
      </c>
      <c r="T608" s="32">
        <v>287.5</v>
      </c>
      <c r="U608" s="32"/>
      <c r="V608" s="25">
        <f t="shared" si="99"/>
        <v>0</v>
      </c>
      <c r="W608" s="32">
        <v>287.5</v>
      </c>
      <c r="X608" s="32">
        <f t="shared" si="96"/>
        <v>0</v>
      </c>
      <c r="Y608" s="25">
        <f t="shared" si="97"/>
        <v>0</v>
      </c>
      <c r="AD608" s="26"/>
    </row>
    <row r="609" spans="1:30" x14ac:dyDescent="0.2">
      <c r="A609" s="24">
        <f t="shared" si="98"/>
        <v>16.970562748477139</v>
      </c>
      <c r="B609" s="32">
        <v>288</v>
      </c>
      <c r="C609" s="32"/>
      <c r="D609" s="25">
        <f t="shared" si="90"/>
        <v>0</v>
      </c>
      <c r="E609" s="32">
        <v>288</v>
      </c>
      <c r="F609" s="8"/>
      <c r="G609" s="25">
        <f t="shared" si="91"/>
        <v>0</v>
      </c>
      <c r="H609" s="32">
        <v>288</v>
      </c>
      <c r="I609" s="32"/>
      <c r="J609" s="25">
        <f t="shared" si="92"/>
        <v>0</v>
      </c>
      <c r="K609" s="32">
        <v>288</v>
      </c>
      <c r="L609" s="31"/>
      <c r="M609" s="25">
        <f t="shared" si="93"/>
        <v>0</v>
      </c>
      <c r="N609" s="32">
        <v>288</v>
      </c>
      <c r="O609" s="32"/>
      <c r="P609" s="25">
        <f t="shared" si="94"/>
        <v>0</v>
      </c>
      <c r="Q609" s="32">
        <v>288</v>
      </c>
      <c r="R609" s="32"/>
      <c r="S609" s="25">
        <f t="shared" si="95"/>
        <v>0</v>
      </c>
      <c r="T609" s="32">
        <v>288</v>
      </c>
      <c r="U609" s="32"/>
      <c r="V609" s="25">
        <f t="shared" si="99"/>
        <v>0</v>
      </c>
      <c r="W609" s="32">
        <v>288</v>
      </c>
      <c r="X609" s="32">
        <f t="shared" si="96"/>
        <v>0</v>
      </c>
      <c r="Y609" s="25">
        <f t="shared" si="97"/>
        <v>0</v>
      </c>
      <c r="AD609" s="26"/>
    </row>
    <row r="610" spans="1:30" x14ac:dyDescent="0.2">
      <c r="A610" s="24">
        <f t="shared" si="98"/>
        <v>16.98528775146303</v>
      </c>
      <c r="B610" s="32">
        <v>288.5</v>
      </c>
      <c r="C610" s="32"/>
      <c r="D610" s="25">
        <f t="shared" si="90"/>
        <v>0</v>
      </c>
      <c r="E610" s="32">
        <v>288.5</v>
      </c>
      <c r="F610" s="8"/>
      <c r="G610" s="25">
        <f t="shared" si="91"/>
        <v>0</v>
      </c>
      <c r="H610" s="32">
        <v>288.5</v>
      </c>
      <c r="I610" s="32"/>
      <c r="J610" s="25">
        <f t="shared" si="92"/>
        <v>0</v>
      </c>
      <c r="K610" s="32">
        <v>288.5</v>
      </c>
      <c r="L610" s="31"/>
      <c r="M610" s="25">
        <f t="shared" si="93"/>
        <v>0</v>
      </c>
      <c r="N610" s="32">
        <v>288.5</v>
      </c>
      <c r="O610" s="32"/>
      <c r="P610" s="25">
        <f t="shared" si="94"/>
        <v>0</v>
      </c>
      <c r="Q610" s="32">
        <v>288.5</v>
      </c>
      <c r="R610" s="32"/>
      <c r="S610" s="25">
        <f t="shared" si="95"/>
        <v>0</v>
      </c>
      <c r="T610" s="32">
        <v>288.5</v>
      </c>
      <c r="U610" s="32"/>
      <c r="V610" s="25">
        <f t="shared" si="99"/>
        <v>0</v>
      </c>
      <c r="W610" s="32">
        <v>288.5</v>
      </c>
      <c r="X610" s="32">
        <f t="shared" si="96"/>
        <v>0</v>
      </c>
      <c r="Y610" s="25">
        <f t="shared" si="97"/>
        <v>0</v>
      </c>
      <c r="AD610" s="26"/>
    </row>
    <row r="611" spans="1:30" x14ac:dyDescent="0.2">
      <c r="A611" s="24">
        <f t="shared" si="98"/>
        <v>17</v>
      </c>
      <c r="B611" s="32">
        <v>289</v>
      </c>
      <c r="C611" s="32"/>
      <c r="D611" s="25">
        <f t="shared" si="90"/>
        <v>0</v>
      </c>
      <c r="E611" s="32">
        <v>289</v>
      </c>
      <c r="F611" s="8"/>
      <c r="G611" s="25">
        <f t="shared" si="91"/>
        <v>0</v>
      </c>
      <c r="H611" s="32">
        <v>289</v>
      </c>
      <c r="I611" s="32"/>
      <c r="J611" s="25">
        <f t="shared" si="92"/>
        <v>0</v>
      </c>
      <c r="K611" s="32">
        <v>289</v>
      </c>
      <c r="L611" s="31"/>
      <c r="M611" s="25">
        <f t="shared" si="93"/>
        <v>0</v>
      </c>
      <c r="N611" s="32">
        <v>289</v>
      </c>
      <c r="O611" s="32"/>
      <c r="P611" s="25">
        <f t="shared" si="94"/>
        <v>0</v>
      </c>
      <c r="Q611" s="32">
        <v>289</v>
      </c>
      <c r="R611" s="32"/>
      <c r="S611" s="25">
        <f t="shared" si="95"/>
        <v>0</v>
      </c>
      <c r="T611" s="32">
        <v>289</v>
      </c>
      <c r="U611" s="32"/>
      <c r="V611" s="25">
        <f t="shared" si="99"/>
        <v>0</v>
      </c>
      <c r="W611" s="32">
        <v>289</v>
      </c>
      <c r="X611" s="32">
        <f t="shared" si="96"/>
        <v>0</v>
      </c>
      <c r="Y611" s="25">
        <f t="shared" si="97"/>
        <v>0</v>
      </c>
      <c r="AD611" s="26"/>
    </row>
    <row r="612" spans="1:30" x14ac:dyDescent="0.2">
      <c r="A612" s="24">
        <f t="shared" si="98"/>
        <v>17.014699527173555</v>
      </c>
      <c r="B612" s="32">
        <v>289.5</v>
      </c>
      <c r="C612" s="32"/>
      <c r="D612" s="25">
        <f t="shared" si="90"/>
        <v>0</v>
      </c>
      <c r="E612" s="32">
        <v>289.5</v>
      </c>
      <c r="F612" s="8"/>
      <c r="G612" s="25">
        <f t="shared" si="91"/>
        <v>0</v>
      </c>
      <c r="H612" s="32">
        <v>289.5</v>
      </c>
      <c r="I612" s="32"/>
      <c r="J612" s="25">
        <f t="shared" si="92"/>
        <v>0</v>
      </c>
      <c r="K612" s="32">
        <v>289.5</v>
      </c>
      <c r="L612" s="31"/>
      <c r="M612" s="25">
        <f t="shared" si="93"/>
        <v>0</v>
      </c>
      <c r="N612" s="32">
        <v>289.5</v>
      </c>
      <c r="O612" s="32"/>
      <c r="P612" s="25">
        <f t="shared" si="94"/>
        <v>0</v>
      </c>
      <c r="Q612" s="32">
        <v>289.5</v>
      </c>
      <c r="R612" s="32"/>
      <c r="S612" s="25">
        <f t="shared" si="95"/>
        <v>0</v>
      </c>
      <c r="T612" s="32">
        <v>289.5</v>
      </c>
      <c r="U612" s="32"/>
      <c r="V612" s="25">
        <f t="shared" si="99"/>
        <v>0</v>
      </c>
      <c r="W612" s="32">
        <v>289.5</v>
      </c>
      <c r="X612" s="32">
        <f t="shared" si="96"/>
        <v>0</v>
      </c>
      <c r="Y612" s="25">
        <f t="shared" si="97"/>
        <v>0</v>
      </c>
      <c r="AD612" s="26"/>
    </row>
    <row r="613" spans="1:30" x14ac:dyDescent="0.2">
      <c r="A613" s="24">
        <f t="shared" si="98"/>
        <v>17.029386365926403</v>
      </c>
      <c r="B613" s="32">
        <v>290</v>
      </c>
      <c r="C613" s="32"/>
      <c r="D613" s="25">
        <f t="shared" si="90"/>
        <v>0</v>
      </c>
      <c r="E613" s="32">
        <v>290</v>
      </c>
      <c r="F613" s="8"/>
      <c r="G613" s="25">
        <f t="shared" si="91"/>
        <v>0</v>
      </c>
      <c r="H613" s="32">
        <v>290</v>
      </c>
      <c r="I613" s="32"/>
      <c r="J613" s="25">
        <f t="shared" si="92"/>
        <v>0</v>
      </c>
      <c r="K613" s="32">
        <v>290</v>
      </c>
      <c r="L613" s="31"/>
      <c r="M613" s="25">
        <f t="shared" si="93"/>
        <v>0</v>
      </c>
      <c r="N613" s="32">
        <v>290</v>
      </c>
      <c r="O613" s="32"/>
      <c r="P613" s="25">
        <f t="shared" si="94"/>
        <v>0</v>
      </c>
      <c r="Q613" s="32">
        <v>290</v>
      </c>
      <c r="R613" s="32"/>
      <c r="S613" s="25">
        <f t="shared" si="95"/>
        <v>0</v>
      </c>
      <c r="T613" s="32">
        <v>290</v>
      </c>
      <c r="U613" s="32"/>
      <c r="V613" s="25">
        <f t="shared" si="99"/>
        <v>0</v>
      </c>
      <c r="W613" s="32">
        <v>290</v>
      </c>
      <c r="X613" s="32">
        <f t="shared" si="96"/>
        <v>0</v>
      </c>
      <c r="Y613" s="25">
        <f t="shared" si="97"/>
        <v>0</v>
      </c>
      <c r="AD613" s="26"/>
    </row>
    <row r="614" spans="1:30" x14ac:dyDescent="0.2">
      <c r="A614" s="24">
        <f t="shared" si="98"/>
        <v>17.04406054905931</v>
      </c>
      <c r="B614" s="32">
        <v>290.5</v>
      </c>
      <c r="C614" s="32"/>
      <c r="D614" s="25">
        <f t="shared" si="90"/>
        <v>0</v>
      </c>
      <c r="E614" s="32">
        <v>290.5</v>
      </c>
      <c r="F614" s="8"/>
      <c r="G614" s="25">
        <f t="shared" si="91"/>
        <v>0</v>
      </c>
      <c r="H614" s="32">
        <v>290.5</v>
      </c>
      <c r="I614" s="32"/>
      <c r="J614" s="25">
        <f t="shared" si="92"/>
        <v>0</v>
      </c>
      <c r="K614" s="32">
        <v>290.5</v>
      </c>
      <c r="L614" s="31"/>
      <c r="M614" s="25">
        <f t="shared" si="93"/>
        <v>0</v>
      </c>
      <c r="N614" s="32">
        <v>290.5</v>
      </c>
      <c r="O614" s="32"/>
      <c r="P614" s="25">
        <f t="shared" si="94"/>
        <v>0</v>
      </c>
      <c r="Q614" s="32">
        <v>290.5</v>
      </c>
      <c r="R614" s="32"/>
      <c r="S614" s="25">
        <f t="shared" si="95"/>
        <v>0</v>
      </c>
      <c r="T614" s="32">
        <v>290.5</v>
      </c>
      <c r="U614" s="32"/>
      <c r="V614" s="25">
        <f t="shared" si="99"/>
        <v>0</v>
      </c>
      <c r="W614" s="32">
        <v>290.5</v>
      </c>
      <c r="X614" s="32">
        <f t="shared" si="96"/>
        <v>0</v>
      </c>
      <c r="Y614" s="25">
        <f t="shared" si="97"/>
        <v>0</v>
      </c>
      <c r="AD614" s="26"/>
    </row>
    <row r="615" spans="1:30" x14ac:dyDescent="0.2">
      <c r="A615" s="24">
        <f t="shared" si="98"/>
        <v>17.058722109231979</v>
      </c>
      <c r="B615" s="32">
        <v>291</v>
      </c>
      <c r="C615" s="32"/>
      <c r="D615" s="25">
        <f t="shared" si="90"/>
        <v>0</v>
      </c>
      <c r="E615" s="32">
        <v>291</v>
      </c>
      <c r="F615" s="8"/>
      <c r="G615" s="25">
        <f t="shared" si="91"/>
        <v>0</v>
      </c>
      <c r="H615" s="32">
        <v>291</v>
      </c>
      <c r="I615" s="32"/>
      <c r="J615" s="25">
        <f t="shared" si="92"/>
        <v>0</v>
      </c>
      <c r="K615" s="32">
        <v>291</v>
      </c>
      <c r="L615" s="31"/>
      <c r="M615" s="25">
        <f t="shared" si="93"/>
        <v>0</v>
      </c>
      <c r="N615" s="32">
        <v>291</v>
      </c>
      <c r="O615" s="32"/>
      <c r="P615" s="25">
        <f t="shared" si="94"/>
        <v>0</v>
      </c>
      <c r="Q615" s="32">
        <v>291</v>
      </c>
      <c r="R615" s="32"/>
      <c r="S615" s="25">
        <f t="shared" si="95"/>
        <v>0</v>
      </c>
      <c r="T615" s="32">
        <v>291</v>
      </c>
      <c r="U615" s="32"/>
      <c r="V615" s="25">
        <f t="shared" si="99"/>
        <v>0</v>
      </c>
      <c r="W615" s="32">
        <v>291</v>
      </c>
      <c r="X615" s="32">
        <f t="shared" si="96"/>
        <v>0</v>
      </c>
      <c r="Y615" s="25">
        <f t="shared" si="97"/>
        <v>0</v>
      </c>
      <c r="AD615" s="26"/>
    </row>
    <row r="616" spans="1:30" x14ac:dyDescent="0.2">
      <c r="A616" s="24">
        <f t="shared" si="98"/>
        <v>17.073371078963874</v>
      </c>
      <c r="B616" s="32">
        <v>291.5</v>
      </c>
      <c r="C616" s="32"/>
      <c r="D616" s="25">
        <f t="shared" si="90"/>
        <v>0</v>
      </c>
      <c r="E616" s="32">
        <v>291.5</v>
      </c>
      <c r="F616" s="8"/>
      <c r="G616" s="25">
        <f t="shared" si="91"/>
        <v>0</v>
      </c>
      <c r="H616" s="32">
        <v>291.5</v>
      </c>
      <c r="I616" s="32"/>
      <c r="J616" s="25">
        <f t="shared" si="92"/>
        <v>0</v>
      </c>
      <c r="K616" s="32">
        <v>291.5</v>
      </c>
      <c r="L616" s="31"/>
      <c r="M616" s="25">
        <f t="shared" si="93"/>
        <v>0</v>
      </c>
      <c r="N616" s="32">
        <v>291.5</v>
      </c>
      <c r="O616" s="32"/>
      <c r="P616" s="25">
        <f t="shared" si="94"/>
        <v>0</v>
      </c>
      <c r="Q616" s="32">
        <v>291.5</v>
      </c>
      <c r="R616" s="32"/>
      <c r="S616" s="25">
        <f t="shared" si="95"/>
        <v>0</v>
      </c>
      <c r="T616" s="32">
        <v>291.5</v>
      </c>
      <c r="U616" s="32"/>
      <c r="V616" s="25">
        <f t="shared" si="99"/>
        <v>0</v>
      </c>
      <c r="W616" s="32">
        <v>291.5</v>
      </c>
      <c r="X616" s="32">
        <f t="shared" si="96"/>
        <v>0</v>
      </c>
      <c r="Y616" s="25">
        <f t="shared" si="97"/>
        <v>0</v>
      </c>
      <c r="AD616" s="26"/>
    </row>
    <row r="617" spans="1:30" x14ac:dyDescent="0.2">
      <c r="A617" s="24">
        <f t="shared" si="98"/>
        <v>17.088007490635061</v>
      </c>
      <c r="B617" s="32">
        <v>292</v>
      </c>
      <c r="C617" s="32"/>
      <c r="D617" s="25">
        <f t="shared" si="90"/>
        <v>0</v>
      </c>
      <c r="E617" s="32">
        <v>292</v>
      </c>
      <c r="F617" s="8"/>
      <c r="G617" s="25">
        <f t="shared" si="91"/>
        <v>0</v>
      </c>
      <c r="H617" s="32">
        <v>292</v>
      </c>
      <c r="I617" s="32"/>
      <c r="J617" s="25">
        <f t="shared" si="92"/>
        <v>0</v>
      </c>
      <c r="K617" s="32">
        <v>292</v>
      </c>
      <c r="L617" s="31"/>
      <c r="M617" s="25">
        <f t="shared" si="93"/>
        <v>0</v>
      </c>
      <c r="N617" s="32">
        <v>292</v>
      </c>
      <c r="O617" s="32"/>
      <c r="P617" s="25">
        <f t="shared" si="94"/>
        <v>0</v>
      </c>
      <c r="Q617" s="32">
        <v>292</v>
      </c>
      <c r="R617" s="32"/>
      <c r="S617" s="25">
        <f t="shared" si="95"/>
        <v>0</v>
      </c>
      <c r="T617" s="32">
        <v>292</v>
      </c>
      <c r="U617" s="32"/>
      <c r="V617" s="25">
        <f t="shared" si="99"/>
        <v>0</v>
      </c>
      <c r="W617" s="32">
        <v>292</v>
      </c>
      <c r="X617" s="32">
        <f t="shared" si="96"/>
        <v>0</v>
      </c>
      <c r="Y617" s="25">
        <f t="shared" si="97"/>
        <v>0</v>
      </c>
      <c r="AD617" s="26"/>
    </row>
    <row r="618" spans="1:30" x14ac:dyDescent="0.2">
      <c r="A618" s="24">
        <f t="shared" si="98"/>
        <v>17.102631376487071</v>
      </c>
      <c r="B618" s="32">
        <v>292.5</v>
      </c>
      <c r="C618" s="32"/>
      <c r="D618" s="25">
        <f t="shared" si="90"/>
        <v>0</v>
      </c>
      <c r="E618" s="32">
        <v>292.5</v>
      </c>
      <c r="F618" s="8"/>
      <c r="G618" s="25">
        <f t="shared" si="91"/>
        <v>0</v>
      </c>
      <c r="H618" s="32">
        <v>292.5</v>
      </c>
      <c r="I618" s="32"/>
      <c r="J618" s="25">
        <f t="shared" si="92"/>
        <v>0</v>
      </c>
      <c r="K618" s="32">
        <v>292.5</v>
      </c>
      <c r="L618" s="31"/>
      <c r="M618" s="25">
        <f t="shared" si="93"/>
        <v>0</v>
      </c>
      <c r="N618" s="32">
        <v>292.5</v>
      </c>
      <c r="O618" s="32"/>
      <c r="P618" s="25">
        <f t="shared" si="94"/>
        <v>0</v>
      </c>
      <c r="Q618" s="32">
        <v>292.5</v>
      </c>
      <c r="R618" s="32"/>
      <c r="S618" s="25">
        <f t="shared" si="95"/>
        <v>0</v>
      </c>
      <c r="T618" s="32">
        <v>292.5</v>
      </c>
      <c r="U618" s="32"/>
      <c r="V618" s="25">
        <f t="shared" si="99"/>
        <v>0</v>
      </c>
      <c r="W618" s="32">
        <v>292.5</v>
      </c>
      <c r="X618" s="32">
        <f t="shared" si="96"/>
        <v>0</v>
      </c>
      <c r="Y618" s="25">
        <f t="shared" si="97"/>
        <v>0</v>
      </c>
      <c r="AD618" s="26"/>
    </row>
    <row r="619" spans="1:30" x14ac:dyDescent="0.2">
      <c r="A619" s="24">
        <f t="shared" si="98"/>
        <v>17.11724276862369</v>
      </c>
      <c r="B619" s="32">
        <v>293</v>
      </c>
      <c r="C619" s="32"/>
      <c r="D619" s="25">
        <f t="shared" si="90"/>
        <v>0</v>
      </c>
      <c r="E619" s="32">
        <v>293</v>
      </c>
      <c r="F619" s="8"/>
      <c r="G619" s="25">
        <f t="shared" si="91"/>
        <v>0</v>
      </c>
      <c r="H619" s="32">
        <v>293</v>
      </c>
      <c r="I619" s="32"/>
      <c r="J619" s="25">
        <f t="shared" si="92"/>
        <v>0</v>
      </c>
      <c r="K619" s="32">
        <v>293</v>
      </c>
      <c r="L619" s="31"/>
      <c r="M619" s="25">
        <f t="shared" si="93"/>
        <v>0</v>
      </c>
      <c r="N619" s="32">
        <v>293</v>
      </c>
      <c r="O619" s="32"/>
      <c r="P619" s="25">
        <f t="shared" si="94"/>
        <v>0</v>
      </c>
      <c r="Q619" s="32">
        <v>293</v>
      </c>
      <c r="R619" s="32"/>
      <c r="S619" s="25">
        <f t="shared" si="95"/>
        <v>0</v>
      </c>
      <c r="T619" s="32">
        <v>293</v>
      </c>
      <c r="U619" s="32"/>
      <c r="V619" s="25">
        <f t="shared" si="99"/>
        <v>0</v>
      </c>
      <c r="W619" s="32">
        <v>293</v>
      </c>
      <c r="X619" s="32">
        <f t="shared" si="96"/>
        <v>0</v>
      </c>
      <c r="Y619" s="25">
        <f t="shared" si="97"/>
        <v>0</v>
      </c>
      <c r="AD619" s="26"/>
    </row>
    <row r="620" spans="1:30" x14ac:dyDescent="0.2">
      <c r="A620" s="24">
        <f t="shared" si="98"/>
        <v>17.131841699011815</v>
      </c>
      <c r="B620" s="32">
        <v>293.5</v>
      </c>
      <c r="C620" s="32"/>
      <c r="D620" s="25">
        <f t="shared" si="90"/>
        <v>0</v>
      </c>
      <c r="E620" s="32">
        <v>293.5</v>
      </c>
      <c r="F620" s="8"/>
      <c r="G620" s="25">
        <f t="shared" si="91"/>
        <v>0</v>
      </c>
      <c r="H620" s="32">
        <v>293.5</v>
      </c>
      <c r="I620" s="32"/>
      <c r="J620" s="25">
        <f t="shared" si="92"/>
        <v>0</v>
      </c>
      <c r="K620" s="32">
        <v>293.5</v>
      </c>
      <c r="L620" s="31"/>
      <c r="M620" s="25">
        <f t="shared" si="93"/>
        <v>0</v>
      </c>
      <c r="N620" s="32">
        <v>293.5</v>
      </c>
      <c r="O620" s="32"/>
      <c r="P620" s="25">
        <f t="shared" si="94"/>
        <v>0</v>
      </c>
      <c r="Q620" s="32">
        <v>293.5</v>
      </c>
      <c r="R620" s="32"/>
      <c r="S620" s="25">
        <f t="shared" si="95"/>
        <v>0</v>
      </c>
      <c r="T620" s="32">
        <v>293.5</v>
      </c>
      <c r="U620" s="32"/>
      <c r="V620" s="25">
        <f t="shared" si="99"/>
        <v>0</v>
      </c>
      <c r="W620" s="32">
        <v>293.5</v>
      </c>
      <c r="X620" s="32">
        <f t="shared" si="96"/>
        <v>0</v>
      </c>
      <c r="Y620" s="25">
        <f t="shared" si="97"/>
        <v>0</v>
      </c>
      <c r="AD620" s="26"/>
    </row>
    <row r="621" spans="1:30" x14ac:dyDescent="0.2">
      <c r="A621" s="24">
        <f t="shared" si="98"/>
        <v>17.146428199482248</v>
      </c>
      <c r="B621" s="32">
        <v>294</v>
      </c>
      <c r="C621" s="32"/>
      <c r="D621" s="25">
        <f t="shared" si="90"/>
        <v>0</v>
      </c>
      <c r="E621" s="32">
        <v>294</v>
      </c>
      <c r="F621" s="8"/>
      <c r="G621" s="25">
        <f t="shared" si="91"/>
        <v>0</v>
      </c>
      <c r="H621" s="32">
        <v>294</v>
      </c>
      <c r="I621" s="32"/>
      <c r="J621" s="25">
        <f t="shared" si="92"/>
        <v>0</v>
      </c>
      <c r="K621" s="32">
        <v>294</v>
      </c>
      <c r="L621" s="31"/>
      <c r="M621" s="25">
        <f t="shared" si="93"/>
        <v>0</v>
      </c>
      <c r="N621" s="32">
        <v>294</v>
      </c>
      <c r="O621" s="32"/>
      <c r="P621" s="25">
        <f t="shared" si="94"/>
        <v>0</v>
      </c>
      <c r="Q621" s="32">
        <v>294</v>
      </c>
      <c r="R621" s="32"/>
      <c r="S621" s="25">
        <f t="shared" si="95"/>
        <v>0</v>
      </c>
      <c r="T621" s="32">
        <v>294</v>
      </c>
      <c r="U621" s="32"/>
      <c r="V621" s="25">
        <f t="shared" si="99"/>
        <v>0</v>
      </c>
      <c r="W621" s="32">
        <v>294</v>
      </c>
      <c r="X621" s="32">
        <f t="shared" si="96"/>
        <v>0</v>
      </c>
      <c r="Y621" s="25">
        <f t="shared" si="97"/>
        <v>0</v>
      </c>
      <c r="AD621" s="26"/>
    </row>
    <row r="622" spans="1:30" x14ac:dyDescent="0.2">
      <c r="A622" s="24">
        <f t="shared" si="98"/>
        <v>17.161002301730512</v>
      </c>
      <c r="B622" s="32">
        <v>294.5</v>
      </c>
      <c r="C622" s="32"/>
      <c r="D622" s="25">
        <f t="shared" si="90"/>
        <v>0</v>
      </c>
      <c r="E622" s="32">
        <v>294.5</v>
      </c>
      <c r="F622" s="8"/>
      <c r="G622" s="25">
        <f t="shared" si="91"/>
        <v>0</v>
      </c>
      <c r="H622" s="32">
        <v>294.5</v>
      </c>
      <c r="I622" s="32"/>
      <c r="J622" s="25">
        <f t="shared" si="92"/>
        <v>0</v>
      </c>
      <c r="K622" s="32">
        <v>294.5</v>
      </c>
      <c r="L622" s="31"/>
      <c r="M622" s="25">
        <f t="shared" si="93"/>
        <v>0</v>
      </c>
      <c r="N622" s="32">
        <v>294.5</v>
      </c>
      <c r="O622" s="32"/>
      <c r="P622" s="25">
        <f t="shared" si="94"/>
        <v>0</v>
      </c>
      <c r="Q622" s="32">
        <v>294.5</v>
      </c>
      <c r="R622" s="32"/>
      <c r="S622" s="25">
        <f t="shared" si="95"/>
        <v>0</v>
      </c>
      <c r="T622" s="32">
        <v>294.5</v>
      </c>
      <c r="U622" s="32"/>
      <c r="V622" s="25">
        <f t="shared" si="99"/>
        <v>0</v>
      </c>
      <c r="W622" s="32">
        <v>294.5</v>
      </c>
      <c r="X622" s="32">
        <f t="shared" si="96"/>
        <v>0</v>
      </c>
      <c r="Y622" s="25">
        <f t="shared" si="97"/>
        <v>0</v>
      </c>
      <c r="AD622" s="26"/>
    </row>
    <row r="623" spans="1:30" x14ac:dyDescent="0.2">
      <c r="A623" s="24">
        <f t="shared" si="98"/>
        <v>17.175564037317667</v>
      </c>
      <c r="B623" s="32">
        <v>295</v>
      </c>
      <c r="C623" s="32"/>
      <c r="D623" s="25">
        <f t="shared" si="90"/>
        <v>0</v>
      </c>
      <c r="E623" s="32">
        <v>295</v>
      </c>
      <c r="F623" s="8"/>
      <c r="G623" s="25">
        <f t="shared" si="91"/>
        <v>0</v>
      </c>
      <c r="H623" s="32">
        <v>295</v>
      </c>
      <c r="I623" s="32"/>
      <c r="J623" s="25">
        <f t="shared" si="92"/>
        <v>0</v>
      </c>
      <c r="K623" s="32">
        <v>295</v>
      </c>
      <c r="L623" s="31"/>
      <c r="M623" s="25">
        <f t="shared" si="93"/>
        <v>0</v>
      </c>
      <c r="N623" s="32">
        <v>295</v>
      </c>
      <c r="O623" s="32"/>
      <c r="P623" s="25">
        <f t="shared" si="94"/>
        <v>0</v>
      </c>
      <c r="Q623" s="32">
        <v>295</v>
      </c>
      <c r="R623" s="32"/>
      <c r="S623" s="25">
        <f t="shared" si="95"/>
        <v>0</v>
      </c>
      <c r="T623" s="32">
        <v>295</v>
      </c>
      <c r="U623" s="32"/>
      <c r="V623" s="25">
        <f t="shared" si="99"/>
        <v>0</v>
      </c>
      <c r="W623" s="32">
        <v>295</v>
      </c>
      <c r="X623" s="32">
        <f t="shared" si="96"/>
        <v>0</v>
      </c>
      <c r="Y623" s="25">
        <f t="shared" si="97"/>
        <v>0</v>
      </c>
      <c r="AD623" s="26"/>
    </row>
    <row r="624" spans="1:30" x14ac:dyDescent="0.2">
      <c r="A624" s="24">
        <f t="shared" si="98"/>
        <v>17.190113437671084</v>
      </c>
      <c r="B624" s="32">
        <v>295.5</v>
      </c>
      <c r="C624" s="32"/>
      <c r="D624" s="25">
        <f t="shared" si="90"/>
        <v>0</v>
      </c>
      <c r="E624" s="32">
        <v>295.5</v>
      </c>
      <c r="F624" s="8"/>
      <c r="G624" s="25">
        <f t="shared" si="91"/>
        <v>0</v>
      </c>
      <c r="H624" s="32">
        <v>295.5</v>
      </c>
      <c r="I624" s="32"/>
      <c r="J624" s="25">
        <f t="shared" si="92"/>
        <v>0</v>
      </c>
      <c r="K624" s="32">
        <v>295.5</v>
      </c>
      <c r="L624" s="31"/>
      <c r="M624" s="25">
        <f t="shared" si="93"/>
        <v>0</v>
      </c>
      <c r="N624" s="32">
        <v>295.5</v>
      </c>
      <c r="O624" s="32"/>
      <c r="P624" s="25">
        <f t="shared" si="94"/>
        <v>0</v>
      </c>
      <c r="Q624" s="32">
        <v>295.5</v>
      </c>
      <c r="R624" s="32"/>
      <c r="S624" s="25">
        <f t="shared" si="95"/>
        <v>0</v>
      </c>
      <c r="T624" s="32">
        <v>295.5</v>
      </c>
      <c r="U624" s="32"/>
      <c r="V624" s="25">
        <f t="shared" si="99"/>
        <v>0</v>
      </c>
      <c r="W624" s="32">
        <v>295.5</v>
      </c>
      <c r="X624" s="32">
        <f t="shared" si="96"/>
        <v>0</v>
      </c>
      <c r="Y624" s="25">
        <f t="shared" si="97"/>
        <v>0</v>
      </c>
      <c r="AD624" s="26"/>
    </row>
    <row r="625" spans="1:30" x14ac:dyDescent="0.2">
      <c r="A625" s="24">
        <f t="shared" si="98"/>
        <v>17.204650534085253</v>
      </c>
      <c r="B625" s="32">
        <v>296</v>
      </c>
      <c r="C625" s="32"/>
      <c r="D625" s="25">
        <f t="shared" si="90"/>
        <v>0</v>
      </c>
      <c r="E625" s="32">
        <v>296</v>
      </c>
      <c r="F625" s="8"/>
      <c r="G625" s="25">
        <f t="shared" si="91"/>
        <v>0</v>
      </c>
      <c r="H625" s="32">
        <v>296</v>
      </c>
      <c r="I625" s="32"/>
      <c r="J625" s="25">
        <f t="shared" si="92"/>
        <v>0</v>
      </c>
      <c r="K625" s="32">
        <v>296</v>
      </c>
      <c r="L625" s="31"/>
      <c r="M625" s="25">
        <f t="shared" si="93"/>
        <v>0</v>
      </c>
      <c r="N625" s="32">
        <v>296</v>
      </c>
      <c r="O625" s="32"/>
      <c r="P625" s="25">
        <f t="shared" si="94"/>
        <v>0</v>
      </c>
      <c r="Q625" s="32">
        <v>296</v>
      </c>
      <c r="R625" s="32"/>
      <c r="S625" s="25">
        <f t="shared" si="95"/>
        <v>0</v>
      </c>
      <c r="T625" s="32">
        <v>296</v>
      </c>
      <c r="U625" s="32"/>
      <c r="V625" s="25">
        <f t="shared" si="99"/>
        <v>0</v>
      </c>
      <c r="W625" s="32">
        <v>296</v>
      </c>
      <c r="X625" s="32">
        <f t="shared" si="96"/>
        <v>0</v>
      </c>
      <c r="Y625" s="25">
        <f t="shared" si="97"/>
        <v>0</v>
      </c>
      <c r="AD625" s="26"/>
    </row>
    <row r="626" spans="1:30" x14ac:dyDescent="0.2">
      <c r="A626" s="24">
        <f t="shared" si="98"/>
        <v>17.219175357722563</v>
      </c>
      <c r="B626" s="32">
        <v>296.5</v>
      </c>
      <c r="C626" s="32"/>
      <c r="D626" s="25">
        <f t="shared" si="90"/>
        <v>0</v>
      </c>
      <c r="E626" s="32">
        <v>296.5</v>
      </c>
      <c r="F626" s="8"/>
      <c r="G626" s="25">
        <f t="shared" si="91"/>
        <v>0</v>
      </c>
      <c r="H626" s="32">
        <v>296.5</v>
      </c>
      <c r="I626" s="32"/>
      <c r="J626" s="25">
        <f t="shared" si="92"/>
        <v>0</v>
      </c>
      <c r="K626" s="32">
        <v>296.5</v>
      </c>
      <c r="L626" s="31"/>
      <c r="M626" s="25">
        <f t="shared" si="93"/>
        <v>0</v>
      </c>
      <c r="N626" s="32">
        <v>296.5</v>
      </c>
      <c r="O626" s="32"/>
      <c r="P626" s="25">
        <f t="shared" si="94"/>
        <v>0</v>
      </c>
      <c r="Q626" s="32">
        <v>296.5</v>
      </c>
      <c r="R626" s="32"/>
      <c r="S626" s="25">
        <f t="shared" si="95"/>
        <v>0</v>
      </c>
      <c r="T626" s="32">
        <v>296.5</v>
      </c>
      <c r="U626" s="32"/>
      <c r="V626" s="25">
        <f t="shared" si="99"/>
        <v>0</v>
      </c>
      <c r="W626" s="32">
        <v>296.5</v>
      </c>
      <c r="X626" s="32">
        <f t="shared" si="96"/>
        <v>0</v>
      </c>
      <c r="Y626" s="25">
        <f t="shared" si="97"/>
        <v>0</v>
      </c>
      <c r="AD626" s="26"/>
    </row>
    <row r="627" spans="1:30" x14ac:dyDescent="0.2">
      <c r="A627" s="24">
        <f t="shared" si="98"/>
        <v>17.233687939614086</v>
      </c>
      <c r="B627" s="32">
        <v>297</v>
      </c>
      <c r="C627" s="32"/>
      <c r="D627" s="25">
        <f t="shared" si="90"/>
        <v>0</v>
      </c>
      <c r="E627" s="32">
        <v>297</v>
      </c>
      <c r="F627" s="8"/>
      <c r="G627" s="25">
        <f t="shared" si="91"/>
        <v>0</v>
      </c>
      <c r="H627" s="32">
        <v>297</v>
      </c>
      <c r="I627" s="32"/>
      <c r="J627" s="25">
        <f t="shared" si="92"/>
        <v>0</v>
      </c>
      <c r="K627" s="32">
        <v>297</v>
      </c>
      <c r="L627" s="31"/>
      <c r="M627" s="25">
        <f t="shared" si="93"/>
        <v>0</v>
      </c>
      <c r="N627" s="32">
        <v>297</v>
      </c>
      <c r="O627" s="32"/>
      <c r="P627" s="25">
        <f t="shared" si="94"/>
        <v>0</v>
      </c>
      <c r="Q627" s="32">
        <v>297</v>
      </c>
      <c r="R627" s="32"/>
      <c r="S627" s="25">
        <f t="shared" si="95"/>
        <v>0</v>
      </c>
      <c r="T627" s="32">
        <v>297</v>
      </c>
      <c r="U627" s="32"/>
      <c r="V627" s="25">
        <f t="shared" si="99"/>
        <v>0</v>
      </c>
      <c r="W627" s="32">
        <v>297</v>
      </c>
      <c r="X627" s="32">
        <f t="shared" si="96"/>
        <v>0</v>
      </c>
      <c r="Y627" s="25">
        <f t="shared" si="97"/>
        <v>0</v>
      </c>
      <c r="AD627" s="26"/>
    </row>
    <row r="628" spans="1:30" x14ac:dyDescent="0.2">
      <c r="A628" s="24">
        <f t="shared" si="98"/>
        <v>17.248188310660339</v>
      </c>
      <c r="B628" s="32">
        <v>297.5</v>
      </c>
      <c r="C628" s="32"/>
      <c r="D628" s="25">
        <f t="shared" si="90"/>
        <v>0</v>
      </c>
      <c r="E628" s="32">
        <v>297.5</v>
      </c>
      <c r="F628" s="8"/>
      <c r="G628" s="25">
        <f t="shared" si="91"/>
        <v>0</v>
      </c>
      <c r="H628" s="32">
        <v>297.5</v>
      </c>
      <c r="I628" s="32"/>
      <c r="J628" s="25">
        <f t="shared" si="92"/>
        <v>0</v>
      </c>
      <c r="K628" s="32">
        <v>297.5</v>
      </c>
      <c r="L628" s="31"/>
      <c r="M628" s="25">
        <f t="shared" si="93"/>
        <v>0</v>
      </c>
      <c r="N628" s="32">
        <v>297.5</v>
      </c>
      <c r="O628" s="32"/>
      <c r="P628" s="25">
        <f t="shared" si="94"/>
        <v>0</v>
      </c>
      <c r="Q628" s="32">
        <v>297.5</v>
      </c>
      <c r="R628" s="32"/>
      <c r="S628" s="25">
        <f t="shared" si="95"/>
        <v>0</v>
      </c>
      <c r="T628" s="32">
        <v>297.5</v>
      </c>
      <c r="U628" s="32"/>
      <c r="V628" s="25">
        <f t="shared" si="99"/>
        <v>0</v>
      </c>
      <c r="W628" s="32">
        <v>297.5</v>
      </c>
      <c r="X628" s="32">
        <f t="shared" si="96"/>
        <v>0</v>
      </c>
      <c r="Y628" s="25">
        <f t="shared" si="97"/>
        <v>0</v>
      </c>
      <c r="AD628" s="26"/>
    </row>
    <row r="629" spans="1:30" x14ac:dyDescent="0.2">
      <c r="A629" s="24">
        <f t="shared" si="98"/>
        <v>17.262676501632068</v>
      </c>
      <c r="B629" s="32">
        <v>298</v>
      </c>
      <c r="C629" s="32"/>
      <c r="D629" s="25">
        <f t="shared" si="90"/>
        <v>0</v>
      </c>
      <c r="E629" s="32">
        <v>298</v>
      </c>
      <c r="F629" s="8"/>
      <c r="G629" s="25">
        <f t="shared" si="91"/>
        <v>0</v>
      </c>
      <c r="H629" s="32">
        <v>298</v>
      </c>
      <c r="I629" s="32"/>
      <c r="J629" s="25">
        <f t="shared" si="92"/>
        <v>0</v>
      </c>
      <c r="K629" s="32">
        <v>298</v>
      </c>
      <c r="L629" s="31"/>
      <c r="M629" s="25">
        <f t="shared" si="93"/>
        <v>0</v>
      </c>
      <c r="N629" s="32">
        <v>298</v>
      </c>
      <c r="O629" s="32"/>
      <c r="P629" s="25">
        <f t="shared" si="94"/>
        <v>0</v>
      </c>
      <c r="Q629" s="32">
        <v>298</v>
      </c>
      <c r="R629" s="32"/>
      <c r="S629" s="25">
        <f t="shared" si="95"/>
        <v>0</v>
      </c>
      <c r="T629" s="32">
        <v>298</v>
      </c>
      <c r="U629" s="32"/>
      <c r="V629" s="25">
        <f t="shared" si="99"/>
        <v>0</v>
      </c>
      <c r="W629" s="32">
        <v>298</v>
      </c>
      <c r="X629" s="32">
        <f t="shared" si="96"/>
        <v>0</v>
      </c>
      <c r="Y629" s="25">
        <f t="shared" si="97"/>
        <v>0</v>
      </c>
      <c r="AD629" s="26"/>
    </row>
    <row r="630" spans="1:30" x14ac:dyDescent="0.2">
      <c r="A630" s="24">
        <f t="shared" si="98"/>
        <v>17.277152543170995</v>
      </c>
      <c r="B630" s="32">
        <v>298.5</v>
      </c>
      <c r="C630" s="32"/>
      <c r="D630" s="25">
        <f t="shared" si="90"/>
        <v>0</v>
      </c>
      <c r="E630" s="32">
        <v>298.5</v>
      </c>
      <c r="F630" s="8"/>
      <c r="G630" s="25">
        <f t="shared" si="91"/>
        <v>0</v>
      </c>
      <c r="H630" s="32">
        <v>298.5</v>
      </c>
      <c r="I630" s="32"/>
      <c r="J630" s="25">
        <f t="shared" si="92"/>
        <v>0</v>
      </c>
      <c r="K630" s="32">
        <v>298.5</v>
      </c>
      <c r="L630" s="31"/>
      <c r="M630" s="25">
        <f t="shared" si="93"/>
        <v>0</v>
      </c>
      <c r="N630" s="32">
        <v>298.5</v>
      </c>
      <c r="O630" s="32"/>
      <c r="P630" s="25">
        <f t="shared" si="94"/>
        <v>0</v>
      </c>
      <c r="Q630" s="32">
        <v>298.5</v>
      </c>
      <c r="R630" s="32"/>
      <c r="S630" s="25">
        <f t="shared" si="95"/>
        <v>0</v>
      </c>
      <c r="T630" s="32">
        <v>298.5</v>
      </c>
      <c r="U630" s="32"/>
      <c r="V630" s="25">
        <f t="shared" si="99"/>
        <v>0</v>
      </c>
      <c r="W630" s="32">
        <v>298.5</v>
      </c>
      <c r="X630" s="32">
        <f t="shared" si="96"/>
        <v>0</v>
      </c>
      <c r="Y630" s="25">
        <f t="shared" si="97"/>
        <v>0</v>
      </c>
      <c r="AD630" s="26"/>
    </row>
    <row r="631" spans="1:30" x14ac:dyDescent="0.2">
      <c r="A631" s="24">
        <f t="shared" si="98"/>
        <v>17.291616465790582</v>
      </c>
      <c r="B631" s="32">
        <v>299</v>
      </c>
      <c r="C631" s="32"/>
      <c r="D631" s="25">
        <f t="shared" si="90"/>
        <v>0</v>
      </c>
      <c r="E631" s="32">
        <v>299</v>
      </c>
      <c r="F631" s="8"/>
      <c r="G631" s="25">
        <f t="shared" si="91"/>
        <v>0</v>
      </c>
      <c r="H631" s="32">
        <v>299</v>
      </c>
      <c r="I631" s="32"/>
      <c r="J631" s="25">
        <f t="shared" si="92"/>
        <v>0</v>
      </c>
      <c r="K631" s="32">
        <v>299</v>
      </c>
      <c r="L631" s="31"/>
      <c r="M631" s="25">
        <f t="shared" si="93"/>
        <v>0</v>
      </c>
      <c r="N631" s="32">
        <v>299</v>
      </c>
      <c r="O631" s="32"/>
      <c r="P631" s="25">
        <f t="shared" si="94"/>
        <v>0</v>
      </c>
      <c r="Q631" s="32">
        <v>299</v>
      </c>
      <c r="R631" s="32"/>
      <c r="S631" s="25">
        <f t="shared" si="95"/>
        <v>0</v>
      </c>
      <c r="T631" s="32">
        <v>299</v>
      </c>
      <c r="U631" s="32"/>
      <c r="V631" s="25">
        <f t="shared" si="99"/>
        <v>0</v>
      </c>
      <c r="W631" s="32">
        <v>299</v>
      </c>
      <c r="X631" s="32">
        <f t="shared" si="96"/>
        <v>0</v>
      </c>
      <c r="Y631" s="25">
        <f t="shared" si="97"/>
        <v>0</v>
      </c>
      <c r="AD631" s="26"/>
    </row>
    <row r="632" spans="1:30" x14ac:dyDescent="0.2">
      <c r="A632" s="24">
        <f t="shared" si="98"/>
        <v>17.306068299876781</v>
      </c>
      <c r="B632" s="32">
        <v>299.5</v>
      </c>
      <c r="C632" s="32"/>
      <c r="D632" s="25">
        <f t="shared" si="90"/>
        <v>0</v>
      </c>
      <c r="E632" s="32">
        <v>299.5</v>
      </c>
      <c r="F632" s="8"/>
      <c r="G632" s="25">
        <f t="shared" si="91"/>
        <v>0</v>
      </c>
      <c r="H632" s="32">
        <v>299.5</v>
      </c>
      <c r="I632" s="32"/>
      <c r="J632" s="25">
        <f t="shared" si="92"/>
        <v>0</v>
      </c>
      <c r="K632" s="32">
        <v>299.5</v>
      </c>
      <c r="L632" s="31"/>
      <c r="M632" s="25">
        <f t="shared" si="93"/>
        <v>0</v>
      </c>
      <c r="N632" s="32">
        <v>299.5</v>
      </c>
      <c r="O632" s="32"/>
      <c r="P632" s="25">
        <f t="shared" si="94"/>
        <v>0</v>
      </c>
      <c r="Q632" s="32">
        <v>299.5</v>
      </c>
      <c r="R632" s="32"/>
      <c r="S632" s="25">
        <f t="shared" si="95"/>
        <v>0</v>
      </c>
      <c r="T632" s="32">
        <v>299.5</v>
      </c>
      <c r="U632" s="32"/>
      <c r="V632" s="25">
        <f t="shared" si="99"/>
        <v>0</v>
      </c>
      <c r="W632" s="32">
        <v>299.5</v>
      </c>
      <c r="X632" s="32">
        <f t="shared" si="96"/>
        <v>0</v>
      </c>
      <c r="Y632" s="25">
        <f t="shared" si="97"/>
        <v>0</v>
      </c>
      <c r="AD632" s="26"/>
    </row>
    <row r="633" spans="1:30" x14ac:dyDescent="0.2">
      <c r="A633" s="24">
        <f t="shared" si="98"/>
        <v>17.320508075688775</v>
      </c>
      <c r="B633" s="32">
        <v>300</v>
      </c>
      <c r="C633" s="32"/>
      <c r="D633" s="25">
        <f t="shared" si="90"/>
        <v>0</v>
      </c>
      <c r="E633" s="32">
        <v>300</v>
      </c>
      <c r="F633" s="8"/>
      <c r="G633" s="25">
        <f t="shared" si="91"/>
        <v>0</v>
      </c>
      <c r="H633" s="32">
        <v>300</v>
      </c>
      <c r="I633" s="32"/>
      <c r="J633" s="25">
        <f t="shared" si="92"/>
        <v>0</v>
      </c>
      <c r="K633" s="32">
        <v>300</v>
      </c>
      <c r="L633" s="31"/>
      <c r="M633" s="25">
        <f t="shared" si="93"/>
        <v>0</v>
      </c>
      <c r="N633" s="32">
        <v>300</v>
      </c>
      <c r="O633" s="32"/>
      <c r="P633" s="25">
        <f t="shared" si="94"/>
        <v>0</v>
      </c>
      <c r="Q633" s="32">
        <v>300</v>
      </c>
      <c r="R633" s="32"/>
      <c r="S633" s="25">
        <f t="shared" si="95"/>
        <v>0</v>
      </c>
      <c r="T633" s="32">
        <v>300</v>
      </c>
      <c r="U633" s="32"/>
      <c r="V633" s="25">
        <f t="shared" si="99"/>
        <v>0</v>
      </c>
      <c r="W633" s="32">
        <v>300</v>
      </c>
      <c r="X633" s="32">
        <f t="shared" si="96"/>
        <v>0</v>
      </c>
      <c r="Y633" s="25">
        <f t="shared" si="97"/>
        <v>0</v>
      </c>
      <c r="AD633" s="26"/>
    </row>
    <row r="634" spans="1:30" x14ac:dyDescent="0.2">
      <c r="A634" s="24">
        <f t="shared" si="98"/>
        <v>18.165902124584949</v>
      </c>
      <c r="B634" s="32">
        <v>330</v>
      </c>
      <c r="C634" s="32"/>
      <c r="D634" s="25">
        <f t="shared" si="90"/>
        <v>0</v>
      </c>
      <c r="E634" s="32">
        <v>330</v>
      </c>
      <c r="F634" s="8"/>
      <c r="G634" s="25">
        <f t="shared" si="91"/>
        <v>0</v>
      </c>
      <c r="H634" s="32">
        <v>330</v>
      </c>
      <c r="I634" s="32"/>
      <c r="J634" s="25">
        <f t="shared" si="92"/>
        <v>0</v>
      </c>
      <c r="K634" s="32">
        <v>330</v>
      </c>
      <c r="L634" s="31"/>
      <c r="M634" s="25">
        <f t="shared" si="93"/>
        <v>0</v>
      </c>
      <c r="N634" s="32">
        <v>330</v>
      </c>
      <c r="O634" s="32"/>
      <c r="P634" s="25">
        <f t="shared" si="94"/>
        <v>0</v>
      </c>
      <c r="Q634" s="32">
        <v>330</v>
      </c>
      <c r="R634" s="32"/>
      <c r="S634" s="25">
        <f t="shared" si="95"/>
        <v>0</v>
      </c>
      <c r="T634" s="32">
        <v>330</v>
      </c>
      <c r="U634" s="32"/>
      <c r="V634" s="25">
        <f t="shared" si="99"/>
        <v>0</v>
      </c>
      <c r="W634" s="32">
        <v>330</v>
      </c>
      <c r="X634" s="32">
        <f t="shared" si="96"/>
        <v>0</v>
      </c>
      <c r="Y634" s="25">
        <f t="shared" si="97"/>
        <v>0</v>
      </c>
      <c r="AD634" s="26"/>
    </row>
    <row r="635" spans="1:30" x14ac:dyDescent="0.2">
      <c r="A635" s="24">
        <f t="shared" si="98"/>
        <v>18.973665961010276</v>
      </c>
      <c r="B635" s="32">
        <v>360</v>
      </c>
      <c r="C635" s="32"/>
      <c r="D635" s="25">
        <f t="shared" si="90"/>
        <v>0</v>
      </c>
      <c r="E635" s="32">
        <v>360</v>
      </c>
      <c r="F635" s="8"/>
      <c r="G635" s="25">
        <f t="shared" si="91"/>
        <v>0</v>
      </c>
      <c r="H635" s="32">
        <v>360</v>
      </c>
      <c r="I635" s="32"/>
      <c r="J635" s="25">
        <f t="shared" si="92"/>
        <v>0</v>
      </c>
      <c r="K635" s="32">
        <v>360</v>
      </c>
      <c r="L635" s="31"/>
      <c r="M635" s="25">
        <f t="shared" si="93"/>
        <v>0</v>
      </c>
      <c r="N635" s="32">
        <v>360</v>
      </c>
      <c r="O635" s="32"/>
      <c r="P635" s="25">
        <f t="shared" si="94"/>
        <v>0</v>
      </c>
      <c r="Q635" s="32">
        <v>360</v>
      </c>
      <c r="R635" s="32"/>
      <c r="S635" s="25">
        <f t="shared" si="95"/>
        <v>0</v>
      </c>
      <c r="T635" s="32">
        <v>360</v>
      </c>
      <c r="U635" s="32"/>
      <c r="V635" s="25">
        <f t="shared" si="99"/>
        <v>0</v>
      </c>
      <c r="W635" s="32">
        <v>360</v>
      </c>
      <c r="X635" s="32">
        <f t="shared" si="96"/>
        <v>0</v>
      </c>
      <c r="Y635" s="25">
        <f t="shared" si="97"/>
        <v>0</v>
      </c>
      <c r="AD635" s="26"/>
    </row>
    <row r="636" spans="1:30" x14ac:dyDescent="0.2">
      <c r="A636" s="24">
        <f t="shared" si="98"/>
        <v>19.748417658131498</v>
      </c>
      <c r="B636" s="32">
        <v>390</v>
      </c>
      <c r="C636" s="32"/>
      <c r="D636" s="25">
        <f t="shared" si="90"/>
        <v>0</v>
      </c>
      <c r="E636" s="32">
        <v>390</v>
      </c>
      <c r="F636" s="8"/>
      <c r="G636" s="25">
        <f t="shared" si="91"/>
        <v>0</v>
      </c>
      <c r="H636" s="32">
        <v>390</v>
      </c>
      <c r="I636" s="32"/>
      <c r="J636" s="25">
        <f t="shared" si="92"/>
        <v>0</v>
      </c>
      <c r="K636" s="32">
        <v>390</v>
      </c>
      <c r="L636" s="31"/>
      <c r="M636" s="25">
        <f t="shared" si="93"/>
        <v>0</v>
      </c>
      <c r="N636" s="32">
        <v>390</v>
      </c>
      <c r="O636" s="32"/>
      <c r="P636" s="25">
        <f t="shared" si="94"/>
        <v>0</v>
      </c>
      <c r="Q636" s="32">
        <v>390</v>
      </c>
      <c r="R636" s="32"/>
      <c r="S636" s="25">
        <f t="shared" si="95"/>
        <v>0</v>
      </c>
      <c r="T636" s="32">
        <v>390</v>
      </c>
      <c r="U636" s="32"/>
      <c r="V636" s="25">
        <f t="shared" si="99"/>
        <v>0</v>
      </c>
      <c r="W636" s="32">
        <v>390</v>
      </c>
      <c r="X636" s="32">
        <f t="shared" si="96"/>
        <v>0</v>
      </c>
      <c r="Y636" s="25">
        <f t="shared" si="97"/>
        <v>0</v>
      </c>
      <c r="AD636" s="26"/>
    </row>
    <row r="637" spans="1:30" x14ac:dyDescent="0.2">
      <c r="A637" s="24">
        <f t="shared" si="98"/>
        <v>20.493901531919196</v>
      </c>
      <c r="B637" s="32">
        <v>420</v>
      </c>
      <c r="C637" s="32"/>
      <c r="D637" s="25">
        <f t="shared" si="90"/>
        <v>0</v>
      </c>
      <c r="E637" s="32">
        <v>420</v>
      </c>
      <c r="F637" s="8"/>
      <c r="G637" s="25">
        <f t="shared" si="91"/>
        <v>0</v>
      </c>
      <c r="H637" s="32">
        <v>420</v>
      </c>
      <c r="I637" s="32"/>
      <c r="J637" s="25">
        <f t="shared" si="92"/>
        <v>0</v>
      </c>
      <c r="K637" s="32">
        <v>420</v>
      </c>
      <c r="L637" s="31"/>
      <c r="M637" s="25">
        <f t="shared" si="93"/>
        <v>0</v>
      </c>
      <c r="N637" s="32">
        <v>420</v>
      </c>
      <c r="O637" s="32"/>
      <c r="P637" s="25">
        <f t="shared" si="94"/>
        <v>0</v>
      </c>
      <c r="Q637" s="32">
        <v>420</v>
      </c>
      <c r="R637" s="32"/>
      <c r="S637" s="25">
        <f t="shared" si="95"/>
        <v>0</v>
      </c>
      <c r="T637" s="32">
        <v>420</v>
      </c>
      <c r="U637" s="32"/>
      <c r="V637" s="25">
        <f t="shared" si="99"/>
        <v>0</v>
      </c>
      <c r="W637" s="32">
        <v>420</v>
      </c>
      <c r="X637" s="32">
        <f t="shared" si="96"/>
        <v>0</v>
      </c>
      <c r="Y637" s="25">
        <f t="shared" si="97"/>
        <v>0</v>
      </c>
      <c r="AD637" s="26"/>
    </row>
    <row r="638" spans="1:30" x14ac:dyDescent="0.2">
      <c r="A638" s="24">
        <f t="shared" si="98"/>
        <v>21.213203435596427</v>
      </c>
      <c r="B638" s="32">
        <v>450</v>
      </c>
      <c r="C638" s="32"/>
      <c r="D638" s="25">
        <f t="shared" si="90"/>
        <v>0</v>
      </c>
      <c r="E638" s="32">
        <v>450</v>
      </c>
      <c r="F638" s="8"/>
      <c r="G638" s="25">
        <f t="shared" si="91"/>
        <v>0</v>
      </c>
      <c r="H638" s="32">
        <v>450</v>
      </c>
      <c r="I638" s="32"/>
      <c r="J638" s="25">
        <f t="shared" si="92"/>
        <v>0</v>
      </c>
      <c r="K638" s="32">
        <v>450</v>
      </c>
      <c r="L638" s="31"/>
      <c r="M638" s="25">
        <f t="shared" si="93"/>
        <v>0</v>
      </c>
      <c r="N638" s="32">
        <v>450</v>
      </c>
      <c r="O638" s="32"/>
      <c r="P638" s="25">
        <f t="shared" si="94"/>
        <v>0</v>
      </c>
      <c r="Q638" s="32">
        <v>450</v>
      </c>
      <c r="R638" s="32"/>
      <c r="S638" s="25">
        <f t="shared" si="95"/>
        <v>0</v>
      </c>
      <c r="T638" s="32">
        <v>450</v>
      </c>
      <c r="U638" s="32"/>
      <c r="V638" s="25">
        <f t="shared" si="99"/>
        <v>0</v>
      </c>
      <c r="W638" s="32">
        <v>450</v>
      </c>
      <c r="X638" s="32">
        <f t="shared" si="96"/>
        <v>0</v>
      </c>
      <c r="Y638" s="25">
        <f t="shared" si="97"/>
        <v>0</v>
      </c>
      <c r="AD638" s="26"/>
    </row>
    <row r="639" spans="1:30" x14ac:dyDescent="0.2">
      <c r="A639" s="24">
        <f t="shared" si="98"/>
        <v>21.908902300206645</v>
      </c>
      <c r="B639" s="32">
        <v>480</v>
      </c>
      <c r="C639" s="32"/>
      <c r="D639" s="25">
        <f t="shared" si="90"/>
        <v>0</v>
      </c>
      <c r="E639" s="32">
        <v>480</v>
      </c>
      <c r="F639" s="8"/>
      <c r="G639" s="25">
        <f t="shared" si="91"/>
        <v>0</v>
      </c>
      <c r="H639" s="32">
        <v>480</v>
      </c>
      <c r="I639" s="32"/>
      <c r="J639" s="25">
        <f t="shared" si="92"/>
        <v>0</v>
      </c>
      <c r="K639" s="32">
        <v>480</v>
      </c>
      <c r="L639" s="31"/>
      <c r="M639" s="25">
        <f t="shared" si="93"/>
        <v>0</v>
      </c>
      <c r="N639" s="32">
        <v>480</v>
      </c>
      <c r="O639" s="32"/>
      <c r="P639" s="25">
        <f t="shared" si="94"/>
        <v>0</v>
      </c>
      <c r="Q639" s="32">
        <v>480</v>
      </c>
      <c r="R639" s="32"/>
      <c r="S639" s="25">
        <f t="shared" si="95"/>
        <v>0</v>
      </c>
      <c r="T639" s="32">
        <v>480</v>
      </c>
      <c r="U639" s="32"/>
      <c r="V639" s="25">
        <f t="shared" si="99"/>
        <v>0</v>
      </c>
      <c r="W639" s="32">
        <v>480</v>
      </c>
      <c r="X639" s="32">
        <f t="shared" si="96"/>
        <v>0</v>
      </c>
      <c r="Y639" s="25">
        <f t="shared" si="97"/>
        <v>0</v>
      </c>
      <c r="AD639" s="26"/>
    </row>
    <row r="640" spans="1:30" x14ac:dyDescent="0.2">
      <c r="A640" s="24">
        <f t="shared" si="98"/>
        <v>22.583179581272429</v>
      </c>
      <c r="B640" s="32">
        <v>510</v>
      </c>
      <c r="C640" s="32"/>
      <c r="D640" s="25">
        <f t="shared" si="90"/>
        <v>0</v>
      </c>
      <c r="E640" s="32">
        <v>510</v>
      </c>
      <c r="F640" s="8"/>
      <c r="G640" s="25">
        <f t="shared" si="91"/>
        <v>0</v>
      </c>
      <c r="H640" s="32">
        <v>510</v>
      </c>
      <c r="I640" s="32"/>
      <c r="J640" s="25">
        <f t="shared" si="92"/>
        <v>0</v>
      </c>
      <c r="K640" s="32">
        <v>510</v>
      </c>
      <c r="L640" s="31"/>
      <c r="M640" s="25">
        <f t="shared" si="93"/>
        <v>0</v>
      </c>
      <c r="N640" s="32">
        <v>510</v>
      </c>
      <c r="O640" s="32"/>
      <c r="P640" s="25">
        <f t="shared" si="94"/>
        <v>0</v>
      </c>
      <c r="Q640" s="32">
        <v>510</v>
      </c>
      <c r="R640" s="32"/>
      <c r="S640" s="25">
        <f t="shared" si="95"/>
        <v>0</v>
      </c>
      <c r="T640" s="32">
        <v>510</v>
      </c>
      <c r="U640" s="32"/>
      <c r="V640" s="25">
        <f t="shared" si="99"/>
        <v>0</v>
      </c>
      <c r="W640" s="32">
        <v>510</v>
      </c>
      <c r="X640" s="32">
        <f t="shared" si="96"/>
        <v>0</v>
      </c>
      <c r="Y640" s="25">
        <f t="shared" si="97"/>
        <v>0</v>
      </c>
      <c r="AD640" s="26"/>
    </row>
    <row r="641" spans="1:30" x14ac:dyDescent="0.2">
      <c r="A641" s="24">
        <f t="shared" si="98"/>
        <v>23.2379000772445</v>
      </c>
      <c r="B641" s="32">
        <v>540</v>
      </c>
      <c r="C641" s="32"/>
      <c r="D641" s="25">
        <f t="shared" si="90"/>
        <v>0</v>
      </c>
      <c r="E641" s="32">
        <v>540</v>
      </c>
      <c r="F641" s="8"/>
      <c r="G641" s="25">
        <f t="shared" si="91"/>
        <v>0</v>
      </c>
      <c r="H641" s="32">
        <v>540</v>
      </c>
      <c r="I641" s="32"/>
      <c r="J641" s="25">
        <f t="shared" si="92"/>
        <v>0</v>
      </c>
      <c r="K641" s="32">
        <v>540</v>
      </c>
      <c r="L641" s="31"/>
      <c r="M641" s="25">
        <f t="shared" si="93"/>
        <v>0</v>
      </c>
      <c r="N641" s="32">
        <v>540</v>
      </c>
      <c r="O641" s="32"/>
      <c r="P641" s="25">
        <f t="shared" si="94"/>
        <v>0</v>
      </c>
      <c r="Q641" s="32">
        <v>540</v>
      </c>
      <c r="R641" s="32"/>
      <c r="S641" s="25">
        <f t="shared" si="95"/>
        <v>0</v>
      </c>
      <c r="T641" s="32">
        <v>540</v>
      </c>
      <c r="U641" s="32"/>
      <c r="V641" s="25">
        <f t="shared" si="99"/>
        <v>0</v>
      </c>
      <c r="W641" s="32">
        <v>540</v>
      </c>
      <c r="X641" s="32">
        <f t="shared" si="96"/>
        <v>0</v>
      </c>
      <c r="Y641" s="25">
        <f t="shared" si="97"/>
        <v>0</v>
      </c>
      <c r="AD641" s="26"/>
    </row>
    <row r="642" spans="1:30" x14ac:dyDescent="0.2">
      <c r="A642" s="24">
        <f t="shared" si="98"/>
        <v>23.874672772626646</v>
      </c>
      <c r="B642" s="32">
        <v>570</v>
      </c>
      <c r="C642" s="32"/>
      <c r="D642" s="25">
        <f t="shared" si="90"/>
        <v>0</v>
      </c>
      <c r="E642" s="32">
        <v>570</v>
      </c>
      <c r="F642" s="8"/>
      <c r="G642" s="25">
        <f t="shared" si="91"/>
        <v>0</v>
      </c>
      <c r="H642" s="32">
        <v>570</v>
      </c>
      <c r="I642" s="32"/>
      <c r="J642" s="25">
        <f t="shared" si="92"/>
        <v>0</v>
      </c>
      <c r="K642" s="32">
        <v>570</v>
      </c>
      <c r="L642" s="31"/>
      <c r="M642" s="25">
        <f t="shared" si="93"/>
        <v>0</v>
      </c>
      <c r="N642" s="32">
        <v>570</v>
      </c>
      <c r="O642" s="32"/>
      <c r="P642" s="25">
        <f t="shared" si="94"/>
        <v>0</v>
      </c>
      <c r="Q642" s="32">
        <v>570</v>
      </c>
      <c r="R642" s="32"/>
      <c r="S642" s="25">
        <f t="shared" si="95"/>
        <v>0</v>
      </c>
      <c r="T642" s="32">
        <v>570</v>
      </c>
      <c r="U642" s="32"/>
      <c r="V642" s="25">
        <f t="shared" si="99"/>
        <v>0</v>
      </c>
      <c r="W642" s="32">
        <v>570</v>
      </c>
      <c r="X642" s="32">
        <f t="shared" si="96"/>
        <v>0</v>
      </c>
      <c r="Y642" s="25">
        <f t="shared" si="97"/>
        <v>0</v>
      </c>
      <c r="AD642" s="26"/>
    </row>
    <row r="643" spans="1:30" x14ac:dyDescent="0.2">
      <c r="A643" s="24">
        <f t="shared" si="98"/>
        <v>24.494897427831781</v>
      </c>
      <c r="B643" s="32">
        <v>600</v>
      </c>
      <c r="C643" s="32"/>
      <c r="D643" s="25">
        <f t="shared" si="90"/>
        <v>0</v>
      </c>
      <c r="E643" s="32">
        <v>600</v>
      </c>
      <c r="F643" s="8"/>
      <c r="G643" s="25">
        <f t="shared" si="91"/>
        <v>0</v>
      </c>
      <c r="H643" s="32">
        <v>600</v>
      </c>
      <c r="I643" s="32"/>
      <c r="J643" s="25">
        <f t="shared" si="92"/>
        <v>0</v>
      </c>
      <c r="K643" s="32">
        <v>600</v>
      </c>
      <c r="L643" s="31"/>
      <c r="M643" s="25">
        <f t="shared" si="93"/>
        <v>0</v>
      </c>
      <c r="N643" s="32">
        <v>600</v>
      </c>
      <c r="O643" s="32"/>
      <c r="P643" s="25">
        <f t="shared" si="94"/>
        <v>0</v>
      </c>
      <c r="Q643" s="32">
        <v>600</v>
      </c>
      <c r="R643" s="32"/>
      <c r="S643" s="25">
        <f t="shared" si="95"/>
        <v>0</v>
      </c>
      <c r="T643" s="32">
        <v>600</v>
      </c>
      <c r="U643" s="32"/>
      <c r="V643" s="25">
        <f t="shared" si="99"/>
        <v>0</v>
      </c>
      <c r="W643" s="32">
        <v>600</v>
      </c>
      <c r="X643" s="32">
        <f t="shared" si="96"/>
        <v>0</v>
      </c>
      <c r="Y643" s="25">
        <f t="shared" si="97"/>
        <v>0</v>
      </c>
      <c r="AD643" s="26"/>
    </row>
    <row r="644" spans="1:30" x14ac:dyDescent="0.2">
      <c r="A644" s="24">
        <f t="shared" si="98"/>
        <v>25.099800796022265</v>
      </c>
      <c r="B644" s="32">
        <v>630</v>
      </c>
      <c r="C644" s="32"/>
      <c r="D644" s="25">
        <f t="shared" si="90"/>
        <v>0</v>
      </c>
      <c r="E644" s="32">
        <v>630</v>
      </c>
      <c r="F644" s="8"/>
      <c r="G644" s="25">
        <f t="shared" si="91"/>
        <v>0</v>
      </c>
      <c r="H644" s="32">
        <v>630</v>
      </c>
      <c r="I644" s="32"/>
      <c r="J644" s="25">
        <f t="shared" si="92"/>
        <v>0</v>
      </c>
      <c r="K644" s="32">
        <v>630</v>
      </c>
      <c r="L644" s="31"/>
      <c r="M644" s="25">
        <f t="shared" si="93"/>
        <v>0</v>
      </c>
      <c r="N644" s="32">
        <v>630</v>
      </c>
      <c r="O644" s="32"/>
      <c r="P644" s="25">
        <f t="shared" si="94"/>
        <v>0</v>
      </c>
      <c r="Q644" s="32">
        <v>630</v>
      </c>
      <c r="R644" s="32"/>
      <c r="S644" s="25">
        <f t="shared" si="95"/>
        <v>0</v>
      </c>
      <c r="T644" s="32">
        <v>630</v>
      </c>
      <c r="U644" s="32"/>
      <c r="V644" s="25">
        <f t="shared" si="99"/>
        <v>0</v>
      </c>
      <c r="W644" s="32">
        <v>630</v>
      </c>
      <c r="X644" s="32">
        <f t="shared" si="96"/>
        <v>0</v>
      </c>
      <c r="Y644" s="25">
        <f t="shared" si="97"/>
        <v>0</v>
      </c>
      <c r="AD644" s="26"/>
    </row>
    <row r="645" spans="1:30" x14ac:dyDescent="0.2">
      <c r="A645" s="24">
        <f t="shared" si="98"/>
        <v>25.690465157330259</v>
      </c>
      <c r="B645" s="32">
        <v>660</v>
      </c>
      <c r="C645" s="32"/>
      <c r="D645" s="25">
        <f t="shared" ref="D645:D708" si="100">C645</f>
        <v>0</v>
      </c>
      <c r="E645" s="32">
        <v>660</v>
      </c>
      <c r="F645" s="8"/>
      <c r="G645" s="25">
        <f t="shared" ref="G645:G708" si="101">F645+$AB$2</f>
        <v>0</v>
      </c>
      <c r="H645" s="32">
        <v>660</v>
      </c>
      <c r="I645" s="32"/>
      <c r="J645" s="25">
        <f t="shared" ref="J645:J708" si="102">I645+$AB$3</f>
        <v>0</v>
      </c>
      <c r="K645" s="32">
        <v>660</v>
      </c>
      <c r="L645" s="31"/>
      <c r="M645" s="25">
        <f t="shared" ref="M645:M708" si="103">L645+$AB$4</f>
        <v>0</v>
      </c>
      <c r="N645" s="32">
        <v>660</v>
      </c>
      <c r="O645" s="32"/>
      <c r="P645" s="25">
        <f t="shared" ref="P645:P708" si="104">O645+$AB$5</f>
        <v>0</v>
      </c>
      <c r="Q645" s="32">
        <v>660</v>
      </c>
      <c r="R645" s="32"/>
      <c r="S645" s="25">
        <f t="shared" ref="S645:S708" si="105">R645+$AB$6</f>
        <v>0</v>
      </c>
      <c r="T645" s="32">
        <v>660</v>
      </c>
      <c r="U645" s="32"/>
      <c r="V645" s="25">
        <f t="shared" si="99"/>
        <v>0</v>
      </c>
      <c r="W645" s="32">
        <v>660</v>
      </c>
      <c r="X645" s="32">
        <f t="shared" ref="X645:X708" si="106">U645</f>
        <v>0</v>
      </c>
      <c r="Y645" s="25">
        <f t="shared" ref="Y645:Y708" si="107">X645+$AB$8</f>
        <v>0</v>
      </c>
      <c r="AD645" s="26"/>
    </row>
    <row r="646" spans="1:30" x14ac:dyDescent="0.2">
      <c r="A646" s="24">
        <f t="shared" ref="A646:A675" si="108">SQRT(B646)</f>
        <v>26.267851073127396</v>
      </c>
      <c r="B646" s="32">
        <v>690</v>
      </c>
      <c r="C646" s="32"/>
      <c r="D646" s="25">
        <f t="shared" si="100"/>
        <v>0</v>
      </c>
      <c r="E646" s="32">
        <v>690</v>
      </c>
      <c r="F646" s="8"/>
      <c r="G646" s="25">
        <f t="shared" si="101"/>
        <v>0</v>
      </c>
      <c r="H646" s="32">
        <v>690</v>
      </c>
      <c r="I646" s="32"/>
      <c r="J646" s="25">
        <f t="shared" si="102"/>
        <v>0</v>
      </c>
      <c r="K646" s="32">
        <v>690</v>
      </c>
      <c r="L646" s="31"/>
      <c r="M646" s="25">
        <f t="shared" si="103"/>
        <v>0</v>
      </c>
      <c r="N646" s="32">
        <v>690</v>
      </c>
      <c r="O646" s="32"/>
      <c r="P646" s="25">
        <f t="shared" si="104"/>
        <v>0</v>
      </c>
      <c r="Q646" s="32">
        <v>690</v>
      </c>
      <c r="R646" s="32"/>
      <c r="S646" s="25">
        <f t="shared" si="105"/>
        <v>0</v>
      </c>
      <c r="T646" s="32">
        <v>690</v>
      </c>
      <c r="U646" s="32"/>
      <c r="V646" s="25">
        <f t="shared" ref="V646:V709" si="109">Y646</f>
        <v>0</v>
      </c>
      <c r="W646" s="32">
        <v>690</v>
      </c>
      <c r="X646" s="32">
        <f t="shared" si="106"/>
        <v>0</v>
      </c>
      <c r="Y646" s="25">
        <f t="shared" si="107"/>
        <v>0</v>
      </c>
      <c r="AD646" s="26"/>
    </row>
    <row r="647" spans="1:30" x14ac:dyDescent="0.2">
      <c r="A647" s="24">
        <f t="shared" si="108"/>
        <v>26.832815729997478</v>
      </c>
      <c r="B647" s="32">
        <v>720</v>
      </c>
      <c r="C647" s="32"/>
      <c r="D647" s="25">
        <f t="shared" si="100"/>
        <v>0</v>
      </c>
      <c r="E647" s="32">
        <v>720</v>
      </c>
      <c r="F647" s="8"/>
      <c r="G647" s="25">
        <f t="shared" si="101"/>
        <v>0</v>
      </c>
      <c r="H647" s="32">
        <v>720</v>
      </c>
      <c r="I647" s="32"/>
      <c r="J647" s="25">
        <f t="shared" si="102"/>
        <v>0</v>
      </c>
      <c r="K647" s="32">
        <v>720</v>
      </c>
      <c r="L647" s="31"/>
      <c r="M647" s="25">
        <f t="shared" si="103"/>
        <v>0</v>
      </c>
      <c r="N647" s="32">
        <v>720</v>
      </c>
      <c r="O647" s="32"/>
      <c r="P647" s="25">
        <f t="shared" si="104"/>
        <v>0</v>
      </c>
      <c r="Q647" s="32">
        <v>720</v>
      </c>
      <c r="R647" s="32"/>
      <c r="S647" s="25">
        <f t="shared" si="105"/>
        <v>0</v>
      </c>
      <c r="T647" s="32">
        <v>720</v>
      </c>
      <c r="U647" s="32"/>
      <c r="V647" s="25">
        <f t="shared" si="109"/>
        <v>0</v>
      </c>
      <c r="W647" s="32">
        <v>720</v>
      </c>
      <c r="X647" s="32">
        <f t="shared" si="106"/>
        <v>0</v>
      </c>
      <c r="Y647" s="25">
        <f t="shared" si="107"/>
        <v>0</v>
      </c>
      <c r="AD647" s="26"/>
    </row>
    <row r="648" spans="1:30" x14ac:dyDescent="0.2">
      <c r="A648" s="24">
        <f t="shared" si="108"/>
        <v>27.386127875258307</v>
      </c>
      <c r="B648" s="32">
        <v>750</v>
      </c>
      <c r="C648" s="32"/>
      <c r="D648" s="25">
        <f t="shared" si="100"/>
        <v>0</v>
      </c>
      <c r="E648" s="32">
        <v>750</v>
      </c>
      <c r="F648" s="8"/>
      <c r="G648" s="25">
        <f t="shared" si="101"/>
        <v>0</v>
      </c>
      <c r="H648" s="32">
        <v>750</v>
      </c>
      <c r="I648" s="32"/>
      <c r="J648" s="25">
        <f t="shared" si="102"/>
        <v>0</v>
      </c>
      <c r="K648" s="32">
        <v>750</v>
      </c>
      <c r="L648" s="31"/>
      <c r="M648" s="25">
        <f t="shared" si="103"/>
        <v>0</v>
      </c>
      <c r="N648" s="32">
        <v>750</v>
      </c>
      <c r="O648" s="32"/>
      <c r="P648" s="25">
        <f t="shared" si="104"/>
        <v>0</v>
      </c>
      <c r="Q648" s="32">
        <v>750</v>
      </c>
      <c r="R648" s="32"/>
      <c r="S648" s="25">
        <f t="shared" si="105"/>
        <v>0</v>
      </c>
      <c r="T648" s="32">
        <v>750</v>
      </c>
      <c r="U648" s="32"/>
      <c r="V648" s="25">
        <f t="shared" si="109"/>
        <v>0</v>
      </c>
      <c r="W648" s="32">
        <v>750</v>
      </c>
      <c r="X648" s="32">
        <f t="shared" si="106"/>
        <v>0</v>
      </c>
      <c r="Y648" s="25">
        <f t="shared" si="107"/>
        <v>0</v>
      </c>
      <c r="AD648" s="26"/>
    </row>
    <row r="649" spans="1:30" x14ac:dyDescent="0.2">
      <c r="A649" s="24">
        <f t="shared" si="108"/>
        <v>27.928480087537881</v>
      </c>
      <c r="B649" s="32">
        <v>780</v>
      </c>
      <c r="C649" s="32"/>
      <c r="D649" s="25">
        <f t="shared" si="100"/>
        <v>0</v>
      </c>
      <c r="E649" s="32">
        <v>780</v>
      </c>
      <c r="F649" s="8"/>
      <c r="G649" s="25">
        <f t="shared" si="101"/>
        <v>0</v>
      </c>
      <c r="H649" s="32">
        <v>780</v>
      </c>
      <c r="I649" s="32"/>
      <c r="J649" s="25">
        <f t="shared" si="102"/>
        <v>0</v>
      </c>
      <c r="K649" s="32">
        <v>780</v>
      </c>
      <c r="L649" s="31"/>
      <c r="M649" s="25">
        <f t="shared" si="103"/>
        <v>0</v>
      </c>
      <c r="N649" s="32">
        <v>780</v>
      </c>
      <c r="O649" s="32"/>
      <c r="P649" s="25">
        <f t="shared" si="104"/>
        <v>0</v>
      </c>
      <c r="Q649" s="32">
        <v>780</v>
      </c>
      <c r="R649" s="32"/>
      <c r="S649" s="25">
        <f t="shared" si="105"/>
        <v>0</v>
      </c>
      <c r="T649" s="32">
        <v>780</v>
      </c>
      <c r="U649" s="32"/>
      <c r="V649" s="25">
        <f t="shared" si="109"/>
        <v>0</v>
      </c>
      <c r="W649" s="32">
        <v>780</v>
      </c>
      <c r="X649" s="32">
        <f t="shared" si="106"/>
        <v>0</v>
      </c>
      <c r="Y649" s="25">
        <f t="shared" si="107"/>
        <v>0</v>
      </c>
      <c r="AD649" s="26"/>
    </row>
    <row r="650" spans="1:30" x14ac:dyDescent="0.2">
      <c r="A650" s="24">
        <f t="shared" si="108"/>
        <v>28.460498941515414</v>
      </c>
      <c r="B650" s="32">
        <v>810</v>
      </c>
      <c r="C650" s="32"/>
      <c r="D650" s="25">
        <f t="shared" si="100"/>
        <v>0</v>
      </c>
      <c r="E650" s="32">
        <v>810</v>
      </c>
      <c r="F650" s="8"/>
      <c r="G650" s="25">
        <f t="shared" si="101"/>
        <v>0</v>
      </c>
      <c r="H650" s="32">
        <v>810</v>
      </c>
      <c r="I650" s="32"/>
      <c r="J650" s="25">
        <f t="shared" si="102"/>
        <v>0</v>
      </c>
      <c r="K650" s="32">
        <v>810</v>
      </c>
      <c r="L650" s="31"/>
      <c r="M650" s="25">
        <f t="shared" si="103"/>
        <v>0</v>
      </c>
      <c r="N650" s="32">
        <v>810</v>
      </c>
      <c r="O650" s="32"/>
      <c r="P650" s="25">
        <f t="shared" si="104"/>
        <v>0</v>
      </c>
      <c r="Q650" s="32">
        <v>810</v>
      </c>
      <c r="R650" s="32"/>
      <c r="S650" s="25">
        <f t="shared" si="105"/>
        <v>0</v>
      </c>
      <c r="T650" s="32">
        <v>810</v>
      </c>
      <c r="U650" s="32"/>
      <c r="V650" s="25">
        <f t="shared" si="109"/>
        <v>0</v>
      </c>
      <c r="W650" s="32">
        <v>810</v>
      </c>
      <c r="X650" s="32">
        <f t="shared" si="106"/>
        <v>0</v>
      </c>
      <c r="Y650" s="25">
        <f t="shared" si="107"/>
        <v>0</v>
      </c>
      <c r="AD650" s="26"/>
    </row>
    <row r="651" spans="1:30" x14ac:dyDescent="0.2">
      <c r="A651" s="24">
        <f t="shared" si="108"/>
        <v>28.982753492378876</v>
      </c>
      <c r="B651" s="32">
        <v>840</v>
      </c>
      <c r="C651" s="32"/>
      <c r="D651" s="25">
        <f t="shared" si="100"/>
        <v>0</v>
      </c>
      <c r="E651" s="32">
        <v>840</v>
      </c>
      <c r="F651" s="8"/>
      <c r="G651" s="25">
        <f t="shared" si="101"/>
        <v>0</v>
      </c>
      <c r="H651" s="32">
        <v>840</v>
      </c>
      <c r="I651" s="32"/>
      <c r="J651" s="25">
        <f t="shared" si="102"/>
        <v>0</v>
      </c>
      <c r="K651" s="32">
        <v>840</v>
      </c>
      <c r="L651" s="31"/>
      <c r="M651" s="25">
        <f t="shared" si="103"/>
        <v>0</v>
      </c>
      <c r="N651" s="32">
        <v>840</v>
      </c>
      <c r="O651" s="32"/>
      <c r="P651" s="25">
        <f t="shared" si="104"/>
        <v>0</v>
      </c>
      <c r="Q651" s="32">
        <v>840</v>
      </c>
      <c r="R651" s="32"/>
      <c r="S651" s="25">
        <f t="shared" si="105"/>
        <v>0</v>
      </c>
      <c r="T651" s="32">
        <v>840</v>
      </c>
      <c r="U651" s="32"/>
      <c r="V651" s="25">
        <f t="shared" si="109"/>
        <v>0</v>
      </c>
      <c r="W651" s="32">
        <v>840</v>
      </c>
      <c r="X651" s="32">
        <f t="shared" si="106"/>
        <v>0</v>
      </c>
      <c r="Y651" s="25">
        <f t="shared" si="107"/>
        <v>0</v>
      </c>
      <c r="AD651" s="26"/>
    </row>
    <row r="652" spans="1:30" x14ac:dyDescent="0.2">
      <c r="A652" s="24">
        <f t="shared" si="108"/>
        <v>29.49576240750525</v>
      </c>
      <c r="B652" s="32">
        <v>870</v>
      </c>
      <c r="C652" s="32"/>
      <c r="D652" s="25">
        <f t="shared" si="100"/>
        <v>0</v>
      </c>
      <c r="E652" s="32">
        <v>870</v>
      </c>
      <c r="F652" s="8"/>
      <c r="G652" s="25">
        <f t="shared" si="101"/>
        <v>0</v>
      </c>
      <c r="H652" s="32">
        <v>870</v>
      </c>
      <c r="I652" s="32"/>
      <c r="J652" s="25">
        <f t="shared" si="102"/>
        <v>0</v>
      </c>
      <c r="K652" s="32">
        <v>870</v>
      </c>
      <c r="L652" s="31"/>
      <c r="M652" s="25">
        <f t="shared" si="103"/>
        <v>0</v>
      </c>
      <c r="N652" s="32">
        <v>870</v>
      </c>
      <c r="O652" s="32"/>
      <c r="P652" s="25">
        <f t="shared" si="104"/>
        <v>0</v>
      </c>
      <c r="Q652" s="32">
        <v>870</v>
      </c>
      <c r="R652" s="32"/>
      <c r="S652" s="25">
        <f t="shared" si="105"/>
        <v>0</v>
      </c>
      <c r="T652" s="32">
        <v>870</v>
      </c>
      <c r="U652" s="32"/>
      <c r="V652" s="25">
        <f t="shared" si="109"/>
        <v>0</v>
      </c>
      <c r="W652" s="32">
        <v>870</v>
      </c>
      <c r="X652" s="32">
        <f t="shared" si="106"/>
        <v>0</v>
      </c>
      <c r="Y652" s="25">
        <f t="shared" si="107"/>
        <v>0</v>
      </c>
      <c r="AD652" s="26"/>
    </row>
    <row r="653" spans="1:30" x14ac:dyDescent="0.2">
      <c r="A653" s="24">
        <f t="shared" si="108"/>
        <v>30</v>
      </c>
      <c r="B653" s="32">
        <v>900</v>
      </c>
      <c r="C653" s="32"/>
      <c r="D653" s="25">
        <f t="shared" si="100"/>
        <v>0</v>
      </c>
      <c r="E653" s="32">
        <v>900</v>
      </c>
      <c r="F653" s="8"/>
      <c r="G653" s="25">
        <f t="shared" si="101"/>
        <v>0</v>
      </c>
      <c r="H653" s="32">
        <v>900</v>
      </c>
      <c r="I653" s="32"/>
      <c r="J653" s="25">
        <f t="shared" si="102"/>
        <v>0</v>
      </c>
      <c r="K653" s="32">
        <v>900</v>
      </c>
      <c r="L653" s="31"/>
      <c r="M653" s="25">
        <f t="shared" si="103"/>
        <v>0</v>
      </c>
      <c r="N653" s="32">
        <v>900</v>
      </c>
      <c r="O653" s="32"/>
      <c r="P653" s="25">
        <f t="shared" si="104"/>
        <v>0</v>
      </c>
      <c r="Q653" s="32">
        <v>900</v>
      </c>
      <c r="R653" s="32"/>
      <c r="S653" s="25">
        <f t="shared" si="105"/>
        <v>0</v>
      </c>
      <c r="T653" s="32">
        <v>900</v>
      </c>
      <c r="U653" s="32"/>
      <c r="V653" s="25">
        <f t="shared" si="109"/>
        <v>0</v>
      </c>
      <c r="W653" s="32">
        <v>900</v>
      </c>
      <c r="X653" s="32">
        <f t="shared" si="106"/>
        <v>0</v>
      </c>
      <c r="Y653" s="25">
        <f t="shared" si="107"/>
        <v>0</v>
      </c>
      <c r="AD653" s="26"/>
    </row>
    <row r="654" spans="1:30" x14ac:dyDescent="0.2">
      <c r="A654" s="24">
        <f t="shared" si="108"/>
        <v>30.495901363953813</v>
      </c>
      <c r="B654" s="32">
        <v>930</v>
      </c>
      <c r="C654" s="32"/>
      <c r="D654" s="25">
        <f t="shared" si="100"/>
        <v>0</v>
      </c>
      <c r="E654" s="32">
        <v>930</v>
      </c>
      <c r="F654" s="8"/>
      <c r="G654" s="25">
        <f t="shared" si="101"/>
        <v>0</v>
      </c>
      <c r="H654" s="32">
        <v>930</v>
      </c>
      <c r="I654" s="32"/>
      <c r="J654" s="25">
        <f t="shared" si="102"/>
        <v>0</v>
      </c>
      <c r="K654" s="32">
        <v>930</v>
      </c>
      <c r="L654" s="31"/>
      <c r="M654" s="25">
        <f t="shared" si="103"/>
        <v>0</v>
      </c>
      <c r="N654" s="32">
        <v>930</v>
      </c>
      <c r="O654" s="32"/>
      <c r="P654" s="25">
        <f t="shared" si="104"/>
        <v>0</v>
      </c>
      <c r="Q654" s="32">
        <v>930</v>
      </c>
      <c r="R654" s="32"/>
      <c r="S654" s="25">
        <f t="shared" si="105"/>
        <v>0</v>
      </c>
      <c r="T654" s="32">
        <v>930</v>
      </c>
      <c r="U654" s="32"/>
      <c r="V654" s="25">
        <f t="shared" si="109"/>
        <v>0</v>
      </c>
      <c r="W654" s="32">
        <v>930</v>
      </c>
      <c r="X654" s="32">
        <f t="shared" si="106"/>
        <v>0</v>
      </c>
      <c r="Y654" s="25">
        <f t="shared" si="107"/>
        <v>0</v>
      </c>
      <c r="AD654" s="26"/>
    </row>
    <row r="655" spans="1:30" x14ac:dyDescent="0.2">
      <c r="A655" s="24">
        <f t="shared" si="108"/>
        <v>30.983866769659336</v>
      </c>
      <c r="B655" s="32">
        <v>960</v>
      </c>
      <c r="C655" s="32"/>
      <c r="D655" s="25">
        <f t="shared" si="100"/>
        <v>0</v>
      </c>
      <c r="E655" s="32">
        <v>960</v>
      </c>
      <c r="F655" s="8"/>
      <c r="G655" s="25">
        <f t="shared" si="101"/>
        <v>0</v>
      </c>
      <c r="H655" s="32">
        <v>960</v>
      </c>
      <c r="I655" s="32"/>
      <c r="J655" s="25">
        <f t="shared" si="102"/>
        <v>0</v>
      </c>
      <c r="K655" s="32">
        <v>960</v>
      </c>
      <c r="L655" s="31"/>
      <c r="M655" s="25">
        <f t="shared" si="103"/>
        <v>0</v>
      </c>
      <c r="N655" s="32">
        <v>960</v>
      </c>
      <c r="O655" s="32"/>
      <c r="P655" s="25">
        <f t="shared" si="104"/>
        <v>0</v>
      </c>
      <c r="Q655" s="32">
        <v>960</v>
      </c>
      <c r="R655" s="32"/>
      <c r="S655" s="25">
        <f t="shared" si="105"/>
        <v>0</v>
      </c>
      <c r="T655" s="32">
        <v>960</v>
      </c>
      <c r="U655" s="32"/>
      <c r="V655" s="25">
        <f t="shared" si="109"/>
        <v>0</v>
      </c>
      <c r="W655" s="32">
        <v>960</v>
      </c>
      <c r="X655" s="32">
        <f t="shared" si="106"/>
        <v>0</v>
      </c>
      <c r="Y655" s="25">
        <f t="shared" si="107"/>
        <v>0</v>
      </c>
      <c r="AD655" s="26"/>
    </row>
    <row r="656" spans="1:30" x14ac:dyDescent="0.2">
      <c r="A656" s="24">
        <f t="shared" si="108"/>
        <v>31.464265445104548</v>
      </c>
      <c r="B656" s="32">
        <v>990</v>
      </c>
      <c r="C656" s="32"/>
      <c r="D656" s="25">
        <f t="shared" si="100"/>
        <v>0</v>
      </c>
      <c r="E656" s="32">
        <v>990</v>
      </c>
      <c r="F656" s="8"/>
      <c r="G656" s="25">
        <f t="shared" si="101"/>
        <v>0</v>
      </c>
      <c r="H656" s="32">
        <v>990</v>
      </c>
      <c r="I656" s="32"/>
      <c r="J656" s="25">
        <f t="shared" si="102"/>
        <v>0</v>
      </c>
      <c r="K656" s="32">
        <v>990</v>
      </c>
      <c r="L656" s="31"/>
      <c r="M656" s="25">
        <f t="shared" si="103"/>
        <v>0</v>
      </c>
      <c r="N656" s="32">
        <v>990</v>
      </c>
      <c r="O656" s="32"/>
      <c r="P656" s="25">
        <f t="shared" si="104"/>
        <v>0</v>
      </c>
      <c r="Q656" s="32">
        <v>990</v>
      </c>
      <c r="R656" s="32"/>
      <c r="S656" s="25">
        <f t="shared" si="105"/>
        <v>0</v>
      </c>
      <c r="T656" s="32">
        <v>990</v>
      </c>
      <c r="U656" s="32"/>
      <c r="V656" s="25">
        <f t="shared" si="109"/>
        <v>0</v>
      </c>
      <c r="W656" s="32">
        <v>990</v>
      </c>
      <c r="X656" s="32">
        <f t="shared" si="106"/>
        <v>0</v>
      </c>
      <c r="Y656" s="25">
        <f t="shared" si="107"/>
        <v>0</v>
      </c>
      <c r="AB656" s="26"/>
      <c r="AC656" s="26"/>
      <c r="AD656" s="26"/>
    </row>
    <row r="657" spans="1:32" s="26" customFormat="1" x14ac:dyDescent="0.2">
      <c r="A657" s="24">
        <f t="shared" si="108"/>
        <v>31.937699771064757</v>
      </c>
      <c r="B657" s="29">
        <v>1020.0166666666699</v>
      </c>
      <c r="C657" s="32"/>
      <c r="D657" s="25">
        <f t="shared" si="100"/>
        <v>0</v>
      </c>
      <c r="E657" s="29">
        <v>1020.0166666666699</v>
      </c>
      <c r="F657" s="8"/>
      <c r="G657" s="25">
        <f t="shared" si="101"/>
        <v>0</v>
      </c>
      <c r="H657" s="29">
        <v>1020.0166666666699</v>
      </c>
      <c r="I657" s="32"/>
      <c r="J657" s="25">
        <f t="shared" si="102"/>
        <v>0</v>
      </c>
      <c r="K657" s="29">
        <v>1020.0166666666699</v>
      </c>
      <c r="L657" s="31"/>
      <c r="M657" s="25">
        <f t="shared" si="103"/>
        <v>0</v>
      </c>
      <c r="N657" s="29">
        <v>1020.0166666666699</v>
      </c>
      <c r="O657" s="32"/>
      <c r="P657" s="25">
        <f t="shared" si="104"/>
        <v>0</v>
      </c>
      <c r="Q657" s="29">
        <v>1020.0166666666699</v>
      </c>
      <c r="R657" s="32"/>
      <c r="S657" s="25">
        <f t="shared" si="105"/>
        <v>0</v>
      </c>
      <c r="T657" s="29">
        <v>1020.0166666666699</v>
      </c>
      <c r="U657" s="32"/>
      <c r="V657" s="25">
        <f t="shared" si="109"/>
        <v>0</v>
      </c>
      <c r="W657" s="32">
        <v>1020.0166666666699</v>
      </c>
      <c r="X657" s="32">
        <f t="shared" si="106"/>
        <v>0</v>
      </c>
      <c r="Y657" s="25">
        <f t="shared" si="107"/>
        <v>0</v>
      </c>
      <c r="AA657" s="1"/>
      <c r="AB657" s="30"/>
      <c r="AC657" s="30"/>
      <c r="AF657" s="1"/>
    </row>
    <row r="658" spans="1:32" s="30" customFormat="1" x14ac:dyDescent="0.2">
      <c r="A658" s="24">
        <f t="shared" si="108"/>
        <v>32.403960663268776</v>
      </c>
      <c r="B658" s="29">
        <v>1050.0166666666701</v>
      </c>
      <c r="C658" s="32"/>
      <c r="D658" s="25">
        <f t="shared" si="100"/>
        <v>0</v>
      </c>
      <c r="E658" s="29">
        <v>1050.0166666666701</v>
      </c>
      <c r="F658" s="8"/>
      <c r="G658" s="25">
        <f t="shared" si="101"/>
        <v>0</v>
      </c>
      <c r="H658" s="29">
        <v>1050.0166666666701</v>
      </c>
      <c r="I658" s="32"/>
      <c r="J658" s="25">
        <f t="shared" si="102"/>
        <v>0</v>
      </c>
      <c r="K658" s="29">
        <v>1050.0166666666701</v>
      </c>
      <c r="L658" s="31"/>
      <c r="M658" s="25">
        <f t="shared" si="103"/>
        <v>0</v>
      </c>
      <c r="N658" s="29">
        <v>1050.0166666666701</v>
      </c>
      <c r="O658" s="32"/>
      <c r="P658" s="25">
        <f t="shared" si="104"/>
        <v>0</v>
      </c>
      <c r="Q658" s="29">
        <v>1050.0166666666701</v>
      </c>
      <c r="R658" s="32"/>
      <c r="S658" s="25">
        <f t="shared" si="105"/>
        <v>0</v>
      </c>
      <c r="T658" s="29">
        <v>1050.0166666666701</v>
      </c>
      <c r="U658" s="32"/>
      <c r="V658" s="25">
        <f t="shared" si="109"/>
        <v>0</v>
      </c>
      <c r="W658" s="32">
        <v>1050.0166666666701</v>
      </c>
      <c r="X658" s="32">
        <f t="shared" si="106"/>
        <v>0</v>
      </c>
      <c r="Y658" s="25">
        <f t="shared" si="107"/>
        <v>0</v>
      </c>
      <c r="AA658" s="1"/>
      <c r="AD658" s="26"/>
      <c r="AF658" s="1"/>
    </row>
    <row r="659" spans="1:32" s="30" customFormat="1" x14ac:dyDescent="0.2">
      <c r="A659" s="24">
        <f t="shared" si="108"/>
        <v>32.863607024589832</v>
      </c>
      <c r="B659" s="29">
        <v>1080.0166666666701</v>
      </c>
      <c r="C659" s="32"/>
      <c r="D659" s="25">
        <f t="shared" si="100"/>
        <v>0</v>
      </c>
      <c r="E659" s="29">
        <v>1080.0166666666701</v>
      </c>
      <c r="F659" s="8"/>
      <c r="G659" s="25">
        <f t="shared" si="101"/>
        <v>0</v>
      </c>
      <c r="H659" s="29">
        <v>1080.0166666666701</v>
      </c>
      <c r="I659" s="32"/>
      <c r="J659" s="25">
        <f t="shared" si="102"/>
        <v>0</v>
      </c>
      <c r="K659" s="29">
        <v>1080.0166666666701</v>
      </c>
      <c r="L659" s="31"/>
      <c r="M659" s="25">
        <f t="shared" si="103"/>
        <v>0</v>
      </c>
      <c r="N659" s="29">
        <v>1080.0166666666701</v>
      </c>
      <c r="O659" s="32"/>
      <c r="P659" s="25">
        <f t="shared" si="104"/>
        <v>0</v>
      </c>
      <c r="Q659" s="29">
        <v>1080.0166666666701</v>
      </c>
      <c r="R659" s="32"/>
      <c r="S659" s="25">
        <f t="shared" si="105"/>
        <v>0</v>
      </c>
      <c r="T659" s="29">
        <v>1080.0166666666701</v>
      </c>
      <c r="U659" s="32"/>
      <c r="V659" s="25">
        <f t="shared" si="109"/>
        <v>0</v>
      </c>
      <c r="W659" s="32">
        <v>1080.0166666666701</v>
      </c>
      <c r="X659" s="32">
        <f t="shared" si="106"/>
        <v>0</v>
      </c>
      <c r="Y659" s="25">
        <f t="shared" si="107"/>
        <v>0</v>
      </c>
      <c r="AA659" s="1"/>
      <c r="AD659" s="26"/>
      <c r="AF659" s="1"/>
    </row>
    <row r="660" spans="1:32" s="30" customFormat="1" x14ac:dyDescent="0.2">
      <c r="A660" s="24">
        <f t="shared" si="108"/>
        <v>33.31691262207034</v>
      </c>
      <c r="B660" s="29">
        <v>1110.0166666666701</v>
      </c>
      <c r="C660" s="32"/>
      <c r="D660" s="25">
        <f t="shared" si="100"/>
        <v>0</v>
      </c>
      <c r="E660" s="29">
        <v>1110.0166666666701</v>
      </c>
      <c r="F660" s="8"/>
      <c r="G660" s="25">
        <f t="shared" si="101"/>
        <v>0</v>
      </c>
      <c r="H660" s="29">
        <v>1110.0166666666701</v>
      </c>
      <c r="I660" s="32"/>
      <c r="J660" s="25">
        <f t="shared" si="102"/>
        <v>0</v>
      </c>
      <c r="K660" s="29">
        <v>1110.0166666666701</v>
      </c>
      <c r="L660" s="31"/>
      <c r="M660" s="25">
        <f t="shared" si="103"/>
        <v>0</v>
      </c>
      <c r="N660" s="29">
        <v>1110.0166666666701</v>
      </c>
      <c r="O660" s="32"/>
      <c r="P660" s="25">
        <f t="shared" si="104"/>
        <v>0</v>
      </c>
      <c r="Q660" s="29">
        <v>1110.0166666666701</v>
      </c>
      <c r="R660" s="32"/>
      <c r="S660" s="25">
        <f t="shared" si="105"/>
        <v>0</v>
      </c>
      <c r="T660" s="29">
        <v>1110.0166666666701</v>
      </c>
      <c r="U660" s="32"/>
      <c r="V660" s="25">
        <f t="shared" si="109"/>
        <v>0</v>
      </c>
      <c r="W660" s="32">
        <v>1110.0166666666701</v>
      </c>
      <c r="X660" s="32">
        <f t="shared" si="106"/>
        <v>0</v>
      </c>
      <c r="Y660" s="25">
        <f t="shared" si="107"/>
        <v>0</v>
      </c>
      <c r="AA660" s="1"/>
      <c r="AD660" s="26"/>
      <c r="AF660" s="1"/>
    </row>
    <row r="661" spans="1:32" s="30" customFormat="1" x14ac:dyDescent="0.2">
      <c r="A661" s="24">
        <f t="shared" si="108"/>
        <v>33.764132843398627</v>
      </c>
      <c r="B661" s="29">
        <v>1140.0166666666701</v>
      </c>
      <c r="C661" s="32"/>
      <c r="D661" s="25">
        <f t="shared" si="100"/>
        <v>0</v>
      </c>
      <c r="E661" s="29">
        <v>1140.0166666666701</v>
      </c>
      <c r="F661" s="8"/>
      <c r="G661" s="25">
        <f t="shared" si="101"/>
        <v>0</v>
      </c>
      <c r="H661" s="29">
        <v>1140.0166666666701</v>
      </c>
      <c r="I661" s="32"/>
      <c r="J661" s="25">
        <f t="shared" si="102"/>
        <v>0</v>
      </c>
      <c r="K661" s="29">
        <v>1140.0166666666701</v>
      </c>
      <c r="L661" s="31"/>
      <c r="M661" s="25">
        <f t="shared" si="103"/>
        <v>0</v>
      </c>
      <c r="N661" s="29">
        <v>1140.0166666666701</v>
      </c>
      <c r="O661" s="32"/>
      <c r="P661" s="25">
        <f t="shared" si="104"/>
        <v>0</v>
      </c>
      <c r="Q661" s="29">
        <v>1140.0166666666701</v>
      </c>
      <c r="R661" s="32"/>
      <c r="S661" s="25">
        <f t="shared" si="105"/>
        <v>0</v>
      </c>
      <c r="T661" s="29">
        <v>1140.0166666666701</v>
      </c>
      <c r="U661" s="32"/>
      <c r="V661" s="25">
        <f t="shared" si="109"/>
        <v>0</v>
      </c>
      <c r="W661" s="32">
        <v>1140.0166666666701</v>
      </c>
      <c r="X661" s="32">
        <f t="shared" si="106"/>
        <v>0</v>
      </c>
      <c r="Y661" s="25">
        <f t="shared" si="107"/>
        <v>0</v>
      </c>
      <c r="AA661" s="1"/>
      <c r="AD661" s="26"/>
      <c r="AF661" s="1"/>
    </row>
    <row r="662" spans="1:32" s="30" customFormat="1" x14ac:dyDescent="0.2">
      <c r="A662" s="24">
        <f>SQRT(B662)</f>
        <v>34.20550637933416</v>
      </c>
      <c r="B662" s="29">
        <v>1170.0166666666701</v>
      </c>
      <c r="C662" s="32"/>
      <c r="D662" s="25">
        <f t="shared" si="100"/>
        <v>0</v>
      </c>
      <c r="E662" s="29">
        <v>1170.0166666666701</v>
      </c>
      <c r="F662" s="8"/>
      <c r="G662" s="25">
        <f t="shared" si="101"/>
        <v>0</v>
      </c>
      <c r="H662" s="29">
        <v>1170.0166666666701</v>
      </c>
      <c r="I662" s="32"/>
      <c r="J662" s="25">
        <f t="shared" si="102"/>
        <v>0</v>
      </c>
      <c r="K662" s="29">
        <v>1170.0166666666701</v>
      </c>
      <c r="L662" s="31"/>
      <c r="M662" s="25">
        <f t="shared" si="103"/>
        <v>0</v>
      </c>
      <c r="N662" s="29">
        <v>1170.0166666666701</v>
      </c>
      <c r="O662" s="32"/>
      <c r="P662" s="25">
        <f t="shared" si="104"/>
        <v>0</v>
      </c>
      <c r="Q662" s="29">
        <v>1170.0166666666701</v>
      </c>
      <c r="R662" s="32"/>
      <c r="S662" s="25">
        <f t="shared" si="105"/>
        <v>0</v>
      </c>
      <c r="T662" s="29">
        <v>1170.0166666666701</v>
      </c>
      <c r="U662" s="32"/>
      <c r="V662" s="25">
        <f t="shared" si="109"/>
        <v>0</v>
      </c>
      <c r="W662" s="32">
        <v>1170.0166666666701</v>
      </c>
      <c r="X662" s="32">
        <f t="shared" si="106"/>
        <v>0</v>
      </c>
      <c r="Y662" s="25">
        <f t="shared" si="107"/>
        <v>0</v>
      </c>
      <c r="AA662" s="1"/>
      <c r="AD662" s="26"/>
      <c r="AF662" s="1"/>
    </row>
    <row r="663" spans="1:32" s="30" customFormat="1" x14ac:dyDescent="0.2">
      <c r="A663" s="24">
        <f t="shared" si="108"/>
        <v>34.641256713154476</v>
      </c>
      <c r="B663" s="29">
        <v>1200.0166666666701</v>
      </c>
      <c r="C663" s="32"/>
      <c r="D663" s="25">
        <f t="shared" si="100"/>
        <v>0</v>
      </c>
      <c r="E663" s="29">
        <v>1200.0166666666701</v>
      </c>
      <c r="F663" s="8"/>
      <c r="G663" s="25">
        <f t="shared" si="101"/>
        <v>0</v>
      </c>
      <c r="H663" s="29">
        <v>1200.0166666666701</v>
      </c>
      <c r="I663" s="32"/>
      <c r="J663" s="25">
        <f t="shared" si="102"/>
        <v>0</v>
      </c>
      <c r="K663" s="29">
        <v>1200.0166666666701</v>
      </c>
      <c r="L663" s="31"/>
      <c r="M663" s="25">
        <f t="shared" si="103"/>
        <v>0</v>
      </c>
      <c r="N663" s="29">
        <v>1200.0166666666701</v>
      </c>
      <c r="O663" s="32"/>
      <c r="P663" s="25">
        <f t="shared" si="104"/>
        <v>0</v>
      </c>
      <c r="Q663" s="29">
        <v>1200.0166666666701</v>
      </c>
      <c r="R663" s="32"/>
      <c r="S663" s="25">
        <f t="shared" si="105"/>
        <v>0</v>
      </c>
      <c r="T663" s="29">
        <v>1200.0166666666701</v>
      </c>
      <c r="U663" s="32"/>
      <c r="V663" s="25">
        <f t="shared" si="109"/>
        <v>0</v>
      </c>
      <c r="W663" s="32">
        <v>1200.0166666666701</v>
      </c>
      <c r="X663" s="32">
        <f t="shared" si="106"/>
        <v>0</v>
      </c>
      <c r="Y663" s="25">
        <f t="shared" si="107"/>
        <v>0</v>
      </c>
      <c r="AA663" s="1"/>
      <c r="AD663" s="26"/>
      <c r="AF663" s="1"/>
    </row>
    <row r="664" spans="1:32" s="30" customFormat="1" x14ac:dyDescent="0.2">
      <c r="A664" s="24">
        <f t="shared" si="108"/>
        <v>35.071593443507382</v>
      </c>
      <c r="B664" s="29">
        <v>1230.0166666666701</v>
      </c>
      <c r="C664" s="32"/>
      <c r="D664" s="25">
        <f t="shared" si="100"/>
        <v>0</v>
      </c>
      <c r="E664" s="29">
        <v>1230.0166666666701</v>
      </c>
      <c r="F664" s="8"/>
      <c r="G664" s="25">
        <f t="shared" si="101"/>
        <v>0</v>
      </c>
      <c r="H664" s="29">
        <v>1230.0166666666701</v>
      </c>
      <c r="I664" s="32"/>
      <c r="J664" s="25">
        <f t="shared" si="102"/>
        <v>0</v>
      </c>
      <c r="K664" s="29">
        <v>1230.0166666666701</v>
      </c>
      <c r="L664" s="31"/>
      <c r="M664" s="25">
        <f t="shared" si="103"/>
        <v>0</v>
      </c>
      <c r="N664" s="29">
        <v>1230.0166666666701</v>
      </c>
      <c r="O664" s="32"/>
      <c r="P664" s="25">
        <f t="shared" si="104"/>
        <v>0</v>
      </c>
      <c r="Q664" s="29">
        <v>1230.0166666666701</v>
      </c>
      <c r="R664" s="32"/>
      <c r="S664" s="25">
        <f t="shared" si="105"/>
        <v>0</v>
      </c>
      <c r="T664" s="29">
        <v>1230.0166666666701</v>
      </c>
      <c r="U664" s="32"/>
      <c r="V664" s="25">
        <f t="shared" si="109"/>
        <v>0</v>
      </c>
      <c r="W664" s="32">
        <v>1230.0166666666701</v>
      </c>
      <c r="X664" s="32">
        <f t="shared" si="106"/>
        <v>0</v>
      </c>
      <c r="Y664" s="25">
        <f t="shared" si="107"/>
        <v>0</v>
      </c>
      <c r="AA664" s="1"/>
      <c r="AD664" s="26"/>
      <c r="AF664" s="1"/>
    </row>
    <row r="665" spans="1:32" s="30" customFormat="1" x14ac:dyDescent="0.2">
      <c r="A665" s="24">
        <f t="shared" si="108"/>
        <v>35.496713462892167</v>
      </c>
      <c r="B665" s="29">
        <v>1260.0166666666701</v>
      </c>
      <c r="C665" s="32"/>
      <c r="D665" s="25">
        <f t="shared" si="100"/>
        <v>0</v>
      </c>
      <c r="E665" s="29">
        <v>1260.0166666666701</v>
      </c>
      <c r="F665" s="8"/>
      <c r="G665" s="25">
        <f t="shared" si="101"/>
        <v>0</v>
      </c>
      <c r="H665" s="29">
        <v>1260.0166666666701</v>
      </c>
      <c r="I665" s="32"/>
      <c r="J665" s="25">
        <f t="shared" si="102"/>
        <v>0</v>
      </c>
      <c r="K665" s="29">
        <v>1260.0166666666701</v>
      </c>
      <c r="L665" s="31"/>
      <c r="M665" s="25">
        <f t="shared" si="103"/>
        <v>0</v>
      </c>
      <c r="N665" s="29">
        <v>1260.0166666666701</v>
      </c>
      <c r="O665" s="32"/>
      <c r="P665" s="25">
        <f t="shared" si="104"/>
        <v>0</v>
      </c>
      <c r="Q665" s="29">
        <v>1260.0166666666701</v>
      </c>
      <c r="R665" s="32"/>
      <c r="S665" s="25">
        <f t="shared" si="105"/>
        <v>0</v>
      </c>
      <c r="T665" s="29">
        <v>1260.0166666666701</v>
      </c>
      <c r="U665" s="32"/>
      <c r="V665" s="25">
        <f t="shared" si="109"/>
        <v>0</v>
      </c>
      <c r="W665" s="32">
        <v>1260.0166666666701</v>
      </c>
      <c r="X665" s="32">
        <f t="shared" si="106"/>
        <v>0</v>
      </c>
      <c r="Y665" s="25">
        <f t="shared" si="107"/>
        <v>0</v>
      </c>
      <c r="AA665" s="1"/>
      <c r="AD665" s="26"/>
      <c r="AF665" s="1"/>
    </row>
    <row r="666" spans="1:32" s="30" customFormat="1" x14ac:dyDescent="0.2">
      <c r="A666" s="24">
        <f t="shared" si="108"/>
        <v>35.916802010572574</v>
      </c>
      <c r="B666" s="29">
        <v>1290.0166666666701</v>
      </c>
      <c r="C666" s="32"/>
      <c r="D666" s="25">
        <f t="shared" si="100"/>
        <v>0</v>
      </c>
      <c r="E666" s="29">
        <v>1290.0166666666701</v>
      </c>
      <c r="F666" s="8"/>
      <c r="G666" s="25">
        <f t="shared" si="101"/>
        <v>0</v>
      </c>
      <c r="H666" s="29">
        <v>1290.0166666666701</v>
      </c>
      <c r="I666" s="32"/>
      <c r="J666" s="25">
        <f t="shared" si="102"/>
        <v>0</v>
      </c>
      <c r="K666" s="29">
        <v>1290.0166666666701</v>
      </c>
      <c r="L666" s="31"/>
      <c r="M666" s="25">
        <f t="shared" si="103"/>
        <v>0</v>
      </c>
      <c r="N666" s="29">
        <v>1290.0166666666701</v>
      </c>
      <c r="O666" s="32"/>
      <c r="P666" s="25">
        <f t="shared" si="104"/>
        <v>0</v>
      </c>
      <c r="Q666" s="29">
        <v>1290.0166666666701</v>
      </c>
      <c r="R666" s="32"/>
      <c r="S666" s="25">
        <f t="shared" si="105"/>
        <v>0</v>
      </c>
      <c r="T666" s="29">
        <v>1290.0166666666701</v>
      </c>
      <c r="U666" s="32"/>
      <c r="V666" s="25">
        <f t="shared" si="109"/>
        <v>0</v>
      </c>
      <c r="W666" s="32">
        <v>1290.0166666666701</v>
      </c>
      <c r="X666" s="32">
        <f t="shared" si="106"/>
        <v>0</v>
      </c>
      <c r="Y666" s="25">
        <f t="shared" si="107"/>
        <v>0</v>
      </c>
      <c r="AA666" s="1"/>
      <c r="AD666" s="26"/>
      <c r="AF666" s="1"/>
    </row>
    <row r="667" spans="1:32" s="30" customFormat="1" x14ac:dyDescent="0.2">
      <c r="A667" s="24">
        <f t="shared" si="108"/>
        <v>36.332033615897004</v>
      </c>
      <c r="B667" s="29">
        <v>1320.0166666666701</v>
      </c>
      <c r="C667" s="32"/>
      <c r="D667" s="25">
        <f t="shared" si="100"/>
        <v>0</v>
      </c>
      <c r="E667" s="29">
        <v>1320.0166666666701</v>
      </c>
      <c r="F667" s="8"/>
      <c r="G667" s="25">
        <f t="shared" si="101"/>
        <v>0</v>
      </c>
      <c r="H667" s="29">
        <v>1320.0166666666701</v>
      </c>
      <c r="I667" s="32"/>
      <c r="J667" s="25">
        <f t="shared" si="102"/>
        <v>0</v>
      </c>
      <c r="K667" s="29">
        <v>1320.0166666666701</v>
      </c>
      <c r="L667" s="31"/>
      <c r="M667" s="25">
        <f t="shared" si="103"/>
        <v>0</v>
      </c>
      <c r="N667" s="29">
        <v>1320.0166666666701</v>
      </c>
      <c r="O667" s="32"/>
      <c r="P667" s="25">
        <f t="shared" si="104"/>
        <v>0</v>
      </c>
      <c r="Q667" s="29">
        <v>1320.0166666666701</v>
      </c>
      <c r="R667" s="32"/>
      <c r="S667" s="25">
        <f t="shared" si="105"/>
        <v>0</v>
      </c>
      <c r="T667" s="29">
        <v>1320.0166666666701</v>
      </c>
      <c r="U667" s="32"/>
      <c r="V667" s="25">
        <f t="shared" si="109"/>
        <v>0</v>
      </c>
      <c r="W667" s="32">
        <v>1320.0166666666701</v>
      </c>
      <c r="X667" s="32">
        <f t="shared" si="106"/>
        <v>0</v>
      </c>
      <c r="Y667" s="25">
        <f t="shared" si="107"/>
        <v>0</v>
      </c>
      <c r="AA667" s="1"/>
      <c r="AD667" s="26"/>
      <c r="AF667" s="1"/>
    </row>
    <row r="668" spans="1:32" s="30" customFormat="1" x14ac:dyDescent="0.2">
      <c r="A668" s="24">
        <f t="shared" si="108"/>
        <v>36.742572945653521</v>
      </c>
      <c r="B668" s="29">
        <v>1350.0166666666701</v>
      </c>
      <c r="C668" s="32"/>
      <c r="D668" s="25">
        <f t="shared" si="100"/>
        <v>0</v>
      </c>
      <c r="E668" s="29">
        <v>1350.0166666666701</v>
      </c>
      <c r="F668" s="8"/>
      <c r="G668" s="25">
        <f t="shared" si="101"/>
        <v>0</v>
      </c>
      <c r="H668" s="29">
        <v>1350.0166666666701</v>
      </c>
      <c r="I668" s="32"/>
      <c r="J668" s="25">
        <f t="shared" si="102"/>
        <v>0</v>
      </c>
      <c r="K668" s="29">
        <v>1350.0166666666701</v>
      </c>
      <c r="L668" s="31"/>
      <c r="M668" s="25">
        <f t="shared" si="103"/>
        <v>0</v>
      </c>
      <c r="N668" s="29">
        <v>1350.0166666666701</v>
      </c>
      <c r="O668" s="32"/>
      <c r="P668" s="25">
        <f t="shared" si="104"/>
        <v>0</v>
      </c>
      <c r="Q668" s="29">
        <v>1350.0166666666701</v>
      </c>
      <c r="R668" s="32"/>
      <c r="S668" s="25">
        <f t="shared" si="105"/>
        <v>0</v>
      </c>
      <c r="T668" s="29">
        <v>1350.0166666666701</v>
      </c>
      <c r="U668" s="32"/>
      <c r="V668" s="25">
        <f t="shared" si="109"/>
        <v>0</v>
      </c>
      <c r="W668" s="32">
        <v>1350.0166666666701</v>
      </c>
      <c r="X668" s="32">
        <f t="shared" si="106"/>
        <v>0</v>
      </c>
      <c r="Y668" s="25">
        <f t="shared" si="107"/>
        <v>0</v>
      </c>
      <c r="AA668" s="1"/>
      <c r="AD668" s="26"/>
      <c r="AF668" s="1"/>
    </row>
    <row r="669" spans="1:32" s="30" customFormat="1" x14ac:dyDescent="0.2">
      <c r="A669" s="24">
        <f t="shared" si="108"/>
        <v>37.148575567128681</v>
      </c>
      <c r="B669" s="29">
        <v>1380.0166666666701</v>
      </c>
      <c r="C669" s="32"/>
      <c r="D669" s="25">
        <f t="shared" si="100"/>
        <v>0</v>
      </c>
      <c r="E669" s="29">
        <v>1380.0166666666701</v>
      </c>
      <c r="F669" s="8"/>
      <c r="G669" s="25">
        <f t="shared" si="101"/>
        <v>0</v>
      </c>
      <c r="H669" s="29">
        <v>1380.0166666666701</v>
      </c>
      <c r="I669" s="32"/>
      <c r="J669" s="25">
        <f t="shared" si="102"/>
        <v>0</v>
      </c>
      <c r="K669" s="29">
        <v>1380.0166666666701</v>
      </c>
      <c r="L669" s="31"/>
      <c r="M669" s="25">
        <f t="shared" si="103"/>
        <v>0</v>
      </c>
      <c r="N669" s="29">
        <v>1380.0166666666701</v>
      </c>
      <c r="O669" s="32"/>
      <c r="P669" s="25">
        <f t="shared" si="104"/>
        <v>0</v>
      </c>
      <c r="Q669" s="29">
        <v>1380.0166666666701</v>
      </c>
      <c r="R669" s="32"/>
      <c r="S669" s="25">
        <f t="shared" si="105"/>
        <v>0</v>
      </c>
      <c r="T669" s="29">
        <v>1380.0166666666701</v>
      </c>
      <c r="U669" s="32"/>
      <c r="V669" s="25">
        <f t="shared" si="109"/>
        <v>0</v>
      </c>
      <c r="W669" s="32">
        <v>1380.0166666666701</v>
      </c>
      <c r="X669" s="32">
        <f t="shared" si="106"/>
        <v>0</v>
      </c>
      <c r="Y669" s="25">
        <f t="shared" si="107"/>
        <v>0</v>
      </c>
      <c r="AA669" s="1"/>
      <c r="AD669" s="26"/>
      <c r="AF669" s="1"/>
    </row>
    <row r="670" spans="1:32" s="30" customFormat="1" x14ac:dyDescent="0.2">
      <c r="A670" s="24">
        <f t="shared" si="108"/>
        <v>37.550188636898618</v>
      </c>
      <c r="B670" s="29">
        <v>1410.0166666666701</v>
      </c>
      <c r="C670" s="32"/>
      <c r="D670" s="25">
        <f t="shared" si="100"/>
        <v>0</v>
      </c>
      <c r="E670" s="29">
        <v>1410.0166666666701</v>
      </c>
      <c r="F670" s="8"/>
      <c r="G670" s="25">
        <f t="shared" si="101"/>
        <v>0</v>
      </c>
      <c r="H670" s="29">
        <v>1410.0166666666701</v>
      </c>
      <c r="I670" s="32"/>
      <c r="J670" s="25">
        <f t="shared" si="102"/>
        <v>0</v>
      </c>
      <c r="K670" s="29">
        <v>1410.0166666666701</v>
      </c>
      <c r="L670" s="31"/>
      <c r="M670" s="25">
        <f t="shared" si="103"/>
        <v>0</v>
      </c>
      <c r="N670" s="29">
        <v>1410.0166666666701</v>
      </c>
      <c r="O670" s="32"/>
      <c r="P670" s="25">
        <f t="shared" si="104"/>
        <v>0</v>
      </c>
      <c r="Q670" s="29">
        <v>1410.0166666666701</v>
      </c>
      <c r="R670" s="32"/>
      <c r="S670" s="25">
        <f t="shared" si="105"/>
        <v>0</v>
      </c>
      <c r="T670" s="29">
        <v>1410.0166666666701</v>
      </c>
      <c r="U670" s="32"/>
      <c r="V670" s="25">
        <f t="shared" si="109"/>
        <v>0</v>
      </c>
      <c r="W670" s="32">
        <v>1410.0166666666701</v>
      </c>
      <c r="X670" s="32">
        <f t="shared" si="106"/>
        <v>0</v>
      </c>
      <c r="Y670" s="25">
        <f t="shared" si="107"/>
        <v>0</v>
      </c>
      <c r="AA670" s="1"/>
      <c r="AD670" s="26"/>
      <c r="AF670" s="1"/>
    </row>
    <row r="671" spans="1:32" s="30" customFormat="1" x14ac:dyDescent="0.2">
      <c r="A671" s="24">
        <f t="shared" si="108"/>
        <v>37.947551524000467</v>
      </c>
      <c r="B671" s="29">
        <v>1440.0166666666701</v>
      </c>
      <c r="C671" s="32"/>
      <c r="D671" s="25">
        <f t="shared" si="100"/>
        <v>0</v>
      </c>
      <c r="E671" s="29">
        <v>1440.0166666666701</v>
      </c>
      <c r="F671" s="8"/>
      <c r="G671" s="25">
        <f t="shared" si="101"/>
        <v>0</v>
      </c>
      <c r="H671" s="29">
        <v>1440.0166666666701</v>
      </c>
      <c r="I671" s="32"/>
      <c r="J671" s="25">
        <f t="shared" si="102"/>
        <v>0</v>
      </c>
      <c r="K671" s="29">
        <v>1440.0166666666701</v>
      </c>
      <c r="L671" s="31"/>
      <c r="M671" s="25">
        <f t="shared" si="103"/>
        <v>0</v>
      </c>
      <c r="N671" s="29">
        <v>1440.0166666666701</v>
      </c>
      <c r="O671" s="32"/>
      <c r="P671" s="25">
        <f t="shared" si="104"/>
        <v>0</v>
      </c>
      <c r="Q671" s="29">
        <v>1440.0166666666701</v>
      </c>
      <c r="R671" s="32"/>
      <c r="S671" s="25">
        <f t="shared" si="105"/>
        <v>0</v>
      </c>
      <c r="T671" s="29">
        <v>1440.0166666666701</v>
      </c>
      <c r="U671" s="32"/>
      <c r="V671" s="25">
        <f t="shared" si="109"/>
        <v>0</v>
      </c>
      <c r="W671" s="32">
        <v>1440.0166666666701</v>
      </c>
      <c r="X671" s="32">
        <f t="shared" si="106"/>
        <v>0</v>
      </c>
      <c r="Y671" s="25">
        <f t="shared" si="107"/>
        <v>0</v>
      </c>
      <c r="AA671" s="1"/>
      <c r="AD671" s="26"/>
      <c r="AF671" s="1"/>
    </row>
    <row r="672" spans="1:32" s="30" customFormat="1" x14ac:dyDescent="0.2">
      <c r="A672" s="24">
        <f t="shared" si="108"/>
        <v>38.340796374966835</v>
      </c>
      <c r="B672" s="29">
        <v>1470.0166666666701</v>
      </c>
      <c r="C672" s="32"/>
      <c r="D672" s="25">
        <f t="shared" si="100"/>
        <v>0</v>
      </c>
      <c r="E672" s="29">
        <v>1470.0166666666701</v>
      </c>
      <c r="F672" s="8"/>
      <c r="G672" s="25">
        <f t="shared" si="101"/>
        <v>0</v>
      </c>
      <c r="H672" s="29">
        <v>1470.0166666666701</v>
      </c>
      <c r="I672" s="32"/>
      <c r="J672" s="25">
        <f t="shared" si="102"/>
        <v>0</v>
      </c>
      <c r="K672" s="29">
        <v>1470.0166666666701</v>
      </c>
      <c r="L672" s="31"/>
      <c r="M672" s="25">
        <f t="shared" si="103"/>
        <v>0</v>
      </c>
      <c r="N672" s="29">
        <v>1470.0166666666701</v>
      </c>
      <c r="O672" s="32"/>
      <c r="P672" s="25">
        <f t="shared" si="104"/>
        <v>0</v>
      </c>
      <c r="Q672" s="29">
        <v>1470.0166666666701</v>
      </c>
      <c r="R672" s="32"/>
      <c r="S672" s="25">
        <f t="shared" si="105"/>
        <v>0</v>
      </c>
      <c r="T672" s="29">
        <v>1470.0166666666701</v>
      </c>
      <c r="U672" s="32"/>
      <c r="V672" s="25">
        <f t="shared" si="109"/>
        <v>0</v>
      </c>
      <c r="W672" s="32">
        <v>1470.0166666666701</v>
      </c>
      <c r="X672" s="32">
        <f t="shared" si="106"/>
        <v>0</v>
      </c>
      <c r="Y672" s="25">
        <f t="shared" si="107"/>
        <v>0</v>
      </c>
      <c r="AA672" s="1"/>
      <c r="AD672" s="26"/>
      <c r="AF672" s="1"/>
    </row>
    <row r="673" spans="1:32" s="30" customFormat="1" x14ac:dyDescent="0.2">
      <c r="A673" s="24">
        <f t="shared" si="108"/>
        <v>38.73004862721799</v>
      </c>
      <c r="B673" s="29">
        <v>1500.0166666666701</v>
      </c>
      <c r="C673" s="32"/>
      <c r="D673" s="25">
        <f t="shared" si="100"/>
        <v>0</v>
      </c>
      <c r="E673" s="29">
        <v>1500.0166666666701</v>
      </c>
      <c r="F673" s="8"/>
      <c r="G673" s="25">
        <f t="shared" si="101"/>
        <v>0</v>
      </c>
      <c r="H673" s="29">
        <v>1500.0166666666701</v>
      </c>
      <c r="I673" s="32"/>
      <c r="J673" s="25">
        <f t="shared" si="102"/>
        <v>0</v>
      </c>
      <c r="K673" s="29">
        <v>1500.0166666666701</v>
      </c>
      <c r="L673" s="31"/>
      <c r="M673" s="25">
        <f t="shared" si="103"/>
        <v>0</v>
      </c>
      <c r="N673" s="29">
        <v>1500.0166666666701</v>
      </c>
      <c r="O673" s="32"/>
      <c r="P673" s="25">
        <f t="shared" si="104"/>
        <v>0</v>
      </c>
      <c r="Q673" s="29">
        <v>1500.0166666666701</v>
      </c>
      <c r="R673" s="32"/>
      <c r="S673" s="25">
        <f t="shared" si="105"/>
        <v>0</v>
      </c>
      <c r="T673" s="29">
        <v>1500.0166666666701</v>
      </c>
      <c r="U673" s="32"/>
      <c r="V673" s="25">
        <f t="shared" si="109"/>
        <v>0</v>
      </c>
      <c r="W673" s="32">
        <v>1500.0166666666701</v>
      </c>
      <c r="X673" s="32">
        <f t="shared" si="106"/>
        <v>0</v>
      </c>
      <c r="Y673" s="25">
        <f t="shared" si="107"/>
        <v>0</v>
      </c>
      <c r="AA673" s="1"/>
      <c r="AD673" s="26"/>
      <c r="AF673" s="1"/>
    </row>
    <row r="674" spans="1:32" s="30" customFormat="1" x14ac:dyDescent="0.2">
      <c r="A674" s="24">
        <f t="shared" si="108"/>
        <v>39.115427476465982</v>
      </c>
      <c r="B674" s="29">
        <v>1530.0166666666701</v>
      </c>
      <c r="C674" s="32"/>
      <c r="D674" s="25">
        <f t="shared" si="100"/>
        <v>0</v>
      </c>
      <c r="E674" s="29">
        <v>1530.0166666666701</v>
      </c>
      <c r="F674" s="8"/>
      <c r="G674" s="25">
        <f t="shared" si="101"/>
        <v>0</v>
      </c>
      <c r="H674" s="29">
        <v>1530.0166666666701</v>
      </c>
      <c r="I674" s="32"/>
      <c r="J674" s="25">
        <f t="shared" si="102"/>
        <v>0</v>
      </c>
      <c r="K674" s="29">
        <v>1530.0166666666701</v>
      </c>
      <c r="L674" s="31"/>
      <c r="M674" s="25">
        <f t="shared" si="103"/>
        <v>0</v>
      </c>
      <c r="N674" s="29">
        <v>1530.0166666666701</v>
      </c>
      <c r="O674" s="32"/>
      <c r="P674" s="25">
        <f t="shared" si="104"/>
        <v>0</v>
      </c>
      <c r="Q674" s="29">
        <v>1530.0166666666701</v>
      </c>
      <c r="R674" s="32"/>
      <c r="S674" s="25">
        <f t="shared" si="105"/>
        <v>0</v>
      </c>
      <c r="T674" s="29">
        <v>1530.0166666666701</v>
      </c>
      <c r="U674" s="32"/>
      <c r="V674" s="25">
        <f t="shared" si="109"/>
        <v>0</v>
      </c>
      <c r="W674" s="32">
        <v>1530.0166666666701</v>
      </c>
      <c r="X674" s="32">
        <f t="shared" si="106"/>
        <v>0</v>
      </c>
      <c r="Y674" s="25">
        <f t="shared" si="107"/>
        <v>0</v>
      </c>
      <c r="AA674" s="1"/>
      <c r="AD674" s="26"/>
      <c r="AF674" s="1"/>
    </row>
    <row r="675" spans="1:32" s="30" customFormat="1" x14ac:dyDescent="0.2">
      <c r="A675" s="24">
        <f t="shared" si="108"/>
        <v>39.415944320372056</v>
      </c>
      <c r="B675" s="378">
        <v>1553.61666666667</v>
      </c>
      <c r="C675" s="32"/>
      <c r="D675" s="379">
        <f t="shared" si="100"/>
        <v>0</v>
      </c>
      <c r="E675" s="378">
        <v>1553.61666666667</v>
      </c>
      <c r="F675" s="8"/>
      <c r="G675" s="379">
        <f t="shared" si="101"/>
        <v>0</v>
      </c>
      <c r="H675" s="378">
        <v>1553.61666666667</v>
      </c>
      <c r="I675" s="32"/>
      <c r="J675" s="379">
        <f t="shared" si="102"/>
        <v>0</v>
      </c>
      <c r="K675" s="378">
        <v>1553.61666666667</v>
      </c>
      <c r="L675" s="31"/>
      <c r="M675" s="379">
        <f t="shared" si="103"/>
        <v>0</v>
      </c>
      <c r="N675" s="378">
        <v>1553.61666666667</v>
      </c>
      <c r="O675" s="32"/>
      <c r="P675" s="379">
        <f t="shared" si="104"/>
        <v>0</v>
      </c>
      <c r="Q675" s="378">
        <v>1553.61666666667</v>
      </c>
      <c r="R675" s="32"/>
      <c r="S675" s="25">
        <f t="shared" si="105"/>
        <v>0</v>
      </c>
      <c r="T675" s="378">
        <v>1553.61666666667</v>
      </c>
      <c r="U675" s="32"/>
      <c r="V675" s="25">
        <f t="shared" si="109"/>
        <v>0</v>
      </c>
      <c r="W675" s="32">
        <v>1553.61666666667</v>
      </c>
      <c r="X675" s="32">
        <f t="shared" si="106"/>
        <v>0</v>
      </c>
      <c r="Y675" s="379">
        <f t="shared" si="107"/>
        <v>0</v>
      </c>
      <c r="AA675" s="1"/>
      <c r="AD675" s="26"/>
      <c r="AF675" s="1"/>
    </row>
    <row r="676" spans="1:32" s="30" customFormat="1" x14ac:dyDescent="0.2">
      <c r="A676" s="24">
        <f>SQRT(B676)</f>
        <v>39.415944320372056</v>
      </c>
      <c r="B676" s="380">
        <v>1553.61666666667</v>
      </c>
      <c r="C676" s="32"/>
      <c r="D676" s="381">
        <f t="shared" si="100"/>
        <v>0</v>
      </c>
      <c r="E676" s="380">
        <v>1553.61666666667</v>
      </c>
      <c r="F676" s="8"/>
      <c r="G676" s="381">
        <f t="shared" si="101"/>
        <v>0</v>
      </c>
      <c r="H676" s="380">
        <v>1553.61666666667</v>
      </c>
      <c r="I676" s="32"/>
      <c r="J676" s="381">
        <f t="shared" si="102"/>
        <v>0</v>
      </c>
      <c r="K676" s="380">
        <v>1553.61666666667</v>
      </c>
      <c r="L676" s="31"/>
      <c r="M676" s="381">
        <f t="shared" si="103"/>
        <v>0</v>
      </c>
      <c r="N676" s="380">
        <v>1553.61666666667</v>
      </c>
      <c r="O676" s="32"/>
      <c r="P676" s="381">
        <f t="shared" si="104"/>
        <v>0</v>
      </c>
      <c r="Q676" s="380">
        <v>1553.61666666667</v>
      </c>
      <c r="R676" s="32"/>
      <c r="S676" s="25">
        <f t="shared" si="105"/>
        <v>0</v>
      </c>
      <c r="T676" s="380">
        <v>1553.61666666667</v>
      </c>
      <c r="U676" s="32"/>
      <c r="V676" s="25">
        <f t="shared" si="109"/>
        <v>0</v>
      </c>
      <c r="W676" s="32">
        <v>1553.61666666667</v>
      </c>
      <c r="X676" s="32">
        <f t="shared" si="106"/>
        <v>0</v>
      </c>
      <c r="Y676" s="381">
        <f t="shared" si="107"/>
        <v>0</v>
      </c>
      <c r="AA676" s="1"/>
      <c r="AB676" s="1"/>
      <c r="AC676" s="1"/>
      <c r="AD676" s="26"/>
      <c r="AF676" s="1"/>
    </row>
    <row r="677" spans="1:32" x14ac:dyDescent="0.2">
      <c r="A677" s="24">
        <f t="shared" ref="A677:A740" si="110">SQRT(B677)</f>
        <v>0</v>
      </c>
      <c r="B677" s="383"/>
      <c r="C677" s="32"/>
      <c r="D677" s="381">
        <f t="shared" si="100"/>
        <v>0</v>
      </c>
      <c r="E677" s="383"/>
      <c r="F677" s="8"/>
      <c r="G677" s="381">
        <f t="shared" si="101"/>
        <v>0</v>
      </c>
      <c r="H677" s="383"/>
      <c r="I677" s="32"/>
      <c r="J677" s="381">
        <f t="shared" si="102"/>
        <v>0</v>
      </c>
      <c r="K677" s="383"/>
      <c r="L677" s="31"/>
      <c r="M677" s="381">
        <f t="shared" si="103"/>
        <v>0</v>
      </c>
      <c r="N677" s="383"/>
      <c r="O677" s="32"/>
      <c r="P677" s="381">
        <f t="shared" si="104"/>
        <v>0</v>
      </c>
      <c r="Q677" s="383"/>
      <c r="R677" s="32"/>
      <c r="S677" s="25">
        <f t="shared" si="105"/>
        <v>0</v>
      </c>
      <c r="T677" s="383"/>
      <c r="U677" s="32"/>
      <c r="V677" s="25">
        <f t="shared" si="109"/>
        <v>0</v>
      </c>
      <c r="W677" s="32"/>
      <c r="X677" s="32">
        <f t="shared" si="106"/>
        <v>0</v>
      </c>
      <c r="Y677" s="381">
        <f t="shared" si="107"/>
        <v>0</v>
      </c>
    </row>
    <row r="678" spans="1:32" x14ac:dyDescent="0.2">
      <c r="A678" s="24">
        <f t="shared" si="110"/>
        <v>0</v>
      </c>
      <c r="B678" s="383"/>
      <c r="C678" s="32"/>
      <c r="D678" s="381">
        <f t="shared" si="100"/>
        <v>0</v>
      </c>
      <c r="E678" s="383"/>
      <c r="F678" s="8"/>
      <c r="G678" s="381">
        <f t="shared" si="101"/>
        <v>0</v>
      </c>
      <c r="H678" s="383"/>
      <c r="I678" s="32"/>
      <c r="J678" s="381">
        <f t="shared" si="102"/>
        <v>0</v>
      </c>
      <c r="K678" s="383"/>
      <c r="L678" s="31"/>
      <c r="M678" s="381">
        <f t="shared" si="103"/>
        <v>0</v>
      </c>
      <c r="N678" s="383"/>
      <c r="O678" s="32"/>
      <c r="P678" s="381">
        <f t="shared" si="104"/>
        <v>0</v>
      </c>
      <c r="Q678" s="383"/>
      <c r="R678" s="32"/>
      <c r="S678" s="25">
        <f t="shared" si="105"/>
        <v>0</v>
      </c>
      <c r="T678" s="383"/>
      <c r="U678" s="32"/>
      <c r="V678" s="25">
        <f t="shared" si="109"/>
        <v>0</v>
      </c>
      <c r="W678" s="32"/>
      <c r="X678" s="32">
        <f t="shared" si="106"/>
        <v>0</v>
      </c>
      <c r="Y678" s="381">
        <f t="shared" si="107"/>
        <v>0</v>
      </c>
    </row>
    <row r="679" spans="1:32" x14ac:dyDescent="0.2">
      <c r="A679" s="24">
        <f t="shared" si="110"/>
        <v>0</v>
      </c>
      <c r="B679" s="383"/>
      <c r="C679" s="32"/>
      <c r="D679" s="381">
        <f t="shared" si="100"/>
        <v>0</v>
      </c>
      <c r="E679" s="383"/>
      <c r="F679" s="8"/>
      <c r="G679" s="381">
        <f t="shared" si="101"/>
        <v>0</v>
      </c>
      <c r="H679" s="383"/>
      <c r="I679" s="32"/>
      <c r="J679" s="381">
        <f t="shared" si="102"/>
        <v>0</v>
      </c>
      <c r="K679" s="383"/>
      <c r="L679" s="31"/>
      <c r="M679" s="381">
        <f t="shared" si="103"/>
        <v>0</v>
      </c>
      <c r="N679" s="383"/>
      <c r="O679" s="32"/>
      <c r="P679" s="381">
        <f t="shared" si="104"/>
        <v>0</v>
      </c>
      <c r="Q679" s="383"/>
      <c r="R679" s="32"/>
      <c r="S679" s="25">
        <f t="shared" si="105"/>
        <v>0</v>
      </c>
      <c r="T679" s="383"/>
      <c r="U679" s="32"/>
      <c r="V679" s="25">
        <f t="shared" si="109"/>
        <v>0</v>
      </c>
      <c r="W679" s="32"/>
      <c r="X679" s="32">
        <f t="shared" si="106"/>
        <v>0</v>
      </c>
      <c r="Y679" s="381">
        <f t="shared" si="107"/>
        <v>0</v>
      </c>
    </row>
    <row r="680" spans="1:32" x14ac:dyDescent="0.2">
      <c r="A680" s="24">
        <f t="shared" si="110"/>
        <v>0</v>
      </c>
      <c r="B680" s="383"/>
      <c r="C680" s="32"/>
      <c r="D680" s="381">
        <f t="shared" si="100"/>
        <v>0</v>
      </c>
      <c r="E680" s="383"/>
      <c r="F680" s="8"/>
      <c r="G680" s="381">
        <f t="shared" si="101"/>
        <v>0</v>
      </c>
      <c r="H680" s="383"/>
      <c r="I680" s="32"/>
      <c r="J680" s="381">
        <f t="shared" si="102"/>
        <v>0</v>
      </c>
      <c r="K680" s="383"/>
      <c r="L680" s="31"/>
      <c r="M680" s="381">
        <f t="shared" si="103"/>
        <v>0</v>
      </c>
      <c r="N680" s="383"/>
      <c r="O680" s="32"/>
      <c r="P680" s="381">
        <f t="shared" si="104"/>
        <v>0</v>
      </c>
      <c r="Q680" s="383"/>
      <c r="R680" s="32"/>
      <c r="S680" s="25">
        <f t="shared" si="105"/>
        <v>0</v>
      </c>
      <c r="T680" s="383"/>
      <c r="U680" s="32"/>
      <c r="V680" s="25">
        <f t="shared" si="109"/>
        <v>0</v>
      </c>
      <c r="W680" s="32"/>
      <c r="X680" s="32">
        <f t="shared" si="106"/>
        <v>0</v>
      </c>
      <c r="Y680" s="381">
        <f t="shared" si="107"/>
        <v>0</v>
      </c>
    </row>
    <row r="681" spans="1:32" x14ac:dyDescent="0.2">
      <c r="A681" s="24">
        <f t="shared" si="110"/>
        <v>0</v>
      </c>
      <c r="B681" s="383"/>
      <c r="C681" s="32"/>
      <c r="D681" s="381">
        <f t="shared" si="100"/>
        <v>0</v>
      </c>
      <c r="E681" s="383"/>
      <c r="F681" s="8"/>
      <c r="G681" s="381">
        <f t="shared" si="101"/>
        <v>0</v>
      </c>
      <c r="H681" s="383"/>
      <c r="I681" s="32"/>
      <c r="J681" s="381">
        <f t="shared" si="102"/>
        <v>0</v>
      </c>
      <c r="K681" s="383"/>
      <c r="L681" s="31"/>
      <c r="M681" s="381">
        <f t="shared" si="103"/>
        <v>0</v>
      </c>
      <c r="N681" s="383"/>
      <c r="O681" s="32"/>
      <c r="P681" s="381">
        <f t="shared" si="104"/>
        <v>0</v>
      </c>
      <c r="Q681" s="383"/>
      <c r="R681" s="32"/>
      <c r="S681" s="25">
        <f t="shared" si="105"/>
        <v>0</v>
      </c>
      <c r="T681" s="383"/>
      <c r="U681" s="32"/>
      <c r="V681" s="25">
        <f t="shared" si="109"/>
        <v>0</v>
      </c>
      <c r="W681" s="32"/>
      <c r="X681" s="32">
        <f t="shared" si="106"/>
        <v>0</v>
      </c>
      <c r="Y681" s="381">
        <f t="shared" si="107"/>
        <v>0</v>
      </c>
    </row>
    <row r="682" spans="1:32" x14ac:dyDescent="0.2">
      <c r="A682" s="24">
        <f t="shared" si="110"/>
        <v>0</v>
      </c>
      <c r="B682" s="383"/>
      <c r="C682" s="32"/>
      <c r="D682" s="381">
        <f t="shared" si="100"/>
        <v>0</v>
      </c>
      <c r="E682" s="383"/>
      <c r="F682" s="8"/>
      <c r="G682" s="381">
        <f t="shared" si="101"/>
        <v>0</v>
      </c>
      <c r="H682" s="383"/>
      <c r="I682" s="32"/>
      <c r="J682" s="381">
        <f t="shared" si="102"/>
        <v>0</v>
      </c>
      <c r="K682" s="383"/>
      <c r="L682" s="31"/>
      <c r="M682" s="381">
        <f t="shared" si="103"/>
        <v>0</v>
      </c>
      <c r="N682" s="383"/>
      <c r="O682" s="32"/>
      <c r="P682" s="381">
        <f t="shared" si="104"/>
        <v>0</v>
      </c>
      <c r="Q682" s="383"/>
      <c r="R682" s="32"/>
      <c r="S682" s="25">
        <f t="shared" si="105"/>
        <v>0</v>
      </c>
      <c r="T682" s="383"/>
      <c r="U682" s="32"/>
      <c r="V682" s="25">
        <f t="shared" si="109"/>
        <v>0</v>
      </c>
      <c r="W682" s="32"/>
      <c r="X682" s="32">
        <f t="shared" si="106"/>
        <v>0</v>
      </c>
      <c r="Y682" s="381">
        <f t="shared" si="107"/>
        <v>0</v>
      </c>
    </row>
    <row r="683" spans="1:32" x14ac:dyDescent="0.2">
      <c r="A683" s="24">
        <f t="shared" si="110"/>
        <v>0</v>
      </c>
      <c r="B683" s="383"/>
      <c r="C683" s="32"/>
      <c r="D683" s="381">
        <f t="shared" si="100"/>
        <v>0</v>
      </c>
      <c r="E683" s="383"/>
      <c r="F683" s="8"/>
      <c r="G683" s="381">
        <f t="shared" si="101"/>
        <v>0</v>
      </c>
      <c r="H683" s="383"/>
      <c r="I683" s="32"/>
      <c r="J683" s="381">
        <f t="shared" si="102"/>
        <v>0</v>
      </c>
      <c r="K683" s="383"/>
      <c r="L683" s="31"/>
      <c r="M683" s="381">
        <f t="shared" si="103"/>
        <v>0</v>
      </c>
      <c r="N683" s="383"/>
      <c r="O683" s="32"/>
      <c r="P683" s="381">
        <f t="shared" si="104"/>
        <v>0</v>
      </c>
      <c r="Q683" s="383"/>
      <c r="R683" s="32"/>
      <c r="S683" s="25">
        <f t="shared" si="105"/>
        <v>0</v>
      </c>
      <c r="T683" s="383"/>
      <c r="U683" s="32"/>
      <c r="V683" s="25">
        <f t="shared" si="109"/>
        <v>0</v>
      </c>
      <c r="W683" s="32"/>
      <c r="X683" s="32">
        <f t="shared" si="106"/>
        <v>0</v>
      </c>
      <c r="Y683" s="381">
        <f t="shared" si="107"/>
        <v>0</v>
      </c>
    </row>
    <row r="684" spans="1:32" x14ac:dyDescent="0.2">
      <c r="A684" s="24">
        <f t="shared" si="110"/>
        <v>0</v>
      </c>
      <c r="B684" s="383"/>
      <c r="C684" s="32"/>
      <c r="D684" s="381">
        <f t="shared" si="100"/>
        <v>0</v>
      </c>
      <c r="E684" s="383"/>
      <c r="F684" s="8"/>
      <c r="G684" s="381">
        <f t="shared" si="101"/>
        <v>0</v>
      </c>
      <c r="H684" s="383"/>
      <c r="I684" s="32"/>
      <c r="J684" s="381">
        <f t="shared" si="102"/>
        <v>0</v>
      </c>
      <c r="K684" s="383"/>
      <c r="L684" s="31"/>
      <c r="M684" s="381">
        <f t="shared" si="103"/>
        <v>0</v>
      </c>
      <c r="N684" s="383"/>
      <c r="O684" s="32"/>
      <c r="P684" s="381">
        <f t="shared" si="104"/>
        <v>0</v>
      </c>
      <c r="Q684" s="383"/>
      <c r="R684" s="32"/>
      <c r="S684" s="25">
        <f t="shared" si="105"/>
        <v>0</v>
      </c>
      <c r="T684" s="383"/>
      <c r="U684" s="32"/>
      <c r="V684" s="25">
        <f t="shared" si="109"/>
        <v>0</v>
      </c>
      <c r="W684" s="32"/>
      <c r="X684" s="32">
        <f t="shared" si="106"/>
        <v>0</v>
      </c>
      <c r="Y684" s="381">
        <f t="shared" si="107"/>
        <v>0</v>
      </c>
    </row>
    <row r="685" spans="1:32" x14ac:dyDescent="0.2">
      <c r="A685" s="24">
        <f t="shared" si="110"/>
        <v>0</v>
      </c>
      <c r="B685" s="383"/>
      <c r="C685" s="32"/>
      <c r="D685" s="381">
        <f t="shared" si="100"/>
        <v>0</v>
      </c>
      <c r="E685" s="383"/>
      <c r="F685" s="8"/>
      <c r="G685" s="381">
        <f t="shared" si="101"/>
        <v>0</v>
      </c>
      <c r="H685" s="383"/>
      <c r="I685" s="32"/>
      <c r="J685" s="381">
        <f t="shared" si="102"/>
        <v>0</v>
      </c>
      <c r="K685" s="383"/>
      <c r="L685" s="31"/>
      <c r="M685" s="381">
        <f t="shared" si="103"/>
        <v>0</v>
      </c>
      <c r="N685" s="383"/>
      <c r="O685" s="32"/>
      <c r="P685" s="381">
        <f t="shared" si="104"/>
        <v>0</v>
      </c>
      <c r="Q685" s="383"/>
      <c r="R685" s="32"/>
      <c r="S685" s="25">
        <f t="shared" si="105"/>
        <v>0</v>
      </c>
      <c r="T685" s="383"/>
      <c r="U685" s="32"/>
      <c r="V685" s="25">
        <f t="shared" si="109"/>
        <v>0</v>
      </c>
      <c r="W685" s="32"/>
      <c r="X685" s="32">
        <f t="shared" si="106"/>
        <v>0</v>
      </c>
      <c r="Y685" s="381">
        <f t="shared" si="107"/>
        <v>0</v>
      </c>
    </row>
    <row r="686" spans="1:32" x14ac:dyDescent="0.2">
      <c r="A686" s="24">
        <f t="shared" si="110"/>
        <v>0</v>
      </c>
      <c r="B686" s="383"/>
      <c r="C686" s="32"/>
      <c r="D686" s="381">
        <f t="shared" si="100"/>
        <v>0</v>
      </c>
      <c r="E686" s="383"/>
      <c r="F686" s="8"/>
      <c r="G686" s="381">
        <f t="shared" si="101"/>
        <v>0</v>
      </c>
      <c r="H686" s="383"/>
      <c r="I686" s="32"/>
      <c r="J686" s="381">
        <f t="shared" si="102"/>
        <v>0</v>
      </c>
      <c r="K686" s="383"/>
      <c r="L686" s="31"/>
      <c r="M686" s="381">
        <f t="shared" si="103"/>
        <v>0</v>
      </c>
      <c r="N686" s="383"/>
      <c r="O686" s="32"/>
      <c r="P686" s="381">
        <f t="shared" si="104"/>
        <v>0</v>
      </c>
      <c r="Q686" s="383"/>
      <c r="R686" s="32"/>
      <c r="S686" s="25">
        <f t="shared" si="105"/>
        <v>0</v>
      </c>
      <c r="T686" s="383"/>
      <c r="U686" s="32"/>
      <c r="V686" s="25">
        <f t="shared" si="109"/>
        <v>0</v>
      </c>
      <c r="W686" s="32"/>
      <c r="X686" s="32">
        <f t="shared" si="106"/>
        <v>0</v>
      </c>
      <c r="Y686" s="381">
        <f t="shared" si="107"/>
        <v>0</v>
      </c>
    </row>
    <row r="687" spans="1:32" x14ac:dyDescent="0.2">
      <c r="A687" s="24">
        <f t="shared" si="110"/>
        <v>0</v>
      </c>
      <c r="B687" s="383"/>
      <c r="C687" s="32"/>
      <c r="D687" s="381">
        <f t="shared" si="100"/>
        <v>0</v>
      </c>
      <c r="E687" s="383"/>
      <c r="F687" s="8"/>
      <c r="G687" s="381">
        <f t="shared" si="101"/>
        <v>0</v>
      </c>
      <c r="H687" s="383"/>
      <c r="I687" s="32"/>
      <c r="J687" s="381">
        <f t="shared" si="102"/>
        <v>0</v>
      </c>
      <c r="K687" s="383"/>
      <c r="L687" s="31"/>
      <c r="M687" s="381">
        <f t="shared" si="103"/>
        <v>0</v>
      </c>
      <c r="N687" s="383"/>
      <c r="O687" s="32"/>
      <c r="P687" s="381">
        <f t="shared" si="104"/>
        <v>0</v>
      </c>
      <c r="Q687" s="383"/>
      <c r="R687" s="32"/>
      <c r="S687" s="25">
        <f t="shared" si="105"/>
        <v>0</v>
      </c>
      <c r="T687" s="383"/>
      <c r="U687" s="32"/>
      <c r="V687" s="25">
        <f t="shared" si="109"/>
        <v>0</v>
      </c>
      <c r="W687" s="32"/>
      <c r="X687" s="32">
        <f t="shared" si="106"/>
        <v>0</v>
      </c>
      <c r="Y687" s="381">
        <f t="shared" si="107"/>
        <v>0</v>
      </c>
    </row>
    <row r="688" spans="1:32" x14ac:dyDescent="0.2">
      <c r="A688" s="24">
        <f t="shared" si="110"/>
        <v>0</v>
      </c>
      <c r="B688" s="383"/>
      <c r="C688" s="32"/>
      <c r="D688" s="381">
        <f t="shared" si="100"/>
        <v>0</v>
      </c>
      <c r="E688" s="383"/>
      <c r="F688" s="8"/>
      <c r="G688" s="381">
        <f t="shared" si="101"/>
        <v>0</v>
      </c>
      <c r="H688" s="383"/>
      <c r="I688" s="32"/>
      <c r="J688" s="381">
        <f t="shared" si="102"/>
        <v>0</v>
      </c>
      <c r="K688" s="383"/>
      <c r="L688" s="31"/>
      <c r="M688" s="381">
        <f t="shared" si="103"/>
        <v>0</v>
      </c>
      <c r="N688" s="383"/>
      <c r="O688" s="32"/>
      <c r="P688" s="381">
        <f t="shared" si="104"/>
        <v>0</v>
      </c>
      <c r="Q688" s="383"/>
      <c r="R688" s="32"/>
      <c r="S688" s="25">
        <f t="shared" si="105"/>
        <v>0</v>
      </c>
      <c r="T688" s="383"/>
      <c r="U688" s="32"/>
      <c r="V688" s="25">
        <f t="shared" si="109"/>
        <v>0</v>
      </c>
      <c r="W688" s="32"/>
      <c r="X688" s="32">
        <f t="shared" si="106"/>
        <v>0</v>
      </c>
      <c r="Y688" s="381">
        <f t="shared" si="107"/>
        <v>0</v>
      </c>
    </row>
    <row r="689" spans="1:25" x14ac:dyDescent="0.2">
      <c r="A689" s="24">
        <f t="shared" si="110"/>
        <v>0</v>
      </c>
      <c r="B689" s="383"/>
      <c r="C689" s="32"/>
      <c r="D689" s="381">
        <f t="shared" si="100"/>
        <v>0</v>
      </c>
      <c r="E689" s="383"/>
      <c r="F689" s="8"/>
      <c r="G689" s="381">
        <f t="shared" si="101"/>
        <v>0</v>
      </c>
      <c r="H689" s="383"/>
      <c r="I689" s="32"/>
      <c r="J689" s="381">
        <f t="shared" si="102"/>
        <v>0</v>
      </c>
      <c r="K689" s="383"/>
      <c r="L689" s="31"/>
      <c r="M689" s="381">
        <f t="shared" si="103"/>
        <v>0</v>
      </c>
      <c r="N689" s="383"/>
      <c r="O689" s="32"/>
      <c r="P689" s="381">
        <f t="shared" si="104"/>
        <v>0</v>
      </c>
      <c r="Q689" s="383"/>
      <c r="R689" s="32"/>
      <c r="S689" s="25">
        <f t="shared" si="105"/>
        <v>0</v>
      </c>
      <c r="T689" s="383"/>
      <c r="U689" s="32"/>
      <c r="V689" s="25">
        <f t="shared" si="109"/>
        <v>0</v>
      </c>
      <c r="W689" s="32"/>
      <c r="X689" s="32">
        <f t="shared" si="106"/>
        <v>0</v>
      </c>
      <c r="Y689" s="381">
        <f t="shared" si="107"/>
        <v>0</v>
      </c>
    </row>
    <row r="690" spans="1:25" x14ac:dyDescent="0.2">
      <c r="A690" s="24">
        <f t="shared" si="110"/>
        <v>0</v>
      </c>
      <c r="B690" s="383"/>
      <c r="C690" s="32"/>
      <c r="D690" s="381">
        <f t="shared" si="100"/>
        <v>0</v>
      </c>
      <c r="E690" s="383"/>
      <c r="F690" s="8"/>
      <c r="G690" s="381">
        <f t="shared" si="101"/>
        <v>0</v>
      </c>
      <c r="H690" s="383"/>
      <c r="I690" s="32"/>
      <c r="J690" s="381">
        <f t="shared" si="102"/>
        <v>0</v>
      </c>
      <c r="K690" s="383"/>
      <c r="L690" s="31"/>
      <c r="M690" s="381">
        <f t="shared" si="103"/>
        <v>0</v>
      </c>
      <c r="N690" s="383"/>
      <c r="O690" s="32"/>
      <c r="P690" s="381">
        <f t="shared" si="104"/>
        <v>0</v>
      </c>
      <c r="Q690" s="383"/>
      <c r="R690" s="32"/>
      <c r="S690" s="25">
        <f t="shared" si="105"/>
        <v>0</v>
      </c>
      <c r="T690" s="383"/>
      <c r="U690" s="32"/>
      <c r="V690" s="25">
        <f t="shared" si="109"/>
        <v>0</v>
      </c>
      <c r="W690" s="32"/>
      <c r="X690" s="32">
        <f t="shared" si="106"/>
        <v>0</v>
      </c>
      <c r="Y690" s="381">
        <f t="shared" si="107"/>
        <v>0</v>
      </c>
    </row>
    <row r="691" spans="1:25" x14ac:dyDescent="0.2">
      <c r="A691" s="24">
        <f t="shared" si="110"/>
        <v>0</v>
      </c>
      <c r="B691" s="383"/>
      <c r="C691" s="32"/>
      <c r="D691" s="381">
        <f t="shared" si="100"/>
        <v>0</v>
      </c>
      <c r="E691" s="383"/>
      <c r="F691" s="8"/>
      <c r="G691" s="381">
        <f t="shared" si="101"/>
        <v>0</v>
      </c>
      <c r="H691" s="383"/>
      <c r="I691" s="32"/>
      <c r="J691" s="381">
        <f t="shared" si="102"/>
        <v>0</v>
      </c>
      <c r="K691" s="383"/>
      <c r="L691" s="31"/>
      <c r="M691" s="381">
        <f t="shared" si="103"/>
        <v>0</v>
      </c>
      <c r="N691" s="383"/>
      <c r="O691" s="32"/>
      <c r="P691" s="381">
        <f t="shared" si="104"/>
        <v>0</v>
      </c>
      <c r="Q691" s="383"/>
      <c r="R691" s="32"/>
      <c r="S691" s="25">
        <f t="shared" si="105"/>
        <v>0</v>
      </c>
      <c r="T691" s="383"/>
      <c r="U691" s="32"/>
      <c r="V691" s="25">
        <f t="shared" si="109"/>
        <v>0</v>
      </c>
      <c r="W691" s="32"/>
      <c r="X691" s="32">
        <f t="shared" si="106"/>
        <v>0</v>
      </c>
      <c r="Y691" s="381">
        <f t="shared" si="107"/>
        <v>0</v>
      </c>
    </row>
    <row r="692" spans="1:25" x14ac:dyDescent="0.2">
      <c r="A692" s="24">
        <f t="shared" si="110"/>
        <v>3.3936214677931695</v>
      </c>
      <c r="B692" s="383">
        <v>11.516666666666667</v>
      </c>
      <c r="C692" s="32"/>
      <c r="D692" s="381">
        <f t="shared" si="100"/>
        <v>0</v>
      </c>
      <c r="E692" s="383">
        <v>11.516666666666667</v>
      </c>
      <c r="F692" s="8"/>
      <c r="G692" s="381">
        <f t="shared" si="101"/>
        <v>0</v>
      </c>
      <c r="H692" s="383">
        <v>11.516666666666667</v>
      </c>
      <c r="I692" s="32"/>
      <c r="J692" s="381">
        <f t="shared" si="102"/>
        <v>0</v>
      </c>
      <c r="K692" s="383">
        <v>11.516666666666667</v>
      </c>
      <c r="L692" s="31"/>
      <c r="M692" s="381">
        <f t="shared" si="103"/>
        <v>0</v>
      </c>
      <c r="N692" s="383">
        <v>11.516666666666667</v>
      </c>
      <c r="O692" s="32"/>
      <c r="P692" s="381">
        <f t="shared" si="104"/>
        <v>0</v>
      </c>
      <c r="Q692" s="383">
        <v>11.516666666666667</v>
      </c>
      <c r="R692" s="32"/>
      <c r="S692" s="25">
        <f t="shared" si="105"/>
        <v>0</v>
      </c>
      <c r="T692" s="383">
        <v>11.516666666666667</v>
      </c>
      <c r="U692" s="32"/>
      <c r="V692" s="25">
        <f t="shared" si="109"/>
        <v>0</v>
      </c>
      <c r="W692" s="32">
        <f t="shared" ref="W692:W709" si="111">T692</f>
        <v>11.516666666666667</v>
      </c>
      <c r="X692" s="32">
        <f t="shared" si="106"/>
        <v>0</v>
      </c>
      <c r="Y692" s="381">
        <f t="shared" si="107"/>
        <v>0</v>
      </c>
    </row>
    <row r="693" spans="1:25" x14ac:dyDescent="0.2">
      <c r="A693" s="24">
        <f t="shared" si="110"/>
        <v>3.3960761671866746</v>
      </c>
      <c r="B693" s="383">
        <v>11.533333333333333</v>
      </c>
      <c r="C693" s="32"/>
      <c r="D693" s="381">
        <f t="shared" si="100"/>
        <v>0</v>
      </c>
      <c r="E693" s="383">
        <v>11.533333333333333</v>
      </c>
      <c r="F693" s="8"/>
      <c r="G693" s="381">
        <f t="shared" si="101"/>
        <v>0</v>
      </c>
      <c r="H693" s="383">
        <v>11.533333333333333</v>
      </c>
      <c r="I693" s="32"/>
      <c r="J693" s="381">
        <f t="shared" si="102"/>
        <v>0</v>
      </c>
      <c r="K693" s="383">
        <v>11.533333333333333</v>
      </c>
      <c r="L693" s="31"/>
      <c r="M693" s="381">
        <f t="shared" si="103"/>
        <v>0</v>
      </c>
      <c r="N693" s="383">
        <v>11.533333333333333</v>
      </c>
      <c r="O693" s="32"/>
      <c r="P693" s="381">
        <f t="shared" si="104"/>
        <v>0</v>
      </c>
      <c r="Q693" s="383">
        <v>11.533333333333333</v>
      </c>
      <c r="R693" s="32"/>
      <c r="S693" s="25">
        <f t="shared" si="105"/>
        <v>0</v>
      </c>
      <c r="T693" s="383">
        <v>11.533333333333333</v>
      </c>
      <c r="U693" s="32"/>
      <c r="V693" s="25">
        <f t="shared" si="109"/>
        <v>0</v>
      </c>
      <c r="W693" s="32">
        <f t="shared" si="111"/>
        <v>11.533333333333333</v>
      </c>
      <c r="X693" s="32">
        <f t="shared" si="106"/>
        <v>0</v>
      </c>
      <c r="Y693" s="381">
        <f t="shared" si="107"/>
        <v>0</v>
      </c>
    </row>
    <row r="694" spans="1:25" x14ac:dyDescent="0.2">
      <c r="A694" s="24">
        <f t="shared" si="110"/>
        <v>3.3985290935932859</v>
      </c>
      <c r="B694" s="383">
        <v>11.55</v>
      </c>
      <c r="C694" s="32"/>
      <c r="D694" s="381">
        <f t="shared" si="100"/>
        <v>0</v>
      </c>
      <c r="E694" s="383">
        <v>11.55</v>
      </c>
      <c r="F694" s="8"/>
      <c r="G694" s="381">
        <f t="shared" si="101"/>
        <v>0</v>
      </c>
      <c r="H694" s="383">
        <v>11.55</v>
      </c>
      <c r="I694" s="32"/>
      <c r="J694" s="381">
        <f t="shared" si="102"/>
        <v>0</v>
      </c>
      <c r="K694" s="383">
        <v>11.55</v>
      </c>
      <c r="L694" s="31"/>
      <c r="M694" s="381">
        <f t="shared" si="103"/>
        <v>0</v>
      </c>
      <c r="N694" s="383">
        <v>11.55</v>
      </c>
      <c r="O694" s="32"/>
      <c r="P694" s="381">
        <f t="shared" si="104"/>
        <v>0</v>
      </c>
      <c r="Q694" s="383">
        <v>11.55</v>
      </c>
      <c r="R694" s="32"/>
      <c r="S694" s="25">
        <f t="shared" si="105"/>
        <v>0</v>
      </c>
      <c r="T694" s="383">
        <v>11.55</v>
      </c>
      <c r="U694" s="32"/>
      <c r="V694" s="25">
        <f t="shared" si="109"/>
        <v>0</v>
      </c>
      <c r="W694" s="32">
        <f t="shared" si="111"/>
        <v>11.55</v>
      </c>
      <c r="X694" s="32">
        <f t="shared" si="106"/>
        <v>0</v>
      </c>
      <c r="Y694" s="381">
        <f t="shared" si="107"/>
        <v>0</v>
      </c>
    </row>
    <row r="695" spans="1:25" x14ac:dyDescent="0.2">
      <c r="A695" s="24">
        <f t="shared" si="110"/>
        <v>3.4009802508492557</v>
      </c>
      <c r="B695" s="383">
        <v>11.566666666666666</v>
      </c>
      <c r="C695" s="32"/>
      <c r="D695" s="381">
        <f t="shared" si="100"/>
        <v>0</v>
      </c>
      <c r="E695" s="383">
        <v>11.566666666666666</v>
      </c>
      <c r="F695" s="8"/>
      <c r="G695" s="381">
        <f t="shared" si="101"/>
        <v>0</v>
      </c>
      <c r="H695" s="383">
        <v>11.566666666666666</v>
      </c>
      <c r="I695" s="32"/>
      <c r="J695" s="381">
        <f t="shared" si="102"/>
        <v>0</v>
      </c>
      <c r="K695" s="383">
        <v>11.566666666666666</v>
      </c>
      <c r="L695" s="31"/>
      <c r="M695" s="381">
        <f t="shared" si="103"/>
        <v>0</v>
      </c>
      <c r="N695" s="383">
        <v>11.566666666666666</v>
      </c>
      <c r="O695" s="32"/>
      <c r="P695" s="381">
        <f t="shared" si="104"/>
        <v>0</v>
      </c>
      <c r="Q695" s="383">
        <v>11.566666666666666</v>
      </c>
      <c r="R695" s="32"/>
      <c r="S695" s="25">
        <f t="shared" si="105"/>
        <v>0</v>
      </c>
      <c r="T695" s="383">
        <v>11.566666666666666</v>
      </c>
      <c r="U695" s="32"/>
      <c r="V695" s="25">
        <f t="shared" si="109"/>
        <v>0</v>
      </c>
      <c r="W695" s="32">
        <f t="shared" si="111"/>
        <v>11.566666666666666</v>
      </c>
      <c r="X695" s="32">
        <f t="shared" si="106"/>
        <v>0</v>
      </c>
      <c r="Y695" s="381">
        <f t="shared" si="107"/>
        <v>0</v>
      </c>
    </row>
    <row r="696" spans="1:25" x14ac:dyDescent="0.2">
      <c r="A696" s="24">
        <f t="shared" si="110"/>
        <v>3.4034296427770228</v>
      </c>
      <c r="B696" s="383">
        <v>11.583333333333334</v>
      </c>
      <c r="C696" s="32"/>
      <c r="D696" s="381">
        <f t="shared" si="100"/>
        <v>0</v>
      </c>
      <c r="E696" s="383">
        <v>11.583333333333334</v>
      </c>
      <c r="F696" s="8"/>
      <c r="G696" s="381">
        <f t="shared" si="101"/>
        <v>0</v>
      </c>
      <c r="H696" s="383">
        <v>11.583333333333334</v>
      </c>
      <c r="I696" s="32"/>
      <c r="J696" s="381">
        <f t="shared" si="102"/>
        <v>0</v>
      </c>
      <c r="K696" s="383">
        <v>11.583333333333334</v>
      </c>
      <c r="L696" s="31"/>
      <c r="M696" s="381">
        <f t="shared" si="103"/>
        <v>0</v>
      </c>
      <c r="N696" s="383">
        <v>11.583333333333334</v>
      </c>
      <c r="O696" s="32"/>
      <c r="P696" s="381">
        <f t="shared" si="104"/>
        <v>0</v>
      </c>
      <c r="Q696" s="383">
        <v>11.583333333333334</v>
      </c>
      <c r="R696" s="32"/>
      <c r="S696" s="25">
        <f t="shared" si="105"/>
        <v>0</v>
      </c>
      <c r="T696" s="383">
        <v>11.583333333333334</v>
      </c>
      <c r="U696" s="32"/>
      <c r="V696" s="25">
        <f t="shared" si="109"/>
        <v>0</v>
      </c>
      <c r="W696" s="32">
        <f t="shared" si="111"/>
        <v>11.583333333333334</v>
      </c>
      <c r="X696" s="32">
        <f t="shared" si="106"/>
        <v>0</v>
      </c>
      <c r="Y696" s="381">
        <f t="shared" si="107"/>
        <v>0</v>
      </c>
    </row>
    <row r="697" spans="1:25" x14ac:dyDescent="0.2">
      <c r="A697" s="24">
        <f t="shared" si="110"/>
        <v>3.40587727318528</v>
      </c>
      <c r="B697" s="383">
        <v>11.6</v>
      </c>
      <c r="C697" s="32"/>
      <c r="D697" s="381">
        <f t="shared" si="100"/>
        <v>0</v>
      </c>
      <c r="E697" s="383">
        <v>11.6</v>
      </c>
      <c r="F697" s="8"/>
      <c r="G697" s="381">
        <f t="shared" si="101"/>
        <v>0</v>
      </c>
      <c r="H697" s="383">
        <v>11.6</v>
      </c>
      <c r="I697" s="32"/>
      <c r="J697" s="381">
        <f t="shared" si="102"/>
        <v>0</v>
      </c>
      <c r="K697" s="383">
        <v>11.6</v>
      </c>
      <c r="L697" s="31"/>
      <c r="M697" s="381">
        <f t="shared" si="103"/>
        <v>0</v>
      </c>
      <c r="N697" s="383">
        <v>11.6</v>
      </c>
      <c r="O697" s="32"/>
      <c r="P697" s="381">
        <f t="shared" si="104"/>
        <v>0</v>
      </c>
      <c r="Q697" s="383">
        <v>11.6</v>
      </c>
      <c r="R697" s="32"/>
      <c r="S697" s="25">
        <f t="shared" si="105"/>
        <v>0</v>
      </c>
      <c r="T697" s="383">
        <v>11.6</v>
      </c>
      <c r="U697" s="32"/>
      <c r="V697" s="25">
        <f t="shared" si="109"/>
        <v>0</v>
      </c>
      <c r="W697" s="32">
        <f t="shared" si="111"/>
        <v>11.6</v>
      </c>
      <c r="X697" s="32">
        <f t="shared" si="106"/>
        <v>0</v>
      </c>
      <c r="Y697" s="381">
        <f t="shared" si="107"/>
        <v>0</v>
      </c>
    </row>
    <row r="698" spans="1:25" x14ac:dyDescent="0.2">
      <c r="A698" s="24">
        <f t="shared" si="110"/>
        <v>3.4083231458690455</v>
      </c>
      <c r="B698" s="383">
        <v>11.616666666666667</v>
      </c>
      <c r="C698" s="32"/>
      <c r="D698" s="381">
        <f t="shared" si="100"/>
        <v>0</v>
      </c>
      <c r="E698" s="383">
        <v>11.616666666666667</v>
      </c>
      <c r="F698" s="8"/>
      <c r="G698" s="381">
        <f t="shared" si="101"/>
        <v>0</v>
      </c>
      <c r="H698" s="383">
        <v>11.616666666666667</v>
      </c>
      <c r="I698" s="32"/>
      <c r="J698" s="381">
        <f t="shared" si="102"/>
        <v>0</v>
      </c>
      <c r="K698" s="383">
        <v>11.616666666666667</v>
      </c>
      <c r="L698" s="31"/>
      <c r="M698" s="381">
        <f t="shared" si="103"/>
        <v>0</v>
      </c>
      <c r="N698" s="383">
        <v>11.616666666666667</v>
      </c>
      <c r="O698" s="32"/>
      <c r="P698" s="381">
        <f t="shared" si="104"/>
        <v>0</v>
      </c>
      <c r="Q698" s="383">
        <v>11.616666666666667</v>
      </c>
      <c r="R698" s="32"/>
      <c r="S698" s="25">
        <f t="shared" si="105"/>
        <v>0</v>
      </c>
      <c r="T698" s="383">
        <v>11.616666666666667</v>
      </c>
      <c r="U698" s="32"/>
      <c r="V698" s="25">
        <f t="shared" si="109"/>
        <v>0</v>
      </c>
      <c r="W698" s="32">
        <f t="shared" si="111"/>
        <v>11.616666666666667</v>
      </c>
      <c r="X698" s="32">
        <f t="shared" si="106"/>
        <v>0</v>
      </c>
      <c r="Y698" s="381">
        <f t="shared" si="107"/>
        <v>0</v>
      </c>
    </row>
    <row r="699" spans="1:25" x14ac:dyDescent="0.2">
      <c r="A699" s="24">
        <f t="shared" si="110"/>
        <v>3.4107672646097291</v>
      </c>
      <c r="B699" s="383">
        <v>11.633333333333333</v>
      </c>
      <c r="C699" s="32"/>
      <c r="D699" s="381">
        <f t="shared" si="100"/>
        <v>0</v>
      </c>
      <c r="E699" s="383">
        <v>11.633333333333333</v>
      </c>
      <c r="F699" s="8"/>
      <c r="G699" s="381">
        <f t="shared" si="101"/>
        <v>0</v>
      </c>
      <c r="H699" s="383">
        <v>11.633333333333333</v>
      </c>
      <c r="I699" s="32"/>
      <c r="J699" s="381">
        <f t="shared" si="102"/>
        <v>0</v>
      </c>
      <c r="K699" s="383">
        <v>11.633333333333333</v>
      </c>
      <c r="L699" s="31"/>
      <c r="M699" s="381">
        <f t="shared" si="103"/>
        <v>0</v>
      </c>
      <c r="N699" s="383">
        <v>11.633333333333333</v>
      </c>
      <c r="O699" s="32"/>
      <c r="P699" s="381">
        <f t="shared" si="104"/>
        <v>0</v>
      </c>
      <c r="Q699" s="383">
        <v>11.633333333333333</v>
      </c>
      <c r="R699" s="32"/>
      <c r="S699" s="25">
        <f t="shared" si="105"/>
        <v>0</v>
      </c>
      <c r="T699" s="383">
        <v>11.633333333333333</v>
      </c>
      <c r="U699" s="32"/>
      <c r="V699" s="25">
        <f t="shared" si="109"/>
        <v>0</v>
      </c>
      <c r="W699" s="32">
        <f t="shared" si="111"/>
        <v>11.633333333333333</v>
      </c>
      <c r="X699" s="32">
        <f t="shared" si="106"/>
        <v>0</v>
      </c>
      <c r="Y699" s="381">
        <f t="shared" si="107"/>
        <v>0</v>
      </c>
    </row>
    <row r="700" spans="1:25" x14ac:dyDescent="0.2">
      <c r="A700" s="24">
        <f t="shared" si="110"/>
        <v>3.4132096331752027</v>
      </c>
      <c r="B700" s="383">
        <v>11.65</v>
      </c>
      <c r="C700" s="32"/>
      <c r="D700" s="381">
        <f t="shared" si="100"/>
        <v>0</v>
      </c>
      <c r="E700" s="383">
        <v>11.65</v>
      </c>
      <c r="F700" s="8"/>
      <c r="G700" s="381">
        <f t="shared" si="101"/>
        <v>0</v>
      </c>
      <c r="H700" s="383">
        <v>11.65</v>
      </c>
      <c r="I700" s="32"/>
      <c r="J700" s="381">
        <f t="shared" si="102"/>
        <v>0</v>
      </c>
      <c r="K700" s="383">
        <v>11.65</v>
      </c>
      <c r="L700" s="31"/>
      <c r="M700" s="381">
        <f t="shared" si="103"/>
        <v>0</v>
      </c>
      <c r="N700" s="383">
        <v>11.65</v>
      </c>
      <c r="O700" s="32"/>
      <c r="P700" s="381">
        <f t="shared" si="104"/>
        <v>0</v>
      </c>
      <c r="Q700" s="383">
        <v>11.65</v>
      </c>
      <c r="R700" s="32"/>
      <c r="S700" s="25">
        <f t="shared" si="105"/>
        <v>0</v>
      </c>
      <c r="T700" s="383">
        <v>11.65</v>
      </c>
      <c r="U700" s="32"/>
      <c r="V700" s="25">
        <f t="shared" si="109"/>
        <v>0</v>
      </c>
      <c r="W700" s="32">
        <f t="shared" si="111"/>
        <v>11.65</v>
      </c>
      <c r="X700" s="32">
        <f t="shared" si="106"/>
        <v>0</v>
      </c>
      <c r="Y700" s="381">
        <f t="shared" si="107"/>
        <v>0</v>
      </c>
    </row>
    <row r="701" spans="1:25" x14ac:dyDescent="0.2">
      <c r="A701" s="24">
        <f t="shared" si="110"/>
        <v>3.415650255319866</v>
      </c>
      <c r="B701" s="383">
        <v>11.666666666666666</v>
      </c>
      <c r="C701" s="32"/>
      <c r="D701" s="381">
        <f t="shared" si="100"/>
        <v>0</v>
      </c>
      <c r="E701" s="383">
        <v>11.666666666666666</v>
      </c>
      <c r="F701" s="8"/>
      <c r="G701" s="381">
        <f t="shared" si="101"/>
        <v>0</v>
      </c>
      <c r="H701" s="383">
        <v>11.666666666666666</v>
      </c>
      <c r="I701" s="32"/>
      <c r="J701" s="381">
        <f t="shared" si="102"/>
        <v>0</v>
      </c>
      <c r="K701" s="383">
        <v>11.666666666666666</v>
      </c>
      <c r="L701" s="31"/>
      <c r="M701" s="381">
        <f t="shared" si="103"/>
        <v>0</v>
      </c>
      <c r="N701" s="383">
        <v>11.666666666666666</v>
      </c>
      <c r="O701" s="32"/>
      <c r="P701" s="381">
        <f t="shared" si="104"/>
        <v>0</v>
      </c>
      <c r="Q701" s="383">
        <v>11.666666666666666</v>
      </c>
      <c r="R701" s="32"/>
      <c r="S701" s="25">
        <f t="shared" si="105"/>
        <v>0</v>
      </c>
      <c r="T701" s="383">
        <v>11.666666666666666</v>
      </c>
      <c r="U701" s="32"/>
      <c r="V701" s="25">
        <f t="shared" si="109"/>
        <v>0</v>
      </c>
      <c r="W701" s="32">
        <f t="shared" si="111"/>
        <v>11.666666666666666</v>
      </c>
      <c r="X701" s="32">
        <f t="shared" si="106"/>
        <v>0</v>
      </c>
      <c r="Y701" s="381">
        <f t="shared" si="107"/>
        <v>0</v>
      </c>
    </row>
    <row r="702" spans="1:25" x14ac:dyDescent="0.2">
      <c r="A702" s="24">
        <f t="shared" si="110"/>
        <v>3.4180891347847169</v>
      </c>
      <c r="B702" s="383">
        <v>11.683333333333334</v>
      </c>
      <c r="C702" s="32"/>
      <c r="D702" s="381">
        <f t="shared" si="100"/>
        <v>0</v>
      </c>
      <c r="E702" s="383">
        <v>11.683333333333334</v>
      </c>
      <c r="F702" s="8"/>
      <c r="G702" s="381">
        <f t="shared" si="101"/>
        <v>0</v>
      </c>
      <c r="H702" s="383">
        <v>11.683333333333334</v>
      </c>
      <c r="I702" s="32"/>
      <c r="J702" s="381">
        <f t="shared" si="102"/>
        <v>0</v>
      </c>
      <c r="K702" s="383">
        <v>11.683333333333334</v>
      </c>
      <c r="L702" s="31"/>
      <c r="M702" s="381">
        <f t="shared" si="103"/>
        <v>0</v>
      </c>
      <c r="N702" s="383">
        <v>11.683333333333334</v>
      </c>
      <c r="O702" s="32"/>
      <c r="P702" s="381">
        <f t="shared" si="104"/>
        <v>0</v>
      </c>
      <c r="Q702" s="383">
        <v>11.683333333333334</v>
      </c>
      <c r="R702" s="32"/>
      <c r="S702" s="25">
        <f t="shared" si="105"/>
        <v>0</v>
      </c>
      <c r="T702" s="383">
        <v>11.683333333333334</v>
      </c>
      <c r="U702" s="32"/>
      <c r="V702" s="25">
        <f t="shared" si="109"/>
        <v>0</v>
      </c>
      <c r="W702" s="32">
        <f t="shared" si="111"/>
        <v>11.683333333333334</v>
      </c>
      <c r="X702" s="32">
        <f t="shared" si="106"/>
        <v>0</v>
      </c>
      <c r="Y702" s="381">
        <f t="shared" si="107"/>
        <v>0</v>
      </c>
    </row>
    <row r="703" spans="1:25" x14ac:dyDescent="0.2">
      <c r="A703" s="24">
        <f t="shared" si="110"/>
        <v>3.4205262752974139</v>
      </c>
      <c r="B703" s="383">
        <v>11.7</v>
      </c>
      <c r="C703" s="32"/>
      <c r="D703" s="381">
        <f t="shared" si="100"/>
        <v>0</v>
      </c>
      <c r="E703" s="383">
        <v>11.7</v>
      </c>
      <c r="F703" s="8"/>
      <c r="G703" s="381">
        <f t="shared" si="101"/>
        <v>0</v>
      </c>
      <c r="H703" s="383">
        <v>11.7</v>
      </c>
      <c r="I703" s="32"/>
      <c r="J703" s="381">
        <f t="shared" si="102"/>
        <v>0</v>
      </c>
      <c r="K703" s="383">
        <v>11.7</v>
      </c>
      <c r="L703" s="31"/>
      <c r="M703" s="381">
        <f t="shared" si="103"/>
        <v>0</v>
      </c>
      <c r="N703" s="383">
        <v>11.7</v>
      </c>
      <c r="O703" s="32"/>
      <c r="P703" s="381">
        <f t="shared" si="104"/>
        <v>0</v>
      </c>
      <c r="Q703" s="383">
        <v>11.7</v>
      </c>
      <c r="R703" s="32"/>
      <c r="S703" s="25">
        <f t="shared" si="105"/>
        <v>0</v>
      </c>
      <c r="T703" s="383">
        <v>11.7</v>
      </c>
      <c r="U703" s="32"/>
      <c r="V703" s="25">
        <f t="shared" si="109"/>
        <v>0</v>
      </c>
      <c r="W703" s="32">
        <f t="shared" si="111"/>
        <v>11.7</v>
      </c>
      <c r="X703" s="32">
        <f t="shared" si="106"/>
        <v>0</v>
      </c>
      <c r="Y703" s="381">
        <f t="shared" si="107"/>
        <v>0</v>
      </c>
    </row>
    <row r="704" spans="1:25" x14ac:dyDescent="0.2">
      <c r="A704" s="24">
        <f t="shared" si="110"/>
        <v>3.4229616805723473</v>
      </c>
      <c r="B704" s="383">
        <v>11.716666666666667</v>
      </c>
      <c r="C704" s="32"/>
      <c r="D704" s="381">
        <f t="shared" si="100"/>
        <v>0</v>
      </c>
      <c r="E704" s="383">
        <v>11.716666666666667</v>
      </c>
      <c r="F704" s="8"/>
      <c r="G704" s="381">
        <f t="shared" si="101"/>
        <v>0</v>
      </c>
      <c r="H704" s="383">
        <v>11.716666666666667</v>
      </c>
      <c r="I704" s="32"/>
      <c r="J704" s="381">
        <f t="shared" si="102"/>
        <v>0</v>
      </c>
      <c r="K704" s="383">
        <v>11.716666666666667</v>
      </c>
      <c r="L704" s="31"/>
      <c r="M704" s="381">
        <f t="shared" si="103"/>
        <v>0</v>
      </c>
      <c r="N704" s="383">
        <v>11.716666666666667</v>
      </c>
      <c r="O704" s="32"/>
      <c r="P704" s="381">
        <f t="shared" si="104"/>
        <v>0</v>
      </c>
      <c r="Q704" s="383">
        <v>11.716666666666667</v>
      </c>
      <c r="R704" s="32"/>
      <c r="S704" s="25">
        <f t="shared" si="105"/>
        <v>0</v>
      </c>
      <c r="T704" s="383">
        <v>11.716666666666667</v>
      </c>
      <c r="U704" s="32"/>
      <c r="V704" s="25">
        <f t="shared" si="109"/>
        <v>0</v>
      </c>
      <c r="W704" s="32">
        <f t="shared" si="111"/>
        <v>11.716666666666667</v>
      </c>
      <c r="X704" s="32">
        <f t="shared" si="106"/>
        <v>0</v>
      </c>
      <c r="Y704" s="381">
        <f t="shared" si="107"/>
        <v>0</v>
      </c>
    </row>
    <row r="705" spans="1:25" x14ac:dyDescent="0.2">
      <c r="A705" s="24">
        <f t="shared" si="110"/>
        <v>3.4253953543107007</v>
      </c>
      <c r="B705" s="383">
        <v>11.733333333333333</v>
      </c>
      <c r="C705" s="32"/>
      <c r="D705" s="381">
        <f t="shared" si="100"/>
        <v>0</v>
      </c>
      <c r="E705" s="383">
        <v>11.733333333333333</v>
      </c>
      <c r="F705" s="8"/>
      <c r="G705" s="381">
        <f t="shared" si="101"/>
        <v>0</v>
      </c>
      <c r="H705" s="383">
        <v>11.733333333333333</v>
      </c>
      <c r="I705" s="32"/>
      <c r="J705" s="381">
        <f t="shared" si="102"/>
        <v>0</v>
      </c>
      <c r="K705" s="383">
        <v>11.733333333333333</v>
      </c>
      <c r="L705" s="31"/>
      <c r="M705" s="381">
        <f t="shared" si="103"/>
        <v>0</v>
      </c>
      <c r="N705" s="383">
        <v>11.733333333333333</v>
      </c>
      <c r="O705" s="32"/>
      <c r="P705" s="381">
        <f t="shared" si="104"/>
        <v>0</v>
      </c>
      <c r="Q705" s="383">
        <v>11.733333333333333</v>
      </c>
      <c r="R705" s="32"/>
      <c r="S705" s="25">
        <f t="shared" si="105"/>
        <v>0</v>
      </c>
      <c r="T705" s="383">
        <v>11.733333333333333</v>
      </c>
      <c r="U705" s="32"/>
      <c r="V705" s="25">
        <f t="shared" si="109"/>
        <v>0</v>
      </c>
      <c r="W705" s="32">
        <f t="shared" si="111"/>
        <v>11.733333333333333</v>
      </c>
      <c r="X705" s="32">
        <f t="shared" si="106"/>
        <v>0</v>
      </c>
      <c r="Y705" s="381">
        <f t="shared" si="107"/>
        <v>0</v>
      </c>
    </row>
    <row r="706" spans="1:25" x14ac:dyDescent="0.2">
      <c r="A706" s="24">
        <f t="shared" si="110"/>
        <v>3.427827300200522</v>
      </c>
      <c r="B706" s="383">
        <v>11.75</v>
      </c>
      <c r="C706" s="32"/>
      <c r="D706" s="381">
        <f t="shared" si="100"/>
        <v>0</v>
      </c>
      <c r="E706" s="383">
        <v>11.75</v>
      </c>
      <c r="F706" s="8"/>
      <c r="G706" s="381">
        <f t="shared" si="101"/>
        <v>0</v>
      </c>
      <c r="H706" s="383">
        <v>11.75</v>
      </c>
      <c r="I706" s="32"/>
      <c r="J706" s="381">
        <f t="shared" si="102"/>
        <v>0</v>
      </c>
      <c r="K706" s="383">
        <v>11.75</v>
      </c>
      <c r="L706" s="31"/>
      <c r="M706" s="381">
        <f t="shared" si="103"/>
        <v>0</v>
      </c>
      <c r="N706" s="383">
        <v>11.75</v>
      </c>
      <c r="O706" s="32"/>
      <c r="P706" s="381">
        <f t="shared" si="104"/>
        <v>0</v>
      </c>
      <c r="Q706" s="383">
        <v>11.75</v>
      </c>
      <c r="R706" s="32"/>
      <c r="S706" s="25">
        <f t="shared" si="105"/>
        <v>0</v>
      </c>
      <c r="T706" s="383">
        <v>11.75</v>
      </c>
      <c r="U706" s="32"/>
      <c r="V706" s="25">
        <f t="shared" si="109"/>
        <v>0</v>
      </c>
      <c r="W706" s="32">
        <f t="shared" si="111"/>
        <v>11.75</v>
      </c>
      <c r="X706" s="32">
        <f t="shared" si="106"/>
        <v>0</v>
      </c>
      <c r="Y706" s="381">
        <f t="shared" si="107"/>
        <v>0</v>
      </c>
    </row>
    <row r="707" spans="1:25" x14ac:dyDescent="0.2">
      <c r="A707" s="24">
        <f t="shared" si="110"/>
        <v>3.4302575219167828</v>
      </c>
      <c r="B707" s="383">
        <v>11.766666666666667</v>
      </c>
      <c r="C707" s="32"/>
      <c r="D707" s="381">
        <f t="shared" si="100"/>
        <v>0</v>
      </c>
      <c r="E707" s="383">
        <v>11.766666666666667</v>
      </c>
      <c r="F707" s="8"/>
      <c r="G707" s="381">
        <f t="shared" si="101"/>
        <v>0</v>
      </c>
      <c r="H707" s="383">
        <v>11.766666666666667</v>
      </c>
      <c r="I707" s="32"/>
      <c r="J707" s="381">
        <f t="shared" si="102"/>
        <v>0</v>
      </c>
      <c r="K707" s="383">
        <v>11.766666666666667</v>
      </c>
      <c r="L707" s="31"/>
      <c r="M707" s="381">
        <f t="shared" si="103"/>
        <v>0</v>
      </c>
      <c r="N707" s="383">
        <v>11.766666666666667</v>
      </c>
      <c r="O707" s="32"/>
      <c r="P707" s="381">
        <f t="shared" si="104"/>
        <v>0</v>
      </c>
      <c r="Q707" s="383">
        <v>11.766666666666667</v>
      </c>
      <c r="R707" s="32"/>
      <c r="S707" s="25">
        <f t="shared" si="105"/>
        <v>0</v>
      </c>
      <c r="T707" s="383">
        <v>11.766666666666667</v>
      </c>
      <c r="U707" s="32"/>
      <c r="V707" s="25">
        <f t="shared" si="109"/>
        <v>0</v>
      </c>
      <c r="W707" s="32">
        <f t="shared" si="111"/>
        <v>11.766666666666667</v>
      </c>
      <c r="X707" s="32">
        <f t="shared" si="106"/>
        <v>0</v>
      </c>
      <c r="Y707" s="381">
        <f t="shared" si="107"/>
        <v>0</v>
      </c>
    </row>
    <row r="708" spans="1:25" x14ac:dyDescent="0.2">
      <c r="A708" s="24">
        <f t="shared" si="110"/>
        <v>3.4326860231214469</v>
      </c>
      <c r="B708" s="383">
        <v>11.783333333333333</v>
      </c>
      <c r="C708" s="32"/>
      <c r="D708" s="381">
        <f t="shared" si="100"/>
        <v>0</v>
      </c>
      <c r="E708" s="383">
        <v>11.783333333333333</v>
      </c>
      <c r="F708" s="8"/>
      <c r="G708" s="381">
        <f t="shared" si="101"/>
        <v>0</v>
      </c>
      <c r="H708" s="383">
        <v>11.783333333333333</v>
      </c>
      <c r="I708" s="32"/>
      <c r="J708" s="381">
        <f t="shared" si="102"/>
        <v>0</v>
      </c>
      <c r="K708" s="383">
        <v>11.783333333333333</v>
      </c>
      <c r="L708" s="31"/>
      <c r="M708" s="381">
        <f t="shared" si="103"/>
        <v>0</v>
      </c>
      <c r="N708" s="383">
        <v>11.783333333333333</v>
      </c>
      <c r="O708" s="32"/>
      <c r="P708" s="381">
        <f t="shared" si="104"/>
        <v>0</v>
      </c>
      <c r="Q708" s="383">
        <v>11.783333333333333</v>
      </c>
      <c r="R708" s="32"/>
      <c r="S708" s="25">
        <f t="shared" si="105"/>
        <v>0</v>
      </c>
      <c r="T708" s="383">
        <v>11.783333333333333</v>
      </c>
      <c r="U708" s="32"/>
      <c r="V708" s="25">
        <f t="shared" si="109"/>
        <v>0</v>
      </c>
      <c r="W708" s="32">
        <f t="shared" si="111"/>
        <v>11.783333333333333</v>
      </c>
      <c r="X708" s="32">
        <f t="shared" si="106"/>
        <v>0</v>
      </c>
      <c r="Y708" s="381">
        <f t="shared" si="107"/>
        <v>0</v>
      </c>
    </row>
    <row r="709" spans="1:25" x14ac:dyDescent="0.2">
      <c r="A709" s="24">
        <f t="shared" si="110"/>
        <v>3.4351128074635335</v>
      </c>
      <c r="B709" s="383">
        <v>11.8</v>
      </c>
      <c r="C709" s="32"/>
      <c r="D709" s="381">
        <f t="shared" ref="D709:D772" si="112">C709</f>
        <v>0</v>
      </c>
      <c r="E709" s="383">
        <v>11.8</v>
      </c>
      <c r="F709" s="8"/>
      <c r="G709" s="381">
        <f t="shared" ref="G709:G772" si="113">F709+$AB$2</f>
        <v>0</v>
      </c>
      <c r="H709" s="383">
        <v>11.8</v>
      </c>
      <c r="I709" s="32"/>
      <c r="J709" s="381">
        <f t="shared" ref="J709:J772" si="114">I709+$AB$3</f>
        <v>0</v>
      </c>
      <c r="K709" s="383">
        <v>11.8</v>
      </c>
      <c r="L709" s="31"/>
      <c r="M709" s="381">
        <f t="shared" ref="M709:M772" si="115">L709+$AB$4</f>
        <v>0</v>
      </c>
      <c r="N709" s="383">
        <v>11.8</v>
      </c>
      <c r="O709" s="32"/>
      <c r="P709" s="381">
        <f t="shared" ref="P709:P772" si="116">O709+$AB$5</f>
        <v>0</v>
      </c>
      <c r="Q709" s="383">
        <v>11.8</v>
      </c>
      <c r="R709" s="32"/>
      <c r="S709" s="25">
        <f t="shared" ref="S709:S772" si="117">R709+$AB$6</f>
        <v>0</v>
      </c>
      <c r="T709" s="383">
        <v>11.8</v>
      </c>
      <c r="U709" s="32"/>
      <c r="V709" s="25">
        <f t="shared" si="109"/>
        <v>0</v>
      </c>
      <c r="W709" s="32">
        <f t="shared" si="111"/>
        <v>11.8</v>
      </c>
      <c r="X709" s="32">
        <f t="shared" ref="X709:X772" si="118">U709</f>
        <v>0</v>
      </c>
      <c r="Y709" s="381">
        <f t="shared" ref="Y709:Y772" si="119">X709+$AB$8</f>
        <v>0</v>
      </c>
    </row>
    <row r="710" spans="1:25" x14ac:dyDescent="0.2">
      <c r="A710" s="24">
        <f t="shared" si="110"/>
        <v>3.4375378785791826</v>
      </c>
      <c r="B710" s="383">
        <v>11.816666666666666</v>
      </c>
      <c r="C710" s="32"/>
      <c r="D710" s="381">
        <f t="shared" si="112"/>
        <v>0</v>
      </c>
      <c r="E710" s="383">
        <v>11.816666666666666</v>
      </c>
      <c r="F710" s="8"/>
      <c r="G710" s="381">
        <f t="shared" si="113"/>
        <v>0</v>
      </c>
      <c r="H710" s="383">
        <v>11.816666666666666</v>
      </c>
      <c r="I710" s="32"/>
      <c r="J710" s="381">
        <f t="shared" si="114"/>
        <v>0</v>
      </c>
      <c r="K710" s="383">
        <v>11.816666666666666</v>
      </c>
      <c r="L710" s="31"/>
      <c r="M710" s="381">
        <f t="shared" si="115"/>
        <v>0</v>
      </c>
      <c r="N710" s="383">
        <v>11.816666666666666</v>
      </c>
      <c r="O710" s="32"/>
      <c r="P710" s="381">
        <f t="shared" si="116"/>
        <v>0</v>
      </c>
      <c r="Q710" s="383">
        <v>11.816666666666666</v>
      </c>
      <c r="R710" s="32"/>
      <c r="S710" s="25">
        <f t="shared" si="117"/>
        <v>0</v>
      </c>
      <c r="T710" s="383">
        <v>11.816666666666666</v>
      </c>
      <c r="U710" s="32"/>
      <c r="V710" s="25">
        <f t="shared" ref="V710:V773" si="120">Y710</f>
        <v>0</v>
      </c>
      <c r="W710" s="32">
        <f t="shared" ref="W710:W773" si="121">T710</f>
        <v>11.816666666666666</v>
      </c>
      <c r="X710" s="32">
        <f t="shared" si="118"/>
        <v>0</v>
      </c>
      <c r="Y710" s="381">
        <f t="shared" si="119"/>
        <v>0</v>
      </c>
    </row>
    <row r="711" spans="1:25" x14ac:dyDescent="0.2">
      <c r="A711" s="24">
        <f t="shared" si="110"/>
        <v>3.4399612400917157</v>
      </c>
      <c r="B711" s="383">
        <v>11.833333333333334</v>
      </c>
      <c r="C711" s="32"/>
      <c r="D711" s="381">
        <f t="shared" si="112"/>
        <v>0</v>
      </c>
      <c r="E711" s="383">
        <v>11.833333333333334</v>
      </c>
      <c r="F711" s="8"/>
      <c r="G711" s="381">
        <f t="shared" si="113"/>
        <v>0</v>
      </c>
      <c r="H711" s="383">
        <v>11.833333333333334</v>
      </c>
      <c r="I711" s="32"/>
      <c r="J711" s="381">
        <f t="shared" si="114"/>
        <v>0</v>
      </c>
      <c r="K711" s="383">
        <v>11.833333333333334</v>
      </c>
      <c r="L711" s="31"/>
      <c r="M711" s="381">
        <f t="shared" si="115"/>
        <v>0</v>
      </c>
      <c r="N711" s="383">
        <v>11.833333333333334</v>
      </c>
      <c r="O711" s="32"/>
      <c r="P711" s="381">
        <f t="shared" si="116"/>
        <v>0</v>
      </c>
      <c r="Q711" s="383">
        <v>11.833333333333334</v>
      </c>
      <c r="R711" s="32"/>
      <c r="S711" s="25">
        <f t="shared" si="117"/>
        <v>0</v>
      </c>
      <c r="T711" s="383">
        <v>11.833333333333334</v>
      </c>
      <c r="U711" s="32"/>
      <c r="V711" s="25">
        <f t="shared" si="120"/>
        <v>0</v>
      </c>
      <c r="W711" s="32">
        <f t="shared" si="121"/>
        <v>11.833333333333334</v>
      </c>
      <c r="X711" s="32">
        <f t="shared" si="118"/>
        <v>0</v>
      </c>
      <c r="Y711" s="381">
        <f t="shared" si="119"/>
        <v>0</v>
      </c>
    </row>
    <row r="712" spans="1:25" x14ac:dyDescent="0.2">
      <c r="A712" s="24">
        <f t="shared" si="110"/>
        <v>3.4423828956117011</v>
      </c>
      <c r="B712" s="383">
        <v>11.85</v>
      </c>
      <c r="C712" s="32"/>
      <c r="D712" s="381">
        <f t="shared" si="112"/>
        <v>0</v>
      </c>
      <c r="E712" s="383">
        <v>11.85</v>
      </c>
      <c r="F712" s="8"/>
      <c r="G712" s="381">
        <f t="shared" si="113"/>
        <v>0</v>
      </c>
      <c r="H712" s="383">
        <v>11.85</v>
      </c>
      <c r="I712" s="32"/>
      <c r="J712" s="381">
        <f t="shared" si="114"/>
        <v>0</v>
      </c>
      <c r="K712" s="383">
        <v>11.85</v>
      </c>
      <c r="L712" s="31"/>
      <c r="M712" s="381">
        <f t="shared" si="115"/>
        <v>0</v>
      </c>
      <c r="N712" s="383">
        <v>11.85</v>
      </c>
      <c r="O712" s="32"/>
      <c r="P712" s="381">
        <f t="shared" si="116"/>
        <v>0</v>
      </c>
      <c r="Q712" s="383">
        <v>11.85</v>
      </c>
      <c r="R712" s="32"/>
      <c r="S712" s="25">
        <f t="shared" si="117"/>
        <v>0</v>
      </c>
      <c r="T712" s="383">
        <v>11.85</v>
      </c>
      <c r="U712" s="32"/>
      <c r="V712" s="25">
        <f t="shared" si="120"/>
        <v>0</v>
      </c>
      <c r="W712" s="32">
        <f t="shared" si="121"/>
        <v>11.85</v>
      </c>
      <c r="X712" s="32">
        <f t="shared" si="118"/>
        <v>0</v>
      </c>
      <c r="Y712" s="381">
        <f t="shared" si="119"/>
        <v>0</v>
      </c>
    </row>
    <row r="713" spans="1:25" x14ac:dyDescent="0.2">
      <c r="A713" s="24">
        <f t="shared" si="110"/>
        <v>3.4448028487370168</v>
      </c>
      <c r="B713" s="383">
        <v>11.866666666666667</v>
      </c>
      <c r="C713" s="32"/>
      <c r="D713" s="381">
        <f t="shared" si="112"/>
        <v>0</v>
      </c>
      <c r="E713" s="383">
        <v>11.866666666666667</v>
      </c>
      <c r="F713" s="8"/>
      <c r="G713" s="381">
        <f t="shared" si="113"/>
        <v>0</v>
      </c>
      <c r="H713" s="383">
        <v>11.866666666666667</v>
      </c>
      <c r="I713" s="32"/>
      <c r="J713" s="381">
        <f t="shared" si="114"/>
        <v>0</v>
      </c>
      <c r="K713" s="383">
        <v>11.866666666666667</v>
      </c>
      <c r="L713" s="31"/>
      <c r="M713" s="381">
        <f t="shared" si="115"/>
        <v>0</v>
      </c>
      <c r="N713" s="383">
        <v>11.866666666666667</v>
      </c>
      <c r="O713" s="32"/>
      <c r="P713" s="381">
        <f t="shared" si="116"/>
        <v>0</v>
      </c>
      <c r="Q713" s="383">
        <v>11.866666666666667</v>
      </c>
      <c r="R713" s="32"/>
      <c r="S713" s="25">
        <f t="shared" si="117"/>
        <v>0</v>
      </c>
      <c r="T713" s="383">
        <v>11.866666666666667</v>
      </c>
      <c r="U713" s="32"/>
      <c r="V713" s="25">
        <f t="shared" si="120"/>
        <v>0</v>
      </c>
      <c r="W713" s="32">
        <f t="shared" si="121"/>
        <v>11.866666666666667</v>
      </c>
      <c r="X713" s="32">
        <f t="shared" si="118"/>
        <v>0</v>
      </c>
      <c r="Y713" s="381">
        <f t="shared" si="119"/>
        <v>0</v>
      </c>
    </row>
    <row r="714" spans="1:25" x14ac:dyDescent="0.2">
      <c r="A714" s="24">
        <f t="shared" si="110"/>
        <v>3.4472211030529119</v>
      </c>
      <c r="B714" s="383">
        <v>11.883333333333333</v>
      </c>
      <c r="C714" s="32"/>
      <c r="D714" s="381">
        <f t="shared" si="112"/>
        <v>0</v>
      </c>
      <c r="E714" s="383">
        <v>11.883333333333333</v>
      </c>
      <c r="F714" s="8"/>
      <c r="G714" s="381">
        <f t="shared" si="113"/>
        <v>0</v>
      </c>
      <c r="H714" s="383">
        <v>11.883333333333333</v>
      </c>
      <c r="I714" s="32"/>
      <c r="J714" s="381">
        <f t="shared" si="114"/>
        <v>0</v>
      </c>
      <c r="K714" s="383">
        <v>11.883333333333333</v>
      </c>
      <c r="L714" s="31"/>
      <c r="M714" s="381">
        <f t="shared" si="115"/>
        <v>0</v>
      </c>
      <c r="N714" s="383">
        <v>11.883333333333333</v>
      </c>
      <c r="O714" s="32"/>
      <c r="P714" s="381">
        <f t="shared" si="116"/>
        <v>0</v>
      </c>
      <c r="Q714" s="383">
        <v>11.883333333333333</v>
      </c>
      <c r="R714" s="32"/>
      <c r="S714" s="25">
        <f t="shared" si="117"/>
        <v>0</v>
      </c>
      <c r="T714" s="383">
        <v>11.883333333333333</v>
      </c>
      <c r="U714" s="32"/>
      <c r="V714" s="25">
        <f t="shared" si="120"/>
        <v>0</v>
      </c>
      <c r="W714" s="32">
        <f t="shared" si="121"/>
        <v>11.883333333333333</v>
      </c>
      <c r="X714" s="32">
        <f t="shared" si="118"/>
        <v>0</v>
      </c>
      <c r="Y714" s="381">
        <f t="shared" si="119"/>
        <v>0</v>
      </c>
    </row>
    <row r="715" spans="1:25" x14ac:dyDescent="0.2">
      <c r="A715" s="24">
        <f t="shared" si="110"/>
        <v>3.4496376621320679</v>
      </c>
      <c r="B715" s="383">
        <v>11.9</v>
      </c>
      <c r="C715" s="32"/>
      <c r="D715" s="381">
        <f t="shared" si="112"/>
        <v>0</v>
      </c>
      <c r="E715" s="383">
        <v>11.9</v>
      </c>
      <c r="F715" s="8"/>
      <c r="G715" s="381">
        <f t="shared" si="113"/>
        <v>0</v>
      </c>
      <c r="H715" s="383">
        <v>11.9</v>
      </c>
      <c r="I715" s="32"/>
      <c r="J715" s="381">
        <f t="shared" si="114"/>
        <v>0</v>
      </c>
      <c r="K715" s="383">
        <v>11.9</v>
      </c>
      <c r="L715" s="31"/>
      <c r="M715" s="381">
        <f t="shared" si="115"/>
        <v>0</v>
      </c>
      <c r="N715" s="383">
        <v>11.9</v>
      </c>
      <c r="O715" s="32"/>
      <c r="P715" s="381">
        <f t="shared" si="116"/>
        <v>0</v>
      </c>
      <c r="Q715" s="383">
        <v>11.9</v>
      </c>
      <c r="R715" s="32"/>
      <c r="S715" s="25">
        <f t="shared" si="117"/>
        <v>0</v>
      </c>
      <c r="T715" s="383">
        <v>11.9</v>
      </c>
      <c r="U715" s="32"/>
      <c r="V715" s="25">
        <f t="shared" si="120"/>
        <v>0</v>
      </c>
      <c r="W715" s="32">
        <f t="shared" si="121"/>
        <v>11.9</v>
      </c>
      <c r="X715" s="32">
        <f t="shared" si="118"/>
        <v>0</v>
      </c>
      <c r="Y715" s="381">
        <f t="shared" si="119"/>
        <v>0</v>
      </c>
    </row>
    <row r="716" spans="1:25" x14ac:dyDescent="0.2">
      <c r="A716" s="24">
        <f t="shared" si="110"/>
        <v>3.4520525295346629</v>
      </c>
      <c r="B716" s="383">
        <v>11.916666666666666</v>
      </c>
      <c r="C716" s="32"/>
      <c r="D716" s="381">
        <f t="shared" si="112"/>
        <v>0</v>
      </c>
      <c r="E716" s="383">
        <v>11.916666666666666</v>
      </c>
      <c r="F716" s="8"/>
      <c r="G716" s="381">
        <f t="shared" si="113"/>
        <v>0</v>
      </c>
      <c r="H716" s="383">
        <v>11.916666666666666</v>
      </c>
      <c r="I716" s="32"/>
      <c r="J716" s="381">
        <f t="shared" si="114"/>
        <v>0</v>
      </c>
      <c r="K716" s="383">
        <v>11.916666666666666</v>
      </c>
      <c r="L716" s="31"/>
      <c r="M716" s="381">
        <f t="shared" si="115"/>
        <v>0</v>
      </c>
      <c r="N716" s="383">
        <v>11.916666666666666</v>
      </c>
      <c r="O716" s="32"/>
      <c r="P716" s="381">
        <f t="shared" si="116"/>
        <v>0</v>
      </c>
      <c r="Q716" s="383">
        <v>11.916666666666666</v>
      </c>
      <c r="R716" s="32"/>
      <c r="S716" s="25">
        <f t="shared" si="117"/>
        <v>0</v>
      </c>
      <c r="T716" s="383">
        <v>11.916666666666666</v>
      </c>
      <c r="U716" s="32"/>
      <c r="V716" s="25">
        <f t="shared" si="120"/>
        <v>0</v>
      </c>
      <c r="W716" s="32">
        <f t="shared" si="121"/>
        <v>11.916666666666666</v>
      </c>
      <c r="X716" s="32">
        <f t="shared" si="118"/>
        <v>0</v>
      </c>
      <c r="Y716" s="381">
        <f t="shared" si="119"/>
        <v>0</v>
      </c>
    </row>
    <row r="717" spans="1:25" x14ac:dyDescent="0.2">
      <c r="A717" s="24">
        <f t="shared" si="110"/>
        <v>3.4544657088084305</v>
      </c>
      <c r="B717" s="383">
        <v>11.933333333333334</v>
      </c>
      <c r="C717" s="32"/>
      <c r="D717" s="381">
        <f t="shared" si="112"/>
        <v>0</v>
      </c>
      <c r="E717" s="383">
        <v>11.933333333333334</v>
      </c>
      <c r="F717" s="8"/>
      <c r="G717" s="381">
        <f t="shared" si="113"/>
        <v>0</v>
      </c>
      <c r="H717" s="383">
        <v>11.933333333333334</v>
      </c>
      <c r="I717" s="32"/>
      <c r="J717" s="381">
        <f t="shared" si="114"/>
        <v>0</v>
      </c>
      <c r="K717" s="383">
        <v>11.933333333333334</v>
      </c>
      <c r="L717" s="31"/>
      <c r="M717" s="381">
        <f t="shared" si="115"/>
        <v>0</v>
      </c>
      <c r="N717" s="383">
        <v>11.933333333333334</v>
      </c>
      <c r="O717" s="32"/>
      <c r="P717" s="381">
        <f t="shared" si="116"/>
        <v>0</v>
      </c>
      <c r="Q717" s="383">
        <v>11.933333333333334</v>
      </c>
      <c r="R717" s="32"/>
      <c r="S717" s="25">
        <f t="shared" si="117"/>
        <v>0</v>
      </c>
      <c r="T717" s="383">
        <v>11.933333333333334</v>
      </c>
      <c r="U717" s="32"/>
      <c r="V717" s="25">
        <f t="shared" si="120"/>
        <v>0</v>
      </c>
      <c r="W717" s="32">
        <f t="shared" si="121"/>
        <v>11.933333333333334</v>
      </c>
      <c r="X717" s="32">
        <f t="shared" si="118"/>
        <v>0</v>
      </c>
      <c r="Y717" s="381">
        <f t="shared" si="119"/>
        <v>0</v>
      </c>
    </row>
    <row r="718" spans="1:25" x14ac:dyDescent="0.2">
      <c r="A718" s="24">
        <f t="shared" si="110"/>
        <v>3.456877203488721</v>
      </c>
      <c r="B718" s="383">
        <v>11.95</v>
      </c>
      <c r="C718" s="32"/>
      <c r="D718" s="381">
        <f t="shared" si="112"/>
        <v>0</v>
      </c>
      <c r="E718" s="383">
        <v>11.95</v>
      </c>
      <c r="F718" s="8"/>
      <c r="G718" s="381">
        <f t="shared" si="113"/>
        <v>0</v>
      </c>
      <c r="H718" s="383">
        <v>11.95</v>
      </c>
      <c r="I718" s="32"/>
      <c r="J718" s="381">
        <f t="shared" si="114"/>
        <v>0</v>
      </c>
      <c r="K718" s="383">
        <v>11.95</v>
      </c>
      <c r="L718" s="31"/>
      <c r="M718" s="381">
        <f t="shared" si="115"/>
        <v>0</v>
      </c>
      <c r="N718" s="383">
        <v>11.95</v>
      </c>
      <c r="O718" s="32"/>
      <c r="P718" s="381">
        <f t="shared" si="116"/>
        <v>0</v>
      </c>
      <c r="Q718" s="383">
        <v>11.95</v>
      </c>
      <c r="R718" s="32"/>
      <c r="S718" s="25">
        <f t="shared" si="117"/>
        <v>0</v>
      </c>
      <c r="T718" s="383">
        <v>11.95</v>
      </c>
      <c r="U718" s="32"/>
      <c r="V718" s="25">
        <f t="shared" si="120"/>
        <v>0</v>
      </c>
      <c r="W718" s="32">
        <f t="shared" si="121"/>
        <v>11.95</v>
      </c>
      <c r="X718" s="32">
        <f t="shared" si="118"/>
        <v>0</v>
      </c>
      <c r="Y718" s="381">
        <f t="shared" si="119"/>
        <v>0</v>
      </c>
    </row>
    <row r="719" spans="1:25" x14ac:dyDescent="0.2">
      <c r="A719" s="24">
        <f t="shared" si="110"/>
        <v>3.4592870170985619</v>
      </c>
      <c r="B719" s="383">
        <v>11.966666666666667</v>
      </c>
      <c r="C719" s="32"/>
      <c r="D719" s="381">
        <f t="shared" si="112"/>
        <v>0</v>
      </c>
      <c r="E719" s="383">
        <v>11.966666666666667</v>
      </c>
      <c r="F719" s="8"/>
      <c r="G719" s="381">
        <f t="shared" si="113"/>
        <v>0</v>
      </c>
      <c r="H719" s="383">
        <v>11.966666666666667</v>
      </c>
      <c r="I719" s="32"/>
      <c r="J719" s="381">
        <f t="shared" si="114"/>
        <v>0</v>
      </c>
      <c r="K719" s="383">
        <v>11.966666666666667</v>
      </c>
      <c r="L719" s="31"/>
      <c r="M719" s="381">
        <f t="shared" si="115"/>
        <v>0</v>
      </c>
      <c r="N719" s="383">
        <v>11.966666666666667</v>
      </c>
      <c r="O719" s="32"/>
      <c r="P719" s="381">
        <f t="shared" si="116"/>
        <v>0</v>
      </c>
      <c r="Q719" s="383">
        <v>11.966666666666667</v>
      </c>
      <c r="R719" s="32"/>
      <c r="S719" s="25">
        <f t="shared" si="117"/>
        <v>0</v>
      </c>
      <c r="T719" s="383">
        <v>11.966666666666667</v>
      </c>
      <c r="U719" s="32"/>
      <c r="V719" s="25">
        <f t="shared" si="120"/>
        <v>0</v>
      </c>
      <c r="W719" s="32">
        <f t="shared" si="121"/>
        <v>11.966666666666667</v>
      </c>
      <c r="X719" s="32">
        <f t="shared" si="118"/>
        <v>0</v>
      </c>
      <c r="Y719" s="381">
        <f t="shared" si="119"/>
        <v>0</v>
      </c>
    </row>
    <row r="720" spans="1:25" x14ac:dyDescent="0.2">
      <c r="A720" s="24">
        <f t="shared" si="110"/>
        <v>3.4616951531487188</v>
      </c>
      <c r="B720" s="383">
        <v>11.983333333333333</v>
      </c>
      <c r="C720" s="32"/>
      <c r="D720" s="381">
        <f t="shared" si="112"/>
        <v>0</v>
      </c>
      <c r="E720" s="383">
        <v>11.983333333333333</v>
      </c>
      <c r="F720" s="8"/>
      <c r="G720" s="381">
        <f t="shared" si="113"/>
        <v>0</v>
      </c>
      <c r="H720" s="383">
        <v>11.983333333333333</v>
      </c>
      <c r="I720" s="32"/>
      <c r="J720" s="381">
        <f t="shared" si="114"/>
        <v>0</v>
      </c>
      <c r="K720" s="383">
        <v>11.983333333333333</v>
      </c>
      <c r="L720" s="31"/>
      <c r="M720" s="381">
        <f t="shared" si="115"/>
        <v>0</v>
      </c>
      <c r="N720" s="383">
        <v>11.983333333333333</v>
      </c>
      <c r="O720" s="32"/>
      <c r="P720" s="381">
        <f t="shared" si="116"/>
        <v>0</v>
      </c>
      <c r="Q720" s="383">
        <v>11.983333333333333</v>
      </c>
      <c r="R720" s="32"/>
      <c r="S720" s="25">
        <f t="shared" si="117"/>
        <v>0</v>
      </c>
      <c r="T720" s="383">
        <v>11.983333333333333</v>
      </c>
      <c r="U720" s="32"/>
      <c r="V720" s="25">
        <f t="shared" si="120"/>
        <v>0</v>
      </c>
      <c r="W720" s="32">
        <f t="shared" si="121"/>
        <v>11.983333333333333</v>
      </c>
      <c r="X720" s="32">
        <f t="shared" si="118"/>
        <v>0</v>
      </c>
      <c r="Y720" s="381">
        <f t="shared" si="119"/>
        <v>0</v>
      </c>
    </row>
    <row r="721" spans="1:25" x14ac:dyDescent="0.2">
      <c r="A721" s="24">
        <f t="shared" si="110"/>
        <v>3.4641016151377544</v>
      </c>
      <c r="B721" s="383">
        <v>12</v>
      </c>
      <c r="C721" s="32"/>
      <c r="D721" s="381">
        <f t="shared" si="112"/>
        <v>0</v>
      </c>
      <c r="E721" s="383">
        <v>12</v>
      </c>
      <c r="F721" s="8"/>
      <c r="G721" s="381">
        <f t="shared" si="113"/>
        <v>0</v>
      </c>
      <c r="H721" s="383">
        <v>12</v>
      </c>
      <c r="I721" s="32"/>
      <c r="J721" s="381">
        <f t="shared" si="114"/>
        <v>0</v>
      </c>
      <c r="K721" s="383">
        <v>12</v>
      </c>
      <c r="L721" s="31"/>
      <c r="M721" s="381">
        <f t="shared" si="115"/>
        <v>0</v>
      </c>
      <c r="N721" s="383">
        <v>12</v>
      </c>
      <c r="O721" s="32"/>
      <c r="P721" s="381">
        <f t="shared" si="116"/>
        <v>0</v>
      </c>
      <c r="Q721" s="383">
        <v>12</v>
      </c>
      <c r="R721" s="32"/>
      <c r="S721" s="25">
        <f t="shared" si="117"/>
        <v>0</v>
      </c>
      <c r="T721" s="383">
        <v>12</v>
      </c>
      <c r="U721" s="32"/>
      <c r="V721" s="25">
        <f t="shared" si="120"/>
        <v>0</v>
      </c>
      <c r="W721" s="32">
        <f t="shared" si="121"/>
        <v>12</v>
      </c>
      <c r="X721" s="32">
        <f t="shared" si="118"/>
        <v>0</v>
      </c>
      <c r="Y721" s="381">
        <f t="shared" si="119"/>
        <v>0</v>
      </c>
    </row>
    <row r="722" spans="1:25" x14ac:dyDescent="0.2">
      <c r="A722" s="24">
        <f t="shared" si="110"/>
        <v>3.4665064065520874</v>
      </c>
      <c r="B722" s="383">
        <v>12.016666666666667</v>
      </c>
      <c r="C722" s="32"/>
      <c r="D722" s="381">
        <f t="shared" si="112"/>
        <v>0</v>
      </c>
      <c r="E722" s="383">
        <v>12.016666666666667</v>
      </c>
      <c r="F722" s="8"/>
      <c r="G722" s="381">
        <f t="shared" si="113"/>
        <v>0</v>
      </c>
      <c r="H722" s="383">
        <v>12.016666666666667</v>
      </c>
      <c r="I722" s="32"/>
      <c r="J722" s="381">
        <f t="shared" si="114"/>
        <v>0</v>
      </c>
      <c r="K722" s="383">
        <v>12.016666666666667</v>
      </c>
      <c r="L722" s="31"/>
      <c r="M722" s="381">
        <f t="shared" si="115"/>
        <v>0</v>
      </c>
      <c r="N722" s="383">
        <v>12.016666666666667</v>
      </c>
      <c r="O722" s="32"/>
      <c r="P722" s="381">
        <f t="shared" si="116"/>
        <v>0</v>
      </c>
      <c r="Q722" s="383">
        <v>12.016666666666667</v>
      </c>
      <c r="R722" s="32"/>
      <c r="S722" s="25">
        <f t="shared" si="117"/>
        <v>0</v>
      </c>
      <c r="T722" s="383">
        <v>12.016666666666667</v>
      </c>
      <c r="U722" s="32"/>
      <c r="V722" s="25">
        <f t="shared" si="120"/>
        <v>0</v>
      </c>
      <c r="W722" s="32">
        <f t="shared" si="121"/>
        <v>12.016666666666667</v>
      </c>
      <c r="X722" s="32">
        <f t="shared" si="118"/>
        <v>0</v>
      </c>
      <c r="Y722" s="381">
        <f t="shared" si="119"/>
        <v>0</v>
      </c>
    </row>
    <row r="723" spans="1:25" x14ac:dyDescent="0.2">
      <c r="A723" s="24">
        <f t="shared" si="110"/>
        <v>3.468909530866052</v>
      </c>
      <c r="B723" s="383">
        <v>12.033333333333333</v>
      </c>
      <c r="C723" s="32"/>
      <c r="D723" s="381">
        <f t="shared" si="112"/>
        <v>0</v>
      </c>
      <c r="E723" s="383">
        <v>12.033333333333333</v>
      </c>
      <c r="F723" s="8"/>
      <c r="G723" s="381">
        <f t="shared" si="113"/>
        <v>0</v>
      </c>
      <c r="H723" s="383">
        <v>12.033333333333333</v>
      </c>
      <c r="I723" s="32"/>
      <c r="J723" s="381">
        <f t="shared" si="114"/>
        <v>0</v>
      </c>
      <c r="K723" s="383">
        <v>12.033333333333333</v>
      </c>
      <c r="L723" s="31"/>
      <c r="M723" s="381">
        <f t="shared" si="115"/>
        <v>0</v>
      </c>
      <c r="N723" s="383">
        <v>12.033333333333333</v>
      </c>
      <c r="O723" s="32"/>
      <c r="P723" s="381">
        <f t="shared" si="116"/>
        <v>0</v>
      </c>
      <c r="Q723" s="383">
        <v>12.033333333333333</v>
      </c>
      <c r="R723" s="32"/>
      <c r="S723" s="25">
        <f t="shared" si="117"/>
        <v>0</v>
      </c>
      <c r="T723" s="383">
        <v>12.033333333333333</v>
      </c>
      <c r="U723" s="32"/>
      <c r="V723" s="25">
        <f t="shared" si="120"/>
        <v>0</v>
      </c>
      <c r="W723" s="32">
        <f t="shared" si="121"/>
        <v>12.033333333333333</v>
      </c>
      <c r="X723" s="32">
        <f t="shared" si="118"/>
        <v>0</v>
      </c>
      <c r="Y723" s="381">
        <f t="shared" si="119"/>
        <v>0</v>
      </c>
    </row>
    <row r="724" spans="1:25" x14ac:dyDescent="0.2">
      <c r="A724" s="24">
        <f t="shared" si="110"/>
        <v>3.4713109915419564</v>
      </c>
      <c r="B724" s="383">
        <v>12.05</v>
      </c>
      <c r="C724" s="32"/>
      <c r="D724" s="381">
        <f t="shared" si="112"/>
        <v>0</v>
      </c>
      <c r="E724" s="383">
        <v>12.05</v>
      </c>
      <c r="F724" s="8"/>
      <c r="G724" s="381">
        <f t="shared" si="113"/>
        <v>0</v>
      </c>
      <c r="H724" s="383">
        <v>12.05</v>
      </c>
      <c r="I724" s="32"/>
      <c r="J724" s="381">
        <f t="shared" si="114"/>
        <v>0</v>
      </c>
      <c r="K724" s="383">
        <v>12.05</v>
      </c>
      <c r="L724" s="31"/>
      <c r="M724" s="381">
        <f t="shared" si="115"/>
        <v>0</v>
      </c>
      <c r="N724" s="383">
        <v>12.05</v>
      </c>
      <c r="O724" s="32"/>
      <c r="P724" s="381">
        <f t="shared" si="116"/>
        <v>0</v>
      </c>
      <c r="Q724" s="383">
        <v>12.05</v>
      </c>
      <c r="R724" s="32"/>
      <c r="S724" s="25">
        <f t="shared" si="117"/>
        <v>0</v>
      </c>
      <c r="T724" s="383">
        <v>12.05</v>
      </c>
      <c r="U724" s="32"/>
      <c r="V724" s="25">
        <f t="shared" si="120"/>
        <v>0</v>
      </c>
      <c r="W724" s="32">
        <f t="shared" si="121"/>
        <v>12.05</v>
      </c>
      <c r="X724" s="32">
        <f t="shared" si="118"/>
        <v>0</v>
      </c>
      <c r="Y724" s="381">
        <f t="shared" si="119"/>
        <v>0</v>
      </c>
    </row>
    <row r="725" spans="1:25" x14ac:dyDescent="0.2">
      <c r="A725" s="24">
        <f t="shared" si="110"/>
        <v>3.4737107920301407</v>
      </c>
      <c r="B725" s="383">
        <v>12.066666666666666</v>
      </c>
      <c r="C725" s="32"/>
      <c r="D725" s="381">
        <f t="shared" si="112"/>
        <v>0</v>
      </c>
      <c r="E725" s="383">
        <v>12.066666666666666</v>
      </c>
      <c r="F725" s="8"/>
      <c r="G725" s="381">
        <f t="shared" si="113"/>
        <v>0</v>
      </c>
      <c r="H725" s="383">
        <v>12.066666666666666</v>
      </c>
      <c r="I725" s="32"/>
      <c r="J725" s="381">
        <f t="shared" si="114"/>
        <v>0</v>
      </c>
      <c r="K725" s="383">
        <v>12.066666666666666</v>
      </c>
      <c r="L725" s="31"/>
      <c r="M725" s="381">
        <f t="shared" si="115"/>
        <v>0</v>
      </c>
      <c r="N725" s="383">
        <v>12.066666666666666</v>
      </c>
      <c r="O725" s="32"/>
      <c r="P725" s="381">
        <f t="shared" si="116"/>
        <v>0</v>
      </c>
      <c r="Q725" s="383">
        <v>12.066666666666666</v>
      </c>
      <c r="R725" s="32"/>
      <c r="S725" s="25">
        <f t="shared" si="117"/>
        <v>0</v>
      </c>
      <c r="T725" s="383">
        <v>12.066666666666666</v>
      </c>
      <c r="U725" s="32"/>
      <c r="V725" s="25">
        <f t="shared" si="120"/>
        <v>0</v>
      </c>
      <c r="W725" s="32">
        <f t="shared" si="121"/>
        <v>12.066666666666666</v>
      </c>
      <c r="X725" s="32">
        <f t="shared" si="118"/>
        <v>0</v>
      </c>
      <c r="Y725" s="381">
        <f t="shared" si="119"/>
        <v>0</v>
      </c>
    </row>
    <row r="726" spans="1:25" x14ac:dyDescent="0.2">
      <c r="A726" s="24">
        <f t="shared" si="110"/>
        <v>3.4761089357690351</v>
      </c>
      <c r="B726" s="383">
        <v>12.083333333333334</v>
      </c>
      <c r="C726" s="32"/>
      <c r="D726" s="381">
        <f t="shared" si="112"/>
        <v>0</v>
      </c>
      <c r="E726" s="383">
        <v>12.083333333333334</v>
      </c>
      <c r="F726" s="8"/>
      <c r="G726" s="381">
        <f t="shared" si="113"/>
        <v>0</v>
      </c>
      <c r="H726" s="383">
        <v>12.083333333333334</v>
      </c>
      <c r="I726" s="32"/>
      <c r="J726" s="381">
        <f t="shared" si="114"/>
        <v>0</v>
      </c>
      <c r="K726" s="383">
        <v>12.083333333333334</v>
      </c>
      <c r="L726" s="31"/>
      <c r="M726" s="381">
        <f t="shared" si="115"/>
        <v>0</v>
      </c>
      <c r="N726" s="383">
        <v>12.083333333333334</v>
      </c>
      <c r="O726" s="32"/>
      <c r="P726" s="381">
        <f t="shared" si="116"/>
        <v>0</v>
      </c>
      <c r="Q726" s="383">
        <v>12.083333333333334</v>
      </c>
      <c r="R726" s="32"/>
      <c r="S726" s="25">
        <f t="shared" si="117"/>
        <v>0</v>
      </c>
      <c r="T726" s="383">
        <v>12.083333333333334</v>
      </c>
      <c r="U726" s="32"/>
      <c r="V726" s="25">
        <f t="shared" si="120"/>
        <v>0</v>
      </c>
      <c r="W726" s="32">
        <f t="shared" si="121"/>
        <v>12.083333333333334</v>
      </c>
      <c r="X726" s="32">
        <f t="shared" si="118"/>
        <v>0</v>
      </c>
      <c r="Y726" s="381">
        <f t="shared" si="119"/>
        <v>0</v>
      </c>
    </row>
    <row r="727" spans="1:25" x14ac:dyDescent="0.2">
      <c r="A727" s="24">
        <f t="shared" si="110"/>
        <v>3.4785054261852171</v>
      </c>
      <c r="B727" s="383">
        <v>12.1</v>
      </c>
      <c r="C727" s="32"/>
      <c r="D727" s="381">
        <f t="shared" si="112"/>
        <v>0</v>
      </c>
      <c r="E727" s="383">
        <v>12.1</v>
      </c>
      <c r="F727" s="8"/>
      <c r="G727" s="381">
        <f t="shared" si="113"/>
        <v>0</v>
      </c>
      <c r="H727" s="383">
        <v>12.1</v>
      </c>
      <c r="I727" s="32"/>
      <c r="J727" s="381">
        <f t="shared" si="114"/>
        <v>0</v>
      </c>
      <c r="K727" s="383">
        <v>12.1</v>
      </c>
      <c r="L727" s="31"/>
      <c r="M727" s="381">
        <f t="shared" si="115"/>
        <v>0</v>
      </c>
      <c r="N727" s="383">
        <v>12.1</v>
      </c>
      <c r="O727" s="32"/>
      <c r="P727" s="381">
        <f t="shared" si="116"/>
        <v>0</v>
      </c>
      <c r="Q727" s="383">
        <v>12.1</v>
      </c>
      <c r="R727" s="32"/>
      <c r="S727" s="25">
        <f t="shared" si="117"/>
        <v>0</v>
      </c>
      <c r="T727" s="383">
        <v>12.1</v>
      </c>
      <c r="U727" s="32"/>
      <c r="V727" s="25">
        <f t="shared" si="120"/>
        <v>0</v>
      </c>
      <c r="W727" s="32">
        <f t="shared" si="121"/>
        <v>12.1</v>
      </c>
      <c r="X727" s="32">
        <f t="shared" si="118"/>
        <v>0</v>
      </c>
      <c r="Y727" s="381">
        <f t="shared" si="119"/>
        <v>0</v>
      </c>
    </row>
    <row r="728" spans="1:25" x14ac:dyDescent="0.2">
      <c r="A728" s="24">
        <f t="shared" si="110"/>
        <v>3.4809002666934696</v>
      </c>
      <c r="B728" s="383">
        <v>12.116666666666667</v>
      </c>
      <c r="C728" s="32"/>
      <c r="D728" s="381">
        <f t="shared" si="112"/>
        <v>0</v>
      </c>
      <c r="E728" s="383">
        <v>12.116666666666667</v>
      </c>
      <c r="F728" s="8"/>
      <c r="G728" s="381">
        <f t="shared" si="113"/>
        <v>0</v>
      </c>
      <c r="H728" s="383">
        <v>12.116666666666667</v>
      </c>
      <c r="I728" s="32"/>
      <c r="J728" s="381">
        <f t="shared" si="114"/>
        <v>0</v>
      </c>
      <c r="K728" s="383">
        <v>12.116666666666667</v>
      </c>
      <c r="L728" s="31"/>
      <c r="M728" s="381">
        <f t="shared" si="115"/>
        <v>0</v>
      </c>
      <c r="N728" s="383">
        <v>12.116666666666667</v>
      </c>
      <c r="O728" s="32"/>
      <c r="P728" s="381">
        <f t="shared" si="116"/>
        <v>0</v>
      </c>
      <c r="Q728" s="383">
        <v>12.116666666666667</v>
      </c>
      <c r="R728" s="32"/>
      <c r="S728" s="25">
        <f t="shared" si="117"/>
        <v>0</v>
      </c>
      <c r="T728" s="383">
        <v>12.116666666666667</v>
      </c>
      <c r="U728" s="32"/>
      <c r="V728" s="25">
        <f t="shared" si="120"/>
        <v>0</v>
      </c>
      <c r="W728" s="32">
        <f t="shared" si="121"/>
        <v>12.116666666666667</v>
      </c>
      <c r="X728" s="32">
        <f t="shared" si="118"/>
        <v>0</v>
      </c>
      <c r="Y728" s="381">
        <f t="shared" si="119"/>
        <v>0</v>
      </c>
    </row>
    <row r="729" spans="1:25" x14ac:dyDescent="0.2">
      <c r="A729" s="24">
        <f t="shared" si="110"/>
        <v>3.4832934606968351</v>
      </c>
      <c r="B729" s="383">
        <v>12.133333333333333</v>
      </c>
      <c r="C729" s="32"/>
      <c r="D729" s="381">
        <f t="shared" si="112"/>
        <v>0</v>
      </c>
      <c r="E729" s="383">
        <v>12.133333333333333</v>
      </c>
      <c r="F729" s="8"/>
      <c r="G729" s="381">
        <f t="shared" si="113"/>
        <v>0</v>
      </c>
      <c r="H729" s="383">
        <v>12.133333333333333</v>
      </c>
      <c r="I729" s="32"/>
      <c r="J729" s="381">
        <f t="shared" si="114"/>
        <v>0</v>
      </c>
      <c r="K729" s="383">
        <v>12.133333333333333</v>
      </c>
      <c r="L729" s="31"/>
      <c r="M729" s="381">
        <f t="shared" si="115"/>
        <v>0</v>
      </c>
      <c r="N729" s="383">
        <v>12.133333333333333</v>
      </c>
      <c r="O729" s="32"/>
      <c r="P729" s="381">
        <f t="shared" si="116"/>
        <v>0</v>
      </c>
      <c r="Q729" s="383">
        <v>12.133333333333333</v>
      </c>
      <c r="R729" s="32"/>
      <c r="S729" s="25">
        <f t="shared" si="117"/>
        <v>0</v>
      </c>
      <c r="T729" s="383">
        <v>12.133333333333333</v>
      </c>
      <c r="U729" s="32"/>
      <c r="V729" s="25">
        <f t="shared" si="120"/>
        <v>0</v>
      </c>
      <c r="W729" s="32">
        <f t="shared" si="121"/>
        <v>12.133333333333333</v>
      </c>
      <c r="X729" s="32">
        <f t="shared" si="118"/>
        <v>0</v>
      </c>
      <c r="Y729" s="381">
        <f t="shared" si="119"/>
        <v>0</v>
      </c>
    </row>
    <row r="730" spans="1:25" x14ac:dyDescent="0.2">
      <c r="A730" s="24">
        <f t="shared" si="110"/>
        <v>3.4856850115866753</v>
      </c>
      <c r="B730" s="383">
        <v>12.15</v>
      </c>
      <c r="C730" s="32"/>
      <c r="D730" s="381">
        <f t="shared" si="112"/>
        <v>0</v>
      </c>
      <c r="E730" s="383">
        <v>12.15</v>
      </c>
      <c r="F730" s="8"/>
      <c r="G730" s="381">
        <f t="shared" si="113"/>
        <v>0</v>
      </c>
      <c r="H730" s="383">
        <v>12.15</v>
      </c>
      <c r="I730" s="32"/>
      <c r="J730" s="381">
        <f t="shared" si="114"/>
        <v>0</v>
      </c>
      <c r="K730" s="383">
        <v>12.15</v>
      </c>
      <c r="L730" s="31"/>
      <c r="M730" s="381">
        <f t="shared" si="115"/>
        <v>0</v>
      </c>
      <c r="N730" s="383">
        <v>12.15</v>
      </c>
      <c r="O730" s="32"/>
      <c r="P730" s="381">
        <f t="shared" si="116"/>
        <v>0</v>
      </c>
      <c r="Q730" s="383">
        <v>12.15</v>
      </c>
      <c r="R730" s="32"/>
      <c r="S730" s="25">
        <f t="shared" si="117"/>
        <v>0</v>
      </c>
      <c r="T730" s="383">
        <v>12.15</v>
      </c>
      <c r="U730" s="32"/>
      <c r="V730" s="25">
        <f t="shared" si="120"/>
        <v>0</v>
      </c>
      <c r="W730" s="32">
        <f t="shared" si="121"/>
        <v>12.15</v>
      </c>
      <c r="X730" s="32">
        <f t="shared" si="118"/>
        <v>0</v>
      </c>
      <c r="Y730" s="381">
        <f t="shared" si="119"/>
        <v>0</v>
      </c>
    </row>
    <row r="731" spans="1:25" x14ac:dyDescent="0.2">
      <c r="A731" s="24">
        <f t="shared" si="110"/>
        <v>3.488074922742725</v>
      </c>
      <c r="B731" s="383">
        <v>12.166666666666666</v>
      </c>
      <c r="C731" s="32"/>
      <c r="D731" s="381">
        <f t="shared" si="112"/>
        <v>0</v>
      </c>
      <c r="E731" s="383">
        <v>12.166666666666666</v>
      </c>
      <c r="F731" s="8"/>
      <c r="G731" s="381">
        <f t="shared" si="113"/>
        <v>0</v>
      </c>
      <c r="H731" s="383">
        <v>12.166666666666666</v>
      </c>
      <c r="I731" s="32"/>
      <c r="J731" s="381">
        <f t="shared" si="114"/>
        <v>0</v>
      </c>
      <c r="K731" s="383">
        <v>12.166666666666666</v>
      </c>
      <c r="L731" s="31"/>
      <c r="M731" s="381">
        <f t="shared" si="115"/>
        <v>0</v>
      </c>
      <c r="N731" s="383">
        <v>12.166666666666666</v>
      </c>
      <c r="O731" s="32"/>
      <c r="P731" s="381">
        <f t="shared" si="116"/>
        <v>0</v>
      </c>
      <c r="Q731" s="383">
        <v>12.166666666666666</v>
      </c>
      <c r="R731" s="32"/>
      <c r="S731" s="25">
        <f t="shared" si="117"/>
        <v>0</v>
      </c>
      <c r="T731" s="383">
        <v>12.166666666666666</v>
      </c>
      <c r="U731" s="32"/>
      <c r="V731" s="25">
        <f t="shared" si="120"/>
        <v>0</v>
      </c>
      <c r="W731" s="32">
        <f t="shared" si="121"/>
        <v>12.166666666666666</v>
      </c>
      <c r="X731" s="32">
        <f t="shared" si="118"/>
        <v>0</v>
      </c>
      <c r="Y731" s="381">
        <f t="shared" si="119"/>
        <v>0</v>
      </c>
    </row>
    <row r="732" spans="1:25" x14ac:dyDescent="0.2">
      <c r="A732" s="24">
        <f t="shared" si="110"/>
        <v>3.490463197533149</v>
      </c>
      <c r="B732" s="383">
        <v>12.183333333333334</v>
      </c>
      <c r="C732" s="32"/>
      <c r="D732" s="381">
        <f t="shared" si="112"/>
        <v>0</v>
      </c>
      <c r="E732" s="383">
        <v>12.183333333333334</v>
      </c>
      <c r="F732" s="8"/>
      <c r="G732" s="381">
        <f t="shared" si="113"/>
        <v>0</v>
      </c>
      <c r="H732" s="383">
        <v>12.183333333333334</v>
      </c>
      <c r="I732" s="32"/>
      <c r="J732" s="381">
        <f t="shared" si="114"/>
        <v>0</v>
      </c>
      <c r="K732" s="383">
        <v>12.183333333333334</v>
      </c>
      <c r="L732" s="31"/>
      <c r="M732" s="381">
        <f t="shared" si="115"/>
        <v>0</v>
      </c>
      <c r="N732" s="383">
        <v>12.183333333333334</v>
      </c>
      <c r="O732" s="32"/>
      <c r="P732" s="381">
        <f t="shared" si="116"/>
        <v>0</v>
      </c>
      <c r="Q732" s="383">
        <v>12.183333333333334</v>
      </c>
      <c r="R732" s="32"/>
      <c r="S732" s="25">
        <f t="shared" si="117"/>
        <v>0</v>
      </c>
      <c r="T732" s="383">
        <v>12.183333333333334</v>
      </c>
      <c r="U732" s="32"/>
      <c r="V732" s="25">
        <f t="shared" si="120"/>
        <v>0</v>
      </c>
      <c r="W732" s="32">
        <f t="shared" si="121"/>
        <v>12.183333333333334</v>
      </c>
      <c r="X732" s="32">
        <f t="shared" si="118"/>
        <v>0</v>
      </c>
      <c r="Y732" s="381">
        <f t="shared" si="119"/>
        <v>0</v>
      </c>
    </row>
    <row r="733" spans="1:25" x14ac:dyDescent="0.2">
      <c r="A733" s="24">
        <f t="shared" si="110"/>
        <v>3.4928498393145961</v>
      </c>
      <c r="B733" s="383">
        <v>12.2</v>
      </c>
      <c r="C733" s="32"/>
      <c r="D733" s="381">
        <f t="shared" si="112"/>
        <v>0</v>
      </c>
      <c r="E733" s="383">
        <v>12.2</v>
      </c>
      <c r="F733" s="8"/>
      <c r="G733" s="381">
        <f t="shared" si="113"/>
        <v>0</v>
      </c>
      <c r="H733" s="383">
        <v>12.2</v>
      </c>
      <c r="I733" s="32"/>
      <c r="J733" s="381">
        <f t="shared" si="114"/>
        <v>0</v>
      </c>
      <c r="K733" s="383">
        <v>12.2</v>
      </c>
      <c r="L733" s="31"/>
      <c r="M733" s="381">
        <f t="shared" si="115"/>
        <v>0</v>
      </c>
      <c r="N733" s="383">
        <v>12.2</v>
      </c>
      <c r="O733" s="32"/>
      <c r="P733" s="381">
        <f t="shared" si="116"/>
        <v>0</v>
      </c>
      <c r="Q733" s="383">
        <v>12.2</v>
      </c>
      <c r="R733" s="32"/>
      <c r="S733" s="25">
        <f t="shared" si="117"/>
        <v>0</v>
      </c>
      <c r="T733" s="383">
        <v>12.2</v>
      </c>
      <c r="U733" s="32"/>
      <c r="V733" s="25">
        <f t="shared" si="120"/>
        <v>0</v>
      </c>
      <c r="W733" s="32">
        <f t="shared" si="121"/>
        <v>12.2</v>
      </c>
      <c r="X733" s="32">
        <f t="shared" si="118"/>
        <v>0</v>
      </c>
      <c r="Y733" s="381">
        <f t="shared" si="119"/>
        <v>0</v>
      </c>
    </row>
    <row r="734" spans="1:25" x14ac:dyDescent="0.2">
      <c r="A734" s="24">
        <f t="shared" si="110"/>
        <v>3.4952348514322562</v>
      </c>
      <c r="B734" s="383">
        <v>12.216666666666667</v>
      </c>
      <c r="C734" s="32"/>
      <c r="D734" s="381">
        <f t="shared" si="112"/>
        <v>0</v>
      </c>
      <c r="E734" s="383">
        <v>12.216666666666667</v>
      </c>
      <c r="F734" s="8"/>
      <c r="G734" s="381">
        <f t="shared" si="113"/>
        <v>0</v>
      </c>
      <c r="H734" s="383">
        <v>12.216666666666667</v>
      </c>
      <c r="I734" s="32"/>
      <c r="J734" s="381">
        <f t="shared" si="114"/>
        <v>0</v>
      </c>
      <c r="K734" s="383">
        <v>12.216666666666667</v>
      </c>
      <c r="L734" s="31"/>
      <c r="M734" s="381">
        <f t="shared" si="115"/>
        <v>0</v>
      </c>
      <c r="N734" s="383">
        <v>12.216666666666667</v>
      </c>
      <c r="O734" s="32"/>
      <c r="P734" s="381">
        <f t="shared" si="116"/>
        <v>0</v>
      </c>
      <c r="Q734" s="383">
        <v>12.216666666666667</v>
      </c>
      <c r="R734" s="32"/>
      <c r="S734" s="25">
        <f t="shared" si="117"/>
        <v>0</v>
      </c>
      <c r="T734" s="383">
        <v>12.216666666666667</v>
      </c>
      <c r="U734" s="32"/>
      <c r="V734" s="25">
        <f t="shared" si="120"/>
        <v>0</v>
      </c>
      <c r="W734" s="32">
        <f t="shared" si="121"/>
        <v>12.216666666666667</v>
      </c>
      <c r="X734" s="32">
        <f t="shared" si="118"/>
        <v>0</v>
      </c>
      <c r="Y734" s="381">
        <f t="shared" si="119"/>
        <v>0</v>
      </c>
    </row>
    <row r="735" spans="1:25" x14ac:dyDescent="0.2">
      <c r="A735" s="24">
        <f t="shared" si="110"/>
        <v>3.4976182372199132</v>
      </c>
      <c r="B735" s="383">
        <v>12.233333333333333</v>
      </c>
      <c r="C735" s="32"/>
      <c r="D735" s="381">
        <f t="shared" si="112"/>
        <v>0</v>
      </c>
      <c r="E735" s="383">
        <v>12.233333333333333</v>
      </c>
      <c r="F735" s="8"/>
      <c r="G735" s="381">
        <f t="shared" si="113"/>
        <v>0</v>
      </c>
      <c r="H735" s="383">
        <v>12.233333333333333</v>
      </c>
      <c r="I735" s="32"/>
      <c r="J735" s="381">
        <f t="shared" si="114"/>
        <v>0</v>
      </c>
      <c r="K735" s="383">
        <v>12.233333333333333</v>
      </c>
      <c r="L735" s="31"/>
      <c r="M735" s="381">
        <f t="shared" si="115"/>
        <v>0</v>
      </c>
      <c r="N735" s="383">
        <v>12.233333333333333</v>
      </c>
      <c r="O735" s="32"/>
      <c r="P735" s="381">
        <f t="shared" si="116"/>
        <v>0</v>
      </c>
      <c r="Q735" s="383">
        <v>12.233333333333333</v>
      </c>
      <c r="R735" s="32"/>
      <c r="S735" s="25">
        <f t="shared" si="117"/>
        <v>0</v>
      </c>
      <c r="T735" s="383">
        <v>12.233333333333333</v>
      </c>
      <c r="U735" s="32"/>
      <c r="V735" s="25">
        <f t="shared" si="120"/>
        <v>0</v>
      </c>
      <c r="W735" s="32">
        <f t="shared" si="121"/>
        <v>12.233333333333333</v>
      </c>
      <c r="X735" s="32">
        <f t="shared" si="118"/>
        <v>0</v>
      </c>
      <c r="Y735" s="381">
        <f t="shared" si="119"/>
        <v>0</v>
      </c>
    </row>
    <row r="736" spans="1:25" x14ac:dyDescent="0.2">
      <c r="A736" s="24">
        <f t="shared" si="110"/>
        <v>3.5</v>
      </c>
      <c r="B736" s="383">
        <v>12.25</v>
      </c>
      <c r="C736" s="32"/>
      <c r="D736" s="381">
        <f t="shared" si="112"/>
        <v>0</v>
      </c>
      <c r="E736" s="383">
        <v>12.25</v>
      </c>
      <c r="F736" s="8"/>
      <c r="G736" s="381">
        <f t="shared" si="113"/>
        <v>0</v>
      </c>
      <c r="H736" s="383">
        <v>12.25</v>
      </c>
      <c r="I736" s="32"/>
      <c r="J736" s="381">
        <f t="shared" si="114"/>
        <v>0</v>
      </c>
      <c r="K736" s="383">
        <v>12.25</v>
      </c>
      <c r="L736" s="31"/>
      <c r="M736" s="381">
        <f t="shared" si="115"/>
        <v>0</v>
      </c>
      <c r="N736" s="383">
        <v>12.25</v>
      </c>
      <c r="O736" s="32"/>
      <c r="P736" s="381">
        <f t="shared" si="116"/>
        <v>0</v>
      </c>
      <c r="Q736" s="383">
        <v>12.25</v>
      </c>
      <c r="R736" s="32"/>
      <c r="S736" s="25">
        <f t="shared" si="117"/>
        <v>0</v>
      </c>
      <c r="T736" s="383">
        <v>12.25</v>
      </c>
      <c r="U736" s="32"/>
      <c r="V736" s="25">
        <f t="shared" si="120"/>
        <v>0</v>
      </c>
      <c r="W736" s="32">
        <f t="shared" si="121"/>
        <v>12.25</v>
      </c>
      <c r="X736" s="32">
        <f t="shared" si="118"/>
        <v>0</v>
      </c>
      <c r="Y736" s="381">
        <f t="shared" si="119"/>
        <v>0</v>
      </c>
    </row>
    <row r="737" spans="1:25" x14ac:dyDescent="0.2">
      <c r="A737" s="24">
        <f t="shared" si="110"/>
        <v>3.5023801430836525</v>
      </c>
      <c r="B737" s="383">
        <v>12.266666666666667</v>
      </c>
      <c r="C737" s="32"/>
      <c r="D737" s="381">
        <f t="shared" si="112"/>
        <v>0</v>
      </c>
      <c r="E737" s="383">
        <v>12.266666666666667</v>
      </c>
      <c r="F737" s="8"/>
      <c r="G737" s="381">
        <f t="shared" si="113"/>
        <v>0</v>
      </c>
      <c r="H737" s="383">
        <v>12.266666666666667</v>
      </c>
      <c r="I737" s="32"/>
      <c r="J737" s="381">
        <f t="shared" si="114"/>
        <v>0</v>
      </c>
      <c r="K737" s="383">
        <v>12.266666666666667</v>
      </c>
      <c r="L737" s="31"/>
      <c r="M737" s="381">
        <f t="shared" si="115"/>
        <v>0</v>
      </c>
      <c r="N737" s="383">
        <v>12.266666666666667</v>
      </c>
      <c r="O737" s="32"/>
      <c r="P737" s="381">
        <f t="shared" si="116"/>
        <v>0</v>
      </c>
      <c r="Q737" s="383">
        <v>12.266666666666667</v>
      </c>
      <c r="R737" s="32"/>
      <c r="S737" s="25">
        <f t="shared" si="117"/>
        <v>0</v>
      </c>
      <c r="T737" s="383">
        <v>12.266666666666667</v>
      </c>
      <c r="U737" s="32"/>
      <c r="V737" s="25">
        <f t="shared" si="120"/>
        <v>0</v>
      </c>
      <c r="W737" s="32">
        <f t="shared" si="121"/>
        <v>12.266666666666667</v>
      </c>
      <c r="X737" s="32">
        <f t="shared" si="118"/>
        <v>0</v>
      </c>
      <c r="Y737" s="381">
        <f t="shared" si="119"/>
        <v>0</v>
      </c>
    </row>
    <row r="738" spans="1:25" x14ac:dyDescent="0.2">
      <c r="A738" s="24">
        <f t="shared" si="110"/>
        <v>3.5047586697707636</v>
      </c>
      <c r="B738" s="383">
        <v>12.283333333333333</v>
      </c>
      <c r="C738" s="32"/>
      <c r="D738" s="381">
        <f t="shared" si="112"/>
        <v>0</v>
      </c>
      <c r="E738" s="383">
        <v>12.283333333333333</v>
      </c>
      <c r="F738" s="8"/>
      <c r="G738" s="381">
        <f t="shared" si="113"/>
        <v>0</v>
      </c>
      <c r="H738" s="383">
        <v>12.283333333333333</v>
      </c>
      <c r="I738" s="32"/>
      <c r="J738" s="381">
        <f t="shared" si="114"/>
        <v>0</v>
      </c>
      <c r="K738" s="383">
        <v>12.283333333333333</v>
      </c>
      <c r="L738" s="31"/>
      <c r="M738" s="381">
        <f t="shared" si="115"/>
        <v>0</v>
      </c>
      <c r="N738" s="383">
        <v>12.283333333333333</v>
      </c>
      <c r="O738" s="32"/>
      <c r="P738" s="381">
        <f t="shared" si="116"/>
        <v>0</v>
      </c>
      <c r="Q738" s="383">
        <v>12.283333333333333</v>
      </c>
      <c r="R738" s="32"/>
      <c r="S738" s="25">
        <f t="shared" si="117"/>
        <v>0</v>
      </c>
      <c r="T738" s="383">
        <v>12.283333333333333</v>
      </c>
      <c r="U738" s="32"/>
      <c r="V738" s="25">
        <f t="shared" si="120"/>
        <v>0</v>
      </c>
      <c r="W738" s="32">
        <f t="shared" si="121"/>
        <v>12.283333333333333</v>
      </c>
      <c r="X738" s="32">
        <f t="shared" si="118"/>
        <v>0</v>
      </c>
      <c r="Y738" s="381">
        <f t="shared" si="119"/>
        <v>0</v>
      </c>
    </row>
    <row r="739" spans="1:25" x14ac:dyDescent="0.2">
      <c r="A739" s="24">
        <f t="shared" si="110"/>
        <v>3.5071355833500366</v>
      </c>
      <c r="B739" s="383">
        <v>12.3</v>
      </c>
      <c r="C739" s="32"/>
      <c r="D739" s="381">
        <f t="shared" si="112"/>
        <v>0</v>
      </c>
      <c r="E739" s="383">
        <v>12.3</v>
      </c>
      <c r="F739" s="8"/>
      <c r="G739" s="381">
        <f t="shared" si="113"/>
        <v>0</v>
      </c>
      <c r="H739" s="383">
        <v>12.3</v>
      </c>
      <c r="I739" s="32"/>
      <c r="J739" s="381">
        <f t="shared" si="114"/>
        <v>0</v>
      </c>
      <c r="K739" s="383">
        <v>12.3</v>
      </c>
      <c r="L739" s="31"/>
      <c r="M739" s="381">
        <f t="shared" si="115"/>
        <v>0</v>
      </c>
      <c r="N739" s="383">
        <v>12.3</v>
      </c>
      <c r="O739" s="32"/>
      <c r="P739" s="381">
        <f t="shared" si="116"/>
        <v>0</v>
      </c>
      <c r="Q739" s="383">
        <v>12.3</v>
      </c>
      <c r="R739" s="32"/>
      <c r="S739" s="25">
        <f t="shared" si="117"/>
        <v>0</v>
      </c>
      <c r="T739" s="383">
        <v>12.3</v>
      </c>
      <c r="U739" s="32"/>
      <c r="V739" s="25">
        <f t="shared" si="120"/>
        <v>0</v>
      </c>
      <c r="W739" s="32">
        <f t="shared" si="121"/>
        <v>12.3</v>
      </c>
      <c r="X739" s="32">
        <f t="shared" si="118"/>
        <v>0</v>
      </c>
      <c r="Y739" s="381">
        <f t="shared" si="119"/>
        <v>0</v>
      </c>
    </row>
    <row r="740" spans="1:25" x14ac:dyDescent="0.2">
      <c r="A740" s="24">
        <f t="shared" si="110"/>
        <v>3.5095108870990366</v>
      </c>
      <c r="B740" s="383">
        <v>12.316666666666666</v>
      </c>
      <c r="C740" s="32"/>
      <c r="D740" s="381">
        <f t="shared" si="112"/>
        <v>0</v>
      </c>
      <c r="E740" s="383">
        <v>12.316666666666666</v>
      </c>
      <c r="F740" s="8"/>
      <c r="G740" s="381">
        <f t="shared" si="113"/>
        <v>0</v>
      </c>
      <c r="H740" s="383">
        <v>12.316666666666666</v>
      </c>
      <c r="I740" s="32"/>
      <c r="J740" s="381">
        <f t="shared" si="114"/>
        <v>0</v>
      </c>
      <c r="K740" s="383">
        <v>12.316666666666666</v>
      </c>
      <c r="L740" s="31"/>
      <c r="M740" s="381">
        <f t="shared" si="115"/>
        <v>0</v>
      </c>
      <c r="N740" s="383">
        <v>12.316666666666666</v>
      </c>
      <c r="O740" s="32"/>
      <c r="P740" s="381">
        <f t="shared" si="116"/>
        <v>0</v>
      </c>
      <c r="Q740" s="383">
        <v>12.316666666666666</v>
      </c>
      <c r="R740" s="32"/>
      <c r="S740" s="25">
        <f t="shared" si="117"/>
        <v>0</v>
      </c>
      <c r="T740" s="383">
        <v>12.316666666666666</v>
      </c>
      <c r="U740" s="32"/>
      <c r="V740" s="25">
        <f t="shared" si="120"/>
        <v>0</v>
      </c>
      <c r="W740" s="32">
        <f t="shared" si="121"/>
        <v>12.316666666666666</v>
      </c>
      <c r="X740" s="32">
        <f t="shared" si="118"/>
        <v>0</v>
      </c>
      <c r="Y740" s="381">
        <f t="shared" si="119"/>
        <v>0</v>
      </c>
    </row>
    <row r="741" spans="1:25" x14ac:dyDescent="0.2">
      <c r="A741" s="24">
        <f t="shared" ref="A741:A804" si="122">SQRT(B741)</f>
        <v>3.5095108870990366</v>
      </c>
      <c r="B741" s="383">
        <v>12.316666666666666</v>
      </c>
      <c r="C741" s="32"/>
      <c r="D741" s="381">
        <f t="shared" si="112"/>
        <v>0</v>
      </c>
      <c r="E741" s="383">
        <v>12.316666666666666</v>
      </c>
      <c r="F741" s="8"/>
      <c r="G741" s="381">
        <f t="shared" si="113"/>
        <v>0</v>
      </c>
      <c r="H741" s="383">
        <v>12.316666666666666</v>
      </c>
      <c r="I741" s="32"/>
      <c r="J741" s="381">
        <f t="shared" si="114"/>
        <v>0</v>
      </c>
      <c r="K741" s="383">
        <v>12.316666666666666</v>
      </c>
      <c r="L741" s="31"/>
      <c r="M741" s="381">
        <f t="shared" si="115"/>
        <v>0</v>
      </c>
      <c r="N741" s="383">
        <v>12.316666666666666</v>
      </c>
      <c r="O741" s="32"/>
      <c r="P741" s="381">
        <f t="shared" si="116"/>
        <v>0</v>
      </c>
      <c r="Q741" s="383">
        <v>12.316666666666666</v>
      </c>
      <c r="R741" s="32"/>
      <c r="S741" s="25">
        <f t="shared" si="117"/>
        <v>0</v>
      </c>
      <c r="T741" s="383">
        <v>12.316666666666666</v>
      </c>
      <c r="U741" s="32"/>
      <c r="V741" s="25">
        <f t="shared" si="120"/>
        <v>0</v>
      </c>
      <c r="W741" s="32">
        <f t="shared" si="121"/>
        <v>12.316666666666666</v>
      </c>
      <c r="X741" s="32">
        <f t="shared" si="118"/>
        <v>0</v>
      </c>
      <c r="Y741" s="381">
        <f t="shared" si="119"/>
        <v>0</v>
      </c>
    </row>
    <row r="742" spans="1:25" x14ac:dyDescent="0.2">
      <c r="A742" s="24">
        <f t="shared" si="122"/>
        <v>3.5118845842842465</v>
      </c>
      <c r="B742" s="383">
        <v>12.333333333333334</v>
      </c>
      <c r="C742" s="32"/>
      <c r="D742" s="381">
        <f t="shared" si="112"/>
        <v>0</v>
      </c>
      <c r="E742" s="383">
        <v>12.333333333333334</v>
      </c>
      <c r="F742" s="8"/>
      <c r="G742" s="381">
        <f t="shared" si="113"/>
        <v>0</v>
      </c>
      <c r="H742" s="383">
        <v>12.333333333333334</v>
      </c>
      <c r="I742" s="32"/>
      <c r="J742" s="381">
        <f t="shared" si="114"/>
        <v>0</v>
      </c>
      <c r="K742" s="383">
        <v>12.333333333333334</v>
      </c>
      <c r="L742" s="31"/>
      <c r="M742" s="381">
        <f t="shared" si="115"/>
        <v>0</v>
      </c>
      <c r="N742" s="383">
        <v>12.333333333333334</v>
      </c>
      <c r="O742" s="32"/>
      <c r="P742" s="381">
        <f t="shared" si="116"/>
        <v>0</v>
      </c>
      <c r="Q742" s="383">
        <v>12.333333333333334</v>
      </c>
      <c r="R742" s="32"/>
      <c r="S742" s="25">
        <f t="shared" si="117"/>
        <v>0</v>
      </c>
      <c r="T742" s="383">
        <v>12.333333333333334</v>
      </c>
      <c r="U742" s="32"/>
      <c r="V742" s="25">
        <f t="shared" si="120"/>
        <v>0</v>
      </c>
      <c r="W742" s="32">
        <f t="shared" si="121"/>
        <v>12.333333333333334</v>
      </c>
      <c r="X742" s="32">
        <f t="shared" si="118"/>
        <v>0</v>
      </c>
      <c r="Y742" s="381">
        <f t="shared" si="119"/>
        <v>0</v>
      </c>
    </row>
    <row r="743" spans="1:25" x14ac:dyDescent="0.2">
      <c r="A743" s="24">
        <f t="shared" si="122"/>
        <v>3.5142566781611158</v>
      </c>
      <c r="B743" s="383">
        <v>12.35</v>
      </c>
      <c r="C743" s="32"/>
      <c r="D743" s="381">
        <f t="shared" si="112"/>
        <v>0</v>
      </c>
      <c r="E743" s="383">
        <v>12.35</v>
      </c>
      <c r="F743" s="8"/>
      <c r="G743" s="381">
        <f t="shared" si="113"/>
        <v>0</v>
      </c>
      <c r="H743" s="383">
        <v>12.35</v>
      </c>
      <c r="I743" s="32"/>
      <c r="J743" s="381">
        <f t="shared" si="114"/>
        <v>0</v>
      </c>
      <c r="K743" s="383">
        <v>12.35</v>
      </c>
      <c r="L743" s="31"/>
      <c r="M743" s="381">
        <f t="shared" si="115"/>
        <v>0</v>
      </c>
      <c r="N743" s="383">
        <v>12.35</v>
      </c>
      <c r="O743" s="32"/>
      <c r="P743" s="381">
        <f t="shared" si="116"/>
        <v>0</v>
      </c>
      <c r="Q743" s="383">
        <v>12.35</v>
      </c>
      <c r="R743" s="32"/>
      <c r="S743" s="25">
        <f t="shared" si="117"/>
        <v>0</v>
      </c>
      <c r="T743" s="383">
        <v>12.35</v>
      </c>
      <c r="U743" s="32"/>
      <c r="V743" s="25">
        <f t="shared" si="120"/>
        <v>0</v>
      </c>
      <c r="W743" s="32">
        <f t="shared" si="121"/>
        <v>12.35</v>
      </c>
      <c r="X743" s="32">
        <f t="shared" si="118"/>
        <v>0</v>
      </c>
      <c r="Y743" s="381">
        <f t="shared" si="119"/>
        <v>0</v>
      </c>
    </row>
    <row r="744" spans="1:25" x14ac:dyDescent="0.2">
      <c r="A744" s="24">
        <f t="shared" si="122"/>
        <v>3.5166271719741156</v>
      </c>
      <c r="B744" s="383">
        <v>12.366666666666667</v>
      </c>
      <c r="C744" s="32"/>
      <c r="D744" s="381">
        <f t="shared" si="112"/>
        <v>0</v>
      </c>
      <c r="E744" s="383">
        <v>12.366666666666667</v>
      </c>
      <c r="F744" s="8"/>
      <c r="G744" s="381">
        <f t="shared" si="113"/>
        <v>0</v>
      </c>
      <c r="H744" s="383">
        <v>12.366666666666667</v>
      </c>
      <c r="I744" s="32"/>
      <c r="J744" s="381">
        <f t="shared" si="114"/>
        <v>0</v>
      </c>
      <c r="K744" s="383">
        <v>12.366666666666667</v>
      </c>
      <c r="L744" s="31"/>
      <c r="M744" s="381">
        <f t="shared" si="115"/>
        <v>0</v>
      </c>
      <c r="N744" s="383">
        <v>12.366666666666667</v>
      </c>
      <c r="O744" s="32"/>
      <c r="P744" s="381">
        <f t="shared" si="116"/>
        <v>0</v>
      </c>
      <c r="Q744" s="383">
        <v>12.366666666666667</v>
      </c>
      <c r="R744" s="32"/>
      <c r="S744" s="25">
        <f t="shared" si="117"/>
        <v>0</v>
      </c>
      <c r="T744" s="383">
        <v>12.366666666666667</v>
      </c>
      <c r="U744" s="32"/>
      <c r="V744" s="25">
        <f t="shared" si="120"/>
        <v>0</v>
      </c>
      <c r="W744" s="32">
        <f t="shared" si="121"/>
        <v>12.366666666666667</v>
      </c>
      <c r="X744" s="32">
        <f t="shared" si="118"/>
        <v>0</v>
      </c>
      <c r="Y744" s="381">
        <f t="shared" si="119"/>
        <v>0</v>
      </c>
    </row>
    <row r="745" spans="1:25" x14ac:dyDescent="0.2">
      <c r="A745" s="24">
        <f t="shared" si="122"/>
        <v>3.5189960689567887</v>
      </c>
      <c r="B745" s="383">
        <v>12.383333333333333</v>
      </c>
      <c r="C745" s="32"/>
      <c r="D745" s="381">
        <f t="shared" si="112"/>
        <v>0</v>
      </c>
      <c r="E745" s="383">
        <v>12.383333333333333</v>
      </c>
      <c r="F745" s="8"/>
      <c r="G745" s="381">
        <f t="shared" si="113"/>
        <v>0</v>
      </c>
      <c r="H745" s="383">
        <v>12.383333333333333</v>
      </c>
      <c r="I745" s="32"/>
      <c r="J745" s="381">
        <f t="shared" si="114"/>
        <v>0</v>
      </c>
      <c r="K745" s="383">
        <v>12.383333333333333</v>
      </c>
      <c r="L745" s="31"/>
      <c r="M745" s="381">
        <f t="shared" si="115"/>
        <v>0</v>
      </c>
      <c r="N745" s="383">
        <v>12.383333333333333</v>
      </c>
      <c r="O745" s="32"/>
      <c r="P745" s="381">
        <f t="shared" si="116"/>
        <v>0</v>
      </c>
      <c r="Q745" s="383">
        <v>12.383333333333333</v>
      </c>
      <c r="R745" s="32"/>
      <c r="S745" s="25">
        <f t="shared" si="117"/>
        <v>0</v>
      </c>
      <c r="T745" s="383">
        <v>12.383333333333333</v>
      </c>
      <c r="U745" s="32"/>
      <c r="V745" s="25">
        <f t="shared" si="120"/>
        <v>0</v>
      </c>
      <c r="W745" s="32">
        <f t="shared" si="121"/>
        <v>12.383333333333333</v>
      </c>
      <c r="X745" s="32">
        <f t="shared" si="118"/>
        <v>0</v>
      </c>
      <c r="Y745" s="381">
        <f t="shared" si="119"/>
        <v>0</v>
      </c>
    </row>
    <row r="746" spans="1:25" x14ac:dyDescent="0.2">
      <c r="A746" s="24">
        <f t="shared" si="122"/>
        <v>3.5237290853109955</v>
      </c>
      <c r="B746" s="383">
        <v>12.416666666666666</v>
      </c>
      <c r="C746" s="32"/>
      <c r="D746" s="381">
        <f t="shared" si="112"/>
        <v>0</v>
      </c>
      <c r="E746" s="383">
        <v>12.416666666666666</v>
      </c>
      <c r="F746" s="8"/>
      <c r="G746" s="381">
        <f t="shared" si="113"/>
        <v>0</v>
      </c>
      <c r="H746" s="383">
        <v>12.416666666666666</v>
      </c>
      <c r="I746" s="32"/>
      <c r="J746" s="381">
        <f t="shared" si="114"/>
        <v>0</v>
      </c>
      <c r="K746" s="383">
        <v>12.416666666666666</v>
      </c>
      <c r="L746" s="31"/>
      <c r="M746" s="381">
        <f t="shared" si="115"/>
        <v>0</v>
      </c>
      <c r="N746" s="383">
        <v>12.416666666666666</v>
      </c>
      <c r="O746" s="32"/>
      <c r="P746" s="381">
        <f t="shared" si="116"/>
        <v>0</v>
      </c>
      <c r="Q746" s="383">
        <v>12.416666666666666</v>
      </c>
      <c r="R746" s="32"/>
      <c r="S746" s="25">
        <f t="shared" si="117"/>
        <v>0</v>
      </c>
      <c r="T746" s="383">
        <v>12.416666666666666</v>
      </c>
      <c r="U746" s="32"/>
      <c r="V746" s="25">
        <f t="shared" si="120"/>
        <v>0</v>
      </c>
      <c r="W746" s="32">
        <f t="shared" si="121"/>
        <v>12.416666666666666</v>
      </c>
      <c r="X746" s="32">
        <f t="shared" si="118"/>
        <v>0</v>
      </c>
      <c r="Y746" s="381">
        <f t="shared" si="119"/>
        <v>0</v>
      </c>
    </row>
    <row r="747" spans="1:25" x14ac:dyDescent="0.2">
      <c r="A747" s="24">
        <f t="shared" si="122"/>
        <v>3.5260932110954375</v>
      </c>
      <c r="B747" s="383">
        <v>12.433333333333334</v>
      </c>
      <c r="C747" s="32"/>
      <c r="D747" s="381">
        <f t="shared" si="112"/>
        <v>0</v>
      </c>
      <c r="E747" s="383">
        <v>12.433333333333334</v>
      </c>
      <c r="F747" s="8"/>
      <c r="G747" s="381">
        <f t="shared" si="113"/>
        <v>0</v>
      </c>
      <c r="H747" s="383">
        <v>12.433333333333334</v>
      </c>
      <c r="I747" s="32"/>
      <c r="J747" s="381">
        <f t="shared" si="114"/>
        <v>0</v>
      </c>
      <c r="K747" s="383">
        <v>12.433333333333334</v>
      </c>
      <c r="L747" s="31"/>
      <c r="M747" s="381">
        <f t="shared" si="115"/>
        <v>0</v>
      </c>
      <c r="N747" s="383">
        <v>12.433333333333334</v>
      </c>
      <c r="O747" s="32"/>
      <c r="P747" s="381">
        <f t="shared" si="116"/>
        <v>0</v>
      </c>
      <c r="Q747" s="383">
        <v>12.433333333333334</v>
      </c>
      <c r="R747" s="32"/>
      <c r="S747" s="25">
        <f t="shared" si="117"/>
        <v>0</v>
      </c>
      <c r="T747" s="383">
        <v>12.433333333333334</v>
      </c>
      <c r="U747" s="32"/>
      <c r="V747" s="25">
        <f t="shared" si="120"/>
        <v>0</v>
      </c>
      <c r="W747" s="32">
        <f t="shared" si="121"/>
        <v>12.433333333333334</v>
      </c>
      <c r="X747" s="32">
        <f t="shared" si="118"/>
        <v>0</v>
      </c>
      <c r="Y747" s="381">
        <f t="shared" si="119"/>
        <v>0</v>
      </c>
    </row>
    <row r="748" spans="1:25" x14ac:dyDescent="0.2">
      <c r="A748" s="24">
        <f t="shared" si="122"/>
        <v>3.5284557528754701</v>
      </c>
      <c r="B748" s="383">
        <v>12.45</v>
      </c>
      <c r="C748" s="32"/>
      <c r="D748" s="381">
        <f t="shared" si="112"/>
        <v>0</v>
      </c>
      <c r="E748" s="383">
        <v>12.45</v>
      </c>
      <c r="F748" s="8"/>
      <c r="G748" s="381">
        <f t="shared" si="113"/>
        <v>0</v>
      </c>
      <c r="H748" s="383">
        <v>12.45</v>
      </c>
      <c r="I748" s="32"/>
      <c r="J748" s="381">
        <f t="shared" si="114"/>
        <v>0</v>
      </c>
      <c r="K748" s="383">
        <v>12.45</v>
      </c>
      <c r="L748" s="31"/>
      <c r="M748" s="381">
        <f t="shared" si="115"/>
        <v>0</v>
      </c>
      <c r="N748" s="383">
        <v>12.45</v>
      </c>
      <c r="O748" s="32"/>
      <c r="P748" s="381">
        <f t="shared" si="116"/>
        <v>0</v>
      </c>
      <c r="Q748" s="383">
        <v>12.45</v>
      </c>
      <c r="R748" s="32"/>
      <c r="S748" s="25">
        <f t="shared" si="117"/>
        <v>0</v>
      </c>
      <c r="T748" s="383">
        <v>12.45</v>
      </c>
      <c r="U748" s="32"/>
      <c r="V748" s="25">
        <f t="shared" si="120"/>
        <v>0</v>
      </c>
      <c r="W748" s="32">
        <f t="shared" si="121"/>
        <v>12.45</v>
      </c>
      <c r="X748" s="32">
        <f t="shared" si="118"/>
        <v>0</v>
      </c>
      <c r="Y748" s="381">
        <f t="shared" si="119"/>
        <v>0</v>
      </c>
    </row>
    <row r="749" spans="1:25" x14ac:dyDescent="0.2">
      <c r="A749" s="24">
        <f t="shared" si="122"/>
        <v>3.5308167138307627</v>
      </c>
      <c r="B749" s="383">
        <v>12.466666666666667</v>
      </c>
      <c r="C749" s="32"/>
      <c r="D749" s="381">
        <f t="shared" si="112"/>
        <v>0</v>
      </c>
      <c r="E749" s="383">
        <v>12.466666666666667</v>
      </c>
      <c r="F749" s="8"/>
      <c r="G749" s="381">
        <f t="shared" si="113"/>
        <v>0</v>
      </c>
      <c r="H749" s="383">
        <v>12.466666666666667</v>
      </c>
      <c r="I749" s="32"/>
      <c r="J749" s="381">
        <f t="shared" si="114"/>
        <v>0</v>
      </c>
      <c r="K749" s="383">
        <v>12.466666666666667</v>
      </c>
      <c r="L749" s="31"/>
      <c r="M749" s="381">
        <f t="shared" si="115"/>
        <v>0</v>
      </c>
      <c r="N749" s="383">
        <v>12.466666666666667</v>
      </c>
      <c r="O749" s="32"/>
      <c r="P749" s="381">
        <f t="shared" si="116"/>
        <v>0</v>
      </c>
      <c r="Q749" s="383">
        <v>12.466666666666667</v>
      </c>
      <c r="R749" s="32"/>
      <c r="S749" s="25">
        <f t="shared" si="117"/>
        <v>0</v>
      </c>
      <c r="T749" s="383">
        <v>12.466666666666667</v>
      </c>
      <c r="U749" s="32"/>
      <c r="V749" s="25">
        <f t="shared" si="120"/>
        <v>0</v>
      </c>
      <c r="W749" s="32">
        <f t="shared" si="121"/>
        <v>12.466666666666667</v>
      </c>
      <c r="X749" s="32">
        <f t="shared" si="118"/>
        <v>0</v>
      </c>
      <c r="Y749" s="381">
        <f t="shared" si="119"/>
        <v>0</v>
      </c>
    </row>
    <row r="750" spans="1:25" x14ac:dyDescent="0.2">
      <c r="A750" s="24">
        <f t="shared" si="122"/>
        <v>3.5331760971303612</v>
      </c>
      <c r="B750" s="383">
        <v>12.483333333333333</v>
      </c>
      <c r="C750" s="32"/>
      <c r="D750" s="381">
        <f t="shared" si="112"/>
        <v>0</v>
      </c>
      <c r="E750" s="383">
        <v>12.483333333333333</v>
      </c>
      <c r="F750" s="8"/>
      <c r="G750" s="381">
        <f t="shared" si="113"/>
        <v>0</v>
      </c>
      <c r="H750" s="383">
        <v>12.483333333333333</v>
      </c>
      <c r="I750" s="32"/>
      <c r="J750" s="381">
        <f t="shared" si="114"/>
        <v>0</v>
      </c>
      <c r="K750" s="383">
        <v>12.483333333333333</v>
      </c>
      <c r="L750" s="31"/>
      <c r="M750" s="381">
        <f t="shared" si="115"/>
        <v>0</v>
      </c>
      <c r="N750" s="383">
        <v>12.483333333333333</v>
      </c>
      <c r="O750" s="32"/>
      <c r="P750" s="381">
        <f t="shared" si="116"/>
        <v>0</v>
      </c>
      <c r="Q750" s="383">
        <v>12.483333333333333</v>
      </c>
      <c r="R750" s="32"/>
      <c r="S750" s="25">
        <f t="shared" si="117"/>
        <v>0</v>
      </c>
      <c r="T750" s="383">
        <v>12.483333333333333</v>
      </c>
      <c r="U750" s="32"/>
      <c r="V750" s="25">
        <f t="shared" si="120"/>
        <v>0</v>
      </c>
      <c r="W750" s="32">
        <f t="shared" si="121"/>
        <v>12.483333333333333</v>
      </c>
      <c r="X750" s="32">
        <f t="shared" si="118"/>
        <v>0</v>
      </c>
      <c r="Y750" s="381">
        <f t="shared" si="119"/>
        <v>0</v>
      </c>
    </row>
    <row r="751" spans="1:25" x14ac:dyDescent="0.2">
      <c r="A751" s="24">
        <f t="shared" si="122"/>
        <v>3.5355339059327378</v>
      </c>
      <c r="B751" s="383">
        <v>12.5</v>
      </c>
      <c r="C751" s="32"/>
      <c r="D751" s="381">
        <f t="shared" si="112"/>
        <v>0</v>
      </c>
      <c r="E751" s="383">
        <v>12.5</v>
      </c>
      <c r="F751" s="8"/>
      <c r="G751" s="381">
        <f t="shared" si="113"/>
        <v>0</v>
      </c>
      <c r="H751" s="383">
        <v>12.5</v>
      </c>
      <c r="I751" s="32"/>
      <c r="J751" s="381">
        <f t="shared" si="114"/>
        <v>0</v>
      </c>
      <c r="K751" s="383">
        <v>12.5</v>
      </c>
      <c r="L751" s="31"/>
      <c r="M751" s="381">
        <f t="shared" si="115"/>
        <v>0</v>
      </c>
      <c r="N751" s="383">
        <v>12.5</v>
      </c>
      <c r="O751" s="32"/>
      <c r="P751" s="381">
        <f t="shared" si="116"/>
        <v>0</v>
      </c>
      <c r="Q751" s="383">
        <v>12.5</v>
      </c>
      <c r="R751" s="32"/>
      <c r="S751" s="25">
        <f t="shared" si="117"/>
        <v>0</v>
      </c>
      <c r="T751" s="383">
        <v>12.5</v>
      </c>
      <c r="U751" s="32"/>
      <c r="V751" s="25">
        <f t="shared" si="120"/>
        <v>0</v>
      </c>
      <c r="W751" s="32">
        <f t="shared" si="121"/>
        <v>12.5</v>
      </c>
      <c r="X751" s="32">
        <f t="shared" si="118"/>
        <v>0</v>
      </c>
      <c r="Y751" s="381">
        <f t="shared" si="119"/>
        <v>0</v>
      </c>
    </row>
    <row r="752" spans="1:25" x14ac:dyDescent="0.2">
      <c r="A752" s="24">
        <f t="shared" si="122"/>
        <v>3.5378901433858383</v>
      </c>
      <c r="B752" s="383">
        <v>12.516666666666667</v>
      </c>
      <c r="C752" s="32"/>
      <c r="D752" s="381">
        <f t="shared" si="112"/>
        <v>0</v>
      </c>
      <c r="E752" s="383">
        <v>12.516666666666667</v>
      </c>
      <c r="F752" s="8"/>
      <c r="G752" s="381">
        <f t="shared" si="113"/>
        <v>0</v>
      </c>
      <c r="H752" s="383">
        <v>12.516666666666667</v>
      </c>
      <c r="I752" s="32"/>
      <c r="J752" s="381">
        <f t="shared" si="114"/>
        <v>0</v>
      </c>
      <c r="K752" s="383">
        <v>12.516666666666667</v>
      </c>
      <c r="L752" s="31"/>
      <c r="M752" s="381">
        <f t="shared" si="115"/>
        <v>0</v>
      </c>
      <c r="N752" s="383">
        <v>12.516666666666667</v>
      </c>
      <c r="O752" s="32"/>
      <c r="P752" s="381">
        <f t="shared" si="116"/>
        <v>0</v>
      </c>
      <c r="Q752" s="383">
        <v>12.516666666666667</v>
      </c>
      <c r="R752" s="32"/>
      <c r="S752" s="25">
        <f t="shared" si="117"/>
        <v>0</v>
      </c>
      <c r="T752" s="383">
        <v>12.516666666666667</v>
      </c>
      <c r="U752" s="32"/>
      <c r="V752" s="25">
        <f t="shared" si="120"/>
        <v>0</v>
      </c>
      <c r="W752" s="32">
        <f t="shared" si="121"/>
        <v>12.516666666666667</v>
      </c>
      <c r="X752" s="32">
        <f t="shared" si="118"/>
        <v>0</v>
      </c>
      <c r="Y752" s="381">
        <f t="shared" si="119"/>
        <v>0</v>
      </c>
    </row>
    <row r="753" spans="1:25" x14ac:dyDescent="0.2">
      <c r="A753" s="24">
        <f t="shared" si="122"/>
        <v>3.5402448126271344</v>
      </c>
      <c r="B753" s="383">
        <v>12.533333333333333</v>
      </c>
      <c r="C753" s="32"/>
      <c r="D753" s="381">
        <f t="shared" si="112"/>
        <v>0</v>
      </c>
      <c r="E753" s="383">
        <v>12.533333333333333</v>
      </c>
      <c r="F753" s="8"/>
      <c r="G753" s="381">
        <f t="shared" si="113"/>
        <v>0</v>
      </c>
      <c r="H753" s="383">
        <v>12.533333333333333</v>
      </c>
      <c r="I753" s="32"/>
      <c r="J753" s="381">
        <f t="shared" si="114"/>
        <v>0</v>
      </c>
      <c r="K753" s="383">
        <v>12.533333333333333</v>
      </c>
      <c r="L753" s="31"/>
      <c r="M753" s="381">
        <f t="shared" si="115"/>
        <v>0</v>
      </c>
      <c r="N753" s="383">
        <v>12.533333333333333</v>
      </c>
      <c r="O753" s="32"/>
      <c r="P753" s="381">
        <f t="shared" si="116"/>
        <v>0</v>
      </c>
      <c r="Q753" s="383">
        <v>12.533333333333333</v>
      </c>
      <c r="R753" s="32"/>
      <c r="S753" s="25">
        <f t="shared" si="117"/>
        <v>0</v>
      </c>
      <c r="T753" s="383">
        <v>12.533333333333333</v>
      </c>
      <c r="U753" s="32"/>
      <c r="V753" s="25">
        <f t="shared" si="120"/>
        <v>0</v>
      </c>
      <c r="W753" s="32">
        <f t="shared" si="121"/>
        <v>12.533333333333333</v>
      </c>
      <c r="X753" s="32">
        <f t="shared" si="118"/>
        <v>0</v>
      </c>
      <c r="Y753" s="381">
        <f t="shared" si="119"/>
        <v>0</v>
      </c>
    </row>
    <row r="754" spans="1:25" x14ac:dyDescent="0.2">
      <c r="A754" s="24">
        <f t="shared" si="122"/>
        <v>3.5425979167836705</v>
      </c>
      <c r="B754" s="383">
        <v>12.55</v>
      </c>
      <c r="C754" s="32"/>
      <c r="D754" s="381">
        <f t="shared" si="112"/>
        <v>0</v>
      </c>
      <c r="E754" s="383">
        <v>12.55</v>
      </c>
      <c r="F754" s="8"/>
      <c r="G754" s="381">
        <f t="shared" si="113"/>
        <v>0</v>
      </c>
      <c r="H754" s="383">
        <v>12.55</v>
      </c>
      <c r="I754" s="32"/>
      <c r="J754" s="381">
        <f t="shared" si="114"/>
        <v>0</v>
      </c>
      <c r="K754" s="383">
        <v>12.55</v>
      </c>
      <c r="L754" s="31"/>
      <c r="M754" s="381">
        <f t="shared" si="115"/>
        <v>0</v>
      </c>
      <c r="N754" s="383">
        <v>12.55</v>
      </c>
      <c r="O754" s="32"/>
      <c r="P754" s="381">
        <f t="shared" si="116"/>
        <v>0</v>
      </c>
      <c r="Q754" s="383">
        <v>12.55</v>
      </c>
      <c r="R754" s="32"/>
      <c r="S754" s="25">
        <f t="shared" si="117"/>
        <v>0</v>
      </c>
      <c r="T754" s="383">
        <v>12.55</v>
      </c>
      <c r="U754" s="32"/>
      <c r="V754" s="25">
        <f t="shared" si="120"/>
        <v>0</v>
      </c>
      <c r="W754" s="32">
        <f t="shared" si="121"/>
        <v>12.55</v>
      </c>
      <c r="X754" s="32">
        <f t="shared" si="118"/>
        <v>0</v>
      </c>
      <c r="Y754" s="381">
        <f t="shared" si="119"/>
        <v>0</v>
      </c>
    </row>
    <row r="755" spans="1:25" x14ac:dyDescent="0.2">
      <c r="A755" s="24">
        <f t="shared" si="122"/>
        <v>3.5449494589721118</v>
      </c>
      <c r="B755" s="383">
        <v>12.566666666666666</v>
      </c>
      <c r="C755" s="32"/>
      <c r="D755" s="381">
        <f t="shared" si="112"/>
        <v>0</v>
      </c>
      <c r="E755" s="383">
        <v>12.566666666666666</v>
      </c>
      <c r="F755" s="8"/>
      <c r="G755" s="381">
        <f t="shared" si="113"/>
        <v>0</v>
      </c>
      <c r="H755" s="383">
        <v>12.566666666666666</v>
      </c>
      <c r="I755" s="32"/>
      <c r="J755" s="381">
        <f t="shared" si="114"/>
        <v>0</v>
      </c>
      <c r="K755" s="383">
        <v>12.566666666666666</v>
      </c>
      <c r="L755" s="31"/>
      <c r="M755" s="381">
        <f t="shared" si="115"/>
        <v>0</v>
      </c>
      <c r="N755" s="383">
        <v>12.566666666666666</v>
      </c>
      <c r="O755" s="32"/>
      <c r="P755" s="381">
        <f t="shared" si="116"/>
        <v>0</v>
      </c>
      <c r="Q755" s="383">
        <v>12.566666666666666</v>
      </c>
      <c r="R755" s="32"/>
      <c r="S755" s="25">
        <f t="shared" si="117"/>
        <v>0</v>
      </c>
      <c r="T755" s="383">
        <v>12.566666666666666</v>
      </c>
      <c r="U755" s="32"/>
      <c r="V755" s="25">
        <f t="shared" si="120"/>
        <v>0</v>
      </c>
      <c r="W755" s="32">
        <f t="shared" si="121"/>
        <v>12.566666666666666</v>
      </c>
      <c r="X755" s="32">
        <f t="shared" si="118"/>
        <v>0</v>
      </c>
      <c r="Y755" s="381">
        <f t="shared" si="119"/>
        <v>0</v>
      </c>
    </row>
    <row r="756" spans="1:25" x14ac:dyDescent="0.2">
      <c r="A756" s="24">
        <f t="shared" si="122"/>
        <v>3.5472994422987938</v>
      </c>
      <c r="B756" s="383">
        <v>12.583333333333334</v>
      </c>
      <c r="C756" s="32"/>
      <c r="D756" s="381">
        <f t="shared" si="112"/>
        <v>0</v>
      </c>
      <c r="E756" s="383">
        <v>12.583333333333334</v>
      </c>
      <c r="F756" s="8"/>
      <c r="G756" s="381">
        <f t="shared" si="113"/>
        <v>0</v>
      </c>
      <c r="H756" s="383">
        <v>12.583333333333334</v>
      </c>
      <c r="I756" s="32"/>
      <c r="J756" s="381">
        <f t="shared" si="114"/>
        <v>0</v>
      </c>
      <c r="K756" s="383">
        <v>12.583333333333334</v>
      </c>
      <c r="L756" s="31"/>
      <c r="M756" s="381">
        <f t="shared" si="115"/>
        <v>0</v>
      </c>
      <c r="N756" s="383">
        <v>12.583333333333334</v>
      </c>
      <c r="O756" s="32"/>
      <c r="P756" s="381">
        <f t="shared" si="116"/>
        <v>0</v>
      </c>
      <c r="Q756" s="383">
        <v>12.583333333333334</v>
      </c>
      <c r="R756" s="32"/>
      <c r="S756" s="25">
        <f t="shared" si="117"/>
        <v>0</v>
      </c>
      <c r="T756" s="383">
        <v>12.583333333333334</v>
      </c>
      <c r="U756" s="32"/>
      <c r="V756" s="25">
        <f t="shared" si="120"/>
        <v>0</v>
      </c>
      <c r="W756" s="32">
        <f t="shared" si="121"/>
        <v>12.583333333333334</v>
      </c>
      <c r="X756" s="32">
        <f t="shared" si="118"/>
        <v>0</v>
      </c>
      <c r="Y756" s="381">
        <f t="shared" si="119"/>
        <v>0</v>
      </c>
    </row>
    <row r="757" spans="1:25" x14ac:dyDescent="0.2">
      <c r="A757" s="24">
        <f t="shared" si="122"/>
        <v>3.5496478698597698</v>
      </c>
      <c r="B757" s="383">
        <v>12.6</v>
      </c>
      <c r="C757" s="32"/>
      <c r="D757" s="381">
        <f t="shared" si="112"/>
        <v>0</v>
      </c>
      <c r="E757" s="383">
        <v>12.6</v>
      </c>
      <c r="F757" s="8"/>
      <c r="G757" s="381">
        <f t="shared" si="113"/>
        <v>0</v>
      </c>
      <c r="H757" s="383">
        <v>12.6</v>
      </c>
      <c r="I757" s="32"/>
      <c r="J757" s="381">
        <f t="shared" si="114"/>
        <v>0</v>
      </c>
      <c r="K757" s="383">
        <v>12.6</v>
      </c>
      <c r="L757" s="31"/>
      <c r="M757" s="381">
        <f t="shared" si="115"/>
        <v>0</v>
      </c>
      <c r="N757" s="383">
        <v>12.6</v>
      </c>
      <c r="O757" s="32"/>
      <c r="P757" s="381">
        <f t="shared" si="116"/>
        <v>0</v>
      </c>
      <c r="Q757" s="383">
        <v>12.6</v>
      </c>
      <c r="R757" s="32"/>
      <c r="S757" s="25">
        <f t="shared" si="117"/>
        <v>0</v>
      </c>
      <c r="T757" s="383">
        <v>12.6</v>
      </c>
      <c r="U757" s="32"/>
      <c r="V757" s="25">
        <f t="shared" si="120"/>
        <v>0</v>
      </c>
      <c r="W757" s="32">
        <f t="shared" si="121"/>
        <v>12.6</v>
      </c>
      <c r="X757" s="32">
        <f t="shared" si="118"/>
        <v>0</v>
      </c>
      <c r="Y757" s="381">
        <f t="shared" si="119"/>
        <v>0</v>
      </c>
    </row>
    <row r="758" spans="1:25" x14ac:dyDescent="0.2">
      <c r="A758" s="24">
        <f t="shared" si="122"/>
        <v>3.5519947447408571</v>
      </c>
      <c r="B758" s="383">
        <v>12.616666666666667</v>
      </c>
      <c r="C758" s="32"/>
      <c r="D758" s="381">
        <f t="shared" si="112"/>
        <v>0</v>
      </c>
      <c r="E758" s="383">
        <v>12.616666666666667</v>
      </c>
      <c r="F758" s="8"/>
      <c r="G758" s="381">
        <f t="shared" si="113"/>
        <v>0</v>
      </c>
      <c r="H758" s="383">
        <v>12.616666666666667</v>
      </c>
      <c r="I758" s="32"/>
      <c r="J758" s="381">
        <f t="shared" si="114"/>
        <v>0</v>
      </c>
      <c r="K758" s="383">
        <v>12.616666666666667</v>
      </c>
      <c r="L758" s="31"/>
      <c r="M758" s="381">
        <f t="shared" si="115"/>
        <v>0</v>
      </c>
      <c r="N758" s="383">
        <v>12.616666666666667</v>
      </c>
      <c r="O758" s="32"/>
      <c r="P758" s="381">
        <f t="shared" si="116"/>
        <v>0</v>
      </c>
      <c r="Q758" s="383">
        <v>12.616666666666667</v>
      </c>
      <c r="R758" s="32"/>
      <c r="S758" s="25">
        <f t="shared" si="117"/>
        <v>0</v>
      </c>
      <c r="T758" s="383">
        <v>12.616666666666667</v>
      </c>
      <c r="U758" s="32"/>
      <c r="V758" s="25">
        <f t="shared" si="120"/>
        <v>0</v>
      </c>
      <c r="W758" s="32">
        <f t="shared" si="121"/>
        <v>12.616666666666667</v>
      </c>
      <c r="X758" s="32">
        <f t="shared" si="118"/>
        <v>0</v>
      </c>
      <c r="Y758" s="381">
        <f t="shared" si="119"/>
        <v>0</v>
      </c>
    </row>
    <row r="759" spans="1:25" x14ac:dyDescent="0.2">
      <c r="A759" s="24">
        <f t="shared" si="122"/>
        <v>3.5543400700176866</v>
      </c>
      <c r="B759" s="383">
        <v>12.633333333333333</v>
      </c>
      <c r="C759" s="32"/>
      <c r="D759" s="381">
        <f t="shared" si="112"/>
        <v>0</v>
      </c>
      <c r="E759" s="383">
        <v>12.633333333333333</v>
      </c>
      <c r="F759" s="8"/>
      <c r="G759" s="381">
        <f t="shared" si="113"/>
        <v>0</v>
      </c>
      <c r="H759" s="383">
        <v>12.633333333333333</v>
      </c>
      <c r="I759" s="32"/>
      <c r="J759" s="381">
        <f t="shared" si="114"/>
        <v>0</v>
      </c>
      <c r="K759" s="383">
        <v>12.633333333333333</v>
      </c>
      <c r="L759" s="31"/>
      <c r="M759" s="381">
        <f t="shared" si="115"/>
        <v>0</v>
      </c>
      <c r="N759" s="383">
        <v>12.633333333333333</v>
      </c>
      <c r="O759" s="32"/>
      <c r="P759" s="381">
        <f t="shared" si="116"/>
        <v>0</v>
      </c>
      <c r="Q759" s="383">
        <v>12.633333333333333</v>
      </c>
      <c r="R759" s="32"/>
      <c r="S759" s="25">
        <f t="shared" si="117"/>
        <v>0</v>
      </c>
      <c r="T759" s="383">
        <v>12.633333333333333</v>
      </c>
      <c r="U759" s="32"/>
      <c r="V759" s="25">
        <f t="shared" si="120"/>
        <v>0</v>
      </c>
      <c r="W759" s="32">
        <f t="shared" si="121"/>
        <v>12.633333333333333</v>
      </c>
      <c r="X759" s="32">
        <f t="shared" si="118"/>
        <v>0</v>
      </c>
      <c r="Y759" s="381">
        <f t="shared" si="119"/>
        <v>0</v>
      </c>
    </row>
    <row r="760" spans="1:25" x14ac:dyDescent="0.2">
      <c r="A760" s="24">
        <f t="shared" si="122"/>
        <v>3.5566838487557479</v>
      </c>
      <c r="B760" s="383">
        <v>12.65</v>
      </c>
      <c r="C760" s="32"/>
      <c r="D760" s="381">
        <f t="shared" si="112"/>
        <v>0</v>
      </c>
      <c r="E760" s="383">
        <v>12.65</v>
      </c>
      <c r="F760" s="8"/>
      <c r="G760" s="381">
        <f t="shared" si="113"/>
        <v>0</v>
      </c>
      <c r="H760" s="383">
        <v>12.65</v>
      </c>
      <c r="I760" s="32"/>
      <c r="J760" s="381">
        <f t="shared" si="114"/>
        <v>0</v>
      </c>
      <c r="K760" s="383">
        <v>12.65</v>
      </c>
      <c r="L760" s="31"/>
      <c r="M760" s="381">
        <f t="shared" si="115"/>
        <v>0</v>
      </c>
      <c r="N760" s="383">
        <v>12.65</v>
      </c>
      <c r="O760" s="32"/>
      <c r="P760" s="381">
        <f t="shared" si="116"/>
        <v>0</v>
      </c>
      <c r="Q760" s="383">
        <v>12.65</v>
      </c>
      <c r="R760" s="32"/>
      <c r="S760" s="25">
        <f t="shared" si="117"/>
        <v>0</v>
      </c>
      <c r="T760" s="383">
        <v>12.65</v>
      </c>
      <c r="U760" s="32"/>
      <c r="V760" s="25">
        <f t="shared" si="120"/>
        <v>0</v>
      </c>
      <c r="W760" s="32">
        <f t="shared" si="121"/>
        <v>12.65</v>
      </c>
      <c r="X760" s="32">
        <f t="shared" si="118"/>
        <v>0</v>
      </c>
      <c r="Y760" s="381">
        <f t="shared" si="119"/>
        <v>0</v>
      </c>
    </row>
    <row r="761" spans="1:25" x14ac:dyDescent="0.2">
      <c r="A761" s="24">
        <f t="shared" si="122"/>
        <v>3.5590260840104371</v>
      </c>
      <c r="B761" s="383">
        <v>12.666666666666666</v>
      </c>
      <c r="C761" s="32"/>
      <c r="D761" s="381">
        <f t="shared" si="112"/>
        <v>0</v>
      </c>
      <c r="E761" s="383">
        <v>12.666666666666666</v>
      </c>
      <c r="F761" s="8"/>
      <c r="G761" s="381">
        <f t="shared" si="113"/>
        <v>0</v>
      </c>
      <c r="H761" s="383">
        <v>12.666666666666666</v>
      </c>
      <c r="I761" s="32"/>
      <c r="J761" s="381">
        <f t="shared" si="114"/>
        <v>0</v>
      </c>
      <c r="K761" s="383">
        <v>12.666666666666666</v>
      </c>
      <c r="L761" s="31"/>
      <c r="M761" s="381">
        <f t="shared" si="115"/>
        <v>0</v>
      </c>
      <c r="N761" s="383">
        <v>12.666666666666666</v>
      </c>
      <c r="O761" s="32"/>
      <c r="P761" s="381">
        <f t="shared" si="116"/>
        <v>0</v>
      </c>
      <c r="Q761" s="383">
        <v>12.666666666666666</v>
      </c>
      <c r="R761" s="32"/>
      <c r="S761" s="25">
        <f t="shared" si="117"/>
        <v>0</v>
      </c>
      <c r="T761" s="383">
        <v>12.666666666666666</v>
      </c>
      <c r="U761" s="32"/>
      <c r="V761" s="25">
        <f t="shared" si="120"/>
        <v>0</v>
      </c>
      <c r="W761" s="32">
        <f t="shared" si="121"/>
        <v>12.666666666666666</v>
      </c>
      <c r="X761" s="32">
        <f t="shared" si="118"/>
        <v>0</v>
      </c>
      <c r="Y761" s="381">
        <f t="shared" si="119"/>
        <v>0</v>
      </c>
    </row>
    <row r="762" spans="1:25" x14ac:dyDescent="0.2">
      <c r="A762" s="24">
        <f t="shared" si="122"/>
        <v>3.5613667788271028</v>
      </c>
      <c r="B762" s="383">
        <v>12.683333333333334</v>
      </c>
      <c r="C762" s="32"/>
      <c r="D762" s="381">
        <f t="shared" si="112"/>
        <v>0</v>
      </c>
      <c r="E762" s="383">
        <v>12.683333333333334</v>
      </c>
      <c r="F762" s="8"/>
      <c r="G762" s="381">
        <f t="shared" si="113"/>
        <v>0</v>
      </c>
      <c r="H762" s="383">
        <v>12.683333333333334</v>
      </c>
      <c r="I762" s="32"/>
      <c r="J762" s="381">
        <f t="shared" si="114"/>
        <v>0</v>
      </c>
      <c r="K762" s="383">
        <v>12.683333333333334</v>
      </c>
      <c r="L762" s="31"/>
      <c r="M762" s="381">
        <f t="shared" si="115"/>
        <v>0</v>
      </c>
      <c r="N762" s="383">
        <v>12.683333333333334</v>
      </c>
      <c r="O762" s="32"/>
      <c r="P762" s="381">
        <f t="shared" si="116"/>
        <v>0</v>
      </c>
      <c r="Q762" s="383">
        <v>12.683333333333334</v>
      </c>
      <c r="R762" s="32"/>
      <c r="S762" s="25">
        <f t="shared" si="117"/>
        <v>0</v>
      </c>
      <c r="T762" s="383">
        <v>12.683333333333334</v>
      </c>
      <c r="U762" s="32"/>
      <c r="V762" s="25">
        <f t="shared" si="120"/>
        <v>0</v>
      </c>
      <c r="W762" s="32">
        <f t="shared" si="121"/>
        <v>12.683333333333334</v>
      </c>
      <c r="X762" s="32">
        <f t="shared" si="118"/>
        <v>0</v>
      </c>
      <c r="Y762" s="381">
        <f t="shared" si="119"/>
        <v>0</v>
      </c>
    </row>
    <row r="763" spans="1:25" x14ac:dyDescent="0.2">
      <c r="A763" s="24">
        <f t="shared" si="122"/>
        <v>3.5637059362410923</v>
      </c>
      <c r="B763" s="383">
        <v>12.7</v>
      </c>
      <c r="C763" s="32"/>
      <c r="D763" s="381">
        <f t="shared" si="112"/>
        <v>0</v>
      </c>
      <c r="E763" s="383">
        <v>12.7</v>
      </c>
      <c r="F763" s="8"/>
      <c r="G763" s="381">
        <f t="shared" si="113"/>
        <v>0</v>
      </c>
      <c r="H763" s="383">
        <v>12.7</v>
      </c>
      <c r="I763" s="32"/>
      <c r="J763" s="381">
        <f t="shared" si="114"/>
        <v>0</v>
      </c>
      <c r="K763" s="383">
        <v>12.7</v>
      </c>
      <c r="L763" s="31"/>
      <c r="M763" s="381">
        <f t="shared" si="115"/>
        <v>0</v>
      </c>
      <c r="N763" s="383">
        <v>12.7</v>
      </c>
      <c r="O763" s="32"/>
      <c r="P763" s="381">
        <f t="shared" si="116"/>
        <v>0</v>
      </c>
      <c r="Q763" s="383">
        <v>12.7</v>
      </c>
      <c r="R763" s="32"/>
      <c r="S763" s="25">
        <f t="shared" si="117"/>
        <v>0</v>
      </c>
      <c r="T763" s="383">
        <v>12.7</v>
      </c>
      <c r="U763" s="32"/>
      <c r="V763" s="25">
        <f t="shared" si="120"/>
        <v>0</v>
      </c>
      <c r="W763" s="32">
        <f t="shared" si="121"/>
        <v>12.7</v>
      </c>
      <c r="X763" s="32">
        <f t="shared" si="118"/>
        <v>0</v>
      </c>
      <c r="Y763" s="381">
        <f t="shared" si="119"/>
        <v>0</v>
      </c>
    </row>
    <row r="764" spans="1:25" x14ac:dyDescent="0.2">
      <c r="A764" s="24">
        <f t="shared" si="122"/>
        <v>3.5660435592777979</v>
      </c>
      <c r="B764" s="383">
        <v>12.716666666666667</v>
      </c>
      <c r="C764" s="32"/>
      <c r="D764" s="381">
        <f t="shared" si="112"/>
        <v>0</v>
      </c>
      <c r="E764" s="383">
        <v>12.716666666666667</v>
      </c>
      <c r="F764" s="8"/>
      <c r="G764" s="381">
        <f t="shared" si="113"/>
        <v>0</v>
      </c>
      <c r="H764" s="383">
        <v>12.716666666666667</v>
      </c>
      <c r="I764" s="32"/>
      <c r="J764" s="381">
        <f t="shared" si="114"/>
        <v>0</v>
      </c>
      <c r="K764" s="383">
        <v>12.716666666666667</v>
      </c>
      <c r="L764" s="31"/>
      <c r="M764" s="381">
        <f t="shared" si="115"/>
        <v>0</v>
      </c>
      <c r="N764" s="383">
        <v>12.716666666666667</v>
      </c>
      <c r="O764" s="32"/>
      <c r="P764" s="381">
        <f t="shared" si="116"/>
        <v>0</v>
      </c>
      <c r="Q764" s="383">
        <v>12.716666666666667</v>
      </c>
      <c r="R764" s="32"/>
      <c r="S764" s="25">
        <f t="shared" si="117"/>
        <v>0</v>
      </c>
      <c r="T764" s="383">
        <v>12.716666666666667</v>
      </c>
      <c r="U764" s="32"/>
      <c r="V764" s="25">
        <f t="shared" si="120"/>
        <v>0</v>
      </c>
      <c r="W764" s="32">
        <f t="shared" si="121"/>
        <v>12.716666666666667</v>
      </c>
      <c r="X764" s="32">
        <f t="shared" si="118"/>
        <v>0</v>
      </c>
      <c r="Y764" s="381">
        <f t="shared" si="119"/>
        <v>0</v>
      </c>
    </row>
    <row r="765" spans="1:25" x14ac:dyDescent="0.2">
      <c r="A765" s="24">
        <f t="shared" si="122"/>
        <v>3.5683796509527026</v>
      </c>
      <c r="B765" s="383">
        <v>12.733333333333333</v>
      </c>
      <c r="C765" s="32"/>
      <c r="D765" s="381">
        <f t="shared" si="112"/>
        <v>0</v>
      </c>
      <c r="E765" s="383">
        <v>12.733333333333333</v>
      </c>
      <c r="F765" s="8"/>
      <c r="G765" s="381">
        <f t="shared" si="113"/>
        <v>0</v>
      </c>
      <c r="H765" s="383">
        <v>12.733333333333333</v>
      </c>
      <c r="I765" s="32"/>
      <c r="J765" s="381">
        <f t="shared" si="114"/>
        <v>0</v>
      </c>
      <c r="K765" s="383">
        <v>12.733333333333333</v>
      </c>
      <c r="L765" s="31"/>
      <c r="M765" s="381">
        <f t="shared" si="115"/>
        <v>0</v>
      </c>
      <c r="N765" s="383">
        <v>12.733333333333333</v>
      </c>
      <c r="O765" s="32"/>
      <c r="P765" s="381">
        <f t="shared" si="116"/>
        <v>0</v>
      </c>
      <c r="Q765" s="383">
        <v>12.733333333333333</v>
      </c>
      <c r="R765" s="32"/>
      <c r="S765" s="25">
        <f t="shared" si="117"/>
        <v>0</v>
      </c>
      <c r="T765" s="383">
        <v>12.733333333333333</v>
      </c>
      <c r="U765" s="32"/>
      <c r="V765" s="25">
        <f t="shared" si="120"/>
        <v>0</v>
      </c>
      <c r="W765" s="32">
        <f t="shared" si="121"/>
        <v>12.733333333333333</v>
      </c>
      <c r="X765" s="32">
        <f t="shared" si="118"/>
        <v>0</v>
      </c>
      <c r="Y765" s="381">
        <f t="shared" si="119"/>
        <v>0</v>
      </c>
    </row>
    <row r="766" spans="1:25" x14ac:dyDescent="0.2">
      <c r="A766" s="24">
        <f t="shared" si="122"/>
        <v>3.5707142142714252</v>
      </c>
      <c r="B766" s="383">
        <v>12.75</v>
      </c>
      <c r="C766" s="32"/>
      <c r="D766" s="381">
        <f t="shared" si="112"/>
        <v>0</v>
      </c>
      <c r="E766" s="383">
        <v>12.75</v>
      </c>
      <c r="F766" s="8"/>
      <c r="G766" s="381">
        <f t="shared" si="113"/>
        <v>0</v>
      </c>
      <c r="H766" s="383">
        <v>12.75</v>
      </c>
      <c r="I766" s="32"/>
      <c r="J766" s="381">
        <f t="shared" si="114"/>
        <v>0</v>
      </c>
      <c r="K766" s="383">
        <v>12.75</v>
      </c>
      <c r="L766" s="31"/>
      <c r="M766" s="381">
        <f t="shared" si="115"/>
        <v>0</v>
      </c>
      <c r="N766" s="383">
        <v>12.75</v>
      </c>
      <c r="O766" s="32"/>
      <c r="P766" s="381">
        <f t="shared" si="116"/>
        <v>0</v>
      </c>
      <c r="Q766" s="383">
        <v>12.75</v>
      </c>
      <c r="R766" s="32"/>
      <c r="S766" s="25">
        <f t="shared" si="117"/>
        <v>0</v>
      </c>
      <c r="T766" s="383">
        <v>12.75</v>
      </c>
      <c r="U766" s="32"/>
      <c r="V766" s="25">
        <f t="shared" si="120"/>
        <v>0</v>
      </c>
      <c r="W766" s="32">
        <f t="shared" si="121"/>
        <v>12.75</v>
      </c>
      <c r="X766" s="32">
        <f t="shared" si="118"/>
        <v>0</v>
      </c>
      <c r="Y766" s="381">
        <f t="shared" si="119"/>
        <v>0</v>
      </c>
    </row>
    <row r="767" spans="1:25" x14ac:dyDescent="0.2">
      <c r="A767" s="24">
        <f t="shared" si="122"/>
        <v>3.573047252229764</v>
      </c>
      <c r="B767" s="383">
        <v>12.766666666666667</v>
      </c>
      <c r="C767" s="32"/>
      <c r="D767" s="381">
        <f t="shared" si="112"/>
        <v>0</v>
      </c>
      <c r="E767" s="383">
        <v>12.766666666666667</v>
      </c>
      <c r="F767" s="8"/>
      <c r="G767" s="381">
        <f t="shared" si="113"/>
        <v>0</v>
      </c>
      <c r="H767" s="383">
        <v>12.766666666666667</v>
      </c>
      <c r="I767" s="32"/>
      <c r="J767" s="381">
        <f t="shared" si="114"/>
        <v>0</v>
      </c>
      <c r="K767" s="383">
        <v>12.766666666666667</v>
      </c>
      <c r="L767" s="31"/>
      <c r="M767" s="381">
        <f t="shared" si="115"/>
        <v>0</v>
      </c>
      <c r="N767" s="383">
        <v>12.766666666666667</v>
      </c>
      <c r="O767" s="32"/>
      <c r="P767" s="381">
        <f t="shared" si="116"/>
        <v>0</v>
      </c>
      <c r="Q767" s="383">
        <v>12.766666666666667</v>
      </c>
      <c r="R767" s="32"/>
      <c r="S767" s="25">
        <f t="shared" si="117"/>
        <v>0</v>
      </c>
      <c r="T767" s="383">
        <v>12.766666666666667</v>
      </c>
      <c r="U767" s="32"/>
      <c r="V767" s="25">
        <f t="shared" si="120"/>
        <v>0</v>
      </c>
      <c r="W767" s="32">
        <f t="shared" si="121"/>
        <v>12.766666666666667</v>
      </c>
      <c r="X767" s="32">
        <f t="shared" si="118"/>
        <v>0</v>
      </c>
      <c r="Y767" s="381">
        <f t="shared" si="119"/>
        <v>0</v>
      </c>
    </row>
    <row r="768" spans="1:25" x14ac:dyDescent="0.2">
      <c r="A768" s="24">
        <f t="shared" si="122"/>
        <v>3.5753787678137448</v>
      </c>
      <c r="B768" s="383">
        <v>12.783333333333333</v>
      </c>
      <c r="C768" s="32"/>
      <c r="D768" s="381">
        <f t="shared" si="112"/>
        <v>0</v>
      </c>
      <c r="E768" s="383">
        <v>12.783333333333333</v>
      </c>
      <c r="F768" s="8"/>
      <c r="G768" s="381">
        <f t="shared" si="113"/>
        <v>0</v>
      </c>
      <c r="H768" s="383">
        <v>12.783333333333333</v>
      </c>
      <c r="I768" s="32"/>
      <c r="J768" s="381">
        <f t="shared" si="114"/>
        <v>0</v>
      </c>
      <c r="K768" s="383">
        <v>12.783333333333333</v>
      </c>
      <c r="L768" s="31"/>
      <c r="M768" s="381">
        <f t="shared" si="115"/>
        <v>0</v>
      </c>
      <c r="N768" s="383">
        <v>12.783333333333333</v>
      </c>
      <c r="O768" s="32"/>
      <c r="P768" s="381">
        <f t="shared" si="116"/>
        <v>0</v>
      </c>
      <c r="Q768" s="383">
        <v>12.783333333333333</v>
      </c>
      <c r="R768" s="32"/>
      <c r="S768" s="25">
        <f t="shared" si="117"/>
        <v>0</v>
      </c>
      <c r="T768" s="383">
        <v>12.783333333333333</v>
      </c>
      <c r="U768" s="32"/>
      <c r="V768" s="25">
        <f t="shared" si="120"/>
        <v>0</v>
      </c>
      <c r="W768" s="32">
        <f t="shared" si="121"/>
        <v>12.783333333333333</v>
      </c>
      <c r="X768" s="32">
        <f t="shared" si="118"/>
        <v>0</v>
      </c>
      <c r="Y768" s="381">
        <f t="shared" si="119"/>
        <v>0</v>
      </c>
    </row>
    <row r="769" spans="1:25" x14ac:dyDescent="0.2">
      <c r="A769" s="24">
        <f t="shared" si="122"/>
        <v>3.5777087639996634</v>
      </c>
      <c r="B769" s="383">
        <v>12.8</v>
      </c>
      <c r="C769" s="32"/>
      <c r="D769" s="381">
        <f t="shared" si="112"/>
        <v>0</v>
      </c>
      <c r="E769" s="383">
        <v>12.8</v>
      </c>
      <c r="F769" s="8"/>
      <c r="G769" s="381">
        <f t="shared" si="113"/>
        <v>0</v>
      </c>
      <c r="H769" s="383">
        <v>12.8</v>
      </c>
      <c r="I769" s="32"/>
      <c r="J769" s="381">
        <f t="shared" si="114"/>
        <v>0</v>
      </c>
      <c r="K769" s="383">
        <v>12.8</v>
      </c>
      <c r="L769" s="31"/>
      <c r="M769" s="381">
        <f t="shared" si="115"/>
        <v>0</v>
      </c>
      <c r="N769" s="383">
        <v>12.8</v>
      </c>
      <c r="O769" s="32"/>
      <c r="P769" s="381">
        <f t="shared" si="116"/>
        <v>0</v>
      </c>
      <c r="Q769" s="383">
        <v>12.8</v>
      </c>
      <c r="R769" s="32"/>
      <c r="S769" s="25">
        <f t="shared" si="117"/>
        <v>0</v>
      </c>
      <c r="T769" s="383">
        <v>12.8</v>
      </c>
      <c r="U769" s="32"/>
      <c r="V769" s="25">
        <f t="shared" si="120"/>
        <v>0</v>
      </c>
      <c r="W769" s="32">
        <f t="shared" si="121"/>
        <v>12.8</v>
      </c>
      <c r="X769" s="32">
        <f t="shared" si="118"/>
        <v>0</v>
      </c>
      <c r="Y769" s="381">
        <f t="shared" si="119"/>
        <v>0</v>
      </c>
    </row>
    <row r="770" spans="1:25" x14ac:dyDescent="0.2">
      <c r="A770" s="24">
        <f t="shared" si="122"/>
        <v>3.5800372437541297</v>
      </c>
      <c r="B770" s="383">
        <v>12.816666666666666</v>
      </c>
      <c r="C770" s="32"/>
      <c r="D770" s="381">
        <f t="shared" si="112"/>
        <v>0</v>
      </c>
      <c r="E770" s="383">
        <v>12.816666666666666</v>
      </c>
      <c r="F770" s="8"/>
      <c r="G770" s="381">
        <f t="shared" si="113"/>
        <v>0</v>
      </c>
      <c r="H770" s="383">
        <v>12.816666666666666</v>
      </c>
      <c r="I770" s="32"/>
      <c r="J770" s="381">
        <f t="shared" si="114"/>
        <v>0</v>
      </c>
      <c r="K770" s="383">
        <v>12.816666666666666</v>
      </c>
      <c r="L770" s="31"/>
      <c r="M770" s="381">
        <f t="shared" si="115"/>
        <v>0</v>
      </c>
      <c r="N770" s="383">
        <v>12.816666666666666</v>
      </c>
      <c r="O770" s="32"/>
      <c r="P770" s="381">
        <f t="shared" si="116"/>
        <v>0</v>
      </c>
      <c r="Q770" s="383">
        <v>12.816666666666666</v>
      </c>
      <c r="R770" s="32"/>
      <c r="S770" s="25">
        <f t="shared" si="117"/>
        <v>0</v>
      </c>
      <c r="T770" s="383">
        <v>12.816666666666666</v>
      </c>
      <c r="U770" s="32"/>
      <c r="V770" s="25">
        <f t="shared" si="120"/>
        <v>0</v>
      </c>
      <c r="W770" s="32">
        <f t="shared" si="121"/>
        <v>12.816666666666666</v>
      </c>
      <c r="X770" s="32">
        <f t="shared" si="118"/>
        <v>0</v>
      </c>
      <c r="Y770" s="381">
        <f t="shared" si="119"/>
        <v>0</v>
      </c>
    </row>
    <row r="771" spans="1:25" x14ac:dyDescent="0.2">
      <c r="A771" s="24">
        <f t="shared" si="122"/>
        <v>3.5823642100341129</v>
      </c>
      <c r="B771" s="383">
        <v>12.833333333333334</v>
      </c>
      <c r="C771" s="32"/>
      <c r="D771" s="381">
        <f t="shared" si="112"/>
        <v>0</v>
      </c>
      <c r="E771" s="383">
        <v>12.833333333333334</v>
      </c>
      <c r="F771" s="8"/>
      <c r="G771" s="381">
        <f t="shared" si="113"/>
        <v>0</v>
      </c>
      <c r="H771" s="383">
        <v>12.833333333333334</v>
      </c>
      <c r="I771" s="32"/>
      <c r="J771" s="381">
        <f t="shared" si="114"/>
        <v>0</v>
      </c>
      <c r="K771" s="383">
        <v>12.833333333333334</v>
      </c>
      <c r="L771" s="31"/>
      <c r="M771" s="381">
        <f t="shared" si="115"/>
        <v>0</v>
      </c>
      <c r="N771" s="383">
        <v>12.833333333333334</v>
      </c>
      <c r="O771" s="32"/>
      <c r="P771" s="381">
        <f t="shared" si="116"/>
        <v>0</v>
      </c>
      <c r="Q771" s="383">
        <v>12.833333333333334</v>
      </c>
      <c r="R771" s="32"/>
      <c r="S771" s="25">
        <f t="shared" si="117"/>
        <v>0</v>
      </c>
      <c r="T771" s="383">
        <v>12.833333333333334</v>
      </c>
      <c r="U771" s="32"/>
      <c r="V771" s="25">
        <f t="shared" si="120"/>
        <v>0</v>
      </c>
      <c r="W771" s="32">
        <f t="shared" si="121"/>
        <v>12.833333333333334</v>
      </c>
      <c r="X771" s="32">
        <f t="shared" si="118"/>
        <v>0</v>
      </c>
      <c r="Y771" s="381">
        <f t="shared" si="119"/>
        <v>0</v>
      </c>
    </row>
    <row r="772" spans="1:25" x14ac:dyDescent="0.2">
      <c r="A772" s="24">
        <f t="shared" si="122"/>
        <v>3.5846896657869842</v>
      </c>
      <c r="B772" s="383">
        <v>12.85</v>
      </c>
      <c r="C772" s="32"/>
      <c r="D772" s="381">
        <f t="shared" si="112"/>
        <v>0</v>
      </c>
      <c r="E772" s="383">
        <v>12.85</v>
      </c>
      <c r="F772" s="8"/>
      <c r="G772" s="381">
        <f t="shared" si="113"/>
        <v>0</v>
      </c>
      <c r="H772" s="383">
        <v>12.85</v>
      </c>
      <c r="I772" s="32"/>
      <c r="J772" s="381">
        <f t="shared" si="114"/>
        <v>0</v>
      </c>
      <c r="K772" s="383">
        <v>12.85</v>
      </c>
      <c r="L772" s="31"/>
      <c r="M772" s="381">
        <f t="shared" si="115"/>
        <v>0</v>
      </c>
      <c r="N772" s="383">
        <v>12.85</v>
      </c>
      <c r="O772" s="32"/>
      <c r="P772" s="381">
        <f t="shared" si="116"/>
        <v>0</v>
      </c>
      <c r="Q772" s="383">
        <v>12.85</v>
      </c>
      <c r="R772" s="32"/>
      <c r="S772" s="25">
        <f t="shared" si="117"/>
        <v>0</v>
      </c>
      <c r="T772" s="383">
        <v>12.85</v>
      </c>
      <c r="U772" s="32"/>
      <c r="V772" s="25">
        <f t="shared" si="120"/>
        <v>0</v>
      </c>
      <c r="W772" s="32">
        <f t="shared" si="121"/>
        <v>12.85</v>
      </c>
      <c r="X772" s="32">
        <f t="shared" si="118"/>
        <v>0</v>
      </c>
      <c r="Y772" s="381">
        <f t="shared" si="119"/>
        <v>0</v>
      </c>
    </row>
    <row r="773" spans="1:25" x14ac:dyDescent="0.2">
      <c r="A773" s="24">
        <f t="shared" si="122"/>
        <v>3.5870136139505613</v>
      </c>
      <c r="B773" s="383">
        <v>12.866666666666667</v>
      </c>
      <c r="C773" s="32"/>
      <c r="D773" s="381">
        <f t="shared" ref="D773:D836" si="123">C773</f>
        <v>0</v>
      </c>
      <c r="E773" s="383">
        <v>12.866666666666667</v>
      </c>
      <c r="F773" s="8"/>
      <c r="G773" s="381">
        <f t="shared" ref="G773:G836" si="124">F773+$AB$2</f>
        <v>0</v>
      </c>
      <c r="H773" s="383">
        <v>12.866666666666667</v>
      </c>
      <c r="I773" s="32"/>
      <c r="J773" s="381">
        <f t="shared" ref="J773:J836" si="125">I773+$AB$3</f>
        <v>0</v>
      </c>
      <c r="K773" s="383">
        <v>12.866666666666667</v>
      </c>
      <c r="L773" s="31"/>
      <c r="M773" s="381">
        <f t="shared" ref="M773:M836" si="126">L773+$AB$4</f>
        <v>0</v>
      </c>
      <c r="N773" s="383">
        <v>12.866666666666667</v>
      </c>
      <c r="O773" s="32"/>
      <c r="P773" s="381">
        <f t="shared" ref="P773:P836" si="127">O773+$AB$5</f>
        <v>0</v>
      </c>
      <c r="Q773" s="383">
        <v>12.866666666666667</v>
      </c>
      <c r="R773" s="32"/>
      <c r="S773" s="25">
        <f t="shared" ref="S773:S836" si="128">R773+$AB$6</f>
        <v>0</v>
      </c>
      <c r="T773" s="383">
        <v>12.866666666666667</v>
      </c>
      <c r="U773" s="32"/>
      <c r="V773" s="25">
        <f t="shared" si="120"/>
        <v>0</v>
      </c>
      <c r="W773" s="32">
        <f t="shared" si="121"/>
        <v>12.866666666666667</v>
      </c>
      <c r="X773" s="32">
        <f t="shared" ref="X773:X836" si="129">U773</f>
        <v>0</v>
      </c>
      <c r="Y773" s="381">
        <f t="shared" ref="Y773:Y836" si="130">X773+$AB$8</f>
        <v>0</v>
      </c>
    </row>
    <row r="774" spans="1:25" x14ac:dyDescent="0.2">
      <c r="A774" s="24">
        <f t="shared" si="122"/>
        <v>3.5893360574531514</v>
      </c>
      <c r="B774" s="383">
        <v>12.883333333333333</v>
      </c>
      <c r="C774" s="32"/>
      <c r="D774" s="381">
        <f t="shared" si="123"/>
        <v>0</v>
      </c>
      <c r="E774" s="383">
        <v>12.883333333333333</v>
      </c>
      <c r="F774" s="8"/>
      <c r="G774" s="381">
        <f t="shared" si="124"/>
        <v>0</v>
      </c>
      <c r="H774" s="383">
        <v>12.883333333333333</v>
      </c>
      <c r="I774" s="32"/>
      <c r="J774" s="381">
        <f t="shared" si="125"/>
        <v>0</v>
      </c>
      <c r="K774" s="383">
        <v>12.883333333333333</v>
      </c>
      <c r="L774" s="31"/>
      <c r="M774" s="381">
        <f t="shared" si="126"/>
        <v>0</v>
      </c>
      <c r="N774" s="383">
        <v>12.883333333333333</v>
      </c>
      <c r="O774" s="32"/>
      <c r="P774" s="381">
        <f t="shared" si="127"/>
        <v>0</v>
      </c>
      <c r="Q774" s="383">
        <v>12.883333333333333</v>
      </c>
      <c r="R774" s="32"/>
      <c r="S774" s="25">
        <f t="shared" si="128"/>
        <v>0</v>
      </c>
      <c r="T774" s="383">
        <v>12.883333333333333</v>
      </c>
      <c r="U774" s="32"/>
      <c r="V774" s="25">
        <f t="shared" ref="V774:V837" si="131">Y774</f>
        <v>0</v>
      </c>
      <c r="W774" s="32">
        <f t="shared" ref="W774:W837" si="132">T774</f>
        <v>12.883333333333333</v>
      </c>
      <c r="X774" s="32">
        <f t="shared" si="129"/>
        <v>0</v>
      </c>
      <c r="Y774" s="381">
        <f t="shared" si="130"/>
        <v>0</v>
      </c>
    </row>
    <row r="775" spans="1:25" x14ac:dyDescent="0.2">
      <c r="A775" s="24">
        <f t="shared" si="122"/>
        <v>3.591656999213594</v>
      </c>
      <c r="B775" s="383">
        <v>12.9</v>
      </c>
      <c r="C775" s="32"/>
      <c r="D775" s="381">
        <f t="shared" si="123"/>
        <v>0</v>
      </c>
      <c r="E775" s="383">
        <v>12.9</v>
      </c>
      <c r="F775" s="8"/>
      <c r="G775" s="381">
        <f t="shared" si="124"/>
        <v>0</v>
      </c>
      <c r="H775" s="383">
        <v>12.9</v>
      </c>
      <c r="I775" s="32"/>
      <c r="J775" s="381">
        <f t="shared" si="125"/>
        <v>0</v>
      </c>
      <c r="K775" s="383">
        <v>12.9</v>
      </c>
      <c r="L775" s="31"/>
      <c r="M775" s="381">
        <f t="shared" si="126"/>
        <v>0</v>
      </c>
      <c r="N775" s="383">
        <v>12.9</v>
      </c>
      <c r="O775" s="32"/>
      <c r="P775" s="381">
        <f t="shared" si="127"/>
        <v>0</v>
      </c>
      <c r="Q775" s="383">
        <v>12.9</v>
      </c>
      <c r="R775" s="32"/>
      <c r="S775" s="25">
        <f t="shared" si="128"/>
        <v>0</v>
      </c>
      <c r="T775" s="383">
        <v>12.9</v>
      </c>
      <c r="U775" s="32"/>
      <c r="V775" s="25">
        <f t="shared" si="131"/>
        <v>0</v>
      </c>
      <c r="W775" s="32">
        <f t="shared" si="132"/>
        <v>12.9</v>
      </c>
      <c r="X775" s="32">
        <f t="shared" si="129"/>
        <v>0</v>
      </c>
      <c r="Y775" s="381">
        <f t="shared" si="130"/>
        <v>0</v>
      </c>
    </row>
    <row r="776" spans="1:25" x14ac:dyDescent="0.2">
      <c r="A776" s="24">
        <f t="shared" si="122"/>
        <v>3.5939764421413041</v>
      </c>
      <c r="B776" s="383">
        <v>12.916666666666666</v>
      </c>
      <c r="C776" s="32"/>
      <c r="D776" s="381">
        <f t="shared" si="123"/>
        <v>0</v>
      </c>
      <c r="E776" s="383">
        <v>12.916666666666666</v>
      </c>
      <c r="F776" s="8"/>
      <c r="G776" s="381">
        <f t="shared" si="124"/>
        <v>0</v>
      </c>
      <c r="H776" s="383">
        <v>12.916666666666666</v>
      </c>
      <c r="I776" s="32"/>
      <c r="J776" s="381">
        <f t="shared" si="125"/>
        <v>0</v>
      </c>
      <c r="K776" s="383">
        <v>12.916666666666666</v>
      </c>
      <c r="L776" s="31"/>
      <c r="M776" s="381">
        <f t="shared" si="126"/>
        <v>0</v>
      </c>
      <c r="N776" s="383">
        <v>12.916666666666666</v>
      </c>
      <c r="O776" s="32"/>
      <c r="P776" s="381">
        <f t="shared" si="127"/>
        <v>0</v>
      </c>
      <c r="Q776" s="383">
        <v>12.916666666666666</v>
      </c>
      <c r="R776" s="32"/>
      <c r="S776" s="25">
        <f t="shared" si="128"/>
        <v>0</v>
      </c>
      <c r="T776" s="383">
        <v>12.916666666666666</v>
      </c>
      <c r="U776" s="32"/>
      <c r="V776" s="25">
        <f t="shared" si="131"/>
        <v>0</v>
      </c>
      <c r="W776" s="32">
        <f t="shared" si="132"/>
        <v>12.916666666666666</v>
      </c>
      <c r="X776" s="32">
        <f t="shared" si="129"/>
        <v>0</v>
      </c>
      <c r="Y776" s="381">
        <f t="shared" si="130"/>
        <v>0</v>
      </c>
    </row>
    <row r="777" spans="1:25" x14ac:dyDescent="0.2">
      <c r="A777" s="24">
        <f t="shared" si="122"/>
        <v>3.5962943891363142</v>
      </c>
      <c r="B777" s="383">
        <v>12.933333333333334</v>
      </c>
      <c r="C777" s="32"/>
      <c r="D777" s="381">
        <f t="shared" si="123"/>
        <v>0</v>
      </c>
      <c r="E777" s="383">
        <v>12.933333333333334</v>
      </c>
      <c r="F777" s="8"/>
      <c r="G777" s="381">
        <f t="shared" si="124"/>
        <v>0</v>
      </c>
      <c r="H777" s="383">
        <v>12.933333333333334</v>
      </c>
      <c r="I777" s="32"/>
      <c r="J777" s="381">
        <f t="shared" si="125"/>
        <v>0</v>
      </c>
      <c r="K777" s="383">
        <v>12.933333333333334</v>
      </c>
      <c r="L777" s="31"/>
      <c r="M777" s="381">
        <f t="shared" si="126"/>
        <v>0</v>
      </c>
      <c r="N777" s="383">
        <v>12.933333333333334</v>
      </c>
      <c r="O777" s="32"/>
      <c r="P777" s="381">
        <f t="shared" si="127"/>
        <v>0</v>
      </c>
      <c r="Q777" s="383">
        <v>12.933333333333334</v>
      </c>
      <c r="R777" s="32"/>
      <c r="S777" s="25">
        <f t="shared" si="128"/>
        <v>0</v>
      </c>
      <c r="T777" s="383">
        <v>12.933333333333334</v>
      </c>
      <c r="U777" s="32"/>
      <c r="V777" s="25">
        <f t="shared" si="131"/>
        <v>0</v>
      </c>
      <c r="W777" s="32">
        <f t="shared" si="132"/>
        <v>12.933333333333334</v>
      </c>
      <c r="X777" s="32">
        <f t="shared" si="129"/>
        <v>0</v>
      </c>
      <c r="Y777" s="381">
        <f t="shared" si="130"/>
        <v>0</v>
      </c>
    </row>
    <row r="778" spans="1:25" x14ac:dyDescent="0.2">
      <c r="A778" s="24">
        <f t="shared" si="122"/>
        <v>3.598610843089316</v>
      </c>
      <c r="B778" s="383">
        <v>12.95</v>
      </c>
      <c r="C778" s="32"/>
      <c r="D778" s="381">
        <f t="shared" si="123"/>
        <v>0</v>
      </c>
      <c r="E778" s="383">
        <v>12.95</v>
      </c>
      <c r="F778" s="8"/>
      <c r="G778" s="381">
        <f t="shared" si="124"/>
        <v>0</v>
      </c>
      <c r="H778" s="383">
        <v>12.95</v>
      </c>
      <c r="I778" s="32"/>
      <c r="J778" s="381">
        <f t="shared" si="125"/>
        <v>0</v>
      </c>
      <c r="K778" s="383">
        <v>12.95</v>
      </c>
      <c r="L778" s="31"/>
      <c r="M778" s="381">
        <f t="shared" si="126"/>
        <v>0</v>
      </c>
      <c r="N778" s="383">
        <v>12.95</v>
      </c>
      <c r="O778" s="32"/>
      <c r="P778" s="381">
        <f t="shared" si="127"/>
        <v>0</v>
      </c>
      <c r="Q778" s="383">
        <v>12.95</v>
      </c>
      <c r="R778" s="32"/>
      <c r="S778" s="25">
        <f t="shared" si="128"/>
        <v>0</v>
      </c>
      <c r="T778" s="383">
        <v>12.95</v>
      </c>
      <c r="U778" s="32"/>
      <c r="V778" s="25">
        <f t="shared" si="131"/>
        <v>0</v>
      </c>
      <c r="W778" s="32">
        <f t="shared" si="132"/>
        <v>12.95</v>
      </c>
      <c r="X778" s="32">
        <f t="shared" si="129"/>
        <v>0</v>
      </c>
      <c r="Y778" s="381">
        <f t="shared" si="130"/>
        <v>0</v>
      </c>
    </row>
    <row r="779" spans="1:25" x14ac:dyDescent="0.2">
      <c r="A779" s="24">
        <f t="shared" si="122"/>
        <v>3.600925806881706</v>
      </c>
      <c r="B779" s="383">
        <v>12.966666666666667</v>
      </c>
      <c r="C779" s="32"/>
      <c r="D779" s="381">
        <f t="shared" si="123"/>
        <v>0</v>
      </c>
      <c r="E779" s="383">
        <v>12.966666666666667</v>
      </c>
      <c r="F779" s="8"/>
      <c r="G779" s="381">
        <f t="shared" si="124"/>
        <v>0</v>
      </c>
      <c r="H779" s="383">
        <v>12.966666666666667</v>
      </c>
      <c r="I779" s="32"/>
      <c r="J779" s="381">
        <f t="shared" si="125"/>
        <v>0</v>
      </c>
      <c r="K779" s="383">
        <v>12.966666666666667</v>
      </c>
      <c r="L779" s="31"/>
      <c r="M779" s="381">
        <f t="shared" si="126"/>
        <v>0</v>
      </c>
      <c r="N779" s="383">
        <v>12.966666666666667</v>
      </c>
      <c r="O779" s="32"/>
      <c r="P779" s="381">
        <f t="shared" si="127"/>
        <v>0</v>
      </c>
      <c r="Q779" s="383">
        <v>12.966666666666667</v>
      </c>
      <c r="R779" s="32"/>
      <c r="S779" s="25">
        <f t="shared" si="128"/>
        <v>0</v>
      </c>
      <c r="T779" s="383">
        <v>12.966666666666667</v>
      </c>
      <c r="U779" s="32"/>
      <c r="V779" s="25">
        <f t="shared" si="131"/>
        <v>0</v>
      </c>
      <c r="W779" s="32">
        <f t="shared" si="132"/>
        <v>12.966666666666667</v>
      </c>
      <c r="X779" s="32">
        <f t="shared" si="129"/>
        <v>0</v>
      </c>
      <c r="Y779" s="381">
        <f t="shared" si="130"/>
        <v>0</v>
      </c>
    </row>
    <row r="780" spans="1:25" x14ac:dyDescent="0.2">
      <c r="A780" s="24">
        <f t="shared" si="122"/>
        <v>3.6032392833856224</v>
      </c>
      <c r="B780" s="383">
        <v>12.983333333333333</v>
      </c>
      <c r="C780" s="32"/>
      <c r="D780" s="381">
        <f t="shared" si="123"/>
        <v>0</v>
      </c>
      <c r="E780" s="383">
        <v>12.983333333333333</v>
      </c>
      <c r="F780" s="8"/>
      <c r="G780" s="381">
        <f t="shared" si="124"/>
        <v>0</v>
      </c>
      <c r="H780" s="383">
        <v>12.983333333333333</v>
      </c>
      <c r="I780" s="32"/>
      <c r="J780" s="381">
        <f t="shared" si="125"/>
        <v>0</v>
      </c>
      <c r="K780" s="383">
        <v>12.983333333333333</v>
      </c>
      <c r="L780" s="31"/>
      <c r="M780" s="381">
        <f t="shared" si="126"/>
        <v>0</v>
      </c>
      <c r="N780" s="383">
        <v>12.983333333333333</v>
      </c>
      <c r="O780" s="32"/>
      <c r="P780" s="381">
        <f t="shared" si="127"/>
        <v>0</v>
      </c>
      <c r="Q780" s="383">
        <v>12.983333333333333</v>
      </c>
      <c r="R780" s="32"/>
      <c r="S780" s="25">
        <f t="shared" si="128"/>
        <v>0</v>
      </c>
      <c r="T780" s="383">
        <v>12.983333333333333</v>
      </c>
      <c r="U780" s="32"/>
      <c r="V780" s="25">
        <f t="shared" si="131"/>
        <v>0</v>
      </c>
      <c r="W780" s="32">
        <f t="shared" si="132"/>
        <v>12.983333333333333</v>
      </c>
      <c r="X780" s="32">
        <f t="shared" si="129"/>
        <v>0</v>
      </c>
      <c r="Y780" s="381">
        <f t="shared" si="130"/>
        <v>0</v>
      </c>
    </row>
    <row r="781" spans="1:25" x14ac:dyDescent="0.2">
      <c r="A781" s="24">
        <f t="shared" si="122"/>
        <v>3.6055512754639891</v>
      </c>
      <c r="B781" s="383">
        <v>13</v>
      </c>
      <c r="C781" s="32"/>
      <c r="D781" s="381">
        <f t="shared" si="123"/>
        <v>0</v>
      </c>
      <c r="E781" s="383">
        <v>13</v>
      </c>
      <c r="F781" s="8"/>
      <c r="G781" s="381">
        <f t="shared" si="124"/>
        <v>0</v>
      </c>
      <c r="H781" s="383">
        <v>13</v>
      </c>
      <c r="I781" s="32"/>
      <c r="J781" s="381">
        <f t="shared" si="125"/>
        <v>0</v>
      </c>
      <c r="K781" s="383">
        <v>13</v>
      </c>
      <c r="L781" s="31"/>
      <c r="M781" s="381">
        <f t="shared" si="126"/>
        <v>0</v>
      </c>
      <c r="N781" s="383">
        <v>13</v>
      </c>
      <c r="O781" s="32"/>
      <c r="P781" s="381">
        <f t="shared" si="127"/>
        <v>0</v>
      </c>
      <c r="Q781" s="383">
        <v>13</v>
      </c>
      <c r="R781" s="32"/>
      <c r="S781" s="25">
        <f t="shared" si="128"/>
        <v>0</v>
      </c>
      <c r="T781" s="383">
        <v>13</v>
      </c>
      <c r="U781" s="32"/>
      <c r="V781" s="25">
        <f t="shared" si="131"/>
        <v>0</v>
      </c>
      <c r="W781" s="32">
        <f t="shared" si="132"/>
        <v>13</v>
      </c>
      <c r="X781" s="32">
        <f t="shared" si="129"/>
        <v>0</v>
      </c>
      <c r="Y781" s="381">
        <f t="shared" si="130"/>
        <v>0</v>
      </c>
    </row>
    <row r="782" spans="1:25" x14ac:dyDescent="0.2">
      <c r="A782" s="24">
        <f t="shared" si="122"/>
        <v>3.6078617859705586</v>
      </c>
      <c r="B782" s="383">
        <v>13.016666666666667</v>
      </c>
      <c r="C782" s="32"/>
      <c r="D782" s="381">
        <f t="shared" si="123"/>
        <v>0</v>
      </c>
      <c r="E782" s="383">
        <v>13.016666666666667</v>
      </c>
      <c r="F782" s="8"/>
      <c r="G782" s="381">
        <f t="shared" si="124"/>
        <v>0</v>
      </c>
      <c r="H782" s="383">
        <v>13.016666666666667</v>
      </c>
      <c r="I782" s="32"/>
      <c r="J782" s="381">
        <f t="shared" si="125"/>
        <v>0</v>
      </c>
      <c r="K782" s="383">
        <v>13.016666666666667</v>
      </c>
      <c r="L782" s="31"/>
      <c r="M782" s="381">
        <f t="shared" si="126"/>
        <v>0</v>
      </c>
      <c r="N782" s="383">
        <v>13.016666666666667</v>
      </c>
      <c r="O782" s="32"/>
      <c r="P782" s="381">
        <f t="shared" si="127"/>
        <v>0</v>
      </c>
      <c r="Q782" s="383">
        <v>13.016666666666667</v>
      </c>
      <c r="R782" s="32"/>
      <c r="S782" s="25">
        <f t="shared" si="128"/>
        <v>0</v>
      </c>
      <c r="T782" s="383">
        <v>13.016666666666667</v>
      </c>
      <c r="U782" s="32"/>
      <c r="V782" s="25">
        <f t="shared" si="131"/>
        <v>0</v>
      </c>
      <c r="W782" s="32">
        <f t="shared" si="132"/>
        <v>13.016666666666667</v>
      </c>
      <c r="X782" s="32">
        <f t="shared" si="129"/>
        <v>0</v>
      </c>
      <c r="Y782" s="381">
        <f t="shared" si="130"/>
        <v>0</v>
      </c>
    </row>
    <row r="783" spans="1:25" x14ac:dyDescent="0.2">
      <c r="A783" s="24">
        <f t="shared" si="122"/>
        <v>3.6101708177499487</v>
      </c>
      <c r="B783" s="383">
        <v>13.033333333333333</v>
      </c>
      <c r="C783" s="32"/>
      <c r="D783" s="381">
        <f t="shared" si="123"/>
        <v>0</v>
      </c>
      <c r="E783" s="383">
        <v>13.033333333333333</v>
      </c>
      <c r="F783" s="8"/>
      <c r="G783" s="381">
        <f t="shared" si="124"/>
        <v>0</v>
      </c>
      <c r="H783" s="383">
        <v>13.033333333333333</v>
      </c>
      <c r="I783" s="32"/>
      <c r="J783" s="381">
        <f t="shared" si="125"/>
        <v>0</v>
      </c>
      <c r="K783" s="383">
        <v>13.033333333333333</v>
      </c>
      <c r="L783" s="31"/>
      <c r="M783" s="381">
        <f t="shared" si="126"/>
        <v>0</v>
      </c>
      <c r="N783" s="383">
        <v>13.033333333333333</v>
      </c>
      <c r="O783" s="32"/>
      <c r="P783" s="381">
        <f t="shared" si="127"/>
        <v>0</v>
      </c>
      <c r="Q783" s="383">
        <v>13.033333333333333</v>
      </c>
      <c r="R783" s="32"/>
      <c r="S783" s="25">
        <f t="shared" si="128"/>
        <v>0</v>
      </c>
      <c r="T783" s="383">
        <v>13.033333333333333</v>
      </c>
      <c r="U783" s="32"/>
      <c r="V783" s="25">
        <f t="shared" si="131"/>
        <v>0</v>
      </c>
      <c r="W783" s="32">
        <f t="shared" si="132"/>
        <v>13.033333333333333</v>
      </c>
      <c r="X783" s="32">
        <f t="shared" si="129"/>
        <v>0</v>
      </c>
      <c r="Y783" s="381">
        <f t="shared" si="130"/>
        <v>0</v>
      </c>
    </row>
    <row r="784" spans="1:25" x14ac:dyDescent="0.2">
      <c r="A784" s="24">
        <f t="shared" si="122"/>
        <v>3.6124783736376886</v>
      </c>
      <c r="B784" s="383">
        <v>13.05</v>
      </c>
      <c r="C784" s="32"/>
      <c r="D784" s="381">
        <f t="shared" si="123"/>
        <v>0</v>
      </c>
      <c r="E784" s="383">
        <v>13.05</v>
      </c>
      <c r="F784" s="8"/>
      <c r="G784" s="381">
        <f t="shared" si="124"/>
        <v>0</v>
      </c>
      <c r="H784" s="383">
        <v>13.05</v>
      </c>
      <c r="I784" s="32"/>
      <c r="J784" s="381">
        <f t="shared" si="125"/>
        <v>0</v>
      </c>
      <c r="K784" s="383">
        <v>13.05</v>
      </c>
      <c r="L784" s="31"/>
      <c r="M784" s="381">
        <f t="shared" si="126"/>
        <v>0</v>
      </c>
      <c r="N784" s="383">
        <v>13.05</v>
      </c>
      <c r="O784" s="32"/>
      <c r="P784" s="381">
        <f t="shared" si="127"/>
        <v>0</v>
      </c>
      <c r="Q784" s="383">
        <v>13.05</v>
      </c>
      <c r="R784" s="32"/>
      <c r="S784" s="25">
        <f t="shared" si="128"/>
        <v>0</v>
      </c>
      <c r="T784" s="383">
        <v>13.05</v>
      </c>
      <c r="U784" s="32"/>
      <c r="V784" s="25">
        <f t="shared" si="131"/>
        <v>0</v>
      </c>
      <c r="W784" s="32">
        <f t="shared" si="132"/>
        <v>13.05</v>
      </c>
      <c r="X784" s="32">
        <f t="shared" si="129"/>
        <v>0</v>
      </c>
      <c r="Y784" s="381">
        <f t="shared" si="130"/>
        <v>0</v>
      </c>
    </row>
    <row r="785" spans="1:25" x14ac:dyDescent="0.2">
      <c r="A785" s="24">
        <f t="shared" si="122"/>
        <v>3.6147844564602556</v>
      </c>
      <c r="B785" s="383">
        <v>13.066666666666666</v>
      </c>
      <c r="C785" s="32"/>
      <c r="D785" s="381">
        <f t="shared" si="123"/>
        <v>0</v>
      </c>
      <c r="E785" s="383">
        <v>13.066666666666666</v>
      </c>
      <c r="F785" s="8"/>
      <c r="G785" s="381">
        <f t="shared" si="124"/>
        <v>0</v>
      </c>
      <c r="H785" s="383">
        <v>13.066666666666666</v>
      </c>
      <c r="I785" s="32"/>
      <c r="J785" s="381">
        <f t="shared" si="125"/>
        <v>0</v>
      </c>
      <c r="K785" s="383">
        <v>13.066666666666666</v>
      </c>
      <c r="L785" s="31"/>
      <c r="M785" s="381">
        <f t="shared" si="126"/>
        <v>0</v>
      </c>
      <c r="N785" s="383">
        <v>13.066666666666666</v>
      </c>
      <c r="O785" s="32"/>
      <c r="P785" s="381">
        <f t="shared" si="127"/>
        <v>0</v>
      </c>
      <c r="Q785" s="383">
        <v>13.066666666666666</v>
      </c>
      <c r="R785" s="32"/>
      <c r="S785" s="25">
        <f t="shared" si="128"/>
        <v>0</v>
      </c>
      <c r="T785" s="383">
        <v>13.066666666666666</v>
      </c>
      <c r="U785" s="32"/>
      <c r="V785" s="25">
        <f t="shared" si="131"/>
        <v>0</v>
      </c>
      <c r="W785" s="32">
        <f t="shared" si="132"/>
        <v>13.066666666666666</v>
      </c>
      <c r="X785" s="32">
        <f t="shared" si="129"/>
        <v>0</v>
      </c>
      <c r="Y785" s="381">
        <f t="shared" si="130"/>
        <v>0</v>
      </c>
    </row>
    <row r="786" spans="1:25" x14ac:dyDescent="0.2">
      <c r="A786" s="24">
        <f t="shared" si="122"/>
        <v>3.6170890690351176</v>
      </c>
      <c r="B786" s="383">
        <v>13.083333333333334</v>
      </c>
      <c r="C786" s="32"/>
      <c r="D786" s="381">
        <f t="shared" si="123"/>
        <v>0</v>
      </c>
      <c r="E786" s="383">
        <v>13.083333333333334</v>
      </c>
      <c r="F786" s="8"/>
      <c r="G786" s="381">
        <f t="shared" si="124"/>
        <v>0</v>
      </c>
      <c r="H786" s="383">
        <v>13.083333333333334</v>
      </c>
      <c r="I786" s="32"/>
      <c r="J786" s="381">
        <f t="shared" si="125"/>
        <v>0</v>
      </c>
      <c r="K786" s="383">
        <v>13.083333333333334</v>
      </c>
      <c r="L786" s="31"/>
      <c r="M786" s="381">
        <f t="shared" si="126"/>
        <v>0</v>
      </c>
      <c r="N786" s="383">
        <v>13.083333333333334</v>
      </c>
      <c r="O786" s="32"/>
      <c r="P786" s="381">
        <f t="shared" si="127"/>
        <v>0</v>
      </c>
      <c r="Q786" s="383">
        <v>13.083333333333334</v>
      </c>
      <c r="R786" s="32"/>
      <c r="S786" s="25">
        <f t="shared" si="128"/>
        <v>0</v>
      </c>
      <c r="T786" s="383">
        <v>13.083333333333334</v>
      </c>
      <c r="U786" s="32"/>
      <c r="V786" s="25">
        <f t="shared" si="131"/>
        <v>0</v>
      </c>
      <c r="W786" s="32">
        <f t="shared" si="132"/>
        <v>13.083333333333334</v>
      </c>
      <c r="X786" s="32">
        <f t="shared" si="129"/>
        <v>0</v>
      </c>
      <c r="Y786" s="381">
        <f t="shared" si="130"/>
        <v>0</v>
      </c>
    </row>
    <row r="787" spans="1:25" x14ac:dyDescent="0.2">
      <c r="A787" s="24">
        <f t="shared" si="122"/>
        <v>3.6193922141707713</v>
      </c>
      <c r="B787" s="383">
        <v>13.1</v>
      </c>
      <c r="C787" s="32"/>
      <c r="D787" s="381">
        <f t="shared" si="123"/>
        <v>0</v>
      </c>
      <c r="E787" s="383">
        <v>13.1</v>
      </c>
      <c r="F787" s="8"/>
      <c r="G787" s="381">
        <f t="shared" si="124"/>
        <v>0</v>
      </c>
      <c r="H787" s="383">
        <v>13.1</v>
      </c>
      <c r="I787" s="32"/>
      <c r="J787" s="381">
        <f t="shared" si="125"/>
        <v>0</v>
      </c>
      <c r="K787" s="383">
        <v>13.1</v>
      </c>
      <c r="L787" s="31"/>
      <c r="M787" s="381">
        <f t="shared" si="126"/>
        <v>0</v>
      </c>
      <c r="N787" s="383">
        <v>13.1</v>
      </c>
      <c r="O787" s="32"/>
      <c r="P787" s="381">
        <f t="shared" si="127"/>
        <v>0</v>
      </c>
      <c r="Q787" s="383">
        <v>13.1</v>
      </c>
      <c r="R787" s="32"/>
      <c r="S787" s="25">
        <f t="shared" si="128"/>
        <v>0</v>
      </c>
      <c r="T787" s="383">
        <v>13.1</v>
      </c>
      <c r="U787" s="32"/>
      <c r="V787" s="25">
        <f t="shared" si="131"/>
        <v>0</v>
      </c>
      <c r="W787" s="32">
        <f t="shared" si="132"/>
        <v>13.1</v>
      </c>
      <c r="X787" s="32">
        <f t="shared" si="129"/>
        <v>0</v>
      </c>
      <c r="Y787" s="381">
        <f t="shared" si="130"/>
        <v>0</v>
      </c>
    </row>
    <row r="788" spans="1:25" x14ac:dyDescent="0.2">
      <c r="A788" s="24">
        <f t="shared" si="122"/>
        <v>3.6216938946667852</v>
      </c>
      <c r="B788" s="383">
        <v>13.116666666666667</v>
      </c>
      <c r="C788" s="32"/>
      <c r="D788" s="381">
        <f t="shared" si="123"/>
        <v>0</v>
      </c>
      <c r="E788" s="383">
        <v>13.116666666666667</v>
      </c>
      <c r="F788" s="8"/>
      <c r="G788" s="381">
        <f t="shared" si="124"/>
        <v>0</v>
      </c>
      <c r="H788" s="383">
        <v>13.116666666666667</v>
      </c>
      <c r="I788" s="32"/>
      <c r="J788" s="381">
        <f t="shared" si="125"/>
        <v>0</v>
      </c>
      <c r="K788" s="383">
        <v>13.116666666666667</v>
      </c>
      <c r="L788" s="31"/>
      <c r="M788" s="381">
        <f t="shared" si="126"/>
        <v>0</v>
      </c>
      <c r="N788" s="383">
        <v>13.116666666666667</v>
      </c>
      <c r="O788" s="32"/>
      <c r="P788" s="381">
        <f t="shared" si="127"/>
        <v>0</v>
      </c>
      <c r="Q788" s="383">
        <v>13.116666666666667</v>
      </c>
      <c r="R788" s="32"/>
      <c r="S788" s="25">
        <f t="shared" si="128"/>
        <v>0</v>
      </c>
      <c r="T788" s="383">
        <v>13.116666666666667</v>
      </c>
      <c r="U788" s="32"/>
      <c r="V788" s="25">
        <f t="shared" si="131"/>
        <v>0</v>
      </c>
      <c r="W788" s="32">
        <f t="shared" si="132"/>
        <v>13.116666666666667</v>
      </c>
      <c r="X788" s="32">
        <f t="shared" si="129"/>
        <v>0</v>
      </c>
      <c r="Y788" s="381">
        <f t="shared" si="130"/>
        <v>0</v>
      </c>
    </row>
    <row r="789" spans="1:25" x14ac:dyDescent="0.2">
      <c r="A789" s="24">
        <f t="shared" si="122"/>
        <v>3.6239941133138354</v>
      </c>
      <c r="B789" s="383">
        <v>13.133333333333333</v>
      </c>
      <c r="C789" s="32"/>
      <c r="D789" s="381">
        <f t="shared" si="123"/>
        <v>0</v>
      </c>
      <c r="E789" s="383">
        <v>13.133333333333333</v>
      </c>
      <c r="F789" s="8"/>
      <c r="G789" s="381">
        <f t="shared" si="124"/>
        <v>0</v>
      </c>
      <c r="H789" s="383">
        <v>13.133333333333333</v>
      </c>
      <c r="I789" s="32"/>
      <c r="J789" s="381">
        <f t="shared" si="125"/>
        <v>0</v>
      </c>
      <c r="K789" s="383">
        <v>13.133333333333333</v>
      </c>
      <c r="L789" s="31"/>
      <c r="M789" s="381">
        <f t="shared" si="126"/>
        <v>0</v>
      </c>
      <c r="N789" s="383">
        <v>13.133333333333333</v>
      </c>
      <c r="O789" s="32"/>
      <c r="P789" s="381">
        <f t="shared" si="127"/>
        <v>0</v>
      </c>
      <c r="Q789" s="383">
        <v>13.133333333333333</v>
      </c>
      <c r="R789" s="32"/>
      <c r="S789" s="25">
        <f t="shared" si="128"/>
        <v>0</v>
      </c>
      <c r="T789" s="383">
        <v>13.133333333333333</v>
      </c>
      <c r="U789" s="32"/>
      <c r="V789" s="25">
        <f t="shared" si="131"/>
        <v>0</v>
      </c>
      <c r="W789" s="32">
        <f t="shared" si="132"/>
        <v>13.133333333333333</v>
      </c>
      <c r="X789" s="32">
        <f t="shared" si="129"/>
        <v>0</v>
      </c>
      <c r="Y789" s="381">
        <f t="shared" si="130"/>
        <v>0</v>
      </c>
    </row>
    <row r="790" spans="1:25" x14ac:dyDescent="0.2">
      <c r="A790" s="24">
        <f t="shared" si="122"/>
        <v>3.6262928728937491</v>
      </c>
      <c r="B790" s="383">
        <v>13.15</v>
      </c>
      <c r="C790" s="32"/>
      <c r="D790" s="381">
        <f t="shared" si="123"/>
        <v>0</v>
      </c>
      <c r="E790" s="383">
        <v>13.15</v>
      </c>
      <c r="F790" s="8"/>
      <c r="G790" s="381">
        <f t="shared" si="124"/>
        <v>0</v>
      </c>
      <c r="H790" s="383">
        <v>13.15</v>
      </c>
      <c r="I790" s="32"/>
      <c r="J790" s="381">
        <f t="shared" si="125"/>
        <v>0</v>
      </c>
      <c r="K790" s="383">
        <v>13.15</v>
      </c>
      <c r="L790" s="31"/>
      <c r="M790" s="381">
        <f t="shared" si="126"/>
        <v>0</v>
      </c>
      <c r="N790" s="383">
        <v>13.15</v>
      </c>
      <c r="O790" s="32"/>
      <c r="P790" s="381">
        <f t="shared" si="127"/>
        <v>0</v>
      </c>
      <c r="Q790" s="383">
        <v>13.15</v>
      </c>
      <c r="R790" s="32"/>
      <c r="S790" s="25">
        <f t="shared" si="128"/>
        <v>0</v>
      </c>
      <c r="T790" s="383">
        <v>13.15</v>
      </c>
      <c r="U790" s="32"/>
      <c r="V790" s="25">
        <f t="shared" si="131"/>
        <v>0</v>
      </c>
      <c r="W790" s="32">
        <f t="shared" si="132"/>
        <v>13.15</v>
      </c>
      <c r="X790" s="32">
        <f t="shared" si="129"/>
        <v>0</v>
      </c>
      <c r="Y790" s="381">
        <f t="shared" si="130"/>
        <v>0</v>
      </c>
    </row>
    <row r="791" spans="1:25" x14ac:dyDescent="0.2">
      <c r="A791" s="24">
        <f t="shared" si="122"/>
        <v>3.6285901761795403</v>
      </c>
      <c r="B791" s="383">
        <v>13.166666666666666</v>
      </c>
      <c r="C791" s="32"/>
      <c r="D791" s="381">
        <f t="shared" si="123"/>
        <v>0</v>
      </c>
      <c r="E791" s="383">
        <v>13.166666666666666</v>
      </c>
      <c r="F791" s="8"/>
      <c r="G791" s="381">
        <f t="shared" si="124"/>
        <v>0</v>
      </c>
      <c r="H791" s="383">
        <v>13.166666666666666</v>
      </c>
      <c r="I791" s="32"/>
      <c r="J791" s="381">
        <f t="shared" si="125"/>
        <v>0</v>
      </c>
      <c r="K791" s="383">
        <v>13.166666666666666</v>
      </c>
      <c r="L791" s="31"/>
      <c r="M791" s="381">
        <f t="shared" si="126"/>
        <v>0</v>
      </c>
      <c r="N791" s="383">
        <v>13.166666666666666</v>
      </c>
      <c r="O791" s="32"/>
      <c r="P791" s="381">
        <f t="shared" si="127"/>
        <v>0</v>
      </c>
      <c r="Q791" s="383">
        <v>13.166666666666666</v>
      </c>
      <c r="R791" s="32"/>
      <c r="S791" s="25">
        <f t="shared" si="128"/>
        <v>0</v>
      </c>
      <c r="T791" s="383">
        <v>13.166666666666666</v>
      </c>
      <c r="U791" s="32"/>
      <c r="V791" s="25">
        <f t="shared" si="131"/>
        <v>0</v>
      </c>
      <c r="W791" s="32">
        <f t="shared" si="132"/>
        <v>13.166666666666666</v>
      </c>
      <c r="X791" s="32">
        <f t="shared" si="129"/>
        <v>0</v>
      </c>
      <c r="Y791" s="381">
        <f t="shared" si="130"/>
        <v>0</v>
      </c>
    </row>
    <row r="792" spans="1:25" x14ac:dyDescent="0.2">
      <c r="A792" s="24">
        <f t="shared" si="122"/>
        <v>3.630886025935451</v>
      </c>
      <c r="B792" s="383">
        <v>13.183333333333334</v>
      </c>
      <c r="C792" s="32"/>
      <c r="D792" s="381">
        <f t="shared" si="123"/>
        <v>0</v>
      </c>
      <c r="E792" s="383">
        <v>13.183333333333334</v>
      </c>
      <c r="F792" s="8"/>
      <c r="G792" s="381">
        <f t="shared" si="124"/>
        <v>0</v>
      </c>
      <c r="H792" s="383">
        <v>13.183333333333334</v>
      </c>
      <c r="I792" s="32"/>
      <c r="J792" s="381">
        <f t="shared" si="125"/>
        <v>0</v>
      </c>
      <c r="K792" s="383">
        <v>13.183333333333334</v>
      </c>
      <c r="L792" s="31"/>
      <c r="M792" s="381">
        <f t="shared" si="126"/>
        <v>0</v>
      </c>
      <c r="N792" s="383">
        <v>13.183333333333334</v>
      </c>
      <c r="O792" s="32"/>
      <c r="P792" s="381">
        <f t="shared" si="127"/>
        <v>0</v>
      </c>
      <c r="Q792" s="383">
        <v>13.183333333333334</v>
      </c>
      <c r="R792" s="32"/>
      <c r="S792" s="25">
        <f t="shared" si="128"/>
        <v>0</v>
      </c>
      <c r="T792" s="383">
        <v>13.183333333333334</v>
      </c>
      <c r="U792" s="32"/>
      <c r="V792" s="25">
        <f t="shared" si="131"/>
        <v>0</v>
      </c>
      <c r="W792" s="32">
        <f t="shared" si="132"/>
        <v>13.183333333333334</v>
      </c>
      <c r="X792" s="32">
        <f t="shared" si="129"/>
        <v>0</v>
      </c>
      <c r="Y792" s="381">
        <f t="shared" si="130"/>
        <v>0</v>
      </c>
    </row>
    <row r="793" spans="1:25" x14ac:dyDescent="0.2">
      <c r="A793" s="24">
        <f t="shared" si="122"/>
        <v>3.6331804249169899</v>
      </c>
      <c r="B793" s="383">
        <v>13.2</v>
      </c>
      <c r="C793" s="32"/>
      <c r="D793" s="381">
        <f t="shared" si="123"/>
        <v>0</v>
      </c>
      <c r="E793" s="383">
        <v>13.2</v>
      </c>
      <c r="F793" s="8"/>
      <c r="G793" s="381">
        <f t="shared" si="124"/>
        <v>0</v>
      </c>
      <c r="H793" s="383">
        <v>13.2</v>
      </c>
      <c r="I793" s="32"/>
      <c r="J793" s="381">
        <f t="shared" si="125"/>
        <v>0</v>
      </c>
      <c r="K793" s="383">
        <v>13.2</v>
      </c>
      <c r="L793" s="31"/>
      <c r="M793" s="381">
        <f t="shared" si="126"/>
        <v>0</v>
      </c>
      <c r="N793" s="383">
        <v>13.2</v>
      </c>
      <c r="O793" s="32"/>
      <c r="P793" s="381">
        <f t="shared" si="127"/>
        <v>0</v>
      </c>
      <c r="Q793" s="383">
        <v>13.2</v>
      </c>
      <c r="R793" s="32"/>
      <c r="S793" s="25">
        <f t="shared" si="128"/>
        <v>0</v>
      </c>
      <c r="T793" s="383">
        <v>13.2</v>
      </c>
      <c r="U793" s="32"/>
      <c r="V793" s="25">
        <f t="shared" si="131"/>
        <v>0</v>
      </c>
      <c r="W793" s="32">
        <f t="shared" si="132"/>
        <v>13.2</v>
      </c>
      <c r="X793" s="32">
        <f t="shared" si="129"/>
        <v>0</v>
      </c>
      <c r="Y793" s="381">
        <f t="shared" si="130"/>
        <v>0</v>
      </c>
    </row>
    <row r="794" spans="1:25" x14ac:dyDescent="0.2">
      <c r="A794" s="24">
        <f t="shared" si="122"/>
        <v>3.6354733758709701</v>
      </c>
      <c r="B794" s="383">
        <v>13.216666666666667</v>
      </c>
      <c r="C794" s="32"/>
      <c r="D794" s="381">
        <f t="shared" si="123"/>
        <v>0</v>
      </c>
      <c r="E794" s="383">
        <v>13.216666666666667</v>
      </c>
      <c r="F794" s="8"/>
      <c r="G794" s="381">
        <f t="shared" si="124"/>
        <v>0</v>
      </c>
      <c r="H794" s="383">
        <v>13.216666666666667</v>
      </c>
      <c r="I794" s="32"/>
      <c r="J794" s="381">
        <f t="shared" si="125"/>
        <v>0</v>
      </c>
      <c r="K794" s="383">
        <v>13.216666666666667</v>
      </c>
      <c r="L794" s="31"/>
      <c r="M794" s="381">
        <f t="shared" si="126"/>
        <v>0</v>
      </c>
      <c r="N794" s="383">
        <v>13.216666666666667</v>
      </c>
      <c r="O794" s="32"/>
      <c r="P794" s="381">
        <f t="shared" si="127"/>
        <v>0</v>
      </c>
      <c r="Q794" s="383">
        <v>13.216666666666667</v>
      </c>
      <c r="R794" s="32"/>
      <c r="S794" s="25">
        <f t="shared" si="128"/>
        <v>0</v>
      </c>
      <c r="T794" s="383">
        <v>13.216666666666667</v>
      </c>
      <c r="U794" s="32"/>
      <c r="V794" s="25">
        <f t="shared" si="131"/>
        <v>0</v>
      </c>
      <c r="W794" s="32">
        <f t="shared" si="132"/>
        <v>13.216666666666667</v>
      </c>
      <c r="X794" s="32">
        <f t="shared" si="129"/>
        <v>0</v>
      </c>
      <c r="Y794" s="381">
        <f t="shared" si="130"/>
        <v>0</v>
      </c>
    </row>
    <row r="795" spans="1:25" x14ac:dyDescent="0.2">
      <c r="A795" s="24">
        <f t="shared" si="122"/>
        <v>3.637764881535547</v>
      </c>
      <c r="B795" s="383">
        <v>13.233333333333333</v>
      </c>
      <c r="C795" s="32"/>
      <c r="D795" s="381">
        <f t="shared" si="123"/>
        <v>0</v>
      </c>
      <c r="E795" s="383">
        <v>13.233333333333333</v>
      </c>
      <c r="F795" s="8"/>
      <c r="G795" s="381">
        <f t="shared" si="124"/>
        <v>0</v>
      </c>
      <c r="H795" s="383">
        <v>13.233333333333333</v>
      </c>
      <c r="I795" s="32"/>
      <c r="J795" s="381">
        <f t="shared" si="125"/>
        <v>0</v>
      </c>
      <c r="K795" s="383">
        <v>13.233333333333333</v>
      </c>
      <c r="L795" s="31"/>
      <c r="M795" s="381">
        <f t="shared" si="126"/>
        <v>0</v>
      </c>
      <c r="N795" s="383">
        <v>13.233333333333333</v>
      </c>
      <c r="O795" s="32"/>
      <c r="P795" s="381">
        <f t="shared" si="127"/>
        <v>0</v>
      </c>
      <c r="Q795" s="383">
        <v>13.233333333333333</v>
      </c>
      <c r="R795" s="32"/>
      <c r="S795" s="25">
        <f t="shared" si="128"/>
        <v>0</v>
      </c>
      <c r="T795" s="383">
        <v>13.233333333333333</v>
      </c>
      <c r="U795" s="32"/>
      <c r="V795" s="25">
        <f t="shared" si="131"/>
        <v>0</v>
      </c>
      <c r="W795" s="32">
        <f t="shared" si="132"/>
        <v>13.233333333333333</v>
      </c>
      <c r="X795" s="32">
        <f t="shared" si="129"/>
        <v>0</v>
      </c>
      <c r="Y795" s="381">
        <f t="shared" si="130"/>
        <v>0</v>
      </c>
    </row>
    <row r="796" spans="1:25" x14ac:dyDescent="0.2">
      <c r="A796" s="24">
        <f t="shared" si="122"/>
        <v>3.640054944640259</v>
      </c>
      <c r="B796" s="383">
        <v>13.25</v>
      </c>
      <c r="C796" s="32"/>
      <c r="D796" s="381">
        <f t="shared" si="123"/>
        <v>0</v>
      </c>
      <c r="E796" s="383">
        <v>13.25</v>
      </c>
      <c r="F796" s="8"/>
      <c r="G796" s="381">
        <f t="shared" si="124"/>
        <v>0</v>
      </c>
      <c r="H796" s="383">
        <v>13.25</v>
      </c>
      <c r="I796" s="32"/>
      <c r="J796" s="381">
        <f t="shared" si="125"/>
        <v>0</v>
      </c>
      <c r="K796" s="383">
        <v>13.25</v>
      </c>
      <c r="L796" s="31"/>
      <c r="M796" s="381">
        <f t="shared" si="126"/>
        <v>0</v>
      </c>
      <c r="N796" s="383">
        <v>13.25</v>
      </c>
      <c r="O796" s="32"/>
      <c r="P796" s="381">
        <f t="shared" si="127"/>
        <v>0</v>
      </c>
      <c r="Q796" s="383">
        <v>13.25</v>
      </c>
      <c r="R796" s="32"/>
      <c r="S796" s="25">
        <f t="shared" si="128"/>
        <v>0</v>
      </c>
      <c r="T796" s="383">
        <v>13.25</v>
      </c>
      <c r="U796" s="32"/>
      <c r="V796" s="25">
        <f t="shared" si="131"/>
        <v>0</v>
      </c>
      <c r="W796" s="32">
        <f t="shared" si="132"/>
        <v>13.25</v>
      </c>
      <c r="X796" s="32">
        <f t="shared" si="129"/>
        <v>0</v>
      </c>
      <c r="Y796" s="381">
        <f t="shared" si="130"/>
        <v>0</v>
      </c>
    </row>
    <row r="797" spans="1:25" x14ac:dyDescent="0.2">
      <c r="A797" s="24">
        <f t="shared" si="122"/>
        <v>3.642343567906063</v>
      </c>
      <c r="B797" s="383">
        <v>13.266666666666667</v>
      </c>
      <c r="C797" s="32"/>
      <c r="D797" s="381">
        <f t="shared" si="123"/>
        <v>0</v>
      </c>
      <c r="E797" s="383">
        <v>13.266666666666667</v>
      </c>
      <c r="F797" s="8"/>
      <c r="G797" s="381">
        <f t="shared" si="124"/>
        <v>0</v>
      </c>
      <c r="H797" s="383">
        <v>13.266666666666667</v>
      </c>
      <c r="I797" s="32"/>
      <c r="J797" s="381">
        <f t="shared" si="125"/>
        <v>0</v>
      </c>
      <c r="K797" s="383">
        <v>13.266666666666667</v>
      </c>
      <c r="L797" s="31"/>
      <c r="M797" s="381">
        <f t="shared" si="126"/>
        <v>0</v>
      </c>
      <c r="N797" s="383">
        <v>13.266666666666667</v>
      </c>
      <c r="O797" s="32"/>
      <c r="P797" s="381">
        <f t="shared" si="127"/>
        <v>0</v>
      </c>
      <c r="Q797" s="383">
        <v>13.266666666666667</v>
      </c>
      <c r="R797" s="32"/>
      <c r="S797" s="25">
        <f t="shared" si="128"/>
        <v>0</v>
      </c>
      <c r="T797" s="383">
        <v>13.266666666666667</v>
      </c>
      <c r="U797" s="32"/>
      <c r="V797" s="25">
        <f t="shared" si="131"/>
        <v>0</v>
      </c>
      <c r="W797" s="32">
        <f t="shared" si="132"/>
        <v>13.266666666666667</v>
      </c>
      <c r="X797" s="32">
        <f t="shared" si="129"/>
        <v>0</v>
      </c>
      <c r="Y797" s="381">
        <f t="shared" si="130"/>
        <v>0</v>
      </c>
    </row>
    <row r="798" spans="1:25" x14ac:dyDescent="0.2">
      <c r="A798" s="24">
        <f t="shared" si="122"/>
        <v>3.6446307540453713</v>
      </c>
      <c r="B798" s="383">
        <v>13.283333333333333</v>
      </c>
      <c r="C798" s="32"/>
      <c r="D798" s="381">
        <f t="shared" si="123"/>
        <v>0</v>
      </c>
      <c r="E798" s="383">
        <v>13.283333333333333</v>
      </c>
      <c r="F798" s="8"/>
      <c r="G798" s="381">
        <f t="shared" si="124"/>
        <v>0</v>
      </c>
      <c r="H798" s="383">
        <v>13.283333333333333</v>
      </c>
      <c r="I798" s="32"/>
      <c r="J798" s="381">
        <f t="shared" si="125"/>
        <v>0</v>
      </c>
      <c r="K798" s="383">
        <v>13.283333333333333</v>
      </c>
      <c r="L798" s="31"/>
      <c r="M798" s="381">
        <f t="shared" si="126"/>
        <v>0</v>
      </c>
      <c r="N798" s="383">
        <v>13.283333333333333</v>
      </c>
      <c r="O798" s="32"/>
      <c r="P798" s="381">
        <f t="shared" si="127"/>
        <v>0</v>
      </c>
      <c r="Q798" s="383">
        <v>13.283333333333333</v>
      </c>
      <c r="R798" s="32"/>
      <c r="S798" s="25">
        <f t="shared" si="128"/>
        <v>0</v>
      </c>
      <c r="T798" s="383">
        <v>13.283333333333333</v>
      </c>
      <c r="U798" s="32"/>
      <c r="V798" s="25">
        <f t="shared" si="131"/>
        <v>0</v>
      </c>
      <c r="W798" s="32">
        <f t="shared" si="132"/>
        <v>13.283333333333333</v>
      </c>
      <c r="X798" s="32">
        <f t="shared" si="129"/>
        <v>0</v>
      </c>
      <c r="Y798" s="381">
        <f t="shared" si="130"/>
        <v>0</v>
      </c>
    </row>
    <row r="799" spans="1:25" x14ac:dyDescent="0.2">
      <c r="A799" s="24">
        <f t="shared" si="122"/>
        <v>3.646916505762094</v>
      </c>
      <c r="B799" s="383">
        <v>13.3</v>
      </c>
      <c r="C799" s="32"/>
      <c r="D799" s="381">
        <f t="shared" si="123"/>
        <v>0</v>
      </c>
      <c r="E799" s="383">
        <v>13.3</v>
      </c>
      <c r="F799" s="8"/>
      <c r="G799" s="381">
        <f t="shared" si="124"/>
        <v>0</v>
      </c>
      <c r="H799" s="383">
        <v>13.3</v>
      </c>
      <c r="I799" s="32"/>
      <c r="J799" s="381">
        <f t="shared" si="125"/>
        <v>0</v>
      </c>
      <c r="K799" s="383">
        <v>13.3</v>
      </c>
      <c r="L799" s="31"/>
      <c r="M799" s="381">
        <f t="shared" si="126"/>
        <v>0</v>
      </c>
      <c r="N799" s="383">
        <v>13.3</v>
      </c>
      <c r="O799" s="32"/>
      <c r="P799" s="381">
        <f t="shared" si="127"/>
        <v>0</v>
      </c>
      <c r="Q799" s="383">
        <v>13.3</v>
      </c>
      <c r="R799" s="32"/>
      <c r="S799" s="25">
        <f t="shared" si="128"/>
        <v>0</v>
      </c>
      <c r="T799" s="383">
        <v>13.3</v>
      </c>
      <c r="U799" s="32"/>
      <c r="V799" s="25">
        <f t="shared" si="131"/>
        <v>0</v>
      </c>
      <c r="W799" s="32">
        <f t="shared" si="132"/>
        <v>13.3</v>
      </c>
      <c r="X799" s="32">
        <f t="shared" si="129"/>
        <v>0</v>
      </c>
      <c r="Y799" s="381">
        <f t="shared" si="130"/>
        <v>0</v>
      </c>
    </row>
    <row r="800" spans="1:25" x14ac:dyDescent="0.2">
      <c r="A800" s="24">
        <f t="shared" si="122"/>
        <v>3.6492008257516693</v>
      </c>
      <c r="B800" s="383">
        <v>13.316666666666666</v>
      </c>
      <c r="C800" s="32"/>
      <c r="D800" s="381">
        <f t="shared" si="123"/>
        <v>0</v>
      </c>
      <c r="E800" s="383">
        <v>13.316666666666666</v>
      </c>
      <c r="F800" s="8"/>
      <c r="G800" s="381">
        <f t="shared" si="124"/>
        <v>0</v>
      </c>
      <c r="H800" s="383">
        <v>13.316666666666666</v>
      </c>
      <c r="I800" s="32"/>
      <c r="J800" s="381">
        <f t="shared" si="125"/>
        <v>0</v>
      </c>
      <c r="K800" s="383">
        <v>13.316666666666666</v>
      </c>
      <c r="L800" s="31"/>
      <c r="M800" s="381">
        <f t="shared" si="126"/>
        <v>0</v>
      </c>
      <c r="N800" s="383">
        <v>13.316666666666666</v>
      </c>
      <c r="O800" s="32"/>
      <c r="P800" s="381">
        <f t="shared" si="127"/>
        <v>0</v>
      </c>
      <c r="Q800" s="383">
        <v>13.316666666666666</v>
      </c>
      <c r="R800" s="32"/>
      <c r="S800" s="25">
        <f t="shared" si="128"/>
        <v>0</v>
      </c>
      <c r="T800" s="383">
        <v>13.316666666666666</v>
      </c>
      <c r="U800" s="32"/>
      <c r="V800" s="25">
        <f t="shared" si="131"/>
        <v>0</v>
      </c>
      <c r="W800" s="32">
        <f t="shared" si="132"/>
        <v>13.316666666666666</v>
      </c>
      <c r="X800" s="32">
        <f t="shared" si="129"/>
        <v>0</v>
      </c>
      <c r="Y800" s="381">
        <f t="shared" si="130"/>
        <v>0</v>
      </c>
    </row>
    <row r="801" spans="1:25" x14ac:dyDescent="0.2">
      <c r="A801" s="24">
        <f t="shared" si="122"/>
        <v>3.6514837167011076</v>
      </c>
      <c r="B801" s="383">
        <v>13.333333333333334</v>
      </c>
      <c r="C801" s="32"/>
      <c r="D801" s="381">
        <f t="shared" si="123"/>
        <v>0</v>
      </c>
      <c r="E801" s="383">
        <v>13.333333333333334</v>
      </c>
      <c r="F801" s="8"/>
      <c r="G801" s="381">
        <f t="shared" si="124"/>
        <v>0</v>
      </c>
      <c r="H801" s="383">
        <v>13.333333333333334</v>
      </c>
      <c r="I801" s="32"/>
      <c r="J801" s="381">
        <f t="shared" si="125"/>
        <v>0</v>
      </c>
      <c r="K801" s="383">
        <v>13.333333333333334</v>
      </c>
      <c r="L801" s="31"/>
      <c r="M801" s="381">
        <f t="shared" si="126"/>
        <v>0</v>
      </c>
      <c r="N801" s="383">
        <v>13.333333333333334</v>
      </c>
      <c r="O801" s="32"/>
      <c r="P801" s="381">
        <f t="shared" si="127"/>
        <v>0</v>
      </c>
      <c r="Q801" s="383">
        <v>13.333333333333334</v>
      </c>
      <c r="R801" s="32"/>
      <c r="S801" s="25">
        <f t="shared" si="128"/>
        <v>0</v>
      </c>
      <c r="T801" s="383">
        <v>13.333333333333334</v>
      </c>
      <c r="U801" s="32"/>
      <c r="V801" s="25">
        <f t="shared" si="131"/>
        <v>0</v>
      </c>
      <c r="W801" s="32">
        <f t="shared" si="132"/>
        <v>13.333333333333334</v>
      </c>
      <c r="X801" s="32">
        <f t="shared" si="129"/>
        <v>0</v>
      </c>
      <c r="Y801" s="381">
        <f t="shared" si="130"/>
        <v>0</v>
      </c>
    </row>
    <row r="802" spans="1:25" x14ac:dyDescent="0.2">
      <c r="A802" s="24">
        <f t="shared" si="122"/>
        <v>3.6537651812890219</v>
      </c>
      <c r="B802" s="383">
        <v>13.35</v>
      </c>
      <c r="C802" s="32"/>
      <c r="D802" s="381">
        <f t="shared" si="123"/>
        <v>0</v>
      </c>
      <c r="E802" s="383">
        <v>13.35</v>
      </c>
      <c r="F802" s="8"/>
      <c r="G802" s="381">
        <f t="shared" si="124"/>
        <v>0</v>
      </c>
      <c r="H802" s="383">
        <v>13.35</v>
      </c>
      <c r="I802" s="32"/>
      <c r="J802" s="381">
        <f t="shared" si="125"/>
        <v>0</v>
      </c>
      <c r="K802" s="383">
        <v>13.35</v>
      </c>
      <c r="L802" s="31"/>
      <c r="M802" s="381">
        <f t="shared" si="126"/>
        <v>0</v>
      </c>
      <c r="N802" s="383">
        <v>13.35</v>
      </c>
      <c r="O802" s="32"/>
      <c r="P802" s="381">
        <f t="shared" si="127"/>
        <v>0</v>
      </c>
      <c r="Q802" s="383">
        <v>13.35</v>
      </c>
      <c r="R802" s="32"/>
      <c r="S802" s="25">
        <f t="shared" si="128"/>
        <v>0</v>
      </c>
      <c r="T802" s="383">
        <v>13.35</v>
      </c>
      <c r="U802" s="32"/>
      <c r="V802" s="25">
        <f t="shared" si="131"/>
        <v>0</v>
      </c>
      <c r="W802" s="32">
        <f t="shared" si="132"/>
        <v>13.35</v>
      </c>
      <c r="X802" s="32">
        <f t="shared" si="129"/>
        <v>0</v>
      </c>
      <c r="Y802" s="381">
        <f t="shared" si="130"/>
        <v>0</v>
      </c>
    </row>
    <row r="803" spans="1:25" x14ac:dyDescent="0.2">
      <c r="A803" s="24">
        <f t="shared" si="122"/>
        <v>3.6560452221856701</v>
      </c>
      <c r="B803" s="383">
        <v>13.366666666666667</v>
      </c>
      <c r="C803" s="32"/>
      <c r="D803" s="381">
        <f t="shared" si="123"/>
        <v>0</v>
      </c>
      <c r="E803" s="383">
        <v>13.366666666666667</v>
      </c>
      <c r="F803" s="8"/>
      <c r="G803" s="381">
        <f t="shared" si="124"/>
        <v>0</v>
      </c>
      <c r="H803" s="383">
        <v>13.366666666666667</v>
      </c>
      <c r="I803" s="32"/>
      <c r="J803" s="381">
        <f t="shared" si="125"/>
        <v>0</v>
      </c>
      <c r="K803" s="383">
        <v>13.366666666666667</v>
      </c>
      <c r="L803" s="31"/>
      <c r="M803" s="381">
        <f t="shared" si="126"/>
        <v>0</v>
      </c>
      <c r="N803" s="383">
        <v>13.366666666666667</v>
      </c>
      <c r="O803" s="32"/>
      <c r="P803" s="381">
        <f t="shared" si="127"/>
        <v>0</v>
      </c>
      <c r="Q803" s="383">
        <v>13.366666666666667</v>
      </c>
      <c r="R803" s="32"/>
      <c r="S803" s="25">
        <f t="shared" si="128"/>
        <v>0</v>
      </c>
      <c r="T803" s="383">
        <v>13.366666666666667</v>
      </c>
      <c r="U803" s="32"/>
      <c r="V803" s="25">
        <f t="shared" si="131"/>
        <v>0</v>
      </c>
      <c r="W803" s="32">
        <f t="shared" si="132"/>
        <v>13.366666666666667</v>
      </c>
      <c r="X803" s="32">
        <f t="shared" si="129"/>
        <v>0</v>
      </c>
      <c r="Y803" s="381">
        <f t="shared" si="130"/>
        <v>0</v>
      </c>
    </row>
    <row r="804" spans="1:25" x14ac:dyDescent="0.2">
      <c r="A804" s="24">
        <f t="shared" si="122"/>
        <v>3.6583238420529876</v>
      </c>
      <c r="B804" s="383">
        <v>13.383333333333333</v>
      </c>
      <c r="C804" s="32"/>
      <c r="D804" s="381">
        <f t="shared" si="123"/>
        <v>0</v>
      </c>
      <c r="E804" s="383">
        <v>13.383333333333333</v>
      </c>
      <c r="F804" s="8"/>
      <c r="G804" s="381">
        <f t="shared" si="124"/>
        <v>0</v>
      </c>
      <c r="H804" s="383">
        <v>13.383333333333333</v>
      </c>
      <c r="I804" s="32"/>
      <c r="J804" s="381">
        <f t="shared" si="125"/>
        <v>0</v>
      </c>
      <c r="K804" s="383">
        <v>13.383333333333333</v>
      </c>
      <c r="L804" s="31"/>
      <c r="M804" s="381">
        <f t="shared" si="126"/>
        <v>0</v>
      </c>
      <c r="N804" s="383">
        <v>13.383333333333333</v>
      </c>
      <c r="O804" s="32"/>
      <c r="P804" s="381">
        <f t="shared" si="127"/>
        <v>0</v>
      </c>
      <c r="Q804" s="383">
        <v>13.383333333333333</v>
      </c>
      <c r="R804" s="32"/>
      <c r="S804" s="25">
        <f t="shared" si="128"/>
        <v>0</v>
      </c>
      <c r="T804" s="383">
        <v>13.383333333333333</v>
      </c>
      <c r="U804" s="32"/>
      <c r="V804" s="25">
        <f t="shared" si="131"/>
        <v>0</v>
      </c>
      <c r="W804" s="32">
        <f t="shared" si="132"/>
        <v>13.383333333333333</v>
      </c>
      <c r="X804" s="32">
        <f t="shared" si="129"/>
        <v>0</v>
      </c>
      <c r="Y804" s="381">
        <f t="shared" si="130"/>
        <v>0</v>
      </c>
    </row>
    <row r="805" spans="1:25" x14ac:dyDescent="0.2">
      <c r="A805" s="24">
        <f t="shared" ref="A805:A868" si="133">SQRT(B805)</f>
        <v>3.6606010435446255</v>
      </c>
      <c r="B805" s="383">
        <v>13.4</v>
      </c>
      <c r="C805" s="32"/>
      <c r="D805" s="381">
        <f t="shared" si="123"/>
        <v>0</v>
      </c>
      <c r="E805" s="383">
        <v>13.4</v>
      </c>
      <c r="F805" s="8"/>
      <c r="G805" s="381">
        <f t="shared" si="124"/>
        <v>0</v>
      </c>
      <c r="H805" s="383">
        <v>13.4</v>
      </c>
      <c r="I805" s="32"/>
      <c r="J805" s="381">
        <f t="shared" si="125"/>
        <v>0</v>
      </c>
      <c r="K805" s="383">
        <v>13.4</v>
      </c>
      <c r="L805" s="31"/>
      <c r="M805" s="381">
        <f t="shared" si="126"/>
        <v>0</v>
      </c>
      <c r="N805" s="383">
        <v>13.4</v>
      </c>
      <c r="O805" s="32"/>
      <c r="P805" s="381">
        <f t="shared" si="127"/>
        <v>0</v>
      </c>
      <c r="Q805" s="383">
        <v>13.4</v>
      </c>
      <c r="R805" s="32"/>
      <c r="S805" s="25">
        <f t="shared" si="128"/>
        <v>0</v>
      </c>
      <c r="T805" s="383">
        <v>13.4</v>
      </c>
      <c r="U805" s="32"/>
      <c r="V805" s="25">
        <f t="shared" si="131"/>
        <v>0</v>
      </c>
      <c r="W805" s="32">
        <f t="shared" si="132"/>
        <v>13.4</v>
      </c>
      <c r="X805" s="32">
        <f t="shared" si="129"/>
        <v>0</v>
      </c>
      <c r="Y805" s="381">
        <f t="shared" si="130"/>
        <v>0</v>
      </c>
    </row>
    <row r="806" spans="1:25" x14ac:dyDescent="0.2">
      <c r="A806" s="24">
        <f t="shared" si="133"/>
        <v>3.662876829305985</v>
      </c>
      <c r="B806" s="383">
        <v>13.416666666666666</v>
      </c>
      <c r="C806" s="32"/>
      <c r="D806" s="381">
        <f t="shared" si="123"/>
        <v>0</v>
      </c>
      <c r="E806" s="383">
        <v>13.416666666666666</v>
      </c>
      <c r="F806" s="8"/>
      <c r="G806" s="381">
        <f t="shared" si="124"/>
        <v>0</v>
      </c>
      <c r="H806" s="383">
        <v>13.416666666666666</v>
      </c>
      <c r="I806" s="32"/>
      <c r="J806" s="381">
        <f t="shared" si="125"/>
        <v>0</v>
      </c>
      <c r="K806" s="383">
        <v>13.416666666666666</v>
      </c>
      <c r="L806" s="31"/>
      <c r="M806" s="381">
        <f t="shared" si="126"/>
        <v>0</v>
      </c>
      <c r="N806" s="383">
        <v>13.416666666666666</v>
      </c>
      <c r="O806" s="32"/>
      <c r="P806" s="381">
        <f t="shared" si="127"/>
        <v>0</v>
      </c>
      <c r="Q806" s="383">
        <v>13.416666666666666</v>
      </c>
      <c r="R806" s="32"/>
      <c r="S806" s="25">
        <f t="shared" si="128"/>
        <v>0</v>
      </c>
      <c r="T806" s="383">
        <v>13.416666666666666</v>
      </c>
      <c r="U806" s="32"/>
      <c r="V806" s="25">
        <f t="shared" si="131"/>
        <v>0</v>
      </c>
      <c r="W806" s="32">
        <f t="shared" si="132"/>
        <v>13.416666666666666</v>
      </c>
      <c r="X806" s="32">
        <f t="shared" si="129"/>
        <v>0</v>
      </c>
      <c r="Y806" s="381">
        <f t="shared" si="130"/>
        <v>0</v>
      </c>
    </row>
    <row r="807" spans="1:25" x14ac:dyDescent="0.2">
      <c r="A807" s="24">
        <f t="shared" si="133"/>
        <v>3.6651512019742558</v>
      </c>
      <c r="B807" s="383">
        <v>13.433333333333334</v>
      </c>
      <c r="C807" s="32"/>
      <c r="D807" s="381">
        <f t="shared" si="123"/>
        <v>0</v>
      </c>
      <c r="E807" s="383">
        <v>13.433333333333334</v>
      </c>
      <c r="F807" s="8"/>
      <c r="G807" s="381">
        <f t="shared" si="124"/>
        <v>0</v>
      </c>
      <c r="H807" s="383">
        <v>13.433333333333334</v>
      </c>
      <c r="I807" s="32"/>
      <c r="J807" s="381">
        <f t="shared" si="125"/>
        <v>0</v>
      </c>
      <c r="K807" s="383">
        <v>13.433333333333334</v>
      </c>
      <c r="L807" s="31"/>
      <c r="M807" s="381">
        <f t="shared" si="126"/>
        <v>0</v>
      </c>
      <c r="N807" s="383">
        <v>13.433333333333334</v>
      </c>
      <c r="O807" s="32"/>
      <c r="P807" s="381">
        <f t="shared" si="127"/>
        <v>0</v>
      </c>
      <c r="Q807" s="383">
        <v>13.433333333333334</v>
      </c>
      <c r="R807" s="32"/>
      <c r="S807" s="25">
        <f t="shared" si="128"/>
        <v>0</v>
      </c>
      <c r="T807" s="383">
        <v>13.433333333333334</v>
      </c>
      <c r="U807" s="32"/>
      <c r="V807" s="25">
        <f t="shared" si="131"/>
        <v>0</v>
      </c>
      <c r="W807" s="32">
        <f t="shared" si="132"/>
        <v>13.433333333333334</v>
      </c>
      <c r="X807" s="32">
        <f t="shared" si="129"/>
        <v>0</v>
      </c>
      <c r="Y807" s="381">
        <f t="shared" si="130"/>
        <v>0</v>
      </c>
    </row>
    <row r="808" spans="1:25" x14ac:dyDescent="0.2">
      <c r="A808" s="24">
        <f t="shared" si="133"/>
        <v>3.6674241641784495</v>
      </c>
      <c r="B808" s="383">
        <v>13.45</v>
      </c>
      <c r="C808" s="32"/>
      <c r="D808" s="381">
        <f t="shared" si="123"/>
        <v>0</v>
      </c>
      <c r="E808" s="383">
        <v>13.45</v>
      </c>
      <c r="F808" s="8"/>
      <c r="G808" s="381">
        <f t="shared" si="124"/>
        <v>0</v>
      </c>
      <c r="H808" s="383">
        <v>13.45</v>
      </c>
      <c r="I808" s="32"/>
      <c r="J808" s="381">
        <f t="shared" si="125"/>
        <v>0</v>
      </c>
      <c r="K808" s="383">
        <v>13.45</v>
      </c>
      <c r="L808" s="31"/>
      <c r="M808" s="381">
        <f t="shared" si="126"/>
        <v>0</v>
      </c>
      <c r="N808" s="383">
        <v>13.45</v>
      </c>
      <c r="O808" s="32"/>
      <c r="P808" s="381">
        <f t="shared" si="127"/>
        <v>0</v>
      </c>
      <c r="Q808" s="383">
        <v>13.45</v>
      </c>
      <c r="R808" s="32"/>
      <c r="S808" s="25">
        <f t="shared" si="128"/>
        <v>0</v>
      </c>
      <c r="T808" s="383">
        <v>13.45</v>
      </c>
      <c r="U808" s="32"/>
      <c r="V808" s="25">
        <f t="shared" si="131"/>
        <v>0</v>
      </c>
      <c r="W808" s="32">
        <f t="shared" si="132"/>
        <v>13.45</v>
      </c>
      <c r="X808" s="32">
        <f t="shared" si="129"/>
        <v>0</v>
      </c>
      <c r="Y808" s="381">
        <f t="shared" si="130"/>
        <v>0</v>
      </c>
    </row>
    <row r="809" spans="1:25" x14ac:dyDescent="0.2">
      <c r="A809" s="24">
        <f t="shared" si="133"/>
        <v>3.6696957185394359</v>
      </c>
      <c r="B809" s="383">
        <v>13.466666666666667</v>
      </c>
      <c r="C809" s="32"/>
      <c r="D809" s="381">
        <f t="shared" si="123"/>
        <v>0</v>
      </c>
      <c r="E809" s="383">
        <v>13.466666666666667</v>
      </c>
      <c r="F809" s="8"/>
      <c r="G809" s="381">
        <f t="shared" si="124"/>
        <v>0</v>
      </c>
      <c r="H809" s="383">
        <v>13.466666666666667</v>
      </c>
      <c r="I809" s="32"/>
      <c r="J809" s="381">
        <f t="shared" si="125"/>
        <v>0</v>
      </c>
      <c r="K809" s="383">
        <v>13.466666666666667</v>
      </c>
      <c r="L809" s="31"/>
      <c r="M809" s="381">
        <f t="shared" si="126"/>
        <v>0</v>
      </c>
      <c r="N809" s="383">
        <v>13.466666666666667</v>
      </c>
      <c r="O809" s="32"/>
      <c r="P809" s="381">
        <f t="shared" si="127"/>
        <v>0</v>
      </c>
      <c r="Q809" s="383">
        <v>13.466666666666667</v>
      </c>
      <c r="R809" s="32"/>
      <c r="S809" s="25">
        <f t="shared" si="128"/>
        <v>0</v>
      </c>
      <c r="T809" s="383">
        <v>13.466666666666667</v>
      </c>
      <c r="U809" s="32"/>
      <c r="V809" s="25">
        <f t="shared" si="131"/>
        <v>0</v>
      </c>
      <c r="W809" s="32">
        <f t="shared" si="132"/>
        <v>13.466666666666667</v>
      </c>
      <c r="X809" s="32">
        <f t="shared" si="129"/>
        <v>0</v>
      </c>
      <c r="Y809" s="381">
        <f t="shared" si="130"/>
        <v>0</v>
      </c>
    </row>
    <row r="810" spans="1:25" x14ac:dyDescent="0.2">
      <c r="A810" s="24">
        <f t="shared" si="133"/>
        <v>3.6719658676699778</v>
      </c>
      <c r="B810" s="383">
        <v>13.483333333333333</v>
      </c>
      <c r="C810" s="32"/>
      <c r="D810" s="381">
        <f t="shared" si="123"/>
        <v>0</v>
      </c>
      <c r="E810" s="383">
        <v>13.483333333333333</v>
      </c>
      <c r="F810" s="8"/>
      <c r="G810" s="381">
        <f t="shared" si="124"/>
        <v>0</v>
      </c>
      <c r="H810" s="383">
        <v>13.483333333333333</v>
      </c>
      <c r="I810" s="32"/>
      <c r="J810" s="381">
        <f t="shared" si="125"/>
        <v>0</v>
      </c>
      <c r="K810" s="383">
        <v>13.483333333333333</v>
      </c>
      <c r="L810" s="31"/>
      <c r="M810" s="381">
        <f t="shared" si="126"/>
        <v>0</v>
      </c>
      <c r="N810" s="383">
        <v>13.483333333333333</v>
      </c>
      <c r="O810" s="32"/>
      <c r="P810" s="381">
        <f t="shared" si="127"/>
        <v>0</v>
      </c>
      <c r="Q810" s="383">
        <v>13.483333333333333</v>
      </c>
      <c r="R810" s="32"/>
      <c r="S810" s="25">
        <f t="shared" si="128"/>
        <v>0</v>
      </c>
      <c r="T810" s="383">
        <v>13.483333333333333</v>
      </c>
      <c r="U810" s="32"/>
      <c r="V810" s="25">
        <f t="shared" si="131"/>
        <v>0</v>
      </c>
      <c r="W810" s="32">
        <f t="shared" si="132"/>
        <v>13.483333333333333</v>
      </c>
      <c r="X810" s="32">
        <f t="shared" si="129"/>
        <v>0</v>
      </c>
      <c r="Y810" s="381">
        <f t="shared" si="130"/>
        <v>0</v>
      </c>
    </row>
    <row r="811" spans="1:25" x14ac:dyDescent="0.2">
      <c r="A811" s="24">
        <f t="shared" si="133"/>
        <v>3.6742346141747673</v>
      </c>
      <c r="B811" s="383">
        <v>13.5</v>
      </c>
      <c r="C811" s="32"/>
      <c r="D811" s="381">
        <f t="shared" si="123"/>
        <v>0</v>
      </c>
      <c r="E811" s="383">
        <v>13.5</v>
      </c>
      <c r="F811" s="8"/>
      <c r="G811" s="381">
        <f t="shared" si="124"/>
        <v>0</v>
      </c>
      <c r="H811" s="383">
        <v>13.5</v>
      </c>
      <c r="I811" s="32"/>
      <c r="J811" s="381">
        <f t="shared" si="125"/>
        <v>0</v>
      </c>
      <c r="K811" s="383">
        <v>13.5</v>
      </c>
      <c r="L811" s="31"/>
      <c r="M811" s="381">
        <f t="shared" si="126"/>
        <v>0</v>
      </c>
      <c r="N811" s="383">
        <v>13.5</v>
      </c>
      <c r="O811" s="32"/>
      <c r="P811" s="381">
        <f t="shared" si="127"/>
        <v>0</v>
      </c>
      <c r="Q811" s="383">
        <v>13.5</v>
      </c>
      <c r="R811" s="32"/>
      <c r="S811" s="25">
        <f t="shared" si="128"/>
        <v>0</v>
      </c>
      <c r="T811" s="383">
        <v>13.5</v>
      </c>
      <c r="U811" s="32"/>
      <c r="V811" s="25">
        <f t="shared" si="131"/>
        <v>0</v>
      </c>
      <c r="W811" s="32">
        <f t="shared" si="132"/>
        <v>13.5</v>
      </c>
      <c r="X811" s="32">
        <f t="shared" si="129"/>
        <v>0</v>
      </c>
      <c r="Y811" s="381">
        <f t="shared" si="130"/>
        <v>0</v>
      </c>
    </row>
    <row r="812" spans="1:25" x14ac:dyDescent="0.2">
      <c r="A812" s="24">
        <f t="shared" si="133"/>
        <v>3.6765019606504588</v>
      </c>
      <c r="B812" s="383">
        <v>13.516666666666667</v>
      </c>
      <c r="C812" s="32"/>
      <c r="D812" s="381">
        <f t="shared" si="123"/>
        <v>0</v>
      </c>
      <c r="E812" s="383">
        <v>13.516666666666667</v>
      </c>
      <c r="F812" s="8"/>
      <c r="G812" s="381">
        <f t="shared" si="124"/>
        <v>0</v>
      </c>
      <c r="H812" s="383">
        <v>13.516666666666667</v>
      </c>
      <c r="I812" s="32"/>
      <c r="J812" s="381">
        <f t="shared" si="125"/>
        <v>0</v>
      </c>
      <c r="K812" s="383">
        <v>13.516666666666667</v>
      </c>
      <c r="L812" s="31"/>
      <c r="M812" s="381">
        <f t="shared" si="126"/>
        <v>0</v>
      </c>
      <c r="N812" s="383">
        <v>13.516666666666667</v>
      </c>
      <c r="O812" s="32"/>
      <c r="P812" s="381">
        <f t="shared" si="127"/>
        <v>0</v>
      </c>
      <c r="Q812" s="383">
        <v>13.516666666666667</v>
      </c>
      <c r="R812" s="32"/>
      <c r="S812" s="25">
        <f t="shared" si="128"/>
        <v>0</v>
      </c>
      <c r="T812" s="383">
        <v>13.516666666666667</v>
      </c>
      <c r="U812" s="32"/>
      <c r="V812" s="25">
        <f t="shared" si="131"/>
        <v>0</v>
      </c>
      <c r="W812" s="32">
        <f t="shared" si="132"/>
        <v>13.516666666666667</v>
      </c>
      <c r="X812" s="32">
        <f t="shared" si="129"/>
        <v>0</v>
      </c>
      <c r="Y812" s="381">
        <f t="shared" si="130"/>
        <v>0</v>
      </c>
    </row>
    <row r="813" spans="1:25" x14ac:dyDescent="0.2">
      <c r="A813" s="24">
        <f t="shared" si="133"/>
        <v>3.6787679096857051</v>
      </c>
      <c r="B813" s="383">
        <v>13.533333333333333</v>
      </c>
      <c r="C813" s="32"/>
      <c r="D813" s="381">
        <f t="shared" si="123"/>
        <v>0</v>
      </c>
      <c r="E813" s="383">
        <v>13.533333333333333</v>
      </c>
      <c r="F813" s="8"/>
      <c r="G813" s="381">
        <f t="shared" si="124"/>
        <v>0</v>
      </c>
      <c r="H813" s="383">
        <v>13.533333333333333</v>
      </c>
      <c r="I813" s="32"/>
      <c r="J813" s="381">
        <f t="shared" si="125"/>
        <v>0</v>
      </c>
      <c r="K813" s="383">
        <v>13.533333333333333</v>
      </c>
      <c r="L813" s="31"/>
      <c r="M813" s="381">
        <f t="shared" si="126"/>
        <v>0</v>
      </c>
      <c r="N813" s="383">
        <v>13.533333333333333</v>
      </c>
      <c r="O813" s="32"/>
      <c r="P813" s="381">
        <f t="shared" si="127"/>
        <v>0</v>
      </c>
      <c r="Q813" s="383">
        <v>13.533333333333333</v>
      </c>
      <c r="R813" s="32"/>
      <c r="S813" s="25">
        <f t="shared" si="128"/>
        <v>0</v>
      </c>
      <c r="T813" s="383">
        <v>13.533333333333333</v>
      </c>
      <c r="U813" s="32"/>
      <c r="V813" s="25">
        <f t="shared" si="131"/>
        <v>0</v>
      </c>
      <c r="W813" s="32">
        <f t="shared" si="132"/>
        <v>13.533333333333333</v>
      </c>
      <c r="X813" s="32">
        <f t="shared" si="129"/>
        <v>0</v>
      </c>
      <c r="Y813" s="381">
        <f t="shared" si="130"/>
        <v>0</v>
      </c>
    </row>
    <row r="814" spans="1:25" x14ac:dyDescent="0.2">
      <c r="A814" s="24">
        <f t="shared" si="133"/>
        <v>3.6810324638611922</v>
      </c>
      <c r="B814" s="383">
        <v>13.55</v>
      </c>
      <c r="C814" s="32"/>
      <c r="D814" s="381">
        <f t="shared" si="123"/>
        <v>0</v>
      </c>
      <c r="E814" s="383">
        <v>13.55</v>
      </c>
      <c r="F814" s="8"/>
      <c r="G814" s="381">
        <f t="shared" si="124"/>
        <v>0</v>
      </c>
      <c r="H814" s="383">
        <v>13.55</v>
      </c>
      <c r="I814" s="32"/>
      <c r="J814" s="381">
        <f t="shared" si="125"/>
        <v>0</v>
      </c>
      <c r="K814" s="383">
        <v>13.55</v>
      </c>
      <c r="L814" s="31"/>
      <c r="M814" s="381">
        <f t="shared" si="126"/>
        <v>0</v>
      </c>
      <c r="N814" s="383">
        <v>13.55</v>
      </c>
      <c r="O814" s="32"/>
      <c r="P814" s="381">
        <f t="shared" si="127"/>
        <v>0</v>
      </c>
      <c r="Q814" s="383">
        <v>13.55</v>
      </c>
      <c r="R814" s="32"/>
      <c r="S814" s="25">
        <f t="shared" si="128"/>
        <v>0</v>
      </c>
      <c r="T814" s="383">
        <v>13.55</v>
      </c>
      <c r="U814" s="32"/>
      <c r="V814" s="25">
        <f t="shared" si="131"/>
        <v>0</v>
      </c>
      <c r="W814" s="32">
        <f t="shared" si="132"/>
        <v>13.55</v>
      </c>
      <c r="X814" s="32">
        <f t="shared" si="129"/>
        <v>0</v>
      </c>
      <c r="Y814" s="381">
        <f t="shared" si="130"/>
        <v>0</v>
      </c>
    </row>
    <row r="815" spans="1:25" x14ac:dyDescent="0.2">
      <c r="A815" s="24">
        <f t="shared" si="133"/>
        <v>3.6832956257496718</v>
      </c>
      <c r="B815" s="383">
        <v>13.566666666666666</v>
      </c>
      <c r="C815" s="32"/>
      <c r="D815" s="381">
        <f t="shared" si="123"/>
        <v>0</v>
      </c>
      <c r="E815" s="383">
        <v>13.566666666666666</v>
      </c>
      <c r="F815" s="8"/>
      <c r="G815" s="381">
        <f t="shared" si="124"/>
        <v>0</v>
      </c>
      <c r="H815" s="383">
        <v>13.566666666666666</v>
      </c>
      <c r="I815" s="32"/>
      <c r="J815" s="381">
        <f t="shared" si="125"/>
        <v>0</v>
      </c>
      <c r="K815" s="383">
        <v>13.566666666666666</v>
      </c>
      <c r="L815" s="31"/>
      <c r="M815" s="381">
        <f t="shared" si="126"/>
        <v>0</v>
      </c>
      <c r="N815" s="383">
        <v>13.566666666666666</v>
      </c>
      <c r="O815" s="32"/>
      <c r="P815" s="381">
        <f t="shared" si="127"/>
        <v>0</v>
      </c>
      <c r="Q815" s="383">
        <v>13.566666666666666</v>
      </c>
      <c r="R815" s="32"/>
      <c r="S815" s="25">
        <f t="shared" si="128"/>
        <v>0</v>
      </c>
      <c r="T815" s="383">
        <v>13.566666666666666</v>
      </c>
      <c r="U815" s="32"/>
      <c r="V815" s="25">
        <f t="shared" si="131"/>
        <v>0</v>
      </c>
      <c r="W815" s="32">
        <f t="shared" si="132"/>
        <v>13.566666666666666</v>
      </c>
      <c r="X815" s="32">
        <f t="shared" si="129"/>
        <v>0</v>
      </c>
      <c r="Y815" s="381">
        <f t="shared" si="130"/>
        <v>0</v>
      </c>
    </row>
    <row r="816" spans="1:25" x14ac:dyDescent="0.2">
      <c r="A816" s="24">
        <f t="shared" si="133"/>
        <v>3.6855573979159968</v>
      </c>
      <c r="B816" s="383">
        <v>13.583333333333334</v>
      </c>
      <c r="C816" s="32"/>
      <c r="D816" s="381">
        <f t="shared" si="123"/>
        <v>0</v>
      </c>
      <c r="E816" s="383">
        <v>13.583333333333334</v>
      </c>
      <c r="F816" s="8"/>
      <c r="G816" s="381">
        <f t="shared" si="124"/>
        <v>0</v>
      </c>
      <c r="H816" s="383">
        <v>13.583333333333334</v>
      </c>
      <c r="I816" s="32"/>
      <c r="J816" s="381">
        <f t="shared" si="125"/>
        <v>0</v>
      </c>
      <c r="K816" s="383">
        <v>13.583333333333334</v>
      </c>
      <c r="L816" s="31"/>
      <c r="M816" s="381">
        <f t="shared" si="126"/>
        <v>0</v>
      </c>
      <c r="N816" s="383">
        <v>13.583333333333334</v>
      </c>
      <c r="O816" s="32"/>
      <c r="P816" s="381">
        <f t="shared" si="127"/>
        <v>0</v>
      </c>
      <c r="Q816" s="383">
        <v>13.583333333333334</v>
      </c>
      <c r="R816" s="32"/>
      <c r="S816" s="25">
        <f t="shared" si="128"/>
        <v>0</v>
      </c>
      <c r="T816" s="383">
        <v>13.583333333333334</v>
      </c>
      <c r="U816" s="32"/>
      <c r="V816" s="25">
        <f t="shared" si="131"/>
        <v>0</v>
      </c>
      <c r="W816" s="32">
        <f t="shared" si="132"/>
        <v>13.583333333333334</v>
      </c>
      <c r="X816" s="32">
        <f t="shared" si="129"/>
        <v>0</v>
      </c>
      <c r="Y816" s="381">
        <f t="shared" si="130"/>
        <v>0</v>
      </c>
    </row>
    <row r="817" spans="1:25" x14ac:dyDescent="0.2">
      <c r="A817" s="24">
        <f t="shared" si="133"/>
        <v>3.687817782917155</v>
      </c>
      <c r="B817" s="383">
        <v>13.6</v>
      </c>
      <c r="C817" s="32"/>
      <c r="D817" s="381">
        <f t="shared" si="123"/>
        <v>0</v>
      </c>
      <c r="E817" s="383">
        <v>13.6</v>
      </c>
      <c r="F817" s="8"/>
      <c r="G817" s="381">
        <f t="shared" si="124"/>
        <v>0</v>
      </c>
      <c r="H817" s="383">
        <v>13.6</v>
      </c>
      <c r="I817" s="32"/>
      <c r="J817" s="381">
        <f t="shared" si="125"/>
        <v>0</v>
      </c>
      <c r="K817" s="383">
        <v>13.6</v>
      </c>
      <c r="L817" s="31"/>
      <c r="M817" s="381">
        <f t="shared" si="126"/>
        <v>0</v>
      </c>
      <c r="N817" s="383">
        <v>13.6</v>
      </c>
      <c r="O817" s="32"/>
      <c r="P817" s="381">
        <f t="shared" si="127"/>
        <v>0</v>
      </c>
      <c r="Q817" s="383">
        <v>13.6</v>
      </c>
      <c r="R817" s="32"/>
      <c r="S817" s="25">
        <f t="shared" si="128"/>
        <v>0</v>
      </c>
      <c r="T817" s="383">
        <v>13.6</v>
      </c>
      <c r="U817" s="32"/>
      <c r="V817" s="25">
        <f t="shared" si="131"/>
        <v>0</v>
      </c>
      <c r="W817" s="32">
        <f t="shared" si="132"/>
        <v>13.6</v>
      </c>
      <c r="X817" s="32">
        <f t="shared" si="129"/>
        <v>0</v>
      </c>
      <c r="Y817" s="381">
        <f t="shared" si="130"/>
        <v>0</v>
      </c>
    </row>
    <row r="818" spans="1:25" x14ac:dyDescent="0.2">
      <c r="A818" s="24">
        <f t="shared" si="133"/>
        <v>3.6900767833023025</v>
      </c>
      <c r="B818" s="383">
        <v>13.616666666666667</v>
      </c>
      <c r="C818" s="32"/>
      <c r="D818" s="381">
        <f t="shared" si="123"/>
        <v>0</v>
      </c>
      <c r="E818" s="383">
        <v>13.616666666666667</v>
      </c>
      <c r="F818" s="8"/>
      <c r="G818" s="381">
        <f t="shared" si="124"/>
        <v>0</v>
      </c>
      <c r="H818" s="383">
        <v>13.616666666666667</v>
      </c>
      <c r="I818" s="32"/>
      <c r="J818" s="381">
        <f t="shared" si="125"/>
        <v>0</v>
      </c>
      <c r="K818" s="383">
        <v>13.616666666666667</v>
      </c>
      <c r="L818" s="31"/>
      <c r="M818" s="381">
        <f t="shared" si="126"/>
        <v>0</v>
      </c>
      <c r="N818" s="383">
        <v>13.616666666666667</v>
      </c>
      <c r="O818" s="32"/>
      <c r="P818" s="381">
        <f t="shared" si="127"/>
        <v>0</v>
      </c>
      <c r="Q818" s="383">
        <v>13.616666666666667</v>
      </c>
      <c r="R818" s="32"/>
      <c r="S818" s="25">
        <f t="shared" si="128"/>
        <v>0</v>
      </c>
      <c r="T818" s="383">
        <v>13.616666666666667</v>
      </c>
      <c r="U818" s="32"/>
      <c r="V818" s="25">
        <f t="shared" si="131"/>
        <v>0</v>
      </c>
      <c r="W818" s="32">
        <f t="shared" si="132"/>
        <v>13.616666666666667</v>
      </c>
      <c r="X818" s="32">
        <f t="shared" si="129"/>
        <v>0</v>
      </c>
      <c r="Y818" s="381">
        <f t="shared" si="130"/>
        <v>0</v>
      </c>
    </row>
    <row r="819" spans="1:25" x14ac:dyDescent="0.2">
      <c r="A819" s="24">
        <f t="shared" si="133"/>
        <v>3.692334401612797</v>
      </c>
      <c r="B819" s="383">
        <v>13.633333333333333</v>
      </c>
      <c r="C819" s="32"/>
      <c r="D819" s="381">
        <f t="shared" si="123"/>
        <v>0</v>
      </c>
      <c r="E819" s="383">
        <v>13.633333333333333</v>
      </c>
      <c r="F819" s="8"/>
      <c r="G819" s="381">
        <f t="shared" si="124"/>
        <v>0</v>
      </c>
      <c r="H819" s="383">
        <v>13.633333333333333</v>
      </c>
      <c r="I819" s="32"/>
      <c r="J819" s="381">
        <f t="shared" si="125"/>
        <v>0</v>
      </c>
      <c r="K819" s="383">
        <v>13.633333333333333</v>
      </c>
      <c r="L819" s="31"/>
      <c r="M819" s="381">
        <f t="shared" si="126"/>
        <v>0</v>
      </c>
      <c r="N819" s="383">
        <v>13.633333333333333</v>
      </c>
      <c r="O819" s="32"/>
      <c r="P819" s="381">
        <f t="shared" si="127"/>
        <v>0</v>
      </c>
      <c r="Q819" s="383">
        <v>13.633333333333333</v>
      </c>
      <c r="R819" s="32"/>
      <c r="S819" s="25">
        <f t="shared" si="128"/>
        <v>0</v>
      </c>
      <c r="T819" s="383">
        <v>13.633333333333333</v>
      </c>
      <c r="U819" s="32"/>
      <c r="V819" s="25">
        <f t="shared" si="131"/>
        <v>0</v>
      </c>
      <c r="W819" s="32">
        <f t="shared" si="132"/>
        <v>13.633333333333333</v>
      </c>
      <c r="X819" s="32">
        <f t="shared" si="129"/>
        <v>0</v>
      </c>
      <c r="Y819" s="381">
        <f t="shared" si="130"/>
        <v>0</v>
      </c>
    </row>
    <row r="820" spans="1:25" x14ac:dyDescent="0.2">
      <c r="A820" s="24">
        <f t="shared" si="133"/>
        <v>3.6945906403822333</v>
      </c>
      <c r="B820" s="383">
        <v>13.65</v>
      </c>
      <c r="C820" s="32"/>
      <c r="D820" s="381">
        <f t="shared" si="123"/>
        <v>0</v>
      </c>
      <c r="E820" s="383">
        <v>13.65</v>
      </c>
      <c r="F820" s="8"/>
      <c r="G820" s="381">
        <f t="shared" si="124"/>
        <v>0</v>
      </c>
      <c r="H820" s="383">
        <v>13.65</v>
      </c>
      <c r="I820" s="32"/>
      <c r="J820" s="381">
        <f t="shared" si="125"/>
        <v>0</v>
      </c>
      <c r="K820" s="383">
        <v>13.65</v>
      </c>
      <c r="L820" s="31"/>
      <c r="M820" s="381">
        <f t="shared" si="126"/>
        <v>0</v>
      </c>
      <c r="N820" s="383">
        <v>13.65</v>
      </c>
      <c r="O820" s="32"/>
      <c r="P820" s="381">
        <f t="shared" si="127"/>
        <v>0</v>
      </c>
      <c r="Q820" s="383">
        <v>13.65</v>
      </c>
      <c r="R820" s="32"/>
      <c r="S820" s="25">
        <f t="shared" si="128"/>
        <v>0</v>
      </c>
      <c r="T820" s="383">
        <v>13.65</v>
      </c>
      <c r="U820" s="32"/>
      <c r="V820" s="25">
        <f t="shared" si="131"/>
        <v>0</v>
      </c>
      <c r="W820" s="32">
        <f t="shared" si="132"/>
        <v>13.65</v>
      </c>
      <c r="X820" s="32">
        <f t="shared" si="129"/>
        <v>0</v>
      </c>
      <c r="Y820" s="381">
        <f t="shared" si="130"/>
        <v>0</v>
      </c>
    </row>
    <row r="821" spans="1:25" x14ac:dyDescent="0.2">
      <c r="A821" s="24">
        <f t="shared" si="133"/>
        <v>3.6968455021364721</v>
      </c>
      <c r="B821" s="383">
        <v>13.666666666666666</v>
      </c>
      <c r="C821" s="32"/>
      <c r="D821" s="381">
        <f t="shared" si="123"/>
        <v>0</v>
      </c>
      <c r="E821" s="383">
        <v>13.666666666666666</v>
      </c>
      <c r="F821" s="8"/>
      <c r="G821" s="381">
        <f t="shared" si="124"/>
        <v>0</v>
      </c>
      <c r="H821" s="383">
        <v>13.666666666666666</v>
      </c>
      <c r="I821" s="32"/>
      <c r="J821" s="381">
        <f t="shared" si="125"/>
        <v>0</v>
      </c>
      <c r="K821" s="383">
        <v>13.666666666666666</v>
      </c>
      <c r="L821" s="31"/>
      <c r="M821" s="381">
        <f t="shared" si="126"/>
        <v>0</v>
      </c>
      <c r="N821" s="383">
        <v>13.666666666666666</v>
      </c>
      <c r="O821" s="32"/>
      <c r="P821" s="381">
        <f t="shared" si="127"/>
        <v>0</v>
      </c>
      <c r="Q821" s="383">
        <v>13.666666666666666</v>
      </c>
      <c r="R821" s="32"/>
      <c r="S821" s="25">
        <f t="shared" si="128"/>
        <v>0</v>
      </c>
      <c r="T821" s="383">
        <v>13.666666666666666</v>
      </c>
      <c r="U821" s="32"/>
      <c r="V821" s="25">
        <f t="shared" si="131"/>
        <v>0</v>
      </c>
      <c r="W821" s="32">
        <f t="shared" si="132"/>
        <v>13.666666666666666</v>
      </c>
      <c r="X821" s="32">
        <f t="shared" si="129"/>
        <v>0</v>
      </c>
      <c r="Y821" s="381">
        <f t="shared" si="130"/>
        <v>0</v>
      </c>
    </row>
    <row r="822" spans="1:25" x14ac:dyDescent="0.2">
      <c r="A822" s="24">
        <f t="shared" si="133"/>
        <v>3.6990989893936783</v>
      </c>
      <c r="B822" s="383">
        <v>13.683333333333334</v>
      </c>
      <c r="C822" s="32"/>
      <c r="D822" s="381">
        <f t="shared" si="123"/>
        <v>0</v>
      </c>
      <c r="E822" s="383">
        <v>13.683333333333334</v>
      </c>
      <c r="F822" s="8"/>
      <c r="G822" s="381">
        <f t="shared" si="124"/>
        <v>0</v>
      </c>
      <c r="H822" s="383">
        <v>13.683333333333334</v>
      </c>
      <c r="I822" s="32"/>
      <c r="J822" s="381">
        <f t="shared" si="125"/>
        <v>0</v>
      </c>
      <c r="K822" s="383">
        <v>13.683333333333334</v>
      </c>
      <c r="L822" s="31"/>
      <c r="M822" s="381">
        <f t="shared" si="126"/>
        <v>0</v>
      </c>
      <c r="N822" s="383">
        <v>13.683333333333334</v>
      </c>
      <c r="O822" s="32"/>
      <c r="P822" s="381">
        <f t="shared" si="127"/>
        <v>0</v>
      </c>
      <c r="Q822" s="383">
        <v>13.683333333333334</v>
      </c>
      <c r="R822" s="32"/>
      <c r="S822" s="25">
        <f t="shared" si="128"/>
        <v>0</v>
      </c>
      <c r="T822" s="383">
        <v>13.683333333333334</v>
      </c>
      <c r="U822" s="32"/>
      <c r="V822" s="25">
        <f t="shared" si="131"/>
        <v>0</v>
      </c>
      <c r="W822" s="32">
        <f t="shared" si="132"/>
        <v>13.683333333333334</v>
      </c>
      <c r="X822" s="32">
        <f t="shared" si="129"/>
        <v>0</v>
      </c>
      <c r="Y822" s="381">
        <f t="shared" si="130"/>
        <v>0</v>
      </c>
    </row>
    <row r="823" spans="1:25" x14ac:dyDescent="0.2">
      <c r="A823" s="24">
        <f t="shared" si="133"/>
        <v>3.7013511046643495</v>
      </c>
      <c r="B823" s="383">
        <v>13.7</v>
      </c>
      <c r="C823" s="32"/>
      <c r="D823" s="381">
        <f t="shared" si="123"/>
        <v>0</v>
      </c>
      <c r="E823" s="383">
        <v>13.7</v>
      </c>
      <c r="F823" s="8"/>
      <c r="G823" s="381">
        <f t="shared" si="124"/>
        <v>0</v>
      </c>
      <c r="H823" s="383">
        <v>13.7</v>
      </c>
      <c r="I823" s="32"/>
      <c r="J823" s="381">
        <f t="shared" si="125"/>
        <v>0</v>
      </c>
      <c r="K823" s="383">
        <v>13.7</v>
      </c>
      <c r="L823" s="31"/>
      <c r="M823" s="381">
        <f t="shared" si="126"/>
        <v>0</v>
      </c>
      <c r="N823" s="383">
        <v>13.7</v>
      </c>
      <c r="O823" s="32"/>
      <c r="P823" s="381">
        <f t="shared" si="127"/>
        <v>0</v>
      </c>
      <c r="Q823" s="383">
        <v>13.7</v>
      </c>
      <c r="R823" s="32"/>
      <c r="S823" s="25">
        <f t="shared" si="128"/>
        <v>0</v>
      </c>
      <c r="T823" s="383">
        <v>13.7</v>
      </c>
      <c r="U823" s="32"/>
      <c r="V823" s="25">
        <f t="shared" si="131"/>
        <v>0</v>
      </c>
      <c r="W823" s="32">
        <f t="shared" si="132"/>
        <v>13.7</v>
      </c>
      <c r="X823" s="32">
        <f t="shared" si="129"/>
        <v>0</v>
      </c>
      <c r="Y823" s="381">
        <f t="shared" si="130"/>
        <v>0</v>
      </c>
    </row>
    <row r="824" spans="1:25" x14ac:dyDescent="0.2">
      <c r="A824" s="24">
        <f t="shared" si="133"/>
        <v>3.7036018504513506</v>
      </c>
      <c r="B824" s="383">
        <v>13.716666666666667</v>
      </c>
      <c r="C824" s="32"/>
      <c r="D824" s="381">
        <f t="shared" si="123"/>
        <v>0</v>
      </c>
      <c r="E824" s="383">
        <v>13.716666666666667</v>
      </c>
      <c r="F824" s="8"/>
      <c r="G824" s="381">
        <f t="shared" si="124"/>
        <v>0</v>
      </c>
      <c r="H824" s="383">
        <v>13.716666666666667</v>
      </c>
      <c r="I824" s="32"/>
      <c r="J824" s="381">
        <f t="shared" si="125"/>
        <v>0</v>
      </c>
      <c r="K824" s="383">
        <v>13.716666666666667</v>
      </c>
      <c r="L824" s="31"/>
      <c r="M824" s="381">
        <f t="shared" si="126"/>
        <v>0</v>
      </c>
      <c r="N824" s="383">
        <v>13.716666666666667</v>
      </c>
      <c r="O824" s="32"/>
      <c r="P824" s="381">
        <f t="shared" si="127"/>
        <v>0</v>
      </c>
      <c r="Q824" s="383">
        <v>13.716666666666667</v>
      </c>
      <c r="R824" s="32"/>
      <c r="S824" s="25">
        <f t="shared" si="128"/>
        <v>0</v>
      </c>
      <c r="T824" s="383">
        <v>13.716666666666667</v>
      </c>
      <c r="U824" s="32"/>
      <c r="V824" s="25">
        <f t="shared" si="131"/>
        <v>0</v>
      </c>
      <c r="W824" s="32">
        <f t="shared" si="132"/>
        <v>13.716666666666667</v>
      </c>
      <c r="X824" s="32">
        <f t="shared" si="129"/>
        <v>0</v>
      </c>
      <c r="Y824" s="381">
        <f t="shared" si="130"/>
        <v>0</v>
      </c>
    </row>
    <row r="825" spans="1:25" x14ac:dyDescent="0.2">
      <c r="A825" s="24">
        <f t="shared" si="133"/>
        <v>3.7058512292499457</v>
      </c>
      <c r="B825" s="383">
        <v>13.733333333333333</v>
      </c>
      <c r="C825" s="32"/>
      <c r="D825" s="381">
        <f t="shared" si="123"/>
        <v>0</v>
      </c>
      <c r="E825" s="383">
        <v>13.733333333333333</v>
      </c>
      <c r="F825" s="8"/>
      <c r="G825" s="381">
        <f t="shared" si="124"/>
        <v>0</v>
      </c>
      <c r="H825" s="383">
        <v>13.733333333333333</v>
      </c>
      <c r="I825" s="32"/>
      <c r="J825" s="381">
        <f t="shared" si="125"/>
        <v>0</v>
      </c>
      <c r="K825" s="383">
        <v>13.733333333333333</v>
      </c>
      <c r="L825" s="31"/>
      <c r="M825" s="381">
        <f t="shared" si="126"/>
        <v>0</v>
      </c>
      <c r="N825" s="383">
        <v>13.733333333333333</v>
      </c>
      <c r="O825" s="32"/>
      <c r="P825" s="381">
        <f t="shared" si="127"/>
        <v>0</v>
      </c>
      <c r="Q825" s="383">
        <v>13.733333333333333</v>
      </c>
      <c r="R825" s="32"/>
      <c r="S825" s="25">
        <f t="shared" si="128"/>
        <v>0</v>
      </c>
      <c r="T825" s="383">
        <v>13.733333333333333</v>
      </c>
      <c r="U825" s="32"/>
      <c r="V825" s="25">
        <f t="shared" si="131"/>
        <v>0</v>
      </c>
      <c r="W825" s="32">
        <f t="shared" si="132"/>
        <v>13.733333333333333</v>
      </c>
      <c r="X825" s="32">
        <f t="shared" si="129"/>
        <v>0</v>
      </c>
      <c r="Y825" s="381">
        <f t="shared" si="130"/>
        <v>0</v>
      </c>
    </row>
    <row r="826" spans="1:25" x14ac:dyDescent="0.2">
      <c r="A826" s="24">
        <f t="shared" si="133"/>
        <v>3.7080992435478315</v>
      </c>
      <c r="B826" s="383">
        <v>13.75</v>
      </c>
      <c r="C826" s="32"/>
      <c r="D826" s="381">
        <f t="shared" si="123"/>
        <v>0</v>
      </c>
      <c r="E826" s="383">
        <v>13.75</v>
      </c>
      <c r="F826" s="8"/>
      <c r="G826" s="381">
        <f t="shared" si="124"/>
        <v>0</v>
      </c>
      <c r="H826" s="383">
        <v>13.75</v>
      </c>
      <c r="I826" s="32"/>
      <c r="J826" s="381">
        <f t="shared" si="125"/>
        <v>0</v>
      </c>
      <c r="K826" s="383">
        <v>13.75</v>
      </c>
      <c r="L826" s="31"/>
      <c r="M826" s="381">
        <f t="shared" si="126"/>
        <v>0</v>
      </c>
      <c r="N826" s="383">
        <v>13.75</v>
      </c>
      <c r="O826" s="32"/>
      <c r="P826" s="381">
        <f t="shared" si="127"/>
        <v>0</v>
      </c>
      <c r="Q826" s="383">
        <v>13.75</v>
      </c>
      <c r="R826" s="32"/>
      <c r="S826" s="25">
        <f t="shared" si="128"/>
        <v>0</v>
      </c>
      <c r="T826" s="383">
        <v>13.75</v>
      </c>
      <c r="U826" s="32"/>
      <c r="V826" s="25">
        <f t="shared" si="131"/>
        <v>0</v>
      </c>
      <c r="W826" s="32">
        <f t="shared" si="132"/>
        <v>13.75</v>
      </c>
      <c r="X826" s="32">
        <f t="shared" si="129"/>
        <v>0</v>
      </c>
      <c r="Y826" s="381">
        <f t="shared" si="130"/>
        <v>0</v>
      </c>
    </row>
    <row r="827" spans="1:25" x14ac:dyDescent="0.2">
      <c r="A827" s="24">
        <f t="shared" si="133"/>
        <v>3.710345895825168</v>
      </c>
      <c r="B827" s="383">
        <v>13.766666666666667</v>
      </c>
      <c r="C827" s="32"/>
      <c r="D827" s="381">
        <f t="shared" si="123"/>
        <v>0</v>
      </c>
      <c r="E827" s="383">
        <v>13.766666666666667</v>
      </c>
      <c r="F827" s="8"/>
      <c r="G827" s="381">
        <f t="shared" si="124"/>
        <v>0</v>
      </c>
      <c r="H827" s="383">
        <v>13.766666666666667</v>
      </c>
      <c r="I827" s="32"/>
      <c r="J827" s="381">
        <f t="shared" si="125"/>
        <v>0</v>
      </c>
      <c r="K827" s="383">
        <v>13.766666666666667</v>
      </c>
      <c r="L827" s="31"/>
      <c r="M827" s="381">
        <f t="shared" si="126"/>
        <v>0</v>
      </c>
      <c r="N827" s="383">
        <v>13.766666666666667</v>
      </c>
      <c r="O827" s="32"/>
      <c r="P827" s="381">
        <f t="shared" si="127"/>
        <v>0</v>
      </c>
      <c r="Q827" s="383">
        <v>13.766666666666667</v>
      </c>
      <c r="R827" s="32"/>
      <c r="S827" s="25">
        <f t="shared" si="128"/>
        <v>0</v>
      </c>
      <c r="T827" s="383">
        <v>13.766666666666667</v>
      </c>
      <c r="U827" s="32"/>
      <c r="V827" s="25">
        <f t="shared" si="131"/>
        <v>0</v>
      </c>
      <c r="W827" s="32">
        <f t="shared" si="132"/>
        <v>13.766666666666667</v>
      </c>
      <c r="X827" s="32">
        <f t="shared" si="129"/>
        <v>0</v>
      </c>
      <c r="Y827" s="381">
        <f t="shared" si="130"/>
        <v>0</v>
      </c>
    </row>
    <row r="828" spans="1:25" x14ac:dyDescent="0.2">
      <c r="A828" s="24">
        <f t="shared" si="133"/>
        <v>3.7125911885546103</v>
      </c>
      <c r="B828" s="383">
        <v>13.783333333333333</v>
      </c>
      <c r="C828" s="32"/>
      <c r="D828" s="381">
        <f t="shared" si="123"/>
        <v>0</v>
      </c>
      <c r="E828" s="383">
        <v>13.783333333333333</v>
      </c>
      <c r="F828" s="8"/>
      <c r="G828" s="381">
        <f t="shared" si="124"/>
        <v>0</v>
      </c>
      <c r="H828" s="383">
        <v>13.783333333333333</v>
      </c>
      <c r="I828" s="32"/>
      <c r="J828" s="381">
        <f t="shared" si="125"/>
        <v>0</v>
      </c>
      <c r="K828" s="383">
        <v>13.783333333333333</v>
      </c>
      <c r="L828" s="31"/>
      <c r="M828" s="381">
        <f t="shared" si="126"/>
        <v>0</v>
      </c>
      <c r="N828" s="383">
        <v>13.783333333333333</v>
      </c>
      <c r="O828" s="32"/>
      <c r="P828" s="381">
        <f t="shared" si="127"/>
        <v>0</v>
      </c>
      <c r="Q828" s="383">
        <v>13.783333333333333</v>
      </c>
      <c r="R828" s="32"/>
      <c r="S828" s="25">
        <f t="shared" si="128"/>
        <v>0</v>
      </c>
      <c r="T828" s="383">
        <v>13.783333333333333</v>
      </c>
      <c r="U828" s="32"/>
      <c r="V828" s="25">
        <f t="shared" si="131"/>
        <v>0</v>
      </c>
      <c r="W828" s="32">
        <f t="shared" si="132"/>
        <v>13.783333333333333</v>
      </c>
      <c r="X828" s="32">
        <f t="shared" si="129"/>
        <v>0</v>
      </c>
      <c r="Y828" s="381">
        <f t="shared" si="130"/>
        <v>0</v>
      </c>
    </row>
    <row r="829" spans="1:25" x14ac:dyDescent="0.2">
      <c r="A829" s="24">
        <f t="shared" si="133"/>
        <v>3.714835124201342</v>
      </c>
      <c r="B829" s="383">
        <v>13.8</v>
      </c>
      <c r="C829" s="32"/>
      <c r="D829" s="381">
        <f t="shared" si="123"/>
        <v>0</v>
      </c>
      <c r="E829" s="383">
        <v>13.8</v>
      </c>
      <c r="F829" s="8"/>
      <c r="G829" s="381">
        <f t="shared" si="124"/>
        <v>0</v>
      </c>
      <c r="H829" s="383">
        <v>13.8</v>
      </c>
      <c r="I829" s="32"/>
      <c r="J829" s="381">
        <f t="shared" si="125"/>
        <v>0</v>
      </c>
      <c r="K829" s="383">
        <v>13.8</v>
      </c>
      <c r="L829" s="31"/>
      <c r="M829" s="381">
        <f t="shared" si="126"/>
        <v>0</v>
      </c>
      <c r="N829" s="383">
        <v>13.8</v>
      </c>
      <c r="O829" s="32"/>
      <c r="P829" s="381">
        <f t="shared" si="127"/>
        <v>0</v>
      </c>
      <c r="Q829" s="383">
        <v>13.8</v>
      </c>
      <c r="R829" s="32"/>
      <c r="S829" s="25">
        <f t="shared" si="128"/>
        <v>0</v>
      </c>
      <c r="T829" s="383">
        <v>13.8</v>
      </c>
      <c r="U829" s="32"/>
      <c r="V829" s="25">
        <f t="shared" si="131"/>
        <v>0</v>
      </c>
      <c r="W829" s="32">
        <f t="shared" si="132"/>
        <v>13.8</v>
      </c>
      <c r="X829" s="32">
        <f t="shared" si="129"/>
        <v>0</v>
      </c>
      <c r="Y829" s="381">
        <f t="shared" si="130"/>
        <v>0</v>
      </c>
    </row>
    <row r="830" spans="1:25" x14ac:dyDescent="0.2">
      <c r="A830" s="24">
        <f t="shared" si="133"/>
        <v>3.7170777052231054</v>
      </c>
      <c r="B830" s="383">
        <v>13.816666666666666</v>
      </c>
      <c r="C830" s="32"/>
      <c r="D830" s="381">
        <f t="shared" si="123"/>
        <v>0</v>
      </c>
      <c r="E830" s="383">
        <v>13.816666666666666</v>
      </c>
      <c r="F830" s="8"/>
      <c r="G830" s="381">
        <f t="shared" si="124"/>
        <v>0</v>
      </c>
      <c r="H830" s="383">
        <v>13.816666666666666</v>
      </c>
      <c r="I830" s="32"/>
      <c r="J830" s="381">
        <f t="shared" si="125"/>
        <v>0</v>
      </c>
      <c r="K830" s="383">
        <v>13.816666666666666</v>
      </c>
      <c r="L830" s="31"/>
      <c r="M830" s="381">
        <f t="shared" si="126"/>
        <v>0</v>
      </c>
      <c r="N830" s="383">
        <v>13.816666666666666</v>
      </c>
      <c r="O830" s="32"/>
      <c r="P830" s="381">
        <f t="shared" si="127"/>
        <v>0</v>
      </c>
      <c r="Q830" s="383">
        <v>13.816666666666666</v>
      </c>
      <c r="R830" s="32"/>
      <c r="S830" s="25">
        <f t="shared" si="128"/>
        <v>0</v>
      </c>
      <c r="T830" s="383">
        <v>13.816666666666666</v>
      </c>
      <c r="U830" s="32"/>
      <c r="V830" s="25">
        <f t="shared" si="131"/>
        <v>0</v>
      </c>
      <c r="W830" s="32">
        <f t="shared" si="132"/>
        <v>13.816666666666666</v>
      </c>
      <c r="X830" s="32">
        <f t="shared" si="129"/>
        <v>0</v>
      </c>
      <c r="Y830" s="381">
        <f t="shared" si="130"/>
        <v>0</v>
      </c>
    </row>
    <row r="831" spans="1:25" x14ac:dyDescent="0.2">
      <c r="A831" s="24">
        <f t="shared" si="133"/>
        <v>3.7193189340702331</v>
      </c>
      <c r="B831" s="383">
        <v>13.833333333333334</v>
      </c>
      <c r="C831" s="32"/>
      <c r="D831" s="381">
        <f t="shared" si="123"/>
        <v>0</v>
      </c>
      <c r="E831" s="383">
        <v>13.833333333333334</v>
      </c>
      <c r="F831" s="8"/>
      <c r="G831" s="381">
        <f t="shared" si="124"/>
        <v>0</v>
      </c>
      <c r="H831" s="383">
        <v>13.833333333333334</v>
      </c>
      <c r="I831" s="32"/>
      <c r="J831" s="381">
        <f t="shared" si="125"/>
        <v>0</v>
      </c>
      <c r="K831" s="383">
        <v>13.833333333333334</v>
      </c>
      <c r="L831" s="31"/>
      <c r="M831" s="381">
        <f t="shared" si="126"/>
        <v>0</v>
      </c>
      <c r="N831" s="383">
        <v>13.833333333333334</v>
      </c>
      <c r="O831" s="32"/>
      <c r="P831" s="381">
        <f t="shared" si="127"/>
        <v>0</v>
      </c>
      <c r="Q831" s="383">
        <v>13.833333333333334</v>
      </c>
      <c r="R831" s="32"/>
      <c r="S831" s="25">
        <f t="shared" si="128"/>
        <v>0</v>
      </c>
      <c r="T831" s="383">
        <v>13.833333333333334</v>
      </c>
      <c r="U831" s="32"/>
      <c r="V831" s="25">
        <f t="shared" si="131"/>
        <v>0</v>
      </c>
      <c r="W831" s="32">
        <f t="shared" si="132"/>
        <v>13.833333333333334</v>
      </c>
      <c r="X831" s="32">
        <f t="shared" si="129"/>
        <v>0</v>
      </c>
      <c r="Y831" s="381">
        <f t="shared" si="130"/>
        <v>0</v>
      </c>
    </row>
    <row r="832" spans="1:25" x14ac:dyDescent="0.2">
      <c r="A832" s="24">
        <f t="shared" si="133"/>
        <v>3.7215588131856792</v>
      </c>
      <c r="B832" s="383">
        <v>13.85</v>
      </c>
      <c r="C832" s="32"/>
      <c r="D832" s="381">
        <f t="shared" si="123"/>
        <v>0</v>
      </c>
      <c r="E832" s="383">
        <v>13.85</v>
      </c>
      <c r="F832" s="8"/>
      <c r="G832" s="381">
        <f t="shared" si="124"/>
        <v>0</v>
      </c>
      <c r="H832" s="383">
        <v>13.85</v>
      </c>
      <c r="I832" s="32"/>
      <c r="J832" s="381">
        <f t="shared" si="125"/>
        <v>0</v>
      </c>
      <c r="K832" s="383">
        <v>13.85</v>
      </c>
      <c r="L832" s="31"/>
      <c r="M832" s="381">
        <f t="shared" si="126"/>
        <v>0</v>
      </c>
      <c r="N832" s="383">
        <v>13.85</v>
      </c>
      <c r="O832" s="32"/>
      <c r="P832" s="381">
        <f t="shared" si="127"/>
        <v>0</v>
      </c>
      <c r="Q832" s="383">
        <v>13.85</v>
      </c>
      <c r="R832" s="32"/>
      <c r="S832" s="25">
        <f t="shared" si="128"/>
        <v>0</v>
      </c>
      <c r="T832" s="383">
        <v>13.85</v>
      </c>
      <c r="U832" s="32"/>
      <c r="V832" s="25">
        <f t="shared" si="131"/>
        <v>0</v>
      </c>
      <c r="W832" s="32">
        <f t="shared" si="132"/>
        <v>13.85</v>
      </c>
      <c r="X832" s="32">
        <f t="shared" si="129"/>
        <v>0</v>
      </c>
      <c r="Y832" s="381">
        <f t="shared" si="130"/>
        <v>0</v>
      </c>
    </row>
    <row r="833" spans="1:25" x14ac:dyDescent="0.2">
      <c r="A833" s="24">
        <f t="shared" si="133"/>
        <v>3.723797345005051</v>
      </c>
      <c r="B833" s="383">
        <v>13.866666666666667</v>
      </c>
      <c r="C833" s="32"/>
      <c r="D833" s="381">
        <f t="shared" si="123"/>
        <v>0</v>
      </c>
      <c r="E833" s="383">
        <v>13.866666666666667</v>
      </c>
      <c r="F833" s="8"/>
      <c r="G833" s="381">
        <f t="shared" si="124"/>
        <v>0</v>
      </c>
      <c r="H833" s="383">
        <v>13.866666666666667</v>
      </c>
      <c r="I833" s="32"/>
      <c r="J833" s="381">
        <f t="shared" si="125"/>
        <v>0</v>
      </c>
      <c r="K833" s="383">
        <v>13.866666666666667</v>
      </c>
      <c r="L833" s="31"/>
      <c r="M833" s="381">
        <f t="shared" si="126"/>
        <v>0</v>
      </c>
      <c r="N833" s="383">
        <v>13.866666666666667</v>
      </c>
      <c r="O833" s="32"/>
      <c r="P833" s="381">
        <f t="shared" si="127"/>
        <v>0</v>
      </c>
      <c r="Q833" s="383">
        <v>13.866666666666667</v>
      </c>
      <c r="R833" s="32"/>
      <c r="S833" s="25">
        <f t="shared" si="128"/>
        <v>0</v>
      </c>
      <c r="T833" s="383">
        <v>13.866666666666667</v>
      </c>
      <c r="U833" s="32"/>
      <c r="V833" s="25">
        <f t="shared" si="131"/>
        <v>0</v>
      </c>
      <c r="W833" s="32">
        <f t="shared" si="132"/>
        <v>13.866666666666667</v>
      </c>
      <c r="X833" s="32">
        <f t="shared" si="129"/>
        <v>0</v>
      </c>
      <c r="Y833" s="381">
        <f t="shared" si="130"/>
        <v>0</v>
      </c>
    </row>
    <row r="834" spans="1:25" x14ac:dyDescent="0.2">
      <c r="A834" s="24">
        <f t="shared" si="133"/>
        <v>3.7260345319566395</v>
      </c>
      <c r="B834" s="383">
        <v>13.883333333333333</v>
      </c>
      <c r="C834" s="32"/>
      <c r="D834" s="381">
        <f t="shared" si="123"/>
        <v>0</v>
      </c>
      <c r="E834" s="383">
        <v>13.883333333333333</v>
      </c>
      <c r="F834" s="8"/>
      <c r="G834" s="381">
        <f t="shared" si="124"/>
        <v>0</v>
      </c>
      <c r="H834" s="383">
        <v>13.883333333333333</v>
      </c>
      <c r="I834" s="32"/>
      <c r="J834" s="381">
        <f t="shared" si="125"/>
        <v>0</v>
      </c>
      <c r="K834" s="383">
        <v>13.883333333333333</v>
      </c>
      <c r="L834" s="31"/>
      <c r="M834" s="381">
        <f t="shared" si="126"/>
        <v>0</v>
      </c>
      <c r="N834" s="383">
        <v>13.883333333333333</v>
      </c>
      <c r="O834" s="32"/>
      <c r="P834" s="381">
        <f t="shared" si="127"/>
        <v>0</v>
      </c>
      <c r="Q834" s="383">
        <v>13.883333333333333</v>
      </c>
      <c r="R834" s="32"/>
      <c r="S834" s="25">
        <f t="shared" si="128"/>
        <v>0</v>
      </c>
      <c r="T834" s="383">
        <v>13.883333333333333</v>
      </c>
      <c r="U834" s="32"/>
      <c r="V834" s="25">
        <f t="shared" si="131"/>
        <v>0</v>
      </c>
      <c r="W834" s="32">
        <f t="shared" si="132"/>
        <v>13.883333333333333</v>
      </c>
      <c r="X834" s="32">
        <f t="shared" si="129"/>
        <v>0</v>
      </c>
      <c r="Y834" s="381">
        <f t="shared" si="130"/>
        <v>0</v>
      </c>
    </row>
    <row r="835" spans="1:25" x14ac:dyDescent="0.2">
      <c r="A835" s="24">
        <f t="shared" si="133"/>
        <v>3.7282703764614498</v>
      </c>
      <c r="B835" s="383">
        <v>13.9</v>
      </c>
      <c r="C835" s="32"/>
      <c r="D835" s="381">
        <f t="shared" si="123"/>
        <v>0</v>
      </c>
      <c r="E835" s="383">
        <v>13.9</v>
      </c>
      <c r="F835" s="8"/>
      <c r="G835" s="381">
        <f t="shared" si="124"/>
        <v>0</v>
      </c>
      <c r="H835" s="383">
        <v>13.9</v>
      </c>
      <c r="I835" s="32"/>
      <c r="J835" s="381">
        <f t="shared" si="125"/>
        <v>0</v>
      </c>
      <c r="K835" s="383">
        <v>13.9</v>
      </c>
      <c r="L835" s="31"/>
      <c r="M835" s="381">
        <f t="shared" si="126"/>
        <v>0</v>
      </c>
      <c r="N835" s="383">
        <v>13.9</v>
      </c>
      <c r="O835" s="32"/>
      <c r="P835" s="381">
        <f t="shared" si="127"/>
        <v>0</v>
      </c>
      <c r="Q835" s="383">
        <v>13.9</v>
      </c>
      <c r="R835" s="32"/>
      <c r="S835" s="25">
        <f t="shared" si="128"/>
        <v>0</v>
      </c>
      <c r="T835" s="383">
        <v>13.9</v>
      </c>
      <c r="U835" s="32"/>
      <c r="V835" s="25">
        <f t="shared" si="131"/>
        <v>0</v>
      </c>
      <c r="W835" s="32">
        <f t="shared" si="132"/>
        <v>13.9</v>
      </c>
      <c r="X835" s="32">
        <f t="shared" si="129"/>
        <v>0</v>
      </c>
      <c r="Y835" s="381">
        <f t="shared" si="130"/>
        <v>0</v>
      </c>
    </row>
    <row r="836" spans="1:25" x14ac:dyDescent="0.2">
      <c r="A836" s="24">
        <f t="shared" si="133"/>
        <v>3.730504880933232</v>
      </c>
      <c r="B836" s="383">
        <v>13.916666666666666</v>
      </c>
      <c r="C836" s="32"/>
      <c r="D836" s="381">
        <f t="shared" si="123"/>
        <v>0</v>
      </c>
      <c r="E836" s="383">
        <v>13.916666666666666</v>
      </c>
      <c r="F836" s="8"/>
      <c r="G836" s="381">
        <f t="shared" si="124"/>
        <v>0</v>
      </c>
      <c r="H836" s="383">
        <v>13.916666666666666</v>
      </c>
      <c r="I836" s="32"/>
      <c r="J836" s="381">
        <f t="shared" si="125"/>
        <v>0</v>
      </c>
      <c r="K836" s="383">
        <v>13.916666666666666</v>
      </c>
      <c r="L836" s="31"/>
      <c r="M836" s="381">
        <f t="shared" si="126"/>
        <v>0</v>
      </c>
      <c r="N836" s="383">
        <v>13.916666666666666</v>
      </c>
      <c r="O836" s="32"/>
      <c r="P836" s="381">
        <f t="shared" si="127"/>
        <v>0</v>
      </c>
      <c r="Q836" s="383">
        <v>13.916666666666666</v>
      </c>
      <c r="R836" s="32"/>
      <c r="S836" s="25">
        <f t="shared" si="128"/>
        <v>0</v>
      </c>
      <c r="T836" s="383">
        <v>13.916666666666666</v>
      </c>
      <c r="U836" s="32"/>
      <c r="V836" s="25">
        <f t="shared" si="131"/>
        <v>0</v>
      </c>
      <c r="W836" s="32">
        <f t="shared" si="132"/>
        <v>13.916666666666666</v>
      </c>
      <c r="X836" s="32">
        <f t="shared" si="129"/>
        <v>0</v>
      </c>
      <c r="Y836" s="381">
        <f t="shared" si="130"/>
        <v>0</v>
      </c>
    </row>
    <row r="837" spans="1:25" x14ac:dyDescent="0.2">
      <c r="A837" s="24">
        <f t="shared" si="133"/>
        <v>3.730504880933232</v>
      </c>
      <c r="B837" s="383">
        <v>13.916666666666666</v>
      </c>
      <c r="C837" s="32"/>
      <c r="D837" s="381">
        <f t="shared" ref="D837:D900" si="134">C837</f>
        <v>0</v>
      </c>
      <c r="E837" s="383">
        <v>13.916666666666666</v>
      </c>
      <c r="F837" s="8"/>
      <c r="G837" s="381">
        <f t="shared" ref="G837:G900" si="135">F837+$AB$2</f>
        <v>0</v>
      </c>
      <c r="H837" s="383">
        <v>13.916666666666666</v>
      </c>
      <c r="I837" s="32"/>
      <c r="J837" s="381">
        <f t="shared" ref="J837:J900" si="136">I837+$AB$3</f>
        <v>0</v>
      </c>
      <c r="K837" s="383">
        <v>13.916666666666666</v>
      </c>
      <c r="L837" s="31"/>
      <c r="M837" s="381">
        <f t="shared" ref="M837:M900" si="137">L837+$AB$4</f>
        <v>0</v>
      </c>
      <c r="N837" s="383">
        <v>13.916666666666666</v>
      </c>
      <c r="O837" s="32"/>
      <c r="P837" s="381">
        <f t="shared" ref="P837:P900" si="138">O837+$AB$5</f>
        <v>0</v>
      </c>
      <c r="Q837" s="383">
        <v>13.916666666666666</v>
      </c>
      <c r="R837" s="32"/>
      <c r="S837" s="25">
        <f t="shared" ref="S837:S900" si="139">R837+$AB$6</f>
        <v>0</v>
      </c>
      <c r="T837" s="383">
        <v>13.916666666666666</v>
      </c>
      <c r="U837" s="32"/>
      <c r="V837" s="25">
        <f t="shared" si="131"/>
        <v>0</v>
      </c>
      <c r="W837" s="32">
        <f t="shared" si="132"/>
        <v>13.916666666666666</v>
      </c>
      <c r="X837" s="32">
        <f t="shared" ref="X837:X900" si="140">U837</f>
        <v>0</v>
      </c>
      <c r="Y837" s="381">
        <f t="shared" ref="Y837:Y900" si="141">X837+$AB$8</f>
        <v>0</v>
      </c>
    </row>
    <row r="838" spans="1:25" x14ac:dyDescent="0.2">
      <c r="A838" s="24">
        <f t="shared" si="133"/>
        <v>3.7327380477785117</v>
      </c>
      <c r="B838" s="383">
        <v>13.933333333333334</v>
      </c>
      <c r="C838" s="32"/>
      <c r="D838" s="381">
        <f t="shared" si="134"/>
        <v>0</v>
      </c>
      <c r="E838" s="383">
        <v>13.933333333333334</v>
      </c>
      <c r="F838" s="8"/>
      <c r="G838" s="381">
        <f t="shared" si="135"/>
        <v>0</v>
      </c>
      <c r="H838" s="383">
        <v>13.933333333333334</v>
      </c>
      <c r="I838" s="32"/>
      <c r="J838" s="381">
        <f t="shared" si="136"/>
        <v>0</v>
      </c>
      <c r="K838" s="383">
        <v>13.933333333333334</v>
      </c>
      <c r="L838" s="31"/>
      <c r="M838" s="381">
        <f t="shared" si="137"/>
        <v>0</v>
      </c>
      <c r="N838" s="383">
        <v>13.933333333333334</v>
      </c>
      <c r="O838" s="32"/>
      <c r="P838" s="381">
        <f t="shared" si="138"/>
        <v>0</v>
      </c>
      <c r="Q838" s="383">
        <v>13.933333333333334</v>
      </c>
      <c r="R838" s="32"/>
      <c r="S838" s="25">
        <f t="shared" si="139"/>
        <v>0</v>
      </c>
      <c r="T838" s="383">
        <v>13.933333333333334</v>
      </c>
      <c r="U838" s="32"/>
      <c r="V838" s="25">
        <f t="shared" ref="V838:V901" si="142">Y838</f>
        <v>0</v>
      </c>
      <c r="W838" s="32">
        <f t="shared" ref="W838:W901" si="143">T838</f>
        <v>13.933333333333334</v>
      </c>
      <c r="X838" s="32">
        <f t="shared" si="140"/>
        <v>0</v>
      </c>
      <c r="Y838" s="381">
        <f t="shared" si="141"/>
        <v>0</v>
      </c>
    </row>
    <row r="839" spans="1:25" x14ac:dyDescent="0.2">
      <c r="A839" s="24">
        <f t="shared" si="133"/>
        <v>3.7349698793966195</v>
      </c>
      <c r="B839" s="383">
        <v>13.95</v>
      </c>
      <c r="C839" s="32"/>
      <c r="D839" s="381">
        <f t="shared" si="134"/>
        <v>0</v>
      </c>
      <c r="E839" s="383">
        <v>13.95</v>
      </c>
      <c r="F839" s="8"/>
      <c r="G839" s="381">
        <f t="shared" si="135"/>
        <v>0</v>
      </c>
      <c r="H839" s="383">
        <v>13.95</v>
      </c>
      <c r="I839" s="32"/>
      <c r="J839" s="381">
        <f t="shared" si="136"/>
        <v>0</v>
      </c>
      <c r="K839" s="383">
        <v>13.95</v>
      </c>
      <c r="L839" s="31"/>
      <c r="M839" s="381">
        <f t="shared" si="137"/>
        <v>0</v>
      </c>
      <c r="N839" s="383">
        <v>13.95</v>
      </c>
      <c r="O839" s="32"/>
      <c r="P839" s="381">
        <f t="shared" si="138"/>
        <v>0</v>
      </c>
      <c r="Q839" s="383">
        <v>13.95</v>
      </c>
      <c r="R839" s="32"/>
      <c r="S839" s="25">
        <f t="shared" si="139"/>
        <v>0</v>
      </c>
      <c r="T839" s="383">
        <v>13.95</v>
      </c>
      <c r="U839" s="32"/>
      <c r="V839" s="25">
        <f t="shared" si="142"/>
        <v>0</v>
      </c>
      <c r="W839" s="32">
        <f t="shared" si="143"/>
        <v>13.95</v>
      </c>
      <c r="X839" s="32">
        <f t="shared" si="140"/>
        <v>0</v>
      </c>
      <c r="Y839" s="381">
        <f t="shared" si="141"/>
        <v>0</v>
      </c>
    </row>
    <row r="840" spans="1:25" x14ac:dyDescent="0.2">
      <c r="A840" s="24">
        <f t="shared" si="133"/>
        <v>3.7372003781797232</v>
      </c>
      <c r="B840" s="383">
        <v>13.966666666666667</v>
      </c>
      <c r="C840" s="32"/>
      <c r="D840" s="381">
        <f t="shared" si="134"/>
        <v>0</v>
      </c>
      <c r="E840" s="383">
        <v>13.966666666666667</v>
      </c>
      <c r="F840" s="8"/>
      <c r="G840" s="381">
        <f t="shared" si="135"/>
        <v>0</v>
      </c>
      <c r="H840" s="383">
        <v>13.966666666666667</v>
      </c>
      <c r="I840" s="32"/>
      <c r="J840" s="381">
        <f t="shared" si="136"/>
        <v>0</v>
      </c>
      <c r="K840" s="383">
        <v>13.966666666666667</v>
      </c>
      <c r="L840" s="31"/>
      <c r="M840" s="381">
        <f t="shared" si="137"/>
        <v>0</v>
      </c>
      <c r="N840" s="383">
        <v>13.966666666666667</v>
      </c>
      <c r="O840" s="32"/>
      <c r="P840" s="381">
        <f t="shared" si="138"/>
        <v>0</v>
      </c>
      <c r="Q840" s="383">
        <v>13.966666666666667</v>
      </c>
      <c r="R840" s="32"/>
      <c r="S840" s="25">
        <f t="shared" si="139"/>
        <v>0</v>
      </c>
      <c r="T840" s="383">
        <v>13.966666666666667</v>
      </c>
      <c r="U840" s="32"/>
      <c r="V840" s="25">
        <f t="shared" si="142"/>
        <v>0</v>
      </c>
      <c r="W840" s="32">
        <f t="shared" si="143"/>
        <v>13.966666666666667</v>
      </c>
      <c r="X840" s="32">
        <f t="shared" si="140"/>
        <v>0</v>
      </c>
      <c r="Y840" s="381">
        <f t="shared" si="141"/>
        <v>0</v>
      </c>
    </row>
    <row r="841" spans="1:25" x14ac:dyDescent="0.2">
      <c r="A841" s="24">
        <f t="shared" si="133"/>
        <v>3.7394295465128544</v>
      </c>
      <c r="B841" s="383">
        <v>13.983333333333333</v>
      </c>
      <c r="C841" s="32"/>
      <c r="D841" s="381">
        <f t="shared" si="134"/>
        <v>0</v>
      </c>
      <c r="E841" s="383">
        <v>13.983333333333333</v>
      </c>
      <c r="F841" s="8"/>
      <c r="G841" s="381">
        <f t="shared" si="135"/>
        <v>0</v>
      </c>
      <c r="H841" s="383">
        <v>13.983333333333333</v>
      </c>
      <c r="I841" s="32"/>
      <c r="J841" s="381">
        <f t="shared" si="136"/>
        <v>0</v>
      </c>
      <c r="K841" s="383">
        <v>13.983333333333333</v>
      </c>
      <c r="L841" s="31"/>
      <c r="M841" s="381">
        <f t="shared" si="137"/>
        <v>0</v>
      </c>
      <c r="N841" s="383">
        <v>13.983333333333333</v>
      </c>
      <c r="O841" s="32"/>
      <c r="P841" s="381">
        <f t="shared" si="138"/>
        <v>0</v>
      </c>
      <c r="Q841" s="383">
        <v>13.983333333333333</v>
      </c>
      <c r="R841" s="32"/>
      <c r="S841" s="25">
        <f t="shared" si="139"/>
        <v>0</v>
      </c>
      <c r="T841" s="383">
        <v>13.983333333333333</v>
      </c>
      <c r="U841" s="32"/>
      <c r="V841" s="25">
        <f t="shared" si="142"/>
        <v>0</v>
      </c>
      <c r="W841" s="32">
        <f t="shared" si="143"/>
        <v>13.983333333333333</v>
      </c>
      <c r="X841" s="32">
        <f t="shared" si="140"/>
        <v>0</v>
      </c>
      <c r="Y841" s="381">
        <f t="shared" si="141"/>
        <v>0</v>
      </c>
    </row>
    <row r="842" spans="1:25" x14ac:dyDescent="0.2">
      <c r="A842" s="24">
        <f t="shared" si="133"/>
        <v>3.7416573867739413</v>
      </c>
      <c r="B842" s="383">
        <v>14</v>
      </c>
      <c r="C842" s="32"/>
      <c r="D842" s="381">
        <f t="shared" si="134"/>
        <v>0</v>
      </c>
      <c r="E842" s="383">
        <v>14</v>
      </c>
      <c r="F842" s="8"/>
      <c r="G842" s="381">
        <f t="shared" si="135"/>
        <v>0</v>
      </c>
      <c r="H842" s="383">
        <v>14</v>
      </c>
      <c r="I842" s="32"/>
      <c r="J842" s="381">
        <f t="shared" si="136"/>
        <v>0</v>
      </c>
      <c r="K842" s="383">
        <v>14</v>
      </c>
      <c r="L842" s="31"/>
      <c r="M842" s="381">
        <f t="shared" si="137"/>
        <v>0</v>
      </c>
      <c r="N842" s="383">
        <v>14</v>
      </c>
      <c r="O842" s="32"/>
      <c r="P842" s="381">
        <f t="shared" si="138"/>
        <v>0</v>
      </c>
      <c r="Q842" s="383">
        <v>14</v>
      </c>
      <c r="R842" s="32"/>
      <c r="S842" s="25">
        <f t="shared" si="139"/>
        <v>0</v>
      </c>
      <c r="T842" s="383">
        <v>14</v>
      </c>
      <c r="U842" s="32"/>
      <c r="V842" s="25">
        <f t="shared" si="142"/>
        <v>0</v>
      </c>
      <c r="W842" s="32">
        <f t="shared" si="143"/>
        <v>14</v>
      </c>
      <c r="X842" s="32">
        <f t="shared" si="140"/>
        <v>0</v>
      </c>
      <c r="Y842" s="381">
        <f t="shared" si="141"/>
        <v>0</v>
      </c>
    </row>
    <row r="843" spans="1:25" x14ac:dyDescent="0.2">
      <c r="A843" s="24">
        <f t="shared" si="133"/>
        <v>3.7438839013338363</v>
      </c>
      <c r="B843" s="383">
        <v>14.016666666666667</v>
      </c>
      <c r="C843" s="32"/>
      <c r="D843" s="381">
        <f t="shared" si="134"/>
        <v>0</v>
      </c>
      <c r="E843" s="383">
        <v>14.016666666666667</v>
      </c>
      <c r="F843" s="8"/>
      <c r="G843" s="381">
        <f t="shared" si="135"/>
        <v>0</v>
      </c>
      <c r="H843" s="383">
        <v>14.016666666666667</v>
      </c>
      <c r="I843" s="32"/>
      <c r="J843" s="381">
        <f t="shared" si="136"/>
        <v>0</v>
      </c>
      <c r="K843" s="383">
        <v>14.016666666666667</v>
      </c>
      <c r="L843" s="31"/>
      <c r="M843" s="381">
        <f t="shared" si="137"/>
        <v>0</v>
      </c>
      <c r="N843" s="383">
        <v>14.016666666666667</v>
      </c>
      <c r="O843" s="32"/>
      <c r="P843" s="381">
        <f t="shared" si="138"/>
        <v>0</v>
      </c>
      <c r="Q843" s="383">
        <v>14.016666666666667</v>
      </c>
      <c r="R843" s="32"/>
      <c r="S843" s="25">
        <f t="shared" si="139"/>
        <v>0</v>
      </c>
      <c r="T843" s="383">
        <v>14.016666666666667</v>
      </c>
      <c r="U843" s="32"/>
      <c r="V843" s="25">
        <f t="shared" si="142"/>
        <v>0</v>
      </c>
      <c r="W843" s="32">
        <f t="shared" si="143"/>
        <v>14.016666666666667</v>
      </c>
      <c r="X843" s="32">
        <f t="shared" si="140"/>
        <v>0</v>
      </c>
      <c r="Y843" s="381">
        <f t="shared" si="141"/>
        <v>0</v>
      </c>
    </row>
    <row r="844" spans="1:25" x14ac:dyDescent="0.2">
      <c r="A844" s="24">
        <f t="shared" si="133"/>
        <v>3.7461090925563463</v>
      </c>
      <c r="B844" s="383">
        <v>14.033333333333333</v>
      </c>
      <c r="C844" s="32"/>
      <c r="D844" s="381">
        <f t="shared" si="134"/>
        <v>0</v>
      </c>
      <c r="E844" s="383">
        <v>14.033333333333333</v>
      </c>
      <c r="F844" s="8"/>
      <c r="G844" s="381">
        <f t="shared" si="135"/>
        <v>0</v>
      </c>
      <c r="H844" s="383">
        <v>14.033333333333333</v>
      </c>
      <c r="I844" s="32"/>
      <c r="J844" s="381">
        <f t="shared" si="136"/>
        <v>0</v>
      </c>
      <c r="K844" s="383">
        <v>14.033333333333333</v>
      </c>
      <c r="L844" s="31"/>
      <c r="M844" s="381">
        <f t="shared" si="137"/>
        <v>0</v>
      </c>
      <c r="N844" s="383">
        <v>14.033333333333333</v>
      </c>
      <c r="O844" s="32"/>
      <c r="P844" s="381">
        <f t="shared" si="138"/>
        <v>0</v>
      </c>
      <c r="Q844" s="383">
        <v>14.033333333333333</v>
      </c>
      <c r="R844" s="32"/>
      <c r="S844" s="25">
        <f t="shared" si="139"/>
        <v>0</v>
      </c>
      <c r="T844" s="383">
        <v>14.033333333333333</v>
      </c>
      <c r="U844" s="32"/>
      <c r="V844" s="25">
        <f t="shared" si="142"/>
        <v>0</v>
      </c>
      <c r="W844" s="32">
        <f t="shared" si="143"/>
        <v>14.033333333333333</v>
      </c>
      <c r="X844" s="32">
        <f t="shared" si="140"/>
        <v>0</v>
      </c>
      <c r="Y844" s="381">
        <f t="shared" si="141"/>
        <v>0</v>
      </c>
    </row>
    <row r="845" spans="1:25" x14ac:dyDescent="0.2">
      <c r="A845" s="24">
        <f t="shared" si="133"/>
        <v>3.7483329627982624</v>
      </c>
      <c r="B845" s="383">
        <v>14.05</v>
      </c>
      <c r="C845" s="32"/>
      <c r="D845" s="381">
        <f t="shared" si="134"/>
        <v>0</v>
      </c>
      <c r="E845" s="383">
        <v>14.05</v>
      </c>
      <c r="F845" s="8"/>
      <c r="G845" s="381">
        <f t="shared" si="135"/>
        <v>0</v>
      </c>
      <c r="H845" s="383">
        <v>14.05</v>
      </c>
      <c r="I845" s="32"/>
      <c r="J845" s="381">
        <f t="shared" si="136"/>
        <v>0</v>
      </c>
      <c r="K845" s="383">
        <v>14.05</v>
      </c>
      <c r="L845" s="31"/>
      <c r="M845" s="381">
        <f t="shared" si="137"/>
        <v>0</v>
      </c>
      <c r="N845" s="383">
        <v>14.05</v>
      </c>
      <c r="O845" s="32"/>
      <c r="P845" s="381">
        <f t="shared" si="138"/>
        <v>0</v>
      </c>
      <c r="Q845" s="383">
        <v>14.05</v>
      </c>
      <c r="R845" s="32"/>
      <c r="S845" s="25">
        <f t="shared" si="139"/>
        <v>0</v>
      </c>
      <c r="T845" s="383">
        <v>14.05</v>
      </c>
      <c r="U845" s="32"/>
      <c r="V845" s="25">
        <f t="shared" si="142"/>
        <v>0</v>
      </c>
      <c r="W845" s="32">
        <f t="shared" si="143"/>
        <v>14.05</v>
      </c>
      <c r="X845" s="32">
        <f t="shared" si="140"/>
        <v>0</v>
      </c>
      <c r="Y845" s="381">
        <f t="shared" si="141"/>
        <v>0</v>
      </c>
    </row>
    <row r="846" spans="1:25" x14ac:dyDescent="0.2">
      <c r="A846" s="24">
        <f t="shared" si="133"/>
        <v>3.7505555144093878</v>
      </c>
      <c r="B846" s="383">
        <v>14.066666666666666</v>
      </c>
      <c r="C846" s="32"/>
      <c r="D846" s="381">
        <f t="shared" si="134"/>
        <v>0</v>
      </c>
      <c r="E846" s="383">
        <v>14.066666666666666</v>
      </c>
      <c r="F846" s="8"/>
      <c r="G846" s="381">
        <f t="shared" si="135"/>
        <v>0</v>
      </c>
      <c r="H846" s="383">
        <v>14.066666666666666</v>
      </c>
      <c r="I846" s="32"/>
      <c r="J846" s="381">
        <f t="shared" si="136"/>
        <v>0</v>
      </c>
      <c r="K846" s="383">
        <v>14.066666666666666</v>
      </c>
      <c r="L846" s="31"/>
      <c r="M846" s="381">
        <f t="shared" si="137"/>
        <v>0</v>
      </c>
      <c r="N846" s="383">
        <v>14.066666666666666</v>
      </c>
      <c r="O846" s="32"/>
      <c r="P846" s="381">
        <f t="shared" si="138"/>
        <v>0</v>
      </c>
      <c r="Q846" s="383">
        <v>14.066666666666666</v>
      </c>
      <c r="R846" s="32"/>
      <c r="S846" s="25">
        <f t="shared" si="139"/>
        <v>0</v>
      </c>
      <c r="T846" s="383">
        <v>14.066666666666666</v>
      </c>
      <c r="U846" s="32"/>
      <c r="V846" s="25">
        <f t="shared" si="142"/>
        <v>0</v>
      </c>
      <c r="W846" s="32">
        <f t="shared" si="143"/>
        <v>14.066666666666666</v>
      </c>
      <c r="X846" s="32">
        <f t="shared" si="140"/>
        <v>0</v>
      </c>
      <c r="Y846" s="381">
        <f t="shared" si="141"/>
        <v>0</v>
      </c>
    </row>
    <row r="847" spans="1:25" x14ac:dyDescent="0.2">
      <c r="A847" s="24">
        <f t="shared" si="133"/>
        <v>3.7527767497325675</v>
      </c>
      <c r="B847" s="383">
        <v>14.083333333333334</v>
      </c>
      <c r="C847" s="32"/>
      <c r="D847" s="381">
        <f t="shared" si="134"/>
        <v>0</v>
      </c>
      <c r="E847" s="383">
        <v>14.083333333333334</v>
      </c>
      <c r="F847" s="8"/>
      <c r="G847" s="381">
        <f t="shared" si="135"/>
        <v>0</v>
      </c>
      <c r="H847" s="383">
        <v>14.083333333333334</v>
      </c>
      <c r="I847" s="32"/>
      <c r="J847" s="381">
        <f t="shared" si="136"/>
        <v>0</v>
      </c>
      <c r="K847" s="383">
        <v>14.083333333333334</v>
      </c>
      <c r="L847" s="31"/>
      <c r="M847" s="381">
        <f t="shared" si="137"/>
        <v>0</v>
      </c>
      <c r="N847" s="383">
        <v>14.083333333333334</v>
      </c>
      <c r="O847" s="32"/>
      <c r="P847" s="381">
        <f t="shared" si="138"/>
        <v>0</v>
      </c>
      <c r="Q847" s="383">
        <v>14.083333333333334</v>
      </c>
      <c r="R847" s="32"/>
      <c r="S847" s="25">
        <f t="shared" si="139"/>
        <v>0</v>
      </c>
      <c r="T847" s="383">
        <v>14.083333333333334</v>
      </c>
      <c r="U847" s="32"/>
      <c r="V847" s="25">
        <f t="shared" si="142"/>
        <v>0</v>
      </c>
      <c r="W847" s="32">
        <f t="shared" si="143"/>
        <v>14.083333333333334</v>
      </c>
      <c r="X847" s="32">
        <f t="shared" si="140"/>
        <v>0</v>
      </c>
      <c r="Y847" s="381">
        <f t="shared" si="141"/>
        <v>0</v>
      </c>
    </row>
    <row r="848" spans="1:25" x14ac:dyDescent="0.2">
      <c r="A848" s="24">
        <f t="shared" si="133"/>
        <v>3.7549966711037173</v>
      </c>
      <c r="B848" s="383">
        <v>14.1</v>
      </c>
      <c r="C848" s="32"/>
      <c r="D848" s="381">
        <f t="shared" si="134"/>
        <v>0</v>
      </c>
      <c r="E848" s="383">
        <v>14.1</v>
      </c>
      <c r="F848" s="8"/>
      <c r="G848" s="381">
        <f t="shared" si="135"/>
        <v>0</v>
      </c>
      <c r="H848" s="383">
        <v>14.1</v>
      </c>
      <c r="I848" s="32"/>
      <c r="J848" s="381">
        <f t="shared" si="136"/>
        <v>0</v>
      </c>
      <c r="K848" s="383">
        <v>14.1</v>
      </c>
      <c r="L848" s="31"/>
      <c r="M848" s="381">
        <f t="shared" si="137"/>
        <v>0</v>
      </c>
      <c r="N848" s="383">
        <v>14.1</v>
      </c>
      <c r="O848" s="32"/>
      <c r="P848" s="381">
        <f t="shared" si="138"/>
        <v>0</v>
      </c>
      <c r="Q848" s="383">
        <v>14.1</v>
      </c>
      <c r="R848" s="32"/>
      <c r="S848" s="25">
        <f t="shared" si="139"/>
        <v>0</v>
      </c>
      <c r="T848" s="383">
        <v>14.1</v>
      </c>
      <c r="U848" s="32"/>
      <c r="V848" s="25">
        <f t="shared" si="142"/>
        <v>0</v>
      </c>
      <c r="W848" s="32">
        <f t="shared" si="143"/>
        <v>14.1</v>
      </c>
      <c r="X848" s="32">
        <f t="shared" si="140"/>
        <v>0</v>
      </c>
      <c r="Y848" s="381">
        <f t="shared" si="141"/>
        <v>0</v>
      </c>
    </row>
    <row r="849" spans="1:25" x14ac:dyDescent="0.2">
      <c r="A849" s="24">
        <f t="shared" si="133"/>
        <v>3.7572152808518529</v>
      </c>
      <c r="B849" s="383">
        <v>14.116666666666667</v>
      </c>
      <c r="C849" s="32"/>
      <c r="D849" s="381">
        <f t="shared" si="134"/>
        <v>0</v>
      </c>
      <c r="E849" s="383">
        <v>14.116666666666667</v>
      </c>
      <c r="F849" s="8"/>
      <c r="G849" s="381">
        <f t="shared" si="135"/>
        <v>0</v>
      </c>
      <c r="H849" s="383">
        <v>14.116666666666667</v>
      </c>
      <c r="I849" s="32"/>
      <c r="J849" s="381">
        <f t="shared" si="136"/>
        <v>0</v>
      </c>
      <c r="K849" s="383">
        <v>14.116666666666667</v>
      </c>
      <c r="L849" s="31"/>
      <c r="M849" s="381">
        <f t="shared" si="137"/>
        <v>0</v>
      </c>
      <c r="N849" s="383">
        <v>14.116666666666667</v>
      </c>
      <c r="O849" s="32"/>
      <c r="P849" s="381">
        <f t="shared" si="138"/>
        <v>0</v>
      </c>
      <c r="Q849" s="383">
        <v>14.116666666666667</v>
      </c>
      <c r="R849" s="32"/>
      <c r="S849" s="25">
        <f t="shared" si="139"/>
        <v>0</v>
      </c>
      <c r="T849" s="383">
        <v>14.116666666666667</v>
      </c>
      <c r="U849" s="32"/>
      <c r="V849" s="25">
        <f t="shared" si="142"/>
        <v>0</v>
      </c>
      <c r="W849" s="32">
        <f t="shared" si="143"/>
        <v>14.116666666666667</v>
      </c>
      <c r="X849" s="32">
        <f t="shared" si="140"/>
        <v>0</v>
      </c>
      <c r="Y849" s="381">
        <f t="shared" si="141"/>
        <v>0</v>
      </c>
    </row>
    <row r="850" spans="1:25" x14ac:dyDescent="0.2">
      <c r="A850" s="24">
        <f t="shared" si="133"/>
        <v>3.7594325812991158</v>
      </c>
      <c r="B850" s="383">
        <v>14.133333333333333</v>
      </c>
      <c r="C850" s="32"/>
      <c r="D850" s="381">
        <f t="shared" si="134"/>
        <v>0</v>
      </c>
      <c r="E850" s="383">
        <v>14.133333333333333</v>
      </c>
      <c r="F850" s="8"/>
      <c r="G850" s="381">
        <f t="shared" si="135"/>
        <v>0</v>
      </c>
      <c r="H850" s="383">
        <v>14.133333333333333</v>
      </c>
      <c r="I850" s="32"/>
      <c r="J850" s="381">
        <f t="shared" si="136"/>
        <v>0</v>
      </c>
      <c r="K850" s="383">
        <v>14.133333333333333</v>
      </c>
      <c r="L850" s="31"/>
      <c r="M850" s="381">
        <f t="shared" si="137"/>
        <v>0</v>
      </c>
      <c r="N850" s="383">
        <v>14.133333333333333</v>
      </c>
      <c r="O850" s="32"/>
      <c r="P850" s="381">
        <f t="shared" si="138"/>
        <v>0</v>
      </c>
      <c r="Q850" s="383">
        <v>14.133333333333333</v>
      </c>
      <c r="R850" s="32"/>
      <c r="S850" s="25">
        <f t="shared" si="139"/>
        <v>0</v>
      </c>
      <c r="T850" s="383">
        <v>14.133333333333333</v>
      </c>
      <c r="U850" s="32"/>
      <c r="V850" s="25">
        <f t="shared" si="142"/>
        <v>0</v>
      </c>
      <c r="W850" s="32">
        <f t="shared" si="143"/>
        <v>14.133333333333333</v>
      </c>
      <c r="X850" s="32">
        <f t="shared" si="140"/>
        <v>0</v>
      </c>
      <c r="Y850" s="381">
        <f t="shared" si="141"/>
        <v>0</v>
      </c>
    </row>
    <row r="851" spans="1:25" x14ac:dyDescent="0.2">
      <c r="A851" s="24">
        <f t="shared" si="133"/>
        <v>3.7616485747608057</v>
      </c>
      <c r="B851" s="383">
        <v>14.15</v>
      </c>
      <c r="C851" s="32"/>
      <c r="D851" s="381">
        <f t="shared" si="134"/>
        <v>0</v>
      </c>
      <c r="E851" s="383">
        <v>14.15</v>
      </c>
      <c r="F851" s="8"/>
      <c r="G851" s="381">
        <f t="shared" si="135"/>
        <v>0</v>
      </c>
      <c r="H851" s="383">
        <v>14.15</v>
      </c>
      <c r="I851" s="32"/>
      <c r="J851" s="381">
        <f t="shared" si="136"/>
        <v>0</v>
      </c>
      <c r="K851" s="383">
        <v>14.15</v>
      </c>
      <c r="L851" s="31"/>
      <c r="M851" s="381">
        <f t="shared" si="137"/>
        <v>0</v>
      </c>
      <c r="N851" s="383">
        <v>14.15</v>
      </c>
      <c r="O851" s="32"/>
      <c r="P851" s="381">
        <f t="shared" si="138"/>
        <v>0</v>
      </c>
      <c r="Q851" s="383">
        <v>14.15</v>
      </c>
      <c r="R851" s="32"/>
      <c r="S851" s="25">
        <f t="shared" si="139"/>
        <v>0</v>
      </c>
      <c r="T851" s="383">
        <v>14.15</v>
      </c>
      <c r="U851" s="32"/>
      <c r="V851" s="25">
        <f t="shared" si="142"/>
        <v>0</v>
      </c>
      <c r="W851" s="32">
        <f t="shared" si="143"/>
        <v>14.15</v>
      </c>
      <c r="X851" s="32">
        <f t="shared" si="140"/>
        <v>0</v>
      </c>
      <c r="Y851" s="381">
        <f t="shared" si="141"/>
        <v>0</v>
      </c>
    </row>
    <row r="852" spans="1:25" x14ac:dyDescent="0.2">
      <c r="A852" s="24">
        <f t="shared" si="133"/>
        <v>3.7638632635454048</v>
      </c>
      <c r="B852" s="383">
        <v>14.166666666666666</v>
      </c>
      <c r="C852" s="32"/>
      <c r="D852" s="381">
        <f t="shared" si="134"/>
        <v>0</v>
      </c>
      <c r="E852" s="383">
        <v>14.166666666666666</v>
      </c>
      <c r="F852" s="8"/>
      <c r="G852" s="381">
        <f t="shared" si="135"/>
        <v>0</v>
      </c>
      <c r="H852" s="383">
        <v>14.166666666666666</v>
      </c>
      <c r="I852" s="32"/>
      <c r="J852" s="381">
        <f t="shared" si="136"/>
        <v>0</v>
      </c>
      <c r="K852" s="383">
        <v>14.166666666666666</v>
      </c>
      <c r="L852" s="31"/>
      <c r="M852" s="381">
        <f t="shared" si="137"/>
        <v>0</v>
      </c>
      <c r="N852" s="383">
        <v>14.166666666666666</v>
      </c>
      <c r="O852" s="32"/>
      <c r="P852" s="381">
        <f t="shared" si="138"/>
        <v>0</v>
      </c>
      <c r="Q852" s="383">
        <v>14.166666666666666</v>
      </c>
      <c r="R852" s="32"/>
      <c r="S852" s="25">
        <f t="shared" si="139"/>
        <v>0</v>
      </c>
      <c r="T852" s="383">
        <v>14.166666666666666</v>
      </c>
      <c r="U852" s="32"/>
      <c r="V852" s="25">
        <f t="shared" si="142"/>
        <v>0</v>
      </c>
      <c r="W852" s="32">
        <f t="shared" si="143"/>
        <v>14.166666666666666</v>
      </c>
      <c r="X852" s="32">
        <f t="shared" si="140"/>
        <v>0</v>
      </c>
      <c r="Y852" s="381">
        <f t="shared" si="141"/>
        <v>0</v>
      </c>
    </row>
    <row r="853" spans="1:25" x14ac:dyDescent="0.2">
      <c r="A853" s="24">
        <f t="shared" si="133"/>
        <v>3.7660766499546092</v>
      </c>
      <c r="B853" s="383">
        <v>14.183333333333334</v>
      </c>
      <c r="C853" s="32"/>
      <c r="D853" s="381">
        <f t="shared" si="134"/>
        <v>0</v>
      </c>
      <c r="E853" s="383">
        <v>14.183333333333334</v>
      </c>
      <c r="F853" s="8"/>
      <c r="G853" s="381">
        <f t="shared" si="135"/>
        <v>0</v>
      </c>
      <c r="H853" s="383">
        <v>14.183333333333334</v>
      </c>
      <c r="I853" s="32"/>
      <c r="J853" s="381">
        <f t="shared" si="136"/>
        <v>0</v>
      </c>
      <c r="K853" s="383">
        <v>14.183333333333334</v>
      </c>
      <c r="L853" s="31"/>
      <c r="M853" s="381">
        <f t="shared" si="137"/>
        <v>0</v>
      </c>
      <c r="N853" s="383">
        <v>14.183333333333334</v>
      </c>
      <c r="O853" s="32"/>
      <c r="P853" s="381">
        <f t="shared" si="138"/>
        <v>0</v>
      </c>
      <c r="Q853" s="383">
        <v>14.183333333333334</v>
      </c>
      <c r="R853" s="32"/>
      <c r="S853" s="25">
        <f t="shared" si="139"/>
        <v>0</v>
      </c>
      <c r="T853" s="383">
        <v>14.183333333333334</v>
      </c>
      <c r="U853" s="32"/>
      <c r="V853" s="25">
        <f t="shared" si="142"/>
        <v>0</v>
      </c>
      <c r="W853" s="32">
        <f t="shared" si="143"/>
        <v>14.183333333333334</v>
      </c>
      <c r="X853" s="32">
        <f t="shared" si="140"/>
        <v>0</v>
      </c>
      <c r="Y853" s="381">
        <f t="shared" si="141"/>
        <v>0</v>
      </c>
    </row>
    <row r="854" spans="1:25" x14ac:dyDescent="0.2">
      <c r="A854" s="24">
        <f t="shared" si="133"/>
        <v>3.7682887362833544</v>
      </c>
      <c r="B854" s="383">
        <v>14.2</v>
      </c>
      <c r="C854" s="32"/>
      <c r="D854" s="381">
        <f t="shared" si="134"/>
        <v>0</v>
      </c>
      <c r="E854" s="383">
        <v>14.2</v>
      </c>
      <c r="F854" s="8"/>
      <c r="G854" s="381">
        <f t="shared" si="135"/>
        <v>0</v>
      </c>
      <c r="H854" s="383">
        <v>14.2</v>
      </c>
      <c r="I854" s="32"/>
      <c r="J854" s="381">
        <f t="shared" si="136"/>
        <v>0</v>
      </c>
      <c r="K854" s="383">
        <v>14.2</v>
      </c>
      <c r="L854" s="31"/>
      <c r="M854" s="381">
        <f t="shared" si="137"/>
        <v>0</v>
      </c>
      <c r="N854" s="383">
        <v>14.2</v>
      </c>
      <c r="O854" s="32"/>
      <c r="P854" s="381">
        <f t="shared" si="138"/>
        <v>0</v>
      </c>
      <c r="Q854" s="383">
        <v>14.2</v>
      </c>
      <c r="R854" s="32"/>
      <c r="S854" s="25">
        <f t="shared" si="139"/>
        <v>0</v>
      </c>
      <c r="T854" s="383">
        <v>14.2</v>
      </c>
      <c r="U854" s="32"/>
      <c r="V854" s="25">
        <f t="shared" si="142"/>
        <v>0</v>
      </c>
      <c r="W854" s="32">
        <f t="shared" si="143"/>
        <v>14.2</v>
      </c>
      <c r="X854" s="32">
        <f t="shared" si="140"/>
        <v>0</v>
      </c>
      <c r="Y854" s="381">
        <f t="shared" si="141"/>
        <v>0</v>
      </c>
    </row>
    <row r="855" spans="1:25" x14ac:dyDescent="0.2">
      <c r="A855" s="24">
        <f t="shared" si="133"/>
        <v>3.7704995248198436</v>
      </c>
      <c r="B855" s="383">
        <v>14.216666666666667</v>
      </c>
      <c r="C855" s="32"/>
      <c r="D855" s="381">
        <f t="shared" si="134"/>
        <v>0</v>
      </c>
      <c r="E855" s="383">
        <v>14.216666666666667</v>
      </c>
      <c r="F855" s="8"/>
      <c r="G855" s="381">
        <f t="shared" si="135"/>
        <v>0</v>
      </c>
      <c r="H855" s="383">
        <v>14.216666666666667</v>
      </c>
      <c r="I855" s="32"/>
      <c r="J855" s="381">
        <f t="shared" si="136"/>
        <v>0</v>
      </c>
      <c r="K855" s="383">
        <v>14.216666666666667</v>
      </c>
      <c r="L855" s="31"/>
      <c r="M855" s="381">
        <f t="shared" si="137"/>
        <v>0</v>
      </c>
      <c r="N855" s="383">
        <v>14.216666666666667</v>
      </c>
      <c r="O855" s="32"/>
      <c r="P855" s="381">
        <f t="shared" si="138"/>
        <v>0</v>
      </c>
      <c r="Q855" s="383">
        <v>14.216666666666667</v>
      </c>
      <c r="R855" s="32"/>
      <c r="S855" s="25">
        <f t="shared" si="139"/>
        <v>0</v>
      </c>
      <c r="T855" s="383">
        <v>14.216666666666667</v>
      </c>
      <c r="U855" s="32"/>
      <c r="V855" s="25">
        <f t="shared" si="142"/>
        <v>0</v>
      </c>
      <c r="W855" s="32">
        <f t="shared" si="143"/>
        <v>14.216666666666667</v>
      </c>
      <c r="X855" s="32">
        <f t="shared" si="140"/>
        <v>0</v>
      </c>
      <c r="Y855" s="381">
        <f t="shared" si="141"/>
        <v>0</v>
      </c>
    </row>
    <row r="856" spans="1:25" x14ac:dyDescent="0.2">
      <c r="A856" s="24">
        <f t="shared" si="133"/>
        <v>3.7727090178455764</v>
      </c>
      <c r="B856" s="383">
        <v>14.233333333333333</v>
      </c>
      <c r="C856" s="32"/>
      <c r="D856" s="381">
        <f t="shared" si="134"/>
        <v>0</v>
      </c>
      <c r="E856" s="383">
        <v>14.233333333333333</v>
      </c>
      <c r="F856" s="8"/>
      <c r="G856" s="381">
        <f t="shared" si="135"/>
        <v>0</v>
      </c>
      <c r="H856" s="383">
        <v>14.233333333333333</v>
      </c>
      <c r="I856" s="32"/>
      <c r="J856" s="381">
        <f t="shared" si="136"/>
        <v>0</v>
      </c>
      <c r="K856" s="383">
        <v>14.233333333333333</v>
      </c>
      <c r="L856" s="31"/>
      <c r="M856" s="381">
        <f t="shared" si="137"/>
        <v>0</v>
      </c>
      <c r="N856" s="383">
        <v>14.233333333333333</v>
      </c>
      <c r="O856" s="32"/>
      <c r="P856" s="381">
        <f t="shared" si="138"/>
        <v>0</v>
      </c>
      <c r="Q856" s="383">
        <v>14.233333333333333</v>
      </c>
      <c r="R856" s="32"/>
      <c r="S856" s="25">
        <f t="shared" si="139"/>
        <v>0</v>
      </c>
      <c r="T856" s="383">
        <v>14.233333333333333</v>
      </c>
      <c r="U856" s="32"/>
      <c r="V856" s="25">
        <f t="shared" si="142"/>
        <v>0</v>
      </c>
      <c r="W856" s="32">
        <f t="shared" si="143"/>
        <v>14.233333333333333</v>
      </c>
      <c r="X856" s="32">
        <f t="shared" si="140"/>
        <v>0</v>
      </c>
      <c r="Y856" s="381">
        <f t="shared" si="141"/>
        <v>0</v>
      </c>
    </row>
    <row r="857" spans="1:25" x14ac:dyDescent="0.2">
      <c r="A857" s="24">
        <f t="shared" si="133"/>
        <v>3.7749172176353749</v>
      </c>
      <c r="B857" s="383">
        <v>14.25</v>
      </c>
      <c r="C857" s="32"/>
      <c r="D857" s="381">
        <f t="shared" si="134"/>
        <v>0</v>
      </c>
      <c r="E857" s="383">
        <v>14.25</v>
      </c>
      <c r="F857" s="8"/>
      <c r="G857" s="381">
        <f t="shared" si="135"/>
        <v>0</v>
      </c>
      <c r="H857" s="383">
        <v>14.25</v>
      </c>
      <c r="I857" s="32"/>
      <c r="J857" s="381">
        <f t="shared" si="136"/>
        <v>0</v>
      </c>
      <c r="K857" s="383">
        <v>14.25</v>
      </c>
      <c r="L857" s="31"/>
      <c r="M857" s="381">
        <f t="shared" si="137"/>
        <v>0</v>
      </c>
      <c r="N857" s="383">
        <v>14.25</v>
      </c>
      <c r="O857" s="32"/>
      <c r="P857" s="381">
        <f t="shared" si="138"/>
        <v>0</v>
      </c>
      <c r="Q857" s="383">
        <v>14.25</v>
      </c>
      <c r="R857" s="32"/>
      <c r="S857" s="25">
        <f t="shared" si="139"/>
        <v>0</v>
      </c>
      <c r="T857" s="383">
        <v>14.25</v>
      </c>
      <c r="U857" s="32"/>
      <c r="V857" s="25">
        <f t="shared" si="142"/>
        <v>0</v>
      </c>
      <c r="W857" s="32">
        <f t="shared" si="143"/>
        <v>14.25</v>
      </c>
      <c r="X857" s="32">
        <f t="shared" si="140"/>
        <v>0</v>
      </c>
      <c r="Y857" s="381">
        <f t="shared" si="141"/>
        <v>0</v>
      </c>
    </row>
    <row r="858" spans="1:25" x14ac:dyDescent="0.2">
      <c r="A858" s="24">
        <f t="shared" si="133"/>
        <v>3.7771241264574118</v>
      </c>
      <c r="B858" s="383">
        <v>14.266666666666667</v>
      </c>
      <c r="C858" s="32"/>
      <c r="D858" s="381">
        <f t="shared" si="134"/>
        <v>0</v>
      </c>
      <c r="E858" s="383">
        <v>14.266666666666667</v>
      </c>
      <c r="F858" s="8"/>
      <c r="G858" s="381">
        <f t="shared" si="135"/>
        <v>0</v>
      </c>
      <c r="H858" s="383">
        <v>14.266666666666667</v>
      </c>
      <c r="I858" s="32"/>
      <c r="J858" s="381">
        <f t="shared" si="136"/>
        <v>0</v>
      </c>
      <c r="K858" s="383">
        <v>14.266666666666667</v>
      </c>
      <c r="L858" s="31"/>
      <c r="M858" s="381">
        <f t="shared" si="137"/>
        <v>0</v>
      </c>
      <c r="N858" s="383">
        <v>14.266666666666667</v>
      </c>
      <c r="O858" s="32"/>
      <c r="P858" s="381">
        <f t="shared" si="138"/>
        <v>0</v>
      </c>
      <c r="Q858" s="383">
        <v>14.266666666666667</v>
      </c>
      <c r="R858" s="32"/>
      <c r="S858" s="25">
        <f t="shared" si="139"/>
        <v>0</v>
      </c>
      <c r="T858" s="383">
        <v>14.266666666666667</v>
      </c>
      <c r="U858" s="32"/>
      <c r="V858" s="25">
        <f t="shared" si="142"/>
        <v>0</v>
      </c>
      <c r="W858" s="32">
        <f t="shared" si="143"/>
        <v>14.266666666666667</v>
      </c>
      <c r="X858" s="32">
        <f t="shared" si="140"/>
        <v>0</v>
      </c>
      <c r="Y858" s="381">
        <f t="shared" si="141"/>
        <v>0</v>
      </c>
    </row>
    <row r="859" spans="1:25" x14ac:dyDescent="0.2">
      <c r="A859" s="24">
        <f t="shared" si="133"/>
        <v>3.7793297465732376</v>
      </c>
      <c r="B859" s="383">
        <v>14.283333333333333</v>
      </c>
      <c r="C859" s="32"/>
      <c r="D859" s="381">
        <f t="shared" si="134"/>
        <v>0</v>
      </c>
      <c r="E859" s="383">
        <v>14.283333333333333</v>
      </c>
      <c r="F859" s="8"/>
      <c r="G859" s="381">
        <f t="shared" si="135"/>
        <v>0</v>
      </c>
      <c r="H859" s="383">
        <v>14.283333333333333</v>
      </c>
      <c r="I859" s="32"/>
      <c r="J859" s="381">
        <f t="shared" si="136"/>
        <v>0</v>
      </c>
      <c r="K859" s="383">
        <v>14.283333333333333</v>
      </c>
      <c r="L859" s="31"/>
      <c r="M859" s="381">
        <f t="shared" si="137"/>
        <v>0</v>
      </c>
      <c r="N859" s="383">
        <v>14.283333333333333</v>
      </c>
      <c r="O859" s="32"/>
      <c r="P859" s="381">
        <f t="shared" si="138"/>
        <v>0</v>
      </c>
      <c r="Q859" s="383">
        <v>14.283333333333333</v>
      </c>
      <c r="R859" s="32"/>
      <c r="S859" s="25">
        <f t="shared" si="139"/>
        <v>0</v>
      </c>
      <c r="T859" s="383">
        <v>14.283333333333333</v>
      </c>
      <c r="U859" s="32"/>
      <c r="V859" s="25">
        <f t="shared" si="142"/>
        <v>0</v>
      </c>
      <c r="W859" s="32">
        <f t="shared" si="143"/>
        <v>14.283333333333333</v>
      </c>
      <c r="X859" s="32">
        <f t="shared" si="140"/>
        <v>0</v>
      </c>
      <c r="Y859" s="381">
        <f t="shared" si="141"/>
        <v>0</v>
      </c>
    </row>
    <row r="860" spans="1:25" x14ac:dyDescent="0.2">
      <c r="A860" s="24">
        <f t="shared" si="133"/>
        <v>3.7815340802378077</v>
      </c>
      <c r="B860" s="383">
        <v>14.3</v>
      </c>
      <c r="C860" s="32"/>
      <c r="D860" s="381">
        <f t="shared" si="134"/>
        <v>0</v>
      </c>
      <c r="E860" s="383">
        <v>14.3</v>
      </c>
      <c r="F860" s="8"/>
      <c r="G860" s="381">
        <f t="shared" si="135"/>
        <v>0</v>
      </c>
      <c r="H860" s="383">
        <v>14.3</v>
      </c>
      <c r="I860" s="32"/>
      <c r="J860" s="381">
        <f t="shared" si="136"/>
        <v>0</v>
      </c>
      <c r="K860" s="383">
        <v>14.3</v>
      </c>
      <c r="L860" s="31"/>
      <c r="M860" s="381">
        <f t="shared" si="137"/>
        <v>0</v>
      </c>
      <c r="N860" s="383">
        <v>14.3</v>
      </c>
      <c r="O860" s="32"/>
      <c r="P860" s="381">
        <f t="shared" si="138"/>
        <v>0</v>
      </c>
      <c r="Q860" s="383">
        <v>14.3</v>
      </c>
      <c r="R860" s="32"/>
      <c r="S860" s="25">
        <f t="shared" si="139"/>
        <v>0</v>
      </c>
      <c r="T860" s="383">
        <v>14.3</v>
      </c>
      <c r="U860" s="32"/>
      <c r="V860" s="25">
        <f t="shared" si="142"/>
        <v>0</v>
      </c>
      <c r="W860" s="32">
        <f t="shared" si="143"/>
        <v>14.3</v>
      </c>
      <c r="X860" s="32">
        <f t="shared" si="140"/>
        <v>0</v>
      </c>
      <c r="Y860" s="381">
        <f t="shared" si="141"/>
        <v>0</v>
      </c>
    </row>
    <row r="861" spans="1:25" x14ac:dyDescent="0.2">
      <c r="A861" s="24">
        <f t="shared" si="133"/>
        <v>3.7837371296995075</v>
      </c>
      <c r="B861" s="383">
        <v>14.316666666666666</v>
      </c>
      <c r="C861" s="32"/>
      <c r="D861" s="381">
        <f t="shared" si="134"/>
        <v>0</v>
      </c>
      <c r="E861" s="383">
        <v>14.316666666666666</v>
      </c>
      <c r="F861" s="8"/>
      <c r="G861" s="381">
        <f t="shared" si="135"/>
        <v>0</v>
      </c>
      <c r="H861" s="383">
        <v>14.316666666666666</v>
      </c>
      <c r="I861" s="32"/>
      <c r="J861" s="381">
        <f t="shared" si="136"/>
        <v>0</v>
      </c>
      <c r="K861" s="383">
        <v>14.316666666666666</v>
      </c>
      <c r="L861" s="31"/>
      <c r="M861" s="381">
        <f t="shared" si="137"/>
        <v>0</v>
      </c>
      <c r="N861" s="383">
        <v>14.316666666666666</v>
      </c>
      <c r="O861" s="32"/>
      <c r="P861" s="381">
        <f t="shared" si="138"/>
        <v>0</v>
      </c>
      <c r="Q861" s="383">
        <v>14.316666666666666</v>
      </c>
      <c r="R861" s="32"/>
      <c r="S861" s="25">
        <f t="shared" si="139"/>
        <v>0</v>
      </c>
      <c r="T861" s="383">
        <v>14.316666666666666</v>
      </c>
      <c r="U861" s="32"/>
      <c r="V861" s="25">
        <f t="shared" si="142"/>
        <v>0</v>
      </c>
      <c r="W861" s="32">
        <f t="shared" si="143"/>
        <v>14.316666666666666</v>
      </c>
      <c r="X861" s="32">
        <f t="shared" si="140"/>
        <v>0</v>
      </c>
      <c r="Y861" s="381">
        <f t="shared" si="141"/>
        <v>0</v>
      </c>
    </row>
    <row r="862" spans="1:25" x14ac:dyDescent="0.2">
      <c r="A862" s="24">
        <f t="shared" si="133"/>
        <v>3.7859388972001824</v>
      </c>
      <c r="B862" s="383">
        <v>14.333333333333334</v>
      </c>
      <c r="C862" s="32"/>
      <c r="D862" s="381">
        <f t="shared" si="134"/>
        <v>0</v>
      </c>
      <c r="E862" s="383">
        <v>14.333333333333334</v>
      </c>
      <c r="F862" s="8"/>
      <c r="G862" s="381">
        <f t="shared" si="135"/>
        <v>0</v>
      </c>
      <c r="H862" s="383">
        <v>14.333333333333334</v>
      </c>
      <c r="I862" s="32"/>
      <c r="J862" s="381">
        <f t="shared" si="136"/>
        <v>0</v>
      </c>
      <c r="K862" s="383">
        <v>14.333333333333334</v>
      </c>
      <c r="L862" s="31"/>
      <c r="M862" s="381">
        <f t="shared" si="137"/>
        <v>0</v>
      </c>
      <c r="N862" s="383">
        <v>14.333333333333334</v>
      </c>
      <c r="O862" s="32"/>
      <c r="P862" s="381">
        <f t="shared" si="138"/>
        <v>0</v>
      </c>
      <c r="Q862" s="383">
        <v>14.333333333333334</v>
      </c>
      <c r="R862" s="32"/>
      <c r="S862" s="25">
        <f t="shared" si="139"/>
        <v>0</v>
      </c>
      <c r="T862" s="383">
        <v>14.333333333333334</v>
      </c>
      <c r="U862" s="32"/>
      <c r="V862" s="25">
        <f t="shared" si="142"/>
        <v>0</v>
      </c>
      <c r="W862" s="32">
        <f t="shared" si="143"/>
        <v>14.333333333333334</v>
      </c>
      <c r="X862" s="32">
        <f t="shared" si="140"/>
        <v>0</v>
      </c>
      <c r="Y862" s="381">
        <f t="shared" si="141"/>
        <v>0</v>
      </c>
    </row>
    <row r="863" spans="1:25" x14ac:dyDescent="0.2">
      <c r="A863" s="24">
        <f t="shared" si="133"/>
        <v>3.7881393849751621</v>
      </c>
      <c r="B863" s="383">
        <v>14.35</v>
      </c>
      <c r="C863" s="32"/>
      <c r="D863" s="381">
        <f t="shared" si="134"/>
        <v>0</v>
      </c>
      <c r="E863" s="383">
        <v>14.35</v>
      </c>
      <c r="F863" s="8"/>
      <c r="G863" s="381">
        <f t="shared" si="135"/>
        <v>0</v>
      </c>
      <c r="H863" s="383">
        <v>14.35</v>
      </c>
      <c r="I863" s="32"/>
      <c r="J863" s="381">
        <f t="shared" si="136"/>
        <v>0</v>
      </c>
      <c r="K863" s="383">
        <v>14.35</v>
      </c>
      <c r="L863" s="31"/>
      <c r="M863" s="381">
        <f t="shared" si="137"/>
        <v>0</v>
      </c>
      <c r="N863" s="383">
        <v>14.35</v>
      </c>
      <c r="O863" s="32"/>
      <c r="P863" s="381">
        <f t="shared" si="138"/>
        <v>0</v>
      </c>
      <c r="Q863" s="383">
        <v>14.35</v>
      </c>
      <c r="R863" s="32"/>
      <c r="S863" s="25">
        <f t="shared" si="139"/>
        <v>0</v>
      </c>
      <c r="T863" s="383">
        <v>14.35</v>
      </c>
      <c r="U863" s="32"/>
      <c r="V863" s="25">
        <f t="shared" si="142"/>
        <v>0</v>
      </c>
      <c r="W863" s="32">
        <f t="shared" si="143"/>
        <v>14.35</v>
      </c>
      <c r="X863" s="32">
        <f t="shared" si="140"/>
        <v>0</v>
      </c>
      <c r="Y863" s="381">
        <f t="shared" si="141"/>
        <v>0</v>
      </c>
    </row>
    <row r="864" spans="1:25" x14ac:dyDescent="0.2">
      <c r="A864" s="24">
        <f t="shared" si="133"/>
        <v>3.7903385952532878</v>
      </c>
      <c r="B864" s="383">
        <v>14.366666666666667</v>
      </c>
      <c r="C864" s="32"/>
      <c r="D864" s="381">
        <f t="shared" si="134"/>
        <v>0</v>
      </c>
      <c r="E864" s="383">
        <v>14.366666666666667</v>
      </c>
      <c r="F864" s="8"/>
      <c r="G864" s="381">
        <f t="shared" si="135"/>
        <v>0</v>
      </c>
      <c r="H864" s="383">
        <v>14.366666666666667</v>
      </c>
      <c r="I864" s="32"/>
      <c r="J864" s="381">
        <f t="shared" si="136"/>
        <v>0</v>
      </c>
      <c r="K864" s="383">
        <v>14.366666666666667</v>
      </c>
      <c r="L864" s="31"/>
      <c r="M864" s="381">
        <f t="shared" si="137"/>
        <v>0</v>
      </c>
      <c r="N864" s="383">
        <v>14.366666666666667</v>
      </c>
      <c r="O864" s="32"/>
      <c r="P864" s="381">
        <f t="shared" si="138"/>
        <v>0</v>
      </c>
      <c r="Q864" s="383">
        <v>14.366666666666667</v>
      </c>
      <c r="R864" s="32"/>
      <c r="S864" s="25">
        <f t="shared" si="139"/>
        <v>0</v>
      </c>
      <c r="T864" s="383">
        <v>14.366666666666667</v>
      </c>
      <c r="U864" s="32"/>
      <c r="V864" s="25">
        <f t="shared" si="142"/>
        <v>0</v>
      </c>
      <c r="W864" s="32">
        <f t="shared" si="143"/>
        <v>14.366666666666667</v>
      </c>
      <c r="X864" s="32">
        <f t="shared" si="140"/>
        <v>0</v>
      </c>
      <c r="Y864" s="381">
        <f t="shared" si="141"/>
        <v>0</v>
      </c>
    </row>
    <row r="865" spans="1:25" x14ac:dyDescent="0.2">
      <c r="A865" s="24">
        <f t="shared" si="133"/>
        <v>3.7925365302569376</v>
      </c>
      <c r="B865" s="383">
        <v>14.383333333333333</v>
      </c>
      <c r="C865" s="32"/>
      <c r="D865" s="381">
        <f t="shared" si="134"/>
        <v>0</v>
      </c>
      <c r="E865" s="383">
        <v>14.383333333333333</v>
      </c>
      <c r="F865" s="8"/>
      <c r="G865" s="381">
        <f t="shared" si="135"/>
        <v>0</v>
      </c>
      <c r="H865" s="383">
        <v>14.383333333333333</v>
      </c>
      <c r="I865" s="32"/>
      <c r="J865" s="381">
        <f t="shared" si="136"/>
        <v>0</v>
      </c>
      <c r="K865" s="383">
        <v>14.383333333333333</v>
      </c>
      <c r="L865" s="31"/>
      <c r="M865" s="381">
        <f t="shared" si="137"/>
        <v>0</v>
      </c>
      <c r="N865" s="383">
        <v>14.383333333333333</v>
      </c>
      <c r="O865" s="32"/>
      <c r="P865" s="381">
        <f t="shared" si="138"/>
        <v>0</v>
      </c>
      <c r="Q865" s="383">
        <v>14.383333333333333</v>
      </c>
      <c r="R865" s="32"/>
      <c r="S865" s="25">
        <f t="shared" si="139"/>
        <v>0</v>
      </c>
      <c r="T865" s="383">
        <v>14.383333333333333</v>
      </c>
      <c r="U865" s="32"/>
      <c r="V865" s="25">
        <f t="shared" si="142"/>
        <v>0</v>
      </c>
      <c r="W865" s="32">
        <f t="shared" si="143"/>
        <v>14.383333333333333</v>
      </c>
      <c r="X865" s="32">
        <f t="shared" si="140"/>
        <v>0</v>
      </c>
      <c r="Y865" s="381">
        <f t="shared" si="141"/>
        <v>0</v>
      </c>
    </row>
    <row r="866" spans="1:25" x14ac:dyDescent="0.2">
      <c r="A866" s="24">
        <f t="shared" si="133"/>
        <v>3.7947331922020551</v>
      </c>
      <c r="B866" s="383">
        <v>14.4</v>
      </c>
      <c r="C866" s="32"/>
      <c r="D866" s="381">
        <f t="shared" si="134"/>
        <v>0</v>
      </c>
      <c r="E866" s="383">
        <v>14.4</v>
      </c>
      <c r="F866" s="8"/>
      <c r="G866" s="381">
        <f t="shared" si="135"/>
        <v>0</v>
      </c>
      <c r="H866" s="383">
        <v>14.4</v>
      </c>
      <c r="I866" s="32"/>
      <c r="J866" s="381">
        <f t="shared" si="136"/>
        <v>0</v>
      </c>
      <c r="K866" s="383">
        <v>14.4</v>
      </c>
      <c r="L866" s="31"/>
      <c r="M866" s="381">
        <f t="shared" si="137"/>
        <v>0</v>
      </c>
      <c r="N866" s="383">
        <v>14.4</v>
      </c>
      <c r="O866" s="32"/>
      <c r="P866" s="381">
        <f t="shared" si="138"/>
        <v>0</v>
      </c>
      <c r="Q866" s="383">
        <v>14.4</v>
      </c>
      <c r="R866" s="32"/>
      <c r="S866" s="25">
        <f t="shared" si="139"/>
        <v>0</v>
      </c>
      <c r="T866" s="383">
        <v>14.4</v>
      </c>
      <c r="U866" s="32"/>
      <c r="V866" s="25">
        <f t="shared" si="142"/>
        <v>0</v>
      </c>
      <c r="W866" s="32">
        <f t="shared" si="143"/>
        <v>14.4</v>
      </c>
      <c r="X866" s="32">
        <f t="shared" si="140"/>
        <v>0</v>
      </c>
      <c r="Y866" s="381">
        <f t="shared" si="141"/>
        <v>0</v>
      </c>
    </row>
    <row r="867" spans="1:25" x14ac:dyDescent="0.2">
      <c r="A867" s="24">
        <f t="shared" si="133"/>
        <v>3.7969285832981723</v>
      </c>
      <c r="B867" s="383">
        <v>14.416666666666666</v>
      </c>
      <c r="C867" s="32"/>
      <c r="D867" s="381">
        <f t="shared" si="134"/>
        <v>0</v>
      </c>
      <c r="E867" s="383">
        <v>14.416666666666666</v>
      </c>
      <c r="F867" s="8"/>
      <c r="G867" s="381">
        <f t="shared" si="135"/>
        <v>0</v>
      </c>
      <c r="H867" s="383">
        <v>14.416666666666666</v>
      </c>
      <c r="I867" s="32"/>
      <c r="J867" s="381">
        <f t="shared" si="136"/>
        <v>0</v>
      </c>
      <c r="K867" s="383">
        <v>14.416666666666666</v>
      </c>
      <c r="L867" s="31"/>
      <c r="M867" s="381">
        <f t="shared" si="137"/>
        <v>0</v>
      </c>
      <c r="N867" s="383">
        <v>14.416666666666666</v>
      </c>
      <c r="O867" s="32"/>
      <c r="P867" s="381">
        <f t="shared" si="138"/>
        <v>0</v>
      </c>
      <c r="Q867" s="383">
        <v>14.416666666666666</v>
      </c>
      <c r="R867" s="32"/>
      <c r="S867" s="25">
        <f t="shared" si="139"/>
        <v>0</v>
      </c>
      <c r="T867" s="383">
        <v>14.416666666666666</v>
      </c>
      <c r="U867" s="32"/>
      <c r="V867" s="25">
        <f t="shared" si="142"/>
        <v>0</v>
      </c>
      <c r="W867" s="32">
        <f t="shared" si="143"/>
        <v>14.416666666666666</v>
      </c>
      <c r="X867" s="32">
        <f t="shared" si="140"/>
        <v>0</v>
      </c>
      <c r="Y867" s="381">
        <f t="shared" si="141"/>
        <v>0</v>
      </c>
    </row>
    <row r="868" spans="1:25" x14ac:dyDescent="0.2">
      <c r="A868" s="24">
        <f t="shared" si="133"/>
        <v>3.799122705748438</v>
      </c>
      <c r="B868" s="383">
        <v>14.433333333333334</v>
      </c>
      <c r="C868" s="32"/>
      <c r="D868" s="381">
        <f t="shared" si="134"/>
        <v>0</v>
      </c>
      <c r="E868" s="383">
        <v>14.433333333333334</v>
      </c>
      <c r="F868" s="8"/>
      <c r="G868" s="381">
        <f t="shared" si="135"/>
        <v>0</v>
      </c>
      <c r="H868" s="383">
        <v>14.433333333333334</v>
      </c>
      <c r="I868" s="32"/>
      <c r="J868" s="381">
        <f t="shared" si="136"/>
        <v>0</v>
      </c>
      <c r="K868" s="383">
        <v>14.433333333333334</v>
      </c>
      <c r="L868" s="31"/>
      <c r="M868" s="381">
        <f t="shared" si="137"/>
        <v>0</v>
      </c>
      <c r="N868" s="383">
        <v>14.433333333333334</v>
      </c>
      <c r="O868" s="32"/>
      <c r="P868" s="381">
        <f t="shared" si="138"/>
        <v>0</v>
      </c>
      <c r="Q868" s="383">
        <v>14.433333333333334</v>
      </c>
      <c r="R868" s="32"/>
      <c r="S868" s="25">
        <f t="shared" si="139"/>
        <v>0</v>
      </c>
      <c r="T868" s="383">
        <v>14.433333333333334</v>
      </c>
      <c r="U868" s="32"/>
      <c r="V868" s="25">
        <f t="shared" si="142"/>
        <v>0</v>
      </c>
      <c r="W868" s="32">
        <f t="shared" si="143"/>
        <v>14.433333333333334</v>
      </c>
      <c r="X868" s="32">
        <f t="shared" si="140"/>
        <v>0</v>
      </c>
      <c r="Y868" s="381">
        <f t="shared" si="141"/>
        <v>0</v>
      </c>
    </row>
    <row r="869" spans="1:25" x14ac:dyDescent="0.2">
      <c r="A869" s="24">
        <f t="shared" ref="A869:A932" si="144">SQRT(B869)</f>
        <v>3.8013155617496426</v>
      </c>
      <c r="B869" s="383">
        <v>14.45</v>
      </c>
      <c r="C869" s="32"/>
      <c r="D869" s="381">
        <f t="shared" si="134"/>
        <v>0</v>
      </c>
      <c r="E869" s="383">
        <v>14.45</v>
      </c>
      <c r="F869" s="8"/>
      <c r="G869" s="381">
        <f t="shared" si="135"/>
        <v>0</v>
      </c>
      <c r="H869" s="383">
        <v>14.45</v>
      </c>
      <c r="I869" s="32"/>
      <c r="J869" s="381">
        <f t="shared" si="136"/>
        <v>0</v>
      </c>
      <c r="K869" s="383">
        <v>14.45</v>
      </c>
      <c r="L869" s="31"/>
      <c r="M869" s="381">
        <f t="shared" si="137"/>
        <v>0</v>
      </c>
      <c r="N869" s="383">
        <v>14.45</v>
      </c>
      <c r="O869" s="32"/>
      <c r="P869" s="381">
        <f t="shared" si="138"/>
        <v>0</v>
      </c>
      <c r="Q869" s="383">
        <v>14.45</v>
      </c>
      <c r="R869" s="32"/>
      <c r="S869" s="25">
        <f t="shared" si="139"/>
        <v>0</v>
      </c>
      <c r="T869" s="383">
        <v>14.45</v>
      </c>
      <c r="U869" s="32"/>
      <c r="V869" s="25">
        <f t="shared" si="142"/>
        <v>0</v>
      </c>
      <c r="W869" s="32">
        <f t="shared" si="143"/>
        <v>14.45</v>
      </c>
      <c r="X869" s="32">
        <f t="shared" si="140"/>
        <v>0</v>
      </c>
      <c r="Y869" s="381">
        <f t="shared" si="141"/>
        <v>0</v>
      </c>
    </row>
    <row r="870" spans="1:25" x14ac:dyDescent="0.2">
      <c r="A870" s="24">
        <f t="shared" si="144"/>
        <v>3.8035071534922431</v>
      </c>
      <c r="B870" s="383">
        <v>14.466666666666667</v>
      </c>
      <c r="C870" s="32"/>
      <c r="D870" s="381">
        <f t="shared" si="134"/>
        <v>0</v>
      </c>
      <c r="E870" s="383">
        <v>14.466666666666667</v>
      </c>
      <c r="F870" s="8"/>
      <c r="G870" s="381">
        <f t="shared" si="135"/>
        <v>0</v>
      </c>
      <c r="H870" s="383">
        <v>14.466666666666667</v>
      </c>
      <c r="I870" s="32"/>
      <c r="J870" s="381">
        <f t="shared" si="136"/>
        <v>0</v>
      </c>
      <c r="K870" s="383">
        <v>14.466666666666667</v>
      </c>
      <c r="L870" s="31"/>
      <c r="M870" s="381">
        <f t="shared" si="137"/>
        <v>0</v>
      </c>
      <c r="N870" s="383">
        <v>14.466666666666667</v>
      </c>
      <c r="O870" s="32"/>
      <c r="P870" s="381">
        <f t="shared" si="138"/>
        <v>0</v>
      </c>
      <c r="Q870" s="383">
        <v>14.466666666666667</v>
      </c>
      <c r="R870" s="32"/>
      <c r="S870" s="25">
        <f t="shared" si="139"/>
        <v>0</v>
      </c>
      <c r="T870" s="383">
        <v>14.466666666666667</v>
      </c>
      <c r="U870" s="32"/>
      <c r="V870" s="25">
        <f t="shared" si="142"/>
        <v>0</v>
      </c>
      <c r="W870" s="32">
        <f t="shared" si="143"/>
        <v>14.466666666666667</v>
      </c>
      <c r="X870" s="32">
        <f t="shared" si="140"/>
        <v>0</v>
      </c>
      <c r="Y870" s="381">
        <f t="shared" si="141"/>
        <v>0</v>
      </c>
    </row>
    <row r="871" spans="1:25" x14ac:dyDescent="0.2">
      <c r="A871" s="24">
        <f t="shared" si="144"/>
        <v>3.8056974831603907</v>
      </c>
      <c r="B871" s="383">
        <v>14.483333333333333</v>
      </c>
      <c r="C871" s="32"/>
      <c r="D871" s="381">
        <f t="shared" si="134"/>
        <v>0</v>
      </c>
      <c r="E871" s="383">
        <v>14.483333333333333</v>
      </c>
      <c r="F871" s="8"/>
      <c r="G871" s="381">
        <f t="shared" si="135"/>
        <v>0</v>
      </c>
      <c r="H871" s="383">
        <v>14.483333333333333</v>
      </c>
      <c r="I871" s="32"/>
      <c r="J871" s="381">
        <f t="shared" si="136"/>
        <v>0</v>
      </c>
      <c r="K871" s="383">
        <v>14.483333333333333</v>
      </c>
      <c r="L871" s="31"/>
      <c r="M871" s="381">
        <f t="shared" si="137"/>
        <v>0</v>
      </c>
      <c r="N871" s="383">
        <v>14.483333333333333</v>
      </c>
      <c r="O871" s="32"/>
      <c r="P871" s="381">
        <f t="shared" si="138"/>
        <v>0</v>
      </c>
      <c r="Q871" s="383">
        <v>14.483333333333333</v>
      </c>
      <c r="R871" s="32"/>
      <c r="S871" s="25">
        <f t="shared" si="139"/>
        <v>0</v>
      </c>
      <c r="T871" s="383">
        <v>14.483333333333333</v>
      </c>
      <c r="U871" s="32"/>
      <c r="V871" s="25">
        <f t="shared" si="142"/>
        <v>0</v>
      </c>
      <c r="W871" s="32">
        <f t="shared" si="143"/>
        <v>14.483333333333333</v>
      </c>
      <c r="X871" s="32">
        <f t="shared" si="140"/>
        <v>0</v>
      </c>
      <c r="Y871" s="381">
        <f t="shared" si="141"/>
        <v>0</v>
      </c>
    </row>
    <row r="872" spans="1:25" x14ac:dyDescent="0.2">
      <c r="A872" s="24">
        <f t="shared" si="144"/>
        <v>3.8078865529319543</v>
      </c>
      <c r="B872" s="383">
        <v>14.5</v>
      </c>
      <c r="C872" s="32"/>
      <c r="D872" s="381">
        <f t="shared" si="134"/>
        <v>0</v>
      </c>
      <c r="E872" s="383">
        <v>14.5</v>
      </c>
      <c r="F872" s="8"/>
      <c r="G872" s="381">
        <f t="shared" si="135"/>
        <v>0</v>
      </c>
      <c r="H872" s="383">
        <v>14.5</v>
      </c>
      <c r="I872" s="32"/>
      <c r="J872" s="381">
        <f t="shared" si="136"/>
        <v>0</v>
      </c>
      <c r="K872" s="383">
        <v>14.5</v>
      </c>
      <c r="L872" s="31"/>
      <c r="M872" s="381">
        <f t="shared" si="137"/>
        <v>0</v>
      </c>
      <c r="N872" s="383">
        <v>14.5</v>
      </c>
      <c r="O872" s="32"/>
      <c r="P872" s="381">
        <f t="shared" si="138"/>
        <v>0</v>
      </c>
      <c r="Q872" s="383">
        <v>14.5</v>
      </c>
      <c r="R872" s="32"/>
      <c r="S872" s="25">
        <f t="shared" si="139"/>
        <v>0</v>
      </c>
      <c r="T872" s="383">
        <v>14.5</v>
      </c>
      <c r="U872" s="32"/>
      <c r="V872" s="25">
        <f t="shared" si="142"/>
        <v>0</v>
      </c>
      <c r="W872" s="32">
        <f t="shared" si="143"/>
        <v>14.5</v>
      </c>
      <c r="X872" s="32">
        <f t="shared" si="140"/>
        <v>0</v>
      </c>
      <c r="Y872" s="381">
        <f t="shared" si="141"/>
        <v>0</v>
      </c>
    </row>
    <row r="873" spans="1:25" x14ac:dyDescent="0.2">
      <c r="A873" s="24">
        <f t="shared" si="144"/>
        <v>3.8100743649785458</v>
      </c>
      <c r="B873" s="383">
        <v>14.516666666666667</v>
      </c>
      <c r="C873" s="32"/>
      <c r="D873" s="381">
        <f t="shared" si="134"/>
        <v>0</v>
      </c>
      <c r="E873" s="383">
        <v>14.516666666666667</v>
      </c>
      <c r="F873" s="8"/>
      <c r="G873" s="381">
        <f t="shared" si="135"/>
        <v>0</v>
      </c>
      <c r="H873" s="383">
        <v>14.516666666666667</v>
      </c>
      <c r="I873" s="32"/>
      <c r="J873" s="381">
        <f t="shared" si="136"/>
        <v>0</v>
      </c>
      <c r="K873" s="383">
        <v>14.516666666666667</v>
      </c>
      <c r="L873" s="31"/>
      <c r="M873" s="381">
        <f t="shared" si="137"/>
        <v>0</v>
      </c>
      <c r="N873" s="383">
        <v>14.516666666666667</v>
      </c>
      <c r="O873" s="32"/>
      <c r="P873" s="381">
        <f t="shared" si="138"/>
        <v>0</v>
      </c>
      <c r="Q873" s="383">
        <v>14.516666666666667</v>
      </c>
      <c r="R873" s="32"/>
      <c r="S873" s="25">
        <f t="shared" si="139"/>
        <v>0</v>
      </c>
      <c r="T873" s="383">
        <v>14.516666666666667</v>
      </c>
      <c r="U873" s="32"/>
      <c r="V873" s="25">
        <f t="shared" si="142"/>
        <v>0</v>
      </c>
      <c r="W873" s="32">
        <f t="shared" si="143"/>
        <v>14.516666666666667</v>
      </c>
      <c r="X873" s="32">
        <f t="shared" si="140"/>
        <v>0</v>
      </c>
      <c r="Y873" s="381">
        <f t="shared" si="141"/>
        <v>0</v>
      </c>
    </row>
    <row r="874" spans="1:25" x14ac:dyDescent="0.2">
      <c r="A874" s="24">
        <f t="shared" si="144"/>
        <v>3.8122609214655458</v>
      </c>
      <c r="B874" s="383">
        <v>14.533333333333333</v>
      </c>
      <c r="C874" s="32"/>
      <c r="D874" s="381">
        <f t="shared" si="134"/>
        <v>0</v>
      </c>
      <c r="E874" s="383">
        <v>14.533333333333333</v>
      </c>
      <c r="F874" s="8"/>
      <c r="G874" s="381">
        <f t="shared" si="135"/>
        <v>0</v>
      </c>
      <c r="H874" s="383">
        <v>14.533333333333333</v>
      </c>
      <c r="I874" s="32"/>
      <c r="J874" s="381">
        <f t="shared" si="136"/>
        <v>0</v>
      </c>
      <c r="K874" s="383">
        <v>14.533333333333333</v>
      </c>
      <c r="L874" s="31"/>
      <c r="M874" s="381">
        <f t="shared" si="137"/>
        <v>0</v>
      </c>
      <c r="N874" s="383">
        <v>14.533333333333333</v>
      </c>
      <c r="O874" s="32"/>
      <c r="P874" s="381">
        <f t="shared" si="138"/>
        <v>0</v>
      </c>
      <c r="Q874" s="383">
        <v>14.533333333333333</v>
      </c>
      <c r="R874" s="32"/>
      <c r="S874" s="25">
        <f t="shared" si="139"/>
        <v>0</v>
      </c>
      <c r="T874" s="383">
        <v>14.533333333333333</v>
      </c>
      <c r="U874" s="32"/>
      <c r="V874" s="25">
        <f t="shared" si="142"/>
        <v>0</v>
      </c>
      <c r="W874" s="32">
        <f t="shared" si="143"/>
        <v>14.533333333333333</v>
      </c>
      <c r="X874" s="32">
        <f t="shared" si="140"/>
        <v>0</v>
      </c>
      <c r="Y874" s="381">
        <f t="shared" si="141"/>
        <v>0</v>
      </c>
    </row>
    <row r="875" spans="1:25" x14ac:dyDescent="0.2">
      <c r="A875" s="24">
        <f t="shared" si="144"/>
        <v>3.8144462245521304</v>
      </c>
      <c r="B875" s="383">
        <v>14.55</v>
      </c>
      <c r="C875" s="32"/>
      <c r="D875" s="381">
        <f t="shared" si="134"/>
        <v>0</v>
      </c>
      <c r="E875" s="383">
        <v>14.55</v>
      </c>
      <c r="F875" s="8"/>
      <c r="G875" s="381">
        <f t="shared" si="135"/>
        <v>0</v>
      </c>
      <c r="H875" s="383">
        <v>14.55</v>
      </c>
      <c r="I875" s="32"/>
      <c r="J875" s="381">
        <f t="shared" si="136"/>
        <v>0</v>
      </c>
      <c r="K875" s="383">
        <v>14.55</v>
      </c>
      <c r="L875" s="31"/>
      <c r="M875" s="381">
        <f t="shared" si="137"/>
        <v>0</v>
      </c>
      <c r="N875" s="383">
        <v>14.55</v>
      </c>
      <c r="O875" s="32"/>
      <c r="P875" s="381">
        <f t="shared" si="138"/>
        <v>0</v>
      </c>
      <c r="Q875" s="383">
        <v>14.55</v>
      </c>
      <c r="R875" s="32"/>
      <c r="S875" s="25">
        <f t="shared" si="139"/>
        <v>0</v>
      </c>
      <c r="T875" s="383">
        <v>14.55</v>
      </c>
      <c r="U875" s="32"/>
      <c r="V875" s="25">
        <f t="shared" si="142"/>
        <v>0</v>
      </c>
      <c r="W875" s="32">
        <f t="shared" si="143"/>
        <v>14.55</v>
      </c>
      <c r="X875" s="32">
        <f t="shared" si="140"/>
        <v>0</v>
      </c>
      <c r="Y875" s="381">
        <f t="shared" si="141"/>
        <v>0</v>
      </c>
    </row>
    <row r="876" spans="1:25" x14ac:dyDescent="0.2">
      <c r="A876" s="24">
        <f t="shared" si="144"/>
        <v>3.8166302763912916</v>
      </c>
      <c r="B876" s="383">
        <v>14.566666666666666</v>
      </c>
      <c r="C876" s="32"/>
      <c r="D876" s="381">
        <f t="shared" si="134"/>
        <v>0</v>
      </c>
      <c r="E876" s="383">
        <v>14.566666666666666</v>
      </c>
      <c r="F876" s="8"/>
      <c r="G876" s="381">
        <f t="shared" si="135"/>
        <v>0</v>
      </c>
      <c r="H876" s="383">
        <v>14.566666666666666</v>
      </c>
      <c r="I876" s="32"/>
      <c r="J876" s="381">
        <f t="shared" si="136"/>
        <v>0</v>
      </c>
      <c r="K876" s="383">
        <v>14.566666666666666</v>
      </c>
      <c r="L876" s="31"/>
      <c r="M876" s="381">
        <f t="shared" si="137"/>
        <v>0</v>
      </c>
      <c r="N876" s="383">
        <v>14.566666666666666</v>
      </c>
      <c r="O876" s="32"/>
      <c r="P876" s="381">
        <f t="shared" si="138"/>
        <v>0</v>
      </c>
      <c r="Q876" s="383">
        <v>14.566666666666666</v>
      </c>
      <c r="R876" s="32"/>
      <c r="S876" s="25">
        <f t="shared" si="139"/>
        <v>0</v>
      </c>
      <c r="T876" s="383">
        <v>14.566666666666666</v>
      </c>
      <c r="U876" s="32"/>
      <c r="V876" s="25">
        <f t="shared" si="142"/>
        <v>0</v>
      </c>
      <c r="W876" s="32">
        <f t="shared" si="143"/>
        <v>14.566666666666666</v>
      </c>
      <c r="X876" s="32">
        <f t="shared" si="140"/>
        <v>0</v>
      </c>
      <c r="Y876" s="381">
        <f t="shared" si="141"/>
        <v>0</v>
      </c>
    </row>
    <row r="877" spans="1:25" x14ac:dyDescent="0.2">
      <c r="A877" s="24">
        <f t="shared" si="144"/>
        <v>3.8188130791298667</v>
      </c>
      <c r="B877" s="383">
        <v>14.583333333333334</v>
      </c>
      <c r="C877" s="32"/>
      <c r="D877" s="381">
        <f t="shared" si="134"/>
        <v>0</v>
      </c>
      <c r="E877" s="383">
        <v>14.583333333333334</v>
      </c>
      <c r="F877" s="8"/>
      <c r="G877" s="381">
        <f t="shared" si="135"/>
        <v>0</v>
      </c>
      <c r="H877" s="383">
        <v>14.583333333333334</v>
      </c>
      <c r="I877" s="32"/>
      <c r="J877" s="381">
        <f t="shared" si="136"/>
        <v>0</v>
      </c>
      <c r="K877" s="383">
        <v>14.583333333333334</v>
      </c>
      <c r="L877" s="31"/>
      <c r="M877" s="381">
        <f t="shared" si="137"/>
        <v>0</v>
      </c>
      <c r="N877" s="383">
        <v>14.583333333333334</v>
      </c>
      <c r="O877" s="32"/>
      <c r="P877" s="381">
        <f t="shared" si="138"/>
        <v>0</v>
      </c>
      <c r="Q877" s="383">
        <v>14.583333333333334</v>
      </c>
      <c r="R877" s="32"/>
      <c r="S877" s="25">
        <f t="shared" si="139"/>
        <v>0</v>
      </c>
      <c r="T877" s="383">
        <v>14.583333333333334</v>
      </c>
      <c r="U877" s="32"/>
      <c r="V877" s="25">
        <f t="shared" si="142"/>
        <v>0</v>
      </c>
      <c r="W877" s="32">
        <f t="shared" si="143"/>
        <v>14.583333333333334</v>
      </c>
      <c r="X877" s="32">
        <f t="shared" si="140"/>
        <v>0</v>
      </c>
      <c r="Y877" s="381">
        <f t="shared" si="141"/>
        <v>0</v>
      </c>
    </row>
    <row r="878" spans="1:25" x14ac:dyDescent="0.2">
      <c r="A878" s="24">
        <f t="shared" si="144"/>
        <v>3.8209946349085602</v>
      </c>
      <c r="B878" s="383">
        <v>14.6</v>
      </c>
      <c r="C878" s="32"/>
      <c r="D878" s="381">
        <f t="shared" si="134"/>
        <v>0</v>
      </c>
      <c r="E878" s="383">
        <v>14.6</v>
      </c>
      <c r="F878" s="8"/>
      <c r="G878" s="381">
        <f t="shared" si="135"/>
        <v>0</v>
      </c>
      <c r="H878" s="383">
        <v>14.6</v>
      </c>
      <c r="I878" s="32"/>
      <c r="J878" s="381">
        <f t="shared" si="136"/>
        <v>0</v>
      </c>
      <c r="K878" s="383">
        <v>14.6</v>
      </c>
      <c r="L878" s="31"/>
      <c r="M878" s="381">
        <f t="shared" si="137"/>
        <v>0</v>
      </c>
      <c r="N878" s="383">
        <v>14.6</v>
      </c>
      <c r="O878" s="32"/>
      <c r="P878" s="381">
        <f t="shared" si="138"/>
        <v>0</v>
      </c>
      <c r="Q878" s="383">
        <v>14.6</v>
      </c>
      <c r="R878" s="32"/>
      <c r="S878" s="25">
        <f t="shared" si="139"/>
        <v>0</v>
      </c>
      <c r="T878" s="383">
        <v>14.6</v>
      </c>
      <c r="U878" s="32"/>
      <c r="V878" s="25">
        <f t="shared" si="142"/>
        <v>0</v>
      </c>
      <c r="W878" s="32">
        <f t="shared" si="143"/>
        <v>14.6</v>
      </c>
      <c r="X878" s="32">
        <f t="shared" si="140"/>
        <v>0</v>
      </c>
      <c r="Y878" s="381">
        <f t="shared" si="141"/>
        <v>0</v>
      </c>
    </row>
    <row r="879" spans="1:25" x14ac:dyDescent="0.2">
      <c r="A879" s="24">
        <f t="shared" si="144"/>
        <v>3.8231749458619686</v>
      </c>
      <c r="B879" s="383">
        <v>14.616666666666667</v>
      </c>
      <c r="C879" s="32"/>
      <c r="D879" s="381">
        <f t="shared" si="134"/>
        <v>0</v>
      </c>
      <c r="E879" s="383">
        <v>14.616666666666667</v>
      </c>
      <c r="F879" s="8"/>
      <c r="G879" s="381">
        <f t="shared" si="135"/>
        <v>0</v>
      </c>
      <c r="H879" s="383">
        <v>14.616666666666667</v>
      </c>
      <c r="I879" s="32"/>
      <c r="J879" s="381">
        <f t="shared" si="136"/>
        <v>0</v>
      </c>
      <c r="K879" s="383">
        <v>14.616666666666667</v>
      </c>
      <c r="L879" s="31"/>
      <c r="M879" s="381">
        <f t="shared" si="137"/>
        <v>0</v>
      </c>
      <c r="N879" s="383">
        <v>14.616666666666667</v>
      </c>
      <c r="O879" s="32"/>
      <c r="P879" s="381">
        <f t="shared" si="138"/>
        <v>0</v>
      </c>
      <c r="Q879" s="383">
        <v>14.616666666666667</v>
      </c>
      <c r="R879" s="32"/>
      <c r="S879" s="25">
        <f t="shared" si="139"/>
        <v>0</v>
      </c>
      <c r="T879" s="383">
        <v>14.616666666666667</v>
      </c>
      <c r="U879" s="32"/>
      <c r="V879" s="25">
        <f t="shared" si="142"/>
        <v>0</v>
      </c>
      <c r="W879" s="32">
        <f t="shared" si="143"/>
        <v>14.616666666666667</v>
      </c>
      <c r="X879" s="32">
        <f t="shared" si="140"/>
        <v>0</v>
      </c>
      <c r="Y879" s="381">
        <f t="shared" si="141"/>
        <v>0</v>
      </c>
    </row>
    <row r="880" spans="1:25" x14ac:dyDescent="0.2">
      <c r="A880" s="24">
        <f t="shared" si="144"/>
        <v>3.8253540141186062</v>
      </c>
      <c r="B880" s="383">
        <v>14.633333333333333</v>
      </c>
      <c r="C880" s="32"/>
      <c r="D880" s="381">
        <f t="shared" si="134"/>
        <v>0</v>
      </c>
      <c r="E880" s="383">
        <v>14.633333333333333</v>
      </c>
      <c r="F880" s="8"/>
      <c r="G880" s="381">
        <f t="shared" si="135"/>
        <v>0</v>
      </c>
      <c r="H880" s="383">
        <v>14.633333333333333</v>
      </c>
      <c r="I880" s="32"/>
      <c r="J880" s="381">
        <f t="shared" si="136"/>
        <v>0</v>
      </c>
      <c r="K880" s="383">
        <v>14.633333333333333</v>
      </c>
      <c r="L880" s="31"/>
      <c r="M880" s="381">
        <f t="shared" si="137"/>
        <v>0</v>
      </c>
      <c r="N880" s="383">
        <v>14.633333333333333</v>
      </c>
      <c r="O880" s="32"/>
      <c r="P880" s="381">
        <f t="shared" si="138"/>
        <v>0</v>
      </c>
      <c r="Q880" s="383">
        <v>14.633333333333333</v>
      </c>
      <c r="R880" s="32"/>
      <c r="S880" s="25">
        <f t="shared" si="139"/>
        <v>0</v>
      </c>
      <c r="T880" s="383">
        <v>14.633333333333333</v>
      </c>
      <c r="U880" s="32"/>
      <c r="V880" s="25">
        <f t="shared" si="142"/>
        <v>0</v>
      </c>
      <c r="W880" s="32">
        <f t="shared" si="143"/>
        <v>14.633333333333333</v>
      </c>
      <c r="X880" s="32">
        <f t="shared" si="140"/>
        <v>0</v>
      </c>
      <c r="Y880" s="381">
        <f t="shared" si="141"/>
        <v>0</v>
      </c>
    </row>
    <row r="881" spans="1:25" x14ac:dyDescent="0.2">
      <c r="A881" s="24">
        <f t="shared" si="144"/>
        <v>3.8275318418009276</v>
      </c>
      <c r="B881" s="383">
        <v>14.65</v>
      </c>
      <c r="C881" s="32"/>
      <c r="D881" s="381">
        <f t="shared" si="134"/>
        <v>0</v>
      </c>
      <c r="E881" s="383">
        <v>14.65</v>
      </c>
      <c r="F881" s="8"/>
      <c r="G881" s="381">
        <f t="shared" si="135"/>
        <v>0</v>
      </c>
      <c r="H881" s="383">
        <v>14.65</v>
      </c>
      <c r="I881" s="32"/>
      <c r="J881" s="381">
        <f t="shared" si="136"/>
        <v>0</v>
      </c>
      <c r="K881" s="383">
        <v>14.65</v>
      </c>
      <c r="L881" s="31"/>
      <c r="M881" s="381">
        <f t="shared" si="137"/>
        <v>0</v>
      </c>
      <c r="N881" s="383">
        <v>14.65</v>
      </c>
      <c r="O881" s="32"/>
      <c r="P881" s="381">
        <f t="shared" si="138"/>
        <v>0</v>
      </c>
      <c r="Q881" s="383">
        <v>14.65</v>
      </c>
      <c r="R881" s="32"/>
      <c r="S881" s="25">
        <f t="shared" si="139"/>
        <v>0</v>
      </c>
      <c r="T881" s="383">
        <v>14.65</v>
      </c>
      <c r="U881" s="32"/>
      <c r="V881" s="25">
        <f t="shared" si="142"/>
        <v>0</v>
      </c>
      <c r="W881" s="32">
        <f t="shared" si="143"/>
        <v>14.65</v>
      </c>
      <c r="X881" s="32">
        <f t="shared" si="140"/>
        <v>0</v>
      </c>
      <c r="Y881" s="381">
        <f t="shared" si="141"/>
        <v>0</v>
      </c>
    </row>
    <row r="882" spans="1:25" x14ac:dyDescent="0.2">
      <c r="A882" s="24">
        <f t="shared" si="144"/>
        <v>3.8297084310253524</v>
      </c>
      <c r="B882" s="383">
        <v>14.666666666666666</v>
      </c>
      <c r="C882" s="32"/>
      <c r="D882" s="381">
        <f t="shared" si="134"/>
        <v>0</v>
      </c>
      <c r="E882" s="383">
        <v>14.666666666666666</v>
      </c>
      <c r="F882" s="8"/>
      <c r="G882" s="381">
        <f t="shared" si="135"/>
        <v>0</v>
      </c>
      <c r="H882" s="383">
        <v>14.666666666666666</v>
      </c>
      <c r="I882" s="32"/>
      <c r="J882" s="381">
        <f t="shared" si="136"/>
        <v>0</v>
      </c>
      <c r="K882" s="383">
        <v>14.666666666666666</v>
      </c>
      <c r="L882" s="31"/>
      <c r="M882" s="381">
        <f t="shared" si="137"/>
        <v>0</v>
      </c>
      <c r="N882" s="383">
        <v>14.666666666666666</v>
      </c>
      <c r="O882" s="32"/>
      <c r="P882" s="381">
        <f t="shared" si="138"/>
        <v>0</v>
      </c>
      <c r="Q882" s="383">
        <v>14.666666666666666</v>
      </c>
      <c r="R882" s="32"/>
      <c r="S882" s="25">
        <f t="shared" si="139"/>
        <v>0</v>
      </c>
      <c r="T882" s="383">
        <v>14.666666666666666</v>
      </c>
      <c r="U882" s="32"/>
      <c r="V882" s="25">
        <f t="shared" si="142"/>
        <v>0</v>
      </c>
      <c r="W882" s="32">
        <f t="shared" si="143"/>
        <v>14.666666666666666</v>
      </c>
      <c r="X882" s="32">
        <f t="shared" si="140"/>
        <v>0</v>
      </c>
      <c r="Y882" s="381">
        <f t="shared" si="141"/>
        <v>0</v>
      </c>
    </row>
    <row r="883" spans="1:25" x14ac:dyDescent="0.2">
      <c r="A883" s="24">
        <f t="shared" si="144"/>
        <v>3.8318837839022901</v>
      </c>
      <c r="B883" s="383">
        <v>14.683333333333334</v>
      </c>
      <c r="C883" s="32"/>
      <c r="D883" s="381">
        <f t="shared" si="134"/>
        <v>0</v>
      </c>
      <c r="E883" s="383">
        <v>14.683333333333334</v>
      </c>
      <c r="F883" s="8"/>
      <c r="G883" s="381">
        <f t="shared" si="135"/>
        <v>0</v>
      </c>
      <c r="H883" s="383">
        <v>14.683333333333334</v>
      </c>
      <c r="I883" s="32"/>
      <c r="J883" s="381">
        <f t="shared" si="136"/>
        <v>0</v>
      </c>
      <c r="K883" s="383">
        <v>14.683333333333334</v>
      </c>
      <c r="L883" s="31"/>
      <c r="M883" s="381">
        <f t="shared" si="137"/>
        <v>0</v>
      </c>
      <c r="N883" s="383">
        <v>14.683333333333334</v>
      </c>
      <c r="O883" s="32"/>
      <c r="P883" s="381">
        <f t="shared" si="138"/>
        <v>0</v>
      </c>
      <c r="Q883" s="383">
        <v>14.683333333333334</v>
      </c>
      <c r="R883" s="32"/>
      <c r="S883" s="25">
        <f t="shared" si="139"/>
        <v>0</v>
      </c>
      <c r="T883" s="383">
        <v>14.683333333333334</v>
      </c>
      <c r="U883" s="32"/>
      <c r="V883" s="25">
        <f t="shared" si="142"/>
        <v>0</v>
      </c>
      <c r="W883" s="32">
        <f t="shared" si="143"/>
        <v>14.683333333333334</v>
      </c>
      <c r="X883" s="32">
        <f t="shared" si="140"/>
        <v>0</v>
      </c>
      <c r="Y883" s="381">
        <f t="shared" si="141"/>
        <v>0</v>
      </c>
    </row>
    <row r="884" spans="1:25" x14ac:dyDescent="0.2">
      <c r="A884" s="24">
        <f t="shared" si="144"/>
        <v>3.8340579025361627</v>
      </c>
      <c r="B884" s="383">
        <v>14.7</v>
      </c>
      <c r="C884" s="32"/>
      <c r="D884" s="381">
        <f t="shared" si="134"/>
        <v>0</v>
      </c>
      <c r="E884" s="383">
        <v>14.7</v>
      </c>
      <c r="F884" s="8"/>
      <c r="G884" s="381">
        <f t="shared" si="135"/>
        <v>0</v>
      </c>
      <c r="H884" s="383">
        <v>14.7</v>
      </c>
      <c r="I884" s="32"/>
      <c r="J884" s="381">
        <f t="shared" si="136"/>
        <v>0</v>
      </c>
      <c r="K884" s="383">
        <v>14.7</v>
      </c>
      <c r="L884" s="31"/>
      <c r="M884" s="381">
        <f t="shared" si="137"/>
        <v>0</v>
      </c>
      <c r="N884" s="383">
        <v>14.7</v>
      </c>
      <c r="O884" s="32"/>
      <c r="P884" s="381">
        <f t="shared" si="138"/>
        <v>0</v>
      </c>
      <c r="Q884" s="383">
        <v>14.7</v>
      </c>
      <c r="R884" s="32"/>
      <c r="S884" s="25">
        <f t="shared" si="139"/>
        <v>0</v>
      </c>
      <c r="T884" s="383">
        <v>14.7</v>
      </c>
      <c r="U884" s="32"/>
      <c r="V884" s="25">
        <f t="shared" si="142"/>
        <v>0</v>
      </c>
      <c r="W884" s="32">
        <f t="shared" si="143"/>
        <v>14.7</v>
      </c>
      <c r="X884" s="32">
        <f t="shared" si="140"/>
        <v>0</v>
      </c>
      <c r="Y884" s="381">
        <f t="shared" si="141"/>
        <v>0</v>
      </c>
    </row>
    <row r="885" spans="1:25" x14ac:dyDescent="0.2">
      <c r="A885" s="24">
        <f t="shared" si="144"/>
        <v>3.836230789025429</v>
      </c>
      <c r="B885" s="383">
        <v>14.716666666666667</v>
      </c>
      <c r="C885" s="32"/>
      <c r="D885" s="381">
        <f t="shared" si="134"/>
        <v>0</v>
      </c>
      <c r="E885" s="383">
        <v>14.716666666666667</v>
      </c>
      <c r="F885" s="8"/>
      <c r="G885" s="381">
        <f t="shared" si="135"/>
        <v>0</v>
      </c>
      <c r="H885" s="383">
        <v>14.716666666666667</v>
      </c>
      <c r="I885" s="32"/>
      <c r="J885" s="381">
        <f t="shared" si="136"/>
        <v>0</v>
      </c>
      <c r="K885" s="383">
        <v>14.716666666666667</v>
      </c>
      <c r="L885" s="31"/>
      <c r="M885" s="381">
        <f t="shared" si="137"/>
        <v>0</v>
      </c>
      <c r="N885" s="383">
        <v>14.716666666666667</v>
      </c>
      <c r="O885" s="32"/>
      <c r="P885" s="381">
        <f t="shared" si="138"/>
        <v>0</v>
      </c>
      <c r="Q885" s="383">
        <v>14.716666666666667</v>
      </c>
      <c r="R885" s="32"/>
      <c r="S885" s="25">
        <f t="shared" si="139"/>
        <v>0</v>
      </c>
      <c r="T885" s="383">
        <v>14.716666666666667</v>
      </c>
      <c r="U885" s="32"/>
      <c r="V885" s="25">
        <f t="shared" si="142"/>
        <v>0</v>
      </c>
      <c r="W885" s="32">
        <f t="shared" si="143"/>
        <v>14.716666666666667</v>
      </c>
      <c r="X885" s="32">
        <f t="shared" si="140"/>
        <v>0</v>
      </c>
      <c r="Y885" s="381">
        <f t="shared" si="141"/>
        <v>0</v>
      </c>
    </row>
    <row r="886" spans="1:25" x14ac:dyDescent="0.2">
      <c r="A886" s="24">
        <f t="shared" si="144"/>
        <v>3.8384024454626084</v>
      </c>
      <c r="B886" s="383">
        <v>14.733333333333333</v>
      </c>
      <c r="C886" s="32"/>
      <c r="D886" s="381">
        <f t="shared" si="134"/>
        <v>0</v>
      </c>
      <c r="E886" s="383">
        <v>14.733333333333333</v>
      </c>
      <c r="F886" s="8"/>
      <c r="G886" s="381">
        <f t="shared" si="135"/>
        <v>0</v>
      </c>
      <c r="H886" s="383">
        <v>14.733333333333333</v>
      </c>
      <c r="I886" s="32"/>
      <c r="J886" s="381">
        <f t="shared" si="136"/>
        <v>0</v>
      </c>
      <c r="K886" s="383">
        <v>14.733333333333333</v>
      </c>
      <c r="L886" s="31"/>
      <c r="M886" s="381">
        <f t="shared" si="137"/>
        <v>0</v>
      </c>
      <c r="N886" s="383">
        <v>14.733333333333333</v>
      </c>
      <c r="O886" s="32"/>
      <c r="P886" s="381">
        <f t="shared" si="138"/>
        <v>0</v>
      </c>
      <c r="Q886" s="383">
        <v>14.733333333333333</v>
      </c>
      <c r="R886" s="32"/>
      <c r="S886" s="25">
        <f t="shared" si="139"/>
        <v>0</v>
      </c>
      <c r="T886" s="383">
        <v>14.733333333333333</v>
      </c>
      <c r="U886" s="32"/>
      <c r="V886" s="25">
        <f t="shared" si="142"/>
        <v>0</v>
      </c>
      <c r="W886" s="32">
        <f t="shared" si="143"/>
        <v>14.733333333333333</v>
      </c>
      <c r="X886" s="32">
        <f t="shared" si="140"/>
        <v>0</v>
      </c>
      <c r="Y886" s="381">
        <f t="shared" si="141"/>
        <v>0</v>
      </c>
    </row>
    <row r="887" spans="1:25" x14ac:dyDescent="0.2">
      <c r="A887" s="24">
        <f t="shared" si="144"/>
        <v>3.8405728739343039</v>
      </c>
      <c r="B887" s="383">
        <v>14.75</v>
      </c>
      <c r="C887" s="32"/>
      <c r="D887" s="381">
        <f t="shared" si="134"/>
        <v>0</v>
      </c>
      <c r="E887" s="383">
        <v>14.75</v>
      </c>
      <c r="F887" s="8"/>
      <c r="G887" s="381">
        <f t="shared" si="135"/>
        <v>0</v>
      </c>
      <c r="H887" s="383">
        <v>14.75</v>
      </c>
      <c r="I887" s="32"/>
      <c r="J887" s="381">
        <f t="shared" si="136"/>
        <v>0</v>
      </c>
      <c r="K887" s="383">
        <v>14.75</v>
      </c>
      <c r="L887" s="31"/>
      <c r="M887" s="381">
        <f t="shared" si="137"/>
        <v>0</v>
      </c>
      <c r="N887" s="383">
        <v>14.75</v>
      </c>
      <c r="O887" s="32"/>
      <c r="P887" s="381">
        <f t="shared" si="138"/>
        <v>0</v>
      </c>
      <c r="Q887" s="383">
        <v>14.75</v>
      </c>
      <c r="R887" s="32"/>
      <c r="S887" s="25">
        <f t="shared" si="139"/>
        <v>0</v>
      </c>
      <c r="T887" s="383">
        <v>14.75</v>
      </c>
      <c r="U887" s="32"/>
      <c r="V887" s="25">
        <f t="shared" si="142"/>
        <v>0</v>
      </c>
      <c r="W887" s="32">
        <f t="shared" si="143"/>
        <v>14.75</v>
      </c>
      <c r="X887" s="32">
        <f t="shared" si="140"/>
        <v>0</v>
      </c>
      <c r="Y887" s="381">
        <f t="shared" si="141"/>
        <v>0</v>
      </c>
    </row>
    <row r="888" spans="1:25" x14ac:dyDescent="0.2">
      <c r="A888" s="24">
        <f t="shared" si="144"/>
        <v>3.8427420765212266</v>
      </c>
      <c r="B888" s="383">
        <v>14.766666666666667</v>
      </c>
      <c r="C888" s="32"/>
      <c r="D888" s="381">
        <f t="shared" si="134"/>
        <v>0</v>
      </c>
      <c r="E888" s="383">
        <v>14.766666666666667</v>
      </c>
      <c r="F888" s="8"/>
      <c r="G888" s="381">
        <f t="shared" si="135"/>
        <v>0</v>
      </c>
      <c r="H888" s="383">
        <v>14.766666666666667</v>
      </c>
      <c r="I888" s="32"/>
      <c r="J888" s="381">
        <f t="shared" si="136"/>
        <v>0</v>
      </c>
      <c r="K888" s="383">
        <v>14.766666666666667</v>
      </c>
      <c r="L888" s="31"/>
      <c r="M888" s="381">
        <f t="shared" si="137"/>
        <v>0</v>
      </c>
      <c r="N888" s="383">
        <v>14.766666666666667</v>
      </c>
      <c r="O888" s="32"/>
      <c r="P888" s="381">
        <f t="shared" si="138"/>
        <v>0</v>
      </c>
      <c r="Q888" s="383">
        <v>14.766666666666667</v>
      </c>
      <c r="R888" s="32"/>
      <c r="S888" s="25">
        <f t="shared" si="139"/>
        <v>0</v>
      </c>
      <c r="T888" s="383">
        <v>14.766666666666667</v>
      </c>
      <c r="U888" s="32"/>
      <c r="V888" s="25">
        <f t="shared" si="142"/>
        <v>0</v>
      </c>
      <c r="W888" s="32">
        <f t="shared" si="143"/>
        <v>14.766666666666667</v>
      </c>
      <c r="X888" s="32">
        <f t="shared" si="140"/>
        <v>0</v>
      </c>
      <c r="Y888" s="381">
        <f t="shared" si="141"/>
        <v>0</v>
      </c>
    </row>
    <row r="889" spans="1:25" x14ac:dyDescent="0.2">
      <c r="A889" s="24">
        <f t="shared" si="144"/>
        <v>3.8449100552982163</v>
      </c>
      <c r="B889" s="383">
        <v>14.783333333333333</v>
      </c>
      <c r="C889" s="32"/>
      <c r="D889" s="381">
        <f t="shared" si="134"/>
        <v>0</v>
      </c>
      <c r="E889" s="383">
        <v>14.783333333333333</v>
      </c>
      <c r="F889" s="8"/>
      <c r="G889" s="381">
        <f t="shared" si="135"/>
        <v>0</v>
      </c>
      <c r="H889" s="383">
        <v>14.783333333333333</v>
      </c>
      <c r="I889" s="32"/>
      <c r="J889" s="381">
        <f t="shared" si="136"/>
        <v>0</v>
      </c>
      <c r="K889" s="383">
        <v>14.783333333333333</v>
      </c>
      <c r="L889" s="31"/>
      <c r="M889" s="381">
        <f t="shared" si="137"/>
        <v>0</v>
      </c>
      <c r="N889" s="383">
        <v>14.783333333333333</v>
      </c>
      <c r="O889" s="32"/>
      <c r="P889" s="381">
        <f t="shared" si="138"/>
        <v>0</v>
      </c>
      <c r="Q889" s="383">
        <v>14.783333333333333</v>
      </c>
      <c r="R889" s="32"/>
      <c r="S889" s="25">
        <f t="shared" si="139"/>
        <v>0</v>
      </c>
      <c r="T889" s="383">
        <v>14.783333333333333</v>
      </c>
      <c r="U889" s="32"/>
      <c r="V889" s="25">
        <f t="shared" si="142"/>
        <v>0</v>
      </c>
      <c r="W889" s="32">
        <f t="shared" si="143"/>
        <v>14.783333333333333</v>
      </c>
      <c r="X889" s="32">
        <f t="shared" si="140"/>
        <v>0</v>
      </c>
      <c r="Y889" s="381">
        <f t="shared" si="141"/>
        <v>0</v>
      </c>
    </row>
    <row r="890" spans="1:25" x14ac:dyDescent="0.2">
      <c r="A890" s="24">
        <f t="shared" si="144"/>
        <v>3.8470768123342691</v>
      </c>
      <c r="B890" s="383">
        <v>14.8</v>
      </c>
      <c r="C890" s="32"/>
      <c r="D890" s="381">
        <f t="shared" si="134"/>
        <v>0</v>
      </c>
      <c r="E890" s="383">
        <v>14.8</v>
      </c>
      <c r="F890" s="8"/>
      <c r="G890" s="381">
        <f t="shared" si="135"/>
        <v>0</v>
      </c>
      <c r="H890" s="383">
        <v>14.8</v>
      </c>
      <c r="I890" s="32"/>
      <c r="J890" s="381">
        <f t="shared" si="136"/>
        <v>0</v>
      </c>
      <c r="K890" s="383">
        <v>14.8</v>
      </c>
      <c r="L890" s="31"/>
      <c r="M890" s="381">
        <f t="shared" si="137"/>
        <v>0</v>
      </c>
      <c r="N890" s="383">
        <v>14.8</v>
      </c>
      <c r="O890" s="32"/>
      <c r="P890" s="381">
        <f t="shared" si="138"/>
        <v>0</v>
      </c>
      <c r="Q890" s="383">
        <v>14.8</v>
      </c>
      <c r="R890" s="32"/>
      <c r="S890" s="25">
        <f t="shared" si="139"/>
        <v>0</v>
      </c>
      <c r="T890" s="383">
        <v>14.8</v>
      </c>
      <c r="U890" s="32"/>
      <c r="V890" s="25">
        <f t="shared" si="142"/>
        <v>0</v>
      </c>
      <c r="W890" s="32">
        <f t="shared" si="143"/>
        <v>14.8</v>
      </c>
      <c r="X890" s="32">
        <f t="shared" si="140"/>
        <v>0</v>
      </c>
      <c r="Y890" s="381">
        <f t="shared" si="141"/>
        <v>0</v>
      </c>
    </row>
    <row r="891" spans="1:25" x14ac:dyDescent="0.2">
      <c r="A891" s="24">
        <f t="shared" si="144"/>
        <v>3.8492423496925556</v>
      </c>
      <c r="B891" s="383">
        <v>14.816666666666666</v>
      </c>
      <c r="C891" s="32"/>
      <c r="D891" s="381">
        <f t="shared" si="134"/>
        <v>0</v>
      </c>
      <c r="E891" s="383">
        <v>14.816666666666666</v>
      </c>
      <c r="F891" s="8"/>
      <c r="G891" s="381">
        <f t="shared" si="135"/>
        <v>0</v>
      </c>
      <c r="H891" s="383">
        <v>14.816666666666666</v>
      </c>
      <c r="I891" s="32"/>
      <c r="J891" s="381">
        <f t="shared" si="136"/>
        <v>0</v>
      </c>
      <c r="K891" s="383">
        <v>14.816666666666666</v>
      </c>
      <c r="L891" s="31"/>
      <c r="M891" s="381">
        <f t="shared" si="137"/>
        <v>0</v>
      </c>
      <c r="N891" s="383">
        <v>14.816666666666666</v>
      </c>
      <c r="O891" s="32"/>
      <c r="P891" s="381">
        <f t="shared" si="138"/>
        <v>0</v>
      </c>
      <c r="Q891" s="383">
        <v>14.816666666666666</v>
      </c>
      <c r="R891" s="32"/>
      <c r="S891" s="25">
        <f t="shared" si="139"/>
        <v>0</v>
      </c>
      <c r="T891" s="383">
        <v>14.816666666666666</v>
      </c>
      <c r="U891" s="32"/>
      <c r="V891" s="25">
        <f t="shared" si="142"/>
        <v>0</v>
      </c>
      <c r="W891" s="32">
        <f t="shared" si="143"/>
        <v>14.816666666666666</v>
      </c>
      <c r="X891" s="32">
        <f t="shared" si="140"/>
        <v>0</v>
      </c>
      <c r="Y891" s="381">
        <f t="shared" si="141"/>
        <v>0</v>
      </c>
    </row>
    <row r="892" spans="1:25" x14ac:dyDescent="0.2">
      <c r="A892" s="24">
        <f t="shared" si="144"/>
        <v>3.8514066694304478</v>
      </c>
      <c r="B892" s="383">
        <v>14.833333333333334</v>
      </c>
      <c r="C892" s="32"/>
      <c r="D892" s="381">
        <f t="shared" si="134"/>
        <v>0</v>
      </c>
      <c r="E892" s="383">
        <v>14.833333333333334</v>
      </c>
      <c r="F892" s="8"/>
      <c r="G892" s="381">
        <f t="shared" si="135"/>
        <v>0</v>
      </c>
      <c r="H892" s="383">
        <v>14.833333333333334</v>
      </c>
      <c r="I892" s="32"/>
      <c r="J892" s="381">
        <f t="shared" si="136"/>
        <v>0</v>
      </c>
      <c r="K892" s="383">
        <v>14.833333333333334</v>
      </c>
      <c r="L892" s="31"/>
      <c r="M892" s="381">
        <f t="shared" si="137"/>
        <v>0</v>
      </c>
      <c r="N892" s="383">
        <v>14.833333333333334</v>
      </c>
      <c r="O892" s="32"/>
      <c r="P892" s="381">
        <f t="shared" si="138"/>
        <v>0</v>
      </c>
      <c r="Q892" s="383">
        <v>14.833333333333334</v>
      </c>
      <c r="R892" s="32"/>
      <c r="S892" s="25">
        <f t="shared" si="139"/>
        <v>0</v>
      </c>
      <c r="T892" s="383">
        <v>14.833333333333334</v>
      </c>
      <c r="U892" s="32"/>
      <c r="V892" s="25">
        <f t="shared" si="142"/>
        <v>0</v>
      </c>
      <c r="W892" s="32">
        <f t="shared" si="143"/>
        <v>14.833333333333334</v>
      </c>
      <c r="X892" s="32">
        <f t="shared" si="140"/>
        <v>0</v>
      </c>
      <c r="Y892" s="381">
        <f t="shared" si="141"/>
        <v>0</v>
      </c>
    </row>
    <row r="893" spans="1:25" x14ac:dyDescent="0.2">
      <c r="A893" s="24">
        <f t="shared" si="144"/>
        <v>3.8535697735995385</v>
      </c>
      <c r="B893" s="383">
        <v>14.85</v>
      </c>
      <c r="C893" s="32"/>
      <c r="D893" s="381">
        <f t="shared" si="134"/>
        <v>0</v>
      </c>
      <c r="E893" s="383">
        <v>14.85</v>
      </c>
      <c r="F893" s="8"/>
      <c r="G893" s="381">
        <f t="shared" si="135"/>
        <v>0</v>
      </c>
      <c r="H893" s="383">
        <v>14.85</v>
      </c>
      <c r="I893" s="32"/>
      <c r="J893" s="381">
        <f t="shared" si="136"/>
        <v>0</v>
      </c>
      <c r="K893" s="383">
        <v>14.85</v>
      </c>
      <c r="L893" s="31"/>
      <c r="M893" s="381">
        <f t="shared" si="137"/>
        <v>0</v>
      </c>
      <c r="N893" s="383">
        <v>14.85</v>
      </c>
      <c r="O893" s="32"/>
      <c r="P893" s="381">
        <f t="shared" si="138"/>
        <v>0</v>
      </c>
      <c r="Q893" s="383">
        <v>14.85</v>
      </c>
      <c r="R893" s="32"/>
      <c r="S893" s="25">
        <f t="shared" si="139"/>
        <v>0</v>
      </c>
      <c r="T893" s="383">
        <v>14.85</v>
      </c>
      <c r="U893" s="32"/>
      <c r="V893" s="25">
        <f t="shared" si="142"/>
        <v>0</v>
      </c>
      <c r="W893" s="32">
        <f t="shared" si="143"/>
        <v>14.85</v>
      </c>
      <c r="X893" s="32">
        <f t="shared" si="140"/>
        <v>0</v>
      </c>
      <c r="Y893" s="381">
        <f t="shared" si="141"/>
        <v>0</v>
      </c>
    </row>
    <row r="894" spans="1:25" x14ac:dyDescent="0.2">
      <c r="A894" s="24">
        <f t="shared" si="144"/>
        <v>3.8557316642456678</v>
      </c>
      <c r="B894" s="383">
        <v>14.866666666666667</v>
      </c>
      <c r="C894" s="32"/>
      <c r="D894" s="381">
        <f t="shared" si="134"/>
        <v>0</v>
      </c>
      <c r="E894" s="383">
        <v>14.866666666666667</v>
      </c>
      <c r="F894" s="8"/>
      <c r="G894" s="381">
        <f t="shared" si="135"/>
        <v>0</v>
      </c>
      <c r="H894" s="383">
        <v>14.866666666666667</v>
      </c>
      <c r="I894" s="32"/>
      <c r="J894" s="381">
        <f t="shared" si="136"/>
        <v>0</v>
      </c>
      <c r="K894" s="383">
        <v>14.866666666666667</v>
      </c>
      <c r="L894" s="31"/>
      <c r="M894" s="381">
        <f t="shared" si="137"/>
        <v>0</v>
      </c>
      <c r="N894" s="383">
        <v>14.866666666666667</v>
      </c>
      <c r="O894" s="32"/>
      <c r="P894" s="381">
        <f t="shared" si="138"/>
        <v>0</v>
      </c>
      <c r="Q894" s="383">
        <v>14.866666666666667</v>
      </c>
      <c r="R894" s="32"/>
      <c r="S894" s="25">
        <f t="shared" si="139"/>
        <v>0</v>
      </c>
      <c r="T894" s="383">
        <v>14.866666666666667</v>
      </c>
      <c r="U894" s="32"/>
      <c r="V894" s="25">
        <f t="shared" si="142"/>
        <v>0</v>
      </c>
      <c r="W894" s="32">
        <f t="shared" si="143"/>
        <v>14.866666666666667</v>
      </c>
      <c r="X894" s="32">
        <f t="shared" si="140"/>
        <v>0</v>
      </c>
      <c r="Y894" s="381">
        <f t="shared" si="141"/>
        <v>0</v>
      </c>
    </row>
    <row r="895" spans="1:25" x14ac:dyDescent="0.2">
      <c r="A895" s="24">
        <f t="shared" si="144"/>
        <v>3.8578923434089414</v>
      </c>
      <c r="B895" s="383">
        <v>14.883333333333333</v>
      </c>
      <c r="C895" s="32"/>
      <c r="D895" s="381">
        <f t="shared" si="134"/>
        <v>0</v>
      </c>
      <c r="E895" s="383">
        <v>14.883333333333333</v>
      </c>
      <c r="F895" s="8"/>
      <c r="G895" s="381">
        <f t="shared" si="135"/>
        <v>0</v>
      </c>
      <c r="H895" s="383">
        <v>14.883333333333333</v>
      </c>
      <c r="I895" s="32"/>
      <c r="J895" s="381">
        <f t="shared" si="136"/>
        <v>0</v>
      </c>
      <c r="K895" s="383">
        <v>14.883333333333333</v>
      </c>
      <c r="L895" s="31"/>
      <c r="M895" s="381">
        <f t="shared" si="137"/>
        <v>0</v>
      </c>
      <c r="N895" s="383">
        <v>14.883333333333333</v>
      </c>
      <c r="O895" s="32"/>
      <c r="P895" s="381">
        <f t="shared" si="138"/>
        <v>0</v>
      </c>
      <c r="Q895" s="383">
        <v>14.883333333333333</v>
      </c>
      <c r="R895" s="32"/>
      <c r="S895" s="25">
        <f t="shared" si="139"/>
        <v>0</v>
      </c>
      <c r="T895" s="383">
        <v>14.883333333333333</v>
      </c>
      <c r="U895" s="32"/>
      <c r="V895" s="25">
        <f t="shared" si="142"/>
        <v>0</v>
      </c>
      <c r="W895" s="32">
        <f t="shared" si="143"/>
        <v>14.883333333333333</v>
      </c>
      <c r="X895" s="32">
        <f t="shared" si="140"/>
        <v>0</v>
      </c>
      <c r="Y895" s="381">
        <f t="shared" si="141"/>
        <v>0</v>
      </c>
    </row>
    <row r="896" spans="1:25" x14ac:dyDescent="0.2">
      <c r="A896" s="24">
        <f t="shared" si="144"/>
        <v>3.8600518131237567</v>
      </c>
      <c r="B896" s="383">
        <v>14.9</v>
      </c>
      <c r="C896" s="32"/>
      <c r="D896" s="381">
        <f t="shared" si="134"/>
        <v>0</v>
      </c>
      <c r="E896" s="383">
        <v>14.9</v>
      </c>
      <c r="F896" s="8"/>
      <c r="G896" s="381">
        <f t="shared" si="135"/>
        <v>0</v>
      </c>
      <c r="H896" s="383">
        <v>14.9</v>
      </c>
      <c r="I896" s="32"/>
      <c r="J896" s="381">
        <f t="shared" si="136"/>
        <v>0</v>
      </c>
      <c r="K896" s="383">
        <v>14.9</v>
      </c>
      <c r="L896" s="31"/>
      <c r="M896" s="381">
        <f t="shared" si="137"/>
        <v>0</v>
      </c>
      <c r="N896" s="383">
        <v>14.9</v>
      </c>
      <c r="O896" s="32"/>
      <c r="P896" s="381">
        <f t="shared" si="138"/>
        <v>0</v>
      </c>
      <c r="Q896" s="383">
        <v>14.9</v>
      </c>
      <c r="R896" s="32"/>
      <c r="S896" s="25">
        <f t="shared" si="139"/>
        <v>0</v>
      </c>
      <c r="T896" s="383">
        <v>14.9</v>
      </c>
      <c r="U896" s="32"/>
      <c r="V896" s="25">
        <f t="shared" si="142"/>
        <v>0</v>
      </c>
      <c r="W896" s="32">
        <f t="shared" si="143"/>
        <v>14.9</v>
      </c>
      <c r="X896" s="32">
        <f t="shared" si="140"/>
        <v>0</v>
      </c>
      <c r="Y896" s="381">
        <f t="shared" si="141"/>
        <v>0</v>
      </c>
    </row>
    <row r="897" spans="1:25" x14ac:dyDescent="0.2">
      <c r="A897" s="24">
        <f t="shared" si="144"/>
        <v>3.8622100754188224</v>
      </c>
      <c r="B897" s="383">
        <v>14.916666666666666</v>
      </c>
      <c r="C897" s="32"/>
      <c r="D897" s="381">
        <f t="shared" si="134"/>
        <v>0</v>
      </c>
      <c r="E897" s="383">
        <v>14.916666666666666</v>
      </c>
      <c r="F897" s="8"/>
      <c r="G897" s="381">
        <f t="shared" si="135"/>
        <v>0</v>
      </c>
      <c r="H897" s="383">
        <v>14.916666666666666</v>
      </c>
      <c r="I897" s="32"/>
      <c r="J897" s="381">
        <f t="shared" si="136"/>
        <v>0</v>
      </c>
      <c r="K897" s="383">
        <v>14.916666666666666</v>
      </c>
      <c r="L897" s="31"/>
      <c r="M897" s="381">
        <f t="shared" si="137"/>
        <v>0</v>
      </c>
      <c r="N897" s="383">
        <v>14.916666666666666</v>
      </c>
      <c r="O897" s="32"/>
      <c r="P897" s="381">
        <f t="shared" si="138"/>
        <v>0</v>
      </c>
      <c r="Q897" s="383">
        <v>14.916666666666666</v>
      </c>
      <c r="R897" s="32"/>
      <c r="S897" s="25">
        <f t="shared" si="139"/>
        <v>0</v>
      </c>
      <c r="T897" s="383">
        <v>14.916666666666666</v>
      </c>
      <c r="U897" s="32"/>
      <c r="V897" s="25">
        <f t="shared" si="142"/>
        <v>0</v>
      </c>
      <c r="W897" s="32">
        <f t="shared" si="143"/>
        <v>14.916666666666666</v>
      </c>
      <c r="X897" s="32">
        <f t="shared" si="140"/>
        <v>0</v>
      </c>
      <c r="Y897" s="381">
        <f t="shared" si="141"/>
        <v>0</v>
      </c>
    </row>
    <row r="898" spans="1:25" x14ac:dyDescent="0.2">
      <c r="A898" s="24">
        <f t="shared" si="144"/>
        <v>3.8643671323171835</v>
      </c>
      <c r="B898" s="383">
        <v>14.933333333333334</v>
      </c>
      <c r="C898" s="32"/>
      <c r="D898" s="381">
        <f t="shared" si="134"/>
        <v>0</v>
      </c>
      <c r="E898" s="383">
        <v>14.933333333333334</v>
      </c>
      <c r="F898" s="8"/>
      <c r="G898" s="381">
        <f t="shared" si="135"/>
        <v>0</v>
      </c>
      <c r="H898" s="383">
        <v>14.933333333333334</v>
      </c>
      <c r="I898" s="32"/>
      <c r="J898" s="381">
        <f t="shared" si="136"/>
        <v>0</v>
      </c>
      <c r="K898" s="383">
        <v>14.933333333333334</v>
      </c>
      <c r="L898" s="31"/>
      <c r="M898" s="381">
        <f t="shared" si="137"/>
        <v>0</v>
      </c>
      <c r="N898" s="383">
        <v>14.933333333333334</v>
      </c>
      <c r="O898" s="32"/>
      <c r="P898" s="381">
        <f t="shared" si="138"/>
        <v>0</v>
      </c>
      <c r="Q898" s="383">
        <v>14.933333333333334</v>
      </c>
      <c r="R898" s="32"/>
      <c r="S898" s="25">
        <f t="shared" si="139"/>
        <v>0</v>
      </c>
      <c r="T898" s="383">
        <v>14.933333333333334</v>
      </c>
      <c r="U898" s="32"/>
      <c r="V898" s="25">
        <f t="shared" si="142"/>
        <v>0</v>
      </c>
      <c r="W898" s="32">
        <f t="shared" si="143"/>
        <v>14.933333333333334</v>
      </c>
      <c r="X898" s="32">
        <f t="shared" si="140"/>
        <v>0</v>
      </c>
      <c r="Y898" s="381">
        <f t="shared" si="141"/>
        <v>0</v>
      </c>
    </row>
    <row r="899" spans="1:25" x14ac:dyDescent="0.2">
      <c r="A899" s="24">
        <f t="shared" si="144"/>
        <v>3.8665229858362409</v>
      </c>
      <c r="B899" s="383">
        <v>14.95</v>
      </c>
      <c r="C899" s="32"/>
      <c r="D899" s="381">
        <f t="shared" si="134"/>
        <v>0</v>
      </c>
      <c r="E899" s="383">
        <v>14.95</v>
      </c>
      <c r="F899" s="8"/>
      <c r="G899" s="381">
        <f t="shared" si="135"/>
        <v>0</v>
      </c>
      <c r="H899" s="383">
        <v>14.95</v>
      </c>
      <c r="I899" s="32"/>
      <c r="J899" s="381">
        <f t="shared" si="136"/>
        <v>0</v>
      </c>
      <c r="K899" s="383">
        <v>14.95</v>
      </c>
      <c r="L899" s="31"/>
      <c r="M899" s="381">
        <f t="shared" si="137"/>
        <v>0</v>
      </c>
      <c r="N899" s="383">
        <v>14.95</v>
      </c>
      <c r="O899" s="32"/>
      <c r="P899" s="381">
        <f t="shared" si="138"/>
        <v>0</v>
      </c>
      <c r="Q899" s="383">
        <v>14.95</v>
      </c>
      <c r="R899" s="32"/>
      <c r="S899" s="25">
        <f t="shared" si="139"/>
        <v>0</v>
      </c>
      <c r="T899" s="383">
        <v>14.95</v>
      </c>
      <c r="U899" s="32"/>
      <c r="V899" s="25">
        <f t="shared" si="142"/>
        <v>0</v>
      </c>
      <c r="W899" s="32">
        <f t="shared" si="143"/>
        <v>14.95</v>
      </c>
      <c r="X899" s="32">
        <f t="shared" si="140"/>
        <v>0</v>
      </c>
      <c r="Y899" s="381">
        <f t="shared" si="141"/>
        <v>0</v>
      </c>
    </row>
    <row r="900" spans="1:25" x14ac:dyDescent="0.2">
      <c r="A900" s="24">
        <f t="shared" si="144"/>
        <v>3.8686776379877745</v>
      </c>
      <c r="B900" s="383">
        <v>14.966666666666667</v>
      </c>
      <c r="C900" s="32"/>
      <c r="D900" s="381">
        <f t="shared" si="134"/>
        <v>0</v>
      </c>
      <c r="E900" s="383">
        <v>14.966666666666667</v>
      </c>
      <c r="F900" s="8"/>
      <c r="G900" s="381">
        <f t="shared" si="135"/>
        <v>0</v>
      </c>
      <c r="H900" s="383">
        <v>14.966666666666667</v>
      </c>
      <c r="I900" s="32"/>
      <c r="J900" s="381">
        <f t="shared" si="136"/>
        <v>0</v>
      </c>
      <c r="K900" s="383">
        <v>14.966666666666667</v>
      </c>
      <c r="L900" s="31"/>
      <c r="M900" s="381">
        <f t="shared" si="137"/>
        <v>0</v>
      </c>
      <c r="N900" s="383">
        <v>14.966666666666667</v>
      </c>
      <c r="O900" s="32"/>
      <c r="P900" s="381">
        <f t="shared" si="138"/>
        <v>0</v>
      </c>
      <c r="Q900" s="383">
        <v>14.966666666666667</v>
      </c>
      <c r="R900" s="32"/>
      <c r="S900" s="25">
        <f t="shared" si="139"/>
        <v>0</v>
      </c>
      <c r="T900" s="383">
        <v>14.966666666666667</v>
      </c>
      <c r="U900" s="32"/>
      <c r="V900" s="25">
        <f t="shared" si="142"/>
        <v>0</v>
      </c>
      <c r="W900" s="32">
        <f t="shared" si="143"/>
        <v>14.966666666666667</v>
      </c>
      <c r="X900" s="32">
        <f t="shared" si="140"/>
        <v>0</v>
      </c>
      <c r="Y900" s="381">
        <f t="shared" si="141"/>
        <v>0</v>
      </c>
    </row>
    <row r="901" spans="1:25" x14ac:dyDescent="0.2">
      <c r="A901" s="24">
        <f t="shared" si="144"/>
        <v>3.8708310907779655</v>
      </c>
      <c r="B901" s="383">
        <v>14.983333333333333</v>
      </c>
      <c r="C901" s="32"/>
      <c r="D901" s="381">
        <f t="shared" ref="D901:D964" si="145">C901</f>
        <v>0</v>
      </c>
      <c r="E901" s="383">
        <v>14.983333333333333</v>
      </c>
      <c r="F901" s="8"/>
      <c r="G901" s="381">
        <f t="shared" ref="G901:G964" si="146">F901+$AB$2</f>
        <v>0</v>
      </c>
      <c r="H901" s="383">
        <v>14.983333333333333</v>
      </c>
      <c r="I901" s="32"/>
      <c r="J901" s="381">
        <f t="shared" ref="J901:J964" si="147">I901+$AB$3</f>
        <v>0</v>
      </c>
      <c r="K901" s="383">
        <v>14.983333333333333</v>
      </c>
      <c r="L901" s="31"/>
      <c r="M901" s="381">
        <f t="shared" ref="M901:M964" si="148">L901+$AB$4</f>
        <v>0</v>
      </c>
      <c r="N901" s="383">
        <v>14.983333333333333</v>
      </c>
      <c r="O901" s="32"/>
      <c r="P901" s="381">
        <f t="shared" ref="P901:P964" si="149">O901+$AB$5</f>
        <v>0</v>
      </c>
      <c r="Q901" s="383">
        <v>14.983333333333333</v>
      </c>
      <c r="R901" s="32"/>
      <c r="S901" s="25">
        <f t="shared" ref="S901:S964" si="150">R901+$AB$6</f>
        <v>0</v>
      </c>
      <c r="T901" s="383">
        <v>14.983333333333333</v>
      </c>
      <c r="U901" s="32"/>
      <c r="V901" s="25">
        <f t="shared" si="142"/>
        <v>0</v>
      </c>
      <c r="W901" s="32">
        <f t="shared" si="143"/>
        <v>14.983333333333333</v>
      </c>
      <c r="X901" s="32">
        <f t="shared" ref="X901:X964" si="151">U901</f>
        <v>0</v>
      </c>
      <c r="Y901" s="381">
        <f t="shared" ref="Y901:Y964" si="152">X901+$AB$8</f>
        <v>0</v>
      </c>
    </row>
    <row r="902" spans="1:25" x14ac:dyDescent="0.2">
      <c r="A902" s="24">
        <f t="shared" si="144"/>
        <v>3.872983346207417</v>
      </c>
      <c r="B902" s="383">
        <v>15</v>
      </c>
      <c r="C902" s="32"/>
      <c r="D902" s="381">
        <f t="shared" si="145"/>
        <v>0</v>
      </c>
      <c r="E902" s="383">
        <v>15</v>
      </c>
      <c r="F902" s="8"/>
      <c r="G902" s="381">
        <f t="shared" si="146"/>
        <v>0</v>
      </c>
      <c r="H902" s="383">
        <v>15</v>
      </c>
      <c r="I902" s="32"/>
      <c r="J902" s="381">
        <f t="shared" si="147"/>
        <v>0</v>
      </c>
      <c r="K902" s="383">
        <v>15</v>
      </c>
      <c r="L902" s="31"/>
      <c r="M902" s="381">
        <f t="shared" si="148"/>
        <v>0</v>
      </c>
      <c r="N902" s="383">
        <v>15</v>
      </c>
      <c r="O902" s="32"/>
      <c r="P902" s="381">
        <f t="shared" si="149"/>
        <v>0</v>
      </c>
      <c r="Q902" s="383">
        <v>15</v>
      </c>
      <c r="R902" s="32"/>
      <c r="S902" s="25">
        <f t="shared" si="150"/>
        <v>0</v>
      </c>
      <c r="T902" s="383">
        <v>15</v>
      </c>
      <c r="U902" s="32"/>
      <c r="V902" s="25">
        <f t="shared" ref="V902:V965" si="153">Y902</f>
        <v>0</v>
      </c>
      <c r="W902" s="32">
        <f t="shared" ref="W902:W965" si="154">T902</f>
        <v>15</v>
      </c>
      <c r="X902" s="32">
        <f t="shared" si="151"/>
        <v>0</v>
      </c>
      <c r="Y902" s="381">
        <f t="shared" si="152"/>
        <v>0</v>
      </c>
    </row>
    <row r="903" spans="1:25" x14ac:dyDescent="0.2">
      <c r="A903" s="24">
        <f t="shared" si="144"/>
        <v>3.8751344062711772</v>
      </c>
      <c r="B903" s="383">
        <v>15.016666666666667</v>
      </c>
      <c r="C903" s="32"/>
      <c r="D903" s="381">
        <f t="shared" si="145"/>
        <v>0</v>
      </c>
      <c r="E903" s="383">
        <v>15.016666666666667</v>
      </c>
      <c r="F903" s="8"/>
      <c r="G903" s="381">
        <f t="shared" si="146"/>
        <v>0</v>
      </c>
      <c r="H903" s="383">
        <v>15.016666666666667</v>
      </c>
      <c r="I903" s="32"/>
      <c r="J903" s="381">
        <f t="shared" si="147"/>
        <v>0</v>
      </c>
      <c r="K903" s="383">
        <v>15.016666666666667</v>
      </c>
      <c r="L903" s="31"/>
      <c r="M903" s="381">
        <f t="shared" si="148"/>
        <v>0</v>
      </c>
      <c r="N903" s="383">
        <v>15.016666666666667</v>
      </c>
      <c r="O903" s="32"/>
      <c r="P903" s="381">
        <f t="shared" si="149"/>
        <v>0</v>
      </c>
      <c r="Q903" s="383">
        <v>15.016666666666667</v>
      </c>
      <c r="R903" s="32"/>
      <c r="S903" s="25">
        <f t="shared" si="150"/>
        <v>0</v>
      </c>
      <c r="T903" s="383">
        <v>15.016666666666667</v>
      </c>
      <c r="U903" s="32"/>
      <c r="V903" s="25">
        <f t="shared" si="153"/>
        <v>0</v>
      </c>
      <c r="W903" s="32">
        <f t="shared" si="154"/>
        <v>15.016666666666667</v>
      </c>
      <c r="X903" s="32">
        <f t="shared" si="151"/>
        <v>0</v>
      </c>
      <c r="Y903" s="381">
        <f t="shared" si="152"/>
        <v>0</v>
      </c>
    </row>
    <row r="904" spans="1:25" x14ac:dyDescent="0.2">
      <c r="A904" s="24">
        <f t="shared" si="144"/>
        <v>3.8772842729587591</v>
      </c>
      <c r="B904" s="383">
        <v>15.033333333333333</v>
      </c>
      <c r="C904" s="32"/>
      <c r="D904" s="381">
        <f t="shared" si="145"/>
        <v>0</v>
      </c>
      <c r="E904" s="383">
        <v>15.033333333333333</v>
      </c>
      <c r="F904" s="8"/>
      <c r="G904" s="381">
        <f t="shared" si="146"/>
        <v>0</v>
      </c>
      <c r="H904" s="383">
        <v>15.033333333333333</v>
      </c>
      <c r="I904" s="32"/>
      <c r="J904" s="381">
        <f t="shared" si="147"/>
        <v>0</v>
      </c>
      <c r="K904" s="383">
        <v>15.033333333333333</v>
      </c>
      <c r="L904" s="31"/>
      <c r="M904" s="381">
        <f t="shared" si="148"/>
        <v>0</v>
      </c>
      <c r="N904" s="383">
        <v>15.033333333333333</v>
      </c>
      <c r="O904" s="32"/>
      <c r="P904" s="381">
        <f t="shared" si="149"/>
        <v>0</v>
      </c>
      <c r="Q904" s="383">
        <v>15.033333333333333</v>
      </c>
      <c r="R904" s="32"/>
      <c r="S904" s="25">
        <f t="shared" si="150"/>
        <v>0</v>
      </c>
      <c r="T904" s="383">
        <v>15.033333333333333</v>
      </c>
      <c r="U904" s="32"/>
      <c r="V904" s="25">
        <f t="shared" si="153"/>
        <v>0</v>
      </c>
      <c r="W904" s="32">
        <f t="shared" si="154"/>
        <v>15.033333333333333</v>
      </c>
      <c r="X904" s="32">
        <f t="shared" si="151"/>
        <v>0</v>
      </c>
      <c r="Y904" s="381">
        <f t="shared" si="152"/>
        <v>0</v>
      </c>
    </row>
    <row r="905" spans="1:25" x14ac:dyDescent="0.2">
      <c r="A905" s="24">
        <f t="shared" si="144"/>
        <v>3.8794329482541645</v>
      </c>
      <c r="B905" s="383">
        <v>15.05</v>
      </c>
      <c r="C905" s="32"/>
      <c r="D905" s="381">
        <f t="shared" si="145"/>
        <v>0</v>
      </c>
      <c r="E905" s="383">
        <v>15.05</v>
      </c>
      <c r="F905" s="8"/>
      <c r="G905" s="381">
        <f t="shared" si="146"/>
        <v>0</v>
      </c>
      <c r="H905" s="383">
        <v>15.05</v>
      </c>
      <c r="I905" s="32"/>
      <c r="J905" s="381">
        <f t="shared" si="147"/>
        <v>0</v>
      </c>
      <c r="K905" s="383">
        <v>15.05</v>
      </c>
      <c r="L905" s="31"/>
      <c r="M905" s="381">
        <f t="shared" si="148"/>
        <v>0</v>
      </c>
      <c r="N905" s="383">
        <v>15.05</v>
      </c>
      <c r="O905" s="32"/>
      <c r="P905" s="381">
        <f t="shared" si="149"/>
        <v>0</v>
      </c>
      <c r="Q905" s="383">
        <v>15.05</v>
      </c>
      <c r="R905" s="32"/>
      <c r="S905" s="25">
        <f t="shared" si="150"/>
        <v>0</v>
      </c>
      <c r="T905" s="383">
        <v>15.05</v>
      </c>
      <c r="U905" s="32"/>
      <c r="V905" s="25">
        <f t="shared" si="153"/>
        <v>0</v>
      </c>
      <c r="W905" s="32">
        <f t="shared" si="154"/>
        <v>15.05</v>
      </c>
      <c r="X905" s="32">
        <f t="shared" si="151"/>
        <v>0</v>
      </c>
      <c r="Y905" s="381">
        <f t="shared" si="152"/>
        <v>0</v>
      </c>
    </row>
    <row r="906" spans="1:25" x14ac:dyDescent="0.2">
      <c r="A906" s="24">
        <f t="shared" si="144"/>
        <v>3.8815804341359033</v>
      </c>
      <c r="B906" s="383">
        <v>15.066666666666666</v>
      </c>
      <c r="C906" s="32"/>
      <c r="D906" s="381">
        <f t="shared" si="145"/>
        <v>0</v>
      </c>
      <c r="E906" s="383">
        <v>15.066666666666666</v>
      </c>
      <c r="F906" s="8"/>
      <c r="G906" s="381">
        <f t="shared" si="146"/>
        <v>0</v>
      </c>
      <c r="H906" s="383">
        <v>15.066666666666666</v>
      </c>
      <c r="I906" s="32"/>
      <c r="J906" s="381">
        <f t="shared" si="147"/>
        <v>0</v>
      </c>
      <c r="K906" s="383">
        <v>15.066666666666666</v>
      </c>
      <c r="L906" s="31"/>
      <c r="M906" s="381">
        <f t="shared" si="148"/>
        <v>0</v>
      </c>
      <c r="N906" s="383">
        <v>15.066666666666666</v>
      </c>
      <c r="O906" s="32"/>
      <c r="P906" s="381">
        <f t="shared" si="149"/>
        <v>0</v>
      </c>
      <c r="Q906" s="383">
        <v>15.066666666666666</v>
      </c>
      <c r="R906" s="32"/>
      <c r="S906" s="25">
        <f t="shared" si="150"/>
        <v>0</v>
      </c>
      <c r="T906" s="383">
        <v>15.066666666666666</v>
      </c>
      <c r="U906" s="32"/>
      <c r="V906" s="25">
        <f t="shared" si="153"/>
        <v>0</v>
      </c>
      <c r="W906" s="32">
        <f t="shared" si="154"/>
        <v>15.066666666666666</v>
      </c>
      <c r="X906" s="32">
        <f t="shared" si="151"/>
        <v>0</v>
      </c>
      <c r="Y906" s="381">
        <f t="shared" si="152"/>
        <v>0</v>
      </c>
    </row>
    <row r="907" spans="1:25" x14ac:dyDescent="0.2">
      <c r="A907" s="24">
        <f t="shared" si="144"/>
        <v>3.8837267325770144</v>
      </c>
      <c r="B907" s="383">
        <v>15.083333333333334</v>
      </c>
      <c r="C907" s="32"/>
      <c r="D907" s="381">
        <f t="shared" si="145"/>
        <v>0</v>
      </c>
      <c r="E907" s="383">
        <v>15.083333333333334</v>
      </c>
      <c r="F907" s="8"/>
      <c r="G907" s="381">
        <f t="shared" si="146"/>
        <v>0</v>
      </c>
      <c r="H907" s="383">
        <v>15.083333333333334</v>
      </c>
      <c r="I907" s="32"/>
      <c r="J907" s="381">
        <f t="shared" si="147"/>
        <v>0</v>
      </c>
      <c r="K907" s="383">
        <v>15.083333333333334</v>
      </c>
      <c r="L907" s="31"/>
      <c r="M907" s="381">
        <f t="shared" si="148"/>
        <v>0</v>
      </c>
      <c r="N907" s="383">
        <v>15.083333333333334</v>
      </c>
      <c r="O907" s="32"/>
      <c r="P907" s="381">
        <f t="shared" si="149"/>
        <v>0</v>
      </c>
      <c r="Q907" s="383">
        <v>15.083333333333334</v>
      </c>
      <c r="R907" s="32"/>
      <c r="S907" s="25">
        <f t="shared" si="150"/>
        <v>0</v>
      </c>
      <c r="T907" s="383">
        <v>15.083333333333334</v>
      </c>
      <c r="U907" s="32"/>
      <c r="V907" s="25">
        <f t="shared" si="153"/>
        <v>0</v>
      </c>
      <c r="W907" s="32">
        <f t="shared" si="154"/>
        <v>15.083333333333334</v>
      </c>
      <c r="X907" s="32">
        <f t="shared" si="151"/>
        <v>0</v>
      </c>
      <c r="Y907" s="381">
        <f t="shared" si="152"/>
        <v>0</v>
      </c>
    </row>
    <row r="908" spans="1:25" x14ac:dyDescent="0.2">
      <c r="A908" s="24">
        <f t="shared" si="144"/>
        <v>3.8858718455450894</v>
      </c>
      <c r="B908" s="383">
        <v>15.1</v>
      </c>
      <c r="C908" s="32"/>
      <c r="D908" s="381">
        <f t="shared" si="145"/>
        <v>0</v>
      </c>
      <c r="E908" s="383">
        <v>15.1</v>
      </c>
      <c r="F908" s="8"/>
      <c r="G908" s="381">
        <f t="shared" si="146"/>
        <v>0</v>
      </c>
      <c r="H908" s="383">
        <v>15.1</v>
      </c>
      <c r="I908" s="32"/>
      <c r="J908" s="381">
        <f t="shared" si="147"/>
        <v>0</v>
      </c>
      <c r="K908" s="383">
        <v>15.1</v>
      </c>
      <c r="L908" s="31"/>
      <c r="M908" s="381">
        <f t="shared" si="148"/>
        <v>0</v>
      </c>
      <c r="N908" s="383">
        <v>15.1</v>
      </c>
      <c r="O908" s="32"/>
      <c r="P908" s="381">
        <f t="shared" si="149"/>
        <v>0</v>
      </c>
      <c r="Q908" s="383">
        <v>15.1</v>
      </c>
      <c r="R908" s="32"/>
      <c r="S908" s="25">
        <f t="shared" si="150"/>
        <v>0</v>
      </c>
      <c r="T908" s="383">
        <v>15.1</v>
      </c>
      <c r="U908" s="32"/>
      <c r="V908" s="25">
        <f t="shared" si="153"/>
        <v>0</v>
      </c>
      <c r="W908" s="32">
        <f t="shared" si="154"/>
        <v>15.1</v>
      </c>
      <c r="X908" s="32">
        <f t="shared" si="151"/>
        <v>0</v>
      </c>
      <c r="Y908" s="381">
        <f t="shared" si="152"/>
        <v>0</v>
      </c>
    </row>
    <row r="909" spans="1:25" x14ac:dyDescent="0.2">
      <c r="A909" s="24">
        <f t="shared" si="144"/>
        <v>3.888015775002291</v>
      </c>
      <c r="B909" s="383">
        <v>15.116666666666667</v>
      </c>
      <c r="C909" s="32"/>
      <c r="D909" s="381">
        <f t="shared" si="145"/>
        <v>0</v>
      </c>
      <c r="E909" s="383">
        <v>15.116666666666667</v>
      </c>
      <c r="F909" s="8"/>
      <c r="G909" s="381">
        <f t="shared" si="146"/>
        <v>0</v>
      </c>
      <c r="H909" s="383">
        <v>15.116666666666667</v>
      </c>
      <c r="I909" s="32"/>
      <c r="J909" s="381">
        <f t="shared" si="147"/>
        <v>0</v>
      </c>
      <c r="K909" s="383">
        <v>15.116666666666667</v>
      </c>
      <c r="L909" s="31"/>
      <c r="M909" s="381">
        <f t="shared" si="148"/>
        <v>0</v>
      </c>
      <c r="N909" s="383">
        <v>15.116666666666667</v>
      </c>
      <c r="O909" s="32"/>
      <c r="P909" s="381">
        <f t="shared" si="149"/>
        <v>0</v>
      </c>
      <c r="Q909" s="383">
        <v>15.116666666666667</v>
      </c>
      <c r="R909" s="32"/>
      <c r="S909" s="25">
        <f t="shared" si="150"/>
        <v>0</v>
      </c>
      <c r="T909" s="383">
        <v>15.116666666666667</v>
      </c>
      <c r="U909" s="32"/>
      <c r="V909" s="25">
        <f t="shared" si="153"/>
        <v>0</v>
      </c>
      <c r="W909" s="32">
        <f t="shared" si="154"/>
        <v>15.116666666666667</v>
      </c>
      <c r="X909" s="32">
        <f t="shared" si="151"/>
        <v>0</v>
      </c>
      <c r="Y909" s="381">
        <f t="shared" si="152"/>
        <v>0</v>
      </c>
    </row>
    <row r="910" spans="1:25" x14ac:dyDescent="0.2">
      <c r="A910" s="24">
        <f t="shared" si="144"/>
        <v>3.8901585229053754</v>
      </c>
      <c r="B910" s="383">
        <v>15.133333333333333</v>
      </c>
      <c r="C910" s="32"/>
      <c r="D910" s="381">
        <f t="shared" si="145"/>
        <v>0</v>
      </c>
      <c r="E910" s="383">
        <v>15.133333333333333</v>
      </c>
      <c r="F910" s="8"/>
      <c r="G910" s="381">
        <f t="shared" si="146"/>
        <v>0</v>
      </c>
      <c r="H910" s="383">
        <v>15.133333333333333</v>
      </c>
      <c r="I910" s="32"/>
      <c r="J910" s="381">
        <f t="shared" si="147"/>
        <v>0</v>
      </c>
      <c r="K910" s="383">
        <v>15.133333333333333</v>
      </c>
      <c r="L910" s="31"/>
      <c r="M910" s="381">
        <f t="shared" si="148"/>
        <v>0</v>
      </c>
      <c r="N910" s="383">
        <v>15.133333333333333</v>
      </c>
      <c r="O910" s="32"/>
      <c r="P910" s="381">
        <f t="shared" si="149"/>
        <v>0</v>
      </c>
      <c r="Q910" s="383">
        <v>15.133333333333333</v>
      </c>
      <c r="R910" s="32"/>
      <c r="S910" s="25">
        <f t="shared" si="150"/>
        <v>0</v>
      </c>
      <c r="T910" s="383">
        <v>15.133333333333333</v>
      </c>
      <c r="U910" s="32"/>
      <c r="V910" s="25">
        <f t="shared" si="153"/>
        <v>0</v>
      </c>
      <c r="W910" s="32">
        <f t="shared" si="154"/>
        <v>15.133333333333333</v>
      </c>
      <c r="X910" s="32">
        <f t="shared" si="151"/>
        <v>0</v>
      </c>
      <c r="Y910" s="381">
        <f t="shared" si="152"/>
        <v>0</v>
      </c>
    </row>
    <row r="911" spans="1:25" x14ac:dyDescent="0.2">
      <c r="A911" s="24">
        <f t="shared" si="144"/>
        <v>3.8923000912057129</v>
      </c>
      <c r="B911" s="383">
        <v>15.15</v>
      </c>
      <c r="C911" s="32"/>
      <c r="D911" s="381">
        <f t="shared" si="145"/>
        <v>0</v>
      </c>
      <c r="E911" s="383">
        <v>15.15</v>
      </c>
      <c r="F911" s="8"/>
      <c r="G911" s="381">
        <f t="shared" si="146"/>
        <v>0</v>
      </c>
      <c r="H911" s="383">
        <v>15.15</v>
      </c>
      <c r="I911" s="32"/>
      <c r="J911" s="381">
        <f t="shared" si="147"/>
        <v>0</v>
      </c>
      <c r="K911" s="383">
        <v>15.15</v>
      </c>
      <c r="L911" s="31"/>
      <c r="M911" s="381">
        <f t="shared" si="148"/>
        <v>0</v>
      </c>
      <c r="N911" s="383">
        <v>15.15</v>
      </c>
      <c r="O911" s="32"/>
      <c r="P911" s="381">
        <f t="shared" si="149"/>
        <v>0</v>
      </c>
      <c r="Q911" s="383">
        <v>15.15</v>
      </c>
      <c r="R911" s="32"/>
      <c r="S911" s="25">
        <f t="shared" si="150"/>
        <v>0</v>
      </c>
      <c r="T911" s="383">
        <v>15.15</v>
      </c>
      <c r="U911" s="32"/>
      <c r="V911" s="25">
        <f t="shared" si="153"/>
        <v>0</v>
      </c>
      <c r="W911" s="32">
        <f t="shared" si="154"/>
        <v>15.15</v>
      </c>
      <c r="X911" s="32">
        <f t="shared" si="151"/>
        <v>0</v>
      </c>
      <c r="Y911" s="381">
        <f t="shared" si="152"/>
        <v>0</v>
      </c>
    </row>
    <row r="912" spans="1:25" x14ac:dyDescent="0.2">
      <c r="A912" s="24">
        <f t="shared" si="144"/>
        <v>3.8944404818493075</v>
      </c>
      <c r="B912" s="383">
        <v>15.166666666666666</v>
      </c>
      <c r="C912" s="32"/>
      <c r="D912" s="381">
        <f t="shared" si="145"/>
        <v>0</v>
      </c>
      <c r="E912" s="383">
        <v>15.166666666666666</v>
      </c>
      <c r="F912" s="8"/>
      <c r="G912" s="381">
        <f t="shared" si="146"/>
        <v>0</v>
      </c>
      <c r="H912" s="383">
        <v>15.166666666666666</v>
      </c>
      <c r="I912" s="32"/>
      <c r="J912" s="381">
        <f t="shared" si="147"/>
        <v>0</v>
      </c>
      <c r="K912" s="383">
        <v>15.166666666666666</v>
      </c>
      <c r="L912" s="31"/>
      <c r="M912" s="381">
        <f t="shared" si="148"/>
        <v>0</v>
      </c>
      <c r="N912" s="383">
        <v>15.166666666666666</v>
      </c>
      <c r="O912" s="32"/>
      <c r="P912" s="381">
        <f t="shared" si="149"/>
        <v>0</v>
      </c>
      <c r="Q912" s="383">
        <v>15.166666666666666</v>
      </c>
      <c r="R912" s="32"/>
      <c r="S912" s="25">
        <f t="shared" si="150"/>
        <v>0</v>
      </c>
      <c r="T912" s="383">
        <v>15.166666666666666</v>
      </c>
      <c r="U912" s="32"/>
      <c r="V912" s="25">
        <f t="shared" si="153"/>
        <v>0</v>
      </c>
      <c r="W912" s="32">
        <f t="shared" si="154"/>
        <v>15.166666666666666</v>
      </c>
      <c r="X912" s="32">
        <f t="shared" si="151"/>
        <v>0</v>
      </c>
      <c r="Y912" s="381">
        <f t="shared" si="152"/>
        <v>0</v>
      </c>
    </row>
    <row r="913" spans="1:25" x14ac:dyDescent="0.2">
      <c r="A913" s="24">
        <f t="shared" si="144"/>
        <v>3.8965796967768198</v>
      </c>
      <c r="B913" s="383">
        <v>15.183333333333334</v>
      </c>
      <c r="C913" s="32"/>
      <c r="D913" s="381">
        <f t="shared" si="145"/>
        <v>0</v>
      </c>
      <c r="E913" s="383">
        <v>15.183333333333334</v>
      </c>
      <c r="F913" s="8"/>
      <c r="G913" s="381">
        <f t="shared" si="146"/>
        <v>0</v>
      </c>
      <c r="H913" s="383">
        <v>15.183333333333334</v>
      </c>
      <c r="I913" s="32"/>
      <c r="J913" s="381">
        <f t="shared" si="147"/>
        <v>0</v>
      </c>
      <c r="K913" s="383">
        <v>15.183333333333334</v>
      </c>
      <c r="L913" s="31"/>
      <c r="M913" s="381">
        <f t="shared" si="148"/>
        <v>0</v>
      </c>
      <c r="N913" s="383">
        <v>15.183333333333334</v>
      </c>
      <c r="O913" s="32"/>
      <c r="P913" s="381">
        <f t="shared" si="149"/>
        <v>0</v>
      </c>
      <c r="Q913" s="383">
        <v>15.183333333333334</v>
      </c>
      <c r="R913" s="32"/>
      <c r="S913" s="25">
        <f t="shared" si="150"/>
        <v>0</v>
      </c>
      <c r="T913" s="383">
        <v>15.183333333333334</v>
      </c>
      <c r="U913" s="32"/>
      <c r="V913" s="25">
        <f t="shared" si="153"/>
        <v>0</v>
      </c>
      <c r="W913" s="32">
        <f t="shared" si="154"/>
        <v>15.183333333333334</v>
      </c>
      <c r="X913" s="32">
        <f t="shared" si="151"/>
        <v>0</v>
      </c>
      <c r="Y913" s="381">
        <f t="shared" si="152"/>
        <v>0</v>
      </c>
    </row>
    <row r="914" spans="1:25" x14ac:dyDescent="0.2">
      <c r="A914" s="24">
        <f t="shared" si="144"/>
        <v>3.8987177379235853</v>
      </c>
      <c r="B914" s="383">
        <v>15.2</v>
      </c>
      <c r="C914" s="32"/>
      <c r="D914" s="381">
        <f t="shared" si="145"/>
        <v>0</v>
      </c>
      <c r="E914" s="383">
        <v>15.2</v>
      </c>
      <c r="F914" s="8"/>
      <c r="G914" s="381">
        <f t="shared" si="146"/>
        <v>0</v>
      </c>
      <c r="H914" s="383">
        <v>15.2</v>
      </c>
      <c r="I914" s="32"/>
      <c r="J914" s="381">
        <f t="shared" si="147"/>
        <v>0</v>
      </c>
      <c r="K914" s="383">
        <v>15.2</v>
      </c>
      <c r="L914" s="31"/>
      <c r="M914" s="381">
        <f t="shared" si="148"/>
        <v>0</v>
      </c>
      <c r="N914" s="383">
        <v>15.2</v>
      </c>
      <c r="O914" s="32"/>
      <c r="P914" s="381">
        <f t="shared" si="149"/>
        <v>0</v>
      </c>
      <c r="Q914" s="383">
        <v>15.2</v>
      </c>
      <c r="R914" s="32"/>
      <c r="S914" s="25">
        <f t="shared" si="150"/>
        <v>0</v>
      </c>
      <c r="T914" s="383">
        <v>15.2</v>
      </c>
      <c r="U914" s="32"/>
      <c r="V914" s="25">
        <f t="shared" si="153"/>
        <v>0</v>
      </c>
      <c r="W914" s="32">
        <f t="shared" si="154"/>
        <v>15.2</v>
      </c>
      <c r="X914" s="32">
        <f t="shared" si="151"/>
        <v>0</v>
      </c>
      <c r="Y914" s="381">
        <f t="shared" si="152"/>
        <v>0</v>
      </c>
    </row>
    <row r="915" spans="1:25" x14ac:dyDescent="0.2">
      <c r="A915" s="24">
        <f t="shared" si="144"/>
        <v>3.9008546072196366</v>
      </c>
      <c r="B915" s="383">
        <v>15.216666666666667</v>
      </c>
      <c r="C915" s="32"/>
      <c r="D915" s="381">
        <f t="shared" si="145"/>
        <v>0</v>
      </c>
      <c r="E915" s="383">
        <v>15.216666666666667</v>
      </c>
      <c r="F915" s="8"/>
      <c r="G915" s="381">
        <f t="shared" si="146"/>
        <v>0</v>
      </c>
      <c r="H915" s="383">
        <v>15.216666666666667</v>
      </c>
      <c r="I915" s="32"/>
      <c r="J915" s="381">
        <f t="shared" si="147"/>
        <v>0</v>
      </c>
      <c r="K915" s="383">
        <v>15.216666666666667</v>
      </c>
      <c r="L915" s="31"/>
      <c r="M915" s="381">
        <f t="shared" si="148"/>
        <v>0</v>
      </c>
      <c r="N915" s="383">
        <v>15.216666666666667</v>
      </c>
      <c r="O915" s="32"/>
      <c r="P915" s="381">
        <f t="shared" si="149"/>
        <v>0</v>
      </c>
      <c r="Q915" s="383">
        <v>15.216666666666667</v>
      </c>
      <c r="R915" s="32"/>
      <c r="S915" s="25">
        <f t="shared" si="150"/>
        <v>0</v>
      </c>
      <c r="T915" s="383">
        <v>15.216666666666667</v>
      </c>
      <c r="U915" s="32"/>
      <c r="V915" s="25">
        <f t="shared" si="153"/>
        <v>0</v>
      </c>
      <c r="W915" s="32">
        <f t="shared" si="154"/>
        <v>15.216666666666667</v>
      </c>
      <c r="X915" s="32">
        <f t="shared" si="151"/>
        <v>0</v>
      </c>
      <c r="Y915" s="381">
        <f t="shared" si="152"/>
        <v>0</v>
      </c>
    </row>
    <row r="916" spans="1:25" x14ac:dyDescent="0.2">
      <c r="A916" s="24">
        <f t="shared" si="144"/>
        <v>3.902990306589722</v>
      </c>
      <c r="B916" s="383">
        <v>15.233333333333333</v>
      </c>
      <c r="C916" s="32"/>
      <c r="D916" s="381">
        <f t="shared" si="145"/>
        <v>0</v>
      </c>
      <c r="E916" s="383">
        <v>15.233333333333333</v>
      </c>
      <c r="F916" s="8"/>
      <c r="G916" s="381">
        <f t="shared" si="146"/>
        <v>0</v>
      </c>
      <c r="H916" s="383">
        <v>15.233333333333333</v>
      </c>
      <c r="I916" s="32"/>
      <c r="J916" s="381">
        <f t="shared" si="147"/>
        <v>0</v>
      </c>
      <c r="K916" s="383">
        <v>15.233333333333333</v>
      </c>
      <c r="L916" s="31"/>
      <c r="M916" s="381">
        <f t="shared" si="148"/>
        <v>0</v>
      </c>
      <c r="N916" s="383">
        <v>15.233333333333333</v>
      </c>
      <c r="O916" s="32"/>
      <c r="P916" s="381">
        <f t="shared" si="149"/>
        <v>0</v>
      </c>
      <c r="Q916" s="383">
        <v>15.233333333333333</v>
      </c>
      <c r="R916" s="32"/>
      <c r="S916" s="25">
        <f t="shared" si="150"/>
        <v>0</v>
      </c>
      <c r="T916" s="383">
        <v>15.233333333333333</v>
      </c>
      <c r="U916" s="32"/>
      <c r="V916" s="25">
        <f t="shared" si="153"/>
        <v>0</v>
      </c>
      <c r="W916" s="32">
        <f t="shared" si="154"/>
        <v>15.233333333333333</v>
      </c>
      <c r="X916" s="32">
        <f t="shared" si="151"/>
        <v>0</v>
      </c>
      <c r="Y916" s="381">
        <f t="shared" si="152"/>
        <v>0</v>
      </c>
    </row>
    <row r="917" spans="1:25" x14ac:dyDescent="0.2">
      <c r="A917" s="24">
        <f t="shared" si="144"/>
        <v>3.905124837953327</v>
      </c>
      <c r="B917" s="383">
        <v>15.25</v>
      </c>
      <c r="C917" s="32"/>
      <c r="D917" s="381">
        <f t="shared" si="145"/>
        <v>0</v>
      </c>
      <c r="E917" s="383">
        <v>15.25</v>
      </c>
      <c r="F917" s="8"/>
      <c r="G917" s="381">
        <f t="shared" si="146"/>
        <v>0</v>
      </c>
      <c r="H917" s="383">
        <v>15.25</v>
      </c>
      <c r="I917" s="32"/>
      <c r="J917" s="381">
        <f t="shared" si="147"/>
        <v>0</v>
      </c>
      <c r="K917" s="383">
        <v>15.25</v>
      </c>
      <c r="L917" s="31"/>
      <c r="M917" s="381">
        <f t="shared" si="148"/>
        <v>0</v>
      </c>
      <c r="N917" s="383">
        <v>15.25</v>
      </c>
      <c r="O917" s="32"/>
      <c r="P917" s="381">
        <f t="shared" si="149"/>
        <v>0</v>
      </c>
      <c r="Q917" s="383">
        <v>15.25</v>
      </c>
      <c r="R917" s="32"/>
      <c r="S917" s="25">
        <f t="shared" si="150"/>
        <v>0</v>
      </c>
      <c r="T917" s="383">
        <v>15.25</v>
      </c>
      <c r="U917" s="32"/>
      <c r="V917" s="25">
        <f t="shared" si="153"/>
        <v>0</v>
      </c>
      <c r="W917" s="32">
        <f t="shared" si="154"/>
        <v>15.25</v>
      </c>
      <c r="X917" s="32">
        <f t="shared" si="151"/>
        <v>0</v>
      </c>
      <c r="Y917" s="381">
        <f t="shared" si="152"/>
        <v>0</v>
      </c>
    </row>
    <row r="918" spans="1:25" x14ac:dyDescent="0.2">
      <c r="A918" s="24">
        <f t="shared" si="144"/>
        <v>3.9072582032246945</v>
      </c>
      <c r="B918" s="383">
        <v>15.266666666666667</v>
      </c>
      <c r="C918" s="32"/>
      <c r="D918" s="381">
        <f t="shared" si="145"/>
        <v>0</v>
      </c>
      <c r="E918" s="383">
        <v>15.266666666666667</v>
      </c>
      <c r="F918" s="8"/>
      <c r="G918" s="381">
        <f t="shared" si="146"/>
        <v>0</v>
      </c>
      <c r="H918" s="383">
        <v>15.266666666666667</v>
      </c>
      <c r="I918" s="32"/>
      <c r="J918" s="381">
        <f t="shared" si="147"/>
        <v>0</v>
      </c>
      <c r="K918" s="383">
        <v>15.266666666666667</v>
      </c>
      <c r="L918" s="31"/>
      <c r="M918" s="381">
        <f t="shared" si="148"/>
        <v>0</v>
      </c>
      <c r="N918" s="383">
        <v>15.266666666666667</v>
      </c>
      <c r="O918" s="32"/>
      <c r="P918" s="381">
        <f t="shared" si="149"/>
        <v>0</v>
      </c>
      <c r="Q918" s="383">
        <v>15.266666666666667</v>
      </c>
      <c r="R918" s="32"/>
      <c r="S918" s="25">
        <f t="shared" si="150"/>
        <v>0</v>
      </c>
      <c r="T918" s="383">
        <v>15.266666666666667</v>
      </c>
      <c r="U918" s="32"/>
      <c r="V918" s="25">
        <f t="shared" si="153"/>
        <v>0</v>
      </c>
      <c r="W918" s="32">
        <f t="shared" si="154"/>
        <v>15.266666666666667</v>
      </c>
      <c r="X918" s="32">
        <f t="shared" si="151"/>
        <v>0</v>
      </c>
      <c r="Y918" s="381">
        <f t="shared" si="152"/>
        <v>0</v>
      </c>
    </row>
    <row r="919" spans="1:25" x14ac:dyDescent="0.2">
      <c r="A919" s="24">
        <f t="shared" si="144"/>
        <v>3.9093904043128429</v>
      </c>
      <c r="B919" s="383">
        <v>15.283333333333333</v>
      </c>
      <c r="C919" s="32"/>
      <c r="D919" s="381">
        <f t="shared" si="145"/>
        <v>0</v>
      </c>
      <c r="E919" s="383">
        <v>15.283333333333333</v>
      </c>
      <c r="F919" s="8"/>
      <c r="G919" s="381">
        <f t="shared" si="146"/>
        <v>0</v>
      </c>
      <c r="H919" s="383">
        <v>15.283333333333333</v>
      </c>
      <c r="I919" s="32"/>
      <c r="J919" s="381">
        <f t="shared" si="147"/>
        <v>0</v>
      </c>
      <c r="K919" s="383">
        <v>15.283333333333333</v>
      </c>
      <c r="L919" s="31"/>
      <c r="M919" s="381">
        <f t="shared" si="148"/>
        <v>0</v>
      </c>
      <c r="N919" s="383">
        <v>15.283333333333333</v>
      </c>
      <c r="O919" s="32"/>
      <c r="P919" s="381">
        <f t="shared" si="149"/>
        <v>0</v>
      </c>
      <c r="Q919" s="383">
        <v>15.283333333333333</v>
      </c>
      <c r="R919" s="32"/>
      <c r="S919" s="25">
        <f t="shared" si="150"/>
        <v>0</v>
      </c>
      <c r="T919" s="383">
        <v>15.283333333333333</v>
      </c>
      <c r="U919" s="32"/>
      <c r="V919" s="25">
        <f t="shared" si="153"/>
        <v>0</v>
      </c>
      <c r="W919" s="32">
        <f t="shared" si="154"/>
        <v>15.283333333333333</v>
      </c>
      <c r="X919" s="32">
        <f t="shared" si="151"/>
        <v>0</v>
      </c>
      <c r="Y919" s="381">
        <f t="shared" si="152"/>
        <v>0</v>
      </c>
    </row>
    <row r="920" spans="1:25" x14ac:dyDescent="0.2">
      <c r="A920" s="24">
        <f t="shared" si="144"/>
        <v>3.9115214431215892</v>
      </c>
      <c r="B920" s="383">
        <v>15.3</v>
      </c>
      <c r="C920" s="32"/>
      <c r="D920" s="381">
        <f t="shared" si="145"/>
        <v>0</v>
      </c>
      <c r="E920" s="383">
        <v>15.3</v>
      </c>
      <c r="F920" s="8"/>
      <c r="G920" s="381">
        <f t="shared" si="146"/>
        <v>0</v>
      </c>
      <c r="H920" s="383">
        <v>15.3</v>
      </c>
      <c r="I920" s="32"/>
      <c r="J920" s="381">
        <f t="shared" si="147"/>
        <v>0</v>
      </c>
      <c r="K920" s="383">
        <v>15.3</v>
      </c>
      <c r="L920" s="31"/>
      <c r="M920" s="381">
        <f t="shared" si="148"/>
        <v>0</v>
      </c>
      <c r="N920" s="383">
        <v>15.3</v>
      </c>
      <c r="O920" s="32"/>
      <c r="P920" s="381">
        <f t="shared" si="149"/>
        <v>0</v>
      </c>
      <c r="Q920" s="383">
        <v>15.3</v>
      </c>
      <c r="R920" s="32"/>
      <c r="S920" s="25">
        <f t="shared" si="150"/>
        <v>0</v>
      </c>
      <c r="T920" s="383">
        <v>15.3</v>
      </c>
      <c r="U920" s="32"/>
      <c r="V920" s="25">
        <f t="shared" si="153"/>
        <v>0</v>
      </c>
      <c r="W920" s="32">
        <f t="shared" si="154"/>
        <v>15.3</v>
      </c>
      <c r="X920" s="32">
        <f t="shared" si="151"/>
        <v>0</v>
      </c>
      <c r="Y920" s="381">
        <f t="shared" si="152"/>
        <v>0</v>
      </c>
    </row>
    <row r="921" spans="1:25" x14ac:dyDescent="0.2">
      <c r="A921" s="24">
        <f t="shared" si="144"/>
        <v>3.9136513215495663</v>
      </c>
      <c r="B921" s="383">
        <v>15.316666666666666</v>
      </c>
      <c r="C921" s="32"/>
      <c r="D921" s="381">
        <f t="shared" si="145"/>
        <v>0</v>
      </c>
      <c r="E921" s="383">
        <v>15.316666666666666</v>
      </c>
      <c r="F921" s="8"/>
      <c r="G921" s="381">
        <f t="shared" si="146"/>
        <v>0</v>
      </c>
      <c r="H921" s="383">
        <v>15.316666666666666</v>
      </c>
      <c r="I921" s="32"/>
      <c r="J921" s="381">
        <f t="shared" si="147"/>
        <v>0</v>
      </c>
      <c r="K921" s="383">
        <v>15.316666666666666</v>
      </c>
      <c r="L921" s="31"/>
      <c r="M921" s="381">
        <f t="shared" si="148"/>
        <v>0</v>
      </c>
      <c r="N921" s="383">
        <v>15.316666666666666</v>
      </c>
      <c r="O921" s="32"/>
      <c r="P921" s="381">
        <f t="shared" si="149"/>
        <v>0</v>
      </c>
      <c r="Q921" s="383">
        <v>15.316666666666666</v>
      </c>
      <c r="R921" s="32"/>
      <c r="S921" s="25">
        <f t="shared" si="150"/>
        <v>0</v>
      </c>
      <c r="T921" s="383">
        <v>15.316666666666666</v>
      </c>
      <c r="U921" s="32"/>
      <c r="V921" s="25">
        <f t="shared" si="153"/>
        <v>0</v>
      </c>
      <c r="W921" s="32">
        <f t="shared" si="154"/>
        <v>15.316666666666666</v>
      </c>
      <c r="X921" s="32">
        <f t="shared" si="151"/>
        <v>0</v>
      </c>
      <c r="Y921" s="381">
        <f t="shared" si="152"/>
        <v>0</v>
      </c>
    </row>
    <row r="922" spans="1:25" x14ac:dyDescent="0.2">
      <c r="A922" s="24">
        <f t="shared" si="144"/>
        <v>3.9157800414902435</v>
      </c>
      <c r="B922" s="383">
        <v>15.333333333333334</v>
      </c>
      <c r="C922" s="32"/>
      <c r="D922" s="381">
        <f t="shared" si="145"/>
        <v>0</v>
      </c>
      <c r="E922" s="383">
        <v>15.333333333333334</v>
      </c>
      <c r="F922" s="8"/>
      <c r="G922" s="381">
        <f t="shared" si="146"/>
        <v>0</v>
      </c>
      <c r="H922" s="383">
        <v>15.333333333333334</v>
      </c>
      <c r="I922" s="32"/>
      <c r="J922" s="381">
        <f t="shared" si="147"/>
        <v>0</v>
      </c>
      <c r="K922" s="383">
        <v>15.333333333333334</v>
      </c>
      <c r="L922" s="31"/>
      <c r="M922" s="381">
        <f t="shared" si="148"/>
        <v>0</v>
      </c>
      <c r="N922" s="383">
        <v>15.333333333333334</v>
      </c>
      <c r="O922" s="32"/>
      <c r="P922" s="381">
        <f t="shared" si="149"/>
        <v>0</v>
      </c>
      <c r="Q922" s="383">
        <v>15.333333333333334</v>
      </c>
      <c r="R922" s="32"/>
      <c r="S922" s="25">
        <f t="shared" si="150"/>
        <v>0</v>
      </c>
      <c r="T922" s="383">
        <v>15.333333333333334</v>
      </c>
      <c r="U922" s="32"/>
      <c r="V922" s="25">
        <f t="shared" si="153"/>
        <v>0</v>
      </c>
      <c r="W922" s="32">
        <f t="shared" si="154"/>
        <v>15.333333333333334</v>
      </c>
      <c r="X922" s="32">
        <f t="shared" si="151"/>
        <v>0</v>
      </c>
      <c r="Y922" s="381">
        <f t="shared" si="152"/>
        <v>0</v>
      </c>
    </row>
    <row r="923" spans="1:25" x14ac:dyDescent="0.2">
      <c r="A923" s="24">
        <f t="shared" si="144"/>
        <v>3.9179076048319463</v>
      </c>
      <c r="B923" s="383">
        <v>15.35</v>
      </c>
      <c r="C923" s="32"/>
      <c r="D923" s="381">
        <f t="shared" si="145"/>
        <v>0</v>
      </c>
      <c r="E923" s="383">
        <v>15.35</v>
      </c>
      <c r="F923" s="8"/>
      <c r="G923" s="381">
        <f t="shared" si="146"/>
        <v>0</v>
      </c>
      <c r="H923" s="383">
        <v>15.35</v>
      </c>
      <c r="I923" s="32"/>
      <c r="J923" s="381">
        <f t="shared" si="147"/>
        <v>0</v>
      </c>
      <c r="K923" s="383">
        <v>15.35</v>
      </c>
      <c r="L923" s="31"/>
      <c r="M923" s="381">
        <f t="shared" si="148"/>
        <v>0</v>
      </c>
      <c r="N923" s="383">
        <v>15.35</v>
      </c>
      <c r="O923" s="32"/>
      <c r="P923" s="381">
        <f t="shared" si="149"/>
        <v>0</v>
      </c>
      <c r="Q923" s="383">
        <v>15.35</v>
      </c>
      <c r="R923" s="32"/>
      <c r="S923" s="25">
        <f t="shared" si="150"/>
        <v>0</v>
      </c>
      <c r="T923" s="383">
        <v>15.35</v>
      </c>
      <c r="U923" s="32"/>
      <c r="V923" s="25">
        <f t="shared" si="153"/>
        <v>0</v>
      </c>
      <c r="W923" s="32">
        <f t="shared" si="154"/>
        <v>15.35</v>
      </c>
      <c r="X923" s="32">
        <f t="shared" si="151"/>
        <v>0</v>
      </c>
      <c r="Y923" s="381">
        <f t="shared" si="152"/>
        <v>0</v>
      </c>
    </row>
    <row r="924" spans="1:25" x14ac:dyDescent="0.2">
      <c r="A924" s="24">
        <f t="shared" si="144"/>
        <v>3.9200340134578764</v>
      </c>
      <c r="B924" s="383">
        <v>15.366666666666667</v>
      </c>
      <c r="C924" s="32"/>
      <c r="D924" s="381">
        <f t="shared" si="145"/>
        <v>0</v>
      </c>
      <c r="E924" s="383">
        <v>15.366666666666667</v>
      </c>
      <c r="F924" s="8"/>
      <c r="G924" s="381">
        <f t="shared" si="146"/>
        <v>0</v>
      </c>
      <c r="H924" s="383">
        <v>15.366666666666667</v>
      </c>
      <c r="I924" s="32"/>
      <c r="J924" s="381">
        <f t="shared" si="147"/>
        <v>0</v>
      </c>
      <c r="K924" s="383">
        <v>15.366666666666667</v>
      </c>
      <c r="L924" s="31"/>
      <c r="M924" s="381">
        <f t="shared" si="148"/>
        <v>0</v>
      </c>
      <c r="N924" s="383">
        <v>15.366666666666667</v>
      </c>
      <c r="O924" s="32"/>
      <c r="P924" s="381">
        <f t="shared" si="149"/>
        <v>0</v>
      </c>
      <c r="Q924" s="383">
        <v>15.366666666666667</v>
      </c>
      <c r="R924" s="32"/>
      <c r="S924" s="25">
        <f t="shared" si="150"/>
        <v>0</v>
      </c>
      <c r="T924" s="383">
        <v>15.366666666666667</v>
      </c>
      <c r="U924" s="32"/>
      <c r="V924" s="25">
        <f t="shared" si="153"/>
        <v>0</v>
      </c>
      <c r="W924" s="32">
        <f t="shared" si="154"/>
        <v>15.366666666666667</v>
      </c>
      <c r="X924" s="32">
        <f t="shared" si="151"/>
        <v>0</v>
      </c>
      <c r="Y924" s="381">
        <f t="shared" si="152"/>
        <v>0</v>
      </c>
    </row>
    <row r="925" spans="1:25" x14ac:dyDescent="0.2">
      <c r="A925" s="24">
        <f t="shared" si="144"/>
        <v>3.9221592692461296</v>
      </c>
      <c r="B925" s="383">
        <v>15.383333333333333</v>
      </c>
      <c r="C925" s="32"/>
      <c r="D925" s="381">
        <f t="shared" si="145"/>
        <v>0</v>
      </c>
      <c r="E925" s="383">
        <v>15.383333333333333</v>
      </c>
      <c r="F925" s="8"/>
      <c r="G925" s="381">
        <f t="shared" si="146"/>
        <v>0</v>
      </c>
      <c r="H925" s="383">
        <v>15.383333333333333</v>
      </c>
      <c r="I925" s="32"/>
      <c r="J925" s="381">
        <f t="shared" si="147"/>
        <v>0</v>
      </c>
      <c r="K925" s="383">
        <v>15.383333333333333</v>
      </c>
      <c r="L925" s="31"/>
      <c r="M925" s="381">
        <f t="shared" si="148"/>
        <v>0</v>
      </c>
      <c r="N925" s="383">
        <v>15.383333333333333</v>
      </c>
      <c r="O925" s="32"/>
      <c r="P925" s="381">
        <f t="shared" si="149"/>
        <v>0</v>
      </c>
      <c r="Q925" s="383">
        <v>15.383333333333333</v>
      </c>
      <c r="R925" s="32"/>
      <c r="S925" s="25">
        <f t="shared" si="150"/>
        <v>0</v>
      </c>
      <c r="T925" s="383">
        <v>15.383333333333333</v>
      </c>
      <c r="U925" s="32"/>
      <c r="V925" s="25">
        <f t="shared" si="153"/>
        <v>0</v>
      </c>
      <c r="W925" s="32">
        <f t="shared" si="154"/>
        <v>15.383333333333333</v>
      </c>
      <c r="X925" s="32">
        <f t="shared" si="151"/>
        <v>0</v>
      </c>
      <c r="Y925" s="381">
        <f t="shared" si="152"/>
        <v>0</v>
      </c>
    </row>
    <row r="926" spans="1:25" x14ac:dyDescent="0.2">
      <c r="A926" s="24">
        <f t="shared" si="144"/>
        <v>3.9242833740697169</v>
      </c>
      <c r="B926" s="383">
        <v>15.4</v>
      </c>
      <c r="C926" s="32"/>
      <c r="D926" s="381">
        <f t="shared" si="145"/>
        <v>0</v>
      </c>
      <c r="E926" s="383">
        <v>15.4</v>
      </c>
      <c r="F926" s="8"/>
      <c r="G926" s="381">
        <f t="shared" si="146"/>
        <v>0</v>
      </c>
      <c r="H926" s="383">
        <v>15.4</v>
      </c>
      <c r="I926" s="32"/>
      <c r="J926" s="381">
        <f t="shared" si="147"/>
        <v>0</v>
      </c>
      <c r="K926" s="383">
        <v>15.4</v>
      </c>
      <c r="L926" s="31"/>
      <c r="M926" s="381">
        <f t="shared" si="148"/>
        <v>0</v>
      </c>
      <c r="N926" s="383">
        <v>15.4</v>
      </c>
      <c r="O926" s="32"/>
      <c r="P926" s="381">
        <f t="shared" si="149"/>
        <v>0</v>
      </c>
      <c r="Q926" s="383">
        <v>15.4</v>
      </c>
      <c r="R926" s="32"/>
      <c r="S926" s="25">
        <f t="shared" si="150"/>
        <v>0</v>
      </c>
      <c r="T926" s="383">
        <v>15.4</v>
      </c>
      <c r="U926" s="32"/>
      <c r="V926" s="25">
        <f t="shared" si="153"/>
        <v>0</v>
      </c>
      <c r="W926" s="32">
        <f t="shared" si="154"/>
        <v>15.4</v>
      </c>
      <c r="X926" s="32">
        <f t="shared" si="151"/>
        <v>0</v>
      </c>
      <c r="Y926" s="381">
        <f t="shared" si="152"/>
        <v>0</v>
      </c>
    </row>
    <row r="927" spans="1:25" x14ac:dyDescent="0.2">
      <c r="A927" s="24">
        <f t="shared" si="144"/>
        <v>3.9264063297965821</v>
      </c>
      <c r="B927" s="383">
        <v>15.416666666666666</v>
      </c>
      <c r="C927" s="32"/>
      <c r="D927" s="381">
        <f t="shared" si="145"/>
        <v>0</v>
      </c>
      <c r="E927" s="383">
        <v>15.416666666666666</v>
      </c>
      <c r="F927" s="8"/>
      <c r="G927" s="381">
        <f t="shared" si="146"/>
        <v>0</v>
      </c>
      <c r="H927" s="383">
        <v>15.416666666666666</v>
      </c>
      <c r="I927" s="32"/>
      <c r="J927" s="381">
        <f t="shared" si="147"/>
        <v>0</v>
      </c>
      <c r="K927" s="383">
        <v>15.416666666666666</v>
      </c>
      <c r="L927" s="31"/>
      <c r="M927" s="381">
        <f t="shared" si="148"/>
        <v>0</v>
      </c>
      <c r="N927" s="383">
        <v>15.416666666666666</v>
      </c>
      <c r="O927" s="32"/>
      <c r="P927" s="381">
        <f t="shared" si="149"/>
        <v>0</v>
      </c>
      <c r="Q927" s="383">
        <v>15.416666666666666</v>
      </c>
      <c r="R927" s="32"/>
      <c r="S927" s="25">
        <f t="shared" si="150"/>
        <v>0</v>
      </c>
      <c r="T927" s="383">
        <v>15.416666666666666</v>
      </c>
      <c r="U927" s="32"/>
      <c r="V927" s="25">
        <f t="shared" si="153"/>
        <v>0</v>
      </c>
      <c r="W927" s="32">
        <f t="shared" si="154"/>
        <v>15.416666666666666</v>
      </c>
      <c r="X927" s="32">
        <f t="shared" si="151"/>
        <v>0</v>
      </c>
      <c r="Y927" s="381">
        <f t="shared" si="152"/>
        <v>0</v>
      </c>
    </row>
    <row r="928" spans="1:25" x14ac:dyDescent="0.2">
      <c r="A928" s="24">
        <f t="shared" si="144"/>
        <v>3.9285281382896233</v>
      </c>
      <c r="B928" s="383">
        <v>15.433333333333334</v>
      </c>
      <c r="C928" s="32"/>
      <c r="D928" s="381">
        <f t="shared" si="145"/>
        <v>0</v>
      </c>
      <c r="E928" s="383">
        <v>15.433333333333334</v>
      </c>
      <c r="F928" s="8"/>
      <c r="G928" s="381">
        <f t="shared" si="146"/>
        <v>0</v>
      </c>
      <c r="H928" s="383">
        <v>15.433333333333334</v>
      </c>
      <c r="I928" s="32"/>
      <c r="J928" s="381">
        <f t="shared" si="147"/>
        <v>0</v>
      </c>
      <c r="K928" s="383">
        <v>15.433333333333334</v>
      </c>
      <c r="L928" s="31"/>
      <c r="M928" s="381">
        <f t="shared" si="148"/>
        <v>0</v>
      </c>
      <c r="N928" s="383">
        <v>15.433333333333334</v>
      </c>
      <c r="O928" s="32"/>
      <c r="P928" s="381">
        <f t="shared" si="149"/>
        <v>0</v>
      </c>
      <c r="Q928" s="383">
        <v>15.433333333333334</v>
      </c>
      <c r="R928" s="32"/>
      <c r="S928" s="25">
        <f t="shared" si="150"/>
        <v>0</v>
      </c>
      <c r="T928" s="383">
        <v>15.433333333333334</v>
      </c>
      <c r="U928" s="32"/>
      <c r="V928" s="25">
        <f t="shared" si="153"/>
        <v>0</v>
      </c>
      <c r="W928" s="32">
        <f t="shared" si="154"/>
        <v>15.433333333333334</v>
      </c>
      <c r="X928" s="32">
        <f t="shared" si="151"/>
        <v>0</v>
      </c>
      <c r="Y928" s="381">
        <f t="shared" si="152"/>
        <v>0</v>
      </c>
    </row>
    <row r="929" spans="1:25" x14ac:dyDescent="0.2">
      <c r="A929" s="24">
        <f t="shared" si="144"/>
        <v>3.9306488014067091</v>
      </c>
      <c r="B929" s="383">
        <v>15.45</v>
      </c>
      <c r="C929" s="32"/>
      <c r="D929" s="381">
        <f t="shared" si="145"/>
        <v>0</v>
      </c>
      <c r="E929" s="383">
        <v>15.45</v>
      </c>
      <c r="F929" s="8"/>
      <c r="G929" s="381">
        <f t="shared" si="146"/>
        <v>0</v>
      </c>
      <c r="H929" s="383">
        <v>15.45</v>
      </c>
      <c r="I929" s="32"/>
      <c r="J929" s="381">
        <f t="shared" si="147"/>
        <v>0</v>
      </c>
      <c r="K929" s="383">
        <v>15.45</v>
      </c>
      <c r="L929" s="31"/>
      <c r="M929" s="381">
        <f t="shared" si="148"/>
        <v>0</v>
      </c>
      <c r="N929" s="383">
        <v>15.45</v>
      </c>
      <c r="O929" s="32"/>
      <c r="P929" s="381">
        <f t="shared" si="149"/>
        <v>0</v>
      </c>
      <c r="Q929" s="383">
        <v>15.45</v>
      </c>
      <c r="R929" s="32"/>
      <c r="S929" s="25">
        <f t="shared" si="150"/>
        <v>0</v>
      </c>
      <c r="T929" s="383">
        <v>15.45</v>
      </c>
      <c r="U929" s="32"/>
      <c r="V929" s="25">
        <f t="shared" si="153"/>
        <v>0</v>
      </c>
      <c r="W929" s="32">
        <f t="shared" si="154"/>
        <v>15.45</v>
      </c>
      <c r="X929" s="32">
        <f t="shared" si="151"/>
        <v>0</v>
      </c>
      <c r="Y929" s="381">
        <f t="shared" si="152"/>
        <v>0</v>
      </c>
    </row>
    <row r="930" spans="1:25" x14ac:dyDescent="0.2">
      <c r="A930" s="24">
        <f t="shared" si="144"/>
        <v>3.9327683210007001</v>
      </c>
      <c r="B930" s="383">
        <v>15.466666666666667</v>
      </c>
      <c r="C930" s="32"/>
      <c r="D930" s="381">
        <f t="shared" si="145"/>
        <v>0</v>
      </c>
      <c r="E930" s="383">
        <v>15.466666666666667</v>
      </c>
      <c r="F930" s="8"/>
      <c r="G930" s="381">
        <f t="shared" si="146"/>
        <v>0</v>
      </c>
      <c r="H930" s="383">
        <v>15.466666666666667</v>
      </c>
      <c r="I930" s="32"/>
      <c r="J930" s="381">
        <f t="shared" si="147"/>
        <v>0</v>
      </c>
      <c r="K930" s="383">
        <v>15.466666666666667</v>
      </c>
      <c r="L930" s="31"/>
      <c r="M930" s="381">
        <f t="shared" si="148"/>
        <v>0</v>
      </c>
      <c r="N930" s="383">
        <v>15.466666666666667</v>
      </c>
      <c r="O930" s="32"/>
      <c r="P930" s="381">
        <f t="shared" si="149"/>
        <v>0</v>
      </c>
      <c r="Q930" s="383">
        <v>15.466666666666667</v>
      </c>
      <c r="R930" s="32"/>
      <c r="S930" s="25">
        <f t="shared" si="150"/>
        <v>0</v>
      </c>
      <c r="T930" s="383">
        <v>15.466666666666667</v>
      </c>
      <c r="U930" s="32"/>
      <c r="V930" s="25">
        <f t="shared" si="153"/>
        <v>0</v>
      </c>
      <c r="W930" s="32">
        <f t="shared" si="154"/>
        <v>15.466666666666667</v>
      </c>
      <c r="X930" s="32">
        <f t="shared" si="151"/>
        <v>0</v>
      </c>
      <c r="Y930" s="381">
        <f t="shared" si="152"/>
        <v>0</v>
      </c>
    </row>
    <row r="931" spans="1:25" x14ac:dyDescent="0.2">
      <c r="A931" s="24">
        <f t="shared" si="144"/>
        <v>3.934886698919466</v>
      </c>
      <c r="B931" s="383">
        <v>15.483333333333333</v>
      </c>
      <c r="C931" s="32"/>
      <c r="D931" s="381">
        <f t="shared" si="145"/>
        <v>0</v>
      </c>
      <c r="E931" s="383">
        <v>15.483333333333333</v>
      </c>
      <c r="F931" s="8"/>
      <c r="G931" s="381">
        <f t="shared" si="146"/>
        <v>0</v>
      </c>
      <c r="H931" s="383">
        <v>15.483333333333333</v>
      </c>
      <c r="I931" s="32"/>
      <c r="J931" s="381">
        <f t="shared" si="147"/>
        <v>0</v>
      </c>
      <c r="K931" s="383">
        <v>15.483333333333333</v>
      </c>
      <c r="L931" s="31"/>
      <c r="M931" s="381">
        <f t="shared" si="148"/>
        <v>0</v>
      </c>
      <c r="N931" s="383">
        <v>15.483333333333333</v>
      </c>
      <c r="O931" s="32"/>
      <c r="P931" s="381">
        <f t="shared" si="149"/>
        <v>0</v>
      </c>
      <c r="Q931" s="383">
        <v>15.483333333333333</v>
      </c>
      <c r="R931" s="32"/>
      <c r="S931" s="25">
        <f t="shared" si="150"/>
        <v>0</v>
      </c>
      <c r="T931" s="383">
        <v>15.483333333333333</v>
      </c>
      <c r="U931" s="32"/>
      <c r="V931" s="25">
        <f t="shared" si="153"/>
        <v>0</v>
      </c>
      <c r="W931" s="32">
        <f t="shared" si="154"/>
        <v>15.483333333333333</v>
      </c>
      <c r="X931" s="32">
        <f t="shared" si="151"/>
        <v>0</v>
      </c>
      <c r="Y931" s="381">
        <f t="shared" si="152"/>
        <v>0</v>
      </c>
    </row>
    <row r="932" spans="1:25" x14ac:dyDescent="0.2">
      <c r="A932" s="24">
        <f t="shared" si="144"/>
        <v>3.9370039370059056</v>
      </c>
      <c r="B932" s="383">
        <v>15.5</v>
      </c>
      <c r="C932" s="32"/>
      <c r="D932" s="381">
        <f t="shared" si="145"/>
        <v>0</v>
      </c>
      <c r="E932" s="383">
        <v>15.5</v>
      </c>
      <c r="F932" s="8"/>
      <c r="G932" s="381">
        <f t="shared" si="146"/>
        <v>0</v>
      </c>
      <c r="H932" s="383">
        <v>15.5</v>
      </c>
      <c r="I932" s="32"/>
      <c r="J932" s="381">
        <f t="shared" si="147"/>
        <v>0</v>
      </c>
      <c r="K932" s="383">
        <v>15.5</v>
      </c>
      <c r="L932" s="31"/>
      <c r="M932" s="381">
        <f t="shared" si="148"/>
        <v>0</v>
      </c>
      <c r="N932" s="383">
        <v>15.5</v>
      </c>
      <c r="O932" s="32"/>
      <c r="P932" s="381">
        <f t="shared" si="149"/>
        <v>0</v>
      </c>
      <c r="Q932" s="383">
        <v>15.5</v>
      </c>
      <c r="R932" s="32"/>
      <c r="S932" s="25">
        <f t="shared" si="150"/>
        <v>0</v>
      </c>
      <c r="T932" s="383">
        <v>15.5</v>
      </c>
      <c r="U932" s="32"/>
      <c r="V932" s="25">
        <f t="shared" si="153"/>
        <v>0</v>
      </c>
      <c r="W932" s="32">
        <f t="shared" si="154"/>
        <v>15.5</v>
      </c>
      <c r="X932" s="32">
        <f t="shared" si="151"/>
        <v>0</v>
      </c>
      <c r="Y932" s="381">
        <f t="shared" si="152"/>
        <v>0</v>
      </c>
    </row>
    <row r="933" spans="1:25" x14ac:dyDescent="0.2">
      <c r="A933" s="24">
        <f t="shared" ref="A933:A996" si="155">SQRT(B933)</f>
        <v>3.9391200370979642</v>
      </c>
      <c r="B933" s="383">
        <v>15.516666666666667</v>
      </c>
      <c r="C933" s="32"/>
      <c r="D933" s="381">
        <f t="shared" si="145"/>
        <v>0</v>
      </c>
      <c r="E933" s="383">
        <v>15.516666666666667</v>
      </c>
      <c r="F933" s="8"/>
      <c r="G933" s="381">
        <f t="shared" si="146"/>
        <v>0</v>
      </c>
      <c r="H933" s="383">
        <v>15.516666666666667</v>
      </c>
      <c r="I933" s="32"/>
      <c r="J933" s="381">
        <f t="shared" si="147"/>
        <v>0</v>
      </c>
      <c r="K933" s="383">
        <v>15.516666666666667</v>
      </c>
      <c r="L933" s="31"/>
      <c r="M933" s="381">
        <f t="shared" si="148"/>
        <v>0</v>
      </c>
      <c r="N933" s="383">
        <v>15.516666666666667</v>
      </c>
      <c r="O933" s="32"/>
      <c r="P933" s="381">
        <f t="shared" si="149"/>
        <v>0</v>
      </c>
      <c r="Q933" s="383">
        <v>15.516666666666667</v>
      </c>
      <c r="R933" s="32"/>
      <c r="S933" s="25">
        <f t="shared" si="150"/>
        <v>0</v>
      </c>
      <c r="T933" s="383">
        <v>15.516666666666667</v>
      </c>
      <c r="U933" s="32"/>
      <c r="V933" s="25">
        <f t="shared" si="153"/>
        <v>0</v>
      </c>
      <c r="W933" s="32">
        <f t="shared" si="154"/>
        <v>15.516666666666667</v>
      </c>
      <c r="X933" s="32">
        <f t="shared" si="151"/>
        <v>0</v>
      </c>
      <c r="Y933" s="381">
        <f t="shared" si="152"/>
        <v>0</v>
      </c>
    </row>
    <row r="934" spans="1:25" x14ac:dyDescent="0.2">
      <c r="A934" s="24">
        <f t="shared" si="155"/>
        <v>3.9412350010286539</v>
      </c>
      <c r="B934" s="383">
        <v>15.533333333333333</v>
      </c>
      <c r="C934" s="32"/>
      <c r="D934" s="381">
        <f t="shared" si="145"/>
        <v>0</v>
      </c>
      <c r="E934" s="383">
        <v>15.533333333333333</v>
      </c>
      <c r="F934" s="8"/>
      <c r="G934" s="381">
        <f t="shared" si="146"/>
        <v>0</v>
      </c>
      <c r="H934" s="383">
        <v>15.533333333333333</v>
      </c>
      <c r="I934" s="32"/>
      <c r="J934" s="381">
        <f t="shared" si="147"/>
        <v>0</v>
      </c>
      <c r="K934" s="383">
        <v>15.533333333333333</v>
      </c>
      <c r="L934" s="31"/>
      <c r="M934" s="381">
        <f t="shared" si="148"/>
        <v>0</v>
      </c>
      <c r="N934" s="383">
        <v>15.533333333333333</v>
      </c>
      <c r="O934" s="32"/>
      <c r="P934" s="381">
        <f t="shared" si="149"/>
        <v>0</v>
      </c>
      <c r="Q934" s="383">
        <v>15.533333333333333</v>
      </c>
      <c r="R934" s="32"/>
      <c r="S934" s="25">
        <f t="shared" si="150"/>
        <v>0</v>
      </c>
      <c r="T934" s="383">
        <v>15.533333333333333</v>
      </c>
      <c r="U934" s="32"/>
      <c r="V934" s="25">
        <f t="shared" si="153"/>
        <v>0</v>
      </c>
      <c r="W934" s="32">
        <f t="shared" si="154"/>
        <v>15.533333333333333</v>
      </c>
      <c r="X934" s="32">
        <f t="shared" si="151"/>
        <v>0</v>
      </c>
      <c r="Y934" s="381">
        <f t="shared" si="152"/>
        <v>0</v>
      </c>
    </row>
    <row r="935" spans="1:25" x14ac:dyDescent="0.2">
      <c r="A935" s="24">
        <f t="shared" si="155"/>
        <v>3.9433488306260709</v>
      </c>
      <c r="B935" s="383">
        <v>15.55</v>
      </c>
      <c r="C935" s="32"/>
      <c r="D935" s="381">
        <f t="shared" si="145"/>
        <v>0</v>
      </c>
      <c r="E935" s="383">
        <v>15.55</v>
      </c>
      <c r="F935" s="8"/>
      <c r="G935" s="381">
        <f t="shared" si="146"/>
        <v>0</v>
      </c>
      <c r="H935" s="383">
        <v>15.55</v>
      </c>
      <c r="I935" s="32"/>
      <c r="J935" s="381">
        <f t="shared" si="147"/>
        <v>0</v>
      </c>
      <c r="K935" s="383">
        <v>15.55</v>
      </c>
      <c r="L935" s="31"/>
      <c r="M935" s="381">
        <f t="shared" si="148"/>
        <v>0</v>
      </c>
      <c r="N935" s="383">
        <v>15.55</v>
      </c>
      <c r="O935" s="32"/>
      <c r="P935" s="381">
        <f t="shared" si="149"/>
        <v>0</v>
      </c>
      <c r="Q935" s="383">
        <v>15.55</v>
      </c>
      <c r="R935" s="32"/>
      <c r="S935" s="25">
        <f t="shared" si="150"/>
        <v>0</v>
      </c>
      <c r="T935" s="383">
        <v>15.55</v>
      </c>
      <c r="U935" s="32"/>
      <c r="V935" s="25">
        <f t="shared" si="153"/>
        <v>0</v>
      </c>
      <c r="W935" s="32">
        <f t="shared" si="154"/>
        <v>15.55</v>
      </c>
      <c r="X935" s="32">
        <f t="shared" si="151"/>
        <v>0</v>
      </c>
      <c r="Y935" s="381">
        <f t="shared" si="152"/>
        <v>0</v>
      </c>
    </row>
    <row r="936" spans="1:25" x14ac:dyDescent="0.2">
      <c r="A936" s="24">
        <f t="shared" si="155"/>
        <v>3.9454615277134142</v>
      </c>
      <c r="B936" s="383">
        <v>15.566666666666666</v>
      </c>
      <c r="C936" s="32"/>
      <c r="D936" s="381">
        <f t="shared" si="145"/>
        <v>0</v>
      </c>
      <c r="E936" s="383">
        <v>15.566666666666666</v>
      </c>
      <c r="F936" s="8"/>
      <c r="G936" s="381">
        <f t="shared" si="146"/>
        <v>0</v>
      </c>
      <c r="H936" s="383">
        <v>15.566666666666666</v>
      </c>
      <c r="I936" s="32"/>
      <c r="J936" s="381">
        <f t="shared" si="147"/>
        <v>0</v>
      </c>
      <c r="K936" s="383">
        <v>15.566666666666666</v>
      </c>
      <c r="L936" s="31"/>
      <c r="M936" s="381">
        <f t="shared" si="148"/>
        <v>0</v>
      </c>
      <c r="N936" s="383">
        <v>15.566666666666666</v>
      </c>
      <c r="O936" s="32"/>
      <c r="P936" s="381">
        <f t="shared" si="149"/>
        <v>0</v>
      </c>
      <c r="Q936" s="383">
        <v>15.566666666666666</v>
      </c>
      <c r="R936" s="32"/>
      <c r="S936" s="25">
        <f t="shared" si="150"/>
        <v>0</v>
      </c>
      <c r="T936" s="383">
        <v>15.566666666666666</v>
      </c>
      <c r="U936" s="32"/>
      <c r="V936" s="25">
        <f t="shared" si="153"/>
        <v>0</v>
      </c>
      <c r="W936" s="32">
        <f t="shared" si="154"/>
        <v>15.566666666666666</v>
      </c>
      <c r="X936" s="32">
        <f t="shared" si="151"/>
        <v>0</v>
      </c>
      <c r="Y936" s="381">
        <f t="shared" si="152"/>
        <v>0</v>
      </c>
    </row>
    <row r="937" spans="1:25" x14ac:dyDescent="0.2">
      <c r="A937" s="24">
        <f t="shared" si="155"/>
        <v>3.9475730941090039</v>
      </c>
      <c r="B937" s="383">
        <v>15.583333333333334</v>
      </c>
      <c r="C937" s="32"/>
      <c r="D937" s="381">
        <f t="shared" si="145"/>
        <v>0</v>
      </c>
      <c r="E937" s="383">
        <v>15.583333333333334</v>
      </c>
      <c r="F937" s="8"/>
      <c r="G937" s="381">
        <f t="shared" si="146"/>
        <v>0</v>
      </c>
      <c r="H937" s="383">
        <v>15.583333333333334</v>
      </c>
      <c r="I937" s="32"/>
      <c r="J937" s="381">
        <f t="shared" si="147"/>
        <v>0</v>
      </c>
      <c r="K937" s="383">
        <v>15.583333333333334</v>
      </c>
      <c r="L937" s="31"/>
      <c r="M937" s="381">
        <f t="shared" si="148"/>
        <v>0</v>
      </c>
      <c r="N937" s="383">
        <v>15.583333333333334</v>
      </c>
      <c r="O937" s="32"/>
      <c r="P937" s="381">
        <f t="shared" si="149"/>
        <v>0</v>
      </c>
      <c r="Q937" s="383">
        <v>15.583333333333334</v>
      </c>
      <c r="R937" s="32"/>
      <c r="S937" s="25">
        <f t="shared" si="150"/>
        <v>0</v>
      </c>
      <c r="T937" s="383">
        <v>15.583333333333334</v>
      </c>
      <c r="U937" s="32"/>
      <c r="V937" s="25">
        <f t="shared" si="153"/>
        <v>0</v>
      </c>
      <c r="W937" s="32">
        <f t="shared" si="154"/>
        <v>15.583333333333334</v>
      </c>
      <c r="X937" s="32">
        <f t="shared" si="151"/>
        <v>0</v>
      </c>
      <c r="Y937" s="381">
        <f t="shared" si="152"/>
        <v>0</v>
      </c>
    </row>
    <row r="938" spans="1:25" x14ac:dyDescent="0.2">
      <c r="A938" s="24">
        <f t="shared" si="155"/>
        <v>3.9496835316262997</v>
      </c>
      <c r="B938" s="383">
        <v>15.6</v>
      </c>
      <c r="C938" s="32"/>
      <c r="D938" s="381">
        <f t="shared" si="145"/>
        <v>0</v>
      </c>
      <c r="E938" s="383">
        <v>15.6</v>
      </c>
      <c r="F938" s="8"/>
      <c r="G938" s="381">
        <f t="shared" si="146"/>
        <v>0</v>
      </c>
      <c r="H938" s="383">
        <v>15.6</v>
      </c>
      <c r="I938" s="32"/>
      <c r="J938" s="381">
        <f t="shared" si="147"/>
        <v>0</v>
      </c>
      <c r="K938" s="383">
        <v>15.6</v>
      </c>
      <c r="L938" s="31"/>
      <c r="M938" s="381">
        <f t="shared" si="148"/>
        <v>0</v>
      </c>
      <c r="N938" s="383">
        <v>15.6</v>
      </c>
      <c r="O938" s="32"/>
      <c r="P938" s="381">
        <f t="shared" si="149"/>
        <v>0</v>
      </c>
      <c r="Q938" s="383">
        <v>15.6</v>
      </c>
      <c r="R938" s="32"/>
      <c r="S938" s="25">
        <f t="shared" si="150"/>
        <v>0</v>
      </c>
      <c r="T938" s="383">
        <v>15.6</v>
      </c>
      <c r="U938" s="32"/>
      <c r="V938" s="25">
        <f t="shared" si="153"/>
        <v>0</v>
      </c>
      <c r="W938" s="32">
        <f t="shared" si="154"/>
        <v>15.6</v>
      </c>
      <c r="X938" s="32">
        <f t="shared" si="151"/>
        <v>0</v>
      </c>
      <c r="Y938" s="381">
        <f t="shared" si="152"/>
        <v>0</v>
      </c>
    </row>
    <row r="939" spans="1:25" x14ac:dyDescent="0.2">
      <c r="A939" s="24">
        <f t="shared" si="155"/>
        <v>3.9517928420739197</v>
      </c>
      <c r="B939" s="383">
        <v>15.616666666666667</v>
      </c>
      <c r="C939" s="32"/>
      <c r="D939" s="381">
        <f t="shared" si="145"/>
        <v>0</v>
      </c>
      <c r="E939" s="383">
        <v>15.616666666666667</v>
      </c>
      <c r="F939" s="8"/>
      <c r="G939" s="381">
        <f t="shared" si="146"/>
        <v>0</v>
      </c>
      <c r="H939" s="383">
        <v>15.616666666666667</v>
      </c>
      <c r="I939" s="32"/>
      <c r="J939" s="381">
        <f t="shared" si="147"/>
        <v>0</v>
      </c>
      <c r="K939" s="383">
        <v>15.616666666666667</v>
      </c>
      <c r="L939" s="31"/>
      <c r="M939" s="381">
        <f t="shared" si="148"/>
        <v>0</v>
      </c>
      <c r="N939" s="383">
        <v>15.616666666666667</v>
      </c>
      <c r="O939" s="32"/>
      <c r="P939" s="381">
        <f t="shared" si="149"/>
        <v>0</v>
      </c>
      <c r="Q939" s="383">
        <v>15.616666666666667</v>
      </c>
      <c r="R939" s="32"/>
      <c r="S939" s="25">
        <f t="shared" si="150"/>
        <v>0</v>
      </c>
      <c r="T939" s="383">
        <v>15.616666666666667</v>
      </c>
      <c r="U939" s="32"/>
      <c r="V939" s="25">
        <f t="shared" si="153"/>
        <v>0</v>
      </c>
      <c r="W939" s="32">
        <f t="shared" si="154"/>
        <v>15.616666666666667</v>
      </c>
      <c r="X939" s="32">
        <f t="shared" si="151"/>
        <v>0</v>
      </c>
      <c r="Y939" s="381">
        <f t="shared" si="152"/>
        <v>0</v>
      </c>
    </row>
    <row r="940" spans="1:25" x14ac:dyDescent="0.2">
      <c r="A940" s="24">
        <f t="shared" si="155"/>
        <v>3.9539010272556561</v>
      </c>
      <c r="B940" s="383">
        <v>15.633333333333333</v>
      </c>
      <c r="C940" s="32"/>
      <c r="D940" s="381">
        <f t="shared" si="145"/>
        <v>0</v>
      </c>
      <c r="E940" s="383">
        <v>15.633333333333333</v>
      </c>
      <c r="F940" s="8"/>
      <c r="G940" s="381">
        <f t="shared" si="146"/>
        <v>0</v>
      </c>
      <c r="H940" s="383">
        <v>15.633333333333333</v>
      </c>
      <c r="I940" s="32"/>
      <c r="J940" s="381">
        <f t="shared" si="147"/>
        <v>0</v>
      </c>
      <c r="K940" s="383">
        <v>15.633333333333333</v>
      </c>
      <c r="L940" s="31"/>
      <c r="M940" s="381">
        <f t="shared" si="148"/>
        <v>0</v>
      </c>
      <c r="N940" s="383">
        <v>15.633333333333333</v>
      </c>
      <c r="O940" s="32"/>
      <c r="P940" s="381">
        <f t="shared" si="149"/>
        <v>0</v>
      </c>
      <c r="Q940" s="383">
        <v>15.633333333333333</v>
      </c>
      <c r="R940" s="32"/>
      <c r="S940" s="25">
        <f t="shared" si="150"/>
        <v>0</v>
      </c>
      <c r="T940" s="383">
        <v>15.633333333333333</v>
      </c>
      <c r="U940" s="32"/>
      <c r="V940" s="25">
        <f t="shared" si="153"/>
        <v>0</v>
      </c>
      <c r="W940" s="32">
        <f t="shared" si="154"/>
        <v>15.633333333333333</v>
      </c>
      <c r="X940" s="32">
        <f t="shared" si="151"/>
        <v>0</v>
      </c>
      <c r="Y940" s="381">
        <f t="shared" si="152"/>
        <v>0</v>
      </c>
    </row>
    <row r="941" spans="1:25" x14ac:dyDescent="0.2">
      <c r="A941" s="24">
        <f t="shared" si="155"/>
        <v>3.9560080889704965</v>
      </c>
      <c r="B941" s="383">
        <v>15.65</v>
      </c>
      <c r="C941" s="32"/>
      <c r="D941" s="381">
        <f t="shared" si="145"/>
        <v>0</v>
      </c>
      <c r="E941" s="383">
        <v>15.65</v>
      </c>
      <c r="F941" s="8"/>
      <c r="G941" s="381">
        <f t="shared" si="146"/>
        <v>0</v>
      </c>
      <c r="H941" s="383">
        <v>15.65</v>
      </c>
      <c r="I941" s="32"/>
      <c r="J941" s="381">
        <f t="shared" si="147"/>
        <v>0</v>
      </c>
      <c r="K941" s="383">
        <v>15.65</v>
      </c>
      <c r="L941" s="31"/>
      <c r="M941" s="381">
        <f t="shared" si="148"/>
        <v>0</v>
      </c>
      <c r="N941" s="383">
        <v>15.65</v>
      </c>
      <c r="O941" s="32"/>
      <c r="P941" s="381">
        <f t="shared" si="149"/>
        <v>0</v>
      </c>
      <c r="Q941" s="383">
        <v>15.65</v>
      </c>
      <c r="R941" s="32"/>
      <c r="S941" s="25">
        <f t="shared" si="150"/>
        <v>0</v>
      </c>
      <c r="T941" s="383">
        <v>15.65</v>
      </c>
      <c r="U941" s="32"/>
      <c r="V941" s="25">
        <f t="shared" si="153"/>
        <v>0</v>
      </c>
      <c r="W941" s="32">
        <f t="shared" si="154"/>
        <v>15.65</v>
      </c>
      <c r="X941" s="32">
        <f t="shared" si="151"/>
        <v>0</v>
      </c>
      <c r="Y941" s="381">
        <f t="shared" si="152"/>
        <v>0</v>
      </c>
    </row>
    <row r="942" spans="1:25" x14ac:dyDescent="0.2">
      <c r="A942" s="24">
        <f t="shared" si="155"/>
        <v>3.9581140290126391</v>
      </c>
      <c r="B942" s="383">
        <v>15.666666666666666</v>
      </c>
      <c r="C942" s="32"/>
      <c r="D942" s="381">
        <f t="shared" si="145"/>
        <v>0</v>
      </c>
      <c r="E942" s="383">
        <v>15.666666666666666</v>
      </c>
      <c r="F942" s="8"/>
      <c r="G942" s="381">
        <f t="shared" si="146"/>
        <v>0</v>
      </c>
      <c r="H942" s="383">
        <v>15.666666666666666</v>
      </c>
      <c r="I942" s="32"/>
      <c r="J942" s="381">
        <f t="shared" si="147"/>
        <v>0</v>
      </c>
      <c r="K942" s="383">
        <v>15.666666666666666</v>
      </c>
      <c r="L942" s="31"/>
      <c r="M942" s="381">
        <f t="shared" si="148"/>
        <v>0</v>
      </c>
      <c r="N942" s="383">
        <v>15.666666666666666</v>
      </c>
      <c r="O942" s="32"/>
      <c r="P942" s="381">
        <f t="shared" si="149"/>
        <v>0</v>
      </c>
      <c r="Q942" s="383">
        <v>15.666666666666666</v>
      </c>
      <c r="R942" s="32"/>
      <c r="S942" s="25">
        <f t="shared" si="150"/>
        <v>0</v>
      </c>
      <c r="T942" s="383">
        <v>15.666666666666666</v>
      </c>
      <c r="U942" s="32"/>
      <c r="V942" s="25">
        <f t="shared" si="153"/>
        <v>0</v>
      </c>
      <c r="W942" s="32">
        <f t="shared" si="154"/>
        <v>15.666666666666666</v>
      </c>
      <c r="X942" s="32">
        <f t="shared" si="151"/>
        <v>0</v>
      </c>
      <c r="Y942" s="381">
        <f t="shared" si="152"/>
        <v>0</v>
      </c>
    </row>
    <row r="943" spans="1:25" x14ac:dyDescent="0.2">
      <c r="A943" s="24">
        <f t="shared" si="155"/>
        <v>3.960218849171512</v>
      </c>
      <c r="B943" s="383">
        <v>15.683333333333334</v>
      </c>
      <c r="C943" s="32"/>
      <c r="D943" s="381">
        <f t="shared" si="145"/>
        <v>0</v>
      </c>
      <c r="E943" s="383">
        <v>15.683333333333334</v>
      </c>
      <c r="F943" s="8"/>
      <c r="G943" s="381">
        <f t="shared" si="146"/>
        <v>0</v>
      </c>
      <c r="H943" s="383">
        <v>15.683333333333334</v>
      </c>
      <c r="I943" s="32"/>
      <c r="J943" s="381">
        <f t="shared" si="147"/>
        <v>0</v>
      </c>
      <c r="K943" s="383">
        <v>15.683333333333334</v>
      </c>
      <c r="L943" s="31"/>
      <c r="M943" s="381">
        <f t="shared" si="148"/>
        <v>0</v>
      </c>
      <c r="N943" s="383">
        <v>15.683333333333334</v>
      </c>
      <c r="O943" s="32"/>
      <c r="P943" s="381">
        <f t="shared" si="149"/>
        <v>0</v>
      </c>
      <c r="Q943" s="383">
        <v>15.683333333333334</v>
      </c>
      <c r="R943" s="32"/>
      <c r="S943" s="25">
        <f t="shared" si="150"/>
        <v>0</v>
      </c>
      <c r="T943" s="383">
        <v>15.683333333333334</v>
      </c>
      <c r="U943" s="32"/>
      <c r="V943" s="25">
        <f t="shared" si="153"/>
        <v>0</v>
      </c>
      <c r="W943" s="32">
        <f t="shared" si="154"/>
        <v>15.683333333333334</v>
      </c>
      <c r="X943" s="32">
        <f t="shared" si="151"/>
        <v>0</v>
      </c>
      <c r="Y943" s="381">
        <f t="shared" si="152"/>
        <v>0</v>
      </c>
    </row>
    <row r="944" spans="1:25" x14ac:dyDescent="0.2">
      <c r="A944" s="24">
        <f t="shared" si="155"/>
        <v>3.9623225512317899</v>
      </c>
      <c r="B944" s="383">
        <v>15.7</v>
      </c>
      <c r="C944" s="32"/>
      <c r="D944" s="381">
        <f t="shared" si="145"/>
        <v>0</v>
      </c>
      <c r="E944" s="383">
        <v>15.7</v>
      </c>
      <c r="F944" s="8"/>
      <c r="G944" s="381">
        <f t="shared" si="146"/>
        <v>0</v>
      </c>
      <c r="H944" s="383">
        <v>15.7</v>
      </c>
      <c r="I944" s="32"/>
      <c r="J944" s="381">
        <f t="shared" si="147"/>
        <v>0</v>
      </c>
      <c r="K944" s="383">
        <v>15.7</v>
      </c>
      <c r="L944" s="31"/>
      <c r="M944" s="381">
        <f t="shared" si="148"/>
        <v>0</v>
      </c>
      <c r="N944" s="383">
        <v>15.7</v>
      </c>
      <c r="O944" s="32"/>
      <c r="P944" s="381">
        <f t="shared" si="149"/>
        <v>0</v>
      </c>
      <c r="Q944" s="383">
        <v>15.7</v>
      </c>
      <c r="R944" s="32"/>
      <c r="S944" s="25">
        <f t="shared" si="150"/>
        <v>0</v>
      </c>
      <c r="T944" s="383">
        <v>15.7</v>
      </c>
      <c r="U944" s="32"/>
      <c r="V944" s="25">
        <f t="shared" si="153"/>
        <v>0</v>
      </c>
      <c r="W944" s="32">
        <f t="shared" si="154"/>
        <v>15.7</v>
      </c>
      <c r="X944" s="32">
        <f t="shared" si="151"/>
        <v>0</v>
      </c>
      <c r="Y944" s="381">
        <f t="shared" si="152"/>
        <v>0</v>
      </c>
    </row>
    <row r="945" spans="1:25" x14ac:dyDescent="0.2">
      <c r="A945" s="24">
        <f t="shared" si="155"/>
        <v>3.9644251369734134</v>
      </c>
      <c r="B945" s="383">
        <v>15.716666666666667</v>
      </c>
      <c r="C945" s="32"/>
      <c r="D945" s="381">
        <f t="shared" si="145"/>
        <v>0</v>
      </c>
      <c r="E945" s="383">
        <v>15.716666666666667</v>
      </c>
      <c r="F945" s="8"/>
      <c r="G945" s="381">
        <f t="shared" si="146"/>
        <v>0</v>
      </c>
      <c r="H945" s="383">
        <v>15.716666666666667</v>
      </c>
      <c r="I945" s="32"/>
      <c r="J945" s="381">
        <f t="shared" si="147"/>
        <v>0</v>
      </c>
      <c r="K945" s="383">
        <v>15.716666666666667</v>
      </c>
      <c r="L945" s="31"/>
      <c r="M945" s="381">
        <f t="shared" si="148"/>
        <v>0</v>
      </c>
      <c r="N945" s="383">
        <v>15.716666666666667</v>
      </c>
      <c r="O945" s="32"/>
      <c r="P945" s="381">
        <f t="shared" si="149"/>
        <v>0</v>
      </c>
      <c r="Q945" s="383">
        <v>15.716666666666667</v>
      </c>
      <c r="R945" s="32"/>
      <c r="S945" s="25">
        <f t="shared" si="150"/>
        <v>0</v>
      </c>
      <c r="T945" s="383">
        <v>15.716666666666667</v>
      </c>
      <c r="U945" s="32"/>
      <c r="V945" s="25">
        <f t="shared" si="153"/>
        <v>0</v>
      </c>
      <c r="W945" s="32">
        <f t="shared" si="154"/>
        <v>15.716666666666667</v>
      </c>
      <c r="X945" s="32">
        <f t="shared" si="151"/>
        <v>0</v>
      </c>
      <c r="Y945" s="381">
        <f t="shared" si="152"/>
        <v>0</v>
      </c>
    </row>
    <row r="946" spans="1:25" x14ac:dyDescent="0.2">
      <c r="A946" s="24">
        <f t="shared" si="155"/>
        <v>3.9665266081716042</v>
      </c>
      <c r="B946" s="383">
        <v>15.733333333333333</v>
      </c>
      <c r="C946" s="32"/>
      <c r="D946" s="381">
        <f t="shared" si="145"/>
        <v>0</v>
      </c>
      <c r="E946" s="383">
        <v>15.733333333333333</v>
      </c>
      <c r="F946" s="8"/>
      <c r="G946" s="381">
        <f t="shared" si="146"/>
        <v>0</v>
      </c>
      <c r="H946" s="383">
        <v>15.733333333333333</v>
      </c>
      <c r="I946" s="32"/>
      <c r="J946" s="381">
        <f t="shared" si="147"/>
        <v>0</v>
      </c>
      <c r="K946" s="383">
        <v>15.733333333333333</v>
      </c>
      <c r="L946" s="31"/>
      <c r="M946" s="381">
        <f t="shared" si="148"/>
        <v>0</v>
      </c>
      <c r="N946" s="383">
        <v>15.733333333333333</v>
      </c>
      <c r="O946" s="32"/>
      <c r="P946" s="381">
        <f t="shared" si="149"/>
        <v>0</v>
      </c>
      <c r="Q946" s="383">
        <v>15.733333333333333</v>
      </c>
      <c r="R946" s="32"/>
      <c r="S946" s="25">
        <f t="shared" si="150"/>
        <v>0</v>
      </c>
      <c r="T946" s="383">
        <v>15.733333333333333</v>
      </c>
      <c r="U946" s="32"/>
      <c r="V946" s="25">
        <f t="shared" si="153"/>
        <v>0</v>
      </c>
      <c r="W946" s="32">
        <f t="shared" si="154"/>
        <v>15.733333333333333</v>
      </c>
      <c r="X946" s="32">
        <f t="shared" si="151"/>
        <v>0</v>
      </c>
      <c r="Y946" s="381">
        <f t="shared" si="152"/>
        <v>0</v>
      </c>
    </row>
    <row r="947" spans="1:25" x14ac:dyDescent="0.2">
      <c r="A947" s="24">
        <f t="shared" si="155"/>
        <v>3.9686269665968861</v>
      </c>
      <c r="B947" s="383">
        <v>15.75</v>
      </c>
      <c r="C947" s="32"/>
      <c r="D947" s="381">
        <f t="shared" si="145"/>
        <v>0</v>
      </c>
      <c r="E947" s="383">
        <v>15.75</v>
      </c>
      <c r="F947" s="8"/>
      <c r="G947" s="381">
        <f t="shared" si="146"/>
        <v>0</v>
      </c>
      <c r="H947" s="383">
        <v>15.75</v>
      </c>
      <c r="I947" s="32"/>
      <c r="J947" s="381">
        <f t="shared" si="147"/>
        <v>0</v>
      </c>
      <c r="K947" s="383">
        <v>15.75</v>
      </c>
      <c r="L947" s="31"/>
      <c r="M947" s="381">
        <f t="shared" si="148"/>
        <v>0</v>
      </c>
      <c r="N947" s="383">
        <v>15.75</v>
      </c>
      <c r="O947" s="32"/>
      <c r="P947" s="381">
        <f t="shared" si="149"/>
        <v>0</v>
      </c>
      <c r="Q947" s="383">
        <v>15.75</v>
      </c>
      <c r="R947" s="32"/>
      <c r="S947" s="25">
        <f t="shared" si="150"/>
        <v>0</v>
      </c>
      <c r="T947" s="383">
        <v>15.75</v>
      </c>
      <c r="U947" s="32"/>
      <c r="V947" s="25">
        <f t="shared" si="153"/>
        <v>0</v>
      </c>
      <c r="W947" s="32">
        <f t="shared" si="154"/>
        <v>15.75</v>
      </c>
      <c r="X947" s="32">
        <f t="shared" si="151"/>
        <v>0</v>
      </c>
      <c r="Y947" s="381">
        <f t="shared" si="152"/>
        <v>0</v>
      </c>
    </row>
    <row r="948" spans="1:25" x14ac:dyDescent="0.2">
      <c r="A948" s="24">
        <f t="shared" si="155"/>
        <v>3.9707262140150972</v>
      </c>
      <c r="B948" s="383">
        <v>15.766666666666667</v>
      </c>
      <c r="C948" s="32"/>
      <c r="D948" s="381">
        <f t="shared" si="145"/>
        <v>0</v>
      </c>
      <c r="E948" s="383">
        <v>15.766666666666667</v>
      </c>
      <c r="F948" s="8"/>
      <c r="G948" s="381">
        <f t="shared" si="146"/>
        <v>0</v>
      </c>
      <c r="H948" s="383">
        <v>15.766666666666667</v>
      </c>
      <c r="I948" s="32"/>
      <c r="J948" s="381">
        <f t="shared" si="147"/>
        <v>0</v>
      </c>
      <c r="K948" s="383">
        <v>15.766666666666667</v>
      </c>
      <c r="L948" s="31"/>
      <c r="M948" s="381">
        <f t="shared" si="148"/>
        <v>0</v>
      </c>
      <c r="N948" s="383">
        <v>15.766666666666667</v>
      </c>
      <c r="O948" s="32"/>
      <c r="P948" s="381">
        <f t="shared" si="149"/>
        <v>0</v>
      </c>
      <c r="Q948" s="383">
        <v>15.766666666666667</v>
      </c>
      <c r="R948" s="32"/>
      <c r="S948" s="25">
        <f t="shared" si="150"/>
        <v>0</v>
      </c>
      <c r="T948" s="383">
        <v>15.766666666666667</v>
      </c>
      <c r="U948" s="32"/>
      <c r="V948" s="25">
        <f t="shared" si="153"/>
        <v>0</v>
      </c>
      <c r="W948" s="32">
        <f t="shared" si="154"/>
        <v>15.766666666666667</v>
      </c>
      <c r="X948" s="32">
        <f t="shared" si="151"/>
        <v>0</v>
      </c>
      <c r="Y948" s="381">
        <f t="shared" si="152"/>
        <v>0</v>
      </c>
    </row>
    <row r="949" spans="1:25" x14ac:dyDescent="0.2">
      <c r="A949" s="24">
        <f t="shared" si="155"/>
        <v>3.9728243521874123</v>
      </c>
      <c r="B949" s="383">
        <v>15.783333333333333</v>
      </c>
      <c r="C949" s="32"/>
      <c r="D949" s="381">
        <f t="shared" si="145"/>
        <v>0</v>
      </c>
      <c r="E949" s="383">
        <v>15.783333333333333</v>
      </c>
      <c r="F949" s="8"/>
      <c r="G949" s="381">
        <f t="shared" si="146"/>
        <v>0</v>
      </c>
      <c r="H949" s="383">
        <v>15.783333333333333</v>
      </c>
      <c r="I949" s="32"/>
      <c r="J949" s="381">
        <f t="shared" si="147"/>
        <v>0</v>
      </c>
      <c r="K949" s="383">
        <v>15.783333333333333</v>
      </c>
      <c r="L949" s="31"/>
      <c r="M949" s="381">
        <f t="shared" si="148"/>
        <v>0</v>
      </c>
      <c r="N949" s="383">
        <v>15.783333333333333</v>
      </c>
      <c r="O949" s="32"/>
      <c r="P949" s="381">
        <f t="shared" si="149"/>
        <v>0</v>
      </c>
      <c r="Q949" s="383">
        <v>15.783333333333333</v>
      </c>
      <c r="R949" s="32"/>
      <c r="S949" s="25">
        <f t="shared" si="150"/>
        <v>0</v>
      </c>
      <c r="T949" s="383">
        <v>15.783333333333333</v>
      </c>
      <c r="U949" s="32"/>
      <c r="V949" s="25">
        <f t="shared" si="153"/>
        <v>0</v>
      </c>
      <c r="W949" s="32">
        <f t="shared" si="154"/>
        <v>15.783333333333333</v>
      </c>
      <c r="X949" s="32">
        <f t="shared" si="151"/>
        <v>0</v>
      </c>
      <c r="Y949" s="381">
        <f t="shared" si="152"/>
        <v>0</v>
      </c>
    </row>
    <row r="950" spans="1:25" x14ac:dyDescent="0.2">
      <c r="A950" s="24">
        <f t="shared" si="155"/>
        <v>3.9749213828703582</v>
      </c>
      <c r="B950" s="383">
        <v>15.8</v>
      </c>
      <c r="C950" s="32"/>
      <c r="D950" s="381">
        <f t="shared" si="145"/>
        <v>0</v>
      </c>
      <c r="E950" s="383">
        <v>15.8</v>
      </c>
      <c r="F950" s="8"/>
      <c r="G950" s="381">
        <f t="shared" si="146"/>
        <v>0</v>
      </c>
      <c r="H950" s="383">
        <v>15.8</v>
      </c>
      <c r="I950" s="32"/>
      <c r="J950" s="381">
        <f t="shared" si="147"/>
        <v>0</v>
      </c>
      <c r="K950" s="383">
        <v>15.8</v>
      </c>
      <c r="L950" s="31"/>
      <c r="M950" s="381">
        <f t="shared" si="148"/>
        <v>0</v>
      </c>
      <c r="N950" s="383">
        <v>15.8</v>
      </c>
      <c r="O950" s="32"/>
      <c r="P950" s="381">
        <f t="shared" si="149"/>
        <v>0</v>
      </c>
      <c r="Q950" s="383">
        <v>15.8</v>
      </c>
      <c r="R950" s="32"/>
      <c r="S950" s="25">
        <f t="shared" si="150"/>
        <v>0</v>
      </c>
      <c r="T950" s="383">
        <v>15.8</v>
      </c>
      <c r="U950" s="32"/>
      <c r="V950" s="25">
        <f t="shared" si="153"/>
        <v>0</v>
      </c>
      <c r="W950" s="32">
        <f t="shared" si="154"/>
        <v>15.8</v>
      </c>
      <c r="X950" s="32">
        <f t="shared" si="151"/>
        <v>0</v>
      </c>
      <c r="Y950" s="381">
        <f t="shared" si="152"/>
        <v>0</v>
      </c>
    </row>
    <row r="951" spans="1:25" x14ac:dyDescent="0.2">
      <c r="A951" s="24">
        <f t="shared" si="155"/>
        <v>3.9770173078158293</v>
      </c>
      <c r="B951" s="383">
        <v>15.816666666666666</v>
      </c>
      <c r="C951" s="32"/>
      <c r="D951" s="381">
        <f t="shared" si="145"/>
        <v>0</v>
      </c>
      <c r="E951" s="383">
        <v>15.816666666666666</v>
      </c>
      <c r="F951" s="8"/>
      <c r="G951" s="381">
        <f t="shared" si="146"/>
        <v>0</v>
      </c>
      <c r="H951" s="383">
        <v>15.816666666666666</v>
      </c>
      <c r="I951" s="32"/>
      <c r="J951" s="381">
        <f t="shared" si="147"/>
        <v>0</v>
      </c>
      <c r="K951" s="383">
        <v>15.816666666666666</v>
      </c>
      <c r="L951" s="31"/>
      <c r="M951" s="381">
        <f t="shared" si="148"/>
        <v>0</v>
      </c>
      <c r="N951" s="383">
        <v>15.816666666666666</v>
      </c>
      <c r="O951" s="32"/>
      <c r="P951" s="381">
        <f t="shared" si="149"/>
        <v>0</v>
      </c>
      <c r="Q951" s="383">
        <v>15.816666666666666</v>
      </c>
      <c r="R951" s="32"/>
      <c r="S951" s="25">
        <f t="shared" si="150"/>
        <v>0</v>
      </c>
      <c r="T951" s="383">
        <v>15.816666666666666</v>
      </c>
      <c r="U951" s="32"/>
      <c r="V951" s="25">
        <f t="shared" si="153"/>
        <v>0</v>
      </c>
      <c r="W951" s="32">
        <f t="shared" si="154"/>
        <v>15.816666666666666</v>
      </c>
      <c r="X951" s="32">
        <f t="shared" si="151"/>
        <v>0</v>
      </c>
      <c r="Y951" s="381">
        <f t="shared" si="152"/>
        <v>0</v>
      </c>
    </row>
    <row r="952" spans="1:25" x14ac:dyDescent="0.2">
      <c r="A952" s="24">
        <f t="shared" si="155"/>
        <v>3.9791121287711073</v>
      </c>
      <c r="B952" s="383">
        <v>15.833333333333334</v>
      </c>
      <c r="C952" s="32"/>
      <c r="D952" s="381">
        <f t="shared" si="145"/>
        <v>0</v>
      </c>
      <c r="E952" s="383">
        <v>15.833333333333334</v>
      </c>
      <c r="F952" s="8"/>
      <c r="G952" s="381">
        <f t="shared" si="146"/>
        <v>0</v>
      </c>
      <c r="H952" s="383">
        <v>15.833333333333334</v>
      </c>
      <c r="I952" s="32"/>
      <c r="J952" s="381">
        <f t="shared" si="147"/>
        <v>0</v>
      </c>
      <c r="K952" s="383">
        <v>15.833333333333334</v>
      </c>
      <c r="L952" s="31"/>
      <c r="M952" s="381">
        <f t="shared" si="148"/>
        <v>0</v>
      </c>
      <c r="N952" s="383">
        <v>15.833333333333334</v>
      </c>
      <c r="O952" s="32"/>
      <c r="P952" s="381">
        <f t="shared" si="149"/>
        <v>0</v>
      </c>
      <c r="Q952" s="383">
        <v>15.833333333333334</v>
      </c>
      <c r="R952" s="32"/>
      <c r="S952" s="25">
        <f t="shared" si="150"/>
        <v>0</v>
      </c>
      <c r="T952" s="383">
        <v>15.833333333333334</v>
      </c>
      <c r="U952" s="32"/>
      <c r="V952" s="25">
        <f t="shared" si="153"/>
        <v>0</v>
      </c>
      <c r="W952" s="32">
        <f t="shared" si="154"/>
        <v>15.833333333333334</v>
      </c>
      <c r="X952" s="32">
        <f t="shared" si="151"/>
        <v>0</v>
      </c>
      <c r="Y952" s="381">
        <f t="shared" si="152"/>
        <v>0</v>
      </c>
    </row>
    <row r="953" spans="1:25" x14ac:dyDescent="0.2">
      <c r="A953" s="24">
        <f t="shared" si="155"/>
        <v>3.9812058474788765</v>
      </c>
      <c r="B953" s="383">
        <v>15.85</v>
      </c>
      <c r="C953" s="32"/>
      <c r="D953" s="381">
        <f t="shared" si="145"/>
        <v>0</v>
      </c>
      <c r="E953" s="383">
        <v>15.85</v>
      </c>
      <c r="F953" s="8"/>
      <c r="G953" s="381">
        <f t="shared" si="146"/>
        <v>0</v>
      </c>
      <c r="H953" s="383">
        <v>15.85</v>
      </c>
      <c r="I953" s="32"/>
      <c r="J953" s="381">
        <f t="shared" si="147"/>
        <v>0</v>
      </c>
      <c r="K953" s="383">
        <v>15.85</v>
      </c>
      <c r="L953" s="31"/>
      <c r="M953" s="381">
        <f t="shared" si="148"/>
        <v>0</v>
      </c>
      <c r="N953" s="383">
        <v>15.85</v>
      </c>
      <c r="O953" s="32"/>
      <c r="P953" s="381">
        <f t="shared" si="149"/>
        <v>0</v>
      </c>
      <c r="Q953" s="383">
        <v>15.85</v>
      </c>
      <c r="R953" s="32"/>
      <c r="S953" s="25">
        <f t="shared" si="150"/>
        <v>0</v>
      </c>
      <c r="T953" s="383">
        <v>15.85</v>
      </c>
      <c r="U953" s="32"/>
      <c r="V953" s="25">
        <f t="shared" si="153"/>
        <v>0</v>
      </c>
      <c r="W953" s="32">
        <f t="shared" si="154"/>
        <v>15.85</v>
      </c>
      <c r="X953" s="32">
        <f t="shared" si="151"/>
        <v>0</v>
      </c>
      <c r="Y953" s="381">
        <f t="shared" si="152"/>
        <v>0</v>
      </c>
    </row>
    <row r="954" spans="1:25" x14ac:dyDescent="0.2">
      <c r="A954" s="24">
        <f t="shared" si="155"/>
        <v>3.9832984656772417</v>
      </c>
      <c r="B954" s="383">
        <v>15.866666666666667</v>
      </c>
      <c r="C954" s="32"/>
      <c r="D954" s="381">
        <f t="shared" si="145"/>
        <v>0</v>
      </c>
      <c r="E954" s="383">
        <v>15.866666666666667</v>
      </c>
      <c r="F954" s="8"/>
      <c r="G954" s="381">
        <f t="shared" si="146"/>
        <v>0</v>
      </c>
      <c r="H954" s="383">
        <v>15.866666666666667</v>
      </c>
      <c r="I954" s="32"/>
      <c r="J954" s="381">
        <f t="shared" si="147"/>
        <v>0</v>
      </c>
      <c r="K954" s="383">
        <v>15.866666666666667</v>
      </c>
      <c r="L954" s="31"/>
      <c r="M954" s="381">
        <f t="shared" si="148"/>
        <v>0</v>
      </c>
      <c r="N954" s="383">
        <v>15.866666666666667</v>
      </c>
      <c r="O954" s="32"/>
      <c r="P954" s="381">
        <f t="shared" si="149"/>
        <v>0</v>
      </c>
      <c r="Q954" s="383">
        <v>15.866666666666667</v>
      </c>
      <c r="R954" s="32"/>
      <c r="S954" s="25">
        <f t="shared" si="150"/>
        <v>0</v>
      </c>
      <c r="T954" s="383">
        <v>15.866666666666667</v>
      </c>
      <c r="U954" s="32"/>
      <c r="V954" s="25">
        <f t="shared" si="153"/>
        <v>0</v>
      </c>
      <c r="W954" s="32">
        <f t="shared" si="154"/>
        <v>15.866666666666667</v>
      </c>
      <c r="X954" s="32">
        <f t="shared" si="151"/>
        <v>0</v>
      </c>
      <c r="Y954" s="381">
        <f t="shared" si="152"/>
        <v>0</v>
      </c>
    </row>
    <row r="955" spans="1:25" x14ac:dyDescent="0.2">
      <c r="A955" s="24">
        <f t="shared" si="155"/>
        <v>3.9853899850997432</v>
      </c>
      <c r="B955" s="383">
        <v>15.883333333333333</v>
      </c>
      <c r="C955" s="32"/>
      <c r="D955" s="381">
        <f t="shared" si="145"/>
        <v>0</v>
      </c>
      <c r="E955" s="383">
        <v>15.883333333333333</v>
      </c>
      <c r="F955" s="8"/>
      <c r="G955" s="381">
        <f t="shared" si="146"/>
        <v>0</v>
      </c>
      <c r="H955" s="383">
        <v>15.883333333333333</v>
      </c>
      <c r="I955" s="32"/>
      <c r="J955" s="381">
        <f t="shared" si="147"/>
        <v>0</v>
      </c>
      <c r="K955" s="383">
        <v>15.883333333333333</v>
      </c>
      <c r="L955" s="31"/>
      <c r="M955" s="381">
        <f t="shared" si="148"/>
        <v>0</v>
      </c>
      <c r="N955" s="383">
        <v>15.883333333333333</v>
      </c>
      <c r="O955" s="32"/>
      <c r="P955" s="381">
        <f t="shared" si="149"/>
        <v>0</v>
      </c>
      <c r="Q955" s="383">
        <v>15.883333333333333</v>
      </c>
      <c r="R955" s="32"/>
      <c r="S955" s="25">
        <f t="shared" si="150"/>
        <v>0</v>
      </c>
      <c r="T955" s="383">
        <v>15.883333333333333</v>
      </c>
      <c r="U955" s="32"/>
      <c r="V955" s="25">
        <f t="shared" si="153"/>
        <v>0</v>
      </c>
      <c r="W955" s="32">
        <f t="shared" si="154"/>
        <v>15.883333333333333</v>
      </c>
      <c r="X955" s="32">
        <f t="shared" si="151"/>
        <v>0</v>
      </c>
      <c r="Y955" s="381">
        <f t="shared" si="152"/>
        <v>0</v>
      </c>
    </row>
    <row r="956" spans="1:25" x14ac:dyDescent="0.2">
      <c r="A956" s="24">
        <f t="shared" si="155"/>
        <v>3.9874804074753771</v>
      </c>
      <c r="B956" s="383">
        <v>15.9</v>
      </c>
      <c r="C956" s="32"/>
      <c r="D956" s="381">
        <f t="shared" si="145"/>
        <v>0</v>
      </c>
      <c r="E956" s="383">
        <v>15.9</v>
      </c>
      <c r="F956" s="8"/>
      <c r="G956" s="381">
        <f t="shared" si="146"/>
        <v>0</v>
      </c>
      <c r="H956" s="383">
        <v>15.9</v>
      </c>
      <c r="I956" s="32"/>
      <c r="J956" s="381">
        <f t="shared" si="147"/>
        <v>0</v>
      </c>
      <c r="K956" s="383">
        <v>15.9</v>
      </c>
      <c r="L956" s="31"/>
      <c r="M956" s="381">
        <f t="shared" si="148"/>
        <v>0</v>
      </c>
      <c r="N956" s="383">
        <v>15.9</v>
      </c>
      <c r="O956" s="32"/>
      <c r="P956" s="381">
        <f t="shared" si="149"/>
        <v>0</v>
      </c>
      <c r="Q956" s="383">
        <v>15.9</v>
      </c>
      <c r="R956" s="32"/>
      <c r="S956" s="25">
        <f t="shared" si="150"/>
        <v>0</v>
      </c>
      <c r="T956" s="383">
        <v>15.9</v>
      </c>
      <c r="U956" s="32"/>
      <c r="V956" s="25">
        <f t="shared" si="153"/>
        <v>0</v>
      </c>
      <c r="W956" s="32">
        <f t="shared" si="154"/>
        <v>15.9</v>
      </c>
      <c r="X956" s="32">
        <f t="shared" si="151"/>
        <v>0</v>
      </c>
      <c r="Y956" s="381">
        <f t="shared" si="152"/>
        <v>0</v>
      </c>
    </row>
    <row r="957" spans="1:25" x14ac:dyDescent="0.2">
      <c r="A957" s="24">
        <f t="shared" si="155"/>
        <v>3.9895697345286076</v>
      </c>
      <c r="B957" s="383">
        <v>15.916666666666666</v>
      </c>
      <c r="C957" s="32"/>
      <c r="D957" s="381">
        <f t="shared" si="145"/>
        <v>0</v>
      </c>
      <c r="E957" s="383">
        <v>15.916666666666666</v>
      </c>
      <c r="F957" s="8"/>
      <c r="G957" s="381">
        <f t="shared" si="146"/>
        <v>0</v>
      </c>
      <c r="H957" s="383">
        <v>15.916666666666666</v>
      </c>
      <c r="I957" s="32"/>
      <c r="J957" s="381">
        <f t="shared" si="147"/>
        <v>0</v>
      </c>
      <c r="K957" s="383">
        <v>15.916666666666666</v>
      </c>
      <c r="L957" s="31"/>
      <c r="M957" s="381">
        <f t="shared" si="148"/>
        <v>0</v>
      </c>
      <c r="N957" s="383">
        <v>15.916666666666666</v>
      </c>
      <c r="O957" s="32"/>
      <c r="P957" s="381">
        <f t="shared" si="149"/>
        <v>0</v>
      </c>
      <c r="Q957" s="383">
        <v>15.916666666666666</v>
      </c>
      <c r="R957" s="32"/>
      <c r="S957" s="25">
        <f t="shared" si="150"/>
        <v>0</v>
      </c>
      <c r="T957" s="383">
        <v>15.916666666666666</v>
      </c>
      <c r="U957" s="32"/>
      <c r="V957" s="25">
        <f t="shared" si="153"/>
        <v>0</v>
      </c>
      <c r="W957" s="32">
        <f t="shared" si="154"/>
        <v>15.916666666666666</v>
      </c>
      <c r="X957" s="32">
        <f t="shared" si="151"/>
        <v>0</v>
      </c>
      <c r="Y957" s="381">
        <f t="shared" si="152"/>
        <v>0</v>
      </c>
    </row>
    <row r="958" spans="1:25" x14ac:dyDescent="0.2">
      <c r="A958" s="24">
        <f t="shared" si="155"/>
        <v>3.9916579679793878</v>
      </c>
      <c r="B958" s="383">
        <v>15.933333333333334</v>
      </c>
      <c r="C958" s="32"/>
      <c r="D958" s="381">
        <f t="shared" si="145"/>
        <v>0</v>
      </c>
      <c r="E958" s="383">
        <v>15.933333333333334</v>
      </c>
      <c r="F958" s="8"/>
      <c r="G958" s="381">
        <f t="shared" si="146"/>
        <v>0</v>
      </c>
      <c r="H958" s="383">
        <v>15.933333333333334</v>
      </c>
      <c r="I958" s="32"/>
      <c r="J958" s="381">
        <f t="shared" si="147"/>
        <v>0</v>
      </c>
      <c r="K958" s="383">
        <v>15.933333333333334</v>
      </c>
      <c r="L958" s="31"/>
      <c r="M958" s="381">
        <f t="shared" si="148"/>
        <v>0</v>
      </c>
      <c r="N958" s="383">
        <v>15.933333333333334</v>
      </c>
      <c r="O958" s="32"/>
      <c r="P958" s="381">
        <f t="shared" si="149"/>
        <v>0</v>
      </c>
      <c r="Q958" s="383">
        <v>15.933333333333334</v>
      </c>
      <c r="R958" s="32"/>
      <c r="S958" s="25">
        <f t="shared" si="150"/>
        <v>0</v>
      </c>
      <c r="T958" s="383">
        <v>15.933333333333334</v>
      </c>
      <c r="U958" s="32"/>
      <c r="V958" s="25">
        <f t="shared" si="153"/>
        <v>0</v>
      </c>
      <c r="W958" s="32">
        <f t="shared" si="154"/>
        <v>15.933333333333334</v>
      </c>
      <c r="X958" s="32">
        <f t="shared" si="151"/>
        <v>0</v>
      </c>
      <c r="Y958" s="381">
        <f t="shared" si="152"/>
        <v>0</v>
      </c>
    </row>
    <row r="959" spans="1:25" x14ac:dyDescent="0.2">
      <c r="A959" s="24">
        <f t="shared" si="155"/>
        <v>3.9937451095431715</v>
      </c>
      <c r="B959" s="383">
        <v>15.95</v>
      </c>
      <c r="C959" s="32"/>
      <c r="D959" s="381">
        <f t="shared" si="145"/>
        <v>0</v>
      </c>
      <c r="E959" s="383">
        <v>15.95</v>
      </c>
      <c r="F959" s="8"/>
      <c r="G959" s="381">
        <f t="shared" si="146"/>
        <v>0</v>
      </c>
      <c r="H959" s="383">
        <v>15.95</v>
      </c>
      <c r="I959" s="32"/>
      <c r="J959" s="381">
        <f t="shared" si="147"/>
        <v>0</v>
      </c>
      <c r="K959" s="383">
        <v>15.95</v>
      </c>
      <c r="L959" s="31"/>
      <c r="M959" s="381">
        <f t="shared" si="148"/>
        <v>0</v>
      </c>
      <c r="N959" s="383">
        <v>15.95</v>
      </c>
      <c r="O959" s="32"/>
      <c r="P959" s="381">
        <f t="shared" si="149"/>
        <v>0</v>
      </c>
      <c r="Q959" s="383">
        <v>15.95</v>
      </c>
      <c r="R959" s="32"/>
      <c r="S959" s="25">
        <f t="shared" si="150"/>
        <v>0</v>
      </c>
      <c r="T959" s="383">
        <v>15.95</v>
      </c>
      <c r="U959" s="32"/>
      <c r="V959" s="25">
        <f t="shared" si="153"/>
        <v>0</v>
      </c>
      <c r="W959" s="32">
        <f t="shared" si="154"/>
        <v>15.95</v>
      </c>
      <c r="X959" s="32">
        <f t="shared" si="151"/>
        <v>0</v>
      </c>
      <c r="Y959" s="381">
        <f t="shared" si="152"/>
        <v>0</v>
      </c>
    </row>
    <row r="960" spans="1:25" x14ac:dyDescent="0.2">
      <c r="A960" s="24">
        <f t="shared" si="155"/>
        <v>3.9958311609309356</v>
      </c>
      <c r="B960" s="383">
        <v>15.966666666666667</v>
      </c>
      <c r="C960" s="32"/>
      <c r="D960" s="381">
        <f t="shared" si="145"/>
        <v>0</v>
      </c>
      <c r="E960" s="383">
        <v>15.966666666666667</v>
      </c>
      <c r="F960" s="8"/>
      <c r="G960" s="381">
        <f t="shared" si="146"/>
        <v>0</v>
      </c>
      <c r="H960" s="383">
        <v>15.966666666666667</v>
      </c>
      <c r="I960" s="32"/>
      <c r="J960" s="381">
        <f t="shared" si="147"/>
        <v>0</v>
      </c>
      <c r="K960" s="383">
        <v>15.966666666666667</v>
      </c>
      <c r="L960" s="31"/>
      <c r="M960" s="381">
        <f t="shared" si="148"/>
        <v>0</v>
      </c>
      <c r="N960" s="383">
        <v>15.966666666666667</v>
      </c>
      <c r="O960" s="32"/>
      <c r="P960" s="381">
        <f t="shared" si="149"/>
        <v>0</v>
      </c>
      <c r="Q960" s="383">
        <v>15.966666666666667</v>
      </c>
      <c r="R960" s="32"/>
      <c r="S960" s="25">
        <f t="shared" si="150"/>
        <v>0</v>
      </c>
      <c r="T960" s="383">
        <v>15.966666666666667</v>
      </c>
      <c r="U960" s="32"/>
      <c r="V960" s="25">
        <f t="shared" si="153"/>
        <v>0</v>
      </c>
      <c r="W960" s="32">
        <f t="shared" si="154"/>
        <v>15.966666666666667</v>
      </c>
      <c r="X960" s="32">
        <f t="shared" si="151"/>
        <v>0</v>
      </c>
      <c r="Y960" s="381">
        <f t="shared" si="152"/>
        <v>0</v>
      </c>
    </row>
    <row r="961" spans="1:25" x14ac:dyDescent="0.2">
      <c r="A961" s="24">
        <f t="shared" si="155"/>
        <v>3.99791612384919</v>
      </c>
      <c r="B961" s="383">
        <v>15.983333333333333</v>
      </c>
      <c r="C961" s="32"/>
      <c r="D961" s="381">
        <f t="shared" si="145"/>
        <v>0</v>
      </c>
      <c r="E961" s="383">
        <v>15.983333333333333</v>
      </c>
      <c r="F961" s="8"/>
      <c r="G961" s="381">
        <f t="shared" si="146"/>
        <v>0</v>
      </c>
      <c r="H961" s="383">
        <v>15.983333333333333</v>
      </c>
      <c r="I961" s="32"/>
      <c r="J961" s="381">
        <f t="shared" si="147"/>
        <v>0</v>
      </c>
      <c r="K961" s="383">
        <v>15.983333333333333</v>
      </c>
      <c r="L961" s="31"/>
      <c r="M961" s="381">
        <f t="shared" si="148"/>
        <v>0</v>
      </c>
      <c r="N961" s="383">
        <v>15.983333333333333</v>
      </c>
      <c r="O961" s="32"/>
      <c r="P961" s="381">
        <f t="shared" si="149"/>
        <v>0</v>
      </c>
      <c r="Q961" s="383">
        <v>15.983333333333333</v>
      </c>
      <c r="R961" s="32"/>
      <c r="S961" s="25">
        <f t="shared" si="150"/>
        <v>0</v>
      </c>
      <c r="T961" s="383">
        <v>15.983333333333333</v>
      </c>
      <c r="U961" s="32"/>
      <c r="V961" s="25">
        <f t="shared" si="153"/>
        <v>0</v>
      </c>
      <c r="W961" s="32">
        <f t="shared" si="154"/>
        <v>15.983333333333333</v>
      </c>
      <c r="X961" s="32">
        <f t="shared" si="151"/>
        <v>0</v>
      </c>
      <c r="Y961" s="381">
        <f t="shared" si="152"/>
        <v>0</v>
      </c>
    </row>
    <row r="962" spans="1:25" x14ac:dyDescent="0.2">
      <c r="A962" s="24">
        <f t="shared" si="155"/>
        <v>4</v>
      </c>
      <c r="B962" s="383">
        <v>16</v>
      </c>
      <c r="C962" s="32"/>
      <c r="D962" s="381">
        <f t="shared" si="145"/>
        <v>0</v>
      </c>
      <c r="E962" s="383">
        <v>16</v>
      </c>
      <c r="F962" s="8"/>
      <c r="G962" s="381">
        <f t="shared" si="146"/>
        <v>0</v>
      </c>
      <c r="H962" s="383">
        <v>16</v>
      </c>
      <c r="I962" s="32"/>
      <c r="J962" s="381">
        <f t="shared" si="147"/>
        <v>0</v>
      </c>
      <c r="K962" s="383">
        <v>16</v>
      </c>
      <c r="L962" s="31"/>
      <c r="M962" s="381">
        <f t="shared" si="148"/>
        <v>0</v>
      </c>
      <c r="N962" s="383">
        <v>16</v>
      </c>
      <c r="O962" s="32"/>
      <c r="P962" s="381">
        <f t="shared" si="149"/>
        <v>0</v>
      </c>
      <c r="Q962" s="383">
        <v>16</v>
      </c>
      <c r="R962" s="32"/>
      <c r="S962" s="25">
        <f t="shared" si="150"/>
        <v>0</v>
      </c>
      <c r="T962" s="383">
        <v>16</v>
      </c>
      <c r="U962" s="32"/>
      <c r="V962" s="25">
        <f t="shared" si="153"/>
        <v>0</v>
      </c>
      <c r="W962" s="32">
        <f t="shared" si="154"/>
        <v>16</v>
      </c>
      <c r="X962" s="32">
        <f t="shared" si="151"/>
        <v>0</v>
      </c>
      <c r="Y962" s="381">
        <f t="shared" si="152"/>
        <v>0</v>
      </c>
    </row>
    <row r="963" spans="1:25" x14ac:dyDescent="0.2">
      <c r="A963" s="24">
        <f t="shared" si="155"/>
        <v>4.0020827910809977</v>
      </c>
      <c r="B963" s="383">
        <v>16.016666666666666</v>
      </c>
      <c r="C963" s="32"/>
      <c r="D963" s="381">
        <f t="shared" si="145"/>
        <v>0</v>
      </c>
      <c r="E963" s="383">
        <v>16.016666666666666</v>
      </c>
      <c r="F963" s="8"/>
      <c r="G963" s="381">
        <f t="shared" si="146"/>
        <v>0</v>
      </c>
      <c r="H963" s="383">
        <v>16.016666666666666</v>
      </c>
      <c r="I963" s="32"/>
      <c r="J963" s="381">
        <f t="shared" si="147"/>
        <v>0</v>
      </c>
      <c r="K963" s="383">
        <v>16.016666666666666</v>
      </c>
      <c r="L963" s="31"/>
      <c r="M963" s="381">
        <f t="shared" si="148"/>
        <v>0</v>
      </c>
      <c r="N963" s="383">
        <v>16.016666666666666</v>
      </c>
      <c r="O963" s="32"/>
      <c r="P963" s="381">
        <f t="shared" si="149"/>
        <v>0</v>
      </c>
      <c r="Q963" s="383">
        <v>16.016666666666666</v>
      </c>
      <c r="R963" s="32"/>
      <c r="S963" s="25">
        <f t="shared" si="150"/>
        <v>0</v>
      </c>
      <c r="T963" s="383">
        <v>16.016666666666666</v>
      </c>
      <c r="U963" s="32"/>
      <c r="V963" s="25">
        <f t="shared" si="153"/>
        <v>0</v>
      </c>
      <c r="W963" s="32">
        <f t="shared" si="154"/>
        <v>16.016666666666666</v>
      </c>
      <c r="X963" s="32">
        <f t="shared" si="151"/>
        <v>0</v>
      </c>
      <c r="Y963" s="381">
        <f t="shared" si="152"/>
        <v>0</v>
      </c>
    </row>
    <row r="964" spans="1:25" x14ac:dyDescent="0.2">
      <c r="A964" s="24">
        <f t="shared" si="155"/>
        <v>4.1210839997909936</v>
      </c>
      <c r="B964" s="383">
        <v>16.983333333333334</v>
      </c>
      <c r="C964" s="32"/>
      <c r="D964" s="381">
        <f t="shared" si="145"/>
        <v>0</v>
      </c>
      <c r="E964" s="383">
        <v>16.983333333333334</v>
      </c>
      <c r="F964" s="8"/>
      <c r="G964" s="381">
        <f t="shared" si="146"/>
        <v>0</v>
      </c>
      <c r="H964" s="383">
        <v>16.983333333333334</v>
      </c>
      <c r="I964" s="32"/>
      <c r="J964" s="381">
        <f t="shared" si="147"/>
        <v>0</v>
      </c>
      <c r="K964" s="383">
        <v>16.983333333333334</v>
      </c>
      <c r="L964" s="31"/>
      <c r="M964" s="381">
        <f t="shared" si="148"/>
        <v>0</v>
      </c>
      <c r="N964" s="383">
        <v>16.983333333333334</v>
      </c>
      <c r="O964" s="32"/>
      <c r="P964" s="381">
        <f t="shared" si="149"/>
        <v>0</v>
      </c>
      <c r="Q964" s="383">
        <v>16.983333333333334</v>
      </c>
      <c r="R964" s="32"/>
      <c r="S964" s="25">
        <f t="shared" si="150"/>
        <v>0</v>
      </c>
      <c r="T964" s="383">
        <v>16.983333333333334</v>
      </c>
      <c r="U964" s="32"/>
      <c r="V964" s="25">
        <f t="shared" si="153"/>
        <v>0</v>
      </c>
      <c r="W964" s="32">
        <f t="shared" si="154"/>
        <v>16.983333333333334</v>
      </c>
      <c r="X964" s="32">
        <f t="shared" si="151"/>
        <v>0</v>
      </c>
      <c r="Y964" s="381">
        <f t="shared" si="152"/>
        <v>0</v>
      </c>
    </row>
    <row r="965" spans="1:25" x14ac:dyDescent="0.2">
      <c r="A965" s="24">
        <f t="shared" si="155"/>
        <v>4.2406760467328004</v>
      </c>
      <c r="B965" s="383">
        <v>17.983333333333334</v>
      </c>
      <c r="C965" s="32"/>
      <c r="D965" s="381">
        <f t="shared" ref="D965:D1028" si="156">C965</f>
        <v>0</v>
      </c>
      <c r="E965" s="383">
        <v>17.983333333333334</v>
      </c>
      <c r="F965" s="8"/>
      <c r="G965" s="381">
        <f t="shared" ref="G965:G1028" si="157">F965+$AB$2</f>
        <v>0</v>
      </c>
      <c r="H965" s="383">
        <v>17.983333333333334</v>
      </c>
      <c r="I965" s="32"/>
      <c r="J965" s="381">
        <f t="shared" ref="J965:J1028" si="158">I965+$AB$3</f>
        <v>0</v>
      </c>
      <c r="K965" s="383">
        <v>17.983333333333334</v>
      </c>
      <c r="L965" s="31"/>
      <c r="M965" s="381">
        <f t="shared" ref="M965:M1028" si="159">L965+$AB$4</f>
        <v>0</v>
      </c>
      <c r="N965" s="383">
        <v>17.983333333333334</v>
      </c>
      <c r="O965" s="32"/>
      <c r="P965" s="381">
        <f t="shared" ref="P965:P1028" si="160">O965+$AB$5</f>
        <v>0</v>
      </c>
      <c r="Q965" s="383">
        <v>17.983333333333334</v>
      </c>
      <c r="R965" s="32"/>
      <c r="S965" s="25">
        <f t="shared" ref="S965:S1028" si="161">R965+$AB$6</f>
        <v>0</v>
      </c>
      <c r="T965" s="383">
        <v>17.983333333333334</v>
      </c>
      <c r="U965" s="32"/>
      <c r="V965" s="25">
        <f t="shared" si="153"/>
        <v>0</v>
      </c>
      <c r="W965" s="32">
        <f t="shared" si="154"/>
        <v>17.983333333333334</v>
      </c>
      <c r="X965" s="32">
        <f t="shared" ref="X965:X1028" si="162">U965</f>
        <v>0</v>
      </c>
      <c r="Y965" s="381">
        <f t="shared" ref="Y965:Y1028" si="163">X965+$AB$8</f>
        <v>0</v>
      </c>
    </row>
    <row r="966" spans="1:25" x14ac:dyDescent="0.2">
      <c r="A966" s="24">
        <f t="shared" si="155"/>
        <v>4.358898943540674</v>
      </c>
      <c r="B966" s="383">
        <v>19</v>
      </c>
      <c r="C966" s="32"/>
      <c r="D966" s="381">
        <f t="shared" si="156"/>
        <v>0</v>
      </c>
      <c r="E966" s="383">
        <v>19</v>
      </c>
      <c r="F966" s="8"/>
      <c r="G966" s="381">
        <f t="shared" si="157"/>
        <v>0</v>
      </c>
      <c r="H966" s="383">
        <v>19</v>
      </c>
      <c r="I966" s="32"/>
      <c r="J966" s="381">
        <f t="shared" si="158"/>
        <v>0</v>
      </c>
      <c r="K966" s="383">
        <v>19</v>
      </c>
      <c r="L966" s="31"/>
      <c r="M966" s="381">
        <f t="shared" si="159"/>
        <v>0</v>
      </c>
      <c r="N966" s="383">
        <v>19</v>
      </c>
      <c r="O966" s="32"/>
      <c r="P966" s="381">
        <f t="shared" si="160"/>
        <v>0</v>
      </c>
      <c r="Q966" s="383">
        <v>19</v>
      </c>
      <c r="R966" s="32"/>
      <c r="S966" s="25">
        <f t="shared" si="161"/>
        <v>0</v>
      </c>
      <c r="T966" s="383">
        <v>19</v>
      </c>
      <c r="U966" s="32"/>
      <c r="V966" s="25">
        <f t="shared" ref="V966:V1029" si="164">Y966</f>
        <v>0</v>
      </c>
      <c r="W966" s="32">
        <f t="shared" ref="W966:W1029" si="165">T966</f>
        <v>19</v>
      </c>
      <c r="X966" s="32">
        <f t="shared" si="162"/>
        <v>0</v>
      </c>
      <c r="Y966" s="381">
        <f t="shared" si="163"/>
        <v>0</v>
      </c>
    </row>
    <row r="967" spans="1:25" x14ac:dyDescent="0.2">
      <c r="A967" s="24">
        <f t="shared" si="155"/>
        <v>4.4721359549995796</v>
      </c>
      <c r="B967" s="383">
        <v>20</v>
      </c>
      <c r="C967" s="32"/>
      <c r="D967" s="381">
        <f t="shared" si="156"/>
        <v>0</v>
      </c>
      <c r="E967" s="383">
        <v>20</v>
      </c>
      <c r="F967" s="8"/>
      <c r="G967" s="381">
        <f t="shared" si="157"/>
        <v>0</v>
      </c>
      <c r="H967" s="383">
        <v>20</v>
      </c>
      <c r="I967" s="32"/>
      <c r="J967" s="381">
        <f t="shared" si="158"/>
        <v>0</v>
      </c>
      <c r="K967" s="383">
        <v>20</v>
      </c>
      <c r="L967" s="31"/>
      <c r="M967" s="381">
        <f t="shared" si="159"/>
        <v>0</v>
      </c>
      <c r="N967" s="383">
        <v>20</v>
      </c>
      <c r="O967" s="32"/>
      <c r="P967" s="381">
        <f t="shared" si="160"/>
        <v>0</v>
      </c>
      <c r="Q967" s="383">
        <v>20</v>
      </c>
      <c r="R967" s="32"/>
      <c r="S967" s="25">
        <f t="shared" si="161"/>
        <v>0</v>
      </c>
      <c r="T967" s="383">
        <v>20</v>
      </c>
      <c r="U967" s="32"/>
      <c r="V967" s="25">
        <f t="shared" si="164"/>
        <v>0</v>
      </c>
      <c r="W967" s="32">
        <f t="shared" si="165"/>
        <v>20</v>
      </c>
      <c r="X967" s="32">
        <f t="shared" si="162"/>
        <v>0</v>
      </c>
      <c r="Y967" s="381">
        <f t="shared" si="163"/>
        <v>0</v>
      </c>
    </row>
    <row r="968" spans="1:25" x14ac:dyDescent="0.2">
      <c r="A968" s="24">
        <f t="shared" si="155"/>
        <v>4.5825756949558398</v>
      </c>
      <c r="B968" s="383">
        <v>21</v>
      </c>
      <c r="C968" s="32"/>
      <c r="D968" s="381">
        <f t="shared" si="156"/>
        <v>0</v>
      </c>
      <c r="E968" s="383">
        <v>21</v>
      </c>
      <c r="F968" s="8"/>
      <c r="G968" s="381">
        <f t="shared" si="157"/>
        <v>0</v>
      </c>
      <c r="H968" s="383">
        <v>21</v>
      </c>
      <c r="I968" s="32"/>
      <c r="J968" s="381">
        <f t="shared" si="158"/>
        <v>0</v>
      </c>
      <c r="K968" s="383">
        <v>21</v>
      </c>
      <c r="L968" s="31"/>
      <c r="M968" s="381">
        <f t="shared" si="159"/>
        <v>0</v>
      </c>
      <c r="N968" s="383">
        <v>21</v>
      </c>
      <c r="O968" s="32"/>
      <c r="P968" s="381">
        <f t="shared" si="160"/>
        <v>0</v>
      </c>
      <c r="Q968" s="383">
        <v>21</v>
      </c>
      <c r="R968" s="32"/>
      <c r="S968" s="25">
        <f t="shared" si="161"/>
        <v>0</v>
      </c>
      <c r="T968" s="383">
        <v>21</v>
      </c>
      <c r="U968" s="32"/>
      <c r="V968" s="25">
        <f t="shared" si="164"/>
        <v>0</v>
      </c>
      <c r="W968" s="32">
        <f t="shared" si="165"/>
        <v>21</v>
      </c>
      <c r="X968" s="32">
        <f t="shared" si="162"/>
        <v>0</v>
      </c>
      <c r="Y968" s="381">
        <f t="shared" si="163"/>
        <v>0</v>
      </c>
    </row>
    <row r="969" spans="1:25" x14ac:dyDescent="0.2">
      <c r="A969" s="24">
        <f t="shared" si="155"/>
        <v>4.6886387505685843</v>
      </c>
      <c r="B969" s="383">
        <v>21.983333333333334</v>
      </c>
      <c r="C969" s="32"/>
      <c r="D969" s="381">
        <f t="shared" si="156"/>
        <v>0</v>
      </c>
      <c r="E969" s="383">
        <v>21.983333333333334</v>
      </c>
      <c r="F969" s="8"/>
      <c r="G969" s="381">
        <f t="shared" si="157"/>
        <v>0</v>
      </c>
      <c r="H969" s="383">
        <v>21.983333333333334</v>
      </c>
      <c r="I969" s="32"/>
      <c r="J969" s="381">
        <f t="shared" si="158"/>
        <v>0</v>
      </c>
      <c r="K969" s="383">
        <v>21.983333333333334</v>
      </c>
      <c r="L969" s="31"/>
      <c r="M969" s="381">
        <f t="shared" si="159"/>
        <v>0</v>
      </c>
      <c r="N969" s="383">
        <v>21.983333333333334</v>
      </c>
      <c r="O969" s="32"/>
      <c r="P969" s="381">
        <f t="shared" si="160"/>
        <v>0</v>
      </c>
      <c r="Q969" s="383">
        <v>21.983333333333334</v>
      </c>
      <c r="R969" s="32"/>
      <c r="S969" s="25">
        <f t="shared" si="161"/>
        <v>0</v>
      </c>
      <c r="T969" s="383">
        <v>21.983333333333334</v>
      </c>
      <c r="U969" s="32"/>
      <c r="V969" s="25">
        <f t="shared" si="164"/>
        <v>0</v>
      </c>
      <c r="W969" s="32">
        <f t="shared" si="165"/>
        <v>21.983333333333334</v>
      </c>
      <c r="X969" s="32">
        <f t="shared" si="162"/>
        <v>0</v>
      </c>
      <c r="Y969" s="381">
        <f t="shared" si="163"/>
        <v>0</v>
      </c>
    </row>
    <row r="970" spans="1:25" x14ac:dyDescent="0.2">
      <c r="A970" s="24">
        <f t="shared" si="155"/>
        <v>4.7940935882952198</v>
      </c>
      <c r="B970" s="383">
        <v>22.983333333333334</v>
      </c>
      <c r="C970" s="32"/>
      <c r="D970" s="381">
        <f t="shared" si="156"/>
        <v>0</v>
      </c>
      <c r="E970" s="383">
        <v>22.983333333333334</v>
      </c>
      <c r="F970" s="8"/>
      <c r="G970" s="381">
        <f t="shared" si="157"/>
        <v>0</v>
      </c>
      <c r="H970" s="383">
        <v>22.983333333333334</v>
      </c>
      <c r="I970" s="32"/>
      <c r="J970" s="381">
        <f t="shared" si="158"/>
        <v>0</v>
      </c>
      <c r="K970" s="383">
        <v>22.983333333333334</v>
      </c>
      <c r="L970" s="31"/>
      <c r="M970" s="381">
        <f t="shared" si="159"/>
        <v>0</v>
      </c>
      <c r="N970" s="383">
        <v>22.983333333333334</v>
      </c>
      <c r="O970" s="32"/>
      <c r="P970" s="381">
        <f t="shared" si="160"/>
        <v>0</v>
      </c>
      <c r="Q970" s="383">
        <v>22.983333333333334</v>
      </c>
      <c r="R970" s="32"/>
      <c r="S970" s="25">
        <f t="shared" si="161"/>
        <v>0</v>
      </c>
      <c r="T970" s="383">
        <v>22.983333333333334</v>
      </c>
      <c r="U970" s="32"/>
      <c r="V970" s="25">
        <f t="shared" si="164"/>
        <v>0</v>
      </c>
      <c r="W970" s="32">
        <f t="shared" si="165"/>
        <v>22.983333333333334</v>
      </c>
      <c r="X970" s="32">
        <f t="shared" si="162"/>
        <v>0</v>
      </c>
      <c r="Y970" s="381">
        <f t="shared" si="163"/>
        <v>0</v>
      </c>
    </row>
    <row r="971" spans="1:25" x14ac:dyDescent="0.2">
      <c r="A971" s="24">
        <f t="shared" si="155"/>
        <v>4.8972781556016738</v>
      </c>
      <c r="B971" s="383">
        <v>23.983333333333334</v>
      </c>
      <c r="C971" s="32"/>
      <c r="D971" s="381">
        <f t="shared" si="156"/>
        <v>0</v>
      </c>
      <c r="E971" s="383">
        <v>23.983333333333334</v>
      </c>
      <c r="F971" s="8"/>
      <c r="G971" s="381">
        <f t="shared" si="157"/>
        <v>0</v>
      </c>
      <c r="H971" s="383">
        <v>23.983333333333334</v>
      </c>
      <c r="I971" s="32"/>
      <c r="J971" s="381">
        <f t="shared" si="158"/>
        <v>0</v>
      </c>
      <c r="K971" s="383">
        <v>23.983333333333334</v>
      </c>
      <c r="L971" s="31"/>
      <c r="M971" s="381">
        <f t="shared" si="159"/>
        <v>0</v>
      </c>
      <c r="N971" s="383">
        <v>23.983333333333334</v>
      </c>
      <c r="O971" s="32"/>
      <c r="P971" s="381">
        <f t="shared" si="160"/>
        <v>0</v>
      </c>
      <c r="Q971" s="383">
        <v>23.983333333333334</v>
      </c>
      <c r="R971" s="32"/>
      <c r="S971" s="25">
        <f t="shared" si="161"/>
        <v>0</v>
      </c>
      <c r="T971" s="383">
        <v>23.983333333333334</v>
      </c>
      <c r="U971" s="32"/>
      <c r="V971" s="25">
        <f t="shared" si="164"/>
        <v>0</v>
      </c>
      <c r="W971" s="32">
        <f t="shared" si="165"/>
        <v>23.983333333333334</v>
      </c>
      <c r="X971" s="32">
        <f t="shared" si="162"/>
        <v>0</v>
      </c>
      <c r="Y971" s="381">
        <f t="shared" si="163"/>
        <v>0</v>
      </c>
    </row>
    <row r="972" spans="1:25" x14ac:dyDescent="0.2">
      <c r="A972" s="24">
        <f t="shared" si="155"/>
        <v>4.9983330554629246</v>
      </c>
      <c r="B972" s="383">
        <v>24.983333333333334</v>
      </c>
      <c r="C972" s="32"/>
      <c r="D972" s="381">
        <f t="shared" si="156"/>
        <v>0</v>
      </c>
      <c r="E972" s="383">
        <v>24.983333333333334</v>
      </c>
      <c r="F972" s="8"/>
      <c r="G972" s="381">
        <f t="shared" si="157"/>
        <v>0</v>
      </c>
      <c r="H972" s="383">
        <v>24.983333333333334</v>
      </c>
      <c r="I972" s="32"/>
      <c r="J972" s="381">
        <f t="shared" si="158"/>
        <v>0</v>
      </c>
      <c r="K972" s="383">
        <v>24.983333333333334</v>
      </c>
      <c r="L972" s="31"/>
      <c r="M972" s="381">
        <f t="shared" si="159"/>
        <v>0</v>
      </c>
      <c r="N972" s="383">
        <v>24.983333333333334</v>
      </c>
      <c r="O972" s="32"/>
      <c r="P972" s="381">
        <f t="shared" si="160"/>
        <v>0</v>
      </c>
      <c r="Q972" s="383">
        <v>24.983333333333334</v>
      </c>
      <c r="R972" s="32"/>
      <c r="S972" s="25">
        <f t="shared" si="161"/>
        <v>0</v>
      </c>
      <c r="T972" s="383">
        <v>24.983333333333334</v>
      </c>
      <c r="U972" s="32"/>
      <c r="V972" s="25">
        <f t="shared" si="164"/>
        <v>0</v>
      </c>
      <c r="W972" s="32">
        <f t="shared" si="165"/>
        <v>24.983333333333334</v>
      </c>
      <c r="X972" s="32">
        <f t="shared" si="162"/>
        <v>0</v>
      </c>
      <c r="Y972" s="381">
        <f t="shared" si="163"/>
        <v>0</v>
      </c>
    </row>
    <row r="973" spans="1:25" x14ac:dyDescent="0.2">
      <c r="A973" s="24">
        <f t="shared" si="155"/>
        <v>5.0990195135927845</v>
      </c>
      <c r="B973" s="383">
        <v>26</v>
      </c>
      <c r="C973" s="32"/>
      <c r="D973" s="381">
        <f t="shared" si="156"/>
        <v>0</v>
      </c>
      <c r="E973" s="383">
        <v>26</v>
      </c>
      <c r="F973" s="8"/>
      <c r="G973" s="381">
        <f t="shared" si="157"/>
        <v>0</v>
      </c>
      <c r="H973" s="383">
        <v>26</v>
      </c>
      <c r="I973" s="32"/>
      <c r="J973" s="381">
        <f t="shared" si="158"/>
        <v>0</v>
      </c>
      <c r="K973" s="383">
        <v>26</v>
      </c>
      <c r="L973" s="31"/>
      <c r="M973" s="381">
        <f t="shared" si="159"/>
        <v>0</v>
      </c>
      <c r="N973" s="383">
        <v>26</v>
      </c>
      <c r="O973" s="32"/>
      <c r="P973" s="381">
        <f t="shared" si="160"/>
        <v>0</v>
      </c>
      <c r="Q973" s="383">
        <v>26</v>
      </c>
      <c r="R973" s="32"/>
      <c r="S973" s="25">
        <f t="shared" si="161"/>
        <v>0</v>
      </c>
      <c r="T973" s="383">
        <v>26</v>
      </c>
      <c r="U973" s="32"/>
      <c r="V973" s="25">
        <f t="shared" si="164"/>
        <v>0</v>
      </c>
      <c r="W973" s="32">
        <f t="shared" si="165"/>
        <v>26</v>
      </c>
      <c r="X973" s="32">
        <f t="shared" si="162"/>
        <v>0</v>
      </c>
      <c r="Y973" s="381">
        <f t="shared" si="163"/>
        <v>0</v>
      </c>
    </row>
    <row r="974" spans="1:25" x14ac:dyDescent="0.2">
      <c r="A974" s="24">
        <f t="shared" si="155"/>
        <v>5.196152422706632</v>
      </c>
      <c r="B974" s="383">
        <v>27</v>
      </c>
      <c r="C974" s="32"/>
      <c r="D974" s="381">
        <f t="shared" si="156"/>
        <v>0</v>
      </c>
      <c r="E974" s="383">
        <v>27</v>
      </c>
      <c r="F974" s="8"/>
      <c r="G974" s="381">
        <f t="shared" si="157"/>
        <v>0</v>
      </c>
      <c r="H974" s="383">
        <v>27</v>
      </c>
      <c r="I974" s="32"/>
      <c r="J974" s="381">
        <f t="shared" si="158"/>
        <v>0</v>
      </c>
      <c r="K974" s="383">
        <v>27</v>
      </c>
      <c r="L974" s="31"/>
      <c r="M974" s="381">
        <f t="shared" si="159"/>
        <v>0</v>
      </c>
      <c r="N974" s="383">
        <v>27</v>
      </c>
      <c r="O974" s="32"/>
      <c r="P974" s="381">
        <f t="shared" si="160"/>
        <v>0</v>
      </c>
      <c r="Q974" s="383">
        <v>27</v>
      </c>
      <c r="R974" s="32"/>
      <c r="S974" s="25">
        <f t="shared" si="161"/>
        <v>0</v>
      </c>
      <c r="T974" s="383">
        <v>27</v>
      </c>
      <c r="U974" s="32"/>
      <c r="V974" s="25">
        <f t="shared" si="164"/>
        <v>0</v>
      </c>
      <c r="W974" s="32">
        <f t="shared" si="165"/>
        <v>27</v>
      </c>
      <c r="X974" s="32">
        <f t="shared" si="162"/>
        <v>0</v>
      </c>
      <c r="Y974" s="381">
        <f t="shared" si="163"/>
        <v>0</v>
      </c>
    </row>
    <row r="975" spans="1:25" x14ac:dyDescent="0.2">
      <c r="A975" s="24">
        <f t="shared" si="155"/>
        <v>5.2915026221291814</v>
      </c>
      <c r="B975" s="383">
        <v>28</v>
      </c>
      <c r="C975" s="32"/>
      <c r="D975" s="381">
        <f t="shared" si="156"/>
        <v>0</v>
      </c>
      <c r="E975" s="383">
        <v>28</v>
      </c>
      <c r="F975" s="8"/>
      <c r="G975" s="381">
        <f t="shared" si="157"/>
        <v>0</v>
      </c>
      <c r="H975" s="383">
        <v>28</v>
      </c>
      <c r="I975" s="32"/>
      <c r="J975" s="381">
        <f t="shared" si="158"/>
        <v>0</v>
      </c>
      <c r="K975" s="383">
        <v>28</v>
      </c>
      <c r="L975" s="31"/>
      <c r="M975" s="381">
        <f t="shared" si="159"/>
        <v>0</v>
      </c>
      <c r="N975" s="383">
        <v>28</v>
      </c>
      <c r="O975" s="32"/>
      <c r="P975" s="381">
        <f t="shared" si="160"/>
        <v>0</v>
      </c>
      <c r="Q975" s="383">
        <v>28</v>
      </c>
      <c r="R975" s="32"/>
      <c r="S975" s="25">
        <f t="shared" si="161"/>
        <v>0</v>
      </c>
      <c r="T975" s="383">
        <v>28</v>
      </c>
      <c r="U975" s="32"/>
      <c r="V975" s="25">
        <f t="shared" si="164"/>
        <v>0</v>
      </c>
      <c r="W975" s="32">
        <f t="shared" si="165"/>
        <v>28</v>
      </c>
      <c r="X975" s="32">
        <f t="shared" si="162"/>
        <v>0</v>
      </c>
      <c r="Y975" s="381">
        <f t="shared" si="163"/>
        <v>0</v>
      </c>
    </row>
    <row r="976" spans="1:25" x14ac:dyDescent="0.2">
      <c r="A976" s="24">
        <f t="shared" si="155"/>
        <v>5.3836171235827432</v>
      </c>
      <c r="B976" s="383">
        <v>28.983333333333334</v>
      </c>
      <c r="C976" s="32"/>
      <c r="D976" s="381">
        <f t="shared" si="156"/>
        <v>0</v>
      </c>
      <c r="E976" s="383">
        <v>28.983333333333334</v>
      </c>
      <c r="F976" s="8"/>
      <c r="G976" s="381">
        <f t="shared" si="157"/>
        <v>0</v>
      </c>
      <c r="H976" s="383">
        <v>28.983333333333334</v>
      </c>
      <c r="I976" s="32"/>
      <c r="J976" s="381">
        <f t="shared" si="158"/>
        <v>0</v>
      </c>
      <c r="K976" s="383">
        <v>28.983333333333334</v>
      </c>
      <c r="L976" s="31"/>
      <c r="M976" s="381">
        <f t="shared" si="159"/>
        <v>0</v>
      </c>
      <c r="N976" s="383">
        <v>28.983333333333334</v>
      </c>
      <c r="O976" s="32"/>
      <c r="P976" s="381">
        <f t="shared" si="160"/>
        <v>0</v>
      </c>
      <c r="Q976" s="383">
        <v>28.983333333333334</v>
      </c>
      <c r="R976" s="32"/>
      <c r="S976" s="25">
        <f t="shared" si="161"/>
        <v>0</v>
      </c>
      <c r="T976" s="383">
        <v>28.983333333333334</v>
      </c>
      <c r="U976" s="32"/>
      <c r="V976" s="25">
        <f t="shared" si="164"/>
        <v>0</v>
      </c>
      <c r="W976" s="32">
        <f t="shared" si="165"/>
        <v>28.983333333333334</v>
      </c>
      <c r="X976" s="32">
        <f t="shared" si="162"/>
        <v>0</v>
      </c>
      <c r="Y976" s="381">
        <f t="shared" si="163"/>
        <v>0</v>
      </c>
    </row>
    <row r="977" spans="1:25" x14ac:dyDescent="0.2">
      <c r="A977" s="24">
        <f t="shared" si="155"/>
        <v>5.4757039121316025</v>
      </c>
      <c r="B977" s="383">
        <v>29.983333333333334</v>
      </c>
      <c r="C977" s="32"/>
      <c r="D977" s="381">
        <f t="shared" si="156"/>
        <v>0</v>
      </c>
      <c r="E977" s="383">
        <v>29.983333333333334</v>
      </c>
      <c r="F977" s="8"/>
      <c r="G977" s="381">
        <f t="shared" si="157"/>
        <v>0</v>
      </c>
      <c r="H977" s="383">
        <v>29.983333333333334</v>
      </c>
      <c r="I977" s="32"/>
      <c r="J977" s="381">
        <f t="shared" si="158"/>
        <v>0</v>
      </c>
      <c r="K977" s="383">
        <v>29.983333333333334</v>
      </c>
      <c r="L977" s="31"/>
      <c r="M977" s="381">
        <f t="shared" si="159"/>
        <v>0</v>
      </c>
      <c r="N977" s="383">
        <v>29.983333333333334</v>
      </c>
      <c r="O977" s="32"/>
      <c r="P977" s="381">
        <f t="shared" si="160"/>
        <v>0</v>
      </c>
      <c r="Q977" s="383">
        <v>29.983333333333334</v>
      </c>
      <c r="R977" s="32"/>
      <c r="S977" s="25">
        <f t="shared" si="161"/>
        <v>0</v>
      </c>
      <c r="T977" s="383">
        <v>29.983333333333334</v>
      </c>
      <c r="U977" s="32"/>
      <c r="V977" s="25">
        <f t="shared" si="164"/>
        <v>0</v>
      </c>
      <c r="W977" s="32">
        <f t="shared" si="165"/>
        <v>29.983333333333334</v>
      </c>
      <c r="X977" s="32">
        <f t="shared" si="162"/>
        <v>0</v>
      </c>
      <c r="Y977" s="381">
        <f t="shared" si="163"/>
        <v>0</v>
      </c>
    </row>
    <row r="978" spans="1:25" x14ac:dyDescent="0.2">
      <c r="A978" s="24">
        <f t="shared" si="155"/>
        <v>5.5662674507548893</v>
      </c>
      <c r="B978" s="383">
        <v>30.983333333333334</v>
      </c>
      <c r="C978" s="32"/>
      <c r="D978" s="381">
        <f t="shared" si="156"/>
        <v>0</v>
      </c>
      <c r="E978" s="383">
        <v>30.983333333333334</v>
      </c>
      <c r="F978" s="8"/>
      <c r="G978" s="381">
        <f t="shared" si="157"/>
        <v>0</v>
      </c>
      <c r="H978" s="383">
        <v>30.983333333333334</v>
      </c>
      <c r="I978" s="32"/>
      <c r="J978" s="381">
        <f t="shared" si="158"/>
        <v>0</v>
      </c>
      <c r="K978" s="383">
        <v>30.983333333333334</v>
      </c>
      <c r="L978" s="31"/>
      <c r="M978" s="381">
        <f t="shared" si="159"/>
        <v>0</v>
      </c>
      <c r="N978" s="383">
        <v>30.983333333333334</v>
      </c>
      <c r="O978" s="32"/>
      <c r="P978" s="381">
        <f t="shared" si="160"/>
        <v>0</v>
      </c>
      <c r="Q978" s="383">
        <v>30.983333333333334</v>
      </c>
      <c r="R978" s="32"/>
      <c r="S978" s="25">
        <f t="shared" si="161"/>
        <v>0</v>
      </c>
      <c r="T978" s="383">
        <v>30.983333333333334</v>
      </c>
      <c r="U978" s="32"/>
      <c r="V978" s="25">
        <f t="shared" si="164"/>
        <v>0</v>
      </c>
      <c r="W978" s="32">
        <f t="shared" si="165"/>
        <v>30.983333333333334</v>
      </c>
      <c r="X978" s="32">
        <f t="shared" si="162"/>
        <v>0</v>
      </c>
      <c r="Y978" s="381">
        <f t="shared" si="163"/>
        <v>0</v>
      </c>
    </row>
    <row r="979" spans="1:25" x14ac:dyDescent="0.2">
      <c r="A979" s="24">
        <f t="shared" si="155"/>
        <v>5.6553809184999499</v>
      </c>
      <c r="B979" s="383">
        <v>31.983333333333334</v>
      </c>
      <c r="C979" s="32"/>
      <c r="D979" s="381">
        <f t="shared" si="156"/>
        <v>0</v>
      </c>
      <c r="E979" s="383">
        <v>31.983333333333334</v>
      </c>
      <c r="F979" s="8"/>
      <c r="G979" s="381">
        <f t="shared" si="157"/>
        <v>0</v>
      </c>
      <c r="H979" s="383">
        <v>31.983333333333334</v>
      </c>
      <c r="I979" s="32"/>
      <c r="J979" s="381">
        <f t="shared" si="158"/>
        <v>0</v>
      </c>
      <c r="K979" s="383">
        <v>31.983333333333334</v>
      </c>
      <c r="L979" s="31"/>
      <c r="M979" s="381">
        <f t="shared" si="159"/>
        <v>0</v>
      </c>
      <c r="N979" s="383">
        <v>31.983333333333334</v>
      </c>
      <c r="O979" s="32"/>
      <c r="P979" s="381">
        <f t="shared" si="160"/>
        <v>0</v>
      </c>
      <c r="Q979" s="383">
        <v>31.983333333333334</v>
      </c>
      <c r="R979" s="32"/>
      <c r="S979" s="25">
        <f t="shared" si="161"/>
        <v>0</v>
      </c>
      <c r="T979" s="383">
        <v>31.983333333333334</v>
      </c>
      <c r="U979" s="32"/>
      <c r="V979" s="25">
        <f t="shared" si="164"/>
        <v>0</v>
      </c>
      <c r="W979" s="32">
        <f t="shared" si="165"/>
        <v>31.983333333333334</v>
      </c>
      <c r="X979" s="32">
        <f t="shared" si="162"/>
        <v>0</v>
      </c>
      <c r="Y979" s="381">
        <f t="shared" si="163"/>
        <v>0</v>
      </c>
    </row>
    <row r="980" spans="1:25" x14ac:dyDescent="0.2">
      <c r="A980" s="24">
        <f t="shared" si="155"/>
        <v>5.7431118161962802</v>
      </c>
      <c r="B980" s="383">
        <v>32.983333333333334</v>
      </c>
      <c r="C980" s="32"/>
      <c r="D980" s="381">
        <f t="shared" si="156"/>
        <v>0</v>
      </c>
      <c r="E980" s="383">
        <v>32.983333333333334</v>
      </c>
      <c r="F980" s="8"/>
      <c r="G980" s="381">
        <f t="shared" si="157"/>
        <v>0</v>
      </c>
      <c r="H980" s="383">
        <v>32.983333333333334</v>
      </c>
      <c r="I980" s="32"/>
      <c r="J980" s="381">
        <f t="shared" si="158"/>
        <v>0</v>
      </c>
      <c r="K980" s="383">
        <v>32.983333333333334</v>
      </c>
      <c r="L980" s="31"/>
      <c r="M980" s="381">
        <f t="shared" si="159"/>
        <v>0</v>
      </c>
      <c r="N980" s="383">
        <v>32.983333333333334</v>
      </c>
      <c r="O980" s="32"/>
      <c r="P980" s="381">
        <f t="shared" si="160"/>
        <v>0</v>
      </c>
      <c r="Q980" s="383">
        <v>32.983333333333334</v>
      </c>
      <c r="R980" s="32"/>
      <c r="S980" s="25">
        <f t="shared" si="161"/>
        <v>0</v>
      </c>
      <c r="T980" s="383">
        <v>32.983333333333334</v>
      </c>
      <c r="U980" s="32"/>
      <c r="V980" s="25">
        <f t="shared" si="164"/>
        <v>0</v>
      </c>
      <c r="W980" s="32">
        <f t="shared" si="165"/>
        <v>32.983333333333334</v>
      </c>
      <c r="X980" s="32">
        <f t="shared" si="162"/>
        <v>0</v>
      </c>
      <c r="Y980" s="381">
        <f t="shared" si="163"/>
        <v>0</v>
      </c>
    </row>
    <row r="981" spans="1:25" x14ac:dyDescent="0.2">
      <c r="A981" s="24">
        <f t="shared" si="155"/>
        <v>5.8309518948453007</v>
      </c>
      <c r="B981" s="383">
        <v>34</v>
      </c>
      <c r="C981" s="32"/>
      <c r="D981" s="381">
        <f t="shared" si="156"/>
        <v>0</v>
      </c>
      <c r="E981" s="383">
        <v>34</v>
      </c>
      <c r="F981" s="8"/>
      <c r="G981" s="381">
        <f t="shared" si="157"/>
        <v>0</v>
      </c>
      <c r="H981" s="383">
        <v>34</v>
      </c>
      <c r="I981" s="32"/>
      <c r="J981" s="381">
        <f t="shared" si="158"/>
        <v>0</v>
      </c>
      <c r="K981" s="383">
        <v>34</v>
      </c>
      <c r="L981" s="31"/>
      <c r="M981" s="381">
        <f t="shared" si="159"/>
        <v>0</v>
      </c>
      <c r="N981" s="383">
        <v>34</v>
      </c>
      <c r="O981" s="32"/>
      <c r="P981" s="381">
        <f t="shared" si="160"/>
        <v>0</v>
      </c>
      <c r="Q981" s="383">
        <v>34</v>
      </c>
      <c r="R981" s="32"/>
      <c r="S981" s="25">
        <f t="shared" si="161"/>
        <v>0</v>
      </c>
      <c r="T981" s="383">
        <v>34</v>
      </c>
      <c r="U981" s="32"/>
      <c r="V981" s="25">
        <f t="shared" si="164"/>
        <v>0</v>
      </c>
      <c r="W981" s="32">
        <f t="shared" si="165"/>
        <v>34</v>
      </c>
      <c r="X981" s="32">
        <f t="shared" si="162"/>
        <v>0</v>
      </c>
      <c r="Y981" s="381">
        <f t="shared" si="163"/>
        <v>0</v>
      </c>
    </row>
    <row r="982" spans="1:25" x14ac:dyDescent="0.2">
      <c r="A982" s="24">
        <f t="shared" si="155"/>
        <v>5.9160797830996161</v>
      </c>
      <c r="B982" s="383">
        <v>35</v>
      </c>
      <c r="C982" s="32"/>
      <c r="D982" s="381">
        <f t="shared" si="156"/>
        <v>0</v>
      </c>
      <c r="E982" s="383">
        <v>35</v>
      </c>
      <c r="F982" s="8"/>
      <c r="G982" s="381">
        <f t="shared" si="157"/>
        <v>0</v>
      </c>
      <c r="H982" s="383">
        <v>35</v>
      </c>
      <c r="I982" s="32"/>
      <c r="J982" s="381">
        <f t="shared" si="158"/>
        <v>0</v>
      </c>
      <c r="K982" s="383">
        <v>35</v>
      </c>
      <c r="L982" s="31"/>
      <c r="M982" s="381">
        <f t="shared" si="159"/>
        <v>0</v>
      </c>
      <c r="N982" s="383">
        <v>35</v>
      </c>
      <c r="O982" s="32"/>
      <c r="P982" s="381">
        <f t="shared" si="160"/>
        <v>0</v>
      </c>
      <c r="Q982" s="383">
        <v>35</v>
      </c>
      <c r="R982" s="32"/>
      <c r="S982" s="25">
        <f t="shared" si="161"/>
        <v>0</v>
      </c>
      <c r="T982" s="383">
        <v>35</v>
      </c>
      <c r="U982" s="32"/>
      <c r="V982" s="25">
        <f t="shared" si="164"/>
        <v>0</v>
      </c>
      <c r="W982" s="32">
        <f t="shared" si="165"/>
        <v>35</v>
      </c>
      <c r="X982" s="32">
        <f t="shared" si="162"/>
        <v>0</v>
      </c>
      <c r="Y982" s="381">
        <f t="shared" si="163"/>
        <v>0</v>
      </c>
    </row>
    <row r="983" spans="1:25" x14ac:dyDescent="0.2">
      <c r="A983" s="24">
        <f t="shared" si="155"/>
        <v>5.9986109503228606</v>
      </c>
      <c r="B983" s="383">
        <v>35.983333333333334</v>
      </c>
      <c r="C983" s="32"/>
      <c r="D983" s="381">
        <f t="shared" si="156"/>
        <v>0</v>
      </c>
      <c r="E983" s="383">
        <v>35.983333333333334</v>
      </c>
      <c r="F983" s="8"/>
      <c r="G983" s="381">
        <f t="shared" si="157"/>
        <v>0</v>
      </c>
      <c r="H983" s="383">
        <v>35.983333333333334</v>
      </c>
      <c r="I983" s="32"/>
      <c r="J983" s="381">
        <f t="shared" si="158"/>
        <v>0</v>
      </c>
      <c r="K983" s="383">
        <v>35.983333333333334</v>
      </c>
      <c r="L983" s="31"/>
      <c r="M983" s="381">
        <f t="shared" si="159"/>
        <v>0</v>
      </c>
      <c r="N983" s="383">
        <v>35.983333333333334</v>
      </c>
      <c r="O983" s="32"/>
      <c r="P983" s="381">
        <f t="shared" si="160"/>
        <v>0</v>
      </c>
      <c r="Q983" s="383">
        <v>35.983333333333334</v>
      </c>
      <c r="R983" s="32"/>
      <c r="S983" s="25">
        <f t="shared" si="161"/>
        <v>0</v>
      </c>
      <c r="T983" s="383">
        <v>35.983333333333334</v>
      </c>
      <c r="U983" s="32"/>
      <c r="V983" s="25">
        <f t="shared" si="164"/>
        <v>0</v>
      </c>
      <c r="W983" s="32">
        <f t="shared" si="165"/>
        <v>35.983333333333334</v>
      </c>
      <c r="X983" s="32">
        <f t="shared" si="162"/>
        <v>0</v>
      </c>
      <c r="Y983" s="381">
        <f t="shared" si="163"/>
        <v>0</v>
      </c>
    </row>
    <row r="984" spans="1:25" x14ac:dyDescent="0.2">
      <c r="A984" s="24">
        <f t="shared" si="155"/>
        <v>6.0813923844242561</v>
      </c>
      <c r="B984" s="383">
        <v>36.983333333333334</v>
      </c>
      <c r="C984" s="32"/>
      <c r="D984" s="381">
        <f t="shared" si="156"/>
        <v>0</v>
      </c>
      <c r="E984" s="383">
        <v>36.983333333333334</v>
      </c>
      <c r="F984" s="8"/>
      <c r="G984" s="381">
        <f t="shared" si="157"/>
        <v>0</v>
      </c>
      <c r="H984" s="383">
        <v>36.983333333333334</v>
      </c>
      <c r="I984" s="32"/>
      <c r="J984" s="381">
        <f t="shared" si="158"/>
        <v>0</v>
      </c>
      <c r="K984" s="383">
        <v>36.983333333333334</v>
      </c>
      <c r="L984" s="31"/>
      <c r="M984" s="381">
        <f t="shared" si="159"/>
        <v>0</v>
      </c>
      <c r="N984" s="383">
        <v>36.983333333333334</v>
      </c>
      <c r="O984" s="32"/>
      <c r="P984" s="381">
        <f t="shared" si="160"/>
        <v>0</v>
      </c>
      <c r="Q984" s="383">
        <v>36.983333333333334</v>
      </c>
      <c r="R984" s="32"/>
      <c r="S984" s="25">
        <f t="shared" si="161"/>
        <v>0</v>
      </c>
      <c r="T984" s="383">
        <v>36.983333333333334</v>
      </c>
      <c r="U984" s="32"/>
      <c r="V984" s="25">
        <f t="shared" si="164"/>
        <v>0</v>
      </c>
      <c r="W984" s="32">
        <f t="shared" si="165"/>
        <v>36.983333333333334</v>
      </c>
      <c r="X984" s="32">
        <f t="shared" si="162"/>
        <v>0</v>
      </c>
      <c r="Y984" s="381">
        <f t="shared" si="163"/>
        <v>0</v>
      </c>
    </row>
    <row r="985" spans="1:25" x14ac:dyDescent="0.2">
      <c r="A985" s="24">
        <f t="shared" si="155"/>
        <v>6.1630620095317337</v>
      </c>
      <c r="B985" s="383">
        <v>37.983333333333334</v>
      </c>
      <c r="C985" s="32"/>
      <c r="D985" s="381">
        <f t="shared" si="156"/>
        <v>0</v>
      </c>
      <c r="E985" s="383">
        <v>37.983333333333334</v>
      </c>
      <c r="F985" s="8"/>
      <c r="G985" s="381">
        <f t="shared" si="157"/>
        <v>0</v>
      </c>
      <c r="H985" s="383">
        <v>37.983333333333334</v>
      </c>
      <c r="I985" s="32"/>
      <c r="J985" s="381">
        <f t="shared" si="158"/>
        <v>0</v>
      </c>
      <c r="K985" s="383">
        <v>37.983333333333334</v>
      </c>
      <c r="L985" s="31"/>
      <c r="M985" s="381">
        <f t="shared" si="159"/>
        <v>0</v>
      </c>
      <c r="N985" s="383">
        <v>37.983333333333334</v>
      </c>
      <c r="O985" s="32"/>
      <c r="P985" s="381">
        <f t="shared" si="160"/>
        <v>0</v>
      </c>
      <c r="Q985" s="383">
        <v>37.983333333333334</v>
      </c>
      <c r="R985" s="32"/>
      <c r="S985" s="25">
        <f t="shared" si="161"/>
        <v>0</v>
      </c>
      <c r="T985" s="383">
        <v>37.983333333333334</v>
      </c>
      <c r="U985" s="32"/>
      <c r="V985" s="25">
        <f t="shared" si="164"/>
        <v>0</v>
      </c>
      <c r="W985" s="32">
        <f t="shared" si="165"/>
        <v>37.983333333333334</v>
      </c>
      <c r="X985" s="32">
        <f t="shared" si="162"/>
        <v>0</v>
      </c>
      <c r="Y985" s="381">
        <f t="shared" si="163"/>
        <v>0</v>
      </c>
    </row>
    <row r="986" spans="1:25" x14ac:dyDescent="0.2">
      <c r="A986" s="24">
        <f t="shared" si="155"/>
        <v>6.2436634545219789</v>
      </c>
      <c r="B986" s="383">
        <v>38.983333333333334</v>
      </c>
      <c r="C986" s="32"/>
      <c r="D986" s="381">
        <f t="shared" si="156"/>
        <v>0</v>
      </c>
      <c r="E986" s="383">
        <v>38.983333333333334</v>
      </c>
      <c r="F986" s="8"/>
      <c r="G986" s="381">
        <f t="shared" si="157"/>
        <v>0</v>
      </c>
      <c r="H986" s="383">
        <v>38.983333333333334</v>
      </c>
      <c r="I986" s="32"/>
      <c r="J986" s="381">
        <f t="shared" si="158"/>
        <v>0</v>
      </c>
      <c r="K986" s="383">
        <v>38.983333333333334</v>
      </c>
      <c r="L986" s="31"/>
      <c r="M986" s="381">
        <f t="shared" si="159"/>
        <v>0</v>
      </c>
      <c r="N986" s="383">
        <v>38.983333333333334</v>
      </c>
      <c r="O986" s="32"/>
      <c r="P986" s="381">
        <f t="shared" si="160"/>
        <v>0</v>
      </c>
      <c r="Q986" s="383">
        <v>38.983333333333334</v>
      </c>
      <c r="R986" s="32"/>
      <c r="S986" s="25">
        <f t="shared" si="161"/>
        <v>0</v>
      </c>
      <c r="T986" s="383">
        <v>38.983333333333334</v>
      </c>
      <c r="U986" s="32"/>
      <c r="V986" s="25">
        <f t="shared" si="164"/>
        <v>0</v>
      </c>
      <c r="W986" s="32">
        <f t="shared" si="165"/>
        <v>38.983333333333334</v>
      </c>
      <c r="X986" s="32">
        <f t="shared" si="162"/>
        <v>0</v>
      </c>
      <c r="Y986" s="381">
        <f t="shared" si="163"/>
        <v>0</v>
      </c>
    </row>
    <row r="987" spans="1:25" x14ac:dyDescent="0.2">
      <c r="A987" s="24">
        <f t="shared" si="155"/>
        <v>6.323237567364786</v>
      </c>
      <c r="B987" s="383">
        <v>39.983333333333334</v>
      </c>
      <c r="C987" s="32"/>
      <c r="D987" s="381">
        <f t="shared" si="156"/>
        <v>0</v>
      </c>
      <c r="E987" s="383">
        <v>39.983333333333334</v>
      </c>
      <c r="F987" s="8"/>
      <c r="G987" s="381">
        <f t="shared" si="157"/>
        <v>0</v>
      </c>
      <c r="H987" s="383">
        <v>39.983333333333334</v>
      </c>
      <c r="I987" s="32"/>
      <c r="J987" s="381">
        <f t="shared" si="158"/>
        <v>0</v>
      </c>
      <c r="K987" s="383">
        <v>39.983333333333334</v>
      </c>
      <c r="L987" s="31"/>
      <c r="M987" s="381">
        <f t="shared" si="159"/>
        <v>0</v>
      </c>
      <c r="N987" s="383">
        <v>39.983333333333334</v>
      </c>
      <c r="O987" s="32"/>
      <c r="P987" s="381">
        <f t="shared" si="160"/>
        <v>0</v>
      </c>
      <c r="Q987" s="383">
        <v>39.983333333333334</v>
      </c>
      <c r="R987" s="32"/>
      <c r="S987" s="25">
        <f t="shared" si="161"/>
        <v>0</v>
      </c>
      <c r="T987" s="383">
        <v>39.983333333333334</v>
      </c>
      <c r="U987" s="32"/>
      <c r="V987" s="25">
        <f t="shared" si="164"/>
        <v>0</v>
      </c>
      <c r="W987" s="32">
        <f t="shared" si="165"/>
        <v>39.983333333333334</v>
      </c>
      <c r="X987" s="32">
        <f t="shared" si="162"/>
        <v>0</v>
      </c>
      <c r="Y987" s="381">
        <f t="shared" si="163"/>
        <v>0</v>
      </c>
    </row>
    <row r="988" spans="1:25" x14ac:dyDescent="0.2">
      <c r="A988" s="24">
        <f t="shared" si="155"/>
        <v>6.4031242374328485</v>
      </c>
      <c r="B988" s="383">
        <v>41</v>
      </c>
      <c r="C988" s="32"/>
      <c r="D988" s="381">
        <f t="shared" si="156"/>
        <v>0</v>
      </c>
      <c r="E988" s="383">
        <v>41</v>
      </c>
      <c r="F988" s="8"/>
      <c r="G988" s="381">
        <f t="shared" si="157"/>
        <v>0</v>
      </c>
      <c r="H988" s="383">
        <v>41</v>
      </c>
      <c r="I988" s="32"/>
      <c r="J988" s="381">
        <f t="shared" si="158"/>
        <v>0</v>
      </c>
      <c r="K988" s="383">
        <v>41</v>
      </c>
      <c r="L988" s="31"/>
      <c r="M988" s="381">
        <f t="shared" si="159"/>
        <v>0</v>
      </c>
      <c r="N988" s="383">
        <v>41</v>
      </c>
      <c r="O988" s="32"/>
      <c r="P988" s="381">
        <f t="shared" si="160"/>
        <v>0</v>
      </c>
      <c r="Q988" s="383">
        <v>41</v>
      </c>
      <c r="R988" s="32"/>
      <c r="S988" s="25">
        <f t="shared" si="161"/>
        <v>0</v>
      </c>
      <c r="T988" s="383">
        <v>41</v>
      </c>
      <c r="U988" s="32"/>
      <c r="V988" s="25">
        <f t="shared" si="164"/>
        <v>0</v>
      </c>
      <c r="W988" s="32">
        <f t="shared" si="165"/>
        <v>41</v>
      </c>
      <c r="X988" s="32">
        <f t="shared" si="162"/>
        <v>0</v>
      </c>
      <c r="Y988" s="381">
        <f t="shared" si="163"/>
        <v>0</v>
      </c>
    </row>
    <row r="989" spans="1:25" x14ac:dyDescent="0.2">
      <c r="A989" s="24">
        <f t="shared" si="155"/>
        <v>6.4807406984078604</v>
      </c>
      <c r="B989" s="383">
        <v>42</v>
      </c>
      <c r="C989" s="32"/>
      <c r="D989" s="381">
        <f t="shared" si="156"/>
        <v>0</v>
      </c>
      <c r="E989" s="383">
        <v>42</v>
      </c>
      <c r="F989" s="8"/>
      <c r="G989" s="381">
        <f t="shared" si="157"/>
        <v>0</v>
      </c>
      <c r="H989" s="383">
        <v>42</v>
      </c>
      <c r="I989" s="32"/>
      <c r="J989" s="381">
        <f t="shared" si="158"/>
        <v>0</v>
      </c>
      <c r="K989" s="383">
        <v>42</v>
      </c>
      <c r="L989" s="31"/>
      <c r="M989" s="381">
        <f t="shared" si="159"/>
        <v>0</v>
      </c>
      <c r="N989" s="383">
        <v>42</v>
      </c>
      <c r="O989" s="32"/>
      <c r="P989" s="381">
        <f t="shared" si="160"/>
        <v>0</v>
      </c>
      <c r="Q989" s="383">
        <v>42</v>
      </c>
      <c r="R989" s="32"/>
      <c r="S989" s="25">
        <f t="shared" si="161"/>
        <v>0</v>
      </c>
      <c r="T989" s="383">
        <v>42</v>
      </c>
      <c r="U989" s="32"/>
      <c r="V989" s="25">
        <f t="shared" si="164"/>
        <v>0</v>
      </c>
      <c r="W989" s="32">
        <f t="shared" si="165"/>
        <v>42</v>
      </c>
      <c r="X989" s="32">
        <f t="shared" si="162"/>
        <v>0</v>
      </c>
      <c r="Y989" s="381">
        <f t="shared" si="163"/>
        <v>0</v>
      </c>
    </row>
    <row r="990" spans="1:25" x14ac:dyDescent="0.2">
      <c r="A990" s="24">
        <f t="shared" si="155"/>
        <v>6.5574385243020004</v>
      </c>
      <c r="B990" s="383">
        <v>43</v>
      </c>
      <c r="C990" s="32"/>
      <c r="D990" s="381">
        <f t="shared" si="156"/>
        <v>0</v>
      </c>
      <c r="E990" s="383">
        <v>43</v>
      </c>
      <c r="F990" s="8"/>
      <c r="G990" s="381">
        <f t="shared" si="157"/>
        <v>0</v>
      </c>
      <c r="H990" s="383">
        <v>43</v>
      </c>
      <c r="I990" s="32"/>
      <c r="J990" s="381">
        <f t="shared" si="158"/>
        <v>0</v>
      </c>
      <c r="K990" s="383">
        <v>43</v>
      </c>
      <c r="L990" s="31"/>
      <c r="M990" s="381">
        <f t="shared" si="159"/>
        <v>0</v>
      </c>
      <c r="N990" s="383">
        <v>43</v>
      </c>
      <c r="O990" s="32"/>
      <c r="P990" s="381">
        <f t="shared" si="160"/>
        <v>0</v>
      </c>
      <c r="Q990" s="383">
        <v>43</v>
      </c>
      <c r="R990" s="32"/>
      <c r="S990" s="25">
        <f t="shared" si="161"/>
        <v>0</v>
      </c>
      <c r="T990" s="383">
        <v>43</v>
      </c>
      <c r="U990" s="32"/>
      <c r="V990" s="25">
        <f t="shared" si="164"/>
        <v>0</v>
      </c>
      <c r="W990" s="32">
        <f t="shared" si="165"/>
        <v>43</v>
      </c>
      <c r="X990" s="32">
        <f t="shared" si="162"/>
        <v>0</v>
      </c>
      <c r="Y990" s="381">
        <f t="shared" si="163"/>
        <v>0</v>
      </c>
    </row>
    <row r="991" spans="1:25" x14ac:dyDescent="0.2">
      <c r="A991" s="24">
        <f t="shared" si="155"/>
        <v>6.6319931644516439</v>
      </c>
      <c r="B991" s="383">
        <v>43.983333333333334</v>
      </c>
      <c r="C991" s="32"/>
      <c r="D991" s="381">
        <f t="shared" si="156"/>
        <v>0</v>
      </c>
      <c r="E991" s="383">
        <v>43.983333333333334</v>
      </c>
      <c r="F991" s="8"/>
      <c r="G991" s="381">
        <f t="shared" si="157"/>
        <v>0</v>
      </c>
      <c r="H991" s="383">
        <v>43.983333333333334</v>
      </c>
      <c r="I991" s="32"/>
      <c r="J991" s="381">
        <f t="shared" si="158"/>
        <v>0</v>
      </c>
      <c r="K991" s="383">
        <v>43.983333333333334</v>
      </c>
      <c r="L991" s="31"/>
      <c r="M991" s="381">
        <f t="shared" si="159"/>
        <v>0</v>
      </c>
      <c r="N991" s="383">
        <v>43.983333333333334</v>
      </c>
      <c r="O991" s="32"/>
      <c r="P991" s="381">
        <f t="shared" si="160"/>
        <v>0</v>
      </c>
      <c r="Q991" s="383">
        <v>43.983333333333334</v>
      </c>
      <c r="R991" s="32"/>
      <c r="S991" s="25">
        <f t="shared" si="161"/>
        <v>0</v>
      </c>
      <c r="T991" s="383">
        <v>43.983333333333334</v>
      </c>
      <c r="U991" s="32"/>
      <c r="V991" s="25">
        <f t="shared" si="164"/>
        <v>0</v>
      </c>
      <c r="W991" s="32">
        <f t="shared" si="165"/>
        <v>43.983333333333334</v>
      </c>
      <c r="X991" s="32">
        <f t="shared" si="162"/>
        <v>0</v>
      </c>
      <c r="Y991" s="381">
        <f t="shared" si="163"/>
        <v>0</v>
      </c>
    </row>
    <row r="992" spans="1:25" x14ac:dyDescent="0.2">
      <c r="A992" s="24">
        <f t="shared" si="155"/>
        <v>6.7069615574664905</v>
      </c>
      <c r="B992" s="383">
        <v>44.983333333333334</v>
      </c>
      <c r="C992" s="32"/>
      <c r="D992" s="381">
        <f t="shared" si="156"/>
        <v>0</v>
      </c>
      <c r="E992" s="383">
        <v>44.983333333333334</v>
      </c>
      <c r="F992" s="8"/>
      <c r="G992" s="381">
        <f t="shared" si="157"/>
        <v>0</v>
      </c>
      <c r="H992" s="383">
        <v>44.983333333333334</v>
      </c>
      <c r="I992" s="32"/>
      <c r="J992" s="381">
        <f t="shared" si="158"/>
        <v>0</v>
      </c>
      <c r="K992" s="383">
        <v>44.983333333333334</v>
      </c>
      <c r="L992" s="31"/>
      <c r="M992" s="381">
        <f t="shared" si="159"/>
        <v>0</v>
      </c>
      <c r="N992" s="383">
        <v>44.983333333333334</v>
      </c>
      <c r="O992" s="32"/>
      <c r="P992" s="381">
        <f t="shared" si="160"/>
        <v>0</v>
      </c>
      <c r="Q992" s="383">
        <v>44.983333333333334</v>
      </c>
      <c r="R992" s="32"/>
      <c r="S992" s="25">
        <f t="shared" si="161"/>
        <v>0</v>
      </c>
      <c r="T992" s="383">
        <v>44.983333333333334</v>
      </c>
      <c r="U992" s="32"/>
      <c r="V992" s="25">
        <f t="shared" si="164"/>
        <v>0</v>
      </c>
      <c r="W992" s="32">
        <f t="shared" si="165"/>
        <v>44.983333333333334</v>
      </c>
      <c r="X992" s="32">
        <f t="shared" si="162"/>
        <v>0</v>
      </c>
      <c r="Y992" s="381">
        <f t="shared" si="163"/>
        <v>0</v>
      </c>
    </row>
    <row r="993" spans="1:25" x14ac:dyDescent="0.2">
      <c r="A993" s="24">
        <f t="shared" si="155"/>
        <v>6.7811011888433974</v>
      </c>
      <c r="B993" s="383">
        <v>45.983333333333334</v>
      </c>
      <c r="C993" s="32"/>
      <c r="D993" s="381">
        <f t="shared" si="156"/>
        <v>0</v>
      </c>
      <c r="E993" s="383">
        <v>45.983333333333334</v>
      </c>
      <c r="F993" s="8"/>
      <c r="G993" s="381">
        <f t="shared" si="157"/>
        <v>0</v>
      </c>
      <c r="H993" s="383">
        <v>45.983333333333334</v>
      </c>
      <c r="I993" s="32"/>
      <c r="J993" s="381">
        <f t="shared" si="158"/>
        <v>0</v>
      </c>
      <c r="K993" s="383">
        <v>45.983333333333334</v>
      </c>
      <c r="L993" s="31"/>
      <c r="M993" s="381">
        <f t="shared" si="159"/>
        <v>0</v>
      </c>
      <c r="N993" s="383">
        <v>45.983333333333334</v>
      </c>
      <c r="O993" s="32"/>
      <c r="P993" s="381">
        <f t="shared" si="160"/>
        <v>0</v>
      </c>
      <c r="Q993" s="383">
        <v>45.983333333333334</v>
      </c>
      <c r="R993" s="32"/>
      <c r="S993" s="25">
        <f t="shared" si="161"/>
        <v>0</v>
      </c>
      <c r="T993" s="383">
        <v>45.983333333333334</v>
      </c>
      <c r="U993" s="32"/>
      <c r="V993" s="25">
        <f t="shared" si="164"/>
        <v>0</v>
      </c>
      <c r="W993" s="32">
        <f t="shared" si="165"/>
        <v>45.983333333333334</v>
      </c>
      <c r="X993" s="32">
        <f t="shared" si="162"/>
        <v>0</v>
      </c>
      <c r="Y993" s="381">
        <f t="shared" si="163"/>
        <v>0</v>
      </c>
    </row>
    <row r="994" spans="1:25" x14ac:dyDescent="0.2">
      <c r="A994" s="24">
        <f t="shared" si="155"/>
        <v>6.8544389510253376</v>
      </c>
      <c r="B994" s="383">
        <v>46.983333333333334</v>
      </c>
      <c r="C994" s="32"/>
      <c r="D994" s="381">
        <f t="shared" si="156"/>
        <v>0</v>
      </c>
      <c r="E994" s="383">
        <v>46.983333333333334</v>
      </c>
      <c r="F994" s="8"/>
      <c r="G994" s="381">
        <f t="shared" si="157"/>
        <v>0</v>
      </c>
      <c r="H994" s="383">
        <v>46.983333333333334</v>
      </c>
      <c r="I994" s="32"/>
      <c r="J994" s="381">
        <f t="shared" si="158"/>
        <v>0</v>
      </c>
      <c r="K994" s="383">
        <v>46.983333333333334</v>
      </c>
      <c r="L994" s="31"/>
      <c r="M994" s="381">
        <f t="shared" si="159"/>
        <v>0</v>
      </c>
      <c r="N994" s="383">
        <v>46.983333333333334</v>
      </c>
      <c r="O994" s="32"/>
      <c r="P994" s="381">
        <f t="shared" si="160"/>
        <v>0</v>
      </c>
      <c r="Q994" s="383">
        <v>46.983333333333334</v>
      </c>
      <c r="R994" s="32"/>
      <c r="S994" s="25">
        <f t="shared" si="161"/>
        <v>0</v>
      </c>
      <c r="T994" s="383">
        <v>46.983333333333334</v>
      </c>
      <c r="U994" s="32"/>
      <c r="V994" s="25">
        <f t="shared" si="164"/>
        <v>0</v>
      </c>
      <c r="W994" s="32">
        <f t="shared" si="165"/>
        <v>46.983333333333334</v>
      </c>
      <c r="X994" s="32">
        <f t="shared" si="162"/>
        <v>0</v>
      </c>
      <c r="Y994" s="381">
        <f t="shared" si="163"/>
        <v>0</v>
      </c>
    </row>
    <row r="995" spans="1:25" x14ac:dyDescent="0.2">
      <c r="A995" s="24">
        <f t="shared" si="155"/>
        <v>6.9282032302755088</v>
      </c>
      <c r="B995" s="383">
        <v>48</v>
      </c>
      <c r="C995" s="32"/>
      <c r="D995" s="381">
        <f t="shared" si="156"/>
        <v>0</v>
      </c>
      <c r="E995" s="383">
        <v>48</v>
      </c>
      <c r="F995" s="8"/>
      <c r="G995" s="381">
        <f t="shared" si="157"/>
        <v>0</v>
      </c>
      <c r="H995" s="383">
        <v>48</v>
      </c>
      <c r="I995" s="32"/>
      <c r="J995" s="381">
        <f t="shared" si="158"/>
        <v>0</v>
      </c>
      <c r="K995" s="383">
        <v>48</v>
      </c>
      <c r="L995" s="31"/>
      <c r="M995" s="381">
        <f t="shared" si="159"/>
        <v>0</v>
      </c>
      <c r="N995" s="383">
        <v>48</v>
      </c>
      <c r="O995" s="32"/>
      <c r="P995" s="381">
        <f t="shared" si="160"/>
        <v>0</v>
      </c>
      <c r="Q995" s="383">
        <v>48</v>
      </c>
      <c r="R995" s="32"/>
      <c r="S995" s="25">
        <f t="shared" si="161"/>
        <v>0</v>
      </c>
      <c r="T995" s="383">
        <v>48</v>
      </c>
      <c r="U995" s="32"/>
      <c r="V995" s="25">
        <f t="shared" si="164"/>
        <v>0</v>
      </c>
      <c r="W995" s="32">
        <f t="shared" si="165"/>
        <v>48</v>
      </c>
      <c r="X995" s="32">
        <f t="shared" si="162"/>
        <v>0</v>
      </c>
      <c r="Y995" s="381">
        <f t="shared" si="163"/>
        <v>0</v>
      </c>
    </row>
    <row r="996" spans="1:25" x14ac:dyDescent="0.2">
      <c r="A996" s="24">
        <f t="shared" si="155"/>
        <v>7</v>
      </c>
      <c r="B996" s="383">
        <v>49</v>
      </c>
      <c r="C996" s="32"/>
      <c r="D996" s="381">
        <f t="shared" si="156"/>
        <v>0</v>
      </c>
      <c r="E996" s="383">
        <v>49</v>
      </c>
      <c r="F996" s="8"/>
      <c r="G996" s="381">
        <f t="shared" si="157"/>
        <v>0</v>
      </c>
      <c r="H996" s="383">
        <v>49</v>
      </c>
      <c r="I996" s="32"/>
      <c r="J996" s="381">
        <f t="shared" si="158"/>
        <v>0</v>
      </c>
      <c r="K996" s="383">
        <v>49</v>
      </c>
      <c r="L996" s="31"/>
      <c r="M996" s="381">
        <f t="shared" si="159"/>
        <v>0</v>
      </c>
      <c r="N996" s="383">
        <v>49</v>
      </c>
      <c r="O996" s="32"/>
      <c r="P996" s="381">
        <f t="shared" si="160"/>
        <v>0</v>
      </c>
      <c r="Q996" s="383">
        <v>49</v>
      </c>
      <c r="R996" s="32"/>
      <c r="S996" s="25">
        <f t="shared" si="161"/>
        <v>0</v>
      </c>
      <c r="T996" s="383">
        <v>49</v>
      </c>
      <c r="U996" s="32"/>
      <c r="V996" s="25">
        <f t="shared" si="164"/>
        <v>0</v>
      </c>
      <c r="W996" s="32">
        <f t="shared" si="165"/>
        <v>49</v>
      </c>
      <c r="X996" s="32">
        <f t="shared" si="162"/>
        <v>0</v>
      </c>
      <c r="Y996" s="381">
        <f t="shared" si="163"/>
        <v>0</v>
      </c>
    </row>
    <row r="997" spans="1:25" x14ac:dyDescent="0.2">
      <c r="A997" s="24">
        <f t="shared" ref="A997:A1060" si="166">SQRT(B997)</f>
        <v>7.0710678118654755</v>
      </c>
      <c r="B997" s="383">
        <v>50</v>
      </c>
      <c r="C997" s="32"/>
      <c r="D997" s="381">
        <f t="shared" si="156"/>
        <v>0</v>
      </c>
      <c r="E997" s="383">
        <v>50</v>
      </c>
      <c r="F997" s="8"/>
      <c r="G997" s="381">
        <f t="shared" si="157"/>
        <v>0</v>
      </c>
      <c r="H997" s="383">
        <v>50</v>
      </c>
      <c r="I997" s="32"/>
      <c r="J997" s="381">
        <f t="shared" si="158"/>
        <v>0</v>
      </c>
      <c r="K997" s="383">
        <v>50</v>
      </c>
      <c r="L997" s="31"/>
      <c r="M997" s="381">
        <f t="shared" si="159"/>
        <v>0</v>
      </c>
      <c r="N997" s="383">
        <v>50</v>
      </c>
      <c r="O997" s="32"/>
      <c r="P997" s="381">
        <f t="shared" si="160"/>
        <v>0</v>
      </c>
      <c r="Q997" s="383">
        <v>50</v>
      </c>
      <c r="R997" s="32"/>
      <c r="S997" s="25">
        <f t="shared" si="161"/>
        <v>0</v>
      </c>
      <c r="T997" s="383">
        <v>50</v>
      </c>
      <c r="U997" s="32"/>
      <c r="V997" s="25">
        <f t="shared" si="164"/>
        <v>0</v>
      </c>
      <c r="W997" s="32">
        <f t="shared" si="165"/>
        <v>50</v>
      </c>
      <c r="X997" s="32">
        <f t="shared" si="162"/>
        <v>0</v>
      </c>
      <c r="Y997" s="381">
        <f t="shared" si="163"/>
        <v>0</v>
      </c>
    </row>
    <row r="998" spans="1:25" x14ac:dyDescent="0.2">
      <c r="A998" s="24">
        <f t="shared" si="166"/>
        <v>7.1402614331222729</v>
      </c>
      <c r="B998" s="383">
        <v>50.983333333333334</v>
      </c>
      <c r="C998" s="32"/>
      <c r="D998" s="381">
        <f t="shared" si="156"/>
        <v>0</v>
      </c>
      <c r="E998" s="383">
        <v>50.983333333333334</v>
      </c>
      <c r="F998" s="8"/>
      <c r="G998" s="381">
        <f t="shared" si="157"/>
        <v>0</v>
      </c>
      <c r="H998" s="383">
        <v>50.983333333333334</v>
      </c>
      <c r="I998" s="32"/>
      <c r="J998" s="381">
        <f t="shared" si="158"/>
        <v>0</v>
      </c>
      <c r="K998" s="383">
        <v>50.983333333333334</v>
      </c>
      <c r="L998" s="31"/>
      <c r="M998" s="381">
        <f t="shared" si="159"/>
        <v>0</v>
      </c>
      <c r="N998" s="383">
        <v>50.983333333333334</v>
      </c>
      <c r="O998" s="32"/>
      <c r="P998" s="381">
        <f t="shared" si="160"/>
        <v>0</v>
      </c>
      <c r="Q998" s="383">
        <v>50.983333333333334</v>
      </c>
      <c r="R998" s="32"/>
      <c r="S998" s="25">
        <f t="shared" si="161"/>
        <v>0</v>
      </c>
      <c r="T998" s="383">
        <v>50.983333333333334</v>
      </c>
      <c r="U998" s="32"/>
      <c r="V998" s="25">
        <f t="shared" si="164"/>
        <v>0</v>
      </c>
      <c r="W998" s="32">
        <f t="shared" si="165"/>
        <v>50.983333333333334</v>
      </c>
      <c r="X998" s="32">
        <f t="shared" si="162"/>
        <v>0</v>
      </c>
      <c r="Y998" s="381">
        <f t="shared" si="163"/>
        <v>0</v>
      </c>
    </row>
    <row r="999" spans="1:25" x14ac:dyDescent="0.2">
      <c r="A999" s="24">
        <f t="shared" si="166"/>
        <v>7.2099468329061436</v>
      </c>
      <c r="B999" s="383">
        <v>51.983333333333334</v>
      </c>
      <c r="C999" s="32"/>
      <c r="D999" s="381">
        <f t="shared" si="156"/>
        <v>0</v>
      </c>
      <c r="E999" s="383">
        <v>51.983333333333334</v>
      </c>
      <c r="F999" s="8"/>
      <c r="G999" s="381">
        <f t="shared" si="157"/>
        <v>0</v>
      </c>
      <c r="H999" s="383">
        <v>51.983333333333334</v>
      </c>
      <c r="I999" s="32"/>
      <c r="J999" s="381">
        <f t="shared" si="158"/>
        <v>0</v>
      </c>
      <c r="K999" s="383">
        <v>51.983333333333334</v>
      </c>
      <c r="L999" s="31"/>
      <c r="M999" s="381">
        <f t="shared" si="159"/>
        <v>0</v>
      </c>
      <c r="N999" s="383">
        <v>51.983333333333334</v>
      </c>
      <c r="O999" s="32"/>
      <c r="P999" s="381">
        <f t="shared" si="160"/>
        <v>0</v>
      </c>
      <c r="Q999" s="383">
        <v>51.983333333333334</v>
      </c>
      <c r="R999" s="32"/>
      <c r="S999" s="25">
        <f t="shared" si="161"/>
        <v>0</v>
      </c>
      <c r="T999" s="383">
        <v>51.983333333333334</v>
      </c>
      <c r="U999" s="32"/>
      <c r="V999" s="25">
        <f t="shared" si="164"/>
        <v>0</v>
      </c>
      <c r="W999" s="32">
        <f t="shared" si="165"/>
        <v>51.983333333333334</v>
      </c>
      <c r="X999" s="32">
        <f t="shared" si="162"/>
        <v>0</v>
      </c>
      <c r="Y999" s="381">
        <f t="shared" si="163"/>
        <v>0</v>
      </c>
    </row>
    <row r="1000" spans="1:25" x14ac:dyDescent="0.2">
      <c r="A1000" s="24">
        <f t="shared" si="166"/>
        <v>7.2789651279102401</v>
      </c>
      <c r="B1000" s="383">
        <v>52.983333333333334</v>
      </c>
      <c r="C1000" s="32"/>
      <c r="D1000" s="381">
        <f t="shared" si="156"/>
        <v>0</v>
      </c>
      <c r="E1000" s="383">
        <v>52.983333333333334</v>
      </c>
      <c r="F1000" s="8"/>
      <c r="G1000" s="381">
        <f t="shared" si="157"/>
        <v>0</v>
      </c>
      <c r="H1000" s="383">
        <v>52.983333333333334</v>
      </c>
      <c r="I1000" s="32"/>
      <c r="J1000" s="381">
        <f t="shared" si="158"/>
        <v>0</v>
      </c>
      <c r="K1000" s="383">
        <v>52.983333333333334</v>
      </c>
      <c r="L1000" s="31"/>
      <c r="M1000" s="381">
        <f t="shared" si="159"/>
        <v>0</v>
      </c>
      <c r="N1000" s="383">
        <v>52.983333333333334</v>
      </c>
      <c r="O1000" s="32"/>
      <c r="P1000" s="381">
        <f t="shared" si="160"/>
        <v>0</v>
      </c>
      <c r="Q1000" s="383">
        <v>52.983333333333334</v>
      </c>
      <c r="R1000" s="32"/>
      <c r="S1000" s="25">
        <f t="shared" si="161"/>
        <v>0</v>
      </c>
      <c r="T1000" s="383">
        <v>52.983333333333334</v>
      </c>
      <c r="U1000" s="32"/>
      <c r="V1000" s="25">
        <f t="shared" si="164"/>
        <v>0</v>
      </c>
      <c r="W1000" s="32">
        <f t="shared" si="165"/>
        <v>52.983333333333334</v>
      </c>
      <c r="X1000" s="32">
        <f t="shared" si="162"/>
        <v>0</v>
      </c>
      <c r="Y1000" s="381">
        <f t="shared" si="163"/>
        <v>0</v>
      </c>
    </row>
    <row r="1001" spans="1:25" x14ac:dyDescent="0.2">
      <c r="A1001" s="24">
        <f t="shared" si="166"/>
        <v>7.3473351178051853</v>
      </c>
      <c r="B1001" s="383">
        <v>53.983333333333334</v>
      </c>
      <c r="C1001" s="32"/>
      <c r="D1001" s="381">
        <f t="shared" si="156"/>
        <v>0</v>
      </c>
      <c r="E1001" s="383">
        <v>53.983333333333334</v>
      </c>
      <c r="F1001" s="8"/>
      <c r="G1001" s="381">
        <f t="shared" si="157"/>
        <v>0</v>
      </c>
      <c r="H1001" s="383">
        <v>53.983333333333334</v>
      </c>
      <c r="I1001" s="32"/>
      <c r="J1001" s="381">
        <f t="shared" si="158"/>
        <v>0</v>
      </c>
      <c r="K1001" s="383">
        <v>53.983333333333334</v>
      </c>
      <c r="L1001" s="31"/>
      <c r="M1001" s="381">
        <f t="shared" si="159"/>
        <v>0</v>
      </c>
      <c r="N1001" s="383">
        <v>53.983333333333334</v>
      </c>
      <c r="O1001" s="32"/>
      <c r="P1001" s="381">
        <f t="shared" si="160"/>
        <v>0</v>
      </c>
      <c r="Q1001" s="383">
        <v>53.983333333333334</v>
      </c>
      <c r="R1001" s="32"/>
      <c r="S1001" s="25">
        <f t="shared" si="161"/>
        <v>0</v>
      </c>
      <c r="T1001" s="383">
        <v>53.983333333333334</v>
      </c>
      <c r="U1001" s="32"/>
      <c r="V1001" s="25">
        <f t="shared" si="164"/>
        <v>0</v>
      </c>
      <c r="W1001" s="32">
        <f t="shared" si="165"/>
        <v>53.983333333333334</v>
      </c>
      <c r="X1001" s="32">
        <f t="shared" si="162"/>
        <v>0</v>
      </c>
      <c r="Y1001" s="381">
        <f t="shared" si="163"/>
        <v>0</v>
      </c>
    </row>
    <row r="1002" spans="1:25" x14ac:dyDescent="0.2">
      <c r="A1002" s="24">
        <f t="shared" si="166"/>
        <v>7.4150747355190783</v>
      </c>
      <c r="B1002" s="383">
        <v>54.983333333333334</v>
      </c>
      <c r="C1002" s="32"/>
      <c r="D1002" s="381">
        <f t="shared" si="156"/>
        <v>0</v>
      </c>
      <c r="E1002" s="383">
        <v>54.983333333333334</v>
      </c>
      <c r="F1002" s="8"/>
      <c r="G1002" s="381">
        <f t="shared" si="157"/>
        <v>0</v>
      </c>
      <c r="H1002" s="383">
        <v>54.983333333333334</v>
      </c>
      <c r="I1002" s="32"/>
      <c r="J1002" s="381">
        <f t="shared" si="158"/>
        <v>0</v>
      </c>
      <c r="K1002" s="383">
        <v>54.983333333333334</v>
      </c>
      <c r="L1002" s="31"/>
      <c r="M1002" s="381">
        <f t="shared" si="159"/>
        <v>0</v>
      </c>
      <c r="N1002" s="383">
        <v>54.983333333333334</v>
      </c>
      <c r="O1002" s="32"/>
      <c r="P1002" s="381">
        <f t="shared" si="160"/>
        <v>0</v>
      </c>
      <c r="Q1002" s="383">
        <v>54.983333333333334</v>
      </c>
      <c r="R1002" s="32"/>
      <c r="S1002" s="25">
        <f t="shared" si="161"/>
        <v>0</v>
      </c>
      <c r="T1002" s="383">
        <v>54.983333333333334</v>
      </c>
      <c r="U1002" s="32"/>
      <c r="V1002" s="25">
        <f t="shared" si="164"/>
        <v>0</v>
      </c>
      <c r="W1002" s="32">
        <f t="shared" si="165"/>
        <v>54.983333333333334</v>
      </c>
      <c r="X1002" s="32">
        <f t="shared" si="162"/>
        <v>0</v>
      </c>
      <c r="Y1002" s="381">
        <f t="shared" si="163"/>
        <v>0</v>
      </c>
    </row>
    <row r="1003" spans="1:25" x14ac:dyDescent="0.2">
      <c r="A1003" s="24">
        <f t="shared" si="166"/>
        <v>7.4833147735478827</v>
      </c>
      <c r="B1003" s="383">
        <v>56</v>
      </c>
      <c r="C1003" s="32"/>
      <c r="D1003" s="381">
        <f t="shared" si="156"/>
        <v>0</v>
      </c>
      <c r="E1003" s="383">
        <v>56</v>
      </c>
      <c r="F1003" s="8"/>
      <c r="G1003" s="381">
        <f t="shared" si="157"/>
        <v>0</v>
      </c>
      <c r="H1003" s="383">
        <v>56</v>
      </c>
      <c r="I1003" s="32"/>
      <c r="J1003" s="381">
        <f t="shared" si="158"/>
        <v>0</v>
      </c>
      <c r="K1003" s="383">
        <v>56</v>
      </c>
      <c r="L1003" s="31"/>
      <c r="M1003" s="381">
        <f t="shared" si="159"/>
        <v>0</v>
      </c>
      <c r="N1003" s="383">
        <v>56</v>
      </c>
      <c r="O1003" s="32"/>
      <c r="P1003" s="381">
        <f t="shared" si="160"/>
        <v>0</v>
      </c>
      <c r="Q1003" s="383">
        <v>56</v>
      </c>
      <c r="R1003" s="32"/>
      <c r="S1003" s="25">
        <f t="shared" si="161"/>
        <v>0</v>
      </c>
      <c r="T1003" s="383">
        <v>56</v>
      </c>
      <c r="U1003" s="32"/>
      <c r="V1003" s="25">
        <f t="shared" si="164"/>
        <v>0</v>
      </c>
      <c r="W1003" s="32">
        <f t="shared" si="165"/>
        <v>56</v>
      </c>
      <c r="X1003" s="32">
        <f t="shared" si="162"/>
        <v>0</v>
      </c>
      <c r="Y1003" s="381">
        <f t="shared" si="163"/>
        <v>0</v>
      </c>
    </row>
    <row r="1004" spans="1:25" x14ac:dyDescent="0.2">
      <c r="A1004" s="24">
        <f t="shared" si="166"/>
        <v>7.5498344352707498</v>
      </c>
      <c r="B1004" s="383">
        <v>57</v>
      </c>
      <c r="C1004" s="32"/>
      <c r="D1004" s="381">
        <f t="shared" si="156"/>
        <v>0</v>
      </c>
      <c r="E1004" s="383">
        <v>57</v>
      </c>
      <c r="F1004" s="8"/>
      <c r="G1004" s="381">
        <f t="shared" si="157"/>
        <v>0</v>
      </c>
      <c r="H1004" s="383">
        <v>57</v>
      </c>
      <c r="I1004" s="32"/>
      <c r="J1004" s="381">
        <f t="shared" si="158"/>
        <v>0</v>
      </c>
      <c r="K1004" s="383">
        <v>57</v>
      </c>
      <c r="L1004" s="31"/>
      <c r="M1004" s="381">
        <f t="shared" si="159"/>
        <v>0</v>
      </c>
      <c r="N1004" s="383">
        <v>57</v>
      </c>
      <c r="O1004" s="32"/>
      <c r="P1004" s="381">
        <f t="shared" si="160"/>
        <v>0</v>
      </c>
      <c r="Q1004" s="383">
        <v>57</v>
      </c>
      <c r="R1004" s="32"/>
      <c r="S1004" s="25">
        <f t="shared" si="161"/>
        <v>0</v>
      </c>
      <c r="T1004" s="383">
        <v>57</v>
      </c>
      <c r="U1004" s="32"/>
      <c r="V1004" s="25">
        <f t="shared" si="164"/>
        <v>0</v>
      </c>
      <c r="W1004" s="32">
        <f t="shared" si="165"/>
        <v>57</v>
      </c>
      <c r="X1004" s="32">
        <f t="shared" si="162"/>
        <v>0</v>
      </c>
      <c r="Y1004" s="381">
        <f t="shared" si="163"/>
        <v>0</v>
      </c>
    </row>
    <row r="1005" spans="1:25" x14ac:dyDescent="0.2">
      <c r="A1005" s="24">
        <f t="shared" si="166"/>
        <v>7.6146788069710025</v>
      </c>
      <c r="B1005" s="383">
        <v>57.983333333333334</v>
      </c>
      <c r="C1005" s="32"/>
      <c r="D1005" s="381">
        <f t="shared" si="156"/>
        <v>0</v>
      </c>
      <c r="E1005" s="383">
        <v>57.983333333333334</v>
      </c>
      <c r="F1005" s="8"/>
      <c r="G1005" s="381">
        <f t="shared" si="157"/>
        <v>0</v>
      </c>
      <c r="H1005" s="383">
        <v>57.983333333333334</v>
      </c>
      <c r="I1005" s="32"/>
      <c r="J1005" s="381">
        <f t="shared" si="158"/>
        <v>0</v>
      </c>
      <c r="K1005" s="383">
        <v>57.983333333333334</v>
      </c>
      <c r="L1005" s="31"/>
      <c r="M1005" s="381">
        <f t="shared" si="159"/>
        <v>0</v>
      </c>
      <c r="N1005" s="383">
        <v>57.983333333333334</v>
      </c>
      <c r="O1005" s="32"/>
      <c r="P1005" s="381">
        <f t="shared" si="160"/>
        <v>0</v>
      </c>
      <c r="Q1005" s="383">
        <v>57.983333333333334</v>
      </c>
      <c r="R1005" s="32"/>
      <c r="S1005" s="25">
        <f t="shared" si="161"/>
        <v>0</v>
      </c>
      <c r="T1005" s="383">
        <v>57.983333333333334</v>
      </c>
      <c r="U1005" s="32"/>
      <c r="V1005" s="25">
        <f t="shared" si="164"/>
        <v>0</v>
      </c>
      <c r="W1005" s="32">
        <f t="shared" si="165"/>
        <v>57.983333333333334</v>
      </c>
      <c r="X1005" s="32">
        <f t="shared" si="162"/>
        <v>0</v>
      </c>
      <c r="Y1005" s="381">
        <f t="shared" si="163"/>
        <v>0</v>
      </c>
    </row>
    <row r="1006" spans="1:25" x14ac:dyDescent="0.2">
      <c r="A1006" s="24">
        <f t="shared" si="166"/>
        <v>7.6800607636485099</v>
      </c>
      <c r="B1006" s="383">
        <v>58.983333333333334</v>
      </c>
      <c r="C1006" s="32"/>
      <c r="D1006" s="381">
        <f t="shared" si="156"/>
        <v>0</v>
      </c>
      <c r="E1006" s="383">
        <v>58.983333333333334</v>
      </c>
      <c r="F1006" s="8"/>
      <c r="G1006" s="381">
        <f t="shared" si="157"/>
        <v>0</v>
      </c>
      <c r="H1006" s="383">
        <v>58.983333333333334</v>
      </c>
      <c r="I1006" s="32"/>
      <c r="J1006" s="381">
        <f t="shared" si="158"/>
        <v>0</v>
      </c>
      <c r="K1006" s="383">
        <v>58.983333333333334</v>
      </c>
      <c r="L1006" s="31"/>
      <c r="M1006" s="381">
        <f t="shared" si="159"/>
        <v>0</v>
      </c>
      <c r="N1006" s="383">
        <v>58.983333333333334</v>
      </c>
      <c r="O1006" s="32"/>
      <c r="P1006" s="381">
        <f t="shared" si="160"/>
        <v>0</v>
      </c>
      <c r="Q1006" s="383">
        <v>58.983333333333334</v>
      </c>
      <c r="R1006" s="32"/>
      <c r="S1006" s="25">
        <f t="shared" si="161"/>
        <v>0</v>
      </c>
      <c r="T1006" s="383">
        <v>58.983333333333334</v>
      </c>
      <c r="U1006" s="32"/>
      <c r="V1006" s="25">
        <f t="shared" si="164"/>
        <v>0</v>
      </c>
      <c r="W1006" s="32">
        <f t="shared" si="165"/>
        <v>58.983333333333334</v>
      </c>
      <c r="X1006" s="32">
        <f t="shared" si="162"/>
        <v>0</v>
      </c>
      <c r="Y1006" s="381">
        <f t="shared" si="163"/>
        <v>0</v>
      </c>
    </row>
    <row r="1007" spans="1:25" x14ac:dyDescent="0.2">
      <c r="A1007" s="24">
        <f t="shared" si="166"/>
        <v>7.744890788986849</v>
      </c>
      <c r="B1007" s="383">
        <v>59.983333333333334</v>
      </c>
      <c r="C1007" s="32"/>
      <c r="D1007" s="381">
        <f t="shared" si="156"/>
        <v>0</v>
      </c>
      <c r="E1007" s="383">
        <v>59.983333333333334</v>
      </c>
      <c r="F1007" s="8"/>
      <c r="G1007" s="381">
        <f t="shared" si="157"/>
        <v>0</v>
      </c>
      <c r="H1007" s="383">
        <v>59.983333333333334</v>
      </c>
      <c r="I1007" s="32"/>
      <c r="J1007" s="381">
        <f t="shared" si="158"/>
        <v>0</v>
      </c>
      <c r="K1007" s="383">
        <v>59.983333333333334</v>
      </c>
      <c r="L1007" s="31"/>
      <c r="M1007" s="381">
        <f t="shared" si="159"/>
        <v>0</v>
      </c>
      <c r="N1007" s="383">
        <v>59.983333333333334</v>
      </c>
      <c r="O1007" s="32"/>
      <c r="P1007" s="381">
        <f t="shared" si="160"/>
        <v>0</v>
      </c>
      <c r="Q1007" s="383">
        <v>59.983333333333334</v>
      </c>
      <c r="R1007" s="32"/>
      <c r="S1007" s="25">
        <f t="shared" si="161"/>
        <v>0</v>
      </c>
      <c r="T1007" s="383">
        <v>59.983333333333334</v>
      </c>
      <c r="U1007" s="32"/>
      <c r="V1007" s="25">
        <f t="shared" si="164"/>
        <v>0</v>
      </c>
      <c r="W1007" s="32">
        <f t="shared" si="165"/>
        <v>59.983333333333334</v>
      </c>
      <c r="X1007" s="32">
        <f t="shared" si="162"/>
        <v>0</v>
      </c>
      <c r="Y1007" s="381">
        <f t="shared" si="163"/>
        <v>0</v>
      </c>
    </row>
    <row r="1008" spans="1:25" x14ac:dyDescent="0.2">
      <c r="A1008" s="24">
        <f t="shared" si="166"/>
        <v>7.8091826290165178</v>
      </c>
      <c r="B1008" s="383">
        <v>60.983333333333334</v>
      </c>
      <c r="C1008" s="32"/>
      <c r="D1008" s="381">
        <f t="shared" si="156"/>
        <v>0</v>
      </c>
      <c r="E1008" s="383">
        <v>60.983333333333334</v>
      </c>
      <c r="F1008" s="8"/>
      <c r="G1008" s="381">
        <f t="shared" si="157"/>
        <v>0</v>
      </c>
      <c r="H1008" s="383">
        <v>60.983333333333334</v>
      </c>
      <c r="I1008" s="32"/>
      <c r="J1008" s="381">
        <f t="shared" si="158"/>
        <v>0</v>
      </c>
      <c r="K1008" s="383">
        <v>60.983333333333334</v>
      </c>
      <c r="L1008" s="31"/>
      <c r="M1008" s="381">
        <f t="shared" si="159"/>
        <v>0</v>
      </c>
      <c r="N1008" s="383">
        <v>60.983333333333334</v>
      </c>
      <c r="O1008" s="32"/>
      <c r="P1008" s="381">
        <f t="shared" si="160"/>
        <v>0</v>
      </c>
      <c r="Q1008" s="383">
        <v>60.983333333333334</v>
      </c>
      <c r="R1008" s="32"/>
      <c r="S1008" s="25">
        <f t="shared" si="161"/>
        <v>0</v>
      </c>
      <c r="T1008" s="383">
        <v>60.983333333333334</v>
      </c>
      <c r="U1008" s="32"/>
      <c r="V1008" s="25">
        <f t="shared" si="164"/>
        <v>0</v>
      </c>
      <c r="W1008" s="32">
        <f t="shared" si="165"/>
        <v>60.983333333333334</v>
      </c>
      <c r="X1008" s="32">
        <f t="shared" si="162"/>
        <v>0</v>
      </c>
      <c r="Y1008" s="381">
        <f t="shared" si="163"/>
        <v>0</v>
      </c>
    </row>
    <row r="1009" spans="1:25" x14ac:dyDescent="0.2">
      <c r="A1009" s="24">
        <f t="shared" si="166"/>
        <v>7.8729494684859587</v>
      </c>
      <c r="B1009" s="383">
        <v>61.983333333333334</v>
      </c>
      <c r="C1009" s="32"/>
      <c r="D1009" s="381">
        <f t="shared" si="156"/>
        <v>0</v>
      </c>
      <c r="E1009" s="383">
        <v>61.983333333333334</v>
      </c>
      <c r="F1009" s="8"/>
      <c r="G1009" s="381">
        <f t="shared" si="157"/>
        <v>0</v>
      </c>
      <c r="H1009" s="383">
        <v>61.983333333333334</v>
      </c>
      <c r="I1009" s="32"/>
      <c r="J1009" s="381">
        <f t="shared" si="158"/>
        <v>0</v>
      </c>
      <c r="K1009" s="383">
        <v>61.983333333333334</v>
      </c>
      <c r="L1009" s="31"/>
      <c r="M1009" s="381">
        <f t="shared" si="159"/>
        <v>0</v>
      </c>
      <c r="N1009" s="383">
        <v>61.983333333333334</v>
      </c>
      <c r="O1009" s="32"/>
      <c r="P1009" s="381">
        <f t="shared" si="160"/>
        <v>0</v>
      </c>
      <c r="Q1009" s="383">
        <v>61.983333333333334</v>
      </c>
      <c r="R1009" s="32"/>
      <c r="S1009" s="25">
        <f t="shared" si="161"/>
        <v>0</v>
      </c>
      <c r="T1009" s="383">
        <v>61.983333333333334</v>
      </c>
      <c r="U1009" s="32"/>
      <c r="V1009" s="25">
        <f t="shared" si="164"/>
        <v>0</v>
      </c>
      <c r="W1009" s="32">
        <f t="shared" si="165"/>
        <v>61.983333333333334</v>
      </c>
      <c r="X1009" s="32">
        <f t="shared" si="162"/>
        <v>0</v>
      </c>
      <c r="Y1009" s="381">
        <f t="shared" si="163"/>
        <v>0</v>
      </c>
    </row>
    <row r="1010" spans="1:25" x14ac:dyDescent="0.2">
      <c r="A1010" s="24">
        <f t="shared" si="166"/>
        <v>7.9372539331937721</v>
      </c>
      <c r="B1010" s="383">
        <v>63</v>
      </c>
      <c r="C1010" s="32"/>
      <c r="D1010" s="381">
        <f t="shared" si="156"/>
        <v>0</v>
      </c>
      <c r="E1010" s="383">
        <v>63</v>
      </c>
      <c r="F1010" s="8"/>
      <c r="G1010" s="381">
        <f t="shared" si="157"/>
        <v>0</v>
      </c>
      <c r="H1010" s="383">
        <v>63</v>
      </c>
      <c r="I1010" s="32"/>
      <c r="J1010" s="381">
        <f t="shared" si="158"/>
        <v>0</v>
      </c>
      <c r="K1010" s="383">
        <v>63</v>
      </c>
      <c r="L1010" s="31"/>
      <c r="M1010" s="381">
        <f t="shared" si="159"/>
        <v>0</v>
      </c>
      <c r="N1010" s="383">
        <v>63</v>
      </c>
      <c r="O1010" s="32"/>
      <c r="P1010" s="381">
        <f t="shared" si="160"/>
        <v>0</v>
      </c>
      <c r="Q1010" s="383">
        <v>63</v>
      </c>
      <c r="R1010" s="32"/>
      <c r="S1010" s="25">
        <f t="shared" si="161"/>
        <v>0</v>
      </c>
      <c r="T1010" s="383">
        <v>63</v>
      </c>
      <c r="U1010" s="32"/>
      <c r="V1010" s="25">
        <f t="shared" si="164"/>
        <v>0</v>
      </c>
      <c r="W1010" s="32">
        <f t="shared" si="165"/>
        <v>63</v>
      </c>
      <c r="X1010" s="32">
        <f t="shared" si="162"/>
        <v>0</v>
      </c>
      <c r="Y1010" s="381">
        <f t="shared" si="163"/>
        <v>0</v>
      </c>
    </row>
    <row r="1011" spans="1:25" x14ac:dyDescent="0.2">
      <c r="A1011" s="24">
        <f t="shared" si="166"/>
        <v>8</v>
      </c>
      <c r="B1011" s="383">
        <v>64</v>
      </c>
      <c r="C1011" s="32"/>
      <c r="D1011" s="381">
        <f t="shared" si="156"/>
        <v>0</v>
      </c>
      <c r="E1011" s="383">
        <v>64</v>
      </c>
      <c r="F1011" s="8"/>
      <c r="G1011" s="381">
        <f t="shared" si="157"/>
        <v>0</v>
      </c>
      <c r="H1011" s="383">
        <v>64</v>
      </c>
      <c r="I1011" s="32"/>
      <c r="J1011" s="381">
        <f t="shared" si="158"/>
        <v>0</v>
      </c>
      <c r="K1011" s="383">
        <v>64</v>
      </c>
      <c r="L1011" s="31"/>
      <c r="M1011" s="381">
        <f t="shared" si="159"/>
        <v>0</v>
      </c>
      <c r="N1011" s="383">
        <v>64</v>
      </c>
      <c r="O1011" s="32"/>
      <c r="P1011" s="381">
        <f t="shared" si="160"/>
        <v>0</v>
      </c>
      <c r="Q1011" s="383">
        <v>64</v>
      </c>
      <c r="R1011" s="32"/>
      <c r="S1011" s="25">
        <f t="shared" si="161"/>
        <v>0</v>
      </c>
      <c r="T1011" s="383">
        <v>64</v>
      </c>
      <c r="U1011" s="32"/>
      <c r="V1011" s="25">
        <f t="shared" si="164"/>
        <v>0</v>
      </c>
      <c r="W1011" s="32">
        <f t="shared" si="165"/>
        <v>64</v>
      </c>
      <c r="X1011" s="32">
        <f t="shared" si="162"/>
        <v>0</v>
      </c>
      <c r="Y1011" s="381">
        <f t="shared" si="163"/>
        <v>0</v>
      </c>
    </row>
    <row r="1012" spans="1:25" x14ac:dyDescent="0.2">
      <c r="A1012" s="24">
        <f t="shared" si="166"/>
        <v>8.0612240592439388</v>
      </c>
      <c r="B1012" s="383">
        <v>64.983333333333334</v>
      </c>
      <c r="C1012" s="32"/>
      <c r="D1012" s="381">
        <f t="shared" si="156"/>
        <v>0</v>
      </c>
      <c r="E1012" s="383">
        <v>64.983333333333334</v>
      </c>
      <c r="F1012" s="8"/>
      <c r="G1012" s="381">
        <f t="shared" si="157"/>
        <v>0</v>
      </c>
      <c r="H1012" s="383">
        <v>64.983333333333334</v>
      </c>
      <c r="I1012" s="32"/>
      <c r="J1012" s="381">
        <f t="shared" si="158"/>
        <v>0</v>
      </c>
      <c r="K1012" s="383">
        <v>64.983333333333334</v>
      </c>
      <c r="L1012" s="31"/>
      <c r="M1012" s="381">
        <f t="shared" si="159"/>
        <v>0</v>
      </c>
      <c r="N1012" s="383">
        <v>64.983333333333334</v>
      </c>
      <c r="O1012" s="32"/>
      <c r="P1012" s="381">
        <f t="shared" si="160"/>
        <v>0</v>
      </c>
      <c r="Q1012" s="383">
        <v>64.983333333333334</v>
      </c>
      <c r="R1012" s="32"/>
      <c r="S1012" s="25">
        <f t="shared" si="161"/>
        <v>0</v>
      </c>
      <c r="T1012" s="383">
        <v>64.983333333333334</v>
      </c>
      <c r="U1012" s="32"/>
      <c r="V1012" s="25">
        <f t="shared" si="164"/>
        <v>0</v>
      </c>
      <c r="W1012" s="32">
        <f t="shared" si="165"/>
        <v>64.983333333333334</v>
      </c>
      <c r="X1012" s="32">
        <f t="shared" si="162"/>
        <v>0</v>
      </c>
      <c r="Y1012" s="381">
        <f t="shared" si="163"/>
        <v>0</v>
      </c>
    </row>
    <row r="1013" spans="1:25" x14ac:dyDescent="0.2">
      <c r="A1013" s="24">
        <f t="shared" si="166"/>
        <v>8.1230125774452269</v>
      </c>
      <c r="B1013" s="383">
        <v>65.983333333333334</v>
      </c>
      <c r="C1013" s="32"/>
      <c r="D1013" s="381">
        <f t="shared" si="156"/>
        <v>0</v>
      </c>
      <c r="E1013" s="383">
        <v>65.983333333333334</v>
      </c>
      <c r="F1013" s="8"/>
      <c r="G1013" s="381">
        <f t="shared" si="157"/>
        <v>0</v>
      </c>
      <c r="H1013" s="383">
        <v>65.983333333333334</v>
      </c>
      <c r="I1013" s="32"/>
      <c r="J1013" s="381">
        <f t="shared" si="158"/>
        <v>0</v>
      </c>
      <c r="K1013" s="383">
        <v>65.983333333333334</v>
      </c>
      <c r="L1013" s="31"/>
      <c r="M1013" s="381">
        <f t="shared" si="159"/>
        <v>0</v>
      </c>
      <c r="N1013" s="383">
        <v>65.983333333333334</v>
      </c>
      <c r="O1013" s="32"/>
      <c r="P1013" s="381">
        <f t="shared" si="160"/>
        <v>0</v>
      </c>
      <c r="Q1013" s="383">
        <v>65.983333333333334</v>
      </c>
      <c r="R1013" s="32"/>
      <c r="S1013" s="25">
        <f t="shared" si="161"/>
        <v>0</v>
      </c>
      <c r="T1013" s="383">
        <v>65.983333333333334</v>
      </c>
      <c r="U1013" s="32"/>
      <c r="V1013" s="25">
        <f t="shared" si="164"/>
        <v>0</v>
      </c>
      <c r="W1013" s="32">
        <f t="shared" si="165"/>
        <v>65.983333333333334</v>
      </c>
      <c r="X1013" s="32">
        <f t="shared" si="162"/>
        <v>0</v>
      </c>
      <c r="Y1013" s="381">
        <f t="shared" si="163"/>
        <v>0</v>
      </c>
    </row>
    <row r="1014" spans="1:25" x14ac:dyDescent="0.2">
      <c r="A1014" s="24">
        <f t="shared" si="166"/>
        <v>8.1843346298482533</v>
      </c>
      <c r="B1014" s="383">
        <v>66.983333333333334</v>
      </c>
      <c r="C1014" s="32"/>
      <c r="D1014" s="381">
        <f t="shared" si="156"/>
        <v>0</v>
      </c>
      <c r="E1014" s="383">
        <v>66.983333333333334</v>
      </c>
      <c r="F1014" s="8"/>
      <c r="G1014" s="381">
        <f t="shared" si="157"/>
        <v>0</v>
      </c>
      <c r="H1014" s="383">
        <v>66.983333333333334</v>
      </c>
      <c r="I1014" s="32"/>
      <c r="J1014" s="381">
        <f t="shared" si="158"/>
        <v>0</v>
      </c>
      <c r="K1014" s="383">
        <v>66.983333333333334</v>
      </c>
      <c r="L1014" s="31"/>
      <c r="M1014" s="381">
        <f t="shared" si="159"/>
        <v>0</v>
      </c>
      <c r="N1014" s="383">
        <v>66.983333333333334</v>
      </c>
      <c r="O1014" s="32"/>
      <c r="P1014" s="381">
        <f t="shared" si="160"/>
        <v>0</v>
      </c>
      <c r="Q1014" s="383">
        <v>66.983333333333334</v>
      </c>
      <c r="R1014" s="32"/>
      <c r="S1014" s="25">
        <f t="shared" si="161"/>
        <v>0</v>
      </c>
      <c r="T1014" s="383">
        <v>66.983333333333334</v>
      </c>
      <c r="U1014" s="32"/>
      <c r="V1014" s="25">
        <f t="shared" si="164"/>
        <v>0</v>
      </c>
      <c r="W1014" s="32">
        <f t="shared" si="165"/>
        <v>66.983333333333334</v>
      </c>
      <c r="X1014" s="32">
        <f t="shared" si="162"/>
        <v>0</v>
      </c>
      <c r="Y1014" s="381">
        <f t="shared" si="163"/>
        <v>0</v>
      </c>
    </row>
    <row r="1015" spans="1:25" x14ac:dyDescent="0.2">
      <c r="A1015" s="24">
        <f t="shared" si="166"/>
        <v>8.2452006242015319</v>
      </c>
      <c r="B1015" s="383">
        <v>67.983333333333334</v>
      </c>
      <c r="C1015" s="32"/>
      <c r="D1015" s="381">
        <f t="shared" si="156"/>
        <v>0</v>
      </c>
      <c r="E1015" s="383">
        <v>67.983333333333334</v>
      </c>
      <c r="F1015" s="8"/>
      <c r="G1015" s="381">
        <f t="shared" si="157"/>
        <v>0</v>
      </c>
      <c r="H1015" s="383">
        <v>67.983333333333334</v>
      </c>
      <c r="I1015" s="32"/>
      <c r="J1015" s="381">
        <f t="shared" si="158"/>
        <v>0</v>
      </c>
      <c r="K1015" s="383">
        <v>67.983333333333334</v>
      </c>
      <c r="L1015" s="31"/>
      <c r="M1015" s="381">
        <f t="shared" si="159"/>
        <v>0</v>
      </c>
      <c r="N1015" s="383">
        <v>67.983333333333334</v>
      </c>
      <c r="O1015" s="32"/>
      <c r="P1015" s="381">
        <f t="shared" si="160"/>
        <v>0</v>
      </c>
      <c r="Q1015" s="383">
        <v>67.983333333333334</v>
      </c>
      <c r="R1015" s="32"/>
      <c r="S1015" s="25">
        <f t="shared" si="161"/>
        <v>0</v>
      </c>
      <c r="T1015" s="383">
        <v>67.983333333333334</v>
      </c>
      <c r="U1015" s="32"/>
      <c r="V1015" s="25">
        <f t="shared" si="164"/>
        <v>0</v>
      </c>
      <c r="W1015" s="32">
        <f t="shared" si="165"/>
        <v>67.983333333333334</v>
      </c>
      <c r="X1015" s="32">
        <f t="shared" si="162"/>
        <v>0</v>
      </c>
      <c r="Y1015" s="381">
        <f t="shared" si="163"/>
        <v>0</v>
      </c>
    </row>
    <row r="1016" spans="1:25" x14ac:dyDescent="0.2">
      <c r="A1016" s="24">
        <f t="shared" si="166"/>
        <v>8.3056205868877324</v>
      </c>
      <c r="B1016" s="383">
        <v>68.983333333333334</v>
      </c>
      <c r="C1016" s="32"/>
      <c r="D1016" s="381">
        <f t="shared" si="156"/>
        <v>0</v>
      </c>
      <c r="E1016" s="383">
        <v>68.983333333333334</v>
      </c>
      <c r="F1016" s="8"/>
      <c r="G1016" s="381">
        <f t="shared" si="157"/>
        <v>0</v>
      </c>
      <c r="H1016" s="383">
        <v>68.983333333333334</v>
      </c>
      <c r="I1016" s="32"/>
      <c r="J1016" s="381">
        <f t="shared" si="158"/>
        <v>0</v>
      </c>
      <c r="K1016" s="383">
        <v>68.983333333333334</v>
      </c>
      <c r="L1016" s="31"/>
      <c r="M1016" s="381">
        <f t="shared" si="159"/>
        <v>0</v>
      </c>
      <c r="N1016" s="383">
        <v>68.983333333333334</v>
      </c>
      <c r="O1016" s="32"/>
      <c r="P1016" s="381">
        <f t="shared" si="160"/>
        <v>0</v>
      </c>
      <c r="Q1016" s="383">
        <v>68.983333333333334</v>
      </c>
      <c r="R1016" s="32"/>
      <c r="S1016" s="25">
        <f t="shared" si="161"/>
        <v>0</v>
      </c>
      <c r="T1016" s="383">
        <v>68.983333333333334</v>
      </c>
      <c r="U1016" s="32"/>
      <c r="V1016" s="25">
        <f t="shared" si="164"/>
        <v>0</v>
      </c>
      <c r="W1016" s="32">
        <f t="shared" si="165"/>
        <v>68.983333333333334</v>
      </c>
      <c r="X1016" s="32">
        <f t="shared" si="162"/>
        <v>0</v>
      </c>
      <c r="Y1016" s="381">
        <f t="shared" si="163"/>
        <v>0</v>
      </c>
    </row>
    <row r="1017" spans="1:25" x14ac:dyDescent="0.2">
      <c r="A1017" s="24">
        <f t="shared" si="166"/>
        <v>8.3666002653407556</v>
      </c>
      <c r="B1017" s="383">
        <v>70</v>
      </c>
      <c r="C1017" s="32"/>
      <c r="D1017" s="381">
        <f t="shared" si="156"/>
        <v>0</v>
      </c>
      <c r="E1017" s="383">
        <v>70</v>
      </c>
      <c r="F1017" s="8"/>
      <c r="G1017" s="381">
        <f t="shared" si="157"/>
        <v>0</v>
      </c>
      <c r="H1017" s="383">
        <v>70</v>
      </c>
      <c r="I1017" s="32"/>
      <c r="J1017" s="381">
        <f t="shared" si="158"/>
        <v>0</v>
      </c>
      <c r="K1017" s="383">
        <v>70</v>
      </c>
      <c r="L1017" s="31"/>
      <c r="M1017" s="381">
        <f t="shared" si="159"/>
        <v>0</v>
      </c>
      <c r="N1017" s="383">
        <v>70</v>
      </c>
      <c r="O1017" s="32"/>
      <c r="P1017" s="381">
        <f t="shared" si="160"/>
        <v>0</v>
      </c>
      <c r="Q1017" s="383">
        <v>70</v>
      </c>
      <c r="R1017" s="32"/>
      <c r="S1017" s="25">
        <f t="shared" si="161"/>
        <v>0</v>
      </c>
      <c r="T1017" s="383">
        <v>70</v>
      </c>
      <c r="U1017" s="32"/>
      <c r="V1017" s="25">
        <f t="shared" si="164"/>
        <v>0</v>
      </c>
      <c r="W1017" s="32">
        <f t="shared" si="165"/>
        <v>70</v>
      </c>
      <c r="X1017" s="32">
        <f t="shared" si="162"/>
        <v>0</v>
      </c>
      <c r="Y1017" s="381">
        <f t="shared" si="163"/>
        <v>0</v>
      </c>
    </row>
    <row r="1018" spans="1:25" x14ac:dyDescent="0.2">
      <c r="A1018" s="24">
        <f t="shared" si="166"/>
        <v>8.426149773176359</v>
      </c>
      <c r="B1018" s="383">
        <v>71</v>
      </c>
      <c r="C1018" s="32"/>
      <c r="D1018" s="381">
        <f t="shared" si="156"/>
        <v>0</v>
      </c>
      <c r="E1018" s="383">
        <v>71</v>
      </c>
      <c r="F1018" s="8"/>
      <c r="G1018" s="381">
        <f t="shared" si="157"/>
        <v>0</v>
      </c>
      <c r="H1018" s="383">
        <v>71</v>
      </c>
      <c r="I1018" s="32"/>
      <c r="J1018" s="381">
        <f t="shared" si="158"/>
        <v>0</v>
      </c>
      <c r="K1018" s="383">
        <v>71</v>
      </c>
      <c r="L1018" s="31"/>
      <c r="M1018" s="381">
        <f t="shared" si="159"/>
        <v>0</v>
      </c>
      <c r="N1018" s="383">
        <v>71</v>
      </c>
      <c r="O1018" s="32"/>
      <c r="P1018" s="381">
        <f t="shared" si="160"/>
        <v>0</v>
      </c>
      <c r="Q1018" s="383">
        <v>71</v>
      </c>
      <c r="R1018" s="32"/>
      <c r="S1018" s="25">
        <f t="shared" si="161"/>
        <v>0</v>
      </c>
      <c r="T1018" s="383">
        <v>71</v>
      </c>
      <c r="U1018" s="32"/>
      <c r="V1018" s="25">
        <f t="shared" si="164"/>
        <v>0</v>
      </c>
      <c r="W1018" s="32">
        <f t="shared" si="165"/>
        <v>71</v>
      </c>
      <c r="X1018" s="32">
        <f t="shared" si="162"/>
        <v>0</v>
      </c>
      <c r="Y1018" s="381">
        <f t="shared" si="163"/>
        <v>0</v>
      </c>
    </row>
    <row r="1019" spans="1:25" x14ac:dyDescent="0.2">
      <c r="A1019" s="24">
        <f t="shared" si="166"/>
        <v>8.4852813742385695</v>
      </c>
      <c r="B1019" s="383">
        <v>72</v>
      </c>
      <c r="C1019" s="32"/>
      <c r="D1019" s="381">
        <f t="shared" si="156"/>
        <v>0</v>
      </c>
      <c r="E1019" s="383">
        <v>72</v>
      </c>
      <c r="F1019" s="8"/>
      <c r="G1019" s="381">
        <f t="shared" si="157"/>
        <v>0</v>
      </c>
      <c r="H1019" s="383">
        <v>72</v>
      </c>
      <c r="I1019" s="32"/>
      <c r="J1019" s="381">
        <f t="shared" si="158"/>
        <v>0</v>
      </c>
      <c r="K1019" s="383">
        <v>72</v>
      </c>
      <c r="L1019" s="31"/>
      <c r="M1019" s="381">
        <f t="shared" si="159"/>
        <v>0</v>
      </c>
      <c r="N1019" s="383">
        <v>72</v>
      </c>
      <c r="O1019" s="32"/>
      <c r="P1019" s="381">
        <f t="shared" si="160"/>
        <v>0</v>
      </c>
      <c r="Q1019" s="383">
        <v>72</v>
      </c>
      <c r="R1019" s="32"/>
      <c r="S1019" s="25">
        <f t="shared" si="161"/>
        <v>0</v>
      </c>
      <c r="T1019" s="383">
        <v>72</v>
      </c>
      <c r="U1019" s="32"/>
      <c r="V1019" s="25">
        <f t="shared" si="164"/>
        <v>0</v>
      </c>
      <c r="W1019" s="32">
        <f t="shared" si="165"/>
        <v>72</v>
      </c>
      <c r="X1019" s="32">
        <f t="shared" si="162"/>
        <v>0</v>
      </c>
      <c r="Y1019" s="381">
        <f t="shared" si="163"/>
        <v>0</v>
      </c>
    </row>
    <row r="1020" spans="1:25" x14ac:dyDescent="0.2">
      <c r="A1020" s="24">
        <f t="shared" si="166"/>
        <v>8.5430283467476169</v>
      </c>
      <c r="B1020" s="383">
        <v>72.983333333333334</v>
      </c>
      <c r="C1020" s="32"/>
      <c r="D1020" s="381">
        <f t="shared" si="156"/>
        <v>0</v>
      </c>
      <c r="E1020" s="383">
        <v>72.983333333333334</v>
      </c>
      <c r="F1020" s="8"/>
      <c r="G1020" s="381">
        <f t="shared" si="157"/>
        <v>0</v>
      </c>
      <c r="H1020" s="383">
        <v>72.983333333333334</v>
      </c>
      <c r="I1020" s="32"/>
      <c r="J1020" s="381">
        <f t="shared" si="158"/>
        <v>0</v>
      </c>
      <c r="K1020" s="383">
        <v>72.983333333333334</v>
      </c>
      <c r="L1020" s="31"/>
      <c r="M1020" s="381">
        <f t="shared" si="159"/>
        <v>0</v>
      </c>
      <c r="N1020" s="383">
        <v>72.983333333333334</v>
      </c>
      <c r="O1020" s="32"/>
      <c r="P1020" s="381">
        <f t="shared" si="160"/>
        <v>0</v>
      </c>
      <c r="Q1020" s="383">
        <v>72.983333333333334</v>
      </c>
      <c r="R1020" s="32"/>
      <c r="S1020" s="25">
        <f t="shared" si="161"/>
        <v>0</v>
      </c>
      <c r="T1020" s="383">
        <v>72.983333333333334</v>
      </c>
      <c r="U1020" s="32"/>
      <c r="V1020" s="25">
        <f t="shared" si="164"/>
        <v>0</v>
      </c>
      <c r="W1020" s="32">
        <f t="shared" si="165"/>
        <v>72.983333333333334</v>
      </c>
      <c r="X1020" s="32">
        <f t="shared" si="162"/>
        <v>0</v>
      </c>
      <c r="Y1020" s="381">
        <f t="shared" si="163"/>
        <v>0</v>
      </c>
    </row>
    <row r="1021" spans="1:25" x14ac:dyDescent="0.2">
      <c r="A1021" s="24">
        <f t="shared" si="166"/>
        <v>8.6013564821679918</v>
      </c>
      <c r="B1021" s="383">
        <v>73.983333333333334</v>
      </c>
      <c r="C1021" s="32"/>
      <c r="D1021" s="381">
        <f t="shared" si="156"/>
        <v>0</v>
      </c>
      <c r="E1021" s="383">
        <v>73.983333333333334</v>
      </c>
      <c r="F1021" s="8"/>
      <c r="G1021" s="381">
        <f t="shared" si="157"/>
        <v>0</v>
      </c>
      <c r="H1021" s="383">
        <v>73.983333333333334</v>
      </c>
      <c r="I1021" s="32"/>
      <c r="J1021" s="381">
        <f t="shared" si="158"/>
        <v>0</v>
      </c>
      <c r="K1021" s="383">
        <v>73.983333333333334</v>
      </c>
      <c r="L1021" s="31"/>
      <c r="M1021" s="381">
        <f t="shared" si="159"/>
        <v>0</v>
      </c>
      <c r="N1021" s="383">
        <v>73.983333333333334</v>
      </c>
      <c r="O1021" s="32"/>
      <c r="P1021" s="381">
        <f t="shared" si="160"/>
        <v>0</v>
      </c>
      <c r="Q1021" s="383">
        <v>73.983333333333334</v>
      </c>
      <c r="R1021" s="32"/>
      <c r="S1021" s="25">
        <f t="shared" si="161"/>
        <v>0</v>
      </c>
      <c r="T1021" s="383">
        <v>73.983333333333334</v>
      </c>
      <c r="U1021" s="32"/>
      <c r="V1021" s="25">
        <f t="shared" si="164"/>
        <v>0</v>
      </c>
      <c r="W1021" s="32">
        <f t="shared" si="165"/>
        <v>73.983333333333334</v>
      </c>
      <c r="X1021" s="32">
        <f t="shared" si="162"/>
        <v>0</v>
      </c>
      <c r="Y1021" s="381">
        <f t="shared" si="163"/>
        <v>0</v>
      </c>
    </row>
    <row r="1022" spans="1:25" x14ac:dyDescent="0.2">
      <c r="A1022" s="24">
        <f t="shared" si="166"/>
        <v>8.6592917339314379</v>
      </c>
      <c r="B1022" s="383">
        <v>74.983333333333334</v>
      </c>
      <c r="C1022" s="32"/>
      <c r="D1022" s="381">
        <f t="shared" si="156"/>
        <v>0</v>
      </c>
      <c r="E1022" s="383">
        <v>74.983333333333334</v>
      </c>
      <c r="F1022" s="8"/>
      <c r="G1022" s="381">
        <f t="shared" si="157"/>
        <v>0</v>
      </c>
      <c r="H1022" s="383">
        <v>74.983333333333334</v>
      </c>
      <c r="I1022" s="32"/>
      <c r="J1022" s="381">
        <f t="shared" si="158"/>
        <v>0</v>
      </c>
      <c r="K1022" s="383">
        <v>74.983333333333334</v>
      </c>
      <c r="L1022" s="31"/>
      <c r="M1022" s="381">
        <f t="shared" si="159"/>
        <v>0</v>
      </c>
      <c r="N1022" s="383">
        <v>74.983333333333334</v>
      </c>
      <c r="O1022" s="32"/>
      <c r="P1022" s="381">
        <f t="shared" si="160"/>
        <v>0</v>
      </c>
      <c r="Q1022" s="383">
        <v>74.983333333333334</v>
      </c>
      <c r="R1022" s="32"/>
      <c r="S1022" s="25">
        <f t="shared" si="161"/>
        <v>0</v>
      </c>
      <c r="T1022" s="383">
        <v>74.983333333333334</v>
      </c>
      <c r="U1022" s="32"/>
      <c r="V1022" s="25">
        <f t="shared" si="164"/>
        <v>0</v>
      </c>
      <c r="W1022" s="32">
        <f t="shared" si="165"/>
        <v>74.983333333333334</v>
      </c>
      <c r="X1022" s="32">
        <f t="shared" si="162"/>
        <v>0</v>
      </c>
      <c r="Y1022" s="381">
        <f t="shared" si="163"/>
        <v>0</v>
      </c>
    </row>
    <row r="1023" spans="1:25" x14ac:dyDescent="0.2">
      <c r="A1023" s="24">
        <f t="shared" si="166"/>
        <v>8.7168419357777349</v>
      </c>
      <c r="B1023" s="383">
        <v>75.983333333333334</v>
      </c>
      <c r="C1023" s="32"/>
      <c r="D1023" s="381">
        <f t="shared" si="156"/>
        <v>0</v>
      </c>
      <c r="E1023" s="383">
        <v>75.983333333333334</v>
      </c>
      <c r="F1023" s="8"/>
      <c r="G1023" s="381">
        <f t="shared" si="157"/>
        <v>0</v>
      </c>
      <c r="H1023" s="383">
        <v>75.983333333333334</v>
      </c>
      <c r="I1023" s="32"/>
      <c r="J1023" s="381">
        <f t="shared" si="158"/>
        <v>0</v>
      </c>
      <c r="K1023" s="383">
        <v>75.983333333333334</v>
      </c>
      <c r="L1023" s="31"/>
      <c r="M1023" s="381">
        <f t="shared" si="159"/>
        <v>0</v>
      </c>
      <c r="N1023" s="383">
        <v>75.983333333333334</v>
      </c>
      <c r="O1023" s="32"/>
      <c r="P1023" s="381">
        <f t="shared" si="160"/>
        <v>0</v>
      </c>
      <c r="Q1023" s="383">
        <v>75.983333333333334</v>
      </c>
      <c r="R1023" s="32"/>
      <c r="S1023" s="25">
        <f t="shared" si="161"/>
        <v>0</v>
      </c>
      <c r="T1023" s="383">
        <v>75.983333333333334</v>
      </c>
      <c r="U1023" s="32"/>
      <c r="V1023" s="25">
        <f t="shared" si="164"/>
        <v>0</v>
      </c>
      <c r="W1023" s="32">
        <f t="shared" si="165"/>
        <v>75.983333333333334</v>
      </c>
      <c r="X1023" s="32">
        <f t="shared" si="162"/>
        <v>0</v>
      </c>
      <c r="Y1023" s="381">
        <f t="shared" si="163"/>
        <v>0</v>
      </c>
    </row>
    <row r="1024" spans="1:25" x14ac:dyDescent="0.2">
      <c r="A1024" s="24">
        <f t="shared" si="166"/>
        <v>8.7749643873921226</v>
      </c>
      <c r="B1024" s="383">
        <v>77</v>
      </c>
      <c r="C1024" s="32"/>
      <c r="D1024" s="381">
        <f t="shared" si="156"/>
        <v>0</v>
      </c>
      <c r="E1024" s="383">
        <v>77</v>
      </c>
      <c r="F1024" s="8"/>
      <c r="G1024" s="381">
        <f t="shared" si="157"/>
        <v>0</v>
      </c>
      <c r="H1024" s="383">
        <v>77</v>
      </c>
      <c r="I1024" s="32"/>
      <c r="J1024" s="381">
        <f t="shared" si="158"/>
        <v>0</v>
      </c>
      <c r="K1024" s="383">
        <v>77</v>
      </c>
      <c r="L1024" s="31"/>
      <c r="M1024" s="381">
        <f t="shared" si="159"/>
        <v>0</v>
      </c>
      <c r="N1024" s="383">
        <v>77</v>
      </c>
      <c r="O1024" s="32"/>
      <c r="P1024" s="381">
        <f t="shared" si="160"/>
        <v>0</v>
      </c>
      <c r="Q1024" s="383">
        <v>77</v>
      </c>
      <c r="R1024" s="32"/>
      <c r="S1024" s="25">
        <f t="shared" si="161"/>
        <v>0</v>
      </c>
      <c r="T1024" s="383">
        <v>77</v>
      </c>
      <c r="U1024" s="32"/>
      <c r="V1024" s="25">
        <f t="shared" si="164"/>
        <v>0</v>
      </c>
      <c r="W1024" s="32">
        <f t="shared" si="165"/>
        <v>77</v>
      </c>
      <c r="X1024" s="32">
        <f t="shared" si="162"/>
        <v>0</v>
      </c>
      <c r="Y1024" s="381">
        <f t="shared" si="163"/>
        <v>0</v>
      </c>
    </row>
    <row r="1025" spans="1:25" x14ac:dyDescent="0.2">
      <c r="A1025" s="24">
        <f t="shared" si="166"/>
        <v>8.8317608663278477</v>
      </c>
      <c r="B1025" s="383">
        <v>78</v>
      </c>
      <c r="C1025" s="32"/>
      <c r="D1025" s="381">
        <f t="shared" si="156"/>
        <v>0</v>
      </c>
      <c r="E1025" s="383">
        <v>78</v>
      </c>
      <c r="F1025" s="8"/>
      <c r="G1025" s="381">
        <f t="shared" si="157"/>
        <v>0</v>
      </c>
      <c r="H1025" s="383">
        <v>78</v>
      </c>
      <c r="I1025" s="32"/>
      <c r="J1025" s="381">
        <f t="shared" si="158"/>
        <v>0</v>
      </c>
      <c r="K1025" s="383">
        <v>78</v>
      </c>
      <c r="L1025" s="31"/>
      <c r="M1025" s="381">
        <f t="shared" si="159"/>
        <v>0</v>
      </c>
      <c r="N1025" s="383">
        <v>78</v>
      </c>
      <c r="O1025" s="32"/>
      <c r="P1025" s="381">
        <f t="shared" si="160"/>
        <v>0</v>
      </c>
      <c r="Q1025" s="383">
        <v>78</v>
      </c>
      <c r="R1025" s="32"/>
      <c r="S1025" s="25">
        <f t="shared" si="161"/>
        <v>0</v>
      </c>
      <c r="T1025" s="383">
        <v>78</v>
      </c>
      <c r="U1025" s="32"/>
      <c r="V1025" s="25">
        <f t="shared" si="164"/>
        <v>0</v>
      </c>
      <c r="W1025" s="32">
        <f t="shared" si="165"/>
        <v>78</v>
      </c>
      <c r="X1025" s="32">
        <f t="shared" si="162"/>
        <v>0</v>
      </c>
      <c r="Y1025" s="381">
        <f t="shared" si="163"/>
        <v>0</v>
      </c>
    </row>
    <row r="1026" spans="1:25" x14ac:dyDescent="0.2">
      <c r="A1026" s="24">
        <f t="shared" si="166"/>
        <v>8.8881944173155887</v>
      </c>
      <c r="B1026" s="383">
        <v>79</v>
      </c>
      <c r="C1026" s="32"/>
      <c r="D1026" s="381">
        <f t="shared" si="156"/>
        <v>0</v>
      </c>
      <c r="E1026" s="383">
        <v>79</v>
      </c>
      <c r="F1026" s="8"/>
      <c r="G1026" s="381">
        <f t="shared" si="157"/>
        <v>0</v>
      </c>
      <c r="H1026" s="383">
        <v>79</v>
      </c>
      <c r="I1026" s="32"/>
      <c r="J1026" s="381">
        <f t="shared" si="158"/>
        <v>0</v>
      </c>
      <c r="K1026" s="383">
        <v>79</v>
      </c>
      <c r="L1026" s="31"/>
      <c r="M1026" s="381">
        <f t="shared" si="159"/>
        <v>0</v>
      </c>
      <c r="N1026" s="383">
        <v>79</v>
      </c>
      <c r="O1026" s="32"/>
      <c r="P1026" s="381">
        <f t="shared" si="160"/>
        <v>0</v>
      </c>
      <c r="Q1026" s="383">
        <v>79</v>
      </c>
      <c r="R1026" s="32"/>
      <c r="S1026" s="25">
        <f t="shared" si="161"/>
        <v>0</v>
      </c>
      <c r="T1026" s="383">
        <v>79</v>
      </c>
      <c r="U1026" s="32"/>
      <c r="V1026" s="25">
        <f t="shared" si="164"/>
        <v>0</v>
      </c>
      <c r="W1026" s="32">
        <f t="shared" si="165"/>
        <v>79</v>
      </c>
      <c r="X1026" s="32">
        <f t="shared" si="162"/>
        <v>0</v>
      </c>
      <c r="Y1026" s="381">
        <f t="shared" si="163"/>
        <v>0</v>
      </c>
    </row>
    <row r="1027" spans="1:25" x14ac:dyDescent="0.2">
      <c r="A1027" s="24">
        <f t="shared" si="166"/>
        <v>8.9433401664776984</v>
      </c>
      <c r="B1027" s="383">
        <v>79.983333333333334</v>
      </c>
      <c r="C1027" s="32"/>
      <c r="D1027" s="381">
        <f t="shared" si="156"/>
        <v>0</v>
      </c>
      <c r="E1027" s="383">
        <v>79.983333333333334</v>
      </c>
      <c r="F1027" s="8"/>
      <c r="G1027" s="381">
        <f t="shared" si="157"/>
        <v>0</v>
      </c>
      <c r="H1027" s="383">
        <v>79.983333333333334</v>
      </c>
      <c r="I1027" s="32"/>
      <c r="J1027" s="381">
        <f t="shared" si="158"/>
        <v>0</v>
      </c>
      <c r="K1027" s="383">
        <v>79.983333333333334</v>
      </c>
      <c r="L1027" s="31"/>
      <c r="M1027" s="381">
        <f t="shared" si="159"/>
        <v>0</v>
      </c>
      <c r="N1027" s="383">
        <v>79.983333333333334</v>
      </c>
      <c r="O1027" s="32"/>
      <c r="P1027" s="381">
        <f t="shared" si="160"/>
        <v>0</v>
      </c>
      <c r="Q1027" s="383">
        <v>79.983333333333334</v>
      </c>
      <c r="R1027" s="32"/>
      <c r="S1027" s="25">
        <f t="shared" si="161"/>
        <v>0</v>
      </c>
      <c r="T1027" s="383">
        <v>79.983333333333334</v>
      </c>
      <c r="U1027" s="32"/>
      <c r="V1027" s="25">
        <f t="shared" si="164"/>
        <v>0</v>
      </c>
      <c r="W1027" s="32">
        <f t="shared" si="165"/>
        <v>79.983333333333334</v>
      </c>
      <c r="X1027" s="32">
        <f t="shared" si="162"/>
        <v>0</v>
      </c>
      <c r="Y1027" s="381">
        <f t="shared" si="163"/>
        <v>0</v>
      </c>
    </row>
    <row r="1028" spans="1:25" x14ac:dyDescent="0.2">
      <c r="A1028" s="24">
        <f t="shared" si="166"/>
        <v>8.9990740264392386</v>
      </c>
      <c r="B1028" s="383">
        <v>80.983333333333334</v>
      </c>
      <c r="C1028" s="32"/>
      <c r="D1028" s="381">
        <f t="shared" si="156"/>
        <v>0</v>
      </c>
      <c r="E1028" s="383">
        <v>80.983333333333334</v>
      </c>
      <c r="F1028" s="8"/>
      <c r="G1028" s="381">
        <f t="shared" si="157"/>
        <v>0</v>
      </c>
      <c r="H1028" s="383">
        <v>80.983333333333334</v>
      </c>
      <c r="I1028" s="32"/>
      <c r="J1028" s="381">
        <f t="shared" si="158"/>
        <v>0</v>
      </c>
      <c r="K1028" s="383">
        <v>80.983333333333334</v>
      </c>
      <c r="L1028" s="31"/>
      <c r="M1028" s="381">
        <f t="shared" si="159"/>
        <v>0</v>
      </c>
      <c r="N1028" s="383">
        <v>80.983333333333334</v>
      </c>
      <c r="O1028" s="32"/>
      <c r="P1028" s="381">
        <f t="shared" si="160"/>
        <v>0</v>
      </c>
      <c r="Q1028" s="383">
        <v>80.983333333333334</v>
      </c>
      <c r="R1028" s="32"/>
      <c r="S1028" s="25">
        <f t="shared" si="161"/>
        <v>0</v>
      </c>
      <c r="T1028" s="383">
        <v>80.983333333333334</v>
      </c>
      <c r="U1028" s="32"/>
      <c r="V1028" s="25">
        <f t="shared" si="164"/>
        <v>0</v>
      </c>
      <c r="W1028" s="32">
        <f t="shared" si="165"/>
        <v>80.983333333333334</v>
      </c>
      <c r="X1028" s="32">
        <f t="shared" si="162"/>
        <v>0</v>
      </c>
      <c r="Y1028" s="381">
        <f t="shared" si="163"/>
        <v>0</v>
      </c>
    </row>
    <row r="1029" spans="1:25" x14ac:dyDescent="0.2">
      <c r="A1029" s="24">
        <f t="shared" si="166"/>
        <v>9.0544648286540568</v>
      </c>
      <c r="B1029" s="383">
        <v>81.983333333333334</v>
      </c>
      <c r="C1029" s="32"/>
      <c r="D1029" s="381">
        <f t="shared" ref="D1029:D1092" si="167">C1029</f>
        <v>0</v>
      </c>
      <c r="E1029" s="383">
        <v>81.983333333333334</v>
      </c>
      <c r="F1029" s="8"/>
      <c r="G1029" s="381">
        <f t="shared" ref="G1029:G1092" si="168">F1029+$AB$2</f>
        <v>0</v>
      </c>
      <c r="H1029" s="383">
        <v>81.983333333333334</v>
      </c>
      <c r="I1029" s="32"/>
      <c r="J1029" s="381">
        <f t="shared" ref="J1029:J1092" si="169">I1029+$AB$3</f>
        <v>0</v>
      </c>
      <c r="K1029" s="383">
        <v>81.983333333333334</v>
      </c>
      <c r="L1029" s="31"/>
      <c r="M1029" s="381">
        <f t="shared" ref="M1029:M1092" si="170">L1029+$AB$4</f>
        <v>0</v>
      </c>
      <c r="N1029" s="383">
        <v>81.983333333333334</v>
      </c>
      <c r="O1029" s="32"/>
      <c r="P1029" s="381">
        <f t="shared" ref="P1029:P1092" si="171">O1029+$AB$5</f>
        <v>0</v>
      </c>
      <c r="Q1029" s="383">
        <v>81.983333333333334</v>
      </c>
      <c r="R1029" s="32"/>
      <c r="S1029" s="25">
        <f t="shared" ref="S1029:S1092" si="172">R1029+$AB$6</f>
        <v>0</v>
      </c>
      <c r="T1029" s="383">
        <v>81.983333333333334</v>
      </c>
      <c r="U1029" s="32"/>
      <c r="V1029" s="25">
        <f t="shared" si="164"/>
        <v>0</v>
      </c>
      <c r="W1029" s="32">
        <f t="shared" si="165"/>
        <v>81.983333333333334</v>
      </c>
      <c r="X1029" s="32">
        <f t="shared" ref="X1029:X1092" si="173">U1029</f>
        <v>0</v>
      </c>
      <c r="Y1029" s="381">
        <f t="shared" ref="Y1029:Y1092" si="174">X1029+$AB$8</f>
        <v>0</v>
      </c>
    </row>
    <row r="1030" spans="1:25" x14ac:dyDescent="0.2">
      <c r="A1030" s="24">
        <f t="shared" si="166"/>
        <v>9.1095188310543236</v>
      </c>
      <c r="B1030" s="383">
        <v>82.983333333333334</v>
      </c>
      <c r="C1030" s="32"/>
      <c r="D1030" s="381">
        <f t="shared" si="167"/>
        <v>0</v>
      </c>
      <c r="E1030" s="383">
        <v>82.983333333333334</v>
      </c>
      <c r="F1030" s="8"/>
      <c r="G1030" s="381">
        <f t="shared" si="168"/>
        <v>0</v>
      </c>
      <c r="H1030" s="383">
        <v>82.983333333333334</v>
      </c>
      <c r="I1030" s="32"/>
      <c r="J1030" s="381">
        <f t="shared" si="169"/>
        <v>0</v>
      </c>
      <c r="K1030" s="383">
        <v>82.983333333333334</v>
      </c>
      <c r="L1030" s="31"/>
      <c r="M1030" s="381">
        <f t="shared" si="170"/>
        <v>0</v>
      </c>
      <c r="N1030" s="383">
        <v>82.983333333333334</v>
      </c>
      <c r="O1030" s="32"/>
      <c r="P1030" s="381">
        <f t="shared" si="171"/>
        <v>0</v>
      </c>
      <c r="Q1030" s="383">
        <v>82.983333333333334</v>
      </c>
      <c r="R1030" s="32"/>
      <c r="S1030" s="25">
        <f t="shared" si="172"/>
        <v>0</v>
      </c>
      <c r="T1030" s="383">
        <v>82.983333333333334</v>
      </c>
      <c r="U1030" s="32"/>
      <c r="V1030" s="25">
        <f t="shared" ref="V1030:V1093" si="175">Y1030</f>
        <v>0</v>
      </c>
      <c r="W1030" s="32">
        <f t="shared" ref="W1030:W1093" si="176">T1030</f>
        <v>82.983333333333334</v>
      </c>
      <c r="X1030" s="32">
        <f t="shared" si="173"/>
        <v>0</v>
      </c>
      <c r="Y1030" s="381">
        <f t="shared" si="174"/>
        <v>0</v>
      </c>
    </row>
    <row r="1031" spans="1:25" x14ac:dyDescent="0.2">
      <c r="A1031" s="24">
        <f t="shared" si="166"/>
        <v>9.1642421035966386</v>
      </c>
      <c r="B1031" s="383">
        <v>83.983333333333334</v>
      </c>
      <c r="C1031" s="32"/>
      <c r="D1031" s="381">
        <f t="shared" si="167"/>
        <v>0</v>
      </c>
      <c r="E1031" s="383">
        <v>83.983333333333334</v>
      </c>
      <c r="F1031" s="8"/>
      <c r="G1031" s="381">
        <f t="shared" si="168"/>
        <v>0</v>
      </c>
      <c r="H1031" s="383">
        <v>83.983333333333334</v>
      </c>
      <c r="I1031" s="32"/>
      <c r="J1031" s="381">
        <f t="shared" si="169"/>
        <v>0</v>
      </c>
      <c r="K1031" s="383">
        <v>83.983333333333334</v>
      </c>
      <c r="L1031" s="31"/>
      <c r="M1031" s="381">
        <f t="shared" si="170"/>
        <v>0</v>
      </c>
      <c r="N1031" s="383">
        <v>83.983333333333334</v>
      </c>
      <c r="O1031" s="32"/>
      <c r="P1031" s="381">
        <f t="shared" si="171"/>
        <v>0</v>
      </c>
      <c r="Q1031" s="383">
        <v>83.983333333333334</v>
      </c>
      <c r="R1031" s="32"/>
      <c r="S1031" s="25">
        <f t="shared" si="172"/>
        <v>0</v>
      </c>
      <c r="T1031" s="383">
        <v>83.983333333333334</v>
      </c>
      <c r="U1031" s="32"/>
      <c r="V1031" s="25">
        <f t="shared" si="175"/>
        <v>0</v>
      </c>
      <c r="W1031" s="32">
        <f t="shared" si="176"/>
        <v>83.983333333333334</v>
      </c>
      <c r="X1031" s="32">
        <f t="shared" si="173"/>
        <v>0</v>
      </c>
      <c r="Y1031" s="381">
        <f t="shared" si="174"/>
        <v>0</v>
      </c>
    </row>
    <row r="1032" spans="1:25" x14ac:dyDescent="0.2">
      <c r="A1032" s="24">
        <f t="shared" si="166"/>
        <v>9.2195444572928871</v>
      </c>
      <c r="B1032" s="383">
        <v>85</v>
      </c>
      <c r="C1032" s="32"/>
      <c r="D1032" s="381">
        <f t="shared" si="167"/>
        <v>0</v>
      </c>
      <c r="E1032" s="383">
        <v>85</v>
      </c>
      <c r="F1032" s="8"/>
      <c r="G1032" s="381">
        <f t="shared" si="168"/>
        <v>0</v>
      </c>
      <c r="H1032" s="383">
        <v>85</v>
      </c>
      <c r="I1032" s="32"/>
      <c r="J1032" s="381">
        <f t="shared" si="169"/>
        <v>0</v>
      </c>
      <c r="K1032" s="383">
        <v>85</v>
      </c>
      <c r="L1032" s="31"/>
      <c r="M1032" s="381">
        <f t="shared" si="170"/>
        <v>0</v>
      </c>
      <c r="N1032" s="383">
        <v>85</v>
      </c>
      <c r="O1032" s="32"/>
      <c r="P1032" s="381">
        <f t="shared" si="171"/>
        <v>0</v>
      </c>
      <c r="Q1032" s="383">
        <v>85</v>
      </c>
      <c r="R1032" s="32"/>
      <c r="S1032" s="25">
        <f t="shared" si="172"/>
        <v>0</v>
      </c>
      <c r="T1032" s="383">
        <v>85</v>
      </c>
      <c r="U1032" s="32"/>
      <c r="V1032" s="25">
        <f t="shared" si="175"/>
        <v>0</v>
      </c>
      <c r="W1032" s="32">
        <f t="shared" si="176"/>
        <v>85</v>
      </c>
      <c r="X1032" s="32">
        <f t="shared" si="173"/>
        <v>0</v>
      </c>
      <c r="Y1032" s="381">
        <f t="shared" si="174"/>
        <v>0</v>
      </c>
    </row>
    <row r="1033" spans="1:25" x14ac:dyDescent="0.2">
      <c r="A1033" s="24">
        <f t="shared" si="166"/>
        <v>9.2736184954957039</v>
      </c>
      <c r="B1033" s="383">
        <v>86</v>
      </c>
      <c r="C1033" s="32"/>
      <c r="D1033" s="381">
        <f t="shared" si="167"/>
        <v>0</v>
      </c>
      <c r="E1033" s="383">
        <v>86</v>
      </c>
      <c r="F1033" s="8"/>
      <c r="G1033" s="381">
        <f t="shared" si="168"/>
        <v>0</v>
      </c>
      <c r="H1033" s="383">
        <v>86</v>
      </c>
      <c r="I1033" s="32"/>
      <c r="J1033" s="381">
        <f t="shared" si="169"/>
        <v>0</v>
      </c>
      <c r="K1033" s="383">
        <v>86</v>
      </c>
      <c r="L1033" s="31"/>
      <c r="M1033" s="381">
        <f t="shared" si="170"/>
        <v>0</v>
      </c>
      <c r="N1033" s="383">
        <v>86</v>
      </c>
      <c r="O1033" s="32"/>
      <c r="P1033" s="381">
        <f t="shared" si="171"/>
        <v>0</v>
      </c>
      <c r="Q1033" s="383">
        <v>86</v>
      </c>
      <c r="R1033" s="32"/>
      <c r="S1033" s="25">
        <f t="shared" si="172"/>
        <v>0</v>
      </c>
      <c r="T1033" s="383">
        <v>86</v>
      </c>
      <c r="U1033" s="32"/>
      <c r="V1033" s="25">
        <f t="shared" si="175"/>
        <v>0</v>
      </c>
      <c r="W1033" s="32">
        <f t="shared" si="176"/>
        <v>86</v>
      </c>
      <c r="X1033" s="32">
        <f t="shared" si="173"/>
        <v>0</v>
      </c>
      <c r="Y1033" s="381">
        <f t="shared" si="174"/>
        <v>0</v>
      </c>
    </row>
    <row r="1034" spans="1:25" x14ac:dyDescent="0.2">
      <c r="A1034" s="24">
        <f t="shared" si="166"/>
        <v>9.3264855831836968</v>
      </c>
      <c r="B1034" s="383">
        <v>86.983333333333334</v>
      </c>
      <c r="C1034" s="32"/>
      <c r="D1034" s="381">
        <f t="shared" si="167"/>
        <v>0</v>
      </c>
      <c r="E1034" s="383">
        <v>86.983333333333334</v>
      </c>
      <c r="F1034" s="8"/>
      <c r="G1034" s="381">
        <f t="shared" si="168"/>
        <v>0</v>
      </c>
      <c r="H1034" s="383">
        <v>86.983333333333334</v>
      </c>
      <c r="I1034" s="32"/>
      <c r="J1034" s="381">
        <f t="shared" si="169"/>
        <v>0</v>
      </c>
      <c r="K1034" s="383">
        <v>86.983333333333334</v>
      </c>
      <c r="L1034" s="31"/>
      <c r="M1034" s="381">
        <f t="shared" si="170"/>
        <v>0</v>
      </c>
      <c r="N1034" s="383">
        <v>86.983333333333334</v>
      </c>
      <c r="O1034" s="32"/>
      <c r="P1034" s="381">
        <f t="shared" si="171"/>
        <v>0</v>
      </c>
      <c r="Q1034" s="383">
        <v>86.983333333333334</v>
      </c>
      <c r="R1034" s="32"/>
      <c r="S1034" s="25">
        <f t="shared" si="172"/>
        <v>0</v>
      </c>
      <c r="T1034" s="383">
        <v>86.983333333333334</v>
      </c>
      <c r="U1034" s="32"/>
      <c r="V1034" s="25">
        <f t="shared" si="175"/>
        <v>0</v>
      </c>
      <c r="W1034" s="32">
        <f t="shared" si="176"/>
        <v>86.983333333333334</v>
      </c>
      <c r="X1034" s="32">
        <f t="shared" si="173"/>
        <v>0</v>
      </c>
      <c r="Y1034" s="381">
        <f t="shared" si="174"/>
        <v>0</v>
      </c>
    </row>
    <row r="1035" spans="1:25" x14ac:dyDescent="0.2">
      <c r="A1035" s="24">
        <f t="shared" si="166"/>
        <v>9.3799431412633485</v>
      </c>
      <c r="B1035" s="383">
        <v>87.983333333333334</v>
      </c>
      <c r="C1035" s="32"/>
      <c r="D1035" s="381">
        <f t="shared" si="167"/>
        <v>0</v>
      </c>
      <c r="E1035" s="383">
        <v>87.983333333333334</v>
      </c>
      <c r="F1035" s="8"/>
      <c r="G1035" s="381">
        <f t="shared" si="168"/>
        <v>0</v>
      </c>
      <c r="H1035" s="383">
        <v>87.983333333333334</v>
      </c>
      <c r="I1035" s="32"/>
      <c r="J1035" s="381">
        <f t="shared" si="169"/>
        <v>0</v>
      </c>
      <c r="K1035" s="383">
        <v>87.983333333333334</v>
      </c>
      <c r="L1035" s="31"/>
      <c r="M1035" s="381">
        <f t="shared" si="170"/>
        <v>0</v>
      </c>
      <c r="N1035" s="383">
        <v>87.983333333333334</v>
      </c>
      <c r="O1035" s="32"/>
      <c r="P1035" s="381">
        <f t="shared" si="171"/>
        <v>0</v>
      </c>
      <c r="Q1035" s="383">
        <v>87.983333333333334</v>
      </c>
      <c r="R1035" s="32"/>
      <c r="S1035" s="25">
        <f t="shared" si="172"/>
        <v>0</v>
      </c>
      <c r="T1035" s="383">
        <v>87.983333333333334</v>
      </c>
      <c r="U1035" s="32"/>
      <c r="V1035" s="25">
        <f t="shared" si="175"/>
        <v>0</v>
      </c>
      <c r="W1035" s="32">
        <f t="shared" si="176"/>
        <v>87.983333333333334</v>
      </c>
      <c r="X1035" s="32">
        <f t="shared" si="173"/>
        <v>0</v>
      </c>
      <c r="Y1035" s="381">
        <f t="shared" si="174"/>
        <v>0</v>
      </c>
    </row>
    <row r="1036" spans="1:25" x14ac:dyDescent="0.2">
      <c r="A1036" s="24">
        <f t="shared" si="166"/>
        <v>9.4330977591315843</v>
      </c>
      <c r="B1036" s="383">
        <v>88.983333333333334</v>
      </c>
      <c r="C1036" s="32"/>
      <c r="D1036" s="381">
        <f t="shared" si="167"/>
        <v>0</v>
      </c>
      <c r="E1036" s="383">
        <v>88.983333333333334</v>
      </c>
      <c r="F1036" s="8"/>
      <c r="G1036" s="381">
        <f t="shared" si="168"/>
        <v>0</v>
      </c>
      <c r="H1036" s="383">
        <v>88.983333333333334</v>
      </c>
      <c r="I1036" s="32"/>
      <c r="J1036" s="381">
        <f t="shared" si="169"/>
        <v>0</v>
      </c>
      <c r="K1036" s="383">
        <v>88.983333333333334</v>
      </c>
      <c r="L1036" s="31"/>
      <c r="M1036" s="381">
        <f t="shared" si="170"/>
        <v>0</v>
      </c>
      <c r="N1036" s="383">
        <v>88.983333333333334</v>
      </c>
      <c r="O1036" s="32"/>
      <c r="P1036" s="381">
        <f t="shared" si="171"/>
        <v>0</v>
      </c>
      <c r="Q1036" s="383">
        <v>88.983333333333334</v>
      </c>
      <c r="R1036" s="32"/>
      <c r="S1036" s="25">
        <f t="shared" si="172"/>
        <v>0</v>
      </c>
      <c r="T1036" s="383">
        <v>88.983333333333334</v>
      </c>
      <c r="U1036" s="32"/>
      <c r="V1036" s="25">
        <f t="shared" si="175"/>
        <v>0</v>
      </c>
      <c r="W1036" s="32">
        <f t="shared" si="176"/>
        <v>88.983333333333334</v>
      </c>
      <c r="X1036" s="32">
        <f t="shared" si="173"/>
        <v>0</v>
      </c>
      <c r="Y1036" s="381">
        <f t="shared" si="174"/>
        <v>0</v>
      </c>
    </row>
    <row r="1037" spans="1:25" x14ac:dyDescent="0.2">
      <c r="A1037" s="24">
        <f t="shared" si="166"/>
        <v>9.485954529373064</v>
      </c>
      <c r="B1037" s="383">
        <v>89.983333333333334</v>
      </c>
      <c r="C1037" s="32"/>
      <c r="D1037" s="381">
        <f t="shared" si="167"/>
        <v>0</v>
      </c>
      <c r="E1037" s="383">
        <v>89.983333333333334</v>
      </c>
      <c r="F1037" s="8"/>
      <c r="G1037" s="381">
        <f t="shared" si="168"/>
        <v>0</v>
      </c>
      <c r="H1037" s="383">
        <v>89.983333333333334</v>
      </c>
      <c r="I1037" s="32"/>
      <c r="J1037" s="381">
        <f t="shared" si="169"/>
        <v>0</v>
      </c>
      <c r="K1037" s="383">
        <v>89.983333333333334</v>
      </c>
      <c r="L1037" s="31"/>
      <c r="M1037" s="381">
        <f t="shared" si="170"/>
        <v>0</v>
      </c>
      <c r="N1037" s="383">
        <v>89.983333333333334</v>
      </c>
      <c r="O1037" s="32"/>
      <c r="P1037" s="381">
        <f t="shared" si="171"/>
        <v>0</v>
      </c>
      <c r="Q1037" s="383">
        <v>89.983333333333334</v>
      </c>
      <c r="R1037" s="32"/>
      <c r="S1037" s="25">
        <f t="shared" si="172"/>
        <v>0</v>
      </c>
      <c r="T1037" s="383">
        <v>89.983333333333334</v>
      </c>
      <c r="U1037" s="32"/>
      <c r="V1037" s="25">
        <f t="shared" si="175"/>
        <v>0</v>
      </c>
      <c r="W1037" s="32">
        <f t="shared" si="176"/>
        <v>89.983333333333334</v>
      </c>
      <c r="X1037" s="32">
        <f t="shared" si="173"/>
        <v>0</v>
      </c>
      <c r="Y1037" s="381">
        <f t="shared" si="174"/>
        <v>0</v>
      </c>
    </row>
    <row r="1038" spans="1:25" x14ac:dyDescent="0.2">
      <c r="A1038" s="24">
        <f t="shared" si="166"/>
        <v>9.5385184034698671</v>
      </c>
      <c r="B1038" s="383">
        <v>90.983333333333334</v>
      </c>
      <c r="C1038" s="32"/>
      <c r="D1038" s="381">
        <f t="shared" si="167"/>
        <v>0</v>
      </c>
      <c r="E1038" s="383">
        <v>90.983333333333334</v>
      </c>
      <c r="F1038" s="8"/>
      <c r="G1038" s="381">
        <f t="shared" si="168"/>
        <v>0</v>
      </c>
      <c r="H1038" s="383">
        <v>90.983333333333334</v>
      </c>
      <c r="I1038" s="32"/>
      <c r="J1038" s="381">
        <f t="shared" si="169"/>
        <v>0</v>
      </c>
      <c r="K1038" s="383">
        <v>90.983333333333334</v>
      </c>
      <c r="L1038" s="31"/>
      <c r="M1038" s="381">
        <f t="shared" si="170"/>
        <v>0</v>
      </c>
      <c r="N1038" s="383">
        <v>90.983333333333334</v>
      </c>
      <c r="O1038" s="32"/>
      <c r="P1038" s="381">
        <f t="shared" si="171"/>
        <v>0</v>
      </c>
      <c r="Q1038" s="383">
        <v>90.983333333333334</v>
      </c>
      <c r="R1038" s="32"/>
      <c r="S1038" s="25">
        <f t="shared" si="172"/>
        <v>0</v>
      </c>
      <c r="T1038" s="383">
        <v>90.983333333333334</v>
      </c>
      <c r="U1038" s="32"/>
      <c r="V1038" s="25">
        <f t="shared" si="175"/>
        <v>0</v>
      </c>
      <c r="W1038" s="32">
        <f t="shared" si="176"/>
        <v>90.983333333333334</v>
      </c>
      <c r="X1038" s="32">
        <f t="shared" si="173"/>
        <v>0</v>
      </c>
      <c r="Y1038" s="381">
        <f t="shared" si="174"/>
        <v>0</v>
      </c>
    </row>
    <row r="1039" spans="1:25" x14ac:dyDescent="0.2">
      <c r="A1039" s="24">
        <f t="shared" si="166"/>
        <v>9.5916630466254382</v>
      </c>
      <c r="B1039" s="383">
        <v>92</v>
      </c>
      <c r="C1039" s="32"/>
      <c r="D1039" s="381">
        <f t="shared" si="167"/>
        <v>0</v>
      </c>
      <c r="E1039" s="383">
        <v>92</v>
      </c>
      <c r="F1039" s="8"/>
      <c r="G1039" s="381">
        <f t="shared" si="168"/>
        <v>0</v>
      </c>
      <c r="H1039" s="383">
        <v>92</v>
      </c>
      <c r="I1039" s="32"/>
      <c r="J1039" s="381">
        <f t="shared" si="169"/>
        <v>0</v>
      </c>
      <c r="K1039" s="383">
        <v>92</v>
      </c>
      <c r="L1039" s="31"/>
      <c r="M1039" s="381">
        <f t="shared" si="170"/>
        <v>0</v>
      </c>
      <c r="N1039" s="383">
        <v>92</v>
      </c>
      <c r="O1039" s="32"/>
      <c r="P1039" s="381">
        <f t="shared" si="171"/>
        <v>0</v>
      </c>
      <c r="Q1039" s="383">
        <v>92</v>
      </c>
      <c r="R1039" s="32"/>
      <c r="S1039" s="25">
        <f t="shared" si="172"/>
        <v>0</v>
      </c>
      <c r="T1039" s="383">
        <v>92</v>
      </c>
      <c r="U1039" s="32"/>
      <c r="V1039" s="25">
        <f t="shared" si="175"/>
        <v>0</v>
      </c>
      <c r="W1039" s="32">
        <f t="shared" si="176"/>
        <v>92</v>
      </c>
      <c r="X1039" s="32">
        <f t="shared" si="173"/>
        <v>0</v>
      </c>
      <c r="Y1039" s="381">
        <f t="shared" si="174"/>
        <v>0</v>
      </c>
    </row>
    <row r="1040" spans="1:25" x14ac:dyDescent="0.2">
      <c r="A1040" s="24">
        <f t="shared" si="166"/>
        <v>9.6436507609929549</v>
      </c>
      <c r="B1040" s="383">
        <v>93</v>
      </c>
      <c r="C1040" s="32"/>
      <c r="D1040" s="381">
        <f t="shared" si="167"/>
        <v>0</v>
      </c>
      <c r="E1040" s="383">
        <v>93</v>
      </c>
      <c r="F1040" s="8"/>
      <c r="G1040" s="381">
        <f t="shared" si="168"/>
        <v>0</v>
      </c>
      <c r="H1040" s="383">
        <v>93</v>
      </c>
      <c r="I1040" s="32"/>
      <c r="J1040" s="381">
        <f t="shared" si="169"/>
        <v>0</v>
      </c>
      <c r="K1040" s="383">
        <v>93</v>
      </c>
      <c r="L1040" s="31"/>
      <c r="M1040" s="381">
        <f t="shared" si="170"/>
        <v>0</v>
      </c>
      <c r="N1040" s="383">
        <v>93</v>
      </c>
      <c r="O1040" s="32"/>
      <c r="P1040" s="381">
        <f t="shared" si="171"/>
        <v>0</v>
      </c>
      <c r="Q1040" s="383">
        <v>93</v>
      </c>
      <c r="R1040" s="32"/>
      <c r="S1040" s="25">
        <f t="shared" si="172"/>
        <v>0</v>
      </c>
      <c r="T1040" s="383">
        <v>93</v>
      </c>
      <c r="U1040" s="32"/>
      <c r="V1040" s="25">
        <f t="shared" si="175"/>
        <v>0</v>
      </c>
      <c r="W1040" s="32">
        <f t="shared" si="176"/>
        <v>93</v>
      </c>
      <c r="X1040" s="32">
        <f t="shared" si="173"/>
        <v>0</v>
      </c>
      <c r="Y1040" s="381">
        <f t="shared" si="174"/>
        <v>0</v>
      </c>
    </row>
    <row r="1041" spans="1:25" x14ac:dyDescent="0.2">
      <c r="A1041" s="24">
        <f t="shared" si="166"/>
        <v>9.6953597148326587</v>
      </c>
      <c r="B1041" s="383">
        <v>94</v>
      </c>
      <c r="C1041" s="32"/>
      <c r="D1041" s="381">
        <f t="shared" si="167"/>
        <v>0</v>
      </c>
      <c r="E1041" s="383">
        <v>94</v>
      </c>
      <c r="F1041" s="8"/>
      <c r="G1041" s="381">
        <f t="shared" si="168"/>
        <v>0</v>
      </c>
      <c r="H1041" s="383">
        <v>94</v>
      </c>
      <c r="I1041" s="32"/>
      <c r="J1041" s="381">
        <f t="shared" si="169"/>
        <v>0</v>
      </c>
      <c r="K1041" s="383">
        <v>94</v>
      </c>
      <c r="L1041" s="31"/>
      <c r="M1041" s="381">
        <f t="shared" si="170"/>
        <v>0</v>
      </c>
      <c r="N1041" s="383">
        <v>94</v>
      </c>
      <c r="O1041" s="32"/>
      <c r="P1041" s="381">
        <f t="shared" si="171"/>
        <v>0</v>
      </c>
      <c r="Q1041" s="383">
        <v>94</v>
      </c>
      <c r="R1041" s="32"/>
      <c r="S1041" s="25">
        <f t="shared" si="172"/>
        <v>0</v>
      </c>
      <c r="T1041" s="383">
        <v>94</v>
      </c>
      <c r="U1041" s="32"/>
      <c r="V1041" s="25">
        <f t="shared" si="175"/>
        <v>0</v>
      </c>
      <c r="W1041" s="32">
        <f t="shared" si="176"/>
        <v>94</v>
      </c>
      <c r="X1041" s="32">
        <f t="shared" si="173"/>
        <v>0</v>
      </c>
      <c r="Y1041" s="381">
        <f t="shared" si="174"/>
        <v>0</v>
      </c>
    </row>
    <row r="1042" spans="1:25" x14ac:dyDescent="0.2">
      <c r="A1042" s="24">
        <f t="shared" si="166"/>
        <v>9.7459393253463951</v>
      </c>
      <c r="B1042" s="383">
        <v>94.983333333333334</v>
      </c>
      <c r="C1042" s="32"/>
      <c r="D1042" s="381">
        <f t="shared" si="167"/>
        <v>0</v>
      </c>
      <c r="E1042" s="383">
        <v>94.983333333333334</v>
      </c>
      <c r="F1042" s="8"/>
      <c r="G1042" s="381">
        <f t="shared" si="168"/>
        <v>0</v>
      </c>
      <c r="H1042" s="383">
        <v>94.983333333333334</v>
      </c>
      <c r="I1042" s="32"/>
      <c r="J1042" s="381">
        <f t="shared" si="169"/>
        <v>0</v>
      </c>
      <c r="K1042" s="383">
        <v>94.983333333333334</v>
      </c>
      <c r="L1042" s="31"/>
      <c r="M1042" s="381">
        <f t="shared" si="170"/>
        <v>0</v>
      </c>
      <c r="N1042" s="383">
        <v>94.983333333333334</v>
      </c>
      <c r="O1042" s="32"/>
      <c r="P1042" s="381">
        <f t="shared" si="171"/>
        <v>0</v>
      </c>
      <c r="Q1042" s="383">
        <v>94.983333333333334</v>
      </c>
      <c r="R1042" s="32"/>
      <c r="S1042" s="25">
        <f t="shared" si="172"/>
        <v>0</v>
      </c>
      <c r="T1042" s="383">
        <v>94.983333333333334</v>
      </c>
      <c r="U1042" s="32"/>
      <c r="V1042" s="25">
        <f t="shared" si="175"/>
        <v>0</v>
      </c>
      <c r="W1042" s="32">
        <f t="shared" si="176"/>
        <v>94.983333333333334</v>
      </c>
      <c r="X1042" s="32">
        <f t="shared" si="173"/>
        <v>0</v>
      </c>
      <c r="Y1042" s="381">
        <f t="shared" si="174"/>
        <v>0</v>
      </c>
    </row>
    <row r="1043" spans="1:25" x14ac:dyDescent="0.2">
      <c r="A1043" s="24">
        <f t="shared" si="166"/>
        <v>9.7971084169428959</v>
      </c>
      <c r="B1043" s="383">
        <v>95.983333333333334</v>
      </c>
      <c r="C1043" s="32"/>
      <c r="D1043" s="381">
        <f t="shared" si="167"/>
        <v>0</v>
      </c>
      <c r="E1043" s="383">
        <v>95.983333333333334</v>
      </c>
      <c r="F1043" s="8"/>
      <c r="G1043" s="381">
        <f t="shared" si="168"/>
        <v>0</v>
      </c>
      <c r="H1043" s="383">
        <v>95.983333333333334</v>
      </c>
      <c r="I1043" s="32"/>
      <c r="J1043" s="381">
        <f t="shared" si="169"/>
        <v>0</v>
      </c>
      <c r="K1043" s="383">
        <v>95.983333333333334</v>
      </c>
      <c r="L1043" s="31"/>
      <c r="M1043" s="381">
        <f t="shared" si="170"/>
        <v>0</v>
      </c>
      <c r="N1043" s="383">
        <v>95.983333333333334</v>
      </c>
      <c r="O1043" s="32"/>
      <c r="P1043" s="381">
        <f t="shared" si="171"/>
        <v>0</v>
      </c>
      <c r="Q1043" s="383">
        <v>95.983333333333334</v>
      </c>
      <c r="R1043" s="32"/>
      <c r="S1043" s="25">
        <f t="shared" si="172"/>
        <v>0</v>
      </c>
      <c r="T1043" s="383">
        <v>95.983333333333334</v>
      </c>
      <c r="U1043" s="32"/>
      <c r="V1043" s="25">
        <f t="shared" si="175"/>
        <v>0</v>
      </c>
      <c r="W1043" s="32">
        <f t="shared" si="176"/>
        <v>95.983333333333334</v>
      </c>
      <c r="X1043" s="32">
        <f t="shared" si="173"/>
        <v>0</v>
      </c>
      <c r="Y1043" s="381">
        <f t="shared" si="174"/>
        <v>0</v>
      </c>
    </row>
    <row r="1044" spans="1:25" x14ac:dyDescent="0.2">
      <c r="A1044" s="24">
        <f t="shared" si="166"/>
        <v>9.8480116436432663</v>
      </c>
      <c r="B1044" s="383">
        <v>96.983333333333334</v>
      </c>
      <c r="C1044" s="32"/>
      <c r="D1044" s="381">
        <f t="shared" si="167"/>
        <v>0</v>
      </c>
      <c r="E1044" s="383">
        <v>96.983333333333334</v>
      </c>
      <c r="F1044" s="8"/>
      <c r="G1044" s="381">
        <f t="shared" si="168"/>
        <v>0</v>
      </c>
      <c r="H1044" s="383">
        <v>96.983333333333334</v>
      </c>
      <c r="I1044" s="32"/>
      <c r="J1044" s="381">
        <f t="shared" si="169"/>
        <v>0</v>
      </c>
      <c r="K1044" s="383">
        <v>96.983333333333334</v>
      </c>
      <c r="L1044" s="31"/>
      <c r="M1044" s="381">
        <f t="shared" si="170"/>
        <v>0</v>
      </c>
      <c r="N1044" s="383">
        <v>96.983333333333334</v>
      </c>
      <c r="O1044" s="32"/>
      <c r="P1044" s="381">
        <f t="shared" si="171"/>
        <v>0</v>
      </c>
      <c r="Q1044" s="383">
        <v>96.983333333333334</v>
      </c>
      <c r="R1044" s="32"/>
      <c r="S1044" s="25">
        <f t="shared" si="172"/>
        <v>0</v>
      </c>
      <c r="T1044" s="383">
        <v>96.983333333333334</v>
      </c>
      <c r="U1044" s="32"/>
      <c r="V1044" s="25">
        <f t="shared" si="175"/>
        <v>0</v>
      </c>
      <c r="W1044" s="32">
        <f t="shared" si="176"/>
        <v>96.983333333333334</v>
      </c>
      <c r="X1044" s="32">
        <f t="shared" si="173"/>
        <v>0</v>
      </c>
      <c r="Y1044" s="381">
        <f t="shared" si="174"/>
        <v>0</v>
      </c>
    </row>
    <row r="1045" spans="1:25" x14ac:dyDescent="0.2">
      <c r="A1045" s="24">
        <f t="shared" si="166"/>
        <v>9.8986531070309418</v>
      </c>
      <c r="B1045" s="383">
        <v>97.983333333333334</v>
      </c>
      <c r="C1045" s="32"/>
      <c r="D1045" s="381">
        <f t="shared" si="167"/>
        <v>0</v>
      </c>
      <c r="E1045" s="383">
        <v>97.983333333333334</v>
      </c>
      <c r="F1045" s="8"/>
      <c r="G1045" s="381">
        <f t="shared" si="168"/>
        <v>0</v>
      </c>
      <c r="H1045" s="383">
        <v>97.983333333333334</v>
      </c>
      <c r="I1045" s="32"/>
      <c r="J1045" s="381">
        <f t="shared" si="169"/>
        <v>0</v>
      </c>
      <c r="K1045" s="383">
        <v>97.983333333333334</v>
      </c>
      <c r="L1045" s="31"/>
      <c r="M1045" s="381">
        <f t="shared" si="170"/>
        <v>0</v>
      </c>
      <c r="N1045" s="383">
        <v>97.983333333333334</v>
      </c>
      <c r="O1045" s="32"/>
      <c r="P1045" s="381">
        <f t="shared" si="171"/>
        <v>0</v>
      </c>
      <c r="Q1045" s="383">
        <v>97.983333333333334</v>
      </c>
      <c r="R1045" s="32"/>
      <c r="S1045" s="25">
        <f t="shared" si="172"/>
        <v>0</v>
      </c>
      <c r="T1045" s="383">
        <v>97.983333333333334</v>
      </c>
      <c r="U1045" s="32"/>
      <c r="V1045" s="25">
        <f t="shared" si="175"/>
        <v>0</v>
      </c>
      <c r="W1045" s="32">
        <f t="shared" si="176"/>
        <v>97.983333333333334</v>
      </c>
      <c r="X1045" s="32">
        <f t="shared" si="173"/>
        <v>0</v>
      </c>
      <c r="Y1045" s="381">
        <f t="shared" si="174"/>
        <v>0</v>
      </c>
    </row>
    <row r="1046" spans="1:25" x14ac:dyDescent="0.2">
      <c r="A1046" s="24">
        <f t="shared" si="166"/>
        <v>9.9498743710661994</v>
      </c>
      <c r="B1046" s="383">
        <v>99</v>
      </c>
      <c r="C1046" s="32"/>
      <c r="D1046" s="381">
        <f t="shared" si="167"/>
        <v>0</v>
      </c>
      <c r="E1046" s="383">
        <v>99</v>
      </c>
      <c r="F1046" s="8"/>
      <c r="G1046" s="381">
        <f t="shared" si="168"/>
        <v>0</v>
      </c>
      <c r="H1046" s="383">
        <v>99</v>
      </c>
      <c r="I1046" s="32"/>
      <c r="J1046" s="381">
        <f t="shared" si="169"/>
        <v>0</v>
      </c>
      <c r="K1046" s="383">
        <v>99</v>
      </c>
      <c r="L1046" s="31"/>
      <c r="M1046" s="381">
        <f t="shared" si="170"/>
        <v>0</v>
      </c>
      <c r="N1046" s="383">
        <v>99</v>
      </c>
      <c r="O1046" s="32"/>
      <c r="P1046" s="381">
        <f t="shared" si="171"/>
        <v>0</v>
      </c>
      <c r="Q1046" s="383">
        <v>99</v>
      </c>
      <c r="R1046" s="32"/>
      <c r="S1046" s="25">
        <f t="shared" si="172"/>
        <v>0</v>
      </c>
      <c r="T1046" s="383">
        <v>99</v>
      </c>
      <c r="U1046" s="32"/>
      <c r="V1046" s="25">
        <f t="shared" si="175"/>
        <v>0</v>
      </c>
      <c r="W1046" s="32">
        <f t="shared" si="176"/>
        <v>99</v>
      </c>
      <c r="X1046" s="32">
        <f t="shared" si="173"/>
        <v>0</v>
      </c>
      <c r="Y1046" s="381">
        <f t="shared" si="174"/>
        <v>0</v>
      </c>
    </row>
    <row r="1047" spans="1:25" x14ac:dyDescent="0.2">
      <c r="A1047" s="24">
        <f t="shared" si="166"/>
        <v>10</v>
      </c>
      <c r="B1047" s="383">
        <v>100</v>
      </c>
      <c r="C1047" s="32"/>
      <c r="D1047" s="381">
        <f t="shared" si="167"/>
        <v>0</v>
      </c>
      <c r="E1047" s="383">
        <v>100</v>
      </c>
      <c r="F1047" s="8"/>
      <c r="G1047" s="381">
        <f t="shared" si="168"/>
        <v>0</v>
      </c>
      <c r="H1047" s="383">
        <v>100</v>
      </c>
      <c r="I1047" s="32"/>
      <c r="J1047" s="381">
        <f t="shared" si="169"/>
        <v>0</v>
      </c>
      <c r="K1047" s="383">
        <v>100</v>
      </c>
      <c r="L1047" s="31"/>
      <c r="M1047" s="381">
        <f t="shared" si="170"/>
        <v>0</v>
      </c>
      <c r="N1047" s="383">
        <v>100</v>
      </c>
      <c r="O1047" s="32"/>
      <c r="P1047" s="381">
        <f t="shared" si="171"/>
        <v>0</v>
      </c>
      <c r="Q1047" s="383">
        <v>100</v>
      </c>
      <c r="R1047" s="32"/>
      <c r="S1047" s="25">
        <f t="shared" si="172"/>
        <v>0</v>
      </c>
      <c r="T1047" s="383">
        <v>100</v>
      </c>
      <c r="U1047" s="32"/>
      <c r="V1047" s="25">
        <f t="shared" si="175"/>
        <v>0</v>
      </c>
      <c r="W1047" s="32">
        <f t="shared" si="176"/>
        <v>100</v>
      </c>
      <c r="X1047" s="32">
        <f t="shared" si="173"/>
        <v>0</v>
      </c>
      <c r="Y1047" s="381">
        <f t="shared" si="174"/>
        <v>0</v>
      </c>
    </row>
    <row r="1048" spans="1:25" x14ac:dyDescent="0.2">
      <c r="A1048" s="24">
        <f t="shared" si="166"/>
        <v>10.04987562112089</v>
      </c>
      <c r="B1048" s="383">
        <v>101</v>
      </c>
      <c r="C1048" s="32"/>
      <c r="D1048" s="381">
        <f t="shared" si="167"/>
        <v>0</v>
      </c>
      <c r="E1048" s="383">
        <v>101</v>
      </c>
      <c r="F1048" s="8"/>
      <c r="G1048" s="381">
        <f t="shared" si="168"/>
        <v>0</v>
      </c>
      <c r="H1048" s="383">
        <v>101</v>
      </c>
      <c r="I1048" s="32"/>
      <c r="J1048" s="381">
        <f t="shared" si="169"/>
        <v>0</v>
      </c>
      <c r="K1048" s="383">
        <v>101</v>
      </c>
      <c r="L1048" s="31"/>
      <c r="M1048" s="381">
        <f t="shared" si="170"/>
        <v>0</v>
      </c>
      <c r="N1048" s="383">
        <v>101</v>
      </c>
      <c r="O1048" s="32"/>
      <c r="P1048" s="381">
        <f t="shared" si="171"/>
        <v>0</v>
      </c>
      <c r="Q1048" s="383">
        <v>101</v>
      </c>
      <c r="R1048" s="32"/>
      <c r="S1048" s="25">
        <f t="shared" si="172"/>
        <v>0</v>
      </c>
      <c r="T1048" s="383">
        <v>101</v>
      </c>
      <c r="U1048" s="32"/>
      <c r="V1048" s="25">
        <f t="shared" si="175"/>
        <v>0</v>
      </c>
      <c r="W1048" s="32">
        <f t="shared" si="176"/>
        <v>101</v>
      </c>
      <c r="X1048" s="32">
        <f t="shared" si="173"/>
        <v>0</v>
      </c>
      <c r="Y1048" s="381">
        <f t="shared" si="174"/>
        <v>0</v>
      </c>
    </row>
    <row r="1049" spans="1:25" x14ac:dyDescent="0.2">
      <c r="A1049" s="24">
        <f t="shared" si="166"/>
        <v>10.09867978170084</v>
      </c>
      <c r="B1049" s="383">
        <v>101.98333333333333</v>
      </c>
      <c r="C1049" s="32"/>
      <c r="D1049" s="381">
        <f t="shared" si="167"/>
        <v>0</v>
      </c>
      <c r="E1049" s="383">
        <v>101.98333333333333</v>
      </c>
      <c r="F1049" s="8"/>
      <c r="G1049" s="381">
        <f t="shared" si="168"/>
        <v>0</v>
      </c>
      <c r="H1049" s="383">
        <v>101.98333333333333</v>
      </c>
      <c r="I1049" s="32"/>
      <c r="J1049" s="381">
        <f t="shared" si="169"/>
        <v>0</v>
      </c>
      <c r="K1049" s="383">
        <v>101.98333333333333</v>
      </c>
      <c r="L1049" s="31"/>
      <c r="M1049" s="381">
        <f t="shared" si="170"/>
        <v>0</v>
      </c>
      <c r="N1049" s="383">
        <v>101.98333333333333</v>
      </c>
      <c r="O1049" s="32"/>
      <c r="P1049" s="381">
        <f t="shared" si="171"/>
        <v>0</v>
      </c>
      <c r="Q1049" s="383">
        <v>101.98333333333333</v>
      </c>
      <c r="R1049" s="32"/>
      <c r="S1049" s="25">
        <f t="shared" si="172"/>
        <v>0</v>
      </c>
      <c r="T1049" s="383">
        <v>101.98333333333333</v>
      </c>
      <c r="U1049" s="32"/>
      <c r="V1049" s="25">
        <f t="shared" si="175"/>
        <v>0</v>
      </c>
      <c r="W1049" s="32">
        <f t="shared" si="176"/>
        <v>101.98333333333333</v>
      </c>
      <c r="X1049" s="32">
        <f t="shared" si="173"/>
        <v>0</v>
      </c>
      <c r="Y1049" s="381">
        <f t="shared" si="174"/>
        <v>0</v>
      </c>
    </row>
    <row r="1050" spans="1:25" x14ac:dyDescent="0.2">
      <c r="A1050" s="24">
        <f t="shared" si="166"/>
        <v>10.148070424141396</v>
      </c>
      <c r="B1050" s="383">
        <v>102.98333333333333</v>
      </c>
      <c r="C1050" s="32"/>
      <c r="D1050" s="381">
        <f t="shared" si="167"/>
        <v>0</v>
      </c>
      <c r="E1050" s="383">
        <v>102.98333333333333</v>
      </c>
      <c r="F1050" s="8"/>
      <c r="G1050" s="381">
        <f t="shared" si="168"/>
        <v>0</v>
      </c>
      <c r="H1050" s="383">
        <v>102.98333333333333</v>
      </c>
      <c r="I1050" s="32"/>
      <c r="J1050" s="381">
        <f t="shared" si="169"/>
        <v>0</v>
      </c>
      <c r="K1050" s="383">
        <v>102.98333333333333</v>
      </c>
      <c r="L1050" s="31"/>
      <c r="M1050" s="381">
        <f t="shared" si="170"/>
        <v>0</v>
      </c>
      <c r="N1050" s="383">
        <v>102.98333333333333</v>
      </c>
      <c r="O1050" s="32"/>
      <c r="P1050" s="381">
        <f t="shared" si="171"/>
        <v>0</v>
      </c>
      <c r="Q1050" s="383">
        <v>102.98333333333333</v>
      </c>
      <c r="R1050" s="32"/>
      <c r="S1050" s="25">
        <f t="shared" si="172"/>
        <v>0</v>
      </c>
      <c r="T1050" s="383">
        <v>102.98333333333333</v>
      </c>
      <c r="U1050" s="32"/>
      <c r="V1050" s="25">
        <f t="shared" si="175"/>
        <v>0</v>
      </c>
      <c r="W1050" s="32">
        <f t="shared" si="176"/>
        <v>102.98333333333333</v>
      </c>
      <c r="X1050" s="32">
        <f t="shared" si="173"/>
        <v>0</v>
      </c>
      <c r="Y1050" s="381">
        <f t="shared" si="174"/>
        <v>0</v>
      </c>
    </row>
    <row r="1051" spans="1:25" x14ac:dyDescent="0.2">
      <c r="A1051" s="24">
        <f t="shared" si="166"/>
        <v>10.197221843881467</v>
      </c>
      <c r="B1051" s="383">
        <v>103.98333333333333</v>
      </c>
      <c r="C1051" s="32"/>
      <c r="D1051" s="381">
        <f t="shared" si="167"/>
        <v>0</v>
      </c>
      <c r="E1051" s="383">
        <v>103.98333333333333</v>
      </c>
      <c r="F1051" s="8"/>
      <c r="G1051" s="381">
        <f t="shared" si="168"/>
        <v>0</v>
      </c>
      <c r="H1051" s="383">
        <v>103.98333333333333</v>
      </c>
      <c r="I1051" s="32"/>
      <c r="J1051" s="381">
        <f t="shared" si="169"/>
        <v>0</v>
      </c>
      <c r="K1051" s="383">
        <v>103.98333333333333</v>
      </c>
      <c r="L1051" s="31"/>
      <c r="M1051" s="381">
        <f t="shared" si="170"/>
        <v>0</v>
      </c>
      <c r="N1051" s="383">
        <v>103.98333333333333</v>
      </c>
      <c r="O1051" s="32"/>
      <c r="P1051" s="381">
        <f t="shared" si="171"/>
        <v>0</v>
      </c>
      <c r="Q1051" s="383">
        <v>103.98333333333333</v>
      </c>
      <c r="R1051" s="32"/>
      <c r="S1051" s="25">
        <f t="shared" si="172"/>
        <v>0</v>
      </c>
      <c r="T1051" s="383">
        <v>103.98333333333333</v>
      </c>
      <c r="U1051" s="32"/>
      <c r="V1051" s="25">
        <f t="shared" si="175"/>
        <v>0</v>
      </c>
      <c r="W1051" s="32">
        <f t="shared" si="176"/>
        <v>103.98333333333333</v>
      </c>
      <c r="X1051" s="32">
        <f t="shared" si="173"/>
        <v>0</v>
      </c>
      <c r="Y1051" s="381">
        <f t="shared" si="174"/>
        <v>0</v>
      </c>
    </row>
    <row r="1052" spans="1:25" x14ac:dyDescent="0.2">
      <c r="A1052" s="24">
        <f t="shared" si="166"/>
        <v>10.246137483624418</v>
      </c>
      <c r="B1052" s="383">
        <v>104.98333333333333</v>
      </c>
      <c r="C1052" s="32"/>
      <c r="D1052" s="381">
        <f t="shared" si="167"/>
        <v>0</v>
      </c>
      <c r="E1052" s="383">
        <v>104.98333333333333</v>
      </c>
      <c r="F1052" s="8"/>
      <c r="G1052" s="381">
        <f t="shared" si="168"/>
        <v>0</v>
      </c>
      <c r="H1052" s="383">
        <v>104.98333333333333</v>
      </c>
      <c r="I1052" s="32"/>
      <c r="J1052" s="381">
        <f t="shared" si="169"/>
        <v>0</v>
      </c>
      <c r="K1052" s="383">
        <v>104.98333333333333</v>
      </c>
      <c r="L1052" s="31"/>
      <c r="M1052" s="381">
        <f t="shared" si="170"/>
        <v>0</v>
      </c>
      <c r="N1052" s="383">
        <v>104.98333333333333</v>
      </c>
      <c r="O1052" s="32"/>
      <c r="P1052" s="381">
        <f t="shared" si="171"/>
        <v>0</v>
      </c>
      <c r="Q1052" s="383">
        <v>104.98333333333333</v>
      </c>
      <c r="R1052" s="32"/>
      <c r="S1052" s="25">
        <f t="shared" si="172"/>
        <v>0</v>
      </c>
      <c r="T1052" s="383">
        <v>104.98333333333333</v>
      </c>
      <c r="U1052" s="32"/>
      <c r="V1052" s="25">
        <f t="shared" si="175"/>
        <v>0</v>
      </c>
      <c r="W1052" s="32">
        <f t="shared" si="176"/>
        <v>104.98333333333333</v>
      </c>
      <c r="X1052" s="32">
        <f t="shared" si="173"/>
        <v>0</v>
      </c>
      <c r="Y1052" s="381">
        <f t="shared" si="174"/>
        <v>0</v>
      </c>
    </row>
    <row r="1053" spans="1:25" x14ac:dyDescent="0.2">
      <c r="A1053" s="24">
        <f t="shared" si="166"/>
        <v>10.295630140987001</v>
      </c>
      <c r="B1053" s="383">
        <v>106</v>
      </c>
      <c r="C1053" s="32"/>
      <c r="D1053" s="381">
        <f t="shared" si="167"/>
        <v>0</v>
      </c>
      <c r="E1053" s="383">
        <v>106</v>
      </c>
      <c r="F1053" s="8"/>
      <c r="G1053" s="381">
        <f t="shared" si="168"/>
        <v>0</v>
      </c>
      <c r="H1053" s="383">
        <v>106</v>
      </c>
      <c r="I1053" s="32"/>
      <c r="J1053" s="381">
        <f t="shared" si="169"/>
        <v>0</v>
      </c>
      <c r="K1053" s="383">
        <v>106</v>
      </c>
      <c r="L1053" s="31"/>
      <c r="M1053" s="381">
        <f t="shared" si="170"/>
        <v>0</v>
      </c>
      <c r="N1053" s="383">
        <v>106</v>
      </c>
      <c r="O1053" s="32"/>
      <c r="P1053" s="381">
        <f t="shared" si="171"/>
        <v>0</v>
      </c>
      <c r="Q1053" s="383">
        <v>106</v>
      </c>
      <c r="R1053" s="32"/>
      <c r="S1053" s="25">
        <f t="shared" si="172"/>
        <v>0</v>
      </c>
      <c r="T1053" s="383">
        <v>106</v>
      </c>
      <c r="U1053" s="32"/>
      <c r="V1053" s="25">
        <f t="shared" si="175"/>
        <v>0</v>
      </c>
      <c r="W1053" s="32">
        <f t="shared" si="176"/>
        <v>106</v>
      </c>
      <c r="X1053" s="32">
        <f t="shared" si="173"/>
        <v>0</v>
      </c>
      <c r="Y1053" s="381">
        <f t="shared" si="174"/>
        <v>0</v>
      </c>
    </row>
    <row r="1054" spans="1:25" x14ac:dyDescent="0.2">
      <c r="A1054" s="24">
        <f t="shared" si="166"/>
        <v>10.344080432788601</v>
      </c>
      <c r="B1054" s="383">
        <v>107</v>
      </c>
      <c r="C1054" s="32"/>
      <c r="D1054" s="381">
        <f t="shared" si="167"/>
        <v>0</v>
      </c>
      <c r="E1054" s="383">
        <v>107</v>
      </c>
      <c r="F1054" s="8"/>
      <c r="G1054" s="381">
        <f t="shared" si="168"/>
        <v>0</v>
      </c>
      <c r="H1054" s="383">
        <v>107</v>
      </c>
      <c r="I1054" s="32"/>
      <c r="J1054" s="381">
        <f t="shared" si="169"/>
        <v>0</v>
      </c>
      <c r="K1054" s="383">
        <v>107</v>
      </c>
      <c r="L1054" s="31"/>
      <c r="M1054" s="381">
        <f t="shared" si="170"/>
        <v>0</v>
      </c>
      <c r="N1054" s="383">
        <v>107</v>
      </c>
      <c r="O1054" s="32"/>
      <c r="P1054" s="381">
        <f t="shared" si="171"/>
        <v>0</v>
      </c>
      <c r="Q1054" s="383">
        <v>107</v>
      </c>
      <c r="R1054" s="32"/>
      <c r="S1054" s="25">
        <f t="shared" si="172"/>
        <v>0</v>
      </c>
      <c r="T1054" s="383">
        <v>107</v>
      </c>
      <c r="U1054" s="32"/>
      <c r="V1054" s="25">
        <f t="shared" si="175"/>
        <v>0</v>
      </c>
      <c r="W1054" s="32">
        <f t="shared" si="176"/>
        <v>107</v>
      </c>
      <c r="X1054" s="32">
        <f t="shared" si="173"/>
        <v>0</v>
      </c>
      <c r="Y1054" s="381">
        <f t="shared" si="174"/>
        <v>0</v>
      </c>
    </row>
    <row r="1055" spans="1:25" x14ac:dyDescent="0.2">
      <c r="A1055" s="24">
        <f t="shared" si="166"/>
        <v>10.392304845413264</v>
      </c>
      <c r="B1055" s="383">
        <v>108</v>
      </c>
      <c r="C1055" s="32"/>
      <c r="D1055" s="381">
        <f t="shared" si="167"/>
        <v>0</v>
      </c>
      <c r="E1055" s="383">
        <v>108</v>
      </c>
      <c r="F1055" s="8"/>
      <c r="G1055" s="381">
        <f t="shared" si="168"/>
        <v>0</v>
      </c>
      <c r="H1055" s="383">
        <v>108</v>
      </c>
      <c r="I1055" s="32"/>
      <c r="J1055" s="381">
        <f t="shared" si="169"/>
        <v>0</v>
      </c>
      <c r="K1055" s="383">
        <v>108</v>
      </c>
      <c r="L1055" s="31"/>
      <c r="M1055" s="381">
        <f t="shared" si="170"/>
        <v>0</v>
      </c>
      <c r="N1055" s="383">
        <v>108</v>
      </c>
      <c r="O1055" s="32"/>
      <c r="P1055" s="381">
        <f t="shared" si="171"/>
        <v>0</v>
      </c>
      <c r="Q1055" s="383">
        <v>108</v>
      </c>
      <c r="R1055" s="32"/>
      <c r="S1055" s="25">
        <f t="shared" si="172"/>
        <v>0</v>
      </c>
      <c r="T1055" s="383">
        <v>108</v>
      </c>
      <c r="U1055" s="32"/>
      <c r="V1055" s="25">
        <f t="shared" si="175"/>
        <v>0</v>
      </c>
      <c r="W1055" s="32">
        <f t="shared" si="176"/>
        <v>108</v>
      </c>
      <c r="X1055" s="32">
        <f t="shared" si="173"/>
        <v>0</v>
      </c>
      <c r="Y1055" s="381">
        <f t="shared" si="174"/>
        <v>0</v>
      </c>
    </row>
    <row r="1056" spans="1:25" x14ac:dyDescent="0.2">
      <c r="A1056" s="24">
        <f t="shared" si="166"/>
        <v>10.439508289825405</v>
      </c>
      <c r="B1056" s="383">
        <v>108.98333333333333</v>
      </c>
      <c r="C1056" s="32"/>
      <c r="D1056" s="381">
        <f t="shared" si="167"/>
        <v>0</v>
      </c>
      <c r="E1056" s="383">
        <v>108.98333333333333</v>
      </c>
      <c r="F1056" s="8"/>
      <c r="G1056" s="381">
        <f t="shared" si="168"/>
        <v>0</v>
      </c>
      <c r="H1056" s="383">
        <v>108.98333333333333</v>
      </c>
      <c r="I1056" s="32"/>
      <c r="J1056" s="381">
        <f t="shared" si="169"/>
        <v>0</v>
      </c>
      <c r="K1056" s="383">
        <v>108.98333333333333</v>
      </c>
      <c r="L1056" s="31"/>
      <c r="M1056" s="381">
        <f t="shared" si="170"/>
        <v>0</v>
      </c>
      <c r="N1056" s="383">
        <v>108.98333333333333</v>
      </c>
      <c r="O1056" s="32"/>
      <c r="P1056" s="381">
        <f t="shared" si="171"/>
        <v>0</v>
      </c>
      <c r="Q1056" s="383">
        <v>108.98333333333333</v>
      </c>
      <c r="R1056" s="32"/>
      <c r="S1056" s="25">
        <f t="shared" si="172"/>
        <v>0</v>
      </c>
      <c r="T1056" s="383">
        <v>108.98333333333333</v>
      </c>
      <c r="U1056" s="32"/>
      <c r="V1056" s="25">
        <f t="shared" si="175"/>
        <v>0</v>
      </c>
      <c r="W1056" s="32">
        <f t="shared" si="176"/>
        <v>108.98333333333333</v>
      </c>
      <c r="X1056" s="32">
        <f t="shared" si="173"/>
        <v>0</v>
      </c>
      <c r="Y1056" s="381">
        <f t="shared" si="174"/>
        <v>0</v>
      </c>
    </row>
    <row r="1057" spans="1:25" x14ac:dyDescent="0.2">
      <c r="A1057" s="24">
        <f t="shared" si="166"/>
        <v>10.487293899444857</v>
      </c>
      <c r="B1057" s="383">
        <v>109.98333333333333</v>
      </c>
      <c r="C1057" s="32"/>
      <c r="D1057" s="381">
        <f t="shared" si="167"/>
        <v>0</v>
      </c>
      <c r="E1057" s="383">
        <v>109.98333333333333</v>
      </c>
      <c r="F1057" s="8"/>
      <c r="G1057" s="381">
        <f t="shared" si="168"/>
        <v>0</v>
      </c>
      <c r="H1057" s="383">
        <v>109.98333333333333</v>
      </c>
      <c r="I1057" s="32"/>
      <c r="J1057" s="381">
        <f t="shared" si="169"/>
        <v>0</v>
      </c>
      <c r="K1057" s="383">
        <v>109.98333333333333</v>
      </c>
      <c r="L1057" s="31"/>
      <c r="M1057" s="381">
        <f t="shared" si="170"/>
        <v>0</v>
      </c>
      <c r="N1057" s="383">
        <v>109.98333333333333</v>
      </c>
      <c r="O1057" s="32"/>
      <c r="P1057" s="381">
        <f t="shared" si="171"/>
        <v>0</v>
      </c>
      <c r="Q1057" s="383">
        <v>109.98333333333333</v>
      </c>
      <c r="R1057" s="32"/>
      <c r="S1057" s="25">
        <f t="shared" si="172"/>
        <v>0</v>
      </c>
      <c r="T1057" s="383">
        <v>109.98333333333333</v>
      </c>
      <c r="U1057" s="32"/>
      <c r="V1057" s="25">
        <f t="shared" si="175"/>
        <v>0</v>
      </c>
      <c r="W1057" s="32">
        <f t="shared" si="176"/>
        <v>109.98333333333333</v>
      </c>
      <c r="X1057" s="32">
        <f t="shared" si="173"/>
        <v>0</v>
      </c>
      <c r="Y1057" s="381">
        <f t="shared" si="174"/>
        <v>0</v>
      </c>
    </row>
    <row r="1058" spans="1:25" x14ac:dyDescent="0.2">
      <c r="A1058" s="24">
        <f t="shared" si="166"/>
        <v>10.534862758163172</v>
      </c>
      <c r="B1058" s="383">
        <v>110.98333333333333</v>
      </c>
      <c r="C1058" s="32"/>
      <c r="D1058" s="381">
        <f t="shared" si="167"/>
        <v>0</v>
      </c>
      <c r="E1058" s="383">
        <v>110.98333333333333</v>
      </c>
      <c r="F1058" s="8"/>
      <c r="G1058" s="381">
        <f t="shared" si="168"/>
        <v>0</v>
      </c>
      <c r="H1058" s="383">
        <v>110.98333333333333</v>
      </c>
      <c r="I1058" s="32"/>
      <c r="J1058" s="381">
        <f t="shared" si="169"/>
        <v>0</v>
      </c>
      <c r="K1058" s="383">
        <v>110.98333333333333</v>
      </c>
      <c r="L1058" s="31"/>
      <c r="M1058" s="381">
        <f t="shared" si="170"/>
        <v>0</v>
      </c>
      <c r="N1058" s="383">
        <v>110.98333333333333</v>
      </c>
      <c r="O1058" s="32"/>
      <c r="P1058" s="381">
        <f t="shared" si="171"/>
        <v>0</v>
      </c>
      <c r="Q1058" s="383">
        <v>110.98333333333333</v>
      </c>
      <c r="R1058" s="32"/>
      <c r="S1058" s="25">
        <f t="shared" si="172"/>
        <v>0</v>
      </c>
      <c r="T1058" s="383">
        <v>110.98333333333333</v>
      </c>
      <c r="U1058" s="32"/>
      <c r="V1058" s="25">
        <f t="shared" si="175"/>
        <v>0</v>
      </c>
      <c r="W1058" s="32">
        <f t="shared" si="176"/>
        <v>110.98333333333333</v>
      </c>
      <c r="X1058" s="32">
        <f t="shared" si="173"/>
        <v>0</v>
      </c>
      <c r="Y1058" s="381">
        <f t="shared" si="174"/>
        <v>0</v>
      </c>
    </row>
    <row r="1059" spans="1:25" x14ac:dyDescent="0.2">
      <c r="A1059" s="24">
        <f t="shared" si="166"/>
        <v>10.582217788976624</v>
      </c>
      <c r="B1059" s="383">
        <v>111.98333333333333</v>
      </c>
      <c r="C1059" s="32"/>
      <c r="D1059" s="381">
        <f t="shared" si="167"/>
        <v>0</v>
      </c>
      <c r="E1059" s="383">
        <v>111.98333333333333</v>
      </c>
      <c r="F1059" s="8"/>
      <c r="G1059" s="381">
        <f t="shared" si="168"/>
        <v>0</v>
      </c>
      <c r="H1059" s="383">
        <v>111.98333333333333</v>
      </c>
      <c r="I1059" s="32"/>
      <c r="J1059" s="381">
        <f t="shared" si="169"/>
        <v>0</v>
      </c>
      <c r="K1059" s="383">
        <v>111.98333333333333</v>
      </c>
      <c r="L1059" s="31"/>
      <c r="M1059" s="381">
        <f t="shared" si="170"/>
        <v>0</v>
      </c>
      <c r="N1059" s="383">
        <v>111.98333333333333</v>
      </c>
      <c r="O1059" s="32"/>
      <c r="P1059" s="381">
        <f t="shared" si="171"/>
        <v>0</v>
      </c>
      <c r="Q1059" s="383">
        <v>111.98333333333333</v>
      </c>
      <c r="R1059" s="32"/>
      <c r="S1059" s="25">
        <f t="shared" si="172"/>
        <v>0</v>
      </c>
      <c r="T1059" s="383">
        <v>111.98333333333333</v>
      </c>
      <c r="U1059" s="32"/>
      <c r="V1059" s="25">
        <f t="shared" si="175"/>
        <v>0</v>
      </c>
      <c r="W1059" s="32">
        <f t="shared" si="176"/>
        <v>111.98333333333333</v>
      </c>
      <c r="X1059" s="32">
        <f t="shared" si="173"/>
        <v>0</v>
      </c>
      <c r="Y1059" s="381">
        <f t="shared" si="174"/>
        <v>0</v>
      </c>
    </row>
    <row r="1060" spans="1:25" x14ac:dyDescent="0.2">
      <c r="A1060" s="24">
        <f t="shared" si="166"/>
        <v>10.629361849769408</v>
      </c>
      <c r="B1060" s="383">
        <v>112.98333333333333</v>
      </c>
      <c r="C1060" s="32"/>
      <c r="D1060" s="381">
        <f t="shared" si="167"/>
        <v>0</v>
      </c>
      <c r="E1060" s="383">
        <v>112.98333333333333</v>
      </c>
      <c r="F1060" s="8"/>
      <c r="G1060" s="381">
        <f t="shared" si="168"/>
        <v>0</v>
      </c>
      <c r="H1060" s="383">
        <v>112.98333333333333</v>
      </c>
      <c r="I1060" s="32"/>
      <c r="J1060" s="381">
        <f t="shared" si="169"/>
        <v>0</v>
      </c>
      <c r="K1060" s="383">
        <v>112.98333333333333</v>
      </c>
      <c r="L1060" s="31"/>
      <c r="M1060" s="381">
        <f t="shared" si="170"/>
        <v>0</v>
      </c>
      <c r="N1060" s="383">
        <v>112.98333333333333</v>
      </c>
      <c r="O1060" s="32"/>
      <c r="P1060" s="381">
        <f t="shared" si="171"/>
        <v>0</v>
      </c>
      <c r="Q1060" s="383">
        <v>112.98333333333333</v>
      </c>
      <c r="R1060" s="32"/>
      <c r="S1060" s="25">
        <f t="shared" si="172"/>
        <v>0</v>
      </c>
      <c r="T1060" s="383">
        <v>112.98333333333333</v>
      </c>
      <c r="U1060" s="32"/>
      <c r="V1060" s="25">
        <f t="shared" si="175"/>
        <v>0</v>
      </c>
      <c r="W1060" s="32">
        <f t="shared" si="176"/>
        <v>112.98333333333333</v>
      </c>
      <c r="X1060" s="32">
        <f t="shared" si="173"/>
        <v>0</v>
      </c>
      <c r="Y1060" s="381">
        <f t="shared" si="174"/>
        <v>0</v>
      </c>
    </row>
    <row r="1061" spans="1:25" x14ac:dyDescent="0.2">
      <c r="A1061" s="24">
        <f t="shared" ref="A1061:A1124" si="177">SQRT(B1061)</f>
        <v>10.677078252031311</v>
      </c>
      <c r="B1061" s="383">
        <v>114</v>
      </c>
      <c r="C1061" s="32"/>
      <c r="D1061" s="381">
        <f t="shared" si="167"/>
        <v>0</v>
      </c>
      <c r="E1061" s="383">
        <v>114</v>
      </c>
      <c r="F1061" s="8"/>
      <c r="G1061" s="381">
        <f t="shared" si="168"/>
        <v>0</v>
      </c>
      <c r="H1061" s="383">
        <v>114</v>
      </c>
      <c r="I1061" s="32"/>
      <c r="J1061" s="381">
        <f t="shared" si="169"/>
        <v>0</v>
      </c>
      <c r="K1061" s="383">
        <v>114</v>
      </c>
      <c r="L1061" s="31"/>
      <c r="M1061" s="381">
        <f t="shared" si="170"/>
        <v>0</v>
      </c>
      <c r="N1061" s="383">
        <v>114</v>
      </c>
      <c r="O1061" s="32"/>
      <c r="P1061" s="381">
        <f t="shared" si="171"/>
        <v>0</v>
      </c>
      <c r="Q1061" s="383">
        <v>114</v>
      </c>
      <c r="R1061" s="32"/>
      <c r="S1061" s="25">
        <f t="shared" si="172"/>
        <v>0</v>
      </c>
      <c r="T1061" s="383">
        <v>114</v>
      </c>
      <c r="U1061" s="32"/>
      <c r="V1061" s="25">
        <f t="shared" si="175"/>
        <v>0</v>
      </c>
      <c r="W1061" s="32">
        <f t="shared" si="176"/>
        <v>114</v>
      </c>
      <c r="X1061" s="32">
        <f t="shared" si="173"/>
        <v>0</v>
      </c>
      <c r="Y1061" s="381">
        <f t="shared" si="174"/>
        <v>0</v>
      </c>
    </row>
    <row r="1062" spans="1:25" x14ac:dyDescent="0.2">
      <c r="A1062" s="24">
        <f t="shared" si="177"/>
        <v>10.723805294763608</v>
      </c>
      <c r="B1062" s="383">
        <v>115</v>
      </c>
      <c r="C1062" s="32"/>
      <c r="D1062" s="381">
        <f t="shared" si="167"/>
        <v>0</v>
      </c>
      <c r="E1062" s="383">
        <v>115</v>
      </c>
      <c r="F1062" s="8"/>
      <c r="G1062" s="381">
        <f t="shared" si="168"/>
        <v>0</v>
      </c>
      <c r="H1062" s="383">
        <v>115</v>
      </c>
      <c r="I1062" s="32"/>
      <c r="J1062" s="381">
        <f t="shared" si="169"/>
        <v>0</v>
      </c>
      <c r="K1062" s="383">
        <v>115</v>
      </c>
      <c r="L1062" s="31"/>
      <c r="M1062" s="381">
        <f t="shared" si="170"/>
        <v>0</v>
      </c>
      <c r="N1062" s="383">
        <v>115</v>
      </c>
      <c r="O1062" s="32"/>
      <c r="P1062" s="381">
        <f t="shared" si="171"/>
        <v>0</v>
      </c>
      <c r="Q1062" s="383">
        <v>115</v>
      </c>
      <c r="R1062" s="32"/>
      <c r="S1062" s="25">
        <f t="shared" si="172"/>
        <v>0</v>
      </c>
      <c r="T1062" s="383">
        <v>115</v>
      </c>
      <c r="U1062" s="32"/>
      <c r="V1062" s="25">
        <f t="shared" si="175"/>
        <v>0</v>
      </c>
      <c r="W1062" s="32">
        <f t="shared" si="176"/>
        <v>115</v>
      </c>
      <c r="X1062" s="32">
        <f t="shared" si="173"/>
        <v>0</v>
      </c>
      <c r="Y1062" s="381">
        <f t="shared" si="174"/>
        <v>0</v>
      </c>
    </row>
    <row r="1063" spans="1:25" x14ac:dyDescent="0.2">
      <c r="A1063" s="24">
        <f t="shared" si="177"/>
        <v>10.769555855899227</v>
      </c>
      <c r="B1063" s="383">
        <v>115.98333333333333</v>
      </c>
      <c r="C1063" s="32"/>
      <c r="D1063" s="381">
        <f t="shared" si="167"/>
        <v>0</v>
      </c>
      <c r="E1063" s="383">
        <v>115.98333333333333</v>
      </c>
      <c r="F1063" s="8"/>
      <c r="G1063" s="381">
        <f t="shared" si="168"/>
        <v>0</v>
      </c>
      <c r="H1063" s="383">
        <v>115.98333333333333</v>
      </c>
      <c r="I1063" s="32"/>
      <c r="J1063" s="381">
        <f t="shared" si="169"/>
        <v>0</v>
      </c>
      <c r="K1063" s="383">
        <v>115.98333333333333</v>
      </c>
      <c r="L1063" s="31"/>
      <c r="M1063" s="381">
        <f t="shared" si="170"/>
        <v>0</v>
      </c>
      <c r="N1063" s="383">
        <v>115.98333333333333</v>
      </c>
      <c r="O1063" s="32"/>
      <c r="P1063" s="381">
        <f t="shared" si="171"/>
        <v>0</v>
      </c>
      <c r="Q1063" s="383">
        <v>115.98333333333333</v>
      </c>
      <c r="R1063" s="32"/>
      <c r="S1063" s="25">
        <f t="shared" si="172"/>
        <v>0</v>
      </c>
      <c r="T1063" s="383">
        <v>115.98333333333333</v>
      </c>
      <c r="U1063" s="32"/>
      <c r="V1063" s="25">
        <f t="shared" si="175"/>
        <v>0</v>
      </c>
      <c r="W1063" s="32">
        <f t="shared" si="176"/>
        <v>115.98333333333333</v>
      </c>
      <c r="X1063" s="32">
        <f t="shared" si="173"/>
        <v>0</v>
      </c>
      <c r="Y1063" s="381">
        <f t="shared" si="174"/>
        <v>0</v>
      </c>
    </row>
    <row r="1064" spans="1:25" x14ac:dyDescent="0.2">
      <c r="A1064" s="24">
        <f t="shared" si="177"/>
        <v>10.815883382014311</v>
      </c>
      <c r="B1064" s="383">
        <v>116.98333333333333</v>
      </c>
      <c r="C1064" s="32"/>
      <c r="D1064" s="381">
        <f t="shared" si="167"/>
        <v>0</v>
      </c>
      <c r="E1064" s="383">
        <v>116.98333333333333</v>
      </c>
      <c r="F1064" s="8"/>
      <c r="G1064" s="381">
        <f t="shared" si="168"/>
        <v>0</v>
      </c>
      <c r="H1064" s="383">
        <v>116.98333333333333</v>
      </c>
      <c r="I1064" s="32"/>
      <c r="J1064" s="381">
        <f t="shared" si="169"/>
        <v>0</v>
      </c>
      <c r="K1064" s="383">
        <v>116.98333333333333</v>
      </c>
      <c r="L1064" s="31"/>
      <c r="M1064" s="381">
        <f t="shared" si="170"/>
        <v>0</v>
      </c>
      <c r="N1064" s="383">
        <v>116.98333333333333</v>
      </c>
      <c r="O1064" s="32"/>
      <c r="P1064" s="381">
        <f t="shared" si="171"/>
        <v>0</v>
      </c>
      <c r="Q1064" s="383">
        <v>116.98333333333333</v>
      </c>
      <c r="R1064" s="32"/>
      <c r="S1064" s="25">
        <f t="shared" si="172"/>
        <v>0</v>
      </c>
      <c r="T1064" s="383">
        <v>116.98333333333333</v>
      </c>
      <c r="U1064" s="32"/>
      <c r="V1064" s="25">
        <f t="shared" si="175"/>
        <v>0</v>
      </c>
      <c r="W1064" s="32">
        <f t="shared" si="176"/>
        <v>116.98333333333333</v>
      </c>
      <c r="X1064" s="32">
        <f t="shared" si="173"/>
        <v>0</v>
      </c>
      <c r="Y1064" s="381">
        <f t="shared" si="174"/>
        <v>0</v>
      </c>
    </row>
    <row r="1065" spans="1:25" x14ac:dyDescent="0.2">
      <c r="A1065" s="24">
        <f t="shared" si="177"/>
        <v>10.862013318594915</v>
      </c>
      <c r="B1065" s="383">
        <v>117.98333333333333</v>
      </c>
      <c r="C1065" s="32"/>
      <c r="D1065" s="381">
        <f t="shared" si="167"/>
        <v>0</v>
      </c>
      <c r="E1065" s="383">
        <v>117.98333333333333</v>
      </c>
      <c r="F1065" s="8"/>
      <c r="G1065" s="381">
        <f t="shared" si="168"/>
        <v>0</v>
      </c>
      <c r="H1065" s="383">
        <v>117.98333333333333</v>
      </c>
      <c r="I1065" s="32"/>
      <c r="J1065" s="381">
        <f t="shared" si="169"/>
        <v>0</v>
      </c>
      <c r="K1065" s="383">
        <v>117.98333333333333</v>
      </c>
      <c r="L1065" s="31"/>
      <c r="M1065" s="381">
        <f t="shared" si="170"/>
        <v>0</v>
      </c>
      <c r="N1065" s="383">
        <v>117.98333333333333</v>
      </c>
      <c r="O1065" s="32"/>
      <c r="P1065" s="381">
        <f t="shared" si="171"/>
        <v>0</v>
      </c>
      <c r="Q1065" s="383">
        <v>117.98333333333333</v>
      </c>
      <c r="R1065" s="32"/>
      <c r="S1065" s="25">
        <f t="shared" si="172"/>
        <v>0</v>
      </c>
      <c r="T1065" s="383">
        <v>117.98333333333333</v>
      </c>
      <c r="U1065" s="32"/>
      <c r="V1065" s="25">
        <f t="shared" si="175"/>
        <v>0</v>
      </c>
      <c r="W1065" s="32">
        <f t="shared" si="176"/>
        <v>117.98333333333333</v>
      </c>
      <c r="X1065" s="32">
        <f t="shared" si="173"/>
        <v>0</v>
      </c>
      <c r="Y1065" s="381">
        <f t="shared" si="174"/>
        <v>0</v>
      </c>
    </row>
    <row r="1066" spans="1:25" x14ac:dyDescent="0.2">
      <c r="A1066" s="24">
        <f t="shared" si="177"/>
        <v>10.907948172471912</v>
      </c>
      <c r="B1066" s="383">
        <v>118.98333333333333</v>
      </c>
      <c r="C1066" s="32"/>
      <c r="D1066" s="381">
        <f t="shared" si="167"/>
        <v>0</v>
      </c>
      <c r="E1066" s="383">
        <v>118.98333333333333</v>
      </c>
      <c r="F1066" s="8"/>
      <c r="G1066" s="381">
        <f t="shared" si="168"/>
        <v>0</v>
      </c>
      <c r="H1066" s="383">
        <v>118.98333333333333</v>
      </c>
      <c r="I1066" s="32"/>
      <c r="J1066" s="381">
        <f t="shared" si="169"/>
        <v>0</v>
      </c>
      <c r="K1066" s="383">
        <v>118.98333333333333</v>
      </c>
      <c r="L1066" s="31"/>
      <c r="M1066" s="381">
        <f t="shared" si="170"/>
        <v>0</v>
      </c>
      <c r="N1066" s="383">
        <v>118.98333333333333</v>
      </c>
      <c r="O1066" s="32"/>
      <c r="P1066" s="381">
        <f t="shared" si="171"/>
        <v>0</v>
      </c>
      <c r="Q1066" s="383">
        <v>118.98333333333333</v>
      </c>
      <c r="R1066" s="32"/>
      <c r="S1066" s="25">
        <f t="shared" si="172"/>
        <v>0</v>
      </c>
      <c r="T1066" s="383">
        <v>118.98333333333333</v>
      </c>
      <c r="U1066" s="32"/>
      <c r="V1066" s="25">
        <f t="shared" si="175"/>
        <v>0</v>
      </c>
      <c r="W1066" s="32">
        <f t="shared" si="176"/>
        <v>118.98333333333333</v>
      </c>
      <c r="X1066" s="32">
        <f t="shared" si="173"/>
        <v>0</v>
      </c>
      <c r="Y1066" s="381">
        <f t="shared" si="174"/>
        <v>0</v>
      </c>
    </row>
    <row r="1067" spans="1:25" x14ac:dyDescent="0.2">
      <c r="A1067" s="24">
        <f t="shared" si="177"/>
        <v>10.953690397913086</v>
      </c>
      <c r="B1067" s="383">
        <v>119.98333333333333</v>
      </c>
      <c r="C1067" s="32"/>
      <c r="D1067" s="381">
        <f t="shared" si="167"/>
        <v>0</v>
      </c>
      <c r="E1067" s="383">
        <v>119.98333333333333</v>
      </c>
      <c r="F1067" s="8"/>
      <c r="G1067" s="381">
        <f t="shared" si="168"/>
        <v>0</v>
      </c>
      <c r="H1067" s="383">
        <v>119.98333333333333</v>
      </c>
      <c r="I1067" s="32"/>
      <c r="J1067" s="381">
        <f t="shared" si="169"/>
        <v>0</v>
      </c>
      <c r="K1067" s="383">
        <v>119.98333333333333</v>
      </c>
      <c r="L1067" s="31"/>
      <c r="M1067" s="381">
        <f t="shared" si="170"/>
        <v>0</v>
      </c>
      <c r="N1067" s="383">
        <v>119.98333333333333</v>
      </c>
      <c r="O1067" s="32"/>
      <c r="P1067" s="381">
        <f t="shared" si="171"/>
        <v>0</v>
      </c>
      <c r="Q1067" s="383">
        <v>119.98333333333333</v>
      </c>
      <c r="R1067" s="32"/>
      <c r="S1067" s="25">
        <f t="shared" si="172"/>
        <v>0</v>
      </c>
      <c r="T1067" s="383">
        <v>119.98333333333333</v>
      </c>
      <c r="U1067" s="32"/>
      <c r="V1067" s="25">
        <f t="shared" si="175"/>
        <v>0</v>
      </c>
      <c r="W1067" s="32">
        <f t="shared" si="176"/>
        <v>119.98333333333333</v>
      </c>
      <c r="X1067" s="32">
        <f t="shared" si="173"/>
        <v>0</v>
      </c>
      <c r="Y1067" s="381">
        <f t="shared" si="174"/>
        <v>0</v>
      </c>
    </row>
    <row r="1068" spans="1:25" x14ac:dyDescent="0.2">
      <c r="A1068" s="24">
        <f t="shared" si="177"/>
        <v>11</v>
      </c>
      <c r="B1068" s="383">
        <v>121</v>
      </c>
      <c r="C1068" s="32"/>
      <c r="D1068" s="381">
        <f t="shared" si="167"/>
        <v>0</v>
      </c>
      <c r="E1068" s="383">
        <v>121</v>
      </c>
      <c r="F1068" s="8"/>
      <c r="G1068" s="381">
        <f t="shared" si="168"/>
        <v>0</v>
      </c>
      <c r="H1068" s="383">
        <v>121</v>
      </c>
      <c r="I1068" s="32"/>
      <c r="J1068" s="381">
        <f t="shared" si="169"/>
        <v>0</v>
      </c>
      <c r="K1068" s="383">
        <v>121</v>
      </c>
      <c r="L1068" s="31"/>
      <c r="M1068" s="381">
        <f t="shared" si="170"/>
        <v>0</v>
      </c>
      <c r="N1068" s="383">
        <v>121</v>
      </c>
      <c r="O1068" s="32"/>
      <c r="P1068" s="381">
        <f t="shared" si="171"/>
        <v>0</v>
      </c>
      <c r="Q1068" s="383">
        <v>121</v>
      </c>
      <c r="R1068" s="32"/>
      <c r="S1068" s="25">
        <f t="shared" si="172"/>
        <v>0</v>
      </c>
      <c r="T1068" s="383">
        <v>121</v>
      </c>
      <c r="U1068" s="32"/>
      <c r="V1068" s="25">
        <f t="shared" si="175"/>
        <v>0</v>
      </c>
      <c r="W1068" s="32">
        <f t="shared" si="176"/>
        <v>121</v>
      </c>
      <c r="X1068" s="32">
        <f t="shared" si="173"/>
        <v>0</v>
      </c>
      <c r="Y1068" s="381">
        <f t="shared" si="174"/>
        <v>0</v>
      </c>
    </row>
    <row r="1069" spans="1:25" x14ac:dyDescent="0.2">
      <c r="A1069" s="24">
        <f t="shared" si="177"/>
        <v>11.045361017187261</v>
      </c>
      <c r="B1069" s="383">
        <v>122</v>
      </c>
      <c r="C1069" s="32"/>
      <c r="D1069" s="381">
        <f t="shared" si="167"/>
        <v>0</v>
      </c>
      <c r="E1069" s="383">
        <v>122</v>
      </c>
      <c r="F1069" s="8"/>
      <c r="G1069" s="381">
        <f t="shared" si="168"/>
        <v>0</v>
      </c>
      <c r="H1069" s="383">
        <v>122</v>
      </c>
      <c r="I1069" s="32"/>
      <c r="J1069" s="381">
        <f t="shared" si="169"/>
        <v>0</v>
      </c>
      <c r="K1069" s="383">
        <v>122</v>
      </c>
      <c r="L1069" s="31"/>
      <c r="M1069" s="381">
        <f t="shared" si="170"/>
        <v>0</v>
      </c>
      <c r="N1069" s="383">
        <v>122</v>
      </c>
      <c r="O1069" s="32"/>
      <c r="P1069" s="381">
        <f t="shared" si="171"/>
        <v>0</v>
      </c>
      <c r="Q1069" s="383">
        <v>122</v>
      </c>
      <c r="R1069" s="32"/>
      <c r="S1069" s="25">
        <f t="shared" si="172"/>
        <v>0</v>
      </c>
      <c r="T1069" s="383">
        <v>122</v>
      </c>
      <c r="U1069" s="32"/>
      <c r="V1069" s="25">
        <f t="shared" si="175"/>
        <v>0</v>
      </c>
      <c r="W1069" s="32">
        <f t="shared" si="176"/>
        <v>122</v>
      </c>
      <c r="X1069" s="32">
        <f t="shared" si="173"/>
        <v>0</v>
      </c>
      <c r="Y1069" s="381">
        <f t="shared" si="174"/>
        <v>0</v>
      </c>
    </row>
    <row r="1070" spans="1:25" x14ac:dyDescent="0.2">
      <c r="A1070" s="24">
        <f t="shared" si="177"/>
        <v>11.090536506409418</v>
      </c>
      <c r="B1070" s="383">
        <v>123</v>
      </c>
      <c r="C1070" s="32"/>
      <c r="D1070" s="381">
        <f t="shared" si="167"/>
        <v>0</v>
      </c>
      <c r="E1070" s="383">
        <v>123</v>
      </c>
      <c r="F1070" s="8"/>
      <c r="G1070" s="381">
        <f t="shared" si="168"/>
        <v>0</v>
      </c>
      <c r="H1070" s="383">
        <v>123</v>
      </c>
      <c r="I1070" s="32"/>
      <c r="J1070" s="381">
        <f t="shared" si="169"/>
        <v>0</v>
      </c>
      <c r="K1070" s="383">
        <v>123</v>
      </c>
      <c r="L1070" s="31"/>
      <c r="M1070" s="381">
        <f t="shared" si="170"/>
        <v>0</v>
      </c>
      <c r="N1070" s="383">
        <v>123</v>
      </c>
      <c r="O1070" s="32"/>
      <c r="P1070" s="381">
        <f t="shared" si="171"/>
        <v>0</v>
      </c>
      <c r="Q1070" s="383">
        <v>123</v>
      </c>
      <c r="R1070" s="32"/>
      <c r="S1070" s="25">
        <f t="shared" si="172"/>
        <v>0</v>
      </c>
      <c r="T1070" s="383">
        <v>123</v>
      </c>
      <c r="U1070" s="32"/>
      <c r="V1070" s="25">
        <f t="shared" si="175"/>
        <v>0</v>
      </c>
      <c r="W1070" s="32">
        <f t="shared" si="176"/>
        <v>123</v>
      </c>
      <c r="X1070" s="32">
        <f t="shared" si="173"/>
        <v>0</v>
      </c>
      <c r="Y1070" s="381">
        <f t="shared" si="174"/>
        <v>0</v>
      </c>
    </row>
    <row r="1071" spans="1:25" x14ac:dyDescent="0.2">
      <c r="A1071" s="24">
        <f t="shared" si="177"/>
        <v>11.13478034508689</v>
      </c>
      <c r="B1071" s="383">
        <v>123.98333333333333</v>
      </c>
      <c r="C1071" s="32"/>
      <c r="D1071" s="381">
        <f t="shared" si="167"/>
        <v>0</v>
      </c>
      <c r="E1071" s="383">
        <v>123.98333333333333</v>
      </c>
      <c r="F1071" s="8"/>
      <c r="G1071" s="381">
        <f t="shared" si="168"/>
        <v>0</v>
      </c>
      <c r="H1071" s="383">
        <v>123.98333333333333</v>
      </c>
      <c r="I1071" s="32"/>
      <c r="J1071" s="381">
        <f t="shared" si="169"/>
        <v>0</v>
      </c>
      <c r="K1071" s="383">
        <v>123.98333333333333</v>
      </c>
      <c r="L1071" s="31"/>
      <c r="M1071" s="381">
        <f t="shared" si="170"/>
        <v>0</v>
      </c>
      <c r="N1071" s="383">
        <v>123.98333333333333</v>
      </c>
      <c r="O1071" s="32"/>
      <c r="P1071" s="381">
        <f t="shared" si="171"/>
        <v>0</v>
      </c>
      <c r="Q1071" s="383">
        <v>123.98333333333333</v>
      </c>
      <c r="R1071" s="32"/>
      <c r="S1071" s="25">
        <f t="shared" si="172"/>
        <v>0</v>
      </c>
      <c r="T1071" s="383">
        <v>123.98333333333333</v>
      </c>
      <c r="U1071" s="32"/>
      <c r="V1071" s="25">
        <f t="shared" si="175"/>
        <v>0</v>
      </c>
      <c r="W1071" s="32">
        <f t="shared" si="176"/>
        <v>123.98333333333333</v>
      </c>
      <c r="X1071" s="32">
        <f t="shared" si="173"/>
        <v>0</v>
      </c>
      <c r="Y1071" s="381">
        <f t="shared" si="174"/>
        <v>0</v>
      </c>
    </row>
    <row r="1072" spans="1:25" x14ac:dyDescent="0.2">
      <c r="A1072" s="24">
        <f t="shared" si="177"/>
        <v>11.179594506659592</v>
      </c>
      <c r="B1072" s="383">
        <v>124.98333333333333</v>
      </c>
      <c r="C1072" s="32"/>
      <c r="D1072" s="381">
        <f t="shared" si="167"/>
        <v>0</v>
      </c>
      <c r="E1072" s="383">
        <v>124.98333333333333</v>
      </c>
      <c r="F1072" s="8"/>
      <c r="G1072" s="381">
        <f t="shared" si="168"/>
        <v>0</v>
      </c>
      <c r="H1072" s="383">
        <v>124.98333333333333</v>
      </c>
      <c r="I1072" s="32"/>
      <c r="J1072" s="381">
        <f t="shared" si="169"/>
        <v>0</v>
      </c>
      <c r="K1072" s="383">
        <v>124.98333333333333</v>
      </c>
      <c r="L1072" s="31"/>
      <c r="M1072" s="381">
        <f t="shared" si="170"/>
        <v>0</v>
      </c>
      <c r="N1072" s="383">
        <v>124.98333333333333</v>
      </c>
      <c r="O1072" s="32"/>
      <c r="P1072" s="381">
        <f t="shared" si="171"/>
        <v>0</v>
      </c>
      <c r="Q1072" s="383">
        <v>124.98333333333333</v>
      </c>
      <c r="R1072" s="32"/>
      <c r="S1072" s="25">
        <f t="shared" si="172"/>
        <v>0</v>
      </c>
      <c r="T1072" s="383">
        <v>124.98333333333333</v>
      </c>
      <c r="U1072" s="32"/>
      <c r="V1072" s="25">
        <f t="shared" si="175"/>
        <v>0</v>
      </c>
      <c r="W1072" s="32">
        <f t="shared" si="176"/>
        <v>124.98333333333333</v>
      </c>
      <c r="X1072" s="32">
        <f t="shared" si="173"/>
        <v>0</v>
      </c>
      <c r="Y1072" s="381">
        <f t="shared" si="174"/>
        <v>0</v>
      </c>
    </row>
    <row r="1073" spans="1:25" x14ac:dyDescent="0.2">
      <c r="A1073" s="24">
        <f t="shared" si="177"/>
        <v>11.224229743431543</v>
      </c>
      <c r="B1073" s="383">
        <v>125.98333333333333</v>
      </c>
      <c r="C1073" s="32"/>
      <c r="D1073" s="381">
        <f t="shared" si="167"/>
        <v>0</v>
      </c>
      <c r="E1073" s="383">
        <v>125.98333333333333</v>
      </c>
      <c r="F1073" s="8"/>
      <c r="G1073" s="381">
        <f t="shared" si="168"/>
        <v>0</v>
      </c>
      <c r="H1073" s="383">
        <v>125.98333333333333</v>
      </c>
      <c r="I1073" s="32"/>
      <c r="J1073" s="381">
        <f t="shared" si="169"/>
        <v>0</v>
      </c>
      <c r="K1073" s="383">
        <v>125.98333333333333</v>
      </c>
      <c r="L1073" s="31"/>
      <c r="M1073" s="381">
        <f t="shared" si="170"/>
        <v>0</v>
      </c>
      <c r="N1073" s="383">
        <v>125.98333333333333</v>
      </c>
      <c r="O1073" s="32"/>
      <c r="P1073" s="381">
        <f t="shared" si="171"/>
        <v>0</v>
      </c>
      <c r="Q1073" s="383">
        <v>125.98333333333333</v>
      </c>
      <c r="R1073" s="32"/>
      <c r="S1073" s="25">
        <f t="shared" si="172"/>
        <v>0</v>
      </c>
      <c r="T1073" s="383">
        <v>125.98333333333333</v>
      </c>
      <c r="U1073" s="32"/>
      <c r="V1073" s="25">
        <f t="shared" si="175"/>
        <v>0</v>
      </c>
      <c r="W1073" s="32">
        <f t="shared" si="176"/>
        <v>125.98333333333333</v>
      </c>
      <c r="X1073" s="32">
        <f t="shared" si="173"/>
        <v>0</v>
      </c>
      <c r="Y1073" s="381">
        <f t="shared" si="174"/>
        <v>0</v>
      </c>
    </row>
    <row r="1074" spans="1:25" x14ac:dyDescent="0.2">
      <c r="A1074" s="24">
        <f t="shared" si="177"/>
        <v>11.268688181564585</v>
      </c>
      <c r="B1074" s="383">
        <v>126.98333333333333</v>
      </c>
      <c r="C1074" s="32"/>
      <c r="D1074" s="381">
        <f t="shared" si="167"/>
        <v>0</v>
      </c>
      <c r="E1074" s="383">
        <v>126.98333333333333</v>
      </c>
      <c r="F1074" s="8"/>
      <c r="G1074" s="381">
        <f t="shared" si="168"/>
        <v>0</v>
      </c>
      <c r="H1074" s="383">
        <v>126.98333333333333</v>
      </c>
      <c r="I1074" s="32"/>
      <c r="J1074" s="381">
        <f t="shared" si="169"/>
        <v>0</v>
      </c>
      <c r="K1074" s="383">
        <v>126.98333333333333</v>
      </c>
      <c r="L1074" s="31"/>
      <c r="M1074" s="381">
        <f t="shared" si="170"/>
        <v>0</v>
      </c>
      <c r="N1074" s="383">
        <v>126.98333333333333</v>
      </c>
      <c r="O1074" s="32"/>
      <c r="P1074" s="381">
        <f t="shared" si="171"/>
        <v>0</v>
      </c>
      <c r="Q1074" s="383">
        <v>126.98333333333333</v>
      </c>
      <c r="R1074" s="32"/>
      <c r="S1074" s="25">
        <f t="shared" si="172"/>
        <v>0</v>
      </c>
      <c r="T1074" s="383">
        <v>126.98333333333333</v>
      </c>
      <c r="U1074" s="32"/>
      <c r="V1074" s="25">
        <f t="shared" si="175"/>
        <v>0</v>
      </c>
      <c r="W1074" s="32">
        <f t="shared" si="176"/>
        <v>126.98333333333333</v>
      </c>
      <c r="X1074" s="32">
        <f t="shared" si="173"/>
        <v>0</v>
      </c>
      <c r="Y1074" s="381">
        <f t="shared" si="174"/>
        <v>0</v>
      </c>
    </row>
    <row r="1075" spans="1:25" x14ac:dyDescent="0.2">
      <c r="A1075" s="24">
        <f t="shared" si="177"/>
        <v>11.313708498984761</v>
      </c>
      <c r="B1075" s="383">
        <v>128</v>
      </c>
      <c r="C1075" s="32"/>
      <c r="D1075" s="381">
        <f t="shared" si="167"/>
        <v>0</v>
      </c>
      <c r="E1075" s="383">
        <v>128</v>
      </c>
      <c r="F1075" s="8"/>
      <c r="G1075" s="381">
        <f t="shared" si="168"/>
        <v>0</v>
      </c>
      <c r="H1075" s="383">
        <v>128</v>
      </c>
      <c r="I1075" s="32"/>
      <c r="J1075" s="381">
        <f t="shared" si="169"/>
        <v>0</v>
      </c>
      <c r="K1075" s="383">
        <v>128</v>
      </c>
      <c r="L1075" s="31"/>
      <c r="M1075" s="381">
        <f t="shared" si="170"/>
        <v>0</v>
      </c>
      <c r="N1075" s="383">
        <v>128</v>
      </c>
      <c r="O1075" s="32"/>
      <c r="P1075" s="381">
        <f t="shared" si="171"/>
        <v>0</v>
      </c>
      <c r="Q1075" s="383">
        <v>128</v>
      </c>
      <c r="R1075" s="32"/>
      <c r="S1075" s="25">
        <f t="shared" si="172"/>
        <v>0</v>
      </c>
      <c r="T1075" s="383">
        <v>128</v>
      </c>
      <c r="U1075" s="32"/>
      <c r="V1075" s="25">
        <f t="shared" si="175"/>
        <v>0</v>
      </c>
      <c r="W1075" s="32">
        <f t="shared" si="176"/>
        <v>128</v>
      </c>
      <c r="X1075" s="32">
        <f t="shared" si="173"/>
        <v>0</v>
      </c>
      <c r="Y1075" s="381">
        <f t="shared" si="174"/>
        <v>0</v>
      </c>
    </row>
    <row r="1076" spans="1:25" x14ac:dyDescent="0.2">
      <c r="A1076" s="24">
        <f t="shared" si="177"/>
        <v>11.357816691600547</v>
      </c>
      <c r="B1076" s="383">
        <v>129</v>
      </c>
      <c r="C1076" s="32"/>
      <c r="D1076" s="381">
        <f t="shared" si="167"/>
        <v>0</v>
      </c>
      <c r="E1076" s="383">
        <v>129</v>
      </c>
      <c r="F1076" s="8"/>
      <c r="G1076" s="381">
        <f t="shared" si="168"/>
        <v>0</v>
      </c>
      <c r="H1076" s="383">
        <v>129</v>
      </c>
      <c r="I1076" s="32"/>
      <c r="J1076" s="381">
        <f t="shared" si="169"/>
        <v>0</v>
      </c>
      <c r="K1076" s="383">
        <v>129</v>
      </c>
      <c r="L1076" s="31"/>
      <c r="M1076" s="381">
        <f t="shared" si="170"/>
        <v>0</v>
      </c>
      <c r="N1076" s="383">
        <v>129</v>
      </c>
      <c r="O1076" s="32"/>
      <c r="P1076" s="381">
        <f t="shared" si="171"/>
        <v>0</v>
      </c>
      <c r="Q1076" s="383">
        <v>129</v>
      </c>
      <c r="R1076" s="32"/>
      <c r="S1076" s="25">
        <f t="shared" si="172"/>
        <v>0</v>
      </c>
      <c r="T1076" s="383">
        <v>129</v>
      </c>
      <c r="U1076" s="32"/>
      <c r="V1076" s="25">
        <f t="shared" si="175"/>
        <v>0</v>
      </c>
      <c r="W1076" s="32">
        <f t="shared" si="176"/>
        <v>129</v>
      </c>
      <c r="X1076" s="32">
        <f t="shared" si="173"/>
        <v>0</v>
      </c>
      <c r="Y1076" s="381">
        <f t="shared" si="174"/>
        <v>0</v>
      </c>
    </row>
    <row r="1077" spans="1:25" x14ac:dyDescent="0.2">
      <c r="A1077" s="24">
        <f t="shared" si="177"/>
        <v>11.401754250991379</v>
      </c>
      <c r="B1077" s="383">
        <v>130</v>
      </c>
      <c r="C1077" s="32"/>
      <c r="D1077" s="381">
        <f t="shared" si="167"/>
        <v>0</v>
      </c>
      <c r="E1077" s="383">
        <v>130</v>
      </c>
      <c r="F1077" s="8"/>
      <c r="G1077" s="381">
        <f t="shared" si="168"/>
        <v>0</v>
      </c>
      <c r="H1077" s="383">
        <v>130</v>
      </c>
      <c r="I1077" s="32"/>
      <c r="J1077" s="381">
        <f t="shared" si="169"/>
        <v>0</v>
      </c>
      <c r="K1077" s="383">
        <v>130</v>
      </c>
      <c r="L1077" s="31"/>
      <c r="M1077" s="381">
        <f t="shared" si="170"/>
        <v>0</v>
      </c>
      <c r="N1077" s="383">
        <v>130</v>
      </c>
      <c r="O1077" s="32"/>
      <c r="P1077" s="381">
        <f t="shared" si="171"/>
        <v>0</v>
      </c>
      <c r="Q1077" s="383">
        <v>130</v>
      </c>
      <c r="R1077" s="32"/>
      <c r="S1077" s="25">
        <f t="shared" si="172"/>
        <v>0</v>
      </c>
      <c r="T1077" s="383">
        <v>130</v>
      </c>
      <c r="U1077" s="32"/>
      <c r="V1077" s="25">
        <f t="shared" si="175"/>
        <v>0</v>
      </c>
      <c r="W1077" s="32">
        <f t="shared" si="176"/>
        <v>130</v>
      </c>
      <c r="X1077" s="32">
        <f t="shared" si="173"/>
        <v>0</v>
      </c>
      <c r="Y1077" s="381">
        <f t="shared" si="174"/>
        <v>0</v>
      </c>
    </row>
    <row r="1078" spans="1:25" x14ac:dyDescent="0.2">
      <c r="A1078" s="24">
        <f t="shared" si="177"/>
        <v>11.444795032386265</v>
      </c>
      <c r="B1078" s="383">
        <v>130.98333333333332</v>
      </c>
      <c r="C1078" s="32"/>
      <c r="D1078" s="381">
        <f t="shared" si="167"/>
        <v>0</v>
      </c>
      <c r="E1078" s="383">
        <v>130.98333333333332</v>
      </c>
      <c r="F1078" s="8"/>
      <c r="G1078" s="381">
        <f t="shared" si="168"/>
        <v>0</v>
      </c>
      <c r="H1078" s="383">
        <v>130.98333333333332</v>
      </c>
      <c r="I1078" s="32"/>
      <c r="J1078" s="381">
        <f t="shared" si="169"/>
        <v>0</v>
      </c>
      <c r="K1078" s="383">
        <v>130.98333333333332</v>
      </c>
      <c r="L1078" s="31"/>
      <c r="M1078" s="381">
        <f t="shared" si="170"/>
        <v>0</v>
      </c>
      <c r="N1078" s="383">
        <v>130.98333333333332</v>
      </c>
      <c r="O1078" s="32"/>
      <c r="P1078" s="381">
        <f t="shared" si="171"/>
        <v>0</v>
      </c>
      <c r="Q1078" s="383">
        <v>130.98333333333332</v>
      </c>
      <c r="R1078" s="32"/>
      <c r="S1078" s="25">
        <f t="shared" si="172"/>
        <v>0</v>
      </c>
      <c r="T1078" s="383">
        <v>130.98333333333332</v>
      </c>
      <c r="U1078" s="32"/>
      <c r="V1078" s="25">
        <f t="shared" si="175"/>
        <v>0</v>
      </c>
      <c r="W1078" s="32">
        <f t="shared" si="176"/>
        <v>130.98333333333332</v>
      </c>
      <c r="X1078" s="32">
        <f t="shared" si="173"/>
        <v>0</v>
      </c>
      <c r="Y1078" s="381">
        <f t="shared" si="174"/>
        <v>0</v>
      </c>
    </row>
    <row r="1079" spans="1:25" x14ac:dyDescent="0.2">
      <c r="A1079" s="24">
        <f t="shared" si="177"/>
        <v>11.488399946612814</v>
      </c>
      <c r="B1079" s="383">
        <v>131.98333333333332</v>
      </c>
      <c r="C1079" s="32"/>
      <c r="D1079" s="381">
        <f t="shared" si="167"/>
        <v>0</v>
      </c>
      <c r="E1079" s="383">
        <v>131.98333333333332</v>
      </c>
      <c r="F1079" s="8"/>
      <c r="G1079" s="381">
        <f t="shared" si="168"/>
        <v>0</v>
      </c>
      <c r="H1079" s="383">
        <v>131.98333333333332</v>
      </c>
      <c r="I1079" s="32"/>
      <c r="J1079" s="381">
        <f t="shared" si="169"/>
        <v>0</v>
      </c>
      <c r="K1079" s="383">
        <v>131.98333333333332</v>
      </c>
      <c r="L1079" s="31"/>
      <c r="M1079" s="381">
        <f t="shared" si="170"/>
        <v>0</v>
      </c>
      <c r="N1079" s="383">
        <v>131.98333333333332</v>
      </c>
      <c r="O1079" s="32"/>
      <c r="P1079" s="381">
        <f t="shared" si="171"/>
        <v>0</v>
      </c>
      <c r="Q1079" s="383">
        <v>131.98333333333332</v>
      </c>
      <c r="R1079" s="32"/>
      <c r="S1079" s="25">
        <f t="shared" si="172"/>
        <v>0</v>
      </c>
      <c r="T1079" s="383">
        <v>131.98333333333332</v>
      </c>
      <c r="U1079" s="32"/>
      <c r="V1079" s="25">
        <f t="shared" si="175"/>
        <v>0</v>
      </c>
      <c r="W1079" s="32">
        <f t="shared" si="176"/>
        <v>131.98333333333332</v>
      </c>
      <c r="X1079" s="32">
        <f t="shared" si="173"/>
        <v>0</v>
      </c>
      <c r="Y1079" s="381">
        <f t="shared" si="174"/>
        <v>0</v>
      </c>
    </row>
    <row r="1080" spans="1:25" x14ac:dyDescent="0.2">
      <c r="A1080" s="24">
        <f t="shared" si="177"/>
        <v>11.531839980390524</v>
      </c>
      <c r="B1080" s="383">
        <v>132.98333333333332</v>
      </c>
      <c r="C1080" s="32"/>
      <c r="D1080" s="381">
        <f t="shared" si="167"/>
        <v>0</v>
      </c>
      <c r="E1080" s="383">
        <v>132.98333333333332</v>
      </c>
      <c r="F1080" s="8"/>
      <c r="G1080" s="381">
        <f t="shared" si="168"/>
        <v>0</v>
      </c>
      <c r="H1080" s="383">
        <v>132.98333333333332</v>
      </c>
      <c r="I1080" s="32"/>
      <c r="J1080" s="381">
        <f t="shared" si="169"/>
        <v>0</v>
      </c>
      <c r="K1080" s="383">
        <v>132.98333333333332</v>
      </c>
      <c r="L1080" s="31"/>
      <c r="M1080" s="381">
        <f t="shared" si="170"/>
        <v>0</v>
      </c>
      <c r="N1080" s="383">
        <v>132.98333333333332</v>
      </c>
      <c r="O1080" s="32"/>
      <c r="P1080" s="381">
        <f t="shared" si="171"/>
        <v>0</v>
      </c>
      <c r="Q1080" s="383">
        <v>132.98333333333332</v>
      </c>
      <c r="R1080" s="32"/>
      <c r="S1080" s="25">
        <f t="shared" si="172"/>
        <v>0</v>
      </c>
      <c r="T1080" s="383">
        <v>132.98333333333332</v>
      </c>
      <c r="U1080" s="32"/>
      <c r="V1080" s="25">
        <f t="shared" si="175"/>
        <v>0</v>
      </c>
      <c r="W1080" s="32">
        <f t="shared" si="176"/>
        <v>132.98333333333332</v>
      </c>
      <c r="X1080" s="32">
        <f t="shared" si="173"/>
        <v>0</v>
      </c>
      <c r="Y1080" s="381">
        <f t="shared" si="174"/>
        <v>0</v>
      </c>
    </row>
    <row r="1081" spans="1:25" x14ac:dyDescent="0.2">
      <c r="A1081" s="24">
        <f t="shared" si="177"/>
        <v>11.575116990049532</v>
      </c>
      <c r="B1081" s="383">
        <v>133.98333333333332</v>
      </c>
      <c r="C1081" s="32"/>
      <c r="D1081" s="381">
        <f t="shared" si="167"/>
        <v>0</v>
      </c>
      <c r="E1081" s="383">
        <v>133.98333333333332</v>
      </c>
      <c r="F1081" s="8"/>
      <c r="G1081" s="381">
        <f t="shared" si="168"/>
        <v>0</v>
      </c>
      <c r="H1081" s="383">
        <v>133.98333333333332</v>
      </c>
      <c r="I1081" s="32"/>
      <c r="J1081" s="381">
        <f t="shared" si="169"/>
        <v>0</v>
      </c>
      <c r="K1081" s="383">
        <v>133.98333333333332</v>
      </c>
      <c r="L1081" s="31"/>
      <c r="M1081" s="381">
        <f t="shared" si="170"/>
        <v>0</v>
      </c>
      <c r="N1081" s="383">
        <v>133.98333333333332</v>
      </c>
      <c r="O1081" s="32"/>
      <c r="P1081" s="381">
        <f t="shared" si="171"/>
        <v>0</v>
      </c>
      <c r="Q1081" s="383">
        <v>133.98333333333332</v>
      </c>
      <c r="R1081" s="32"/>
      <c r="S1081" s="25">
        <f t="shared" si="172"/>
        <v>0</v>
      </c>
      <c r="T1081" s="383">
        <v>133.98333333333332</v>
      </c>
      <c r="U1081" s="32"/>
      <c r="V1081" s="25">
        <f t="shared" si="175"/>
        <v>0</v>
      </c>
      <c r="W1081" s="32">
        <f t="shared" si="176"/>
        <v>133.98333333333332</v>
      </c>
      <c r="X1081" s="32">
        <f t="shared" si="173"/>
        <v>0</v>
      </c>
      <c r="Y1081" s="381">
        <f t="shared" si="174"/>
        <v>0</v>
      </c>
    </row>
    <row r="1082" spans="1:25" x14ac:dyDescent="0.2">
      <c r="A1082" s="24">
        <f t="shared" si="177"/>
        <v>11.618232797346304</v>
      </c>
      <c r="B1082" s="383">
        <v>134.98333333333332</v>
      </c>
      <c r="C1082" s="32"/>
      <c r="D1082" s="381">
        <f t="shared" si="167"/>
        <v>0</v>
      </c>
      <c r="E1082" s="383">
        <v>134.98333333333332</v>
      </c>
      <c r="F1082" s="8"/>
      <c r="G1082" s="381">
        <f t="shared" si="168"/>
        <v>0</v>
      </c>
      <c r="H1082" s="383">
        <v>134.98333333333332</v>
      </c>
      <c r="I1082" s="32"/>
      <c r="J1082" s="381">
        <f t="shared" si="169"/>
        <v>0</v>
      </c>
      <c r="K1082" s="383">
        <v>134.98333333333332</v>
      </c>
      <c r="L1082" s="31"/>
      <c r="M1082" s="381">
        <f t="shared" si="170"/>
        <v>0</v>
      </c>
      <c r="N1082" s="383">
        <v>134.98333333333332</v>
      </c>
      <c r="O1082" s="32"/>
      <c r="P1082" s="381">
        <f t="shared" si="171"/>
        <v>0</v>
      </c>
      <c r="Q1082" s="383">
        <v>134.98333333333332</v>
      </c>
      <c r="R1082" s="32"/>
      <c r="S1082" s="25">
        <f t="shared" si="172"/>
        <v>0</v>
      </c>
      <c r="T1082" s="383">
        <v>134.98333333333332</v>
      </c>
      <c r="U1082" s="32"/>
      <c r="V1082" s="25">
        <f t="shared" si="175"/>
        <v>0</v>
      </c>
      <c r="W1082" s="32">
        <f t="shared" si="176"/>
        <v>134.98333333333332</v>
      </c>
      <c r="X1082" s="32">
        <f t="shared" si="173"/>
        <v>0</v>
      </c>
      <c r="Y1082" s="381">
        <f t="shared" si="174"/>
        <v>0</v>
      </c>
    </row>
    <row r="1083" spans="1:25" x14ac:dyDescent="0.2">
      <c r="A1083" s="24">
        <f t="shared" si="177"/>
        <v>11.661903789690601</v>
      </c>
      <c r="B1083" s="383">
        <v>136</v>
      </c>
      <c r="C1083" s="32"/>
      <c r="D1083" s="381">
        <f t="shared" si="167"/>
        <v>0</v>
      </c>
      <c r="E1083" s="383">
        <v>136</v>
      </c>
      <c r="F1083" s="8"/>
      <c r="G1083" s="381">
        <f t="shared" si="168"/>
        <v>0</v>
      </c>
      <c r="H1083" s="383">
        <v>136</v>
      </c>
      <c r="I1083" s="32"/>
      <c r="J1083" s="381">
        <f t="shared" si="169"/>
        <v>0</v>
      </c>
      <c r="K1083" s="383">
        <v>136</v>
      </c>
      <c r="L1083" s="31"/>
      <c r="M1083" s="381">
        <f t="shared" si="170"/>
        <v>0</v>
      </c>
      <c r="N1083" s="383">
        <v>136</v>
      </c>
      <c r="O1083" s="32"/>
      <c r="P1083" s="381">
        <f t="shared" si="171"/>
        <v>0</v>
      </c>
      <c r="Q1083" s="383">
        <v>136</v>
      </c>
      <c r="R1083" s="32"/>
      <c r="S1083" s="25">
        <f t="shared" si="172"/>
        <v>0</v>
      </c>
      <c r="T1083" s="383">
        <v>136</v>
      </c>
      <c r="U1083" s="32"/>
      <c r="V1083" s="25">
        <f t="shared" si="175"/>
        <v>0</v>
      </c>
      <c r="W1083" s="32">
        <f t="shared" si="176"/>
        <v>136</v>
      </c>
      <c r="X1083" s="32">
        <f t="shared" si="173"/>
        <v>0</v>
      </c>
      <c r="Y1083" s="381">
        <f t="shared" si="174"/>
        <v>0</v>
      </c>
    </row>
    <row r="1084" spans="1:25" x14ac:dyDescent="0.2">
      <c r="A1084" s="24">
        <f t="shared" si="177"/>
        <v>11.704699910719626</v>
      </c>
      <c r="B1084" s="383">
        <v>137</v>
      </c>
      <c r="C1084" s="32"/>
      <c r="D1084" s="381">
        <f t="shared" si="167"/>
        <v>0</v>
      </c>
      <c r="E1084" s="383">
        <v>137</v>
      </c>
      <c r="F1084" s="8"/>
      <c r="G1084" s="381">
        <f t="shared" si="168"/>
        <v>0</v>
      </c>
      <c r="H1084" s="383">
        <v>137</v>
      </c>
      <c r="I1084" s="32"/>
      <c r="J1084" s="381">
        <f t="shared" si="169"/>
        <v>0</v>
      </c>
      <c r="K1084" s="383">
        <v>137</v>
      </c>
      <c r="L1084" s="31"/>
      <c r="M1084" s="381">
        <f t="shared" si="170"/>
        <v>0</v>
      </c>
      <c r="N1084" s="383">
        <v>137</v>
      </c>
      <c r="O1084" s="32"/>
      <c r="P1084" s="381">
        <f t="shared" si="171"/>
        <v>0</v>
      </c>
      <c r="Q1084" s="383">
        <v>137</v>
      </c>
      <c r="R1084" s="32"/>
      <c r="S1084" s="25">
        <f t="shared" si="172"/>
        <v>0</v>
      </c>
      <c r="T1084" s="383">
        <v>137</v>
      </c>
      <c r="U1084" s="32"/>
      <c r="V1084" s="25">
        <f t="shared" si="175"/>
        <v>0</v>
      </c>
      <c r="W1084" s="32">
        <f t="shared" si="176"/>
        <v>137</v>
      </c>
      <c r="X1084" s="32">
        <f t="shared" si="173"/>
        <v>0</v>
      </c>
      <c r="Y1084" s="381">
        <f t="shared" si="174"/>
        <v>0</v>
      </c>
    </row>
    <row r="1085" spans="1:25" x14ac:dyDescent="0.2">
      <c r="A1085" s="24">
        <f t="shared" si="177"/>
        <v>11.746630722608646</v>
      </c>
      <c r="B1085" s="383">
        <v>137.98333333333332</v>
      </c>
      <c r="C1085" s="32"/>
      <c r="D1085" s="381">
        <f t="shared" si="167"/>
        <v>0</v>
      </c>
      <c r="E1085" s="383">
        <v>137.98333333333332</v>
      </c>
      <c r="F1085" s="8"/>
      <c r="G1085" s="381">
        <f t="shared" si="168"/>
        <v>0</v>
      </c>
      <c r="H1085" s="383">
        <v>137.98333333333332</v>
      </c>
      <c r="I1085" s="32"/>
      <c r="J1085" s="381">
        <f t="shared" si="169"/>
        <v>0</v>
      </c>
      <c r="K1085" s="383">
        <v>137.98333333333332</v>
      </c>
      <c r="L1085" s="31"/>
      <c r="M1085" s="381">
        <f t="shared" si="170"/>
        <v>0</v>
      </c>
      <c r="N1085" s="383">
        <v>137.98333333333332</v>
      </c>
      <c r="O1085" s="32"/>
      <c r="P1085" s="381">
        <f t="shared" si="171"/>
        <v>0</v>
      </c>
      <c r="Q1085" s="383">
        <v>137.98333333333332</v>
      </c>
      <c r="R1085" s="32"/>
      <c r="S1085" s="25">
        <f t="shared" si="172"/>
        <v>0</v>
      </c>
      <c r="T1085" s="383">
        <v>137.98333333333332</v>
      </c>
      <c r="U1085" s="32"/>
      <c r="V1085" s="25">
        <f t="shared" si="175"/>
        <v>0</v>
      </c>
      <c r="W1085" s="32">
        <f t="shared" si="176"/>
        <v>137.98333333333332</v>
      </c>
      <c r="X1085" s="32">
        <f t="shared" si="173"/>
        <v>0</v>
      </c>
      <c r="Y1085" s="381">
        <f t="shared" si="174"/>
        <v>0</v>
      </c>
    </row>
    <row r="1086" spans="1:25" x14ac:dyDescent="0.2">
      <c r="A1086" s="24">
        <f t="shared" si="177"/>
        <v>11.789119277254485</v>
      </c>
      <c r="B1086" s="383">
        <v>138.98333333333332</v>
      </c>
      <c r="C1086" s="32"/>
      <c r="D1086" s="381">
        <f t="shared" si="167"/>
        <v>0</v>
      </c>
      <c r="E1086" s="383">
        <v>138.98333333333332</v>
      </c>
      <c r="F1086" s="8"/>
      <c r="G1086" s="381">
        <f t="shared" si="168"/>
        <v>0</v>
      </c>
      <c r="H1086" s="383">
        <v>138.98333333333332</v>
      </c>
      <c r="I1086" s="32"/>
      <c r="J1086" s="381">
        <f t="shared" si="169"/>
        <v>0</v>
      </c>
      <c r="K1086" s="383">
        <v>138.98333333333332</v>
      </c>
      <c r="L1086" s="31"/>
      <c r="M1086" s="381">
        <f t="shared" si="170"/>
        <v>0</v>
      </c>
      <c r="N1086" s="383">
        <v>138.98333333333332</v>
      </c>
      <c r="O1086" s="32"/>
      <c r="P1086" s="381">
        <f t="shared" si="171"/>
        <v>0</v>
      </c>
      <c r="Q1086" s="383">
        <v>138.98333333333332</v>
      </c>
      <c r="R1086" s="32"/>
      <c r="S1086" s="25">
        <f t="shared" si="172"/>
        <v>0</v>
      </c>
      <c r="T1086" s="383">
        <v>138.98333333333332</v>
      </c>
      <c r="U1086" s="32"/>
      <c r="V1086" s="25">
        <f t="shared" si="175"/>
        <v>0</v>
      </c>
      <c r="W1086" s="32">
        <f t="shared" si="176"/>
        <v>138.98333333333332</v>
      </c>
      <c r="X1086" s="32">
        <f t="shared" si="173"/>
        <v>0</v>
      </c>
      <c r="Y1086" s="381">
        <f t="shared" si="174"/>
        <v>0</v>
      </c>
    </row>
    <row r="1087" spans="1:25" x14ac:dyDescent="0.2">
      <c r="A1087" s="24">
        <f t="shared" si="177"/>
        <v>11.831455250024543</v>
      </c>
      <c r="B1087" s="383">
        <v>139.98333333333332</v>
      </c>
      <c r="C1087" s="32"/>
      <c r="D1087" s="381">
        <f t="shared" si="167"/>
        <v>0</v>
      </c>
      <c r="E1087" s="383">
        <v>139.98333333333332</v>
      </c>
      <c r="F1087" s="8"/>
      <c r="G1087" s="381">
        <f t="shared" si="168"/>
        <v>0</v>
      </c>
      <c r="H1087" s="383">
        <v>139.98333333333332</v>
      </c>
      <c r="I1087" s="32"/>
      <c r="J1087" s="381">
        <f t="shared" si="169"/>
        <v>0</v>
      </c>
      <c r="K1087" s="383">
        <v>139.98333333333332</v>
      </c>
      <c r="L1087" s="31"/>
      <c r="M1087" s="381">
        <f t="shared" si="170"/>
        <v>0</v>
      </c>
      <c r="N1087" s="383">
        <v>139.98333333333332</v>
      </c>
      <c r="O1087" s="32"/>
      <c r="P1087" s="381">
        <f t="shared" si="171"/>
        <v>0</v>
      </c>
      <c r="Q1087" s="383">
        <v>139.98333333333332</v>
      </c>
      <c r="R1087" s="32"/>
      <c r="S1087" s="25">
        <f t="shared" si="172"/>
        <v>0</v>
      </c>
      <c r="T1087" s="383">
        <v>139.98333333333332</v>
      </c>
      <c r="U1087" s="32"/>
      <c r="V1087" s="25">
        <f t="shared" si="175"/>
        <v>0</v>
      </c>
      <c r="W1087" s="32">
        <f t="shared" si="176"/>
        <v>139.98333333333332</v>
      </c>
      <c r="X1087" s="32">
        <f t="shared" si="173"/>
        <v>0</v>
      </c>
      <c r="Y1087" s="381">
        <f t="shared" si="174"/>
        <v>0</v>
      </c>
    </row>
    <row r="1088" spans="1:25" x14ac:dyDescent="0.2">
      <c r="A1088" s="24">
        <f t="shared" si="177"/>
        <v>11.873640273030563</v>
      </c>
      <c r="B1088" s="383">
        <v>140.98333333333332</v>
      </c>
      <c r="C1088" s="32"/>
      <c r="D1088" s="381">
        <f t="shared" si="167"/>
        <v>0</v>
      </c>
      <c r="E1088" s="383">
        <v>140.98333333333332</v>
      </c>
      <c r="F1088" s="8"/>
      <c r="G1088" s="381">
        <f t="shared" si="168"/>
        <v>0</v>
      </c>
      <c r="H1088" s="383">
        <v>140.98333333333332</v>
      </c>
      <c r="I1088" s="32"/>
      <c r="J1088" s="381">
        <f t="shared" si="169"/>
        <v>0</v>
      </c>
      <c r="K1088" s="383">
        <v>140.98333333333332</v>
      </c>
      <c r="L1088" s="31"/>
      <c r="M1088" s="381">
        <f t="shared" si="170"/>
        <v>0</v>
      </c>
      <c r="N1088" s="383">
        <v>140.98333333333332</v>
      </c>
      <c r="O1088" s="32"/>
      <c r="P1088" s="381">
        <f t="shared" si="171"/>
        <v>0</v>
      </c>
      <c r="Q1088" s="383">
        <v>140.98333333333332</v>
      </c>
      <c r="R1088" s="32"/>
      <c r="S1088" s="25">
        <f t="shared" si="172"/>
        <v>0</v>
      </c>
      <c r="T1088" s="383">
        <v>140.98333333333332</v>
      </c>
      <c r="U1088" s="32"/>
      <c r="V1088" s="25">
        <f t="shared" si="175"/>
        <v>0</v>
      </c>
      <c r="W1088" s="32">
        <f t="shared" si="176"/>
        <v>140.98333333333332</v>
      </c>
      <c r="X1088" s="32">
        <f t="shared" si="173"/>
        <v>0</v>
      </c>
      <c r="Y1088" s="381">
        <f t="shared" si="174"/>
        <v>0</v>
      </c>
    </row>
    <row r="1089" spans="1:25" x14ac:dyDescent="0.2">
      <c r="A1089" s="24">
        <f t="shared" si="177"/>
        <v>11.915675949493311</v>
      </c>
      <c r="B1089" s="383">
        <v>141.98333333333332</v>
      </c>
      <c r="C1089" s="32"/>
      <c r="D1089" s="381">
        <f t="shared" si="167"/>
        <v>0</v>
      </c>
      <c r="E1089" s="383">
        <v>141.98333333333332</v>
      </c>
      <c r="F1089" s="8"/>
      <c r="G1089" s="381">
        <f t="shared" si="168"/>
        <v>0</v>
      </c>
      <c r="H1089" s="383">
        <v>141.98333333333332</v>
      </c>
      <c r="I1089" s="32"/>
      <c r="J1089" s="381">
        <f t="shared" si="169"/>
        <v>0</v>
      </c>
      <c r="K1089" s="383">
        <v>141.98333333333332</v>
      </c>
      <c r="L1089" s="31"/>
      <c r="M1089" s="381">
        <f t="shared" si="170"/>
        <v>0</v>
      </c>
      <c r="N1089" s="383">
        <v>141.98333333333332</v>
      </c>
      <c r="O1089" s="32"/>
      <c r="P1089" s="381">
        <f t="shared" si="171"/>
        <v>0</v>
      </c>
      <c r="Q1089" s="383">
        <v>141.98333333333332</v>
      </c>
      <c r="R1089" s="32"/>
      <c r="S1089" s="25">
        <f t="shared" si="172"/>
        <v>0</v>
      </c>
      <c r="T1089" s="383">
        <v>141.98333333333332</v>
      </c>
      <c r="U1089" s="32"/>
      <c r="V1089" s="25">
        <f t="shared" si="175"/>
        <v>0</v>
      </c>
      <c r="W1089" s="32">
        <f t="shared" si="176"/>
        <v>141.98333333333332</v>
      </c>
      <c r="X1089" s="32">
        <f t="shared" si="173"/>
        <v>0</v>
      </c>
      <c r="Y1089" s="381">
        <f t="shared" si="174"/>
        <v>0</v>
      </c>
    </row>
    <row r="1090" spans="1:25" x14ac:dyDescent="0.2">
      <c r="A1090" s="24">
        <f t="shared" si="177"/>
        <v>11.958260743101398</v>
      </c>
      <c r="B1090" s="383">
        <v>143</v>
      </c>
      <c r="C1090" s="32"/>
      <c r="D1090" s="381">
        <f t="shared" si="167"/>
        <v>0</v>
      </c>
      <c r="E1090" s="383">
        <v>143</v>
      </c>
      <c r="F1090" s="8"/>
      <c r="G1090" s="381">
        <f t="shared" si="168"/>
        <v>0</v>
      </c>
      <c r="H1090" s="383">
        <v>143</v>
      </c>
      <c r="I1090" s="32"/>
      <c r="J1090" s="381">
        <f t="shared" si="169"/>
        <v>0</v>
      </c>
      <c r="K1090" s="383">
        <v>143</v>
      </c>
      <c r="L1090" s="31"/>
      <c r="M1090" s="381">
        <f t="shared" si="170"/>
        <v>0</v>
      </c>
      <c r="N1090" s="383">
        <v>143</v>
      </c>
      <c r="O1090" s="32"/>
      <c r="P1090" s="381">
        <f t="shared" si="171"/>
        <v>0</v>
      </c>
      <c r="Q1090" s="383">
        <v>143</v>
      </c>
      <c r="R1090" s="32"/>
      <c r="S1090" s="25">
        <f t="shared" si="172"/>
        <v>0</v>
      </c>
      <c r="T1090" s="383">
        <v>143</v>
      </c>
      <c r="U1090" s="32"/>
      <c r="V1090" s="25">
        <f t="shared" si="175"/>
        <v>0</v>
      </c>
      <c r="W1090" s="32">
        <f t="shared" si="176"/>
        <v>143</v>
      </c>
      <c r="X1090" s="32">
        <f t="shared" si="173"/>
        <v>0</v>
      </c>
      <c r="Y1090" s="381">
        <f t="shared" si="174"/>
        <v>0</v>
      </c>
    </row>
    <row r="1091" spans="1:25" x14ac:dyDescent="0.2">
      <c r="A1091" s="24">
        <f t="shared" si="177"/>
        <v>12</v>
      </c>
      <c r="B1091" s="383">
        <v>144</v>
      </c>
      <c r="C1091" s="32"/>
      <c r="D1091" s="381">
        <f t="shared" si="167"/>
        <v>0</v>
      </c>
      <c r="E1091" s="383">
        <v>144</v>
      </c>
      <c r="F1091" s="8"/>
      <c r="G1091" s="381">
        <f t="shared" si="168"/>
        <v>0</v>
      </c>
      <c r="H1091" s="383">
        <v>144</v>
      </c>
      <c r="I1091" s="32"/>
      <c r="J1091" s="381">
        <f t="shared" si="169"/>
        <v>0</v>
      </c>
      <c r="K1091" s="383">
        <v>144</v>
      </c>
      <c r="L1091" s="31"/>
      <c r="M1091" s="381">
        <f t="shared" si="170"/>
        <v>0</v>
      </c>
      <c r="N1091" s="383">
        <v>144</v>
      </c>
      <c r="O1091" s="32"/>
      <c r="P1091" s="381">
        <f t="shared" si="171"/>
        <v>0</v>
      </c>
      <c r="Q1091" s="383">
        <v>144</v>
      </c>
      <c r="R1091" s="32"/>
      <c r="S1091" s="25">
        <f t="shared" si="172"/>
        <v>0</v>
      </c>
      <c r="T1091" s="383">
        <v>144</v>
      </c>
      <c r="U1091" s="32"/>
      <c r="V1091" s="25">
        <f t="shared" si="175"/>
        <v>0</v>
      </c>
      <c r="W1091" s="32">
        <f t="shared" si="176"/>
        <v>144</v>
      </c>
      <c r="X1091" s="32">
        <f t="shared" si="173"/>
        <v>0</v>
      </c>
      <c r="Y1091" s="381">
        <f t="shared" si="174"/>
        <v>0</v>
      </c>
    </row>
    <row r="1092" spans="1:25" x14ac:dyDescent="0.2">
      <c r="A1092" s="24">
        <f t="shared" si="177"/>
        <v>12.041594578792296</v>
      </c>
      <c r="B1092" s="383">
        <v>145</v>
      </c>
      <c r="C1092" s="32"/>
      <c r="D1092" s="381">
        <f t="shared" si="167"/>
        <v>0</v>
      </c>
      <c r="E1092" s="383">
        <v>145</v>
      </c>
      <c r="F1092" s="8"/>
      <c r="G1092" s="381">
        <f t="shared" si="168"/>
        <v>0</v>
      </c>
      <c r="H1092" s="383">
        <v>145</v>
      </c>
      <c r="I1092" s="32"/>
      <c r="J1092" s="381">
        <f t="shared" si="169"/>
        <v>0</v>
      </c>
      <c r="K1092" s="383">
        <v>145</v>
      </c>
      <c r="L1092" s="31"/>
      <c r="M1092" s="381">
        <f t="shared" si="170"/>
        <v>0</v>
      </c>
      <c r="N1092" s="383">
        <v>145</v>
      </c>
      <c r="O1092" s="32"/>
      <c r="P1092" s="381">
        <f t="shared" si="171"/>
        <v>0</v>
      </c>
      <c r="Q1092" s="383">
        <v>145</v>
      </c>
      <c r="R1092" s="32"/>
      <c r="S1092" s="25">
        <f t="shared" si="172"/>
        <v>0</v>
      </c>
      <c r="T1092" s="383">
        <v>145</v>
      </c>
      <c r="U1092" s="32"/>
      <c r="V1092" s="25">
        <f t="shared" si="175"/>
        <v>0</v>
      </c>
      <c r="W1092" s="32">
        <f t="shared" si="176"/>
        <v>145</v>
      </c>
      <c r="X1092" s="32">
        <f t="shared" si="173"/>
        <v>0</v>
      </c>
      <c r="Y1092" s="381">
        <f t="shared" si="174"/>
        <v>0</v>
      </c>
    </row>
    <row r="1093" spans="1:25" x14ac:dyDescent="0.2">
      <c r="A1093" s="24">
        <f t="shared" si="177"/>
        <v>12.082356282337205</v>
      </c>
      <c r="B1093" s="383">
        <v>145.98333333333332</v>
      </c>
      <c r="C1093" s="32"/>
      <c r="D1093" s="381">
        <f t="shared" ref="D1093:D1156" si="178">C1093</f>
        <v>0</v>
      </c>
      <c r="E1093" s="383">
        <v>145.98333333333332</v>
      </c>
      <c r="F1093" s="8"/>
      <c r="G1093" s="381">
        <f t="shared" ref="G1093:G1156" si="179">F1093+$AB$2</f>
        <v>0</v>
      </c>
      <c r="H1093" s="383">
        <v>145.98333333333332</v>
      </c>
      <c r="I1093" s="32"/>
      <c r="J1093" s="381">
        <f t="shared" ref="J1093:J1156" si="180">I1093+$AB$3</f>
        <v>0</v>
      </c>
      <c r="K1093" s="383">
        <v>145.98333333333332</v>
      </c>
      <c r="L1093" s="31"/>
      <c r="M1093" s="381">
        <f t="shared" ref="M1093:M1156" si="181">L1093+$AB$4</f>
        <v>0</v>
      </c>
      <c r="N1093" s="383">
        <v>145.98333333333332</v>
      </c>
      <c r="O1093" s="32"/>
      <c r="P1093" s="381">
        <f t="shared" ref="P1093:P1156" si="182">O1093+$AB$5</f>
        <v>0</v>
      </c>
      <c r="Q1093" s="383">
        <v>145.98333333333332</v>
      </c>
      <c r="R1093" s="32"/>
      <c r="S1093" s="25">
        <f t="shared" ref="S1093:S1156" si="183">R1093+$AB$6</f>
        <v>0</v>
      </c>
      <c r="T1093" s="383">
        <v>145.98333333333332</v>
      </c>
      <c r="U1093" s="32"/>
      <c r="V1093" s="25">
        <f t="shared" si="175"/>
        <v>0</v>
      </c>
      <c r="W1093" s="32">
        <f t="shared" si="176"/>
        <v>145.98333333333332</v>
      </c>
      <c r="X1093" s="32">
        <f t="shared" ref="X1093:X1156" si="184">U1093</f>
        <v>0</v>
      </c>
      <c r="Y1093" s="381">
        <f t="shared" ref="Y1093:Y1156" si="185">X1093+$AB$8</f>
        <v>0</v>
      </c>
    </row>
    <row r="1094" spans="1:25" x14ac:dyDescent="0.2">
      <c r="A1094" s="24">
        <f t="shared" si="177"/>
        <v>12.123668311750091</v>
      </c>
      <c r="B1094" s="383">
        <v>146.98333333333332</v>
      </c>
      <c r="C1094" s="32"/>
      <c r="D1094" s="381">
        <f t="shared" si="178"/>
        <v>0</v>
      </c>
      <c r="E1094" s="383">
        <v>146.98333333333332</v>
      </c>
      <c r="F1094" s="8"/>
      <c r="G1094" s="381">
        <f t="shared" si="179"/>
        <v>0</v>
      </c>
      <c r="H1094" s="383">
        <v>146.98333333333332</v>
      </c>
      <c r="I1094" s="32"/>
      <c r="J1094" s="381">
        <f t="shared" si="180"/>
        <v>0</v>
      </c>
      <c r="K1094" s="383">
        <v>146.98333333333332</v>
      </c>
      <c r="L1094" s="31"/>
      <c r="M1094" s="381">
        <f t="shared" si="181"/>
        <v>0</v>
      </c>
      <c r="N1094" s="383">
        <v>146.98333333333332</v>
      </c>
      <c r="O1094" s="32"/>
      <c r="P1094" s="381">
        <f t="shared" si="182"/>
        <v>0</v>
      </c>
      <c r="Q1094" s="383">
        <v>146.98333333333332</v>
      </c>
      <c r="R1094" s="32"/>
      <c r="S1094" s="25">
        <f t="shared" si="183"/>
        <v>0</v>
      </c>
      <c r="T1094" s="383">
        <v>146.98333333333332</v>
      </c>
      <c r="U1094" s="32"/>
      <c r="V1094" s="25">
        <f t="shared" ref="V1094:V1157" si="186">Y1094</f>
        <v>0</v>
      </c>
      <c r="W1094" s="32">
        <f t="shared" ref="W1094:W1157" si="187">T1094</f>
        <v>146.98333333333332</v>
      </c>
      <c r="X1094" s="32">
        <f t="shared" si="184"/>
        <v>0</v>
      </c>
      <c r="Y1094" s="381">
        <f t="shared" si="185"/>
        <v>0</v>
      </c>
    </row>
    <row r="1095" spans="1:25" x14ac:dyDescent="0.2">
      <c r="A1095" s="24">
        <f t="shared" si="177"/>
        <v>12.164840045530124</v>
      </c>
      <c r="B1095" s="383">
        <v>147.98333333333332</v>
      </c>
      <c r="C1095" s="32"/>
      <c r="D1095" s="381">
        <f t="shared" si="178"/>
        <v>0</v>
      </c>
      <c r="E1095" s="383">
        <v>147.98333333333332</v>
      </c>
      <c r="F1095" s="8"/>
      <c r="G1095" s="381">
        <f t="shared" si="179"/>
        <v>0</v>
      </c>
      <c r="H1095" s="383">
        <v>147.98333333333332</v>
      </c>
      <c r="I1095" s="32"/>
      <c r="J1095" s="381">
        <f t="shared" si="180"/>
        <v>0</v>
      </c>
      <c r="K1095" s="383">
        <v>147.98333333333332</v>
      </c>
      <c r="L1095" s="31"/>
      <c r="M1095" s="381">
        <f t="shared" si="181"/>
        <v>0</v>
      </c>
      <c r="N1095" s="383">
        <v>147.98333333333332</v>
      </c>
      <c r="O1095" s="32"/>
      <c r="P1095" s="381">
        <f t="shared" si="182"/>
        <v>0</v>
      </c>
      <c r="Q1095" s="383">
        <v>147.98333333333332</v>
      </c>
      <c r="R1095" s="32"/>
      <c r="S1095" s="25">
        <f t="shared" si="183"/>
        <v>0</v>
      </c>
      <c r="T1095" s="383">
        <v>147.98333333333332</v>
      </c>
      <c r="U1095" s="32"/>
      <c r="V1095" s="25">
        <f t="shared" si="186"/>
        <v>0</v>
      </c>
      <c r="W1095" s="32">
        <f t="shared" si="187"/>
        <v>147.98333333333332</v>
      </c>
      <c r="X1095" s="32">
        <f t="shared" si="184"/>
        <v>0</v>
      </c>
      <c r="Y1095" s="381">
        <f t="shared" si="185"/>
        <v>0</v>
      </c>
    </row>
    <row r="1096" spans="1:25" x14ac:dyDescent="0.2">
      <c r="A1096" s="24">
        <f t="shared" si="177"/>
        <v>12.20587290337456</v>
      </c>
      <c r="B1096" s="383">
        <v>148.98333333333332</v>
      </c>
      <c r="C1096" s="32"/>
      <c r="D1096" s="381">
        <f t="shared" si="178"/>
        <v>0</v>
      </c>
      <c r="E1096" s="383">
        <v>148.98333333333332</v>
      </c>
      <c r="F1096" s="8"/>
      <c r="G1096" s="381">
        <f t="shared" si="179"/>
        <v>0</v>
      </c>
      <c r="H1096" s="383">
        <v>148.98333333333332</v>
      </c>
      <c r="I1096" s="32"/>
      <c r="J1096" s="381">
        <f t="shared" si="180"/>
        <v>0</v>
      </c>
      <c r="K1096" s="383">
        <v>148.98333333333332</v>
      </c>
      <c r="L1096" s="31"/>
      <c r="M1096" s="381">
        <f t="shared" si="181"/>
        <v>0</v>
      </c>
      <c r="N1096" s="383">
        <v>148.98333333333332</v>
      </c>
      <c r="O1096" s="32"/>
      <c r="P1096" s="381">
        <f t="shared" si="182"/>
        <v>0</v>
      </c>
      <c r="Q1096" s="383">
        <v>148.98333333333332</v>
      </c>
      <c r="R1096" s="32"/>
      <c r="S1096" s="25">
        <f t="shared" si="183"/>
        <v>0</v>
      </c>
      <c r="T1096" s="383">
        <v>148.98333333333332</v>
      </c>
      <c r="U1096" s="32"/>
      <c r="V1096" s="25">
        <f t="shared" si="186"/>
        <v>0</v>
      </c>
      <c r="W1096" s="32">
        <f t="shared" si="187"/>
        <v>148.98333333333332</v>
      </c>
      <c r="X1096" s="32">
        <f t="shared" si="184"/>
        <v>0</v>
      </c>
      <c r="Y1096" s="381">
        <f t="shared" si="185"/>
        <v>0</v>
      </c>
    </row>
    <row r="1097" spans="1:25" x14ac:dyDescent="0.2">
      <c r="A1097" s="24">
        <f t="shared" si="177"/>
        <v>12.24744871391589</v>
      </c>
      <c r="B1097" s="383">
        <v>150</v>
      </c>
      <c r="C1097" s="32"/>
      <c r="D1097" s="381">
        <f t="shared" si="178"/>
        <v>0</v>
      </c>
      <c r="E1097" s="383">
        <v>150</v>
      </c>
      <c r="F1097" s="8"/>
      <c r="G1097" s="381">
        <f t="shared" si="179"/>
        <v>0</v>
      </c>
      <c r="H1097" s="383">
        <v>150</v>
      </c>
      <c r="I1097" s="32"/>
      <c r="J1097" s="381">
        <f t="shared" si="180"/>
        <v>0</v>
      </c>
      <c r="K1097" s="383">
        <v>150</v>
      </c>
      <c r="L1097" s="31"/>
      <c r="M1097" s="381">
        <f t="shared" si="181"/>
        <v>0</v>
      </c>
      <c r="N1097" s="383">
        <v>150</v>
      </c>
      <c r="O1097" s="32"/>
      <c r="P1097" s="381">
        <f t="shared" si="182"/>
        <v>0</v>
      </c>
      <c r="Q1097" s="383">
        <v>150</v>
      </c>
      <c r="R1097" s="32"/>
      <c r="S1097" s="25">
        <f t="shared" si="183"/>
        <v>0</v>
      </c>
      <c r="T1097" s="383">
        <v>150</v>
      </c>
      <c r="U1097" s="32"/>
      <c r="V1097" s="25">
        <f t="shared" si="186"/>
        <v>0</v>
      </c>
      <c r="W1097" s="32">
        <f t="shared" si="187"/>
        <v>150</v>
      </c>
      <c r="X1097" s="32">
        <f t="shared" si="184"/>
        <v>0</v>
      </c>
      <c r="Y1097" s="381">
        <f t="shared" si="185"/>
        <v>0</v>
      </c>
    </row>
    <row r="1098" spans="1:25" x14ac:dyDescent="0.2">
      <c r="A1098" s="24">
        <f t="shared" si="177"/>
        <v>12.288205727444508</v>
      </c>
      <c r="B1098" s="383">
        <v>151</v>
      </c>
      <c r="C1098" s="32"/>
      <c r="D1098" s="381">
        <f t="shared" si="178"/>
        <v>0</v>
      </c>
      <c r="E1098" s="383">
        <v>151</v>
      </c>
      <c r="F1098" s="8"/>
      <c r="G1098" s="381">
        <f t="shared" si="179"/>
        <v>0</v>
      </c>
      <c r="H1098" s="383">
        <v>151</v>
      </c>
      <c r="I1098" s="32"/>
      <c r="J1098" s="381">
        <f t="shared" si="180"/>
        <v>0</v>
      </c>
      <c r="K1098" s="383">
        <v>151</v>
      </c>
      <c r="L1098" s="31"/>
      <c r="M1098" s="381">
        <f t="shared" si="181"/>
        <v>0</v>
      </c>
      <c r="N1098" s="383">
        <v>151</v>
      </c>
      <c r="O1098" s="32"/>
      <c r="P1098" s="381">
        <f t="shared" si="182"/>
        <v>0</v>
      </c>
      <c r="Q1098" s="383">
        <v>151</v>
      </c>
      <c r="R1098" s="32"/>
      <c r="S1098" s="25">
        <f t="shared" si="183"/>
        <v>0</v>
      </c>
      <c r="T1098" s="383">
        <v>151</v>
      </c>
      <c r="U1098" s="32"/>
      <c r="V1098" s="25">
        <f t="shared" si="186"/>
        <v>0</v>
      </c>
      <c r="W1098" s="32">
        <f t="shared" si="187"/>
        <v>151</v>
      </c>
      <c r="X1098" s="32">
        <f t="shared" si="184"/>
        <v>0</v>
      </c>
      <c r="Y1098" s="381">
        <f t="shared" si="185"/>
        <v>0</v>
      </c>
    </row>
    <row r="1099" spans="1:25" x14ac:dyDescent="0.2">
      <c r="A1099" s="24">
        <f t="shared" si="177"/>
        <v>12.328828005937952</v>
      </c>
      <c r="B1099" s="383">
        <v>152</v>
      </c>
      <c r="C1099" s="32"/>
      <c r="D1099" s="381">
        <f t="shared" si="178"/>
        <v>0</v>
      </c>
      <c r="E1099" s="383">
        <v>152</v>
      </c>
      <c r="F1099" s="8"/>
      <c r="G1099" s="381">
        <f t="shared" si="179"/>
        <v>0</v>
      </c>
      <c r="H1099" s="383">
        <v>152</v>
      </c>
      <c r="I1099" s="32"/>
      <c r="J1099" s="381">
        <f t="shared" si="180"/>
        <v>0</v>
      </c>
      <c r="K1099" s="383">
        <v>152</v>
      </c>
      <c r="L1099" s="31"/>
      <c r="M1099" s="381">
        <f t="shared" si="181"/>
        <v>0</v>
      </c>
      <c r="N1099" s="383">
        <v>152</v>
      </c>
      <c r="O1099" s="32"/>
      <c r="P1099" s="381">
        <f t="shared" si="182"/>
        <v>0</v>
      </c>
      <c r="Q1099" s="383">
        <v>152</v>
      </c>
      <c r="R1099" s="32"/>
      <c r="S1099" s="25">
        <f t="shared" si="183"/>
        <v>0</v>
      </c>
      <c r="T1099" s="383">
        <v>152</v>
      </c>
      <c r="U1099" s="32"/>
      <c r="V1099" s="25">
        <f t="shared" si="186"/>
        <v>0</v>
      </c>
      <c r="W1099" s="32">
        <f t="shared" si="187"/>
        <v>152</v>
      </c>
      <c r="X1099" s="32">
        <f t="shared" si="184"/>
        <v>0</v>
      </c>
      <c r="Y1099" s="381">
        <f t="shared" si="185"/>
        <v>0</v>
      </c>
    </row>
    <row r="1100" spans="1:25" x14ac:dyDescent="0.2">
      <c r="A1100" s="24">
        <f t="shared" si="177"/>
        <v>12.368643148435213</v>
      </c>
      <c r="B1100" s="383">
        <v>152.98333333333332</v>
      </c>
      <c r="C1100" s="32"/>
      <c r="D1100" s="381">
        <f t="shared" si="178"/>
        <v>0</v>
      </c>
      <c r="E1100" s="383">
        <v>152.98333333333332</v>
      </c>
      <c r="F1100" s="8"/>
      <c r="G1100" s="381">
        <f t="shared" si="179"/>
        <v>0</v>
      </c>
      <c r="H1100" s="383">
        <v>152.98333333333332</v>
      </c>
      <c r="I1100" s="32"/>
      <c r="J1100" s="381">
        <f t="shared" si="180"/>
        <v>0</v>
      </c>
      <c r="K1100" s="383">
        <v>152.98333333333332</v>
      </c>
      <c r="L1100" s="31"/>
      <c r="M1100" s="381">
        <f t="shared" si="181"/>
        <v>0</v>
      </c>
      <c r="N1100" s="383">
        <v>152.98333333333332</v>
      </c>
      <c r="O1100" s="32"/>
      <c r="P1100" s="381">
        <f t="shared" si="182"/>
        <v>0</v>
      </c>
      <c r="Q1100" s="383">
        <v>152.98333333333332</v>
      </c>
      <c r="R1100" s="32"/>
      <c r="S1100" s="25">
        <f t="shared" si="183"/>
        <v>0</v>
      </c>
      <c r="T1100" s="383">
        <v>152.98333333333332</v>
      </c>
      <c r="U1100" s="32"/>
      <c r="V1100" s="25">
        <f t="shared" si="186"/>
        <v>0</v>
      </c>
      <c r="W1100" s="32">
        <f t="shared" si="187"/>
        <v>152.98333333333332</v>
      </c>
      <c r="X1100" s="32">
        <f t="shared" si="184"/>
        <v>0</v>
      </c>
      <c r="Y1100" s="381">
        <f t="shared" si="185"/>
        <v>0</v>
      </c>
    </row>
    <row r="1101" spans="1:25" x14ac:dyDescent="0.2">
      <c r="A1101" s="24">
        <f t="shared" si="177"/>
        <v>12.409002108684378</v>
      </c>
      <c r="B1101" s="383">
        <v>153.98333333333332</v>
      </c>
      <c r="C1101" s="32"/>
      <c r="D1101" s="381">
        <f t="shared" si="178"/>
        <v>0</v>
      </c>
      <c r="E1101" s="383">
        <v>153.98333333333332</v>
      </c>
      <c r="F1101" s="8"/>
      <c r="G1101" s="381">
        <f t="shared" si="179"/>
        <v>0</v>
      </c>
      <c r="H1101" s="383">
        <v>153.98333333333332</v>
      </c>
      <c r="I1101" s="32"/>
      <c r="J1101" s="381">
        <f t="shared" si="180"/>
        <v>0</v>
      </c>
      <c r="K1101" s="383">
        <v>153.98333333333332</v>
      </c>
      <c r="L1101" s="31"/>
      <c r="M1101" s="381">
        <f t="shared" si="181"/>
        <v>0</v>
      </c>
      <c r="N1101" s="383">
        <v>153.98333333333332</v>
      </c>
      <c r="O1101" s="32"/>
      <c r="P1101" s="381">
        <f t="shared" si="182"/>
        <v>0</v>
      </c>
      <c r="Q1101" s="383">
        <v>153.98333333333332</v>
      </c>
      <c r="R1101" s="32"/>
      <c r="S1101" s="25">
        <f t="shared" si="183"/>
        <v>0</v>
      </c>
      <c r="T1101" s="383">
        <v>153.98333333333332</v>
      </c>
      <c r="U1101" s="32"/>
      <c r="V1101" s="25">
        <f t="shared" si="186"/>
        <v>0</v>
      </c>
      <c r="W1101" s="32">
        <f t="shared" si="187"/>
        <v>153.98333333333332</v>
      </c>
      <c r="X1101" s="32">
        <f t="shared" si="184"/>
        <v>0</v>
      </c>
      <c r="Y1101" s="381">
        <f t="shared" si="185"/>
        <v>0</v>
      </c>
    </row>
    <row r="1102" spans="1:25" x14ac:dyDescent="0.2">
      <c r="A1102" s="24">
        <f t="shared" si="177"/>
        <v>12.449230230553749</v>
      </c>
      <c r="B1102" s="383">
        <v>154.98333333333332</v>
      </c>
      <c r="C1102" s="32"/>
      <c r="D1102" s="381">
        <f t="shared" si="178"/>
        <v>0</v>
      </c>
      <c r="E1102" s="383">
        <v>154.98333333333332</v>
      </c>
      <c r="F1102" s="8"/>
      <c r="G1102" s="381">
        <f t="shared" si="179"/>
        <v>0</v>
      </c>
      <c r="H1102" s="383">
        <v>154.98333333333332</v>
      </c>
      <c r="I1102" s="32"/>
      <c r="J1102" s="381">
        <f t="shared" si="180"/>
        <v>0</v>
      </c>
      <c r="K1102" s="383">
        <v>154.98333333333332</v>
      </c>
      <c r="L1102" s="31"/>
      <c r="M1102" s="381">
        <f t="shared" si="181"/>
        <v>0</v>
      </c>
      <c r="N1102" s="383">
        <v>154.98333333333332</v>
      </c>
      <c r="O1102" s="32"/>
      <c r="P1102" s="381">
        <f t="shared" si="182"/>
        <v>0</v>
      </c>
      <c r="Q1102" s="383">
        <v>154.98333333333332</v>
      </c>
      <c r="R1102" s="32"/>
      <c r="S1102" s="25">
        <f t="shared" si="183"/>
        <v>0</v>
      </c>
      <c r="T1102" s="383">
        <v>154.98333333333332</v>
      </c>
      <c r="U1102" s="32"/>
      <c r="V1102" s="25">
        <f t="shared" si="186"/>
        <v>0</v>
      </c>
      <c r="W1102" s="32">
        <f t="shared" si="187"/>
        <v>154.98333333333332</v>
      </c>
      <c r="X1102" s="32">
        <f t="shared" si="184"/>
        <v>0</v>
      </c>
      <c r="Y1102" s="381">
        <f t="shared" si="185"/>
        <v>0</v>
      </c>
    </row>
    <row r="1103" spans="1:25" x14ac:dyDescent="0.2">
      <c r="A1103" s="24">
        <f t="shared" si="177"/>
        <v>12.489328778334459</v>
      </c>
      <c r="B1103" s="383">
        <v>155.98333333333332</v>
      </c>
      <c r="C1103" s="32"/>
      <c r="D1103" s="381">
        <f t="shared" si="178"/>
        <v>0</v>
      </c>
      <c r="E1103" s="383">
        <v>155.98333333333332</v>
      </c>
      <c r="F1103" s="8"/>
      <c r="G1103" s="381">
        <f t="shared" si="179"/>
        <v>0</v>
      </c>
      <c r="H1103" s="383">
        <v>155.98333333333332</v>
      </c>
      <c r="I1103" s="32"/>
      <c r="J1103" s="381">
        <f t="shared" si="180"/>
        <v>0</v>
      </c>
      <c r="K1103" s="383">
        <v>155.98333333333332</v>
      </c>
      <c r="L1103" s="31"/>
      <c r="M1103" s="381">
        <f t="shared" si="181"/>
        <v>0</v>
      </c>
      <c r="N1103" s="383">
        <v>155.98333333333332</v>
      </c>
      <c r="O1103" s="32"/>
      <c r="P1103" s="381">
        <f t="shared" si="182"/>
        <v>0</v>
      </c>
      <c r="Q1103" s="383">
        <v>155.98333333333332</v>
      </c>
      <c r="R1103" s="32"/>
      <c r="S1103" s="25">
        <f t="shared" si="183"/>
        <v>0</v>
      </c>
      <c r="T1103" s="383">
        <v>155.98333333333332</v>
      </c>
      <c r="U1103" s="32"/>
      <c r="V1103" s="25">
        <f t="shared" si="186"/>
        <v>0</v>
      </c>
      <c r="W1103" s="32">
        <f t="shared" si="187"/>
        <v>155.98333333333332</v>
      </c>
      <c r="X1103" s="32">
        <f t="shared" si="184"/>
        <v>0</v>
      </c>
      <c r="Y1103" s="381">
        <f t="shared" si="185"/>
        <v>0</v>
      </c>
    </row>
    <row r="1104" spans="1:25" x14ac:dyDescent="0.2">
      <c r="A1104" s="24">
        <f t="shared" si="177"/>
        <v>12.529964086141668</v>
      </c>
      <c r="B1104" s="383">
        <v>157</v>
      </c>
      <c r="C1104" s="32"/>
      <c r="D1104" s="381">
        <f t="shared" si="178"/>
        <v>0</v>
      </c>
      <c r="E1104" s="383">
        <v>157</v>
      </c>
      <c r="F1104" s="8"/>
      <c r="G1104" s="381">
        <f t="shared" si="179"/>
        <v>0</v>
      </c>
      <c r="H1104" s="383">
        <v>157</v>
      </c>
      <c r="I1104" s="32"/>
      <c r="J1104" s="381">
        <f t="shared" si="180"/>
        <v>0</v>
      </c>
      <c r="K1104" s="383">
        <v>157</v>
      </c>
      <c r="L1104" s="31"/>
      <c r="M1104" s="381">
        <f t="shared" si="181"/>
        <v>0</v>
      </c>
      <c r="N1104" s="383">
        <v>157</v>
      </c>
      <c r="O1104" s="32"/>
      <c r="P1104" s="381">
        <f t="shared" si="182"/>
        <v>0</v>
      </c>
      <c r="Q1104" s="383">
        <v>157</v>
      </c>
      <c r="R1104" s="32"/>
      <c r="S1104" s="25">
        <f t="shared" si="183"/>
        <v>0</v>
      </c>
      <c r="T1104" s="383">
        <v>157</v>
      </c>
      <c r="U1104" s="32"/>
      <c r="V1104" s="25">
        <f t="shared" si="186"/>
        <v>0</v>
      </c>
      <c r="W1104" s="32">
        <f t="shared" si="187"/>
        <v>157</v>
      </c>
      <c r="X1104" s="32">
        <f t="shared" si="184"/>
        <v>0</v>
      </c>
      <c r="Y1104" s="381">
        <f t="shared" si="185"/>
        <v>0</v>
      </c>
    </row>
    <row r="1105" spans="1:25" x14ac:dyDescent="0.2">
      <c r="A1105" s="24">
        <f t="shared" si="177"/>
        <v>12.569805089976535</v>
      </c>
      <c r="B1105" s="383">
        <v>158</v>
      </c>
      <c r="C1105" s="32"/>
      <c r="D1105" s="381">
        <f t="shared" si="178"/>
        <v>0</v>
      </c>
      <c r="E1105" s="383">
        <v>158</v>
      </c>
      <c r="F1105" s="8"/>
      <c r="G1105" s="381">
        <f t="shared" si="179"/>
        <v>0</v>
      </c>
      <c r="H1105" s="383">
        <v>158</v>
      </c>
      <c r="I1105" s="32"/>
      <c r="J1105" s="381">
        <f t="shared" si="180"/>
        <v>0</v>
      </c>
      <c r="K1105" s="383">
        <v>158</v>
      </c>
      <c r="L1105" s="31"/>
      <c r="M1105" s="381">
        <f t="shared" si="181"/>
        <v>0</v>
      </c>
      <c r="N1105" s="383">
        <v>158</v>
      </c>
      <c r="O1105" s="32"/>
      <c r="P1105" s="381">
        <f t="shared" si="182"/>
        <v>0</v>
      </c>
      <c r="Q1105" s="383">
        <v>158</v>
      </c>
      <c r="R1105" s="32"/>
      <c r="S1105" s="25">
        <f t="shared" si="183"/>
        <v>0</v>
      </c>
      <c r="T1105" s="383">
        <v>158</v>
      </c>
      <c r="U1105" s="32"/>
      <c r="V1105" s="25">
        <f t="shared" si="186"/>
        <v>0</v>
      </c>
      <c r="W1105" s="32">
        <f t="shared" si="187"/>
        <v>158</v>
      </c>
      <c r="X1105" s="32">
        <f t="shared" si="184"/>
        <v>0</v>
      </c>
      <c r="Y1105" s="381">
        <f t="shared" si="185"/>
        <v>0</v>
      </c>
    </row>
    <row r="1106" spans="1:25" x14ac:dyDescent="0.2">
      <c r="A1106" s="24">
        <f t="shared" si="177"/>
        <v>12.609520212918492</v>
      </c>
      <c r="B1106" s="383">
        <v>159</v>
      </c>
      <c r="C1106" s="32"/>
      <c r="D1106" s="381">
        <f t="shared" si="178"/>
        <v>0</v>
      </c>
      <c r="E1106" s="383">
        <v>159</v>
      </c>
      <c r="F1106" s="8"/>
      <c r="G1106" s="381">
        <f t="shared" si="179"/>
        <v>0</v>
      </c>
      <c r="H1106" s="383">
        <v>159</v>
      </c>
      <c r="I1106" s="32"/>
      <c r="J1106" s="381">
        <f t="shared" si="180"/>
        <v>0</v>
      </c>
      <c r="K1106" s="383">
        <v>159</v>
      </c>
      <c r="L1106" s="31"/>
      <c r="M1106" s="381">
        <f t="shared" si="181"/>
        <v>0</v>
      </c>
      <c r="N1106" s="383">
        <v>159</v>
      </c>
      <c r="O1106" s="32"/>
      <c r="P1106" s="381">
        <f t="shared" si="182"/>
        <v>0</v>
      </c>
      <c r="Q1106" s="383">
        <v>159</v>
      </c>
      <c r="R1106" s="32"/>
      <c r="S1106" s="25">
        <f t="shared" si="183"/>
        <v>0</v>
      </c>
      <c r="T1106" s="383">
        <v>159</v>
      </c>
      <c r="U1106" s="32"/>
      <c r="V1106" s="25">
        <f t="shared" si="186"/>
        <v>0</v>
      </c>
      <c r="W1106" s="32">
        <f t="shared" si="187"/>
        <v>159</v>
      </c>
      <c r="X1106" s="32">
        <f t="shared" si="184"/>
        <v>0</v>
      </c>
      <c r="Y1106" s="381">
        <f t="shared" si="185"/>
        <v>0</v>
      </c>
    </row>
    <row r="1107" spans="1:25" x14ac:dyDescent="0.2">
      <c r="A1107" s="24">
        <f t="shared" si="177"/>
        <v>12.648451815670301</v>
      </c>
      <c r="B1107" s="383">
        <v>159.98333333333332</v>
      </c>
      <c r="C1107" s="32"/>
      <c r="D1107" s="381">
        <f t="shared" si="178"/>
        <v>0</v>
      </c>
      <c r="E1107" s="383">
        <v>159.98333333333332</v>
      </c>
      <c r="F1107" s="8"/>
      <c r="G1107" s="381">
        <f t="shared" si="179"/>
        <v>0</v>
      </c>
      <c r="H1107" s="383">
        <v>159.98333333333332</v>
      </c>
      <c r="I1107" s="32"/>
      <c r="J1107" s="381">
        <f t="shared" si="180"/>
        <v>0</v>
      </c>
      <c r="K1107" s="383">
        <v>159.98333333333332</v>
      </c>
      <c r="L1107" s="31"/>
      <c r="M1107" s="381">
        <f t="shared" si="181"/>
        <v>0</v>
      </c>
      <c r="N1107" s="383">
        <v>159.98333333333332</v>
      </c>
      <c r="O1107" s="32"/>
      <c r="P1107" s="381">
        <f t="shared" si="182"/>
        <v>0</v>
      </c>
      <c r="Q1107" s="383">
        <v>159.98333333333332</v>
      </c>
      <c r="R1107" s="32"/>
      <c r="S1107" s="25">
        <f t="shared" si="183"/>
        <v>0</v>
      </c>
      <c r="T1107" s="383">
        <v>159.98333333333332</v>
      </c>
      <c r="U1107" s="32"/>
      <c r="V1107" s="25">
        <f t="shared" si="186"/>
        <v>0</v>
      </c>
      <c r="W1107" s="32">
        <f t="shared" si="187"/>
        <v>159.98333333333332</v>
      </c>
      <c r="X1107" s="32">
        <f t="shared" si="184"/>
        <v>0</v>
      </c>
      <c r="Y1107" s="381">
        <f t="shared" si="185"/>
        <v>0</v>
      </c>
    </row>
    <row r="1108" spans="1:25" x14ac:dyDescent="0.2">
      <c r="A1108" s="24">
        <f t="shared" si="177"/>
        <v>12.687920764779914</v>
      </c>
      <c r="B1108" s="383">
        <v>160.98333333333332</v>
      </c>
      <c r="C1108" s="32"/>
      <c r="D1108" s="381">
        <f t="shared" si="178"/>
        <v>0</v>
      </c>
      <c r="E1108" s="383">
        <v>160.98333333333332</v>
      </c>
      <c r="F1108" s="8"/>
      <c r="G1108" s="381">
        <f t="shared" si="179"/>
        <v>0</v>
      </c>
      <c r="H1108" s="383">
        <v>160.98333333333332</v>
      </c>
      <c r="I1108" s="32"/>
      <c r="J1108" s="381">
        <f t="shared" si="180"/>
        <v>0</v>
      </c>
      <c r="K1108" s="383">
        <v>160.98333333333332</v>
      </c>
      <c r="L1108" s="31"/>
      <c r="M1108" s="381">
        <f t="shared" si="181"/>
        <v>0</v>
      </c>
      <c r="N1108" s="383">
        <v>160.98333333333332</v>
      </c>
      <c r="O1108" s="32"/>
      <c r="P1108" s="381">
        <f t="shared" si="182"/>
        <v>0</v>
      </c>
      <c r="Q1108" s="383">
        <v>160.98333333333332</v>
      </c>
      <c r="R1108" s="32"/>
      <c r="S1108" s="25">
        <f t="shared" si="183"/>
        <v>0</v>
      </c>
      <c r="T1108" s="383">
        <v>160.98333333333332</v>
      </c>
      <c r="U1108" s="32"/>
      <c r="V1108" s="25">
        <f t="shared" si="186"/>
        <v>0</v>
      </c>
      <c r="W1108" s="32">
        <f t="shared" si="187"/>
        <v>160.98333333333332</v>
      </c>
      <c r="X1108" s="32">
        <f t="shared" si="184"/>
        <v>0</v>
      </c>
      <c r="Y1108" s="381">
        <f t="shared" si="185"/>
        <v>0</v>
      </c>
    </row>
    <row r="1109" spans="1:25" x14ac:dyDescent="0.2">
      <c r="A1109" s="24">
        <f t="shared" si="177"/>
        <v>12.727267316016166</v>
      </c>
      <c r="B1109" s="383">
        <v>161.98333333333332</v>
      </c>
      <c r="C1109" s="32"/>
      <c r="D1109" s="381">
        <f t="shared" si="178"/>
        <v>0</v>
      </c>
      <c r="E1109" s="383">
        <v>161.98333333333332</v>
      </c>
      <c r="F1109" s="8"/>
      <c r="G1109" s="381">
        <f t="shared" si="179"/>
        <v>0</v>
      </c>
      <c r="H1109" s="383">
        <v>161.98333333333332</v>
      </c>
      <c r="I1109" s="32"/>
      <c r="J1109" s="381">
        <f t="shared" si="180"/>
        <v>0</v>
      </c>
      <c r="K1109" s="383">
        <v>161.98333333333332</v>
      </c>
      <c r="L1109" s="31"/>
      <c r="M1109" s="381">
        <f t="shared" si="181"/>
        <v>0</v>
      </c>
      <c r="N1109" s="383">
        <v>161.98333333333332</v>
      </c>
      <c r="O1109" s="32"/>
      <c r="P1109" s="381">
        <f t="shared" si="182"/>
        <v>0</v>
      </c>
      <c r="Q1109" s="383">
        <v>161.98333333333332</v>
      </c>
      <c r="R1109" s="32"/>
      <c r="S1109" s="25">
        <f t="shared" si="183"/>
        <v>0</v>
      </c>
      <c r="T1109" s="383">
        <v>161.98333333333332</v>
      </c>
      <c r="U1109" s="32"/>
      <c r="V1109" s="25">
        <f t="shared" si="186"/>
        <v>0</v>
      </c>
      <c r="W1109" s="32">
        <f t="shared" si="187"/>
        <v>161.98333333333332</v>
      </c>
      <c r="X1109" s="32">
        <f t="shared" si="184"/>
        <v>0</v>
      </c>
      <c r="Y1109" s="381">
        <f t="shared" si="185"/>
        <v>0</v>
      </c>
    </row>
    <row r="1110" spans="1:25" x14ac:dyDescent="0.2">
      <c r="A1110" s="24">
        <f t="shared" si="177"/>
        <v>12.766492601076198</v>
      </c>
      <c r="B1110" s="383">
        <v>162.98333333333332</v>
      </c>
      <c r="C1110" s="32"/>
      <c r="D1110" s="381">
        <f t="shared" si="178"/>
        <v>0</v>
      </c>
      <c r="E1110" s="383">
        <v>162.98333333333332</v>
      </c>
      <c r="F1110" s="8"/>
      <c r="G1110" s="381">
        <f t="shared" si="179"/>
        <v>0</v>
      </c>
      <c r="H1110" s="383">
        <v>162.98333333333332</v>
      </c>
      <c r="I1110" s="32"/>
      <c r="J1110" s="381">
        <f t="shared" si="180"/>
        <v>0</v>
      </c>
      <c r="K1110" s="383">
        <v>162.98333333333332</v>
      </c>
      <c r="L1110" s="31"/>
      <c r="M1110" s="381">
        <f t="shared" si="181"/>
        <v>0</v>
      </c>
      <c r="N1110" s="383">
        <v>162.98333333333332</v>
      </c>
      <c r="O1110" s="32"/>
      <c r="P1110" s="381">
        <f t="shared" si="182"/>
        <v>0</v>
      </c>
      <c r="Q1110" s="383">
        <v>162.98333333333332</v>
      </c>
      <c r="R1110" s="32"/>
      <c r="S1110" s="25">
        <f t="shared" si="183"/>
        <v>0</v>
      </c>
      <c r="T1110" s="383">
        <v>162.98333333333332</v>
      </c>
      <c r="U1110" s="32"/>
      <c r="V1110" s="25">
        <f t="shared" si="186"/>
        <v>0</v>
      </c>
      <c r="W1110" s="32">
        <f t="shared" si="187"/>
        <v>162.98333333333332</v>
      </c>
      <c r="X1110" s="32">
        <f t="shared" si="184"/>
        <v>0</v>
      </c>
      <c r="Y1110" s="381">
        <f t="shared" si="185"/>
        <v>0</v>
      </c>
    </row>
    <row r="1111" spans="1:25" x14ac:dyDescent="0.2">
      <c r="A1111" s="24">
        <f t="shared" si="177"/>
        <v>12.805597734324365</v>
      </c>
      <c r="B1111" s="383">
        <v>163.98333333333332</v>
      </c>
      <c r="C1111" s="32"/>
      <c r="D1111" s="381">
        <f t="shared" si="178"/>
        <v>0</v>
      </c>
      <c r="E1111" s="383">
        <v>163.98333333333332</v>
      </c>
      <c r="F1111" s="8"/>
      <c r="G1111" s="381">
        <f t="shared" si="179"/>
        <v>0</v>
      </c>
      <c r="H1111" s="383">
        <v>163.98333333333332</v>
      </c>
      <c r="I1111" s="32"/>
      <c r="J1111" s="381">
        <f t="shared" si="180"/>
        <v>0</v>
      </c>
      <c r="K1111" s="383">
        <v>163.98333333333332</v>
      </c>
      <c r="L1111" s="31"/>
      <c r="M1111" s="381">
        <f t="shared" si="181"/>
        <v>0</v>
      </c>
      <c r="N1111" s="383">
        <v>163.98333333333332</v>
      </c>
      <c r="O1111" s="32"/>
      <c r="P1111" s="381">
        <f t="shared" si="182"/>
        <v>0</v>
      </c>
      <c r="Q1111" s="383">
        <v>163.98333333333332</v>
      </c>
      <c r="R1111" s="32"/>
      <c r="S1111" s="25">
        <f t="shared" si="183"/>
        <v>0</v>
      </c>
      <c r="T1111" s="383">
        <v>163.98333333333332</v>
      </c>
      <c r="U1111" s="32"/>
      <c r="V1111" s="25">
        <f t="shared" si="186"/>
        <v>0</v>
      </c>
      <c r="W1111" s="32">
        <f t="shared" si="187"/>
        <v>163.98333333333332</v>
      </c>
      <c r="X1111" s="32">
        <f t="shared" si="184"/>
        <v>0</v>
      </c>
      <c r="Y1111" s="381">
        <f t="shared" si="185"/>
        <v>0</v>
      </c>
    </row>
    <row r="1112" spans="1:25" x14ac:dyDescent="0.2">
      <c r="A1112" s="24">
        <f t="shared" si="177"/>
        <v>12.845232578665129</v>
      </c>
      <c r="B1112" s="383">
        <v>165</v>
      </c>
      <c r="C1112" s="32"/>
      <c r="D1112" s="381">
        <f t="shared" si="178"/>
        <v>0</v>
      </c>
      <c r="E1112" s="383">
        <v>165</v>
      </c>
      <c r="F1112" s="8"/>
      <c r="G1112" s="381">
        <f t="shared" si="179"/>
        <v>0</v>
      </c>
      <c r="H1112" s="383">
        <v>165</v>
      </c>
      <c r="I1112" s="32"/>
      <c r="J1112" s="381">
        <f t="shared" si="180"/>
        <v>0</v>
      </c>
      <c r="K1112" s="383">
        <v>165</v>
      </c>
      <c r="L1112" s="31"/>
      <c r="M1112" s="381">
        <f t="shared" si="181"/>
        <v>0</v>
      </c>
      <c r="N1112" s="383">
        <v>165</v>
      </c>
      <c r="O1112" s="32"/>
      <c r="P1112" s="381">
        <f t="shared" si="182"/>
        <v>0</v>
      </c>
      <c r="Q1112" s="383">
        <v>165</v>
      </c>
      <c r="R1112" s="32"/>
      <c r="S1112" s="25">
        <f t="shared" si="183"/>
        <v>0</v>
      </c>
      <c r="T1112" s="383">
        <v>165</v>
      </c>
      <c r="U1112" s="32"/>
      <c r="V1112" s="25">
        <f t="shared" si="186"/>
        <v>0</v>
      </c>
      <c r="W1112" s="32">
        <f t="shared" si="187"/>
        <v>165</v>
      </c>
      <c r="X1112" s="32">
        <f t="shared" si="184"/>
        <v>0</v>
      </c>
      <c r="Y1112" s="381">
        <f t="shared" si="185"/>
        <v>0</v>
      </c>
    </row>
    <row r="1113" spans="1:25" x14ac:dyDescent="0.2">
      <c r="A1113" s="24">
        <f t="shared" si="177"/>
        <v>12.884098726725126</v>
      </c>
      <c r="B1113" s="383">
        <v>166</v>
      </c>
      <c r="C1113" s="32"/>
      <c r="D1113" s="381">
        <f t="shared" si="178"/>
        <v>0</v>
      </c>
      <c r="E1113" s="383">
        <v>166</v>
      </c>
      <c r="F1113" s="8"/>
      <c r="G1113" s="381">
        <f t="shared" si="179"/>
        <v>0</v>
      </c>
      <c r="H1113" s="383">
        <v>166</v>
      </c>
      <c r="I1113" s="32"/>
      <c r="J1113" s="381">
        <f t="shared" si="180"/>
        <v>0</v>
      </c>
      <c r="K1113" s="383">
        <v>166</v>
      </c>
      <c r="L1113" s="31"/>
      <c r="M1113" s="381">
        <f t="shared" si="181"/>
        <v>0</v>
      </c>
      <c r="N1113" s="383">
        <v>166</v>
      </c>
      <c r="O1113" s="32"/>
      <c r="P1113" s="381">
        <f t="shared" si="182"/>
        <v>0</v>
      </c>
      <c r="Q1113" s="383">
        <v>166</v>
      </c>
      <c r="R1113" s="32"/>
      <c r="S1113" s="25">
        <f t="shared" si="183"/>
        <v>0</v>
      </c>
      <c r="T1113" s="383">
        <v>166</v>
      </c>
      <c r="U1113" s="32"/>
      <c r="V1113" s="25">
        <f t="shared" si="186"/>
        <v>0</v>
      </c>
      <c r="W1113" s="32">
        <f t="shared" si="187"/>
        <v>166</v>
      </c>
      <c r="X1113" s="32">
        <f t="shared" si="184"/>
        <v>0</v>
      </c>
      <c r="Y1113" s="381">
        <f t="shared" si="185"/>
        <v>0</v>
      </c>
    </row>
    <row r="1114" spans="1:25" x14ac:dyDescent="0.2">
      <c r="A1114" s="24">
        <f t="shared" si="177"/>
        <v>12.922203114536364</v>
      </c>
      <c r="B1114" s="383">
        <v>166.98333333333332</v>
      </c>
      <c r="C1114" s="32"/>
      <c r="D1114" s="381">
        <f t="shared" si="178"/>
        <v>0</v>
      </c>
      <c r="E1114" s="383">
        <v>166.98333333333332</v>
      </c>
      <c r="F1114" s="8"/>
      <c r="G1114" s="381">
        <f t="shared" si="179"/>
        <v>0</v>
      </c>
      <c r="H1114" s="383">
        <v>166.98333333333332</v>
      </c>
      <c r="I1114" s="32"/>
      <c r="J1114" s="381">
        <f t="shared" si="180"/>
        <v>0</v>
      </c>
      <c r="K1114" s="383">
        <v>166.98333333333332</v>
      </c>
      <c r="L1114" s="31"/>
      <c r="M1114" s="381">
        <f t="shared" si="181"/>
        <v>0</v>
      </c>
      <c r="N1114" s="383">
        <v>166.98333333333332</v>
      </c>
      <c r="O1114" s="32"/>
      <c r="P1114" s="381">
        <f t="shared" si="182"/>
        <v>0</v>
      </c>
      <c r="Q1114" s="383">
        <v>166.98333333333332</v>
      </c>
      <c r="R1114" s="32"/>
      <c r="S1114" s="25">
        <f t="shared" si="183"/>
        <v>0</v>
      </c>
      <c r="T1114" s="383">
        <v>166.98333333333332</v>
      </c>
      <c r="U1114" s="32"/>
      <c r="V1114" s="25">
        <f t="shared" si="186"/>
        <v>0</v>
      </c>
      <c r="W1114" s="32">
        <f t="shared" si="187"/>
        <v>166.98333333333332</v>
      </c>
      <c r="X1114" s="32">
        <f t="shared" si="184"/>
        <v>0</v>
      </c>
      <c r="Y1114" s="381">
        <f t="shared" si="185"/>
        <v>0</v>
      </c>
    </row>
    <row r="1115" spans="1:25" x14ac:dyDescent="0.2">
      <c r="A1115" s="24">
        <f t="shared" si="177"/>
        <v>12.960838450244387</v>
      </c>
      <c r="B1115" s="383">
        <v>167.98333333333332</v>
      </c>
      <c r="C1115" s="32"/>
      <c r="D1115" s="381">
        <f t="shared" si="178"/>
        <v>0</v>
      </c>
      <c r="E1115" s="383">
        <v>167.98333333333332</v>
      </c>
      <c r="F1115" s="8"/>
      <c r="G1115" s="381">
        <f t="shared" si="179"/>
        <v>0</v>
      </c>
      <c r="H1115" s="383">
        <v>167.98333333333332</v>
      </c>
      <c r="I1115" s="32"/>
      <c r="J1115" s="381">
        <f t="shared" si="180"/>
        <v>0</v>
      </c>
      <c r="K1115" s="383">
        <v>167.98333333333332</v>
      </c>
      <c r="L1115" s="31"/>
      <c r="M1115" s="381">
        <f t="shared" si="181"/>
        <v>0</v>
      </c>
      <c r="N1115" s="383">
        <v>167.98333333333332</v>
      </c>
      <c r="O1115" s="32"/>
      <c r="P1115" s="381">
        <f t="shared" si="182"/>
        <v>0</v>
      </c>
      <c r="Q1115" s="383">
        <v>167.98333333333332</v>
      </c>
      <c r="R1115" s="32"/>
      <c r="S1115" s="25">
        <f t="shared" si="183"/>
        <v>0</v>
      </c>
      <c r="T1115" s="383">
        <v>167.98333333333332</v>
      </c>
      <c r="U1115" s="32"/>
      <c r="V1115" s="25">
        <f t="shared" si="186"/>
        <v>0</v>
      </c>
      <c r="W1115" s="32">
        <f t="shared" si="187"/>
        <v>167.98333333333332</v>
      </c>
      <c r="X1115" s="32">
        <f t="shared" si="184"/>
        <v>0</v>
      </c>
      <c r="Y1115" s="381">
        <f t="shared" si="185"/>
        <v>0</v>
      </c>
    </row>
    <row r="1116" spans="1:25" x14ac:dyDescent="0.2">
      <c r="A1116" s="24">
        <f t="shared" si="177"/>
        <v>12.999358958553815</v>
      </c>
      <c r="B1116" s="383">
        <v>168.98333333333332</v>
      </c>
      <c r="C1116" s="32"/>
      <c r="D1116" s="381">
        <f t="shared" si="178"/>
        <v>0</v>
      </c>
      <c r="E1116" s="383">
        <v>168.98333333333332</v>
      </c>
      <c r="F1116" s="8"/>
      <c r="G1116" s="381">
        <f t="shared" si="179"/>
        <v>0</v>
      </c>
      <c r="H1116" s="383">
        <v>168.98333333333332</v>
      </c>
      <c r="I1116" s="32"/>
      <c r="J1116" s="381">
        <f t="shared" si="180"/>
        <v>0</v>
      </c>
      <c r="K1116" s="383">
        <v>168.98333333333332</v>
      </c>
      <c r="L1116" s="31"/>
      <c r="M1116" s="381">
        <f t="shared" si="181"/>
        <v>0</v>
      </c>
      <c r="N1116" s="383">
        <v>168.98333333333332</v>
      </c>
      <c r="O1116" s="32"/>
      <c r="P1116" s="381">
        <f t="shared" si="182"/>
        <v>0</v>
      </c>
      <c r="Q1116" s="383">
        <v>168.98333333333332</v>
      </c>
      <c r="R1116" s="32"/>
      <c r="S1116" s="25">
        <f t="shared" si="183"/>
        <v>0</v>
      </c>
      <c r="T1116" s="383">
        <v>168.98333333333332</v>
      </c>
      <c r="U1116" s="32"/>
      <c r="V1116" s="25">
        <f t="shared" si="186"/>
        <v>0</v>
      </c>
      <c r="W1116" s="32">
        <f t="shared" si="187"/>
        <v>168.98333333333332</v>
      </c>
      <c r="X1116" s="32">
        <f t="shared" si="184"/>
        <v>0</v>
      </c>
      <c r="Y1116" s="381">
        <f t="shared" si="185"/>
        <v>0</v>
      </c>
    </row>
    <row r="1117" spans="1:25" x14ac:dyDescent="0.2">
      <c r="A1117" s="24">
        <f t="shared" si="177"/>
        <v>13.037765657248688</v>
      </c>
      <c r="B1117" s="383">
        <v>169.98333333333332</v>
      </c>
      <c r="C1117" s="32"/>
      <c r="D1117" s="381">
        <f t="shared" si="178"/>
        <v>0</v>
      </c>
      <c r="E1117" s="383">
        <v>169.98333333333332</v>
      </c>
      <c r="F1117" s="8"/>
      <c r="G1117" s="381">
        <f t="shared" si="179"/>
        <v>0</v>
      </c>
      <c r="H1117" s="383">
        <v>169.98333333333332</v>
      </c>
      <c r="I1117" s="32"/>
      <c r="J1117" s="381">
        <f t="shared" si="180"/>
        <v>0</v>
      </c>
      <c r="K1117" s="383">
        <v>169.98333333333332</v>
      </c>
      <c r="L1117" s="31"/>
      <c r="M1117" s="381">
        <f t="shared" si="181"/>
        <v>0</v>
      </c>
      <c r="N1117" s="383">
        <v>169.98333333333332</v>
      </c>
      <c r="O1117" s="32"/>
      <c r="P1117" s="381">
        <f t="shared" si="182"/>
        <v>0</v>
      </c>
      <c r="Q1117" s="383">
        <v>169.98333333333332</v>
      </c>
      <c r="R1117" s="32"/>
      <c r="S1117" s="25">
        <f t="shared" si="183"/>
        <v>0</v>
      </c>
      <c r="T1117" s="383">
        <v>169.98333333333332</v>
      </c>
      <c r="U1117" s="32"/>
      <c r="V1117" s="25">
        <f t="shared" si="186"/>
        <v>0</v>
      </c>
      <c r="W1117" s="32">
        <f t="shared" si="187"/>
        <v>169.98333333333332</v>
      </c>
      <c r="X1117" s="32">
        <f t="shared" si="184"/>
        <v>0</v>
      </c>
      <c r="Y1117" s="381">
        <f t="shared" si="185"/>
        <v>0</v>
      </c>
    </row>
    <row r="1118" spans="1:25" x14ac:dyDescent="0.2">
      <c r="A1118" s="24">
        <f t="shared" si="177"/>
        <v>13.076059549165922</v>
      </c>
      <c r="B1118" s="383">
        <v>170.98333333333332</v>
      </c>
      <c r="C1118" s="32"/>
      <c r="D1118" s="381">
        <f t="shared" si="178"/>
        <v>0</v>
      </c>
      <c r="E1118" s="383">
        <v>170.98333333333332</v>
      </c>
      <c r="F1118" s="8"/>
      <c r="G1118" s="381">
        <f t="shared" si="179"/>
        <v>0</v>
      </c>
      <c r="H1118" s="383">
        <v>170.98333333333332</v>
      </c>
      <c r="I1118" s="32"/>
      <c r="J1118" s="381">
        <f t="shared" si="180"/>
        <v>0</v>
      </c>
      <c r="K1118" s="383">
        <v>170.98333333333332</v>
      </c>
      <c r="L1118" s="31"/>
      <c r="M1118" s="381">
        <f t="shared" si="181"/>
        <v>0</v>
      </c>
      <c r="N1118" s="383">
        <v>170.98333333333332</v>
      </c>
      <c r="O1118" s="32"/>
      <c r="P1118" s="381">
        <f t="shared" si="182"/>
        <v>0</v>
      </c>
      <c r="Q1118" s="383">
        <v>170.98333333333332</v>
      </c>
      <c r="R1118" s="32"/>
      <c r="S1118" s="25">
        <f t="shared" si="183"/>
        <v>0</v>
      </c>
      <c r="T1118" s="383">
        <v>170.98333333333332</v>
      </c>
      <c r="U1118" s="32"/>
      <c r="V1118" s="25">
        <f t="shared" si="186"/>
        <v>0</v>
      </c>
      <c r="W1118" s="32">
        <f t="shared" si="187"/>
        <v>170.98333333333332</v>
      </c>
      <c r="X1118" s="32">
        <f t="shared" si="184"/>
        <v>0</v>
      </c>
      <c r="Y1118" s="381">
        <f t="shared" si="185"/>
        <v>0</v>
      </c>
    </row>
    <row r="1119" spans="1:25" x14ac:dyDescent="0.2">
      <c r="A1119" s="24">
        <f t="shared" si="177"/>
        <v>13.114877048604001</v>
      </c>
      <c r="B1119" s="383">
        <v>172</v>
      </c>
      <c r="C1119" s="32"/>
      <c r="D1119" s="381">
        <f t="shared" si="178"/>
        <v>0</v>
      </c>
      <c r="E1119" s="383">
        <v>172</v>
      </c>
      <c r="F1119" s="8"/>
      <c r="G1119" s="381">
        <f t="shared" si="179"/>
        <v>0</v>
      </c>
      <c r="H1119" s="383">
        <v>172</v>
      </c>
      <c r="I1119" s="32"/>
      <c r="J1119" s="381">
        <f t="shared" si="180"/>
        <v>0</v>
      </c>
      <c r="K1119" s="383">
        <v>172</v>
      </c>
      <c r="L1119" s="31"/>
      <c r="M1119" s="381">
        <f t="shared" si="181"/>
        <v>0</v>
      </c>
      <c r="N1119" s="383">
        <v>172</v>
      </c>
      <c r="O1119" s="32"/>
      <c r="P1119" s="381">
        <f t="shared" si="182"/>
        <v>0</v>
      </c>
      <c r="Q1119" s="383">
        <v>172</v>
      </c>
      <c r="R1119" s="32"/>
      <c r="S1119" s="25">
        <f t="shared" si="183"/>
        <v>0</v>
      </c>
      <c r="T1119" s="383">
        <v>172</v>
      </c>
      <c r="U1119" s="32"/>
      <c r="V1119" s="25">
        <f t="shared" si="186"/>
        <v>0</v>
      </c>
      <c r="W1119" s="32">
        <f t="shared" si="187"/>
        <v>172</v>
      </c>
      <c r="X1119" s="32">
        <f t="shared" si="184"/>
        <v>0</v>
      </c>
      <c r="Y1119" s="381">
        <f t="shared" si="185"/>
        <v>0</v>
      </c>
    </row>
    <row r="1120" spans="1:25" x14ac:dyDescent="0.2">
      <c r="A1120" s="24">
        <f t="shared" si="177"/>
        <v>13.152946437965905</v>
      </c>
      <c r="B1120" s="383">
        <v>173</v>
      </c>
      <c r="C1120" s="32"/>
      <c r="D1120" s="381">
        <f t="shared" si="178"/>
        <v>0</v>
      </c>
      <c r="E1120" s="383">
        <v>173</v>
      </c>
      <c r="F1120" s="8"/>
      <c r="G1120" s="381">
        <f t="shared" si="179"/>
        <v>0</v>
      </c>
      <c r="H1120" s="383">
        <v>173</v>
      </c>
      <c r="I1120" s="32"/>
      <c r="J1120" s="381">
        <f t="shared" si="180"/>
        <v>0</v>
      </c>
      <c r="K1120" s="383">
        <v>173</v>
      </c>
      <c r="L1120" s="31"/>
      <c r="M1120" s="381">
        <f t="shared" si="181"/>
        <v>0</v>
      </c>
      <c r="N1120" s="383">
        <v>173</v>
      </c>
      <c r="O1120" s="32"/>
      <c r="P1120" s="381">
        <f t="shared" si="182"/>
        <v>0</v>
      </c>
      <c r="Q1120" s="383">
        <v>173</v>
      </c>
      <c r="R1120" s="32"/>
      <c r="S1120" s="25">
        <f t="shared" si="183"/>
        <v>0</v>
      </c>
      <c r="T1120" s="383">
        <v>173</v>
      </c>
      <c r="U1120" s="32"/>
      <c r="V1120" s="25">
        <f t="shared" si="186"/>
        <v>0</v>
      </c>
      <c r="W1120" s="32">
        <f t="shared" si="187"/>
        <v>173</v>
      </c>
      <c r="X1120" s="32">
        <f t="shared" si="184"/>
        <v>0</v>
      </c>
      <c r="Y1120" s="381">
        <f t="shared" si="185"/>
        <v>0</v>
      </c>
    </row>
    <row r="1121" spans="1:25" x14ac:dyDescent="0.2">
      <c r="A1121" s="24">
        <f t="shared" si="177"/>
        <v>13.19090595827292</v>
      </c>
      <c r="B1121" s="383">
        <v>174</v>
      </c>
      <c r="C1121" s="32"/>
      <c r="D1121" s="381">
        <f t="shared" si="178"/>
        <v>0</v>
      </c>
      <c r="E1121" s="383">
        <v>174</v>
      </c>
      <c r="F1121" s="8"/>
      <c r="G1121" s="381">
        <f t="shared" si="179"/>
        <v>0</v>
      </c>
      <c r="H1121" s="383">
        <v>174</v>
      </c>
      <c r="I1121" s="32"/>
      <c r="J1121" s="381">
        <f t="shared" si="180"/>
        <v>0</v>
      </c>
      <c r="K1121" s="383">
        <v>174</v>
      </c>
      <c r="L1121" s="31"/>
      <c r="M1121" s="381">
        <f t="shared" si="181"/>
        <v>0</v>
      </c>
      <c r="N1121" s="383">
        <v>174</v>
      </c>
      <c r="O1121" s="32"/>
      <c r="P1121" s="381">
        <f t="shared" si="182"/>
        <v>0</v>
      </c>
      <c r="Q1121" s="383">
        <v>174</v>
      </c>
      <c r="R1121" s="32"/>
      <c r="S1121" s="25">
        <f t="shared" si="183"/>
        <v>0</v>
      </c>
      <c r="T1121" s="383">
        <v>174</v>
      </c>
      <c r="U1121" s="32"/>
      <c r="V1121" s="25">
        <f t="shared" si="186"/>
        <v>0</v>
      </c>
      <c r="W1121" s="32">
        <f t="shared" si="187"/>
        <v>174</v>
      </c>
      <c r="X1121" s="32">
        <f t="shared" si="184"/>
        <v>0</v>
      </c>
      <c r="Y1121" s="381">
        <f t="shared" si="185"/>
        <v>0</v>
      </c>
    </row>
    <row r="1122" spans="1:25" x14ac:dyDescent="0.2">
      <c r="A1122" s="24">
        <f t="shared" si="177"/>
        <v>13.228126599535299</v>
      </c>
      <c r="B1122" s="383">
        <v>174.98333333333332</v>
      </c>
      <c r="C1122" s="32"/>
      <c r="D1122" s="381">
        <f t="shared" si="178"/>
        <v>0</v>
      </c>
      <c r="E1122" s="383">
        <v>174.98333333333332</v>
      </c>
      <c r="F1122" s="8"/>
      <c r="G1122" s="381">
        <f t="shared" si="179"/>
        <v>0</v>
      </c>
      <c r="H1122" s="383">
        <v>174.98333333333332</v>
      </c>
      <c r="I1122" s="32"/>
      <c r="J1122" s="381">
        <f t="shared" si="180"/>
        <v>0</v>
      </c>
      <c r="K1122" s="383">
        <v>174.98333333333332</v>
      </c>
      <c r="L1122" s="31"/>
      <c r="M1122" s="381">
        <f t="shared" si="181"/>
        <v>0</v>
      </c>
      <c r="N1122" s="383">
        <v>174.98333333333332</v>
      </c>
      <c r="O1122" s="32"/>
      <c r="P1122" s="381">
        <f t="shared" si="182"/>
        <v>0</v>
      </c>
      <c r="Q1122" s="383">
        <v>174.98333333333332</v>
      </c>
      <c r="R1122" s="32"/>
      <c r="S1122" s="25">
        <f t="shared" si="183"/>
        <v>0</v>
      </c>
      <c r="T1122" s="383">
        <v>174.98333333333332</v>
      </c>
      <c r="U1122" s="32"/>
      <c r="V1122" s="25">
        <f t="shared" si="186"/>
        <v>0</v>
      </c>
      <c r="W1122" s="32">
        <f t="shared" si="187"/>
        <v>174.98333333333332</v>
      </c>
      <c r="X1122" s="32">
        <f t="shared" si="184"/>
        <v>0</v>
      </c>
      <c r="Y1122" s="381">
        <f t="shared" si="185"/>
        <v>0</v>
      </c>
    </row>
    <row r="1123" spans="1:25" x14ac:dyDescent="0.2">
      <c r="A1123" s="24">
        <f t="shared" si="177"/>
        <v>13.265870997915414</v>
      </c>
      <c r="B1123" s="383">
        <v>175.98333333333332</v>
      </c>
      <c r="C1123" s="32"/>
      <c r="D1123" s="381">
        <f t="shared" si="178"/>
        <v>0</v>
      </c>
      <c r="E1123" s="383">
        <v>175.98333333333332</v>
      </c>
      <c r="F1123" s="8"/>
      <c r="G1123" s="381">
        <f t="shared" si="179"/>
        <v>0</v>
      </c>
      <c r="H1123" s="383">
        <v>175.98333333333332</v>
      </c>
      <c r="I1123" s="32"/>
      <c r="J1123" s="381">
        <f t="shared" si="180"/>
        <v>0</v>
      </c>
      <c r="K1123" s="383">
        <v>175.98333333333332</v>
      </c>
      <c r="L1123" s="31"/>
      <c r="M1123" s="381">
        <f t="shared" si="181"/>
        <v>0</v>
      </c>
      <c r="N1123" s="383">
        <v>175.98333333333332</v>
      </c>
      <c r="O1123" s="32"/>
      <c r="P1123" s="381">
        <f t="shared" si="182"/>
        <v>0</v>
      </c>
      <c r="Q1123" s="383">
        <v>175.98333333333332</v>
      </c>
      <c r="R1123" s="32"/>
      <c r="S1123" s="25">
        <f t="shared" si="183"/>
        <v>0</v>
      </c>
      <c r="T1123" s="383">
        <v>175.98333333333332</v>
      </c>
      <c r="U1123" s="32"/>
      <c r="V1123" s="25">
        <f t="shared" si="186"/>
        <v>0</v>
      </c>
      <c r="W1123" s="32">
        <f t="shared" si="187"/>
        <v>175.98333333333332</v>
      </c>
      <c r="X1123" s="32">
        <f t="shared" si="184"/>
        <v>0</v>
      </c>
      <c r="Y1123" s="381">
        <f t="shared" si="185"/>
        <v>0</v>
      </c>
    </row>
    <row r="1124" spans="1:25" x14ac:dyDescent="0.2">
      <c r="A1124" s="24">
        <f t="shared" si="177"/>
        <v>13.303508309214278</v>
      </c>
      <c r="B1124" s="383">
        <v>176.98333333333332</v>
      </c>
      <c r="C1124" s="32"/>
      <c r="D1124" s="381">
        <f t="shared" si="178"/>
        <v>0</v>
      </c>
      <c r="E1124" s="383">
        <v>176.98333333333332</v>
      </c>
      <c r="F1124" s="8"/>
      <c r="G1124" s="381">
        <f t="shared" si="179"/>
        <v>0</v>
      </c>
      <c r="H1124" s="383">
        <v>176.98333333333332</v>
      </c>
      <c r="I1124" s="32"/>
      <c r="J1124" s="381">
        <f t="shared" si="180"/>
        <v>0</v>
      </c>
      <c r="K1124" s="383">
        <v>176.98333333333332</v>
      </c>
      <c r="L1124" s="31"/>
      <c r="M1124" s="381">
        <f t="shared" si="181"/>
        <v>0</v>
      </c>
      <c r="N1124" s="383">
        <v>176.98333333333332</v>
      </c>
      <c r="O1124" s="32"/>
      <c r="P1124" s="381">
        <f t="shared" si="182"/>
        <v>0</v>
      </c>
      <c r="Q1124" s="383">
        <v>176.98333333333332</v>
      </c>
      <c r="R1124" s="32"/>
      <c r="S1124" s="25">
        <f t="shared" si="183"/>
        <v>0</v>
      </c>
      <c r="T1124" s="383">
        <v>176.98333333333332</v>
      </c>
      <c r="U1124" s="32"/>
      <c r="V1124" s="25">
        <f t="shared" si="186"/>
        <v>0</v>
      </c>
      <c r="W1124" s="32">
        <f t="shared" si="187"/>
        <v>176.98333333333332</v>
      </c>
      <c r="X1124" s="32">
        <f t="shared" si="184"/>
        <v>0</v>
      </c>
      <c r="Y1124" s="381">
        <f t="shared" si="185"/>
        <v>0</v>
      </c>
    </row>
    <row r="1125" spans="1:25" x14ac:dyDescent="0.2">
      <c r="A1125" s="24">
        <f t="shared" ref="A1125:A1188" si="188">SQRT(B1125)</f>
        <v>13.341039439763804</v>
      </c>
      <c r="B1125" s="383">
        <v>177.98333333333332</v>
      </c>
      <c r="C1125" s="32"/>
      <c r="D1125" s="381">
        <f t="shared" si="178"/>
        <v>0</v>
      </c>
      <c r="E1125" s="383">
        <v>177.98333333333332</v>
      </c>
      <c r="F1125" s="8"/>
      <c r="G1125" s="381">
        <f t="shared" si="179"/>
        <v>0</v>
      </c>
      <c r="H1125" s="383">
        <v>177.98333333333332</v>
      </c>
      <c r="I1125" s="32"/>
      <c r="J1125" s="381">
        <f t="shared" si="180"/>
        <v>0</v>
      </c>
      <c r="K1125" s="383">
        <v>177.98333333333332</v>
      </c>
      <c r="L1125" s="31"/>
      <c r="M1125" s="381">
        <f t="shared" si="181"/>
        <v>0</v>
      </c>
      <c r="N1125" s="383">
        <v>177.98333333333332</v>
      </c>
      <c r="O1125" s="32"/>
      <c r="P1125" s="381">
        <f t="shared" si="182"/>
        <v>0</v>
      </c>
      <c r="Q1125" s="383">
        <v>177.98333333333332</v>
      </c>
      <c r="R1125" s="32"/>
      <c r="S1125" s="25">
        <f t="shared" si="183"/>
        <v>0</v>
      </c>
      <c r="T1125" s="383">
        <v>177.98333333333332</v>
      </c>
      <c r="U1125" s="32"/>
      <c r="V1125" s="25">
        <f t="shared" si="186"/>
        <v>0</v>
      </c>
      <c r="W1125" s="32">
        <f t="shared" si="187"/>
        <v>177.98333333333332</v>
      </c>
      <c r="X1125" s="32">
        <f t="shared" si="184"/>
        <v>0</v>
      </c>
      <c r="Y1125" s="381">
        <f t="shared" si="185"/>
        <v>0</v>
      </c>
    </row>
    <row r="1126" spans="1:25" x14ac:dyDescent="0.2">
      <c r="A1126" s="24">
        <f t="shared" si="188"/>
        <v>13.379088160259652</v>
      </c>
      <c r="B1126" s="383">
        <v>179</v>
      </c>
      <c r="C1126" s="32"/>
      <c r="D1126" s="381">
        <f t="shared" si="178"/>
        <v>0</v>
      </c>
      <c r="E1126" s="383">
        <v>179</v>
      </c>
      <c r="F1126" s="8"/>
      <c r="G1126" s="381">
        <f t="shared" si="179"/>
        <v>0</v>
      </c>
      <c r="H1126" s="383">
        <v>179</v>
      </c>
      <c r="I1126" s="32"/>
      <c r="J1126" s="381">
        <f t="shared" si="180"/>
        <v>0</v>
      </c>
      <c r="K1126" s="383">
        <v>179</v>
      </c>
      <c r="L1126" s="31"/>
      <c r="M1126" s="381">
        <f t="shared" si="181"/>
        <v>0</v>
      </c>
      <c r="N1126" s="383">
        <v>179</v>
      </c>
      <c r="O1126" s="32"/>
      <c r="P1126" s="381">
        <f t="shared" si="182"/>
        <v>0</v>
      </c>
      <c r="Q1126" s="383">
        <v>179</v>
      </c>
      <c r="R1126" s="32"/>
      <c r="S1126" s="25">
        <f t="shared" si="183"/>
        <v>0</v>
      </c>
      <c r="T1126" s="383">
        <v>179</v>
      </c>
      <c r="U1126" s="32"/>
      <c r="V1126" s="25">
        <f t="shared" si="186"/>
        <v>0</v>
      </c>
      <c r="W1126" s="32">
        <f t="shared" si="187"/>
        <v>179</v>
      </c>
      <c r="X1126" s="32">
        <f t="shared" si="184"/>
        <v>0</v>
      </c>
      <c r="Y1126" s="381">
        <f t="shared" si="185"/>
        <v>0</v>
      </c>
    </row>
    <row r="1127" spans="1:25" x14ac:dyDescent="0.2">
      <c r="A1127" s="24">
        <f t="shared" si="188"/>
        <v>13.416407864998739</v>
      </c>
      <c r="B1127" s="383">
        <v>180</v>
      </c>
      <c r="C1127" s="32"/>
      <c r="D1127" s="381">
        <f t="shared" si="178"/>
        <v>0</v>
      </c>
      <c r="E1127" s="383">
        <v>180</v>
      </c>
      <c r="F1127" s="8"/>
      <c r="G1127" s="381">
        <f t="shared" si="179"/>
        <v>0</v>
      </c>
      <c r="H1127" s="383">
        <v>180</v>
      </c>
      <c r="I1127" s="32"/>
      <c r="J1127" s="381">
        <f t="shared" si="180"/>
        <v>0</v>
      </c>
      <c r="K1127" s="383">
        <v>180</v>
      </c>
      <c r="L1127" s="31"/>
      <c r="M1127" s="381">
        <f t="shared" si="181"/>
        <v>0</v>
      </c>
      <c r="N1127" s="383">
        <v>180</v>
      </c>
      <c r="O1127" s="32"/>
      <c r="P1127" s="381">
        <f t="shared" si="182"/>
        <v>0</v>
      </c>
      <c r="Q1127" s="383">
        <v>180</v>
      </c>
      <c r="R1127" s="32"/>
      <c r="S1127" s="25">
        <f t="shared" si="183"/>
        <v>0</v>
      </c>
      <c r="T1127" s="383">
        <v>180</v>
      </c>
      <c r="U1127" s="32"/>
      <c r="V1127" s="25">
        <f t="shared" si="186"/>
        <v>0</v>
      </c>
      <c r="W1127" s="32">
        <f t="shared" si="187"/>
        <v>180</v>
      </c>
      <c r="X1127" s="32">
        <f t="shared" si="184"/>
        <v>0</v>
      </c>
      <c r="Y1127" s="381">
        <f t="shared" si="185"/>
        <v>0</v>
      </c>
    </row>
    <row r="1128" spans="1:25" x14ac:dyDescent="0.2">
      <c r="A1128" s="24">
        <f t="shared" si="188"/>
        <v>13.416407864998739</v>
      </c>
      <c r="B1128" s="383">
        <v>180</v>
      </c>
      <c r="C1128" s="32"/>
      <c r="D1128" s="381">
        <f t="shared" si="178"/>
        <v>0</v>
      </c>
      <c r="E1128" s="383">
        <v>180</v>
      </c>
      <c r="F1128" s="8"/>
      <c r="G1128" s="381">
        <f t="shared" si="179"/>
        <v>0</v>
      </c>
      <c r="H1128" s="383">
        <v>180</v>
      </c>
      <c r="I1128" s="32"/>
      <c r="J1128" s="381">
        <f t="shared" si="180"/>
        <v>0</v>
      </c>
      <c r="K1128" s="383">
        <v>180</v>
      </c>
      <c r="L1128" s="31"/>
      <c r="M1128" s="381">
        <f t="shared" si="181"/>
        <v>0</v>
      </c>
      <c r="N1128" s="383">
        <v>180</v>
      </c>
      <c r="O1128" s="32"/>
      <c r="P1128" s="381">
        <f t="shared" si="182"/>
        <v>0</v>
      </c>
      <c r="Q1128" s="383">
        <v>180</v>
      </c>
      <c r="R1128" s="32"/>
      <c r="S1128" s="25">
        <f t="shared" si="183"/>
        <v>0</v>
      </c>
      <c r="T1128" s="383">
        <v>180</v>
      </c>
      <c r="U1128" s="32"/>
      <c r="V1128" s="25">
        <f t="shared" si="186"/>
        <v>0</v>
      </c>
      <c r="W1128" s="32">
        <f t="shared" si="187"/>
        <v>180</v>
      </c>
      <c r="X1128" s="32">
        <f t="shared" si="184"/>
        <v>0</v>
      </c>
      <c r="Y1128" s="381">
        <f t="shared" si="185"/>
        <v>0</v>
      </c>
    </row>
    <row r="1129" spans="1:25" x14ac:dyDescent="0.2">
      <c r="A1129" s="24">
        <f t="shared" si="188"/>
        <v>13.600245095830688</v>
      </c>
      <c r="B1129" s="383">
        <v>184.96666666666667</v>
      </c>
      <c r="C1129" s="32"/>
      <c r="D1129" s="381">
        <f t="shared" si="178"/>
        <v>0</v>
      </c>
      <c r="E1129" s="383">
        <v>184.96666666666667</v>
      </c>
      <c r="F1129" s="8"/>
      <c r="G1129" s="381">
        <f t="shared" si="179"/>
        <v>0</v>
      </c>
      <c r="H1129" s="383">
        <v>184.96666666666667</v>
      </c>
      <c r="I1129" s="32"/>
      <c r="J1129" s="381">
        <f t="shared" si="180"/>
        <v>0</v>
      </c>
      <c r="K1129" s="383">
        <v>184.96666666666667</v>
      </c>
      <c r="L1129" s="31"/>
      <c r="M1129" s="381">
        <f t="shared" si="181"/>
        <v>0</v>
      </c>
      <c r="N1129" s="383">
        <v>184.96666666666667</v>
      </c>
      <c r="O1129" s="32"/>
      <c r="P1129" s="381">
        <f t="shared" si="182"/>
        <v>0</v>
      </c>
      <c r="Q1129" s="383">
        <v>184.96666666666667</v>
      </c>
      <c r="R1129" s="32"/>
      <c r="S1129" s="25">
        <f t="shared" si="183"/>
        <v>0</v>
      </c>
      <c r="T1129" s="383">
        <v>184.96666666666667</v>
      </c>
      <c r="U1129" s="32"/>
      <c r="V1129" s="25">
        <f t="shared" si="186"/>
        <v>0</v>
      </c>
      <c r="W1129" s="32">
        <f t="shared" si="187"/>
        <v>184.96666666666667</v>
      </c>
      <c r="X1129" s="32">
        <f t="shared" si="184"/>
        <v>0</v>
      </c>
      <c r="Y1129" s="381">
        <f t="shared" si="185"/>
        <v>0</v>
      </c>
    </row>
    <row r="1130" spans="1:25" x14ac:dyDescent="0.2">
      <c r="A1130" s="24">
        <f t="shared" si="188"/>
        <v>13.782839571970163</v>
      </c>
      <c r="B1130" s="383">
        <v>189.96666666666667</v>
      </c>
      <c r="C1130" s="32"/>
      <c r="D1130" s="381">
        <f t="shared" si="178"/>
        <v>0</v>
      </c>
      <c r="E1130" s="383">
        <v>189.96666666666667</v>
      </c>
      <c r="F1130" s="8"/>
      <c r="G1130" s="381">
        <f t="shared" si="179"/>
        <v>0</v>
      </c>
      <c r="H1130" s="383">
        <v>189.96666666666667</v>
      </c>
      <c r="I1130" s="32"/>
      <c r="J1130" s="381">
        <f t="shared" si="180"/>
        <v>0</v>
      </c>
      <c r="K1130" s="383">
        <v>189.96666666666667</v>
      </c>
      <c r="L1130" s="31"/>
      <c r="M1130" s="381">
        <f t="shared" si="181"/>
        <v>0</v>
      </c>
      <c r="N1130" s="383">
        <v>189.96666666666667</v>
      </c>
      <c r="O1130" s="32"/>
      <c r="P1130" s="381">
        <f t="shared" si="182"/>
        <v>0</v>
      </c>
      <c r="Q1130" s="383">
        <v>189.96666666666667</v>
      </c>
      <c r="R1130" s="32"/>
      <c r="S1130" s="25">
        <f t="shared" si="183"/>
        <v>0</v>
      </c>
      <c r="T1130" s="383">
        <v>189.96666666666667</v>
      </c>
      <c r="U1130" s="32"/>
      <c r="V1130" s="25">
        <f t="shared" si="186"/>
        <v>0</v>
      </c>
      <c r="W1130" s="32">
        <f t="shared" si="187"/>
        <v>189.96666666666667</v>
      </c>
      <c r="X1130" s="32">
        <f t="shared" si="184"/>
        <v>0</v>
      </c>
      <c r="Y1130" s="381">
        <f t="shared" si="185"/>
        <v>0</v>
      </c>
    </row>
    <row r="1131" spans="1:25" x14ac:dyDescent="0.2">
      <c r="A1131" s="24">
        <f t="shared" si="188"/>
        <v>13.963643268622029</v>
      </c>
      <c r="B1131" s="383">
        <v>194.98333333333332</v>
      </c>
      <c r="C1131" s="32"/>
      <c r="D1131" s="381">
        <f t="shared" si="178"/>
        <v>0</v>
      </c>
      <c r="E1131" s="383">
        <v>194.98333333333332</v>
      </c>
      <c r="F1131" s="8"/>
      <c r="G1131" s="381">
        <f t="shared" si="179"/>
        <v>0</v>
      </c>
      <c r="H1131" s="383">
        <v>194.98333333333332</v>
      </c>
      <c r="I1131" s="32"/>
      <c r="J1131" s="381">
        <f t="shared" si="180"/>
        <v>0</v>
      </c>
      <c r="K1131" s="383">
        <v>194.98333333333332</v>
      </c>
      <c r="L1131" s="31"/>
      <c r="M1131" s="381">
        <f t="shared" si="181"/>
        <v>0</v>
      </c>
      <c r="N1131" s="383">
        <v>194.98333333333332</v>
      </c>
      <c r="O1131" s="32"/>
      <c r="P1131" s="381">
        <f t="shared" si="182"/>
        <v>0</v>
      </c>
      <c r="Q1131" s="383">
        <v>194.98333333333332</v>
      </c>
      <c r="R1131" s="32"/>
      <c r="S1131" s="25">
        <f t="shared" si="183"/>
        <v>0</v>
      </c>
      <c r="T1131" s="383">
        <v>194.98333333333332</v>
      </c>
      <c r="U1131" s="32"/>
      <c r="V1131" s="25">
        <f t="shared" si="186"/>
        <v>0</v>
      </c>
      <c r="W1131" s="32">
        <f t="shared" si="187"/>
        <v>194.98333333333332</v>
      </c>
      <c r="X1131" s="32">
        <f t="shared" si="184"/>
        <v>0</v>
      </c>
      <c r="Y1131" s="381">
        <f t="shared" si="185"/>
        <v>0</v>
      </c>
    </row>
    <row r="1132" spans="1:25" x14ac:dyDescent="0.2">
      <c r="A1132" s="24">
        <f t="shared" si="188"/>
        <v>14.140957063320243</v>
      </c>
      <c r="B1132" s="383">
        <v>199.96666666666667</v>
      </c>
      <c r="C1132" s="32"/>
      <c r="D1132" s="381">
        <f t="shared" si="178"/>
        <v>0</v>
      </c>
      <c r="E1132" s="383">
        <v>199.96666666666667</v>
      </c>
      <c r="F1132" s="8"/>
      <c r="G1132" s="381">
        <f t="shared" si="179"/>
        <v>0</v>
      </c>
      <c r="H1132" s="383">
        <v>199.96666666666667</v>
      </c>
      <c r="I1132" s="32"/>
      <c r="J1132" s="381">
        <f t="shared" si="180"/>
        <v>0</v>
      </c>
      <c r="K1132" s="383">
        <v>199.96666666666667</v>
      </c>
      <c r="L1132" s="31"/>
      <c r="M1132" s="381">
        <f t="shared" si="181"/>
        <v>0</v>
      </c>
      <c r="N1132" s="383">
        <v>199.96666666666667</v>
      </c>
      <c r="O1132" s="32"/>
      <c r="P1132" s="381">
        <f t="shared" si="182"/>
        <v>0</v>
      </c>
      <c r="Q1132" s="383">
        <v>199.96666666666667</v>
      </c>
      <c r="R1132" s="32"/>
      <c r="S1132" s="25">
        <f t="shared" si="183"/>
        <v>0</v>
      </c>
      <c r="T1132" s="383">
        <v>199.96666666666667</v>
      </c>
      <c r="U1132" s="32"/>
      <c r="V1132" s="25">
        <f t="shared" si="186"/>
        <v>0</v>
      </c>
      <c r="W1132" s="32">
        <f t="shared" si="187"/>
        <v>199.96666666666667</v>
      </c>
      <c r="X1132" s="32">
        <f t="shared" si="184"/>
        <v>0</v>
      </c>
      <c r="Y1132" s="381">
        <f t="shared" si="185"/>
        <v>0</v>
      </c>
    </row>
    <row r="1133" spans="1:25" x14ac:dyDescent="0.2">
      <c r="A1133" s="24">
        <f t="shared" si="188"/>
        <v>14.31665696546043</v>
      </c>
      <c r="B1133" s="383">
        <v>204.96666666666667</v>
      </c>
      <c r="C1133" s="32"/>
      <c r="D1133" s="381">
        <f t="shared" si="178"/>
        <v>0</v>
      </c>
      <c r="E1133" s="383">
        <v>204.96666666666667</v>
      </c>
      <c r="F1133" s="8"/>
      <c r="G1133" s="381">
        <f t="shared" si="179"/>
        <v>0</v>
      </c>
      <c r="H1133" s="383">
        <v>204.96666666666667</v>
      </c>
      <c r="I1133" s="32"/>
      <c r="J1133" s="381">
        <f t="shared" si="180"/>
        <v>0</v>
      </c>
      <c r="K1133" s="383">
        <v>204.96666666666667</v>
      </c>
      <c r="L1133" s="31"/>
      <c r="M1133" s="381">
        <f t="shared" si="181"/>
        <v>0</v>
      </c>
      <c r="N1133" s="383">
        <v>204.96666666666667</v>
      </c>
      <c r="O1133" s="32"/>
      <c r="P1133" s="381">
        <f t="shared" si="182"/>
        <v>0</v>
      </c>
      <c r="Q1133" s="383">
        <v>204.96666666666667</v>
      </c>
      <c r="R1133" s="32"/>
      <c r="S1133" s="25">
        <f t="shared" si="183"/>
        <v>0</v>
      </c>
      <c r="T1133" s="383">
        <v>204.96666666666667</v>
      </c>
      <c r="U1133" s="32"/>
      <c r="V1133" s="25">
        <f t="shared" si="186"/>
        <v>0</v>
      </c>
      <c r="W1133" s="32">
        <f t="shared" si="187"/>
        <v>204.96666666666667</v>
      </c>
      <c r="X1133" s="32">
        <f t="shared" si="184"/>
        <v>0</v>
      </c>
      <c r="Y1133" s="381">
        <f t="shared" si="185"/>
        <v>0</v>
      </c>
    </row>
    <row r="1134" spans="1:25" x14ac:dyDescent="0.2">
      <c r="A1134" s="24">
        <f t="shared" si="188"/>
        <v>14.490801680146387</v>
      </c>
      <c r="B1134" s="383">
        <v>209.98333333333332</v>
      </c>
      <c r="C1134" s="32"/>
      <c r="D1134" s="381">
        <f t="shared" si="178"/>
        <v>0</v>
      </c>
      <c r="E1134" s="383">
        <v>209.98333333333332</v>
      </c>
      <c r="F1134" s="8"/>
      <c r="G1134" s="381">
        <f t="shared" si="179"/>
        <v>0</v>
      </c>
      <c r="H1134" s="383">
        <v>209.98333333333332</v>
      </c>
      <c r="I1134" s="32"/>
      <c r="J1134" s="381">
        <f t="shared" si="180"/>
        <v>0</v>
      </c>
      <c r="K1134" s="383">
        <v>209.98333333333332</v>
      </c>
      <c r="L1134" s="31"/>
      <c r="M1134" s="381">
        <f t="shared" si="181"/>
        <v>0</v>
      </c>
      <c r="N1134" s="383">
        <v>209.98333333333332</v>
      </c>
      <c r="O1134" s="32"/>
      <c r="P1134" s="381">
        <f t="shared" si="182"/>
        <v>0</v>
      </c>
      <c r="Q1134" s="383">
        <v>209.98333333333332</v>
      </c>
      <c r="R1134" s="32"/>
      <c r="S1134" s="25">
        <f t="shared" si="183"/>
        <v>0</v>
      </c>
      <c r="T1134" s="383">
        <v>209.98333333333332</v>
      </c>
      <c r="U1134" s="32"/>
      <c r="V1134" s="25">
        <f t="shared" si="186"/>
        <v>0</v>
      </c>
      <c r="W1134" s="32">
        <f t="shared" si="187"/>
        <v>209.98333333333332</v>
      </c>
      <c r="X1134" s="32">
        <f t="shared" si="184"/>
        <v>0</v>
      </c>
      <c r="Y1134" s="381">
        <f t="shared" si="185"/>
        <v>0</v>
      </c>
    </row>
    <row r="1135" spans="1:25" x14ac:dyDescent="0.2">
      <c r="A1135" s="24">
        <f t="shared" si="188"/>
        <v>14.661741597322832</v>
      </c>
      <c r="B1135" s="383">
        <v>214.96666666666667</v>
      </c>
      <c r="C1135" s="32"/>
      <c r="D1135" s="381">
        <f t="shared" si="178"/>
        <v>0</v>
      </c>
      <c r="E1135" s="383">
        <v>214.96666666666667</v>
      </c>
      <c r="F1135" s="8"/>
      <c r="G1135" s="381">
        <f t="shared" si="179"/>
        <v>0</v>
      </c>
      <c r="H1135" s="383">
        <v>214.96666666666667</v>
      </c>
      <c r="I1135" s="32"/>
      <c r="J1135" s="381">
        <f t="shared" si="180"/>
        <v>0</v>
      </c>
      <c r="K1135" s="383">
        <v>214.96666666666667</v>
      </c>
      <c r="L1135" s="31"/>
      <c r="M1135" s="381">
        <f t="shared" si="181"/>
        <v>0</v>
      </c>
      <c r="N1135" s="383">
        <v>214.96666666666667</v>
      </c>
      <c r="O1135" s="32"/>
      <c r="P1135" s="381">
        <f t="shared" si="182"/>
        <v>0</v>
      </c>
      <c r="Q1135" s="383">
        <v>214.96666666666667</v>
      </c>
      <c r="R1135" s="32"/>
      <c r="S1135" s="25">
        <f t="shared" si="183"/>
        <v>0</v>
      </c>
      <c r="T1135" s="383">
        <v>214.96666666666667</v>
      </c>
      <c r="U1135" s="32"/>
      <c r="V1135" s="25">
        <f t="shared" si="186"/>
        <v>0</v>
      </c>
      <c r="W1135" s="32">
        <f t="shared" si="187"/>
        <v>214.96666666666667</v>
      </c>
      <c r="X1135" s="32">
        <f t="shared" si="184"/>
        <v>0</v>
      </c>
      <c r="Y1135" s="381">
        <f t="shared" si="185"/>
        <v>0</v>
      </c>
    </row>
    <row r="1136" spans="1:25" x14ac:dyDescent="0.2">
      <c r="A1136" s="24">
        <f t="shared" si="188"/>
        <v>14.831273265187539</v>
      </c>
      <c r="B1136" s="383">
        <v>219.96666666666667</v>
      </c>
      <c r="C1136" s="32"/>
      <c r="D1136" s="381">
        <f t="shared" si="178"/>
        <v>0</v>
      </c>
      <c r="E1136" s="383">
        <v>219.96666666666667</v>
      </c>
      <c r="F1136" s="8"/>
      <c r="G1136" s="381">
        <f t="shared" si="179"/>
        <v>0</v>
      </c>
      <c r="H1136" s="383">
        <v>219.96666666666667</v>
      </c>
      <c r="I1136" s="32"/>
      <c r="J1136" s="381">
        <f t="shared" si="180"/>
        <v>0</v>
      </c>
      <c r="K1136" s="383">
        <v>219.96666666666667</v>
      </c>
      <c r="L1136" s="31"/>
      <c r="M1136" s="381">
        <f t="shared" si="181"/>
        <v>0</v>
      </c>
      <c r="N1136" s="383">
        <v>219.96666666666667</v>
      </c>
      <c r="O1136" s="32"/>
      <c r="P1136" s="381">
        <f t="shared" si="182"/>
        <v>0</v>
      </c>
      <c r="Q1136" s="383">
        <v>219.96666666666667</v>
      </c>
      <c r="R1136" s="32"/>
      <c r="S1136" s="25">
        <f t="shared" si="183"/>
        <v>0</v>
      </c>
      <c r="T1136" s="383">
        <v>219.96666666666667</v>
      </c>
      <c r="U1136" s="32"/>
      <c r="V1136" s="25">
        <f t="shared" si="186"/>
        <v>0</v>
      </c>
      <c r="W1136" s="32">
        <f t="shared" si="187"/>
        <v>219.96666666666667</v>
      </c>
      <c r="X1136" s="32">
        <f t="shared" si="184"/>
        <v>0</v>
      </c>
      <c r="Y1136" s="381">
        <f t="shared" si="185"/>
        <v>0</v>
      </c>
    </row>
    <row r="1137" spans="1:25" x14ac:dyDescent="0.2">
      <c r="A1137" s="24">
        <f t="shared" si="188"/>
        <v>14.999444434155997</v>
      </c>
      <c r="B1137" s="383">
        <v>224.98333333333332</v>
      </c>
      <c r="C1137" s="32"/>
      <c r="D1137" s="381">
        <f t="shared" si="178"/>
        <v>0</v>
      </c>
      <c r="E1137" s="383">
        <v>224.98333333333332</v>
      </c>
      <c r="F1137" s="8"/>
      <c r="G1137" s="381">
        <f t="shared" si="179"/>
        <v>0</v>
      </c>
      <c r="H1137" s="383">
        <v>224.98333333333332</v>
      </c>
      <c r="I1137" s="32"/>
      <c r="J1137" s="381">
        <f t="shared" si="180"/>
        <v>0</v>
      </c>
      <c r="K1137" s="383">
        <v>224.98333333333332</v>
      </c>
      <c r="L1137" s="31"/>
      <c r="M1137" s="381">
        <f t="shared" si="181"/>
        <v>0</v>
      </c>
      <c r="N1137" s="383">
        <v>224.98333333333332</v>
      </c>
      <c r="O1137" s="32"/>
      <c r="P1137" s="381">
        <f t="shared" si="182"/>
        <v>0</v>
      </c>
      <c r="Q1137" s="383">
        <v>224.98333333333332</v>
      </c>
      <c r="R1137" s="32"/>
      <c r="S1137" s="25">
        <f t="shared" si="183"/>
        <v>0</v>
      </c>
      <c r="T1137" s="383">
        <v>224.98333333333332</v>
      </c>
      <c r="U1137" s="32"/>
      <c r="V1137" s="25">
        <f t="shared" si="186"/>
        <v>0</v>
      </c>
      <c r="W1137" s="32">
        <f t="shared" si="187"/>
        <v>224.98333333333332</v>
      </c>
      <c r="X1137" s="32">
        <f t="shared" si="184"/>
        <v>0</v>
      </c>
      <c r="Y1137" s="381">
        <f t="shared" si="185"/>
        <v>0</v>
      </c>
    </row>
    <row r="1138" spans="1:25" x14ac:dyDescent="0.2">
      <c r="A1138" s="24">
        <f t="shared" si="188"/>
        <v>15.165201394420494</v>
      </c>
      <c r="B1138" s="383">
        <v>229.98333333333332</v>
      </c>
      <c r="C1138" s="32"/>
      <c r="D1138" s="381">
        <f t="shared" si="178"/>
        <v>0</v>
      </c>
      <c r="E1138" s="383">
        <v>229.98333333333332</v>
      </c>
      <c r="F1138" s="8"/>
      <c r="G1138" s="381">
        <f t="shared" si="179"/>
        <v>0</v>
      </c>
      <c r="H1138" s="383">
        <v>229.98333333333332</v>
      </c>
      <c r="I1138" s="32"/>
      <c r="J1138" s="381">
        <f t="shared" si="180"/>
        <v>0</v>
      </c>
      <c r="K1138" s="383">
        <v>229.98333333333332</v>
      </c>
      <c r="L1138" s="31"/>
      <c r="M1138" s="381">
        <f t="shared" si="181"/>
        <v>0</v>
      </c>
      <c r="N1138" s="383">
        <v>229.98333333333332</v>
      </c>
      <c r="O1138" s="32"/>
      <c r="P1138" s="381">
        <f t="shared" si="182"/>
        <v>0</v>
      </c>
      <c r="Q1138" s="383">
        <v>229.98333333333332</v>
      </c>
      <c r="R1138" s="32"/>
      <c r="S1138" s="25">
        <f t="shared" si="183"/>
        <v>0</v>
      </c>
      <c r="T1138" s="383">
        <v>229.98333333333332</v>
      </c>
      <c r="U1138" s="32"/>
      <c r="V1138" s="25">
        <f t="shared" si="186"/>
        <v>0</v>
      </c>
      <c r="W1138" s="32">
        <f t="shared" si="187"/>
        <v>229.98333333333332</v>
      </c>
      <c r="X1138" s="32">
        <f t="shared" si="184"/>
        <v>0</v>
      </c>
      <c r="Y1138" s="381">
        <f t="shared" si="185"/>
        <v>0</v>
      </c>
    </row>
    <row r="1139" spans="1:25" x14ac:dyDescent="0.2">
      <c r="A1139" s="24">
        <f t="shared" si="188"/>
        <v>15.328622464744399</v>
      </c>
      <c r="B1139" s="383">
        <v>234.96666666666667</v>
      </c>
      <c r="C1139" s="32"/>
      <c r="D1139" s="381">
        <f t="shared" si="178"/>
        <v>0</v>
      </c>
      <c r="E1139" s="383">
        <v>234.96666666666667</v>
      </c>
      <c r="F1139" s="8"/>
      <c r="G1139" s="381">
        <f t="shared" si="179"/>
        <v>0</v>
      </c>
      <c r="H1139" s="383">
        <v>234.96666666666667</v>
      </c>
      <c r="I1139" s="32"/>
      <c r="J1139" s="381">
        <f t="shared" si="180"/>
        <v>0</v>
      </c>
      <c r="K1139" s="383">
        <v>234.96666666666667</v>
      </c>
      <c r="L1139" s="31"/>
      <c r="M1139" s="381">
        <f t="shared" si="181"/>
        <v>0</v>
      </c>
      <c r="N1139" s="383">
        <v>234.96666666666667</v>
      </c>
      <c r="O1139" s="32"/>
      <c r="P1139" s="381">
        <f t="shared" si="182"/>
        <v>0</v>
      </c>
      <c r="Q1139" s="383">
        <v>234.96666666666667</v>
      </c>
      <c r="R1139" s="32"/>
      <c r="S1139" s="25">
        <f t="shared" si="183"/>
        <v>0</v>
      </c>
      <c r="T1139" s="383">
        <v>234.96666666666667</v>
      </c>
      <c r="U1139" s="32"/>
      <c r="V1139" s="25">
        <f t="shared" si="186"/>
        <v>0</v>
      </c>
      <c r="W1139" s="32">
        <f t="shared" si="187"/>
        <v>234.96666666666667</v>
      </c>
      <c r="X1139" s="32">
        <f t="shared" si="184"/>
        <v>0</v>
      </c>
      <c r="Y1139" s="381">
        <f t="shared" si="185"/>
        <v>0</v>
      </c>
    </row>
    <row r="1140" spans="1:25" x14ac:dyDescent="0.2">
      <c r="A1140" s="24">
        <f t="shared" si="188"/>
        <v>15.49085751876463</v>
      </c>
      <c r="B1140" s="383">
        <v>239.96666666666667</v>
      </c>
      <c r="C1140" s="32"/>
      <c r="D1140" s="381">
        <f t="shared" si="178"/>
        <v>0</v>
      </c>
      <c r="E1140" s="383">
        <v>239.96666666666667</v>
      </c>
      <c r="F1140" s="8"/>
      <c r="G1140" s="381">
        <f t="shared" si="179"/>
        <v>0</v>
      </c>
      <c r="H1140" s="383">
        <v>239.96666666666667</v>
      </c>
      <c r="I1140" s="32"/>
      <c r="J1140" s="381">
        <f t="shared" si="180"/>
        <v>0</v>
      </c>
      <c r="K1140" s="383">
        <v>239.96666666666667</v>
      </c>
      <c r="L1140" s="31"/>
      <c r="M1140" s="381">
        <f t="shared" si="181"/>
        <v>0</v>
      </c>
      <c r="N1140" s="383">
        <v>239.96666666666667</v>
      </c>
      <c r="O1140" s="32"/>
      <c r="P1140" s="381">
        <f t="shared" si="182"/>
        <v>0</v>
      </c>
      <c r="Q1140" s="383">
        <v>239.96666666666667</v>
      </c>
      <c r="R1140" s="32"/>
      <c r="S1140" s="25">
        <f t="shared" si="183"/>
        <v>0</v>
      </c>
      <c r="T1140" s="383">
        <v>239.96666666666667</v>
      </c>
      <c r="U1140" s="32"/>
      <c r="V1140" s="25">
        <f t="shared" si="186"/>
        <v>0</v>
      </c>
      <c r="W1140" s="32">
        <f t="shared" si="187"/>
        <v>239.96666666666667</v>
      </c>
      <c r="X1140" s="32">
        <f t="shared" si="184"/>
        <v>0</v>
      </c>
      <c r="Y1140" s="381">
        <f t="shared" si="185"/>
        <v>0</v>
      </c>
    </row>
    <row r="1141" spans="1:25" x14ac:dyDescent="0.2">
      <c r="A1141" s="24">
        <f t="shared" si="188"/>
        <v>15.651943436306347</v>
      </c>
      <c r="B1141" s="383">
        <v>244.98333333333332</v>
      </c>
      <c r="C1141" s="32"/>
      <c r="D1141" s="381">
        <f t="shared" si="178"/>
        <v>0</v>
      </c>
      <c r="E1141" s="383">
        <v>244.98333333333332</v>
      </c>
      <c r="F1141" s="8"/>
      <c r="G1141" s="381">
        <f t="shared" si="179"/>
        <v>0</v>
      </c>
      <c r="H1141" s="383">
        <v>244.98333333333332</v>
      </c>
      <c r="I1141" s="32"/>
      <c r="J1141" s="381">
        <f t="shared" si="180"/>
        <v>0</v>
      </c>
      <c r="K1141" s="383">
        <v>244.98333333333332</v>
      </c>
      <c r="L1141" s="31"/>
      <c r="M1141" s="381">
        <f t="shared" si="181"/>
        <v>0</v>
      </c>
      <c r="N1141" s="383">
        <v>244.98333333333332</v>
      </c>
      <c r="O1141" s="32"/>
      <c r="P1141" s="381">
        <f t="shared" si="182"/>
        <v>0</v>
      </c>
      <c r="Q1141" s="383">
        <v>244.98333333333332</v>
      </c>
      <c r="R1141" s="32"/>
      <c r="S1141" s="25">
        <f t="shared" si="183"/>
        <v>0</v>
      </c>
      <c r="T1141" s="383">
        <v>244.98333333333332</v>
      </c>
      <c r="U1141" s="32"/>
      <c r="V1141" s="25">
        <f t="shared" si="186"/>
        <v>0</v>
      </c>
      <c r="W1141" s="32">
        <f t="shared" si="187"/>
        <v>244.98333333333332</v>
      </c>
      <c r="X1141" s="32">
        <f t="shared" si="184"/>
        <v>0</v>
      </c>
      <c r="Y1141" s="381">
        <f t="shared" si="185"/>
        <v>0</v>
      </c>
    </row>
    <row r="1142" spans="1:25" x14ac:dyDescent="0.2">
      <c r="A1142" s="24">
        <f t="shared" si="188"/>
        <v>15.810334173149746</v>
      </c>
      <c r="B1142" s="383">
        <v>249.96666666666667</v>
      </c>
      <c r="C1142" s="32"/>
      <c r="D1142" s="381">
        <f t="shared" si="178"/>
        <v>0</v>
      </c>
      <c r="E1142" s="383">
        <v>249.96666666666667</v>
      </c>
      <c r="F1142" s="8"/>
      <c r="G1142" s="381">
        <f t="shared" si="179"/>
        <v>0</v>
      </c>
      <c r="H1142" s="383">
        <v>249.96666666666667</v>
      </c>
      <c r="I1142" s="32"/>
      <c r="J1142" s="381">
        <f t="shared" si="180"/>
        <v>0</v>
      </c>
      <c r="K1142" s="383">
        <v>249.96666666666667</v>
      </c>
      <c r="L1142" s="31"/>
      <c r="M1142" s="381">
        <f t="shared" si="181"/>
        <v>0</v>
      </c>
      <c r="N1142" s="383">
        <v>249.96666666666667</v>
      </c>
      <c r="O1142" s="32"/>
      <c r="P1142" s="381">
        <f t="shared" si="182"/>
        <v>0</v>
      </c>
      <c r="Q1142" s="383">
        <v>249.96666666666667</v>
      </c>
      <c r="R1142" s="32"/>
      <c r="S1142" s="25">
        <f t="shared" si="183"/>
        <v>0</v>
      </c>
      <c r="T1142" s="383">
        <v>249.96666666666667</v>
      </c>
      <c r="U1142" s="32"/>
      <c r="V1142" s="25">
        <f t="shared" si="186"/>
        <v>0</v>
      </c>
      <c r="W1142" s="32">
        <f t="shared" si="187"/>
        <v>249.96666666666667</v>
      </c>
      <c r="X1142" s="32">
        <f t="shared" si="184"/>
        <v>0</v>
      </c>
      <c r="Y1142" s="381">
        <f t="shared" si="185"/>
        <v>0</v>
      </c>
    </row>
    <row r="1143" spans="1:25" x14ac:dyDescent="0.2">
      <c r="A1143" s="24">
        <f t="shared" si="188"/>
        <v>15.967675681409197</v>
      </c>
      <c r="B1143" s="383">
        <v>254.96666666666667</v>
      </c>
      <c r="C1143" s="32"/>
      <c r="D1143" s="381">
        <f t="shared" si="178"/>
        <v>0</v>
      </c>
      <c r="E1143" s="383">
        <v>254.96666666666667</v>
      </c>
      <c r="F1143" s="8"/>
      <c r="G1143" s="381">
        <f t="shared" si="179"/>
        <v>0</v>
      </c>
      <c r="H1143" s="383">
        <v>254.96666666666667</v>
      </c>
      <c r="I1143" s="32"/>
      <c r="J1143" s="381">
        <f t="shared" si="180"/>
        <v>0</v>
      </c>
      <c r="K1143" s="383">
        <v>254.96666666666667</v>
      </c>
      <c r="L1143" s="31"/>
      <c r="M1143" s="381">
        <f t="shared" si="181"/>
        <v>0</v>
      </c>
      <c r="N1143" s="383">
        <v>254.96666666666667</v>
      </c>
      <c r="O1143" s="32"/>
      <c r="P1143" s="381">
        <f t="shared" si="182"/>
        <v>0</v>
      </c>
      <c r="Q1143" s="383">
        <v>254.96666666666667</v>
      </c>
      <c r="R1143" s="32"/>
      <c r="S1143" s="25">
        <f t="shared" si="183"/>
        <v>0</v>
      </c>
      <c r="T1143" s="383">
        <v>254.96666666666667</v>
      </c>
      <c r="U1143" s="32"/>
      <c r="V1143" s="25">
        <f t="shared" si="186"/>
        <v>0</v>
      </c>
      <c r="W1143" s="32">
        <f t="shared" si="187"/>
        <v>254.96666666666667</v>
      </c>
      <c r="X1143" s="32">
        <f t="shared" si="184"/>
        <v>0</v>
      </c>
      <c r="Y1143" s="381">
        <f t="shared" si="185"/>
        <v>0</v>
      </c>
    </row>
    <row r="1144" spans="1:25" x14ac:dyDescent="0.2">
      <c r="A1144" s="24">
        <f t="shared" si="188"/>
        <v>16.123998676920479</v>
      </c>
      <c r="B1144" s="383">
        <v>259.98333333333335</v>
      </c>
      <c r="C1144" s="32"/>
      <c r="D1144" s="381">
        <f t="shared" si="178"/>
        <v>0</v>
      </c>
      <c r="E1144" s="383">
        <v>259.98333333333335</v>
      </c>
      <c r="F1144" s="8"/>
      <c r="G1144" s="381">
        <f t="shared" si="179"/>
        <v>0</v>
      </c>
      <c r="H1144" s="383">
        <v>259.98333333333335</v>
      </c>
      <c r="I1144" s="32"/>
      <c r="J1144" s="381">
        <f t="shared" si="180"/>
        <v>0</v>
      </c>
      <c r="K1144" s="383">
        <v>259.98333333333335</v>
      </c>
      <c r="L1144" s="31"/>
      <c r="M1144" s="381">
        <f t="shared" si="181"/>
        <v>0</v>
      </c>
      <c r="N1144" s="383">
        <v>259.98333333333335</v>
      </c>
      <c r="O1144" s="32"/>
      <c r="P1144" s="381">
        <f t="shared" si="182"/>
        <v>0</v>
      </c>
      <c r="Q1144" s="383">
        <v>259.98333333333335</v>
      </c>
      <c r="R1144" s="32"/>
      <c r="S1144" s="25">
        <f t="shared" si="183"/>
        <v>0</v>
      </c>
      <c r="T1144" s="383">
        <v>259.98333333333335</v>
      </c>
      <c r="U1144" s="32"/>
      <c r="V1144" s="25">
        <f t="shared" si="186"/>
        <v>0</v>
      </c>
      <c r="W1144" s="32">
        <f t="shared" si="187"/>
        <v>259.98333333333335</v>
      </c>
      <c r="X1144" s="32">
        <f t="shared" si="184"/>
        <v>0</v>
      </c>
      <c r="Y1144" s="381">
        <f t="shared" si="185"/>
        <v>0</v>
      </c>
    </row>
    <row r="1145" spans="1:25" x14ac:dyDescent="0.2">
      <c r="A1145" s="24">
        <f t="shared" si="188"/>
        <v>16.277796738707195</v>
      </c>
      <c r="B1145" s="383">
        <v>264.96666666666664</v>
      </c>
      <c r="C1145" s="32"/>
      <c r="D1145" s="381">
        <f t="shared" si="178"/>
        <v>0</v>
      </c>
      <c r="E1145" s="383">
        <v>264.96666666666664</v>
      </c>
      <c r="F1145" s="8"/>
      <c r="G1145" s="381">
        <f t="shared" si="179"/>
        <v>0</v>
      </c>
      <c r="H1145" s="383">
        <v>264.96666666666664</v>
      </c>
      <c r="I1145" s="32"/>
      <c r="J1145" s="381">
        <f t="shared" si="180"/>
        <v>0</v>
      </c>
      <c r="K1145" s="383">
        <v>264.96666666666664</v>
      </c>
      <c r="L1145" s="31"/>
      <c r="M1145" s="381">
        <f t="shared" si="181"/>
        <v>0</v>
      </c>
      <c r="N1145" s="383">
        <v>264.96666666666664</v>
      </c>
      <c r="O1145" s="32"/>
      <c r="P1145" s="381">
        <f t="shared" si="182"/>
        <v>0</v>
      </c>
      <c r="Q1145" s="383">
        <v>264.96666666666664</v>
      </c>
      <c r="R1145" s="32"/>
      <c r="S1145" s="25">
        <f t="shared" si="183"/>
        <v>0</v>
      </c>
      <c r="T1145" s="383">
        <v>264.96666666666664</v>
      </c>
      <c r="U1145" s="32"/>
      <c r="V1145" s="25">
        <f t="shared" si="186"/>
        <v>0</v>
      </c>
      <c r="W1145" s="32">
        <f t="shared" si="187"/>
        <v>264.96666666666664</v>
      </c>
      <c r="X1145" s="32">
        <f t="shared" si="184"/>
        <v>0</v>
      </c>
      <c r="Y1145" s="381">
        <f t="shared" si="185"/>
        <v>0</v>
      </c>
    </row>
    <row r="1146" spans="1:25" x14ac:dyDescent="0.2">
      <c r="A1146" s="24">
        <f t="shared" si="188"/>
        <v>16.430662392815044</v>
      </c>
      <c r="B1146" s="383">
        <v>269.96666666666664</v>
      </c>
      <c r="C1146" s="32"/>
      <c r="D1146" s="381">
        <f t="shared" si="178"/>
        <v>0</v>
      </c>
      <c r="E1146" s="383">
        <v>269.96666666666664</v>
      </c>
      <c r="F1146" s="8"/>
      <c r="G1146" s="381">
        <f t="shared" si="179"/>
        <v>0</v>
      </c>
      <c r="H1146" s="383">
        <v>269.96666666666664</v>
      </c>
      <c r="I1146" s="32"/>
      <c r="J1146" s="381">
        <f t="shared" si="180"/>
        <v>0</v>
      </c>
      <c r="K1146" s="383">
        <v>269.96666666666664</v>
      </c>
      <c r="L1146" s="31"/>
      <c r="M1146" s="381">
        <f t="shared" si="181"/>
        <v>0</v>
      </c>
      <c r="N1146" s="383">
        <v>269.96666666666664</v>
      </c>
      <c r="O1146" s="32"/>
      <c r="P1146" s="381">
        <f t="shared" si="182"/>
        <v>0</v>
      </c>
      <c r="Q1146" s="383">
        <v>269.96666666666664</v>
      </c>
      <c r="R1146" s="32"/>
      <c r="S1146" s="25">
        <f t="shared" si="183"/>
        <v>0</v>
      </c>
      <c r="T1146" s="383">
        <v>269.96666666666664</v>
      </c>
      <c r="U1146" s="32"/>
      <c r="V1146" s="25">
        <f t="shared" si="186"/>
        <v>0</v>
      </c>
      <c r="W1146" s="32">
        <f t="shared" si="187"/>
        <v>269.96666666666664</v>
      </c>
      <c r="X1146" s="32">
        <f t="shared" si="184"/>
        <v>0</v>
      </c>
      <c r="Y1146" s="381">
        <f t="shared" si="185"/>
        <v>0</v>
      </c>
    </row>
    <row r="1147" spans="1:25" x14ac:dyDescent="0.2">
      <c r="A1147" s="24">
        <f t="shared" si="188"/>
        <v>16.582621425255216</v>
      </c>
      <c r="B1147" s="383">
        <v>274.98333333333335</v>
      </c>
      <c r="C1147" s="32"/>
      <c r="D1147" s="381">
        <f t="shared" si="178"/>
        <v>0</v>
      </c>
      <c r="E1147" s="383">
        <v>274.98333333333335</v>
      </c>
      <c r="F1147" s="8"/>
      <c r="G1147" s="381">
        <f t="shared" si="179"/>
        <v>0</v>
      </c>
      <c r="H1147" s="383">
        <v>274.98333333333335</v>
      </c>
      <c r="I1147" s="32"/>
      <c r="J1147" s="381">
        <f t="shared" si="180"/>
        <v>0</v>
      </c>
      <c r="K1147" s="383">
        <v>274.98333333333335</v>
      </c>
      <c r="L1147" s="31"/>
      <c r="M1147" s="381">
        <f t="shared" si="181"/>
        <v>0</v>
      </c>
      <c r="N1147" s="383">
        <v>274.98333333333335</v>
      </c>
      <c r="O1147" s="32"/>
      <c r="P1147" s="381">
        <f t="shared" si="182"/>
        <v>0</v>
      </c>
      <c r="Q1147" s="383">
        <v>274.98333333333335</v>
      </c>
      <c r="R1147" s="32"/>
      <c r="S1147" s="25">
        <f t="shared" si="183"/>
        <v>0</v>
      </c>
      <c r="T1147" s="383">
        <v>274.98333333333335</v>
      </c>
      <c r="U1147" s="32"/>
      <c r="V1147" s="25">
        <f t="shared" si="186"/>
        <v>0</v>
      </c>
      <c r="W1147" s="32">
        <f t="shared" si="187"/>
        <v>274.98333333333335</v>
      </c>
      <c r="X1147" s="32">
        <f t="shared" si="184"/>
        <v>0</v>
      </c>
      <c r="Y1147" s="381">
        <f t="shared" si="185"/>
        <v>0</v>
      </c>
    </row>
    <row r="1148" spans="1:25" x14ac:dyDescent="0.2">
      <c r="A1148" s="24">
        <f t="shared" si="188"/>
        <v>16.732204477195065</v>
      </c>
      <c r="B1148" s="383">
        <v>279.96666666666664</v>
      </c>
      <c r="C1148" s="32"/>
      <c r="D1148" s="381">
        <f t="shared" si="178"/>
        <v>0</v>
      </c>
      <c r="E1148" s="383">
        <v>279.96666666666664</v>
      </c>
      <c r="F1148" s="8"/>
      <c r="G1148" s="381">
        <f t="shared" si="179"/>
        <v>0</v>
      </c>
      <c r="H1148" s="383">
        <v>279.96666666666664</v>
      </c>
      <c r="I1148" s="32"/>
      <c r="J1148" s="381">
        <f t="shared" si="180"/>
        <v>0</v>
      </c>
      <c r="K1148" s="383">
        <v>279.96666666666664</v>
      </c>
      <c r="L1148" s="31"/>
      <c r="M1148" s="381">
        <f t="shared" si="181"/>
        <v>0</v>
      </c>
      <c r="N1148" s="383">
        <v>279.96666666666664</v>
      </c>
      <c r="O1148" s="32"/>
      <c r="P1148" s="381">
        <f t="shared" si="182"/>
        <v>0</v>
      </c>
      <c r="Q1148" s="383">
        <v>279.96666666666664</v>
      </c>
      <c r="R1148" s="32"/>
      <c r="S1148" s="25">
        <f t="shared" si="183"/>
        <v>0</v>
      </c>
      <c r="T1148" s="383">
        <v>279.96666666666664</v>
      </c>
      <c r="U1148" s="32"/>
      <c r="V1148" s="25">
        <f t="shared" si="186"/>
        <v>0</v>
      </c>
      <c r="W1148" s="32">
        <f t="shared" si="187"/>
        <v>279.96666666666664</v>
      </c>
      <c r="X1148" s="32">
        <f t="shared" si="184"/>
        <v>0</v>
      </c>
      <c r="Y1148" s="381">
        <f t="shared" si="185"/>
        <v>0</v>
      </c>
    </row>
    <row r="1149" spans="1:25" x14ac:dyDescent="0.2">
      <c r="A1149" s="24">
        <f t="shared" si="188"/>
        <v>16.880955739135942</v>
      </c>
      <c r="B1149" s="383">
        <v>284.96666666666664</v>
      </c>
      <c r="C1149" s="32"/>
      <c r="D1149" s="381">
        <f t="shared" si="178"/>
        <v>0</v>
      </c>
      <c r="E1149" s="383">
        <v>284.96666666666664</v>
      </c>
      <c r="F1149" s="8"/>
      <c r="G1149" s="381">
        <f t="shared" si="179"/>
        <v>0</v>
      </c>
      <c r="H1149" s="383">
        <v>284.96666666666664</v>
      </c>
      <c r="I1149" s="32"/>
      <c r="J1149" s="381">
        <f t="shared" si="180"/>
        <v>0</v>
      </c>
      <c r="K1149" s="383">
        <v>284.96666666666664</v>
      </c>
      <c r="L1149" s="31"/>
      <c r="M1149" s="381">
        <f t="shared" si="181"/>
        <v>0</v>
      </c>
      <c r="N1149" s="383">
        <v>284.96666666666664</v>
      </c>
      <c r="O1149" s="32"/>
      <c r="P1149" s="381">
        <f t="shared" si="182"/>
        <v>0</v>
      </c>
      <c r="Q1149" s="383">
        <v>284.96666666666664</v>
      </c>
      <c r="R1149" s="32"/>
      <c r="S1149" s="25">
        <f t="shared" si="183"/>
        <v>0</v>
      </c>
      <c r="T1149" s="383">
        <v>284.96666666666664</v>
      </c>
      <c r="U1149" s="32"/>
      <c r="V1149" s="25">
        <f t="shared" si="186"/>
        <v>0</v>
      </c>
      <c r="W1149" s="32">
        <f t="shared" si="187"/>
        <v>284.96666666666664</v>
      </c>
      <c r="X1149" s="32">
        <f t="shared" si="184"/>
        <v>0</v>
      </c>
      <c r="Y1149" s="381">
        <f t="shared" si="185"/>
        <v>0</v>
      </c>
    </row>
    <row r="1150" spans="1:25" x14ac:dyDescent="0.2">
      <c r="A1150" s="24">
        <f t="shared" si="188"/>
        <v>17.028897008712377</v>
      </c>
      <c r="B1150" s="383">
        <v>289.98333333333335</v>
      </c>
      <c r="C1150" s="32"/>
      <c r="D1150" s="381">
        <f t="shared" si="178"/>
        <v>0</v>
      </c>
      <c r="E1150" s="383">
        <v>289.98333333333335</v>
      </c>
      <c r="F1150" s="8"/>
      <c r="G1150" s="381">
        <f t="shared" si="179"/>
        <v>0</v>
      </c>
      <c r="H1150" s="383">
        <v>289.98333333333335</v>
      </c>
      <c r="I1150" s="32"/>
      <c r="J1150" s="381">
        <f t="shared" si="180"/>
        <v>0</v>
      </c>
      <c r="K1150" s="383">
        <v>289.98333333333335</v>
      </c>
      <c r="L1150" s="31"/>
      <c r="M1150" s="381">
        <f t="shared" si="181"/>
        <v>0</v>
      </c>
      <c r="N1150" s="383">
        <v>289.98333333333335</v>
      </c>
      <c r="O1150" s="32"/>
      <c r="P1150" s="381">
        <f t="shared" si="182"/>
        <v>0</v>
      </c>
      <c r="Q1150" s="383">
        <v>289.98333333333335</v>
      </c>
      <c r="R1150" s="32"/>
      <c r="S1150" s="25">
        <f t="shared" si="183"/>
        <v>0</v>
      </c>
      <c r="T1150" s="383">
        <v>289.98333333333335</v>
      </c>
      <c r="U1150" s="32"/>
      <c r="V1150" s="25">
        <f t="shared" si="186"/>
        <v>0</v>
      </c>
      <c r="W1150" s="32">
        <f t="shared" si="187"/>
        <v>289.98333333333335</v>
      </c>
      <c r="X1150" s="32">
        <f t="shared" si="184"/>
        <v>0</v>
      </c>
      <c r="Y1150" s="381">
        <f t="shared" si="185"/>
        <v>0</v>
      </c>
    </row>
    <row r="1151" spans="1:25" x14ac:dyDescent="0.2">
      <c r="A1151" s="24">
        <f t="shared" si="188"/>
        <v>17.174593639054947</v>
      </c>
      <c r="B1151" s="383">
        <v>294.96666666666664</v>
      </c>
      <c r="C1151" s="32"/>
      <c r="D1151" s="381">
        <f t="shared" si="178"/>
        <v>0</v>
      </c>
      <c r="E1151" s="383">
        <v>294.96666666666664</v>
      </c>
      <c r="F1151" s="8"/>
      <c r="G1151" s="381">
        <f t="shared" si="179"/>
        <v>0</v>
      </c>
      <c r="H1151" s="383">
        <v>294.96666666666664</v>
      </c>
      <c r="I1151" s="32"/>
      <c r="J1151" s="381">
        <f t="shared" si="180"/>
        <v>0</v>
      </c>
      <c r="K1151" s="383">
        <v>294.96666666666664</v>
      </c>
      <c r="L1151" s="31"/>
      <c r="M1151" s="381">
        <f t="shared" si="181"/>
        <v>0</v>
      </c>
      <c r="N1151" s="383">
        <v>294.96666666666664</v>
      </c>
      <c r="O1151" s="32"/>
      <c r="P1151" s="381">
        <f t="shared" si="182"/>
        <v>0</v>
      </c>
      <c r="Q1151" s="383">
        <v>294.96666666666664</v>
      </c>
      <c r="R1151" s="32"/>
      <c r="S1151" s="25">
        <f t="shared" si="183"/>
        <v>0</v>
      </c>
      <c r="T1151" s="383">
        <v>294.96666666666664</v>
      </c>
      <c r="U1151" s="32"/>
      <c r="V1151" s="25">
        <f t="shared" si="186"/>
        <v>0</v>
      </c>
      <c r="W1151" s="32">
        <f t="shared" si="187"/>
        <v>294.96666666666664</v>
      </c>
      <c r="X1151" s="32">
        <f t="shared" si="184"/>
        <v>0</v>
      </c>
      <c r="Y1151" s="381">
        <f t="shared" si="185"/>
        <v>0</v>
      </c>
    </row>
    <row r="1152" spans="1:25" x14ac:dyDescent="0.2">
      <c r="A1152" s="24">
        <f t="shared" si="188"/>
        <v>17.319545798509459</v>
      </c>
      <c r="B1152" s="383">
        <v>299.96666666666664</v>
      </c>
      <c r="C1152" s="32"/>
      <c r="D1152" s="381">
        <f t="shared" si="178"/>
        <v>0</v>
      </c>
      <c r="E1152" s="383">
        <v>299.96666666666664</v>
      </c>
      <c r="F1152" s="8"/>
      <c r="G1152" s="381">
        <f t="shared" si="179"/>
        <v>0</v>
      </c>
      <c r="H1152" s="383">
        <v>299.96666666666664</v>
      </c>
      <c r="I1152" s="32"/>
      <c r="J1152" s="381">
        <f t="shared" si="180"/>
        <v>0</v>
      </c>
      <c r="K1152" s="383">
        <v>299.96666666666664</v>
      </c>
      <c r="L1152" s="31"/>
      <c r="M1152" s="381">
        <f t="shared" si="181"/>
        <v>0</v>
      </c>
      <c r="N1152" s="383">
        <v>299.96666666666664</v>
      </c>
      <c r="O1152" s="32"/>
      <c r="P1152" s="381">
        <f t="shared" si="182"/>
        <v>0</v>
      </c>
      <c r="Q1152" s="383">
        <v>299.96666666666664</v>
      </c>
      <c r="R1152" s="32"/>
      <c r="S1152" s="25">
        <f t="shared" si="183"/>
        <v>0</v>
      </c>
      <c r="T1152" s="383">
        <v>299.96666666666664</v>
      </c>
      <c r="U1152" s="32"/>
      <c r="V1152" s="25">
        <f t="shared" si="186"/>
        <v>0</v>
      </c>
      <c r="W1152" s="32">
        <f t="shared" si="187"/>
        <v>299.96666666666664</v>
      </c>
      <c r="X1152" s="32">
        <f t="shared" si="184"/>
        <v>0</v>
      </c>
      <c r="Y1152" s="381">
        <f t="shared" si="185"/>
        <v>0</v>
      </c>
    </row>
    <row r="1153" spans="1:25" x14ac:dyDescent="0.2">
      <c r="A1153" s="24">
        <f t="shared" si="188"/>
        <v>17.463772024775558</v>
      </c>
      <c r="B1153" s="383">
        <v>304.98333333333335</v>
      </c>
      <c r="C1153" s="32"/>
      <c r="D1153" s="381">
        <f t="shared" si="178"/>
        <v>0</v>
      </c>
      <c r="E1153" s="383">
        <v>304.98333333333335</v>
      </c>
      <c r="F1153" s="8"/>
      <c r="G1153" s="381">
        <f t="shared" si="179"/>
        <v>0</v>
      </c>
      <c r="H1153" s="383">
        <v>304.98333333333335</v>
      </c>
      <c r="I1153" s="32"/>
      <c r="J1153" s="381">
        <f t="shared" si="180"/>
        <v>0</v>
      </c>
      <c r="K1153" s="383">
        <v>304.98333333333335</v>
      </c>
      <c r="L1153" s="31"/>
      <c r="M1153" s="381">
        <f t="shared" si="181"/>
        <v>0</v>
      </c>
      <c r="N1153" s="383">
        <v>304.98333333333335</v>
      </c>
      <c r="O1153" s="32"/>
      <c r="P1153" s="381">
        <f t="shared" si="182"/>
        <v>0</v>
      </c>
      <c r="Q1153" s="383">
        <v>304.98333333333335</v>
      </c>
      <c r="R1153" s="32"/>
      <c r="S1153" s="25">
        <f t="shared" si="183"/>
        <v>0</v>
      </c>
      <c r="T1153" s="383">
        <v>304.98333333333335</v>
      </c>
      <c r="U1153" s="32"/>
      <c r="V1153" s="25">
        <f t="shared" si="186"/>
        <v>0</v>
      </c>
      <c r="W1153" s="32">
        <f t="shared" si="187"/>
        <v>304.98333333333335</v>
      </c>
      <c r="X1153" s="32">
        <f t="shared" si="184"/>
        <v>0</v>
      </c>
      <c r="Y1153" s="381">
        <f t="shared" si="185"/>
        <v>0</v>
      </c>
    </row>
    <row r="1154" spans="1:25" x14ac:dyDescent="0.2">
      <c r="A1154" s="24">
        <f t="shared" si="188"/>
        <v>17.606343553768721</v>
      </c>
      <c r="B1154" s="383">
        <v>309.98333333333335</v>
      </c>
      <c r="C1154" s="32"/>
      <c r="D1154" s="381">
        <f t="shared" si="178"/>
        <v>0</v>
      </c>
      <c r="E1154" s="383">
        <v>309.98333333333335</v>
      </c>
      <c r="F1154" s="8"/>
      <c r="G1154" s="381">
        <f t="shared" si="179"/>
        <v>0</v>
      </c>
      <c r="H1154" s="383">
        <v>309.98333333333335</v>
      </c>
      <c r="I1154" s="32"/>
      <c r="J1154" s="381">
        <f t="shared" si="180"/>
        <v>0</v>
      </c>
      <c r="K1154" s="383">
        <v>309.98333333333335</v>
      </c>
      <c r="L1154" s="31"/>
      <c r="M1154" s="381">
        <f t="shared" si="181"/>
        <v>0</v>
      </c>
      <c r="N1154" s="383">
        <v>309.98333333333335</v>
      </c>
      <c r="O1154" s="32"/>
      <c r="P1154" s="381">
        <f t="shared" si="182"/>
        <v>0</v>
      </c>
      <c r="Q1154" s="383">
        <v>309.98333333333335</v>
      </c>
      <c r="R1154" s="32"/>
      <c r="S1154" s="25">
        <f t="shared" si="183"/>
        <v>0</v>
      </c>
      <c r="T1154" s="383">
        <v>309.98333333333335</v>
      </c>
      <c r="U1154" s="32"/>
      <c r="V1154" s="25">
        <f t="shared" si="186"/>
        <v>0</v>
      </c>
      <c r="W1154" s="32">
        <f t="shared" si="187"/>
        <v>309.98333333333335</v>
      </c>
      <c r="X1154" s="32">
        <f t="shared" si="184"/>
        <v>0</v>
      </c>
      <c r="Y1154" s="381">
        <f t="shared" si="185"/>
        <v>0</v>
      </c>
    </row>
    <row r="1155" spans="1:25" x14ac:dyDescent="0.2">
      <c r="A1155" s="24">
        <f t="shared" si="188"/>
        <v>17.747300264171635</v>
      </c>
      <c r="B1155" s="383">
        <v>314.96666666666664</v>
      </c>
      <c r="C1155" s="32"/>
      <c r="D1155" s="381">
        <f t="shared" si="178"/>
        <v>0</v>
      </c>
      <c r="E1155" s="383">
        <v>314.96666666666664</v>
      </c>
      <c r="F1155" s="8"/>
      <c r="G1155" s="381">
        <f t="shared" si="179"/>
        <v>0</v>
      </c>
      <c r="H1155" s="383">
        <v>314.96666666666664</v>
      </c>
      <c r="I1155" s="32"/>
      <c r="J1155" s="381">
        <f t="shared" si="180"/>
        <v>0</v>
      </c>
      <c r="K1155" s="383">
        <v>314.96666666666664</v>
      </c>
      <c r="L1155" s="31"/>
      <c r="M1155" s="381">
        <f t="shared" si="181"/>
        <v>0</v>
      </c>
      <c r="N1155" s="383">
        <v>314.96666666666664</v>
      </c>
      <c r="O1155" s="32"/>
      <c r="P1155" s="381">
        <f t="shared" si="182"/>
        <v>0</v>
      </c>
      <c r="Q1155" s="383">
        <v>314.96666666666664</v>
      </c>
      <c r="R1155" s="32"/>
      <c r="S1155" s="25">
        <f t="shared" si="183"/>
        <v>0</v>
      </c>
      <c r="T1155" s="383">
        <v>314.96666666666664</v>
      </c>
      <c r="U1155" s="32"/>
      <c r="V1155" s="25">
        <f t="shared" si="186"/>
        <v>0</v>
      </c>
      <c r="W1155" s="32">
        <f t="shared" si="187"/>
        <v>314.96666666666664</v>
      </c>
      <c r="X1155" s="32">
        <f t="shared" si="184"/>
        <v>0</v>
      </c>
      <c r="Y1155" s="381">
        <f t="shared" si="185"/>
        <v>0</v>
      </c>
    </row>
    <row r="1156" spans="1:25" x14ac:dyDescent="0.2">
      <c r="A1156" s="24">
        <f t="shared" si="188"/>
        <v>17.887612100743539</v>
      </c>
      <c r="B1156" s="383">
        <v>319.96666666666664</v>
      </c>
      <c r="C1156" s="32"/>
      <c r="D1156" s="381">
        <f t="shared" si="178"/>
        <v>0</v>
      </c>
      <c r="E1156" s="383">
        <v>319.96666666666664</v>
      </c>
      <c r="F1156" s="8"/>
      <c r="G1156" s="381">
        <f t="shared" si="179"/>
        <v>0</v>
      </c>
      <c r="H1156" s="383">
        <v>319.96666666666664</v>
      </c>
      <c r="I1156" s="32"/>
      <c r="J1156" s="381">
        <f t="shared" si="180"/>
        <v>0</v>
      </c>
      <c r="K1156" s="383">
        <v>319.96666666666664</v>
      </c>
      <c r="L1156" s="31"/>
      <c r="M1156" s="381">
        <f t="shared" si="181"/>
        <v>0</v>
      </c>
      <c r="N1156" s="383">
        <v>319.96666666666664</v>
      </c>
      <c r="O1156" s="32"/>
      <c r="P1156" s="381">
        <f t="shared" si="182"/>
        <v>0</v>
      </c>
      <c r="Q1156" s="383">
        <v>319.96666666666664</v>
      </c>
      <c r="R1156" s="32"/>
      <c r="S1156" s="25">
        <f t="shared" si="183"/>
        <v>0</v>
      </c>
      <c r="T1156" s="383">
        <v>319.96666666666664</v>
      </c>
      <c r="U1156" s="32"/>
      <c r="V1156" s="25">
        <f t="shared" si="186"/>
        <v>0</v>
      </c>
      <c r="W1156" s="32">
        <f t="shared" si="187"/>
        <v>319.96666666666664</v>
      </c>
      <c r="X1156" s="32">
        <f t="shared" si="184"/>
        <v>0</v>
      </c>
      <c r="Y1156" s="381">
        <f t="shared" si="185"/>
        <v>0</v>
      </c>
    </row>
    <row r="1157" spans="1:25" x14ac:dyDescent="0.2">
      <c r="A1157" s="24">
        <f t="shared" si="188"/>
        <v>18.027294121229989</v>
      </c>
      <c r="B1157" s="383">
        <v>324.98333333333335</v>
      </c>
      <c r="C1157" s="32"/>
      <c r="D1157" s="381">
        <f t="shared" ref="D1157:D1220" si="189">C1157</f>
        <v>0</v>
      </c>
      <c r="E1157" s="383">
        <v>324.98333333333335</v>
      </c>
      <c r="F1157" s="8"/>
      <c r="G1157" s="381">
        <f t="shared" ref="G1157:G1220" si="190">F1157+$AB$2</f>
        <v>0</v>
      </c>
      <c r="H1157" s="383">
        <v>324.98333333333335</v>
      </c>
      <c r="I1157" s="32"/>
      <c r="J1157" s="381">
        <f t="shared" ref="J1157:J1220" si="191">I1157+$AB$3</f>
        <v>0</v>
      </c>
      <c r="K1157" s="383">
        <v>324.98333333333335</v>
      </c>
      <c r="L1157" s="31"/>
      <c r="M1157" s="381">
        <f t="shared" ref="M1157:M1220" si="192">L1157+$AB$4</f>
        <v>0</v>
      </c>
      <c r="N1157" s="383">
        <v>324.98333333333335</v>
      </c>
      <c r="O1157" s="32"/>
      <c r="P1157" s="381">
        <f t="shared" ref="P1157:P1220" si="193">O1157+$AB$5</f>
        <v>0</v>
      </c>
      <c r="Q1157" s="383">
        <v>324.98333333333335</v>
      </c>
      <c r="R1157" s="32"/>
      <c r="S1157" s="25">
        <f t="shared" ref="S1157:S1220" si="194">R1157+$AB$6</f>
        <v>0</v>
      </c>
      <c r="T1157" s="383">
        <v>324.98333333333335</v>
      </c>
      <c r="U1157" s="32"/>
      <c r="V1157" s="25">
        <f t="shared" si="186"/>
        <v>0</v>
      </c>
      <c r="W1157" s="32">
        <f t="shared" si="187"/>
        <v>324.98333333333335</v>
      </c>
      <c r="X1157" s="32">
        <f t="shared" ref="X1157:X1220" si="195">U1157</f>
        <v>0</v>
      </c>
      <c r="Y1157" s="381">
        <f t="shared" ref="Y1157:Y1220" si="196">X1157+$AB$8</f>
        <v>0</v>
      </c>
    </row>
    <row r="1158" spans="1:25" x14ac:dyDescent="0.2">
      <c r="A1158" s="24">
        <f t="shared" si="188"/>
        <v>18.164984631611077</v>
      </c>
      <c r="B1158" s="383">
        <v>329.96666666666664</v>
      </c>
      <c r="C1158" s="32"/>
      <c r="D1158" s="381">
        <f t="shared" si="189"/>
        <v>0</v>
      </c>
      <c r="E1158" s="383">
        <v>329.96666666666664</v>
      </c>
      <c r="F1158" s="8"/>
      <c r="G1158" s="381">
        <f t="shared" si="190"/>
        <v>0</v>
      </c>
      <c r="H1158" s="383">
        <v>329.96666666666664</v>
      </c>
      <c r="I1158" s="32"/>
      <c r="J1158" s="381">
        <f t="shared" si="191"/>
        <v>0</v>
      </c>
      <c r="K1158" s="383">
        <v>329.96666666666664</v>
      </c>
      <c r="L1158" s="31"/>
      <c r="M1158" s="381">
        <f t="shared" si="192"/>
        <v>0</v>
      </c>
      <c r="N1158" s="383">
        <v>329.96666666666664</v>
      </c>
      <c r="O1158" s="32"/>
      <c r="P1158" s="381">
        <f t="shared" si="193"/>
        <v>0</v>
      </c>
      <c r="Q1158" s="383">
        <v>329.96666666666664</v>
      </c>
      <c r="R1158" s="32"/>
      <c r="S1158" s="25">
        <f t="shared" si="194"/>
        <v>0</v>
      </c>
      <c r="T1158" s="383">
        <v>329.96666666666664</v>
      </c>
      <c r="U1158" s="32"/>
      <c r="V1158" s="25">
        <f t="shared" ref="V1158:V1221" si="197">Y1158</f>
        <v>0</v>
      </c>
      <c r="W1158" s="32">
        <f t="shared" ref="W1158:W1221" si="198">T1158</f>
        <v>329.96666666666664</v>
      </c>
      <c r="X1158" s="32">
        <f t="shared" si="195"/>
        <v>0</v>
      </c>
      <c r="Y1158" s="381">
        <f t="shared" si="196"/>
        <v>0</v>
      </c>
    </row>
    <row r="1159" spans="1:25" x14ac:dyDescent="0.2">
      <c r="A1159" s="24">
        <f t="shared" si="188"/>
        <v>18.302094597795811</v>
      </c>
      <c r="B1159" s="383">
        <v>334.96666666666664</v>
      </c>
      <c r="C1159" s="32"/>
      <c r="D1159" s="381">
        <f t="shared" si="189"/>
        <v>0</v>
      </c>
      <c r="E1159" s="383">
        <v>334.96666666666664</v>
      </c>
      <c r="F1159" s="8"/>
      <c r="G1159" s="381">
        <f t="shared" si="190"/>
        <v>0</v>
      </c>
      <c r="H1159" s="383">
        <v>334.96666666666664</v>
      </c>
      <c r="I1159" s="32"/>
      <c r="J1159" s="381">
        <f t="shared" si="191"/>
        <v>0</v>
      </c>
      <c r="K1159" s="383">
        <v>334.96666666666664</v>
      </c>
      <c r="L1159" s="31"/>
      <c r="M1159" s="381">
        <f t="shared" si="192"/>
        <v>0</v>
      </c>
      <c r="N1159" s="383">
        <v>334.96666666666664</v>
      </c>
      <c r="O1159" s="32"/>
      <c r="P1159" s="381">
        <f t="shared" si="193"/>
        <v>0</v>
      </c>
      <c r="Q1159" s="383">
        <v>334.96666666666664</v>
      </c>
      <c r="R1159" s="32"/>
      <c r="S1159" s="25">
        <f t="shared" si="194"/>
        <v>0</v>
      </c>
      <c r="T1159" s="383">
        <v>334.96666666666664</v>
      </c>
      <c r="U1159" s="32"/>
      <c r="V1159" s="25">
        <f t="shared" si="197"/>
        <v>0</v>
      </c>
      <c r="W1159" s="32">
        <f t="shared" si="198"/>
        <v>334.96666666666664</v>
      </c>
      <c r="X1159" s="32">
        <f t="shared" si="195"/>
        <v>0</v>
      </c>
      <c r="Y1159" s="381">
        <f t="shared" si="196"/>
        <v>0</v>
      </c>
    </row>
    <row r="1160" spans="1:25" x14ac:dyDescent="0.2">
      <c r="A1160" s="24">
        <f t="shared" si="188"/>
        <v>18.438636970593389</v>
      </c>
      <c r="B1160" s="383">
        <v>339.98333333333335</v>
      </c>
      <c r="C1160" s="32"/>
      <c r="D1160" s="381">
        <f t="shared" si="189"/>
        <v>0</v>
      </c>
      <c r="E1160" s="383">
        <v>339.98333333333335</v>
      </c>
      <c r="F1160" s="8"/>
      <c r="G1160" s="381">
        <f t="shared" si="190"/>
        <v>0</v>
      </c>
      <c r="H1160" s="383">
        <v>339.98333333333335</v>
      </c>
      <c r="I1160" s="32"/>
      <c r="J1160" s="381">
        <f t="shared" si="191"/>
        <v>0</v>
      </c>
      <c r="K1160" s="383">
        <v>339.98333333333335</v>
      </c>
      <c r="L1160" s="31"/>
      <c r="M1160" s="381">
        <f t="shared" si="192"/>
        <v>0</v>
      </c>
      <c r="N1160" s="383">
        <v>339.98333333333335</v>
      </c>
      <c r="O1160" s="32"/>
      <c r="P1160" s="381">
        <f t="shared" si="193"/>
        <v>0</v>
      </c>
      <c r="Q1160" s="383">
        <v>339.98333333333335</v>
      </c>
      <c r="R1160" s="32"/>
      <c r="S1160" s="25">
        <f t="shared" si="194"/>
        <v>0</v>
      </c>
      <c r="T1160" s="383">
        <v>339.98333333333335</v>
      </c>
      <c r="U1160" s="32"/>
      <c r="V1160" s="25">
        <f t="shared" si="197"/>
        <v>0</v>
      </c>
      <c r="W1160" s="32">
        <f t="shared" si="198"/>
        <v>339.98333333333335</v>
      </c>
      <c r="X1160" s="32">
        <f t="shared" si="195"/>
        <v>0</v>
      </c>
      <c r="Y1160" s="381">
        <f t="shared" si="196"/>
        <v>0</v>
      </c>
    </row>
    <row r="1161" spans="1:25" x14ac:dyDescent="0.2">
      <c r="A1161" s="24">
        <f t="shared" si="188"/>
        <v>18.573278296161575</v>
      </c>
      <c r="B1161" s="383">
        <v>344.96666666666664</v>
      </c>
      <c r="C1161" s="32"/>
      <c r="D1161" s="381">
        <f t="shared" si="189"/>
        <v>0</v>
      </c>
      <c r="E1161" s="383">
        <v>344.96666666666664</v>
      </c>
      <c r="F1161" s="8"/>
      <c r="G1161" s="381">
        <f t="shared" si="190"/>
        <v>0</v>
      </c>
      <c r="H1161" s="383">
        <v>344.96666666666664</v>
      </c>
      <c r="I1161" s="32"/>
      <c r="J1161" s="381">
        <f t="shared" si="191"/>
        <v>0</v>
      </c>
      <c r="K1161" s="383">
        <v>344.96666666666664</v>
      </c>
      <c r="L1161" s="31"/>
      <c r="M1161" s="381">
        <f t="shared" si="192"/>
        <v>0</v>
      </c>
      <c r="N1161" s="383">
        <v>344.96666666666664</v>
      </c>
      <c r="O1161" s="32"/>
      <c r="P1161" s="381">
        <f t="shared" si="193"/>
        <v>0</v>
      </c>
      <c r="Q1161" s="383">
        <v>344.96666666666664</v>
      </c>
      <c r="R1161" s="32"/>
      <c r="S1161" s="25">
        <f t="shared" si="194"/>
        <v>0</v>
      </c>
      <c r="T1161" s="383">
        <v>344.96666666666664</v>
      </c>
      <c r="U1161" s="32"/>
      <c r="V1161" s="25">
        <f t="shared" si="197"/>
        <v>0</v>
      </c>
      <c r="W1161" s="32">
        <f t="shared" si="198"/>
        <v>344.96666666666664</v>
      </c>
      <c r="X1161" s="32">
        <f t="shared" si="195"/>
        <v>0</v>
      </c>
      <c r="Y1161" s="381">
        <f t="shared" si="196"/>
        <v>0</v>
      </c>
    </row>
    <row r="1162" spans="1:25" x14ac:dyDescent="0.2">
      <c r="A1162" s="24">
        <f t="shared" si="188"/>
        <v>18.707396041851112</v>
      </c>
      <c r="B1162" s="383">
        <v>349.96666666666664</v>
      </c>
      <c r="C1162" s="32"/>
      <c r="D1162" s="381">
        <f t="shared" si="189"/>
        <v>0</v>
      </c>
      <c r="E1162" s="383">
        <v>349.96666666666664</v>
      </c>
      <c r="F1162" s="8"/>
      <c r="G1162" s="381">
        <f t="shared" si="190"/>
        <v>0</v>
      </c>
      <c r="H1162" s="383">
        <v>349.96666666666664</v>
      </c>
      <c r="I1162" s="32"/>
      <c r="J1162" s="381">
        <f t="shared" si="191"/>
        <v>0</v>
      </c>
      <c r="K1162" s="383">
        <v>349.96666666666664</v>
      </c>
      <c r="L1162" s="31"/>
      <c r="M1162" s="381">
        <f t="shared" si="192"/>
        <v>0</v>
      </c>
      <c r="N1162" s="383">
        <v>349.96666666666664</v>
      </c>
      <c r="O1162" s="32"/>
      <c r="P1162" s="381">
        <f t="shared" si="193"/>
        <v>0</v>
      </c>
      <c r="Q1162" s="383">
        <v>349.96666666666664</v>
      </c>
      <c r="R1162" s="32"/>
      <c r="S1162" s="25">
        <f t="shared" si="194"/>
        <v>0</v>
      </c>
      <c r="T1162" s="383">
        <v>349.96666666666664</v>
      </c>
      <c r="U1162" s="32"/>
      <c r="V1162" s="25">
        <f t="shared" si="197"/>
        <v>0</v>
      </c>
      <c r="W1162" s="32">
        <f t="shared" si="198"/>
        <v>349.96666666666664</v>
      </c>
      <c r="X1162" s="32">
        <f t="shared" si="195"/>
        <v>0</v>
      </c>
      <c r="Y1162" s="381">
        <f t="shared" si="196"/>
        <v>0</v>
      </c>
    </row>
    <row r="1163" spans="1:25" x14ac:dyDescent="0.2">
      <c r="A1163" s="24">
        <f t="shared" si="188"/>
        <v>18.841001388815123</v>
      </c>
      <c r="B1163" s="383">
        <v>354.98333333333335</v>
      </c>
      <c r="C1163" s="32"/>
      <c r="D1163" s="381">
        <f t="shared" si="189"/>
        <v>0</v>
      </c>
      <c r="E1163" s="383">
        <v>354.98333333333335</v>
      </c>
      <c r="F1163" s="8"/>
      <c r="G1163" s="381">
        <f t="shared" si="190"/>
        <v>0</v>
      </c>
      <c r="H1163" s="383">
        <v>354.98333333333335</v>
      </c>
      <c r="I1163" s="32"/>
      <c r="J1163" s="381">
        <f t="shared" si="191"/>
        <v>0</v>
      </c>
      <c r="K1163" s="383">
        <v>354.98333333333335</v>
      </c>
      <c r="L1163" s="31"/>
      <c r="M1163" s="381">
        <f t="shared" si="192"/>
        <v>0</v>
      </c>
      <c r="N1163" s="383">
        <v>354.98333333333335</v>
      </c>
      <c r="O1163" s="32"/>
      <c r="P1163" s="381">
        <f t="shared" si="193"/>
        <v>0</v>
      </c>
      <c r="Q1163" s="383">
        <v>354.98333333333335</v>
      </c>
      <c r="R1163" s="32"/>
      <c r="S1163" s="25">
        <f t="shared" si="194"/>
        <v>0</v>
      </c>
      <c r="T1163" s="383">
        <v>354.98333333333335</v>
      </c>
      <c r="U1163" s="32"/>
      <c r="V1163" s="25">
        <f t="shared" si="197"/>
        <v>0</v>
      </c>
      <c r="W1163" s="32">
        <f t="shared" si="198"/>
        <v>354.98333333333335</v>
      </c>
      <c r="X1163" s="32">
        <f t="shared" si="195"/>
        <v>0</v>
      </c>
      <c r="Y1163" s="381">
        <f t="shared" si="196"/>
        <v>0</v>
      </c>
    </row>
    <row r="1164" spans="1:25" x14ac:dyDescent="0.2">
      <c r="A1164" s="24">
        <f t="shared" si="188"/>
        <v>18.9727875302146</v>
      </c>
      <c r="B1164" s="383">
        <v>359.96666666666664</v>
      </c>
      <c r="C1164" s="32"/>
      <c r="D1164" s="381">
        <f t="shared" si="189"/>
        <v>0</v>
      </c>
      <c r="E1164" s="383">
        <v>359.96666666666664</v>
      </c>
      <c r="F1164" s="8"/>
      <c r="G1164" s="381">
        <f t="shared" si="190"/>
        <v>0</v>
      </c>
      <c r="H1164" s="383">
        <v>359.96666666666664</v>
      </c>
      <c r="I1164" s="32"/>
      <c r="J1164" s="381">
        <f t="shared" si="191"/>
        <v>0</v>
      </c>
      <c r="K1164" s="383">
        <v>359.96666666666664</v>
      </c>
      <c r="L1164" s="31"/>
      <c r="M1164" s="381">
        <f t="shared" si="192"/>
        <v>0</v>
      </c>
      <c r="N1164" s="383">
        <v>359.96666666666664</v>
      </c>
      <c r="O1164" s="32"/>
      <c r="P1164" s="381">
        <f t="shared" si="193"/>
        <v>0</v>
      </c>
      <c r="Q1164" s="383">
        <v>359.96666666666664</v>
      </c>
      <c r="R1164" s="32"/>
      <c r="S1164" s="25">
        <f t="shared" si="194"/>
        <v>0</v>
      </c>
      <c r="T1164" s="383">
        <v>359.96666666666664</v>
      </c>
      <c r="U1164" s="32"/>
      <c r="V1164" s="25">
        <f t="shared" si="197"/>
        <v>0</v>
      </c>
      <c r="W1164" s="32">
        <f t="shared" si="198"/>
        <v>359.96666666666664</v>
      </c>
      <c r="X1164" s="32">
        <f t="shared" si="195"/>
        <v>0</v>
      </c>
      <c r="Y1164" s="381">
        <f t="shared" si="196"/>
        <v>0</v>
      </c>
    </row>
    <row r="1165" spans="1:25" x14ac:dyDescent="0.2">
      <c r="A1165" s="24">
        <f t="shared" si="188"/>
        <v>19.104100781420378</v>
      </c>
      <c r="B1165" s="383">
        <v>364.96666666666664</v>
      </c>
      <c r="C1165" s="32"/>
      <c r="D1165" s="381">
        <f t="shared" si="189"/>
        <v>0</v>
      </c>
      <c r="E1165" s="383">
        <v>364.96666666666664</v>
      </c>
      <c r="F1165" s="8"/>
      <c r="G1165" s="381">
        <f t="shared" si="190"/>
        <v>0</v>
      </c>
      <c r="H1165" s="383">
        <v>364.96666666666664</v>
      </c>
      <c r="I1165" s="32"/>
      <c r="J1165" s="381">
        <f t="shared" si="191"/>
        <v>0</v>
      </c>
      <c r="K1165" s="383">
        <v>364.96666666666664</v>
      </c>
      <c r="L1165" s="31"/>
      <c r="M1165" s="381">
        <f t="shared" si="192"/>
        <v>0</v>
      </c>
      <c r="N1165" s="383">
        <v>364.96666666666664</v>
      </c>
      <c r="O1165" s="32"/>
      <c r="P1165" s="381">
        <f t="shared" si="193"/>
        <v>0</v>
      </c>
      <c r="Q1165" s="383">
        <v>364.96666666666664</v>
      </c>
      <c r="R1165" s="32"/>
      <c r="S1165" s="25">
        <f t="shared" si="194"/>
        <v>0</v>
      </c>
      <c r="T1165" s="383">
        <v>364.96666666666664</v>
      </c>
      <c r="U1165" s="32"/>
      <c r="V1165" s="25">
        <f t="shared" si="197"/>
        <v>0</v>
      </c>
      <c r="W1165" s="32">
        <f t="shared" si="198"/>
        <v>364.96666666666664</v>
      </c>
      <c r="X1165" s="32">
        <f t="shared" si="195"/>
        <v>0</v>
      </c>
      <c r="Y1165" s="381">
        <f t="shared" si="196"/>
        <v>0</v>
      </c>
    </row>
    <row r="1166" spans="1:25" x14ac:dyDescent="0.2">
      <c r="A1166" s="24">
        <f t="shared" si="188"/>
        <v>19.234950827421766</v>
      </c>
      <c r="B1166" s="383">
        <v>369.98333333333335</v>
      </c>
      <c r="C1166" s="32"/>
      <c r="D1166" s="381">
        <f t="shared" si="189"/>
        <v>0</v>
      </c>
      <c r="E1166" s="383">
        <v>369.98333333333335</v>
      </c>
      <c r="F1166" s="8"/>
      <c r="G1166" s="381">
        <f t="shared" si="190"/>
        <v>0</v>
      </c>
      <c r="H1166" s="383">
        <v>369.98333333333335</v>
      </c>
      <c r="I1166" s="32"/>
      <c r="J1166" s="381">
        <f t="shared" si="191"/>
        <v>0</v>
      </c>
      <c r="K1166" s="383">
        <v>369.98333333333335</v>
      </c>
      <c r="L1166" s="31"/>
      <c r="M1166" s="381">
        <f t="shared" si="192"/>
        <v>0</v>
      </c>
      <c r="N1166" s="383">
        <v>369.98333333333335</v>
      </c>
      <c r="O1166" s="32"/>
      <c r="P1166" s="381">
        <f t="shared" si="193"/>
        <v>0</v>
      </c>
      <c r="Q1166" s="383">
        <v>369.98333333333335</v>
      </c>
      <c r="R1166" s="32"/>
      <c r="S1166" s="25">
        <f t="shared" si="194"/>
        <v>0</v>
      </c>
      <c r="T1166" s="383">
        <v>369.98333333333335</v>
      </c>
      <c r="U1166" s="32"/>
      <c r="V1166" s="25">
        <f t="shared" si="197"/>
        <v>0</v>
      </c>
      <c r="W1166" s="32">
        <f t="shared" si="198"/>
        <v>369.98333333333335</v>
      </c>
      <c r="X1166" s="32">
        <f t="shared" si="195"/>
        <v>0</v>
      </c>
      <c r="Y1166" s="381">
        <f t="shared" si="196"/>
        <v>0</v>
      </c>
    </row>
    <row r="1167" spans="1:25" x14ac:dyDescent="0.2">
      <c r="A1167" s="24">
        <f t="shared" si="188"/>
        <v>19.364056048944565</v>
      </c>
      <c r="B1167" s="383">
        <v>374.96666666666664</v>
      </c>
      <c r="C1167" s="32"/>
      <c r="D1167" s="381">
        <f t="shared" si="189"/>
        <v>0</v>
      </c>
      <c r="E1167" s="383">
        <v>374.96666666666664</v>
      </c>
      <c r="F1167" s="8"/>
      <c r="G1167" s="381">
        <f t="shared" si="190"/>
        <v>0</v>
      </c>
      <c r="H1167" s="383">
        <v>374.96666666666664</v>
      </c>
      <c r="I1167" s="32"/>
      <c r="J1167" s="381">
        <f t="shared" si="191"/>
        <v>0</v>
      </c>
      <c r="K1167" s="383">
        <v>374.96666666666664</v>
      </c>
      <c r="L1167" s="31"/>
      <c r="M1167" s="381">
        <f t="shared" si="192"/>
        <v>0</v>
      </c>
      <c r="N1167" s="383">
        <v>374.96666666666664</v>
      </c>
      <c r="O1167" s="32"/>
      <c r="P1167" s="381">
        <f t="shared" si="193"/>
        <v>0</v>
      </c>
      <c r="Q1167" s="383">
        <v>374.96666666666664</v>
      </c>
      <c r="R1167" s="32"/>
      <c r="S1167" s="25">
        <f t="shared" si="194"/>
        <v>0</v>
      </c>
      <c r="T1167" s="383">
        <v>374.96666666666664</v>
      </c>
      <c r="U1167" s="32"/>
      <c r="V1167" s="25">
        <f t="shared" si="197"/>
        <v>0</v>
      </c>
      <c r="W1167" s="32">
        <f t="shared" si="198"/>
        <v>374.96666666666664</v>
      </c>
      <c r="X1167" s="32">
        <f t="shared" si="195"/>
        <v>0</v>
      </c>
      <c r="Y1167" s="381">
        <f t="shared" si="196"/>
        <v>0</v>
      </c>
    </row>
    <row r="1168" spans="1:25" x14ac:dyDescent="0.2">
      <c r="A1168" s="24">
        <f t="shared" si="188"/>
        <v>19.492733688907428</v>
      </c>
      <c r="B1168" s="383">
        <v>379.96666666666664</v>
      </c>
      <c r="C1168" s="32"/>
      <c r="D1168" s="381">
        <f t="shared" si="189"/>
        <v>0</v>
      </c>
      <c r="E1168" s="383">
        <v>379.96666666666664</v>
      </c>
      <c r="F1168" s="8"/>
      <c r="G1168" s="381">
        <f t="shared" si="190"/>
        <v>0</v>
      </c>
      <c r="H1168" s="383">
        <v>379.96666666666664</v>
      </c>
      <c r="I1168" s="32"/>
      <c r="J1168" s="381">
        <f t="shared" si="191"/>
        <v>0</v>
      </c>
      <c r="K1168" s="383">
        <v>379.96666666666664</v>
      </c>
      <c r="L1168" s="31"/>
      <c r="M1168" s="381">
        <f t="shared" si="192"/>
        <v>0</v>
      </c>
      <c r="N1168" s="383">
        <v>379.96666666666664</v>
      </c>
      <c r="O1168" s="32"/>
      <c r="P1168" s="381">
        <f t="shared" si="193"/>
        <v>0</v>
      </c>
      <c r="Q1168" s="383">
        <v>379.96666666666664</v>
      </c>
      <c r="R1168" s="32"/>
      <c r="S1168" s="25">
        <f t="shared" si="194"/>
        <v>0</v>
      </c>
      <c r="T1168" s="383">
        <v>379.96666666666664</v>
      </c>
      <c r="U1168" s="32"/>
      <c r="V1168" s="25">
        <f t="shared" si="197"/>
        <v>0</v>
      </c>
      <c r="W1168" s="32">
        <f t="shared" si="198"/>
        <v>379.96666666666664</v>
      </c>
      <c r="X1168" s="32">
        <f t="shared" si="195"/>
        <v>0</v>
      </c>
      <c r="Y1168" s="381">
        <f t="shared" si="196"/>
        <v>0</v>
      </c>
    </row>
    <row r="1169" spans="1:25" x14ac:dyDescent="0.2">
      <c r="A1169" s="24">
        <f t="shared" si="188"/>
        <v>19.620992159759233</v>
      </c>
      <c r="B1169" s="383">
        <v>384.98333333333335</v>
      </c>
      <c r="C1169" s="32"/>
      <c r="D1169" s="381">
        <f t="shared" si="189"/>
        <v>0</v>
      </c>
      <c r="E1169" s="383">
        <v>384.98333333333335</v>
      </c>
      <c r="F1169" s="8"/>
      <c r="G1169" s="381">
        <f t="shared" si="190"/>
        <v>0</v>
      </c>
      <c r="H1169" s="383">
        <v>384.98333333333335</v>
      </c>
      <c r="I1169" s="32"/>
      <c r="J1169" s="381">
        <f t="shared" si="191"/>
        <v>0</v>
      </c>
      <c r="K1169" s="383">
        <v>384.98333333333335</v>
      </c>
      <c r="L1169" s="31"/>
      <c r="M1169" s="381">
        <f t="shared" si="192"/>
        <v>0</v>
      </c>
      <c r="N1169" s="383">
        <v>384.98333333333335</v>
      </c>
      <c r="O1169" s="32"/>
      <c r="P1169" s="381">
        <f t="shared" si="193"/>
        <v>0</v>
      </c>
      <c r="Q1169" s="383">
        <v>384.98333333333335</v>
      </c>
      <c r="R1169" s="32"/>
      <c r="S1169" s="25">
        <f t="shared" si="194"/>
        <v>0</v>
      </c>
      <c r="T1169" s="383">
        <v>384.98333333333335</v>
      </c>
      <c r="U1169" s="32"/>
      <c r="V1169" s="25">
        <f t="shared" si="197"/>
        <v>0</v>
      </c>
      <c r="W1169" s="32">
        <f t="shared" si="198"/>
        <v>384.98333333333335</v>
      </c>
      <c r="X1169" s="32">
        <f t="shared" si="195"/>
        <v>0</v>
      </c>
      <c r="Y1169" s="381">
        <f t="shared" si="196"/>
        <v>0</v>
      </c>
    </row>
    <row r="1170" spans="1:25" x14ac:dyDescent="0.2">
      <c r="A1170" s="24">
        <f t="shared" si="188"/>
        <v>19.74757369062505</v>
      </c>
      <c r="B1170" s="383">
        <v>389.96666666666664</v>
      </c>
      <c r="C1170" s="32"/>
      <c r="D1170" s="381">
        <f t="shared" si="189"/>
        <v>0</v>
      </c>
      <c r="E1170" s="383">
        <v>389.96666666666664</v>
      </c>
      <c r="F1170" s="8"/>
      <c r="G1170" s="381">
        <f t="shared" si="190"/>
        <v>0</v>
      </c>
      <c r="H1170" s="383">
        <v>389.96666666666664</v>
      </c>
      <c r="I1170" s="32"/>
      <c r="J1170" s="381">
        <f t="shared" si="191"/>
        <v>0</v>
      </c>
      <c r="K1170" s="383">
        <v>389.96666666666664</v>
      </c>
      <c r="L1170" s="31"/>
      <c r="M1170" s="381">
        <f t="shared" si="192"/>
        <v>0</v>
      </c>
      <c r="N1170" s="383">
        <v>389.96666666666664</v>
      </c>
      <c r="O1170" s="32"/>
      <c r="P1170" s="381">
        <f t="shared" si="193"/>
        <v>0</v>
      </c>
      <c r="Q1170" s="383">
        <v>389.96666666666664</v>
      </c>
      <c r="R1170" s="32"/>
      <c r="S1170" s="25">
        <f t="shared" si="194"/>
        <v>0</v>
      </c>
      <c r="T1170" s="383">
        <v>389.96666666666664</v>
      </c>
      <c r="U1170" s="32"/>
      <c r="V1170" s="25">
        <f t="shared" si="197"/>
        <v>0</v>
      </c>
      <c r="W1170" s="32">
        <f t="shared" si="198"/>
        <v>389.96666666666664</v>
      </c>
      <c r="X1170" s="32">
        <f t="shared" si="195"/>
        <v>0</v>
      </c>
      <c r="Y1170" s="381">
        <f t="shared" si="196"/>
        <v>0</v>
      </c>
    </row>
    <row r="1171" spans="1:25" x14ac:dyDescent="0.2">
      <c r="A1171" s="24">
        <f t="shared" si="188"/>
        <v>19.873768305650206</v>
      </c>
      <c r="B1171" s="383">
        <v>394.96666666666664</v>
      </c>
      <c r="C1171" s="32"/>
      <c r="D1171" s="381">
        <f t="shared" si="189"/>
        <v>0</v>
      </c>
      <c r="E1171" s="383">
        <v>394.96666666666664</v>
      </c>
      <c r="F1171" s="8"/>
      <c r="G1171" s="381">
        <f t="shared" si="190"/>
        <v>0</v>
      </c>
      <c r="H1171" s="383">
        <v>394.96666666666664</v>
      </c>
      <c r="I1171" s="32"/>
      <c r="J1171" s="381">
        <f t="shared" si="191"/>
        <v>0</v>
      </c>
      <c r="K1171" s="383">
        <v>394.96666666666664</v>
      </c>
      <c r="L1171" s="31"/>
      <c r="M1171" s="381">
        <f t="shared" si="192"/>
        <v>0</v>
      </c>
      <c r="N1171" s="383">
        <v>394.96666666666664</v>
      </c>
      <c r="O1171" s="32"/>
      <c r="P1171" s="381">
        <f t="shared" si="193"/>
        <v>0</v>
      </c>
      <c r="Q1171" s="383">
        <v>394.96666666666664</v>
      </c>
      <c r="R1171" s="32"/>
      <c r="S1171" s="25">
        <f t="shared" si="194"/>
        <v>0</v>
      </c>
      <c r="T1171" s="383">
        <v>394.96666666666664</v>
      </c>
      <c r="U1171" s="32"/>
      <c r="V1171" s="25">
        <f t="shared" si="197"/>
        <v>0</v>
      </c>
      <c r="W1171" s="32">
        <f t="shared" si="198"/>
        <v>394.96666666666664</v>
      </c>
      <c r="X1171" s="32">
        <f t="shared" si="195"/>
        <v>0</v>
      </c>
      <c r="Y1171" s="381">
        <f t="shared" si="196"/>
        <v>0</v>
      </c>
    </row>
    <row r="1172" spans="1:25" x14ac:dyDescent="0.2">
      <c r="A1172" s="24">
        <f t="shared" si="188"/>
        <v>19.999166649304833</v>
      </c>
      <c r="B1172" s="383">
        <v>399.96666666666664</v>
      </c>
      <c r="C1172" s="32"/>
      <c r="D1172" s="381">
        <f t="shared" si="189"/>
        <v>0</v>
      </c>
      <c r="E1172" s="383">
        <v>399.96666666666664</v>
      </c>
      <c r="F1172" s="8"/>
      <c r="G1172" s="381">
        <f t="shared" si="190"/>
        <v>0</v>
      </c>
      <c r="H1172" s="383">
        <v>399.96666666666664</v>
      </c>
      <c r="I1172" s="32"/>
      <c r="J1172" s="381">
        <f t="shared" si="191"/>
        <v>0</v>
      </c>
      <c r="K1172" s="383">
        <v>399.96666666666664</v>
      </c>
      <c r="L1172" s="31"/>
      <c r="M1172" s="381">
        <f t="shared" si="192"/>
        <v>0</v>
      </c>
      <c r="N1172" s="383">
        <v>399.96666666666664</v>
      </c>
      <c r="O1172" s="32"/>
      <c r="P1172" s="381">
        <f t="shared" si="193"/>
        <v>0</v>
      </c>
      <c r="Q1172" s="383">
        <v>399.96666666666664</v>
      </c>
      <c r="R1172" s="32"/>
      <c r="S1172" s="25">
        <f t="shared" si="194"/>
        <v>0</v>
      </c>
      <c r="T1172" s="383">
        <v>399.96666666666664</v>
      </c>
      <c r="U1172" s="32"/>
      <c r="V1172" s="25">
        <f t="shared" si="197"/>
        <v>0</v>
      </c>
      <c r="W1172" s="32">
        <f t="shared" si="198"/>
        <v>399.96666666666664</v>
      </c>
      <c r="X1172" s="32">
        <f t="shared" si="195"/>
        <v>0</v>
      </c>
      <c r="Y1172" s="381">
        <f t="shared" si="196"/>
        <v>0</v>
      </c>
    </row>
    <row r="1173" spans="1:25" x14ac:dyDescent="0.2">
      <c r="A1173" s="24">
        <f t="shared" si="188"/>
        <v>20.124197706575369</v>
      </c>
      <c r="B1173" s="383">
        <v>404.98333333333335</v>
      </c>
      <c r="C1173" s="32"/>
      <c r="D1173" s="381">
        <f t="shared" si="189"/>
        <v>0</v>
      </c>
      <c r="E1173" s="383">
        <v>404.98333333333335</v>
      </c>
      <c r="F1173" s="8"/>
      <c r="G1173" s="381">
        <f t="shared" si="190"/>
        <v>0</v>
      </c>
      <c r="H1173" s="383">
        <v>404.98333333333335</v>
      </c>
      <c r="I1173" s="32"/>
      <c r="J1173" s="381">
        <f t="shared" si="191"/>
        <v>0</v>
      </c>
      <c r="K1173" s="383">
        <v>404.98333333333335</v>
      </c>
      <c r="L1173" s="31"/>
      <c r="M1173" s="381">
        <f t="shared" si="192"/>
        <v>0</v>
      </c>
      <c r="N1173" s="383">
        <v>404.98333333333335</v>
      </c>
      <c r="O1173" s="32"/>
      <c r="P1173" s="381">
        <f t="shared" si="193"/>
        <v>0</v>
      </c>
      <c r="Q1173" s="383">
        <v>404.98333333333335</v>
      </c>
      <c r="R1173" s="32"/>
      <c r="S1173" s="25">
        <f t="shared" si="194"/>
        <v>0</v>
      </c>
      <c r="T1173" s="383">
        <v>404.98333333333335</v>
      </c>
      <c r="U1173" s="32"/>
      <c r="V1173" s="25">
        <f t="shared" si="197"/>
        <v>0</v>
      </c>
      <c r="W1173" s="32">
        <f t="shared" si="198"/>
        <v>404.98333333333335</v>
      </c>
      <c r="X1173" s="32">
        <f t="shared" si="195"/>
        <v>0</v>
      </c>
      <c r="Y1173" s="381">
        <f t="shared" si="196"/>
        <v>0</v>
      </c>
    </row>
    <row r="1174" spans="1:25" x14ac:dyDescent="0.2">
      <c r="A1174" s="24">
        <f t="shared" si="188"/>
        <v>20.24763360658886</v>
      </c>
      <c r="B1174" s="383">
        <v>409.96666666666664</v>
      </c>
      <c r="C1174" s="32"/>
      <c r="D1174" s="381">
        <f t="shared" si="189"/>
        <v>0</v>
      </c>
      <c r="E1174" s="383">
        <v>409.96666666666664</v>
      </c>
      <c r="F1174" s="8"/>
      <c r="G1174" s="381">
        <f t="shared" si="190"/>
        <v>0</v>
      </c>
      <c r="H1174" s="383">
        <v>409.96666666666664</v>
      </c>
      <c r="I1174" s="32"/>
      <c r="J1174" s="381">
        <f t="shared" si="191"/>
        <v>0</v>
      </c>
      <c r="K1174" s="383">
        <v>409.96666666666664</v>
      </c>
      <c r="L1174" s="31"/>
      <c r="M1174" s="381">
        <f t="shared" si="192"/>
        <v>0</v>
      </c>
      <c r="N1174" s="383">
        <v>409.96666666666664</v>
      </c>
      <c r="O1174" s="32"/>
      <c r="P1174" s="381">
        <f t="shared" si="193"/>
        <v>0</v>
      </c>
      <c r="Q1174" s="383">
        <v>409.96666666666664</v>
      </c>
      <c r="R1174" s="32"/>
      <c r="S1174" s="25">
        <f t="shared" si="194"/>
        <v>0</v>
      </c>
      <c r="T1174" s="383">
        <v>409.96666666666664</v>
      </c>
      <c r="U1174" s="32"/>
      <c r="V1174" s="25">
        <f t="shared" si="197"/>
        <v>0</v>
      </c>
      <c r="W1174" s="32">
        <f t="shared" si="198"/>
        <v>409.96666666666664</v>
      </c>
      <c r="X1174" s="32">
        <f t="shared" si="195"/>
        <v>0</v>
      </c>
      <c r="Y1174" s="381">
        <f t="shared" si="196"/>
        <v>0</v>
      </c>
    </row>
    <row r="1175" spans="1:25" x14ac:dyDescent="0.2">
      <c r="A1175" s="24">
        <f t="shared" si="188"/>
        <v>20.370730636544842</v>
      </c>
      <c r="B1175" s="383">
        <v>414.96666666666664</v>
      </c>
      <c r="C1175" s="32"/>
      <c r="D1175" s="381">
        <f t="shared" si="189"/>
        <v>0</v>
      </c>
      <c r="E1175" s="383">
        <v>414.96666666666664</v>
      </c>
      <c r="F1175" s="8"/>
      <c r="G1175" s="381">
        <f t="shared" si="190"/>
        <v>0</v>
      </c>
      <c r="H1175" s="383">
        <v>414.96666666666664</v>
      </c>
      <c r="I1175" s="32"/>
      <c r="J1175" s="381">
        <f t="shared" si="191"/>
        <v>0</v>
      </c>
      <c r="K1175" s="383">
        <v>414.96666666666664</v>
      </c>
      <c r="L1175" s="31"/>
      <c r="M1175" s="381">
        <f t="shared" si="192"/>
        <v>0</v>
      </c>
      <c r="N1175" s="383">
        <v>414.96666666666664</v>
      </c>
      <c r="O1175" s="32"/>
      <c r="P1175" s="381">
        <f t="shared" si="193"/>
        <v>0</v>
      </c>
      <c r="Q1175" s="383">
        <v>414.96666666666664</v>
      </c>
      <c r="R1175" s="32"/>
      <c r="S1175" s="25">
        <f t="shared" si="194"/>
        <v>0</v>
      </c>
      <c r="T1175" s="383">
        <v>414.96666666666664</v>
      </c>
      <c r="U1175" s="32"/>
      <c r="V1175" s="25">
        <f t="shared" si="197"/>
        <v>0</v>
      </c>
      <c r="W1175" s="32">
        <f t="shared" si="198"/>
        <v>414.96666666666664</v>
      </c>
      <c r="X1175" s="32">
        <f t="shared" si="195"/>
        <v>0</v>
      </c>
      <c r="Y1175" s="381">
        <f t="shared" si="196"/>
        <v>0</v>
      </c>
    </row>
    <row r="1176" spans="1:25" x14ac:dyDescent="0.2">
      <c r="A1176" s="24">
        <f t="shared" si="188"/>
        <v>20.493494902854742</v>
      </c>
      <c r="B1176" s="383">
        <v>419.98333333333335</v>
      </c>
      <c r="C1176" s="32"/>
      <c r="D1176" s="381">
        <f t="shared" si="189"/>
        <v>0</v>
      </c>
      <c r="E1176" s="383">
        <v>419.98333333333335</v>
      </c>
      <c r="F1176" s="8"/>
      <c r="G1176" s="381">
        <f t="shared" si="190"/>
        <v>0</v>
      </c>
      <c r="H1176" s="383">
        <v>419.98333333333335</v>
      </c>
      <c r="I1176" s="32"/>
      <c r="J1176" s="381">
        <f t="shared" si="191"/>
        <v>0</v>
      </c>
      <c r="K1176" s="383">
        <v>419.98333333333335</v>
      </c>
      <c r="L1176" s="31"/>
      <c r="M1176" s="381">
        <f t="shared" si="192"/>
        <v>0</v>
      </c>
      <c r="N1176" s="383">
        <v>419.98333333333335</v>
      </c>
      <c r="O1176" s="32"/>
      <c r="P1176" s="381">
        <f t="shared" si="193"/>
        <v>0</v>
      </c>
      <c r="Q1176" s="383">
        <v>419.98333333333335</v>
      </c>
      <c r="R1176" s="32"/>
      <c r="S1176" s="25">
        <f t="shared" si="194"/>
        <v>0</v>
      </c>
      <c r="T1176" s="383">
        <v>419.98333333333335</v>
      </c>
      <c r="U1176" s="32"/>
      <c r="V1176" s="25">
        <f t="shared" si="197"/>
        <v>0</v>
      </c>
      <c r="W1176" s="32">
        <f t="shared" si="198"/>
        <v>419.98333333333335</v>
      </c>
      <c r="X1176" s="32">
        <f t="shared" si="195"/>
        <v>0</v>
      </c>
      <c r="Y1176" s="381">
        <f t="shared" si="196"/>
        <v>0</v>
      </c>
    </row>
    <row r="1177" spans="1:25" x14ac:dyDescent="0.2">
      <c r="A1177" s="24">
        <f t="shared" si="188"/>
        <v>20.614719660152225</v>
      </c>
      <c r="B1177" s="383">
        <v>424.96666666666664</v>
      </c>
      <c r="C1177" s="32"/>
      <c r="D1177" s="381">
        <f t="shared" si="189"/>
        <v>0</v>
      </c>
      <c r="E1177" s="383">
        <v>424.96666666666664</v>
      </c>
      <c r="F1177" s="8"/>
      <c r="G1177" s="381">
        <f t="shared" si="190"/>
        <v>0</v>
      </c>
      <c r="H1177" s="383">
        <v>424.96666666666664</v>
      </c>
      <c r="I1177" s="32"/>
      <c r="J1177" s="381">
        <f t="shared" si="191"/>
        <v>0</v>
      </c>
      <c r="K1177" s="383">
        <v>424.96666666666664</v>
      </c>
      <c r="L1177" s="31"/>
      <c r="M1177" s="381">
        <f t="shared" si="192"/>
        <v>0</v>
      </c>
      <c r="N1177" s="383">
        <v>424.96666666666664</v>
      </c>
      <c r="O1177" s="32"/>
      <c r="P1177" s="381">
        <f t="shared" si="193"/>
        <v>0</v>
      </c>
      <c r="Q1177" s="383">
        <v>424.96666666666664</v>
      </c>
      <c r="R1177" s="32"/>
      <c r="S1177" s="25">
        <f t="shared" si="194"/>
        <v>0</v>
      </c>
      <c r="T1177" s="383">
        <v>424.96666666666664</v>
      </c>
      <c r="U1177" s="32"/>
      <c r="V1177" s="25">
        <f t="shared" si="197"/>
        <v>0</v>
      </c>
      <c r="W1177" s="32">
        <f t="shared" si="198"/>
        <v>424.96666666666664</v>
      </c>
      <c r="X1177" s="32">
        <f t="shared" si="195"/>
        <v>0</v>
      </c>
      <c r="Y1177" s="381">
        <f t="shared" si="196"/>
        <v>0</v>
      </c>
    </row>
    <row r="1178" spans="1:25" x14ac:dyDescent="0.2">
      <c r="A1178" s="24">
        <f t="shared" si="188"/>
        <v>20.735637599713847</v>
      </c>
      <c r="B1178" s="383">
        <v>429.96666666666664</v>
      </c>
      <c r="C1178" s="32"/>
      <c r="D1178" s="381">
        <f t="shared" si="189"/>
        <v>0</v>
      </c>
      <c r="E1178" s="383">
        <v>429.96666666666664</v>
      </c>
      <c r="F1178" s="8"/>
      <c r="G1178" s="381">
        <f t="shared" si="190"/>
        <v>0</v>
      </c>
      <c r="H1178" s="383">
        <v>429.96666666666664</v>
      </c>
      <c r="I1178" s="32"/>
      <c r="J1178" s="381">
        <f t="shared" si="191"/>
        <v>0</v>
      </c>
      <c r="K1178" s="383">
        <v>429.96666666666664</v>
      </c>
      <c r="L1178" s="31"/>
      <c r="M1178" s="381">
        <f t="shared" si="192"/>
        <v>0</v>
      </c>
      <c r="N1178" s="383">
        <v>429.96666666666664</v>
      </c>
      <c r="O1178" s="32"/>
      <c r="P1178" s="381">
        <f t="shared" si="193"/>
        <v>0</v>
      </c>
      <c r="Q1178" s="383">
        <v>429.96666666666664</v>
      </c>
      <c r="R1178" s="32"/>
      <c r="S1178" s="25">
        <f t="shared" si="194"/>
        <v>0</v>
      </c>
      <c r="T1178" s="383">
        <v>429.96666666666664</v>
      </c>
      <c r="U1178" s="32"/>
      <c r="V1178" s="25">
        <f t="shared" si="197"/>
        <v>0</v>
      </c>
      <c r="W1178" s="32">
        <f t="shared" si="198"/>
        <v>429.96666666666664</v>
      </c>
      <c r="X1178" s="32">
        <f t="shared" si="195"/>
        <v>0</v>
      </c>
      <c r="Y1178" s="381">
        <f t="shared" si="196"/>
        <v>0</v>
      </c>
    </row>
    <row r="1179" spans="1:25" x14ac:dyDescent="0.2">
      <c r="A1179" s="24">
        <f t="shared" si="188"/>
        <v>20.856254058035766</v>
      </c>
      <c r="B1179" s="383">
        <v>434.98333333333335</v>
      </c>
      <c r="C1179" s="32"/>
      <c r="D1179" s="381">
        <f t="shared" si="189"/>
        <v>0</v>
      </c>
      <c r="E1179" s="383">
        <v>434.98333333333335</v>
      </c>
      <c r="F1179" s="8"/>
      <c r="G1179" s="381">
        <f t="shared" si="190"/>
        <v>0</v>
      </c>
      <c r="H1179" s="383">
        <v>434.98333333333335</v>
      </c>
      <c r="I1179" s="32"/>
      <c r="J1179" s="381">
        <f t="shared" si="191"/>
        <v>0</v>
      </c>
      <c r="K1179" s="383">
        <v>434.98333333333335</v>
      </c>
      <c r="L1179" s="31"/>
      <c r="M1179" s="381">
        <f t="shared" si="192"/>
        <v>0</v>
      </c>
      <c r="N1179" s="383">
        <v>434.98333333333335</v>
      </c>
      <c r="O1179" s="32"/>
      <c r="P1179" s="381">
        <f t="shared" si="193"/>
        <v>0</v>
      </c>
      <c r="Q1179" s="383">
        <v>434.98333333333335</v>
      </c>
      <c r="R1179" s="32"/>
      <c r="S1179" s="25">
        <f t="shared" si="194"/>
        <v>0</v>
      </c>
      <c r="T1179" s="383">
        <v>434.98333333333335</v>
      </c>
      <c r="U1179" s="32"/>
      <c r="V1179" s="25">
        <f t="shared" si="197"/>
        <v>0</v>
      </c>
      <c r="W1179" s="32">
        <f t="shared" si="198"/>
        <v>434.98333333333335</v>
      </c>
      <c r="X1179" s="32">
        <f t="shared" si="195"/>
        <v>0</v>
      </c>
      <c r="Y1179" s="381">
        <f t="shared" si="196"/>
        <v>0</v>
      </c>
    </row>
    <row r="1180" spans="1:25" x14ac:dyDescent="0.2">
      <c r="A1180" s="24">
        <f t="shared" si="188"/>
        <v>20.975382396196419</v>
      </c>
      <c r="B1180" s="383">
        <v>439.96666666666664</v>
      </c>
      <c r="C1180" s="32"/>
      <c r="D1180" s="381">
        <f t="shared" si="189"/>
        <v>0</v>
      </c>
      <c r="E1180" s="383">
        <v>439.96666666666664</v>
      </c>
      <c r="F1180" s="8"/>
      <c r="G1180" s="381">
        <f t="shared" si="190"/>
        <v>0</v>
      </c>
      <c r="H1180" s="383">
        <v>439.96666666666664</v>
      </c>
      <c r="I1180" s="32"/>
      <c r="J1180" s="381">
        <f t="shared" si="191"/>
        <v>0</v>
      </c>
      <c r="K1180" s="383">
        <v>439.96666666666664</v>
      </c>
      <c r="L1180" s="31"/>
      <c r="M1180" s="381">
        <f t="shared" si="192"/>
        <v>0</v>
      </c>
      <c r="N1180" s="383">
        <v>439.96666666666664</v>
      </c>
      <c r="O1180" s="32"/>
      <c r="P1180" s="381">
        <f t="shared" si="193"/>
        <v>0</v>
      </c>
      <c r="Q1180" s="383">
        <v>439.96666666666664</v>
      </c>
      <c r="R1180" s="32"/>
      <c r="S1180" s="25">
        <f t="shared" si="194"/>
        <v>0</v>
      </c>
      <c r="T1180" s="383">
        <v>439.96666666666664</v>
      </c>
      <c r="U1180" s="32"/>
      <c r="V1180" s="25">
        <f t="shared" si="197"/>
        <v>0</v>
      </c>
      <c r="W1180" s="32">
        <f t="shared" si="198"/>
        <v>439.96666666666664</v>
      </c>
      <c r="X1180" s="32">
        <f t="shared" si="195"/>
        <v>0</v>
      </c>
      <c r="Y1180" s="381">
        <f t="shared" si="196"/>
        <v>0</v>
      </c>
    </row>
    <row r="1181" spans="1:25" x14ac:dyDescent="0.2">
      <c r="A1181" s="24">
        <f t="shared" si="188"/>
        <v>21.094233019161106</v>
      </c>
      <c r="B1181" s="383">
        <v>444.96666666666664</v>
      </c>
      <c r="C1181" s="32"/>
      <c r="D1181" s="381">
        <f t="shared" si="189"/>
        <v>0</v>
      </c>
      <c r="E1181" s="383">
        <v>444.96666666666664</v>
      </c>
      <c r="F1181" s="8"/>
      <c r="G1181" s="381">
        <f t="shared" si="190"/>
        <v>0</v>
      </c>
      <c r="H1181" s="383">
        <v>444.96666666666664</v>
      </c>
      <c r="I1181" s="32"/>
      <c r="J1181" s="381">
        <f t="shared" si="191"/>
        <v>0</v>
      </c>
      <c r="K1181" s="383">
        <v>444.96666666666664</v>
      </c>
      <c r="L1181" s="31"/>
      <c r="M1181" s="381">
        <f t="shared" si="192"/>
        <v>0</v>
      </c>
      <c r="N1181" s="383">
        <v>444.96666666666664</v>
      </c>
      <c r="O1181" s="32"/>
      <c r="P1181" s="381">
        <f t="shared" si="193"/>
        <v>0</v>
      </c>
      <c r="Q1181" s="383">
        <v>444.96666666666664</v>
      </c>
      <c r="R1181" s="32"/>
      <c r="S1181" s="25">
        <f t="shared" si="194"/>
        <v>0</v>
      </c>
      <c r="T1181" s="383">
        <v>444.96666666666664</v>
      </c>
      <c r="U1181" s="32"/>
      <c r="V1181" s="25">
        <f t="shared" si="197"/>
        <v>0</v>
      </c>
      <c r="W1181" s="32">
        <f t="shared" si="198"/>
        <v>444.96666666666664</v>
      </c>
      <c r="X1181" s="32">
        <f t="shared" si="195"/>
        <v>0</v>
      </c>
      <c r="Y1181" s="381">
        <f t="shared" si="196"/>
        <v>0</v>
      </c>
    </row>
    <row r="1182" spans="1:25" x14ac:dyDescent="0.2">
      <c r="A1182" s="24">
        <f t="shared" si="188"/>
        <v>21.212810594858318</v>
      </c>
      <c r="B1182" s="383">
        <v>449.98333333333335</v>
      </c>
      <c r="C1182" s="32"/>
      <c r="D1182" s="381">
        <f t="shared" si="189"/>
        <v>0</v>
      </c>
      <c r="E1182" s="383">
        <v>449.98333333333335</v>
      </c>
      <c r="F1182" s="8"/>
      <c r="G1182" s="381">
        <f t="shared" si="190"/>
        <v>0</v>
      </c>
      <c r="H1182" s="383">
        <v>449.98333333333335</v>
      </c>
      <c r="I1182" s="32"/>
      <c r="J1182" s="381">
        <f t="shared" si="191"/>
        <v>0</v>
      </c>
      <c r="K1182" s="383">
        <v>449.98333333333335</v>
      </c>
      <c r="L1182" s="31"/>
      <c r="M1182" s="381">
        <f t="shared" si="192"/>
        <v>0</v>
      </c>
      <c r="N1182" s="383">
        <v>449.98333333333335</v>
      </c>
      <c r="O1182" s="32"/>
      <c r="P1182" s="381">
        <f t="shared" si="193"/>
        <v>0</v>
      </c>
      <c r="Q1182" s="383">
        <v>449.98333333333335</v>
      </c>
      <c r="R1182" s="32"/>
      <c r="S1182" s="25">
        <f t="shared" si="194"/>
        <v>0</v>
      </c>
      <c r="T1182" s="383">
        <v>449.98333333333335</v>
      </c>
      <c r="U1182" s="32"/>
      <c r="V1182" s="25">
        <f t="shared" si="197"/>
        <v>0</v>
      </c>
      <c r="W1182" s="32">
        <f t="shared" si="198"/>
        <v>449.98333333333335</v>
      </c>
      <c r="X1182" s="32">
        <f t="shared" si="195"/>
        <v>0</v>
      </c>
      <c r="Y1182" s="381">
        <f t="shared" si="196"/>
        <v>0</v>
      </c>
    </row>
    <row r="1183" spans="1:25" x14ac:dyDescent="0.2">
      <c r="A1183" s="24">
        <f t="shared" si="188"/>
        <v>21.329947648005763</v>
      </c>
      <c r="B1183" s="383">
        <v>454.96666666666664</v>
      </c>
      <c r="C1183" s="32"/>
      <c r="D1183" s="381">
        <f t="shared" si="189"/>
        <v>0</v>
      </c>
      <c r="E1183" s="383">
        <v>454.96666666666664</v>
      </c>
      <c r="F1183" s="8"/>
      <c r="G1183" s="381">
        <f t="shared" si="190"/>
        <v>0</v>
      </c>
      <c r="H1183" s="383">
        <v>454.96666666666664</v>
      </c>
      <c r="I1183" s="32"/>
      <c r="J1183" s="381">
        <f t="shared" si="191"/>
        <v>0</v>
      </c>
      <c r="K1183" s="383">
        <v>454.96666666666664</v>
      </c>
      <c r="L1183" s="31"/>
      <c r="M1183" s="381">
        <f t="shared" si="192"/>
        <v>0</v>
      </c>
      <c r="N1183" s="383">
        <v>454.96666666666664</v>
      </c>
      <c r="O1183" s="32"/>
      <c r="P1183" s="381">
        <f t="shared" si="193"/>
        <v>0</v>
      </c>
      <c r="Q1183" s="383">
        <v>454.96666666666664</v>
      </c>
      <c r="R1183" s="32"/>
      <c r="S1183" s="25">
        <f t="shared" si="194"/>
        <v>0</v>
      </c>
      <c r="T1183" s="383">
        <v>454.96666666666664</v>
      </c>
      <c r="U1183" s="32"/>
      <c r="V1183" s="25">
        <f t="shared" si="197"/>
        <v>0</v>
      </c>
      <c r="W1183" s="32">
        <f t="shared" si="198"/>
        <v>454.96666666666664</v>
      </c>
      <c r="X1183" s="32">
        <f t="shared" si="195"/>
        <v>0</v>
      </c>
      <c r="Y1183" s="381">
        <f t="shared" si="196"/>
        <v>0</v>
      </c>
    </row>
    <row r="1184" spans="1:25" x14ac:dyDescent="0.2">
      <c r="A1184" s="24">
        <f t="shared" si="188"/>
        <v>21.446833488108837</v>
      </c>
      <c r="B1184" s="383">
        <v>459.96666666666664</v>
      </c>
      <c r="C1184" s="32"/>
      <c r="D1184" s="381">
        <f t="shared" si="189"/>
        <v>0</v>
      </c>
      <c r="E1184" s="383">
        <v>459.96666666666664</v>
      </c>
      <c r="F1184" s="8"/>
      <c r="G1184" s="381">
        <f t="shared" si="190"/>
        <v>0</v>
      </c>
      <c r="H1184" s="383">
        <v>459.96666666666664</v>
      </c>
      <c r="I1184" s="32"/>
      <c r="J1184" s="381">
        <f t="shared" si="191"/>
        <v>0</v>
      </c>
      <c r="K1184" s="383">
        <v>459.96666666666664</v>
      </c>
      <c r="L1184" s="31"/>
      <c r="M1184" s="381">
        <f t="shared" si="192"/>
        <v>0</v>
      </c>
      <c r="N1184" s="383">
        <v>459.96666666666664</v>
      </c>
      <c r="O1184" s="32"/>
      <c r="P1184" s="381">
        <f t="shared" si="193"/>
        <v>0</v>
      </c>
      <c r="Q1184" s="383">
        <v>459.96666666666664</v>
      </c>
      <c r="R1184" s="32"/>
      <c r="S1184" s="25">
        <f t="shared" si="194"/>
        <v>0</v>
      </c>
      <c r="T1184" s="383">
        <v>459.96666666666664</v>
      </c>
      <c r="U1184" s="32"/>
      <c r="V1184" s="25">
        <f t="shared" si="197"/>
        <v>0</v>
      </c>
      <c r="W1184" s="32">
        <f t="shared" si="198"/>
        <v>459.96666666666664</v>
      </c>
      <c r="X1184" s="32">
        <f t="shared" si="195"/>
        <v>0</v>
      </c>
      <c r="Y1184" s="381">
        <f t="shared" si="196"/>
        <v>0</v>
      </c>
    </row>
    <row r="1185" spans="1:25" x14ac:dyDescent="0.2">
      <c r="A1185" s="24">
        <f t="shared" si="188"/>
        <v>21.563472200305156</v>
      </c>
      <c r="B1185" s="383">
        <v>464.98333333333335</v>
      </c>
      <c r="C1185" s="32"/>
      <c r="D1185" s="381">
        <f t="shared" si="189"/>
        <v>0</v>
      </c>
      <c r="E1185" s="383">
        <v>464.98333333333335</v>
      </c>
      <c r="F1185" s="8"/>
      <c r="G1185" s="381">
        <f t="shared" si="190"/>
        <v>0</v>
      </c>
      <c r="H1185" s="383">
        <v>464.98333333333335</v>
      </c>
      <c r="I1185" s="32"/>
      <c r="J1185" s="381">
        <f t="shared" si="191"/>
        <v>0</v>
      </c>
      <c r="K1185" s="383">
        <v>464.98333333333335</v>
      </c>
      <c r="L1185" s="31"/>
      <c r="M1185" s="381">
        <f t="shared" si="192"/>
        <v>0</v>
      </c>
      <c r="N1185" s="383">
        <v>464.98333333333335</v>
      </c>
      <c r="O1185" s="32"/>
      <c r="P1185" s="381">
        <f t="shared" si="193"/>
        <v>0</v>
      </c>
      <c r="Q1185" s="383">
        <v>464.98333333333335</v>
      </c>
      <c r="R1185" s="32"/>
      <c r="S1185" s="25">
        <f t="shared" si="194"/>
        <v>0</v>
      </c>
      <c r="T1185" s="383">
        <v>464.98333333333335</v>
      </c>
      <c r="U1185" s="32"/>
      <c r="V1185" s="25">
        <f t="shared" si="197"/>
        <v>0</v>
      </c>
      <c r="W1185" s="32">
        <f t="shared" si="198"/>
        <v>464.98333333333335</v>
      </c>
      <c r="X1185" s="32">
        <f t="shared" si="195"/>
        <v>0</v>
      </c>
      <c r="Y1185" s="381">
        <f t="shared" si="196"/>
        <v>0</v>
      </c>
    </row>
    <row r="1186" spans="1:25" x14ac:dyDescent="0.2">
      <c r="A1186" s="24">
        <f t="shared" si="188"/>
        <v>21.678714599040845</v>
      </c>
      <c r="B1186" s="383">
        <v>469.96666666666664</v>
      </c>
      <c r="C1186" s="32"/>
      <c r="D1186" s="381">
        <f t="shared" si="189"/>
        <v>0</v>
      </c>
      <c r="E1186" s="383">
        <v>469.96666666666664</v>
      </c>
      <c r="F1186" s="8"/>
      <c r="G1186" s="381">
        <f t="shared" si="190"/>
        <v>0</v>
      </c>
      <c r="H1186" s="383">
        <v>469.96666666666664</v>
      </c>
      <c r="I1186" s="32"/>
      <c r="J1186" s="381">
        <f t="shared" si="191"/>
        <v>0</v>
      </c>
      <c r="K1186" s="383">
        <v>469.96666666666664</v>
      </c>
      <c r="L1186" s="31"/>
      <c r="M1186" s="381">
        <f t="shared" si="192"/>
        <v>0</v>
      </c>
      <c r="N1186" s="383">
        <v>469.96666666666664</v>
      </c>
      <c r="O1186" s="32"/>
      <c r="P1186" s="381">
        <f t="shared" si="193"/>
        <v>0</v>
      </c>
      <c r="Q1186" s="383">
        <v>469.96666666666664</v>
      </c>
      <c r="R1186" s="32"/>
      <c r="S1186" s="25">
        <f t="shared" si="194"/>
        <v>0</v>
      </c>
      <c r="T1186" s="383">
        <v>469.96666666666664</v>
      </c>
      <c r="U1186" s="32"/>
      <c r="V1186" s="25">
        <f t="shared" si="197"/>
        <v>0</v>
      </c>
      <c r="W1186" s="32">
        <f t="shared" si="198"/>
        <v>469.96666666666664</v>
      </c>
      <c r="X1186" s="32">
        <f t="shared" si="195"/>
        <v>0</v>
      </c>
      <c r="Y1186" s="381">
        <f t="shared" si="196"/>
        <v>0</v>
      </c>
    </row>
    <row r="1187" spans="1:25" x14ac:dyDescent="0.2">
      <c r="A1187" s="24">
        <f t="shared" si="188"/>
        <v>21.793729985173869</v>
      </c>
      <c r="B1187" s="383">
        <v>474.96666666666664</v>
      </c>
      <c r="C1187" s="32"/>
      <c r="D1187" s="381">
        <f t="shared" si="189"/>
        <v>0</v>
      </c>
      <c r="E1187" s="383">
        <v>474.96666666666664</v>
      </c>
      <c r="F1187" s="8"/>
      <c r="G1187" s="381">
        <f t="shared" si="190"/>
        <v>0</v>
      </c>
      <c r="H1187" s="383">
        <v>474.96666666666664</v>
      </c>
      <c r="I1187" s="32"/>
      <c r="J1187" s="381">
        <f t="shared" si="191"/>
        <v>0</v>
      </c>
      <c r="K1187" s="383">
        <v>474.96666666666664</v>
      </c>
      <c r="L1187" s="31"/>
      <c r="M1187" s="381">
        <f t="shared" si="192"/>
        <v>0</v>
      </c>
      <c r="N1187" s="383">
        <v>474.96666666666664</v>
      </c>
      <c r="O1187" s="32"/>
      <c r="P1187" s="381">
        <f t="shared" si="193"/>
        <v>0</v>
      </c>
      <c r="Q1187" s="383">
        <v>474.96666666666664</v>
      </c>
      <c r="R1187" s="32"/>
      <c r="S1187" s="25">
        <f t="shared" si="194"/>
        <v>0</v>
      </c>
      <c r="T1187" s="383">
        <v>474.96666666666664</v>
      </c>
      <c r="U1187" s="32"/>
      <c r="V1187" s="25">
        <f t="shared" si="197"/>
        <v>0</v>
      </c>
      <c r="W1187" s="32">
        <f t="shared" si="198"/>
        <v>474.96666666666664</v>
      </c>
      <c r="X1187" s="32">
        <f t="shared" si="195"/>
        <v>0</v>
      </c>
      <c r="Y1187" s="381">
        <f t="shared" si="196"/>
        <v>0</v>
      </c>
    </row>
    <row r="1188" spans="1:25" x14ac:dyDescent="0.2">
      <c r="A1188" s="24">
        <f t="shared" si="188"/>
        <v>21.908521934017671</v>
      </c>
      <c r="B1188" s="383">
        <v>479.98333333333335</v>
      </c>
      <c r="C1188" s="32"/>
      <c r="D1188" s="381">
        <f t="shared" si="189"/>
        <v>0</v>
      </c>
      <c r="E1188" s="383">
        <v>479.98333333333335</v>
      </c>
      <c r="F1188" s="8"/>
      <c r="G1188" s="381">
        <f t="shared" si="190"/>
        <v>0</v>
      </c>
      <c r="H1188" s="383">
        <v>479.98333333333335</v>
      </c>
      <c r="I1188" s="32"/>
      <c r="J1188" s="381">
        <f t="shared" si="191"/>
        <v>0</v>
      </c>
      <c r="K1188" s="383">
        <v>479.98333333333335</v>
      </c>
      <c r="L1188" s="31"/>
      <c r="M1188" s="381">
        <f t="shared" si="192"/>
        <v>0</v>
      </c>
      <c r="N1188" s="383">
        <v>479.98333333333335</v>
      </c>
      <c r="O1188" s="32"/>
      <c r="P1188" s="381">
        <f t="shared" si="193"/>
        <v>0</v>
      </c>
      <c r="Q1188" s="383">
        <v>479.98333333333335</v>
      </c>
      <c r="R1188" s="32"/>
      <c r="S1188" s="25">
        <f t="shared" si="194"/>
        <v>0</v>
      </c>
      <c r="T1188" s="383">
        <v>479.98333333333335</v>
      </c>
      <c r="U1188" s="32"/>
      <c r="V1188" s="25">
        <f t="shared" si="197"/>
        <v>0</v>
      </c>
      <c r="W1188" s="32">
        <f t="shared" si="198"/>
        <v>479.98333333333335</v>
      </c>
      <c r="X1188" s="32">
        <f t="shared" si="195"/>
        <v>0</v>
      </c>
      <c r="Y1188" s="381">
        <f t="shared" si="196"/>
        <v>0</v>
      </c>
    </row>
    <row r="1189" spans="1:25" x14ac:dyDescent="0.2">
      <c r="A1189" s="24">
        <f t="shared" ref="A1189:A1252" si="199">SQRT(B1189)</f>
        <v>22.022337145120026</v>
      </c>
      <c r="B1189" s="383">
        <v>484.98333333333335</v>
      </c>
      <c r="C1189" s="32"/>
      <c r="D1189" s="381">
        <f t="shared" si="189"/>
        <v>0</v>
      </c>
      <c r="E1189" s="383">
        <v>484.98333333333335</v>
      </c>
      <c r="F1189" s="8"/>
      <c r="G1189" s="381">
        <f t="shared" si="190"/>
        <v>0</v>
      </c>
      <c r="H1189" s="383">
        <v>484.98333333333335</v>
      </c>
      <c r="I1189" s="32"/>
      <c r="J1189" s="381">
        <f t="shared" si="191"/>
        <v>0</v>
      </c>
      <c r="K1189" s="383">
        <v>484.98333333333335</v>
      </c>
      <c r="L1189" s="31"/>
      <c r="M1189" s="381">
        <f t="shared" si="192"/>
        <v>0</v>
      </c>
      <c r="N1189" s="383">
        <v>484.98333333333335</v>
      </c>
      <c r="O1189" s="32"/>
      <c r="P1189" s="381">
        <f t="shared" si="193"/>
        <v>0</v>
      </c>
      <c r="Q1189" s="383">
        <v>484.98333333333335</v>
      </c>
      <c r="R1189" s="32"/>
      <c r="S1189" s="25">
        <f t="shared" si="194"/>
        <v>0</v>
      </c>
      <c r="T1189" s="383">
        <v>484.98333333333335</v>
      </c>
      <c r="U1189" s="32"/>
      <c r="V1189" s="25">
        <f t="shared" si="197"/>
        <v>0</v>
      </c>
      <c r="W1189" s="32">
        <f t="shared" si="198"/>
        <v>484.98333333333335</v>
      </c>
      <c r="X1189" s="32">
        <f t="shared" si="195"/>
        <v>0</v>
      </c>
      <c r="Y1189" s="381">
        <f t="shared" si="196"/>
        <v>0</v>
      </c>
    </row>
    <row r="1190" spans="1:25" x14ac:dyDescent="0.2">
      <c r="A1190" s="24">
        <f t="shared" si="199"/>
        <v>22.135190685120982</v>
      </c>
      <c r="B1190" s="383">
        <v>489.96666666666664</v>
      </c>
      <c r="C1190" s="32"/>
      <c r="D1190" s="381">
        <f t="shared" si="189"/>
        <v>0</v>
      </c>
      <c r="E1190" s="383">
        <v>489.96666666666664</v>
      </c>
      <c r="F1190" s="8"/>
      <c r="G1190" s="381">
        <f t="shared" si="190"/>
        <v>0</v>
      </c>
      <c r="H1190" s="383">
        <v>489.96666666666664</v>
      </c>
      <c r="I1190" s="32"/>
      <c r="J1190" s="381">
        <f t="shared" si="191"/>
        <v>0</v>
      </c>
      <c r="K1190" s="383">
        <v>489.96666666666664</v>
      </c>
      <c r="L1190" s="31"/>
      <c r="M1190" s="381">
        <f t="shared" si="192"/>
        <v>0</v>
      </c>
      <c r="N1190" s="383">
        <v>489.96666666666664</v>
      </c>
      <c r="O1190" s="32"/>
      <c r="P1190" s="381">
        <f t="shared" si="193"/>
        <v>0</v>
      </c>
      <c r="Q1190" s="383">
        <v>489.96666666666664</v>
      </c>
      <c r="R1190" s="32"/>
      <c r="S1190" s="25">
        <f t="shared" si="194"/>
        <v>0</v>
      </c>
      <c r="T1190" s="383">
        <v>489.96666666666664</v>
      </c>
      <c r="U1190" s="32"/>
      <c r="V1190" s="25">
        <f t="shared" si="197"/>
        <v>0</v>
      </c>
      <c r="W1190" s="32">
        <f t="shared" si="198"/>
        <v>489.96666666666664</v>
      </c>
      <c r="X1190" s="32">
        <f t="shared" si="195"/>
        <v>0</v>
      </c>
      <c r="Y1190" s="381">
        <f t="shared" si="196"/>
        <v>0</v>
      </c>
    </row>
    <row r="1191" spans="1:25" x14ac:dyDescent="0.2">
      <c r="A1191" s="24">
        <f t="shared" si="199"/>
        <v>22.247846337716975</v>
      </c>
      <c r="B1191" s="383">
        <v>494.96666666666664</v>
      </c>
      <c r="C1191" s="32"/>
      <c r="D1191" s="381">
        <f t="shared" si="189"/>
        <v>0</v>
      </c>
      <c r="E1191" s="383">
        <v>494.96666666666664</v>
      </c>
      <c r="F1191" s="8"/>
      <c r="G1191" s="381">
        <f t="shared" si="190"/>
        <v>0</v>
      </c>
      <c r="H1191" s="383">
        <v>494.96666666666664</v>
      </c>
      <c r="I1191" s="32"/>
      <c r="J1191" s="381">
        <f t="shared" si="191"/>
        <v>0</v>
      </c>
      <c r="K1191" s="383">
        <v>494.96666666666664</v>
      </c>
      <c r="L1191" s="31"/>
      <c r="M1191" s="381">
        <f t="shared" si="192"/>
        <v>0</v>
      </c>
      <c r="N1191" s="383">
        <v>494.96666666666664</v>
      </c>
      <c r="O1191" s="32"/>
      <c r="P1191" s="381">
        <f t="shared" si="193"/>
        <v>0</v>
      </c>
      <c r="Q1191" s="383">
        <v>494.96666666666664</v>
      </c>
      <c r="R1191" s="32"/>
      <c r="S1191" s="25">
        <f t="shared" si="194"/>
        <v>0</v>
      </c>
      <c r="T1191" s="383">
        <v>494.96666666666664</v>
      </c>
      <c r="U1191" s="32"/>
      <c r="V1191" s="25">
        <f t="shared" si="197"/>
        <v>0</v>
      </c>
      <c r="W1191" s="32">
        <f t="shared" si="198"/>
        <v>494.96666666666664</v>
      </c>
      <c r="X1191" s="32">
        <f t="shared" si="195"/>
        <v>0</v>
      </c>
      <c r="Y1191" s="381">
        <f t="shared" si="196"/>
        <v>0</v>
      </c>
    </row>
    <row r="1192" spans="1:25" x14ac:dyDescent="0.2">
      <c r="A1192" s="24">
        <f t="shared" si="199"/>
        <v>22.360307093895944</v>
      </c>
      <c r="B1192" s="383">
        <v>499.98333333333335</v>
      </c>
      <c r="C1192" s="32"/>
      <c r="D1192" s="381">
        <f t="shared" si="189"/>
        <v>0</v>
      </c>
      <c r="E1192" s="383">
        <v>499.98333333333335</v>
      </c>
      <c r="F1192" s="8"/>
      <c r="G1192" s="381">
        <f t="shared" si="190"/>
        <v>0</v>
      </c>
      <c r="H1192" s="383">
        <v>499.98333333333335</v>
      </c>
      <c r="I1192" s="32"/>
      <c r="J1192" s="381">
        <f t="shared" si="191"/>
        <v>0</v>
      </c>
      <c r="K1192" s="383">
        <v>499.98333333333335</v>
      </c>
      <c r="L1192" s="31"/>
      <c r="M1192" s="381">
        <f t="shared" si="192"/>
        <v>0</v>
      </c>
      <c r="N1192" s="383">
        <v>499.98333333333335</v>
      </c>
      <c r="O1192" s="32"/>
      <c r="P1192" s="381">
        <f t="shared" si="193"/>
        <v>0</v>
      </c>
      <c r="Q1192" s="383">
        <v>499.98333333333335</v>
      </c>
      <c r="R1192" s="32"/>
      <c r="S1192" s="25">
        <f t="shared" si="194"/>
        <v>0</v>
      </c>
      <c r="T1192" s="383">
        <v>499.98333333333335</v>
      </c>
      <c r="U1192" s="32"/>
      <c r="V1192" s="25">
        <f t="shared" si="197"/>
        <v>0</v>
      </c>
      <c r="W1192" s="32">
        <f t="shared" si="198"/>
        <v>499.98333333333335</v>
      </c>
      <c r="X1192" s="32">
        <f t="shared" si="195"/>
        <v>0</v>
      </c>
      <c r="Y1192" s="381">
        <f t="shared" si="196"/>
        <v>0</v>
      </c>
    </row>
    <row r="1193" spans="1:25" x14ac:dyDescent="0.2">
      <c r="A1193" s="24">
        <f t="shared" si="199"/>
        <v>22.471463385072781</v>
      </c>
      <c r="B1193" s="383">
        <v>504.96666666666664</v>
      </c>
      <c r="C1193" s="32"/>
      <c r="D1193" s="381">
        <f t="shared" si="189"/>
        <v>0</v>
      </c>
      <c r="E1193" s="383">
        <v>504.96666666666664</v>
      </c>
      <c r="F1193" s="8"/>
      <c r="G1193" s="381">
        <f t="shared" si="190"/>
        <v>0</v>
      </c>
      <c r="H1193" s="383">
        <v>504.96666666666664</v>
      </c>
      <c r="I1193" s="32"/>
      <c r="J1193" s="381">
        <f t="shared" si="191"/>
        <v>0</v>
      </c>
      <c r="K1193" s="383">
        <v>504.96666666666664</v>
      </c>
      <c r="L1193" s="31"/>
      <c r="M1193" s="381">
        <f t="shared" si="192"/>
        <v>0</v>
      </c>
      <c r="N1193" s="383">
        <v>504.96666666666664</v>
      </c>
      <c r="O1193" s="32"/>
      <c r="P1193" s="381">
        <f t="shared" si="193"/>
        <v>0</v>
      </c>
      <c r="Q1193" s="383">
        <v>504.96666666666664</v>
      </c>
      <c r="R1193" s="32"/>
      <c r="S1193" s="25">
        <f t="shared" si="194"/>
        <v>0</v>
      </c>
      <c r="T1193" s="383">
        <v>504.96666666666664</v>
      </c>
      <c r="U1193" s="32"/>
      <c r="V1193" s="25">
        <f t="shared" si="197"/>
        <v>0</v>
      </c>
      <c r="W1193" s="32">
        <f t="shared" si="198"/>
        <v>504.96666666666664</v>
      </c>
      <c r="X1193" s="32">
        <f t="shared" si="195"/>
        <v>0</v>
      </c>
      <c r="Y1193" s="381">
        <f t="shared" si="196"/>
        <v>0</v>
      </c>
    </row>
    <row r="1194" spans="1:25" x14ac:dyDescent="0.2">
      <c r="A1194" s="24">
        <f t="shared" si="199"/>
        <v>22.582441556808391</v>
      </c>
      <c r="B1194" s="383">
        <v>509.96666666666664</v>
      </c>
      <c r="C1194" s="32"/>
      <c r="D1194" s="381">
        <f t="shared" si="189"/>
        <v>0</v>
      </c>
      <c r="E1194" s="383">
        <v>509.96666666666664</v>
      </c>
      <c r="F1194" s="8"/>
      <c r="G1194" s="381">
        <f t="shared" si="190"/>
        <v>0</v>
      </c>
      <c r="H1194" s="383">
        <v>509.96666666666664</v>
      </c>
      <c r="I1194" s="32"/>
      <c r="J1194" s="381">
        <f t="shared" si="191"/>
        <v>0</v>
      </c>
      <c r="K1194" s="383">
        <v>509.96666666666664</v>
      </c>
      <c r="L1194" s="31"/>
      <c r="M1194" s="381">
        <f t="shared" si="192"/>
        <v>0</v>
      </c>
      <c r="N1194" s="383">
        <v>509.96666666666664</v>
      </c>
      <c r="O1194" s="32"/>
      <c r="P1194" s="381">
        <f t="shared" si="193"/>
        <v>0</v>
      </c>
      <c r="Q1194" s="383">
        <v>509.96666666666664</v>
      </c>
      <c r="R1194" s="32"/>
      <c r="S1194" s="25">
        <f t="shared" si="194"/>
        <v>0</v>
      </c>
      <c r="T1194" s="383">
        <v>509.96666666666664</v>
      </c>
      <c r="U1194" s="32"/>
      <c r="V1194" s="25">
        <f t="shared" si="197"/>
        <v>0</v>
      </c>
      <c r="W1194" s="32">
        <f t="shared" si="198"/>
        <v>509.96666666666664</v>
      </c>
      <c r="X1194" s="32">
        <f t="shared" si="195"/>
        <v>0</v>
      </c>
      <c r="Y1194" s="381">
        <f t="shared" si="196"/>
        <v>0</v>
      </c>
    </row>
    <row r="1195" spans="1:25" x14ac:dyDescent="0.2">
      <c r="A1195" s="24">
        <f t="shared" si="199"/>
        <v>22.693244222308394</v>
      </c>
      <c r="B1195" s="383">
        <v>514.98333333333335</v>
      </c>
      <c r="C1195" s="32"/>
      <c r="D1195" s="381">
        <f t="shared" si="189"/>
        <v>0</v>
      </c>
      <c r="E1195" s="383">
        <v>514.98333333333335</v>
      </c>
      <c r="F1195" s="8"/>
      <c r="G1195" s="381">
        <f t="shared" si="190"/>
        <v>0</v>
      </c>
      <c r="H1195" s="383">
        <v>514.98333333333335</v>
      </c>
      <c r="I1195" s="32"/>
      <c r="J1195" s="381">
        <f t="shared" si="191"/>
        <v>0</v>
      </c>
      <c r="K1195" s="383">
        <v>514.98333333333335</v>
      </c>
      <c r="L1195" s="31"/>
      <c r="M1195" s="381">
        <f t="shared" si="192"/>
        <v>0</v>
      </c>
      <c r="N1195" s="383">
        <v>514.98333333333335</v>
      </c>
      <c r="O1195" s="32"/>
      <c r="P1195" s="381">
        <f t="shared" si="193"/>
        <v>0</v>
      </c>
      <c r="Q1195" s="383">
        <v>514.98333333333335</v>
      </c>
      <c r="R1195" s="32"/>
      <c r="S1195" s="25">
        <f t="shared" si="194"/>
        <v>0</v>
      </c>
      <c r="T1195" s="383">
        <v>514.98333333333335</v>
      </c>
      <c r="U1195" s="32"/>
      <c r="V1195" s="25">
        <f t="shared" si="197"/>
        <v>0</v>
      </c>
      <c r="W1195" s="32">
        <f t="shared" si="198"/>
        <v>514.98333333333335</v>
      </c>
      <c r="X1195" s="32">
        <f t="shared" si="195"/>
        <v>0</v>
      </c>
      <c r="Y1195" s="381">
        <f t="shared" si="196"/>
        <v>0</v>
      </c>
    </row>
    <row r="1196" spans="1:25" x14ac:dyDescent="0.2">
      <c r="A1196" s="24">
        <f t="shared" si="199"/>
        <v>22.80277760858678</v>
      </c>
      <c r="B1196" s="383">
        <v>519.9666666666667</v>
      </c>
      <c r="C1196" s="32"/>
      <c r="D1196" s="381">
        <f t="shared" si="189"/>
        <v>0</v>
      </c>
      <c r="E1196" s="383">
        <v>519.9666666666667</v>
      </c>
      <c r="F1196" s="8"/>
      <c r="G1196" s="381">
        <f t="shared" si="190"/>
        <v>0</v>
      </c>
      <c r="H1196" s="383">
        <v>519.9666666666667</v>
      </c>
      <c r="I1196" s="32"/>
      <c r="J1196" s="381">
        <f t="shared" si="191"/>
        <v>0</v>
      </c>
      <c r="K1196" s="383">
        <v>519.9666666666667</v>
      </c>
      <c r="L1196" s="31"/>
      <c r="M1196" s="381">
        <f t="shared" si="192"/>
        <v>0</v>
      </c>
      <c r="N1196" s="383">
        <v>519.9666666666667</v>
      </c>
      <c r="O1196" s="32"/>
      <c r="P1196" s="381">
        <f t="shared" si="193"/>
        <v>0</v>
      </c>
      <c r="Q1196" s="383">
        <v>519.9666666666667</v>
      </c>
      <c r="R1196" s="32"/>
      <c r="S1196" s="25">
        <f t="shared" si="194"/>
        <v>0</v>
      </c>
      <c r="T1196" s="383">
        <v>519.9666666666667</v>
      </c>
      <c r="U1196" s="32"/>
      <c r="V1196" s="25">
        <f t="shared" si="197"/>
        <v>0</v>
      </c>
      <c r="W1196" s="32">
        <f t="shared" si="198"/>
        <v>519.9666666666667</v>
      </c>
      <c r="X1196" s="32">
        <f t="shared" si="195"/>
        <v>0</v>
      </c>
      <c r="Y1196" s="381">
        <f t="shared" si="196"/>
        <v>0</v>
      </c>
    </row>
    <row r="1197" spans="1:25" x14ac:dyDescent="0.2">
      <c r="A1197" s="24">
        <f t="shared" si="199"/>
        <v>22.912151070265459</v>
      </c>
      <c r="B1197" s="383">
        <v>524.9666666666667</v>
      </c>
      <c r="C1197" s="32"/>
      <c r="D1197" s="381">
        <f t="shared" si="189"/>
        <v>0</v>
      </c>
      <c r="E1197" s="383">
        <v>524.9666666666667</v>
      </c>
      <c r="F1197" s="8"/>
      <c r="G1197" s="381">
        <f t="shared" si="190"/>
        <v>0</v>
      </c>
      <c r="H1197" s="383">
        <v>524.9666666666667</v>
      </c>
      <c r="I1197" s="32"/>
      <c r="J1197" s="381">
        <f t="shared" si="191"/>
        <v>0</v>
      </c>
      <c r="K1197" s="383">
        <v>524.9666666666667</v>
      </c>
      <c r="L1197" s="31"/>
      <c r="M1197" s="381">
        <f t="shared" si="192"/>
        <v>0</v>
      </c>
      <c r="N1197" s="383">
        <v>524.9666666666667</v>
      </c>
      <c r="O1197" s="32"/>
      <c r="P1197" s="381">
        <f t="shared" si="193"/>
        <v>0</v>
      </c>
      <c r="Q1197" s="383">
        <v>524.9666666666667</v>
      </c>
      <c r="R1197" s="32"/>
      <c r="S1197" s="25">
        <f t="shared" si="194"/>
        <v>0</v>
      </c>
      <c r="T1197" s="383">
        <v>524.9666666666667</v>
      </c>
      <c r="U1197" s="32"/>
      <c r="V1197" s="25">
        <f t="shared" si="197"/>
        <v>0</v>
      </c>
      <c r="W1197" s="32">
        <f t="shared" si="198"/>
        <v>524.9666666666667</v>
      </c>
      <c r="X1197" s="32">
        <f t="shared" si="195"/>
        <v>0</v>
      </c>
      <c r="Y1197" s="381">
        <f t="shared" si="196"/>
        <v>0</v>
      </c>
    </row>
    <row r="1198" spans="1:25" x14ac:dyDescent="0.2">
      <c r="A1198" s="24">
        <f t="shared" si="199"/>
        <v>23.021366886727932</v>
      </c>
      <c r="B1198" s="383">
        <v>529.98333333333335</v>
      </c>
      <c r="C1198" s="32"/>
      <c r="D1198" s="381">
        <f t="shared" si="189"/>
        <v>0</v>
      </c>
      <c r="E1198" s="383">
        <v>529.98333333333335</v>
      </c>
      <c r="F1198" s="8"/>
      <c r="G1198" s="381">
        <f t="shared" si="190"/>
        <v>0</v>
      </c>
      <c r="H1198" s="383">
        <v>529.98333333333335</v>
      </c>
      <c r="I1198" s="32"/>
      <c r="J1198" s="381">
        <f t="shared" si="191"/>
        <v>0</v>
      </c>
      <c r="K1198" s="383">
        <v>529.98333333333335</v>
      </c>
      <c r="L1198" s="31"/>
      <c r="M1198" s="381">
        <f t="shared" si="192"/>
        <v>0</v>
      </c>
      <c r="N1198" s="383">
        <v>529.98333333333335</v>
      </c>
      <c r="O1198" s="32"/>
      <c r="P1198" s="381">
        <f t="shared" si="193"/>
        <v>0</v>
      </c>
      <c r="Q1198" s="383">
        <v>529.98333333333335</v>
      </c>
      <c r="R1198" s="32"/>
      <c r="S1198" s="25">
        <f t="shared" si="194"/>
        <v>0</v>
      </c>
      <c r="T1198" s="383">
        <v>529.98333333333335</v>
      </c>
      <c r="U1198" s="32"/>
      <c r="V1198" s="25">
        <f t="shared" si="197"/>
        <v>0</v>
      </c>
      <c r="W1198" s="32">
        <f t="shared" si="198"/>
        <v>529.98333333333335</v>
      </c>
      <c r="X1198" s="32">
        <f t="shared" si="195"/>
        <v>0</v>
      </c>
      <c r="Y1198" s="381">
        <f t="shared" si="196"/>
        <v>0</v>
      </c>
    </row>
    <row r="1199" spans="1:25" x14ac:dyDescent="0.2">
      <c r="A1199" s="24">
        <f t="shared" si="199"/>
        <v>23.129346438381408</v>
      </c>
      <c r="B1199" s="383">
        <v>534.9666666666667</v>
      </c>
      <c r="C1199" s="32"/>
      <c r="D1199" s="381">
        <f t="shared" si="189"/>
        <v>0</v>
      </c>
      <c r="E1199" s="383">
        <v>534.9666666666667</v>
      </c>
      <c r="F1199" s="8"/>
      <c r="G1199" s="381">
        <f t="shared" si="190"/>
        <v>0</v>
      </c>
      <c r="H1199" s="383">
        <v>534.9666666666667</v>
      </c>
      <c r="I1199" s="32"/>
      <c r="J1199" s="381">
        <f t="shared" si="191"/>
        <v>0</v>
      </c>
      <c r="K1199" s="383">
        <v>534.9666666666667</v>
      </c>
      <c r="L1199" s="31"/>
      <c r="M1199" s="381">
        <f t="shared" si="192"/>
        <v>0</v>
      </c>
      <c r="N1199" s="383">
        <v>534.9666666666667</v>
      </c>
      <c r="O1199" s="32"/>
      <c r="P1199" s="381">
        <f t="shared" si="193"/>
        <v>0</v>
      </c>
      <c r="Q1199" s="383">
        <v>534.9666666666667</v>
      </c>
      <c r="R1199" s="32"/>
      <c r="S1199" s="25">
        <f t="shared" si="194"/>
        <v>0</v>
      </c>
      <c r="T1199" s="383">
        <v>534.9666666666667</v>
      </c>
      <c r="U1199" s="32"/>
      <c r="V1199" s="25">
        <f t="shared" si="197"/>
        <v>0</v>
      </c>
      <c r="W1199" s="32">
        <f t="shared" si="198"/>
        <v>534.9666666666667</v>
      </c>
      <c r="X1199" s="32">
        <f t="shared" si="195"/>
        <v>0</v>
      </c>
      <c r="Y1199" s="381">
        <f t="shared" si="196"/>
        <v>0</v>
      </c>
    </row>
    <row r="1200" spans="1:25" x14ac:dyDescent="0.2">
      <c r="A1200" s="24">
        <f t="shared" si="199"/>
        <v>23.237182847037776</v>
      </c>
      <c r="B1200" s="383">
        <v>539.9666666666667</v>
      </c>
      <c r="C1200" s="32"/>
      <c r="D1200" s="381">
        <f t="shared" si="189"/>
        <v>0</v>
      </c>
      <c r="E1200" s="383">
        <v>539.9666666666667</v>
      </c>
      <c r="F1200" s="8"/>
      <c r="G1200" s="381">
        <f t="shared" si="190"/>
        <v>0</v>
      </c>
      <c r="H1200" s="383">
        <v>539.9666666666667</v>
      </c>
      <c r="I1200" s="32"/>
      <c r="J1200" s="381">
        <f t="shared" si="191"/>
        <v>0</v>
      </c>
      <c r="K1200" s="383">
        <v>539.9666666666667</v>
      </c>
      <c r="L1200" s="31"/>
      <c r="M1200" s="381">
        <f t="shared" si="192"/>
        <v>0</v>
      </c>
      <c r="N1200" s="383">
        <v>539.9666666666667</v>
      </c>
      <c r="O1200" s="32"/>
      <c r="P1200" s="381">
        <f t="shared" si="193"/>
        <v>0</v>
      </c>
      <c r="Q1200" s="383">
        <v>539.9666666666667</v>
      </c>
      <c r="R1200" s="32"/>
      <c r="S1200" s="25">
        <f t="shared" si="194"/>
        <v>0</v>
      </c>
      <c r="T1200" s="383">
        <v>539.9666666666667</v>
      </c>
      <c r="U1200" s="32"/>
      <c r="V1200" s="25">
        <f t="shared" si="197"/>
        <v>0</v>
      </c>
      <c r="W1200" s="32">
        <f t="shared" si="198"/>
        <v>539.9666666666667</v>
      </c>
      <c r="X1200" s="32">
        <f t="shared" si="195"/>
        <v>0</v>
      </c>
      <c r="Y1200" s="381">
        <f t="shared" si="196"/>
        <v>0</v>
      </c>
    </row>
    <row r="1201" spans="1:25" x14ac:dyDescent="0.2">
      <c r="A1201" s="24">
        <f t="shared" si="199"/>
        <v>23.344878096347674</v>
      </c>
      <c r="B1201" s="383">
        <v>544.98333333333335</v>
      </c>
      <c r="C1201" s="32"/>
      <c r="D1201" s="381">
        <f t="shared" si="189"/>
        <v>0</v>
      </c>
      <c r="E1201" s="383">
        <v>544.98333333333335</v>
      </c>
      <c r="F1201" s="8"/>
      <c r="G1201" s="381">
        <f t="shared" si="190"/>
        <v>0</v>
      </c>
      <c r="H1201" s="383">
        <v>544.98333333333335</v>
      </c>
      <c r="I1201" s="32"/>
      <c r="J1201" s="381">
        <f t="shared" si="191"/>
        <v>0</v>
      </c>
      <c r="K1201" s="383">
        <v>544.98333333333335</v>
      </c>
      <c r="L1201" s="31"/>
      <c r="M1201" s="381">
        <f t="shared" si="192"/>
        <v>0</v>
      </c>
      <c r="N1201" s="383">
        <v>544.98333333333335</v>
      </c>
      <c r="O1201" s="32"/>
      <c r="P1201" s="381">
        <f t="shared" si="193"/>
        <v>0</v>
      </c>
      <c r="Q1201" s="383">
        <v>544.98333333333335</v>
      </c>
      <c r="R1201" s="32"/>
      <c r="S1201" s="25">
        <f t="shared" si="194"/>
        <v>0</v>
      </c>
      <c r="T1201" s="383">
        <v>544.98333333333335</v>
      </c>
      <c r="U1201" s="32"/>
      <c r="V1201" s="25">
        <f t="shared" si="197"/>
        <v>0</v>
      </c>
      <c r="W1201" s="32">
        <f t="shared" si="198"/>
        <v>544.98333333333335</v>
      </c>
      <c r="X1201" s="32">
        <f t="shared" si="195"/>
        <v>0</v>
      </c>
      <c r="Y1201" s="381">
        <f t="shared" si="196"/>
        <v>0</v>
      </c>
    </row>
    <row r="1202" spans="1:25" x14ac:dyDescent="0.2">
      <c r="A1202" s="24">
        <f t="shared" si="199"/>
        <v>23.451368119294589</v>
      </c>
      <c r="B1202" s="383">
        <v>549.9666666666667</v>
      </c>
      <c r="C1202" s="32"/>
      <c r="D1202" s="381">
        <f t="shared" si="189"/>
        <v>0</v>
      </c>
      <c r="E1202" s="383">
        <v>549.9666666666667</v>
      </c>
      <c r="F1202" s="8"/>
      <c r="G1202" s="381">
        <f t="shared" si="190"/>
        <v>0</v>
      </c>
      <c r="H1202" s="383">
        <v>549.9666666666667</v>
      </c>
      <c r="I1202" s="32"/>
      <c r="J1202" s="381">
        <f t="shared" si="191"/>
        <v>0</v>
      </c>
      <c r="K1202" s="383">
        <v>549.9666666666667</v>
      </c>
      <c r="L1202" s="31"/>
      <c r="M1202" s="381">
        <f t="shared" si="192"/>
        <v>0</v>
      </c>
      <c r="N1202" s="383">
        <v>549.9666666666667</v>
      </c>
      <c r="O1202" s="32"/>
      <c r="P1202" s="381">
        <f t="shared" si="193"/>
        <v>0</v>
      </c>
      <c r="Q1202" s="383">
        <v>549.9666666666667</v>
      </c>
      <c r="R1202" s="32"/>
      <c r="S1202" s="25">
        <f t="shared" si="194"/>
        <v>0</v>
      </c>
      <c r="T1202" s="383">
        <v>549.9666666666667</v>
      </c>
      <c r="U1202" s="32"/>
      <c r="V1202" s="25">
        <f t="shared" si="197"/>
        <v>0</v>
      </c>
      <c r="W1202" s="32">
        <f t="shared" si="198"/>
        <v>549.9666666666667</v>
      </c>
      <c r="X1202" s="32">
        <f t="shared" si="195"/>
        <v>0</v>
      </c>
      <c r="Y1202" s="381">
        <f t="shared" si="196"/>
        <v>0</v>
      </c>
    </row>
    <row r="1203" spans="1:25" x14ac:dyDescent="0.2">
      <c r="A1203" s="24">
        <f t="shared" si="199"/>
        <v>23.557730507556681</v>
      </c>
      <c r="B1203" s="383">
        <v>554.9666666666667</v>
      </c>
      <c r="C1203" s="32"/>
      <c r="D1203" s="381">
        <f t="shared" si="189"/>
        <v>0</v>
      </c>
      <c r="E1203" s="383">
        <v>554.9666666666667</v>
      </c>
      <c r="F1203" s="8"/>
      <c r="G1203" s="381">
        <f t="shared" si="190"/>
        <v>0</v>
      </c>
      <c r="H1203" s="383">
        <v>554.9666666666667</v>
      </c>
      <c r="I1203" s="32"/>
      <c r="J1203" s="381">
        <f t="shared" si="191"/>
        <v>0</v>
      </c>
      <c r="K1203" s="383">
        <v>554.9666666666667</v>
      </c>
      <c r="L1203" s="31"/>
      <c r="M1203" s="381">
        <f t="shared" si="192"/>
        <v>0</v>
      </c>
      <c r="N1203" s="383">
        <v>554.9666666666667</v>
      </c>
      <c r="O1203" s="32"/>
      <c r="P1203" s="381">
        <f t="shared" si="193"/>
        <v>0</v>
      </c>
      <c r="Q1203" s="383">
        <v>554.9666666666667</v>
      </c>
      <c r="R1203" s="32"/>
      <c r="S1203" s="25">
        <f t="shared" si="194"/>
        <v>0</v>
      </c>
      <c r="T1203" s="383">
        <v>554.9666666666667</v>
      </c>
      <c r="U1203" s="32"/>
      <c r="V1203" s="25">
        <f t="shared" si="197"/>
        <v>0</v>
      </c>
      <c r="W1203" s="32">
        <f t="shared" si="198"/>
        <v>554.9666666666667</v>
      </c>
      <c r="X1203" s="32">
        <f t="shared" si="195"/>
        <v>0</v>
      </c>
      <c r="Y1203" s="381">
        <f t="shared" si="196"/>
        <v>0</v>
      </c>
    </row>
    <row r="1204" spans="1:25" x14ac:dyDescent="0.2">
      <c r="A1204" s="24">
        <f t="shared" si="199"/>
        <v>23.663966982172141</v>
      </c>
      <c r="B1204" s="383">
        <v>559.98333333333335</v>
      </c>
      <c r="C1204" s="32"/>
      <c r="D1204" s="381">
        <f t="shared" si="189"/>
        <v>0</v>
      </c>
      <c r="E1204" s="383">
        <v>559.98333333333335</v>
      </c>
      <c r="F1204" s="8"/>
      <c r="G1204" s="381">
        <f t="shared" si="190"/>
        <v>0</v>
      </c>
      <c r="H1204" s="383">
        <v>559.98333333333335</v>
      </c>
      <c r="I1204" s="32"/>
      <c r="J1204" s="381">
        <f t="shared" si="191"/>
        <v>0</v>
      </c>
      <c r="K1204" s="383">
        <v>559.98333333333335</v>
      </c>
      <c r="L1204" s="31"/>
      <c r="M1204" s="381">
        <f t="shared" si="192"/>
        <v>0</v>
      </c>
      <c r="N1204" s="383">
        <v>559.98333333333335</v>
      </c>
      <c r="O1204" s="32"/>
      <c r="P1204" s="381">
        <f t="shared" si="193"/>
        <v>0</v>
      </c>
      <c r="Q1204" s="383">
        <v>559.98333333333335</v>
      </c>
      <c r="R1204" s="32"/>
      <c r="S1204" s="25">
        <f t="shared" si="194"/>
        <v>0</v>
      </c>
      <c r="T1204" s="383">
        <v>559.98333333333335</v>
      </c>
      <c r="U1204" s="32"/>
      <c r="V1204" s="25">
        <f t="shared" si="197"/>
        <v>0</v>
      </c>
      <c r="W1204" s="32">
        <f t="shared" si="198"/>
        <v>559.98333333333335</v>
      </c>
      <c r="X1204" s="32">
        <f t="shared" si="195"/>
        <v>0</v>
      </c>
      <c r="Y1204" s="381">
        <f t="shared" si="196"/>
        <v>0</v>
      </c>
    </row>
    <row r="1205" spans="1:25" x14ac:dyDescent="0.2">
      <c r="A1205" s="24">
        <f t="shared" si="199"/>
        <v>23.769378059455686</v>
      </c>
      <c r="B1205" s="383">
        <v>564.98333333333335</v>
      </c>
      <c r="C1205" s="32"/>
      <c r="D1205" s="381">
        <f t="shared" si="189"/>
        <v>0</v>
      </c>
      <c r="E1205" s="383">
        <v>564.98333333333335</v>
      </c>
      <c r="F1205" s="8"/>
      <c r="G1205" s="381">
        <f t="shared" si="190"/>
        <v>0</v>
      </c>
      <c r="H1205" s="383">
        <v>564.98333333333335</v>
      </c>
      <c r="I1205" s="32"/>
      <c r="J1205" s="381">
        <f t="shared" si="191"/>
        <v>0</v>
      </c>
      <c r="K1205" s="383">
        <v>564.98333333333335</v>
      </c>
      <c r="L1205" s="31"/>
      <c r="M1205" s="381">
        <f t="shared" si="192"/>
        <v>0</v>
      </c>
      <c r="N1205" s="383">
        <v>564.98333333333335</v>
      </c>
      <c r="O1205" s="32"/>
      <c r="P1205" s="381">
        <f t="shared" si="193"/>
        <v>0</v>
      </c>
      <c r="Q1205" s="383">
        <v>564.98333333333335</v>
      </c>
      <c r="R1205" s="32"/>
      <c r="S1205" s="25">
        <f t="shared" si="194"/>
        <v>0</v>
      </c>
      <c r="T1205" s="383">
        <v>564.98333333333335</v>
      </c>
      <c r="U1205" s="32"/>
      <c r="V1205" s="25">
        <f t="shared" si="197"/>
        <v>0</v>
      </c>
      <c r="W1205" s="32">
        <f t="shared" si="198"/>
        <v>564.98333333333335</v>
      </c>
      <c r="X1205" s="32">
        <f t="shared" si="195"/>
        <v>0</v>
      </c>
      <c r="Y1205" s="381">
        <f t="shared" si="196"/>
        <v>0</v>
      </c>
    </row>
    <row r="1206" spans="1:25" x14ac:dyDescent="0.2">
      <c r="A1206" s="24">
        <f t="shared" si="199"/>
        <v>23.873974672573201</v>
      </c>
      <c r="B1206" s="383">
        <v>569.9666666666667</v>
      </c>
      <c r="C1206" s="32"/>
      <c r="D1206" s="381">
        <f t="shared" si="189"/>
        <v>0</v>
      </c>
      <c r="E1206" s="383">
        <v>569.9666666666667</v>
      </c>
      <c r="F1206" s="8"/>
      <c r="G1206" s="381">
        <f t="shared" si="190"/>
        <v>0</v>
      </c>
      <c r="H1206" s="383">
        <v>569.9666666666667</v>
      </c>
      <c r="I1206" s="32"/>
      <c r="J1206" s="381">
        <f t="shared" si="191"/>
        <v>0</v>
      </c>
      <c r="K1206" s="383">
        <v>569.9666666666667</v>
      </c>
      <c r="L1206" s="31"/>
      <c r="M1206" s="381">
        <f t="shared" si="192"/>
        <v>0</v>
      </c>
      <c r="N1206" s="383">
        <v>569.9666666666667</v>
      </c>
      <c r="O1206" s="32"/>
      <c r="P1206" s="381">
        <f t="shared" si="193"/>
        <v>0</v>
      </c>
      <c r="Q1206" s="383">
        <v>569.9666666666667</v>
      </c>
      <c r="R1206" s="32"/>
      <c r="S1206" s="25">
        <f t="shared" si="194"/>
        <v>0</v>
      </c>
      <c r="T1206" s="383">
        <v>569.9666666666667</v>
      </c>
      <c r="U1206" s="32"/>
      <c r="V1206" s="25">
        <f t="shared" si="197"/>
        <v>0</v>
      </c>
      <c r="W1206" s="32">
        <f t="shared" si="198"/>
        <v>569.9666666666667</v>
      </c>
      <c r="X1206" s="32">
        <f t="shared" si="195"/>
        <v>0</v>
      </c>
      <c r="Y1206" s="381">
        <f t="shared" si="196"/>
        <v>0</v>
      </c>
    </row>
    <row r="1207" spans="1:25" x14ac:dyDescent="0.2">
      <c r="A1207" s="24">
        <f t="shared" si="199"/>
        <v>23.97846255844329</v>
      </c>
      <c r="B1207" s="383">
        <v>574.9666666666667</v>
      </c>
      <c r="C1207" s="32"/>
      <c r="D1207" s="381">
        <f t="shared" si="189"/>
        <v>0</v>
      </c>
      <c r="E1207" s="383">
        <v>574.9666666666667</v>
      </c>
      <c r="F1207" s="8"/>
      <c r="G1207" s="381">
        <f t="shared" si="190"/>
        <v>0</v>
      </c>
      <c r="H1207" s="383">
        <v>574.9666666666667</v>
      </c>
      <c r="I1207" s="32"/>
      <c r="J1207" s="381">
        <f t="shared" si="191"/>
        <v>0</v>
      </c>
      <c r="K1207" s="383">
        <v>574.9666666666667</v>
      </c>
      <c r="L1207" s="31"/>
      <c r="M1207" s="381">
        <f t="shared" si="192"/>
        <v>0</v>
      </c>
      <c r="N1207" s="383">
        <v>574.9666666666667</v>
      </c>
      <c r="O1207" s="32"/>
      <c r="P1207" s="381">
        <f t="shared" si="193"/>
        <v>0</v>
      </c>
      <c r="Q1207" s="383">
        <v>574.9666666666667</v>
      </c>
      <c r="R1207" s="32"/>
      <c r="S1207" s="25">
        <f t="shared" si="194"/>
        <v>0</v>
      </c>
      <c r="T1207" s="383">
        <v>574.9666666666667</v>
      </c>
      <c r="U1207" s="32"/>
      <c r="V1207" s="25">
        <f t="shared" si="197"/>
        <v>0</v>
      </c>
      <c r="W1207" s="32">
        <f t="shared" si="198"/>
        <v>574.9666666666667</v>
      </c>
      <c r="X1207" s="32">
        <f t="shared" si="195"/>
        <v>0</v>
      </c>
      <c r="Y1207" s="381">
        <f t="shared" si="196"/>
        <v>0</v>
      </c>
    </row>
    <row r="1208" spans="1:25" x14ac:dyDescent="0.2">
      <c r="A1208" s="24">
        <f t="shared" si="199"/>
        <v>24.082843132266035</v>
      </c>
      <c r="B1208" s="383">
        <v>579.98333333333335</v>
      </c>
      <c r="C1208" s="32"/>
      <c r="D1208" s="381">
        <f t="shared" si="189"/>
        <v>0</v>
      </c>
      <c r="E1208" s="383">
        <v>579.98333333333335</v>
      </c>
      <c r="F1208" s="8"/>
      <c r="G1208" s="381">
        <f t="shared" si="190"/>
        <v>0</v>
      </c>
      <c r="H1208" s="383">
        <v>579.98333333333335</v>
      </c>
      <c r="I1208" s="32"/>
      <c r="J1208" s="381">
        <f t="shared" si="191"/>
        <v>0</v>
      </c>
      <c r="K1208" s="383">
        <v>579.98333333333335</v>
      </c>
      <c r="L1208" s="31"/>
      <c r="M1208" s="381">
        <f t="shared" si="192"/>
        <v>0</v>
      </c>
      <c r="N1208" s="383">
        <v>579.98333333333335</v>
      </c>
      <c r="O1208" s="32"/>
      <c r="P1208" s="381">
        <f t="shared" si="193"/>
        <v>0</v>
      </c>
      <c r="Q1208" s="383">
        <v>579.98333333333335</v>
      </c>
      <c r="R1208" s="32"/>
      <c r="S1208" s="25">
        <f t="shared" si="194"/>
        <v>0</v>
      </c>
      <c r="T1208" s="383">
        <v>579.98333333333335</v>
      </c>
      <c r="U1208" s="32"/>
      <c r="V1208" s="25">
        <f t="shared" si="197"/>
        <v>0</v>
      </c>
      <c r="W1208" s="32">
        <f t="shared" si="198"/>
        <v>579.98333333333335</v>
      </c>
      <c r="X1208" s="32">
        <f t="shared" si="195"/>
        <v>0</v>
      </c>
      <c r="Y1208" s="381">
        <f t="shared" si="196"/>
        <v>0</v>
      </c>
    </row>
    <row r="1209" spans="1:25" x14ac:dyDescent="0.2">
      <c r="A1209" s="24">
        <f t="shared" si="199"/>
        <v>24.186084153220559</v>
      </c>
      <c r="B1209" s="383">
        <v>584.9666666666667</v>
      </c>
      <c r="C1209" s="32"/>
      <c r="D1209" s="381">
        <f t="shared" si="189"/>
        <v>0</v>
      </c>
      <c r="E1209" s="383">
        <v>584.9666666666667</v>
      </c>
      <c r="F1209" s="8"/>
      <c r="G1209" s="381">
        <f t="shared" si="190"/>
        <v>0</v>
      </c>
      <c r="H1209" s="383">
        <v>584.9666666666667</v>
      </c>
      <c r="I1209" s="32"/>
      <c r="J1209" s="381">
        <f t="shared" si="191"/>
        <v>0</v>
      </c>
      <c r="K1209" s="383">
        <v>584.9666666666667</v>
      </c>
      <c r="L1209" s="31"/>
      <c r="M1209" s="381">
        <f t="shared" si="192"/>
        <v>0</v>
      </c>
      <c r="N1209" s="383">
        <v>584.9666666666667</v>
      </c>
      <c r="O1209" s="32"/>
      <c r="P1209" s="381">
        <f t="shared" si="193"/>
        <v>0</v>
      </c>
      <c r="Q1209" s="383">
        <v>584.9666666666667</v>
      </c>
      <c r="R1209" s="32"/>
      <c r="S1209" s="25">
        <f t="shared" si="194"/>
        <v>0</v>
      </c>
      <c r="T1209" s="383">
        <v>584.9666666666667</v>
      </c>
      <c r="U1209" s="32"/>
      <c r="V1209" s="25">
        <f t="shared" si="197"/>
        <v>0</v>
      </c>
      <c r="W1209" s="32">
        <f t="shared" si="198"/>
        <v>584.9666666666667</v>
      </c>
      <c r="X1209" s="32">
        <f t="shared" si="195"/>
        <v>0</v>
      </c>
      <c r="Y1209" s="381">
        <f t="shared" si="196"/>
        <v>0</v>
      </c>
    </row>
    <row r="1210" spans="1:25" x14ac:dyDescent="0.2">
      <c r="A1210" s="24">
        <f t="shared" si="199"/>
        <v>24.289229437482504</v>
      </c>
      <c r="B1210" s="383">
        <v>589.9666666666667</v>
      </c>
      <c r="C1210" s="32"/>
      <c r="D1210" s="381">
        <f t="shared" si="189"/>
        <v>0</v>
      </c>
      <c r="E1210" s="383">
        <v>589.9666666666667</v>
      </c>
      <c r="F1210" s="8"/>
      <c r="G1210" s="381">
        <f t="shared" si="190"/>
        <v>0</v>
      </c>
      <c r="H1210" s="383">
        <v>589.9666666666667</v>
      </c>
      <c r="I1210" s="32"/>
      <c r="J1210" s="381">
        <f t="shared" si="191"/>
        <v>0</v>
      </c>
      <c r="K1210" s="383">
        <v>589.9666666666667</v>
      </c>
      <c r="L1210" s="31"/>
      <c r="M1210" s="381">
        <f t="shared" si="192"/>
        <v>0</v>
      </c>
      <c r="N1210" s="383">
        <v>589.9666666666667</v>
      </c>
      <c r="O1210" s="32"/>
      <c r="P1210" s="381">
        <f t="shared" si="193"/>
        <v>0</v>
      </c>
      <c r="Q1210" s="383">
        <v>589.9666666666667</v>
      </c>
      <c r="R1210" s="32"/>
      <c r="S1210" s="25">
        <f t="shared" si="194"/>
        <v>0</v>
      </c>
      <c r="T1210" s="383">
        <v>589.9666666666667</v>
      </c>
      <c r="U1210" s="32"/>
      <c r="V1210" s="25">
        <f t="shared" si="197"/>
        <v>0</v>
      </c>
      <c r="W1210" s="32">
        <f t="shared" si="198"/>
        <v>589.9666666666667</v>
      </c>
      <c r="X1210" s="32">
        <f t="shared" si="195"/>
        <v>0</v>
      </c>
      <c r="Y1210" s="381">
        <f t="shared" si="196"/>
        <v>0</v>
      </c>
    </row>
    <row r="1211" spans="1:25" x14ac:dyDescent="0.2">
      <c r="A1211" s="24">
        <f t="shared" si="199"/>
        <v>24.392280199549475</v>
      </c>
      <c r="B1211" s="383">
        <v>594.98333333333335</v>
      </c>
      <c r="C1211" s="32"/>
      <c r="D1211" s="381">
        <f t="shared" si="189"/>
        <v>0</v>
      </c>
      <c r="E1211" s="383">
        <v>594.98333333333335</v>
      </c>
      <c r="F1211" s="8"/>
      <c r="G1211" s="381">
        <f t="shared" si="190"/>
        <v>0</v>
      </c>
      <c r="H1211" s="383">
        <v>594.98333333333335</v>
      </c>
      <c r="I1211" s="32"/>
      <c r="J1211" s="381">
        <f t="shared" si="191"/>
        <v>0</v>
      </c>
      <c r="K1211" s="383">
        <v>594.98333333333335</v>
      </c>
      <c r="L1211" s="31"/>
      <c r="M1211" s="381">
        <f t="shared" si="192"/>
        <v>0</v>
      </c>
      <c r="N1211" s="383">
        <v>594.98333333333335</v>
      </c>
      <c r="O1211" s="32"/>
      <c r="P1211" s="381">
        <f t="shared" si="193"/>
        <v>0</v>
      </c>
      <c r="Q1211" s="383">
        <v>594.98333333333335</v>
      </c>
      <c r="R1211" s="32"/>
      <c r="S1211" s="25">
        <f t="shared" si="194"/>
        <v>0</v>
      </c>
      <c r="T1211" s="383">
        <v>594.98333333333335</v>
      </c>
      <c r="U1211" s="32"/>
      <c r="V1211" s="25">
        <f t="shared" si="197"/>
        <v>0</v>
      </c>
      <c r="W1211" s="32">
        <f t="shared" si="198"/>
        <v>594.98333333333335</v>
      </c>
      <c r="X1211" s="32">
        <f t="shared" si="195"/>
        <v>0</v>
      </c>
      <c r="Y1211" s="381">
        <f t="shared" si="196"/>
        <v>0</v>
      </c>
    </row>
    <row r="1212" spans="1:25" x14ac:dyDescent="0.2">
      <c r="A1212" s="24">
        <f t="shared" si="199"/>
        <v>24.494217004563886</v>
      </c>
      <c r="B1212" s="383">
        <v>599.9666666666667</v>
      </c>
      <c r="C1212" s="32"/>
      <c r="D1212" s="381">
        <f t="shared" si="189"/>
        <v>0</v>
      </c>
      <c r="E1212" s="383">
        <v>599.9666666666667</v>
      </c>
      <c r="F1212" s="8"/>
      <c r="G1212" s="381">
        <f t="shared" si="190"/>
        <v>0</v>
      </c>
      <c r="H1212" s="383">
        <v>599.9666666666667</v>
      </c>
      <c r="I1212" s="32"/>
      <c r="J1212" s="381">
        <f t="shared" si="191"/>
        <v>0</v>
      </c>
      <c r="K1212" s="383">
        <v>599.9666666666667</v>
      </c>
      <c r="L1212" s="31"/>
      <c r="M1212" s="381">
        <f t="shared" si="192"/>
        <v>0</v>
      </c>
      <c r="N1212" s="383">
        <v>599.9666666666667</v>
      </c>
      <c r="O1212" s="32"/>
      <c r="P1212" s="381">
        <f t="shared" si="193"/>
        <v>0</v>
      </c>
      <c r="Q1212" s="383">
        <v>599.9666666666667</v>
      </c>
      <c r="R1212" s="32"/>
      <c r="S1212" s="25">
        <f t="shared" si="194"/>
        <v>0</v>
      </c>
      <c r="T1212" s="383">
        <v>599.9666666666667</v>
      </c>
      <c r="U1212" s="32"/>
      <c r="V1212" s="25">
        <f t="shared" si="197"/>
        <v>0</v>
      </c>
      <c r="W1212" s="32">
        <f t="shared" si="198"/>
        <v>599.9666666666667</v>
      </c>
      <c r="X1212" s="32">
        <f t="shared" si="195"/>
        <v>0</v>
      </c>
      <c r="Y1212" s="381">
        <f t="shared" si="196"/>
        <v>0</v>
      </c>
    </row>
    <row r="1213" spans="1:25" x14ac:dyDescent="0.2">
      <c r="A1213" s="24">
        <f t="shared" si="199"/>
        <v>24.596070146807328</v>
      </c>
      <c r="B1213" s="383">
        <v>604.9666666666667</v>
      </c>
      <c r="C1213" s="32"/>
      <c r="D1213" s="381">
        <f t="shared" si="189"/>
        <v>0</v>
      </c>
      <c r="E1213" s="383">
        <v>604.9666666666667</v>
      </c>
      <c r="F1213" s="8"/>
      <c r="G1213" s="381">
        <f t="shared" si="190"/>
        <v>0</v>
      </c>
      <c r="H1213" s="383">
        <v>604.9666666666667</v>
      </c>
      <c r="I1213" s="32"/>
      <c r="J1213" s="381">
        <f t="shared" si="191"/>
        <v>0</v>
      </c>
      <c r="K1213" s="383">
        <v>604.9666666666667</v>
      </c>
      <c r="L1213" s="31"/>
      <c r="M1213" s="381">
        <f t="shared" si="192"/>
        <v>0</v>
      </c>
      <c r="N1213" s="383">
        <v>604.9666666666667</v>
      </c>
      <c r="O1213" s="32"/>
      <c r="P1213" s="381">
        <f t="shared" si="193"/>
        <v>0</v>
      </c>
      <c r="Q1213" s="383">
        <v>604.9666666666667</v>
      </c>
      <c r="R1213" s="32"/>
      <c r="S1213" s="25">
        <f t="shared" si="194"/>
        <v>0</v>
      </c>
      <c r="T1213" s="383">
        <v>604.9666666666667</v>
      </c>
      <c r="U1213" s="32"/>
      <c r="V1213" s="25">
        <f t="shared" si="197"/>
        <v>0</v>
      </c>
      <c r="W1213" s="32">
        <f t="shared" si="198"/>
        <v>604.9666666666667</v>
      </c>
      <c r="X1213" s="32">
        <f t="shared" si="195"/>
        <v>0</v>
      </c>
      <c r="Y1213" s="381">
        <f t="shared" si="196"/>
        <v>0</v>
      </c>
    </row>
    <row r="1214" spans="1:25" x14ac:dyDescent="0.2">
      <c r="A1214" s="24">
        <f t="shared" si="199"/>
        <v>24.697840661347975</v>
      </c>
      <c r="B1214" s="383">
        <v>609.98333333333335</v>
      </c>
      <c r="C1214" s="32"/>
      <c r="D1214" s="381">
        <f t="shared" si="189"/>
        <v>0</v>
      </c>
      <c r="E1214" s="383">
        <v>609.98333333333335</v>
      </c>
      <c r="F1214" s="8"/>
      <c r="G1214" s="381">
        <f t="shared" si="190"/>
        <v>0</v>
      </c>
      <c r="H1214" s="383">
        <v>609.98333333333335</v>
      </c>
      <c r="I1214" s="32"/>
      <c r="J1214" s="381">
        <f t="shared" si="191"/>
        <v>0</v>
      </c>
      <c r="K1214" s="383">
        <v>609.98333333333335</v>
      </c>
      <c r="L1214" s="31"/>
      <c r="M1214" s="381">
        <f t="shared" si="192"/>
        <v>0</v>
      </c>
      <c r="N1214" s="383">
        <v>609.98333333333335</v>
      </c>
      <c r="O1214" s="32"/>
      <c r="P1214" s="381">
        <f t="shared" si="193"/>
        <v>0</v>
      </c>
      <c r="Q1214" s="383">
        <v>609.98333333333335</v>
      </c>
      <c r="R1214" s="32"/>
      <c r="S1214" s="25">
        <f t="shared" si="194"/>
        <v>0</v>
      </c>
      <c r="T1214" s="383">
        <v>609.98333333333335</v>
      </c>
      <c r="U1214" s="32"/>
      <c r="V1214" s="25">
        <f t="shared" si="197"/>
        <v>0</v>
      </c>
      <c r="W1214" s="32">
        <f t="shared" si="198"/>
        <v>609.98333333333335</v>
      </c>
      <c r="X1214" s="32">
        <f t="shared" si="195"/>
        <v>0</v>
      </c>
      <c r="Y1214" s="381">
        <f t="shared" si="196"/>
        <v>0</v>
      </c>
    </row>
    <row r="1215" spans="1:25" x14ac:dyDescent="0.2">
      <c r="A1215" s="24">
        <f t="shared" si="199"/>
        <v>24.798521461302219</v>
      </c>
      <c r="B1215" s="383">
        <v>614.9666666666667</v>
      </c>
      <c r="C1215" s="32"/>
      <c r="D1215" s="381">
        <f t="shared" si="189"/>
        <v>0</v>
      </c>
      <c r="E1215" s="383">
        <v>614.9666666666667</v>
      </c>
      <c r="F1215" s="8"/>
      <c r="G1215" s="381">
        <f t="shared" si="190"/>
        <v>0</v>
      </c>
      <c r="H1215" s="383">
        <v>614.9666666666667</v>
      </c>
      <c r="I1215" s="32"/>
      <c r="J1215" s="381">
        <f t="shared" si="191"/>
        <v>0</v>
      </c>
      <c r="K1215" s="383">
        <v>614.9666666666667</v>
      </c>
      <c r="L1215" s="31"/>
      <c r="M1215" s="381">
        <f t="shared" si="192"/>
        <v>0</v>
      </c>
      <c r="N1215" s="383">
        <v>614.9666666666667</v>
      </c>
      <c r="O1215" s="32"/>
      <c r="P1215" s="381">
        <f t="shared" si="193"/>
        <v>0</v>
      </c>
      <c r="Q1215" s="383">
        <v>614.9666666666667</v>
      </c>
      <c r="R1215" s="32"/>
      <c r="S1215" s="25">
        <f t="shared" si="194"/>
        <v>0</v>
      </c>
      <c r="T1215" s="383">
        <v>614.9666666666667</v>
      </c>
      <c r="U1215" s="32"/>
      <c r="V1215" s="25">
        <f t="shared" si="197"/>
        <v>0</v>
      </c>
      <c r="W1215" s="32">
        <f t="shared" si="198"/>
        <v>614.9666666666667</v>
      </c>
      <c r="X1215" s="32">
        <f t="shared" si="195"/>
        <v>0</v>
      </c>
      <c r="Y1215" s="381">
        <f t="shared" si="196"/>
        <v>0</v>
      </c>
    </row>
    <row r="1216" spans="1:25" x14ac:dyDescent="0.2">
      <c r="A1216" s="24">
        <f t="shared" si="199"/>
        <v>24.899129837539839</v>
      </c>
      <c r="B1216" s="383">
        <v>619.9666666666667</v>
      </c>
      <c r="C1216" s="32"/>
      <c r="D1216" s="381">
        <f t="shared" si="189"/>
        <v>0</v>
      </c>
      <c r="E1216" s="383">
        <v>619.9666666666667</v>
      </c>
      <c r="F1216" s="8"/>
      <c r="G1216" s="381">
        <f t="shared" si="190"/>
        <v>0</v>
      </c>
      <c r="H1216" s="383">
        <v>619.9666666666667</v>
      </c>
      <c r="I1216" s="32"/>
      <c r="J1216" s="381">
        <f t="shared" si="191"/>
        <v>0</v>
      </c>
      <c r="K1216" s="383">
        <v>619.9666666666667</v>
      </c>
      <c r="L1216" s="31"/>
      <c r="M1216" s="381">
        <f t="shared" si="192"/>
        <v>0</v>
      </c>
      <c r="N1216" s="383">
        <v>619.9666666666667</v>
      </c>
      <c r="O1216" s="32"/>
      <c r="P1216" s="381">
        <f t="shared" si="193"/>
        <v>0</v>
      </c>
      <c r="Q1216" s="383">
        <v>619.9666666666667</v>
      </c>
      <c r="R1216" s="32"/>
      <c r="S1216" s="25">
        <f t="shared" si="194"/>
        <v>0</v>
      </c>
      <c r="T1216" s="383">
        <v>619.9666666666667</v>
      </c>
      <c r="U1216" s="32"/>
      <c r="V1216" s="25">
        <f t="shared" si="197"/>
        <v>0</v>
      </c>
      <c r="W1216" s="32">
        <f t="shared" si="198"/>
        <v>619.9666666666667</v>
      </c>
      <c r="X1216" s="32">
        <f t="shared" si="195"/>
        <v>0</v>
      </c>
      <c r="Y1216" s="381">
        <f t="shared" si="196"/>
        <v>0</v>
      </c>
    </row>
    <row r="1217" spans="1:25" x14ac:dyDescent="0.2">
      <c r="A1217" s="24">
        <f t="shared" si="199"/>
        <v>24.999666664444415</v>
      </c>
      <c r="B1217" s="383">
        <v>624.98333333333335</v>
      </c>
      <c r="C1217" s="32"/>
      <c r="D1217" s="381">
        <f t="shared" si="189"/>
        <v>0</v>
      </c>
      <c r="E1217" s="383">
        <v>624.98333333333335</v>
      </c>
      <c r="F1217" s="8"/>
      <c r="G1217" s="381">
        <f t="shared" si="190"/>
        <v>0</v>
      </c>
      <c r="H1217" s="383">
        <v>624.98333333333335</v>
      </c>
      <c r="I1217" s="32"/>
      <c r="J1217" s="381">
        <f t="shared" si="191"/>
        <v>0</v>
      </c>
      <c r="K1217" s="383">
        <v>624.98333333333335</v>
      </c>
      <c r="L1217" s="31"/>
      <c r="M1217" s="381">
        <f t="shared" si="192"/>
        <v>0</v>
      </c>
      <c r="N1217" s="383">
        <v>624.98333333333335</v>
      </c>
      <c r="O1217" s="32"/>
      <c r="P1217" s="381">
        <f t="shared" si="193"/>
        <v>0</v>
      </c>
      <c r="Q1217" s="383">
        <v>624.98333333333335</v>
      </c>
      <c r="R1217" s="32"/>
      <c r="S1217" s="25">
        <f t="shared" si="194"/>
        <v>0</v>
      </c>
      <c r="T1217" s="383">
        <v>624.98333333333335</v>
      </c>
      <c r="U1217" s="32"/>
      <c r="V1217" s="25">
        <f t="shared" si="197"/>
        <v>0</v>
      </c>
      <c r="W1217" s="32">
        <f t="shared" si="198"/>
        <v>624.98333333333335</v>
      </c>
      <c r="X1217" s="32">
        <f t="shared" si="195"/>
        <v>0</v>
      </c>
      <c r="Y1217" s="381">
        <f t="shared" si="196"/>
        <v>0</v>
      </c>
    </row>
    <row r="1218" spans="1:25" x14ac:dyDescent="0.2">
      <c r="A1218" s="24">
        <f t="shared" si="199"/>
        <v>25.099136771344682</v>
      </c>
      <c r="B1218" s="383">
        <v>629.9666666666667</v>
      </c>
      <c r="C1218" s="32"/>
      <c r="D1218" s="381">
        <f t="shared" si="189"/>
        <v>0</v>
      </c>
      <c r="E1218" s="383">
        <v>629.9666666666667</v>
      </c>
      <c r="F1218" s="8"/>
      <c r="G1218" s="381">
        <f t="shared" si="190"/>
        <v>0</v>
      </c>
      <c r="H1218" s="383">
        <v>629.9666666666667</v>
      </c>
      <c r="I1218" s="32"/>
      <c r="J1218" s="381">
        <f t="shared" si="191"/>
        <v>0</v>
      </c>
      <c r="K1218" s="383">
        <v>629.9666666666667</v>
      </c>
      <c r="L1218" s="31"/>
      <c r="M1218" s="381">
        <f t="shared" si="192"/>
        <v>0</v>
      </c>
      <c r="N1218" s="383">
        <v>629.9666666666667</v>
      </c>
      <c r="O1218" s="32"/>
      <c r="P1218" s="381">
        <f t="shared" si="193"/>
        <v>0</v>
      </c>
      <c r="Q1218" s="383">
        <v>629.9666666666667</v>
      </c>
      <c r="R1218" s="32"/>
      <c r="S1218" s="25">
        <f t="shared" si="194"/>
        <v>0</v>
      </c>
      <c r="T1218" s="383">
        <v>629.9666666666667</v>
      </c>
      <c r="U1218" s="32"/>
      <c r="V1218" s="25">
        <f t="shared" si="197"/>
        <v>0</v>
      </c>
      <c r="W1218" s="32">
        <f t="shared" si="198"/>
        <v>629.9666666666667</v>
      </c>
      <c r="X1218" s="32">
        <f t="shared" si="195"/>
        <v>0</v>
      </c>
      <c r="Y1218" s="381">
        <f t="shared" si="196"/>
        <v>0</v>
      </c>
    </row>
    <row r="1219" spans="1:25" x14ac:dyDescent="0.2">
      <c r="A1219" s="24">
        <f t="shared" si="199"/>
        <v>25.198544931536556</v>
      </c>
      <c r="B1219" s="383">
        <v>634.9666666666667</v>
      </c>
      <c r="C1219" s="32"/>
      <c r="D1219" s="381">
        <f t="shared" si="189"/>
        <v>0</v>
      </c>
      <c r="E1219" s="383">
        <v>634.9666666666667</v>
      </c>
      <c r="F1219" s="8"/>
      <c r="G1219" s="381">
        <f t="shared" si="190"/>
        <v>0</v>
      </c>
      <c r="H1219" s="383">
        <v>634.9666666666667</v>
      </c>
      <c r="I1219" s="32"/>
      <c r="J1219" s="381">
        <f t="shared" si="191"/>
        <v>0</v>
      </c>
      <c r="K1219" s="383">
        <v>634.9666666666667</v>
      </c>
      <c r="L1219" s="31"/>
      <c r="M1219" s="381">
        <f t="shared" si="192"/>
        <v>0</v>
      </c>
      <c r="N1219" s="383">
        <v>634.9666666666667</v>
      </c>
      <c r="O1219" s="32"/>
      <c r="P1219" s="381">
        <f t="shared" si="193"/>
        <v>0</v>
      </c>
      <c r="Q1219" s="383">
        <v>634.9666666666667</v>
      </c>
      <c r="R1219" s="32"/>
      <c r="S1219" s="25">
        <f t="shared" si="194"/>
        <v>0</v>
      </c>
      <c r="T1219" s="383">
        <v>634.9666666666667</v>
      </c>
      <c r="U1219" s="32"/>
      <c r="V1219" s="25">
        <f t="shared" si="197"/>
        <v>0</v>
      </c>
      <c r="W1219" s="32">
        <f t="shared" si="198"/>
        <v>634.9666666666667</v>
      </c>
      <c r="X1219" s="32">
        <f t="shared" si="195"/>
        <v>0</v>
      </c>
      <c r="Y1219" s="381">
        <f t="shared" si="196"/>
        <v>0</v>
      </c>
    </row>
    <row r="1220" spans="1:25" x14ac:dyDescent="0.2">
      <c r="A1220" s="24">
        <f t="shared" si="199"/>
        <v>25.297891875279515</v>
      </c>
      <c r="B1220" s="383">
        <v>639.98333333333335</v>
      </c>
      <c r="C1220" s="32"/>
      <c r="D1220" s="381">
        <f t="shared" si="189"/>
        <v>0</v>
      </c>
      <c r="E1220" s="383">
        <v>639.98333333333335</v>
      </c>
      <c r="F1220" s="8"/>
      <c r="G1220" s="381">
        <f t="shared" si="190"/>
        <v>0</v>
      </c>
      <c r="H1220" s="383">
        <v>639.98333333333335</v>
      </c>
      <c r="I1220" s="32"/>
      <c r="J1220" s="381">
        <f t="shared" si="191"/>
        <v>0</v>
      </c>
      <c r="K1220" s="383">
        <v>639.98333333333335</v>
      </c>
      <c r="L1220" s="31"/>
      <c r="M1220" s="381">
        <f t="shared" si="192"/>
        <v>0</v>
      </c>
      <c r="N1220" s="383">
        <v>639.98333333333335</v>
      </c>
      <c r="O1220" s="32"/>
      <c r="P1220" s="381">
        <f t="shared" si="193"/>
        <v>0</v>
      </c>
      <c r="Q1220" s="383">
        <v>639.98333333333335</v>
      </c>
      <c r="R1220" s="32"/>
      <c r="S1220" s="25">
        <f t="shared" si="194"/>
        <v>0</v>
      </c>
      <c r="T1220" s="383">
        <v>639.98333333333335</v>
      </c>
      <c r="U1220" s="32"/>
      <c r="V1220" s="25">
        <f t="shared" si="197"/>
        <v>0</v>
      </c>
      <c r="W1220" s="32">
        <f t="shared" si="198"/>
        <v>639.98333333333335</v>
      </c>
      <c r="X1220" s="32">
        <f t="shared" si="195"/>
        <v>0</v>
      </c>
      <c r="Y1220" s="381">
        <f t="shared" si="196"/>
        <v>0</v>
      </c>
    </row>
    <row r="1221" spans="1:25" x14ac:dyDescent="0.2">
      <c r="A1221" s="24">
        <f t="shared" si="199"/>
        <v>25.396522071601328</v>
      </c>
      <c r="B1221" s="383">
        <v>644.98333333333335</v>
      </c>
      <c r="C1221" s="32"/>
      <c r="D1221" s="381">
        <f t="shared" ref="D1221:D1282" si="200">C1221</f>
        <v>0</v>
      </c>
      <c r="E1221" s="383">
        <v>644.98333333333335</v>
      </c>
      <c r="F1221" s="8"/>
      <c r="G1221" s="381">
        <f t="shared" ref="G1221:G1284" si="201">F1221+$AB$2</f>
        <v>0</v>
      </c>
      <c r="H1221" s="383">
        <v>644.98333333333335</v>
      </c>
      <c r="I1221" s="32"/>
      <c r="J1221" s="381">
        <f t="shared" ref="J1221:J1278" si="202">I1221+$AB$3</f>
        <v>0</v>
      </c>
      <c r="K1221" s="383">
        <v>644.98333333333335</v>
      </c>
      <c r="L1221" s="31"/>
      <c r="M1221" s="381">
        <f t="shared" ref="M1221:M1284" si="203">L1221+$AB$4</f>
        <v>0</v>
      </c>
      <c r="N1221" s="383">
        <v>644.98333333333335</v>
      </c>
      <c r="O1221" s="32"/>
      <c r="P1221" s="381">
        <f t="shared" ref="P1221:P1284" si="204">O1221+$AB$5</f>
        <v>0</v>
      </c>
      <c r="Q1221" s="383">
        <v>644.98333333333335</v>
      </c>
      <c r="R1221" s="32"/>
      <c r="S1221" s="25">
        <f t="shared" ref="S1221:S1284" si="205">R1221+$AB$6</f>
        <v>0</v>
      </c>
      <c r="T1221" s="383">
        <v>644.98333333333335</v>
      </c>
      <c r="U1221" s="32"/>
      <c r="V1221" s="25">
        <f t="shared" si="197"/>
        <v>0</v>
      </c>
      <c r="W1221" s="32">
        <f t="shared" si="198"/>
        <v>644.98333333333335</v>
      </c>
      <c r="X1221" s="32">
        <f t="shared" ref="X1221:X1284" si="206">U1221</f>
        <v>0</v>
      </c>
      <c r="Y1221" s="381">
        <f t="shared" ref="Y1221:Y1284" si="207">X1221+$AB$8</f>
        <v>0</v>
      </c>
    </row>
    <row r="1222" spans="1:25" x14ac:dyDescent="0.2">
      <c r="A1222" s="24">
        <f t="shared" si="199"/>
        <v>25.494443839132217</v>
      </c>
      <c r="B1222" s="383">
        <v>649.9666666666667</v>
      </c>
      <c r="C1222" s="32"/>
      <c r="D1222" s="381">
        <f t="shared" si="200"/>
        <v>0</v>
      </c>
      <c r="E1222" s="383">
        <v>649.9666666666667</v>
      </c>
      <c r="F1222" s="8"/>
      <c r="G1222" s="381">
        <f t="shared" si="201"/>
        <v>0</v>
      </c>
      <c r="H1222" s="383">
        <v>649.9666666666667</v>
      </c>
      <c r="I1222" s="32"/>
      <c r="J1222" s="381">
        <f t="shared" si="202"/>
        <v>0</v>
      </c>
      <c r="K1222" s="383">
        <v>649.9666666666667</v>
      </c>
      <c r="L1222" s="31"/>
      <c r="M1222" s="381">
        <f t="shared" si="203"/>
        <v>0</v>
      </c>
      <c r="N1222" s="383">
        <v>649.9666666666667</v>
      </c>
      <c r="O1222" s="32"/>
      <c r="P1222" s="381">
        <f t="shared" si="204"/>
        <v>0</v>
      </c>
      <c r="Q1222" s="383">
        <v>649.9666666666667</v>
      </c>
      <c r="R1222" s="32"/>
      <c r="S1222" s="25">
        <f t="shared" si="205"/>
        <v>0</v>
      </c>
      <c r="T1222" s="383">
        <v>649.9666666666667</v>
      </c>
      <c r="U1222" s="32"/>
      <c r="V1222" s="25">
        <f t="shared" ref="V1222:V1285" si="208">Y1222</f>
        <v>0</v>
      </c>
      <c r="W1222" s="32">
        <f t="shared" ref="W1222:W1270" si="209">T1222</f>
        <v>649.9666666666667</v>
      </c>
      <c r="X1222" s="32">
        <f t="shared" si="206"/>
        <v>0</v>
      </c>
      <c r="Y1222" s="381">
        <f t="shared" si="207"/>
        <v>0</v>
      </c>
    </row>
    <row r="1223" spans="1:25" x14ac:dyDescent="0.2">
      <c r="A1223" s="24">
        <f t="shared" si="199"/>
        <v>25.592316555299693</v>
      </c>
      <c r="B1223" s="383">
        <v>654.9666666666667</v>
      </c>
      <c r="C1223" s="32"/>
      <c r="D1223" s="381">
        <f t="shared" si="200"/>
        <v>0</v>
      </c>
      <c r="E1223" s="383">
        <v>654.9666666666667</v>
      </c>
      <c r="F1223" s="8"/>
      <c r="G1223" s="381">
        <f t="shared" si="201"/>
        <v>0</v>
      </c>
      <c r="H1223" s="383">
        <v>654.9666666666667</v>
      </c>
      <c r="I1223" s="32"/>
      <c r="J1223" s="381">
        <f t="shared" si="202"/>
        <v>0</v>
      </c>
      <c r="K1223" s="383">
        <v>654.9666666666667</v>
      </c>
      <c r="L1223" s="31"/>
      <c r="M1223" s="381">
        <f t="shared" si="203"/>
        <v>0</v>
      </c>
      <c r="N1223" s="383">
        <v>654.9666666666667</v>
      </c>
      <c r="O1223" s="32"/>
      <c r="P1223" s="381">
        <f t="shared" si="204"/>
        <v>0</v>
      </c>
      <c r="Q1223" s="383">
        <v>654.9666666666667</v>
      </c>
      <c r="R1223" s="32"/>
      <c r="S1223" s="25">
        <f t="shared" si="205"/>
        <v>0</v>
      </c>
      <c r="T1223" s="383">
        <v>654.9666666666667</v>
      </c>
      <c r="U1223" s="32"/>
      <c r="V1223" s="25">
        <f t="shared" si="208"/>
        <v>0</v>
      </c>
      <c r="W1223" s="32">
        <f t="shared" si="209"/>
        <v>654.9666666666667</v>
      </c>
      <c r="X1223" s="32">
        <f t="shared" si="206"/>
        <v>0</v>
      </c>
      <c r="Y1223" s="381">
        <f t="shared" si="207"/>
        <v>0</v>
      </c>
    </row>
    <row r="1224" spans="1:25" x14ac:dyDescent="0.2">
      <c r="A1224" s="24">
        <f t="shared" si="199"/>
        <v>25.690140780722345</v>
      </c>
      <c r="B1224" s="383">
        <v>659.98333333333335</v>
      </c>
      <c r="C1224" s="32"/>
      <c r="D1224" s="381">
        <f t="shared" si="200"/>
        <v>0</v>
      </c>
      <c r="E1224" s="383">
        <v>659.98333333333335</v>
      </c>
      <c r="F1224" s="8"/>
      <c r="G1224" s="381">
        <f t="shared" si="201"/>
        <v>0</v>
      </c>
      <c r="H1224" s="383">
        <v>659.98333333333335</v>
      </c>
      <c r="I1224" s="32"/>
      <c r="J1224" s="381">
        <f t="shared" si="202"/>
        <v>0</v>
      </c>
      <c r="K1224" s="383">
        <v>659.98333333333335</v>
      </c>
      <c r="L1224" s="31"/>
      <c r="M1224" s="381">
        <f t="shared" si="203"/>
        <v>0</v>
      </c>
      <c r="N1224" s="383">
        <v>659.98333333333335</v>
      </c>
      <c r="O1224" s="32"/>
      <c r="P1224" s="381">
        <f t="shared" si="204"/>
        <v>0</v>
      </c>
      <c r="Q1224" s="383">
        <v>659.98333333333335</v>
      </c>
      <c r="R1224" s="32"/>
      <c r="S1224" s="25">
        <f t="shared" si="205"/>
        <v>0</v>
      </c>
      <c r="T1224" s="383">
        <v>659.98333333333335</v>
      </c>
      <c r="U1224" s="32"/>
      <c r="V1224" s="25">
        <f t="shared" si="208"/>
        <v>0</v>
      </c>
      <c r="W1224" s="32">
        <f t="shared" si="209"/>
        <v>659.98333333333335</v>
      </c>
      <c r="X1224" s="32">
        <f t="shared" si="206"/>
        <v>0</v>
      </c>
      <c r="Y1224" s="381">
        <f t="shared" si="207"/>
        <v>0</v>
      </c>
    </row>
    <row r="1225" spans="1:25" x14ac:dyDescent="0.2">
      <c r="A1225" s="24">
        <f t="shared" si="199"/>
        <v>25.786947602744043</v>
      </c>
      <c r="B1225" s="383">
        <v>664.9666666666667</v>
      </c>
      <c r="C1225" s="32"/>
      <c r="D1225" s="381">
        <f t="shared" si="200"/>
        <v>0</v>
      </c>
      <c r="E1225" s="383">
        <v>664.9666666666667</v>
      </c>
      <c r="F1225" s="8"/>
      <c r="G1225" s="381">
        <f t="shared" si="201"/>
        <v>0</v>
      </c>
      <c r="H1225" s="383">
        <v>664.9666666666667</v>
      </c>
      <c r="I1225" s="32"/>
      <c r="J1225" s="381">
        <f t="shared" si="202"/>
        <v>0</v>
      </c>
      <c r="K1225" s="383">
        <v>664.9666666666667</v>
      </c>
      <c r="L1225" s="31"/>
      <c r="M1225" s="381">
        <f t="shared" si="203"/>
        <v>0</v>
      </c>
      <c r="N1225" s="383">
        <v>664.9666666666667</v>
      </c>
      <c r="O1225" s="32"/>
      <c r="P1225" s="381">
        <f t="shared" si="204"/>
        <v>0</v>
      </c>
      <c r="Q1225" s="383">
        <v>664.9666666666667</v>
      </c>
      <c r="R1225" s="32"/>
      <c r="S1225" s="25">
        <f t="shared" si="205"/>
        <v>0</v>
      </c>
      <c r="T1225" s="383">
        <v>664.9666666666667</v>
      </c>
      <c r="U1225" s="32"/>
      <c r="V1225" s="25">
        <f t="shared" si="208"/>
        <v>0</v>
      </c>
      <c r="W1225" s="32">
        <f t="shared" si="209"/>
        <v>664.9666666666667</v>
      </c>
      <c r="X1225" s="32">
        <f t="shared" si="206"/>
        <v>0</v>
      </c>
      <c r="Y1225" s="381">
        <f t="shared" si="207"/>
        <v>0</v>
      </c>
    </row>
    <row r="1226" spans="1:25" x14ac:dyDescent="0.2">
      <c r="A1226" s="24">
        <f t="shared" si="199"/>
        <v>25.883714313573055</v>
      </c>
      <c r="B1226" s="383">
        <v>669.9666666666667</v>
      </c>
      <c r="C1226" s="32"/>
      <c r="D1226" s="381">
        <f t="shared" si="200"/>
        <v>0</v>
      </c>
      <c r="E1226" s="383">
        <v>669.9666666666667</v>
      </c>
      <c r="F1226" s="8"/>
      <c r="G1226" s="381">
        <f t="shared" si="201"/>
        <v>0</v>
      </c>
      <c r="H1226" s="383">
        <v>669.9666666666667</v>
      </c>
      <c r="I1226" s="32"/>
      <c r="J1226" s="381">
        <f t="shared" si="202"/>
        <v>0</v>
      </c>
      <c r="K1226" s="383">
        <v>669.9666666666667</v>
      </c>
      <c r="L1226" s="31"/>
      <c r="M1226" s="381">
        <f t="shared" si="203"/>
        <v>0</v>
      </c>
      <c r="N1226" s="383">
        <v>669.9666666666667</v>
      </c>
      <c r="O1226" s="32"/>
      <c r="P1226" s="381">
        <f t="shared" si="204"/>
        <v>0</v>
      </c>
      <c r="Q1226" s="383">
        <v>669.9666666666667</v>
      </c>
      <c r="R1226" s="32"/>
      <c r="S1226" s="25">
        <f t="shared" si="205"/>
        <v>0</v>
      </c>
      <c r="T1226" s="383">
        <v>669.9666666666667</v>
      </c>
      <c r="U1226" s="32"/>
      <c r="V1226" s="25">
        <f t="shared" si="208"/>
        <v>0</v>
      </c>
      <c r="W1226" s="32">
        <f t="shared" si="209"/>
        <v>669.9666666666667</v>
      </c>
      <c r="X1226" s="32">
        <f t="shared" si="206"/>
        <v>0</v>
      </c>
      <c r="Y1226" s="381">
        <f t="shared" si="207"/>
        <v>0</v>
      </c>
    </row>
    <row r="1227" spans="1:25" x14ac:dyDescent="0.2">
      <c r="A1227" s="24">
        <f t="shared" si="199"/>
        <v>25.980441361403646</v>
      </c>
      <c r="B1227" s="383">
        <v>674.98333333333335</v>
      </c>
      <c r="C1227" s="32"/>
      <c r="D1227" s="381">
        <f t="shared" si="200"/>
        <v>0</v>
      </c>
      <c r="E1227" s="383">
        <v>674.98333333333335</v>
      </c>
      <c r="F1227" s="8"/>
      <c r="G1227" s="381">
        <f t="shared" si="201"/>
        <v>0</v>
      </c>
      <c r="H1227" s="383">
        <v>674.98333333333335</v>
      </c>
      <c r="I1227" s="32"/>
      <c r="J1227" s="381">
        <f t="shared" si="202"/>
        <v>0</v>
      </c>
      <c r="K1227" s="383">
        <v>674.98333333333335</v>
      </c>
      <c r="L1227" s="31"/>
      <c r="M1227" s="381">
        <f t="shared" si="203"/>
        <v>0</v>
      </c>
      <c r="N1227" s="383">
        <v>674.98333333333335</v>
      </c>
      <c r="O1227" s="32"/>
      <c r="P1227" s="381">
        <f t="shared" si="204"/>
        <v>0</v>
      </c>
      <c r="Q1227" s="383">
        <v>674.98333333333335</v>
      </c>
      <c r="R1227" s="32"/>
      <c r="S1227" s="25">
        <f t="shared" si="205"/>
        <v>0</v>
      </c>
      <c r="T1227" s="383">
        <v>674.98333333333335</v>
      </c>
      <c r="U1227" s="32"/>
      <c r="V1227" s="25">
        <f t="shared" si="208"/>
        <v>0</v>
      </c>
      <c r="W1227" s="32">
        <f t="shared" si="209"/>
        <v>674.98333333333335</v>
      </c>
      <c r="X1227" s="32">
        <f t="shared" si="206"/>
        <v>0</v>
      </c>
      <c r="Y1227" s="381">
        <f t="shared" si="207"/>
        <v>0</v>
      </c>
    </row>
    <row r="1228" spans="1:25" x14ac:dyDescent="0.2">
      <c r="A1228" s="24">
        <f t="shared" si="199"/>
        <v>26.076170475487132</v>
      </c>
      <c r="B1228" s="383">
        <v>679.9666666666667</v>
      </c>
      <c r="C1228" s="32"/>
      <c r="D1228" s="381">
        <f t="shared" si="200"/>
        <v>0</v>
      </c>
      <c r="E1228" s="383">
        <v>679.9666666666667</v>
      </c>
      <c r="F1228" s="8"/>
      <c r="G1228" s="381">
        <f t="shared" si="201"/>
        <v>0</v>
      </c>
      <c r="H1228" s="383">
        <v>679.9666666666667</v>
      </c>
      <c r="I1228" s="32"/>
      <c r="J1228" s="381">
        <f t="shared" si="202"/>
        <v>0</v>
      </c>
      <c r="K1228" s="383">
        <v>679.9666666666667</v>
      </c>
      <c r="L1228" s="31"/>
      <c r="M1228" s="381">
        <f t="shared" si="203"/>
        <v>0</v>
      </c>
      <c r="N1228" s="383">
        <v>679.9666666666667</v>
      </c>
      <c r="O1228" s="32"/>
      <c r="P1228" s="381">
        <f t="shared" si="204"/>
        <v>0</v>
      </c>
      <c r="Q1228" s="383">
        <v>679.9666666666667</v>
      </c>
      <c r="R1228" s="32"/>
      <c r="S1228" s="25">
        <f t="shared" si="205"/>
        <v>0</v>
      </c>
      <c r="T1228" s="383">
        <v>679.9666666666667</v>
      </c>
      <c r="U1228" s="32"/>
      <c r="V1228" s="25">
        <f t="shared" si="208"/>
        <v>0</v>
      </c>
      <c r="W1228" s="32">
        <f t="shared" si="209"/>
        <v>679.9666666666667</v>
      </c>
      <c r="X1228" s="32">
        <f t="shared" si="206"/>
        <v>0</v>
      </c>
      <c r="Y1228" s="381">
        <f t="shared" si="207"/>
        <v>0</v>
      </c>
    </row>
    <row r="1229" spans="1:25" x14ac:dyDescent="0.2">
      <c r="A1229" s="24">
        <f t="shared" si="199"/>
        <v>26.17186784825773</v>
      </c>
      <c r="B1229" s="383">
        <v>684.9666666666667</v>
      </c>
      <c r="C1229" s="32"/>
      <c r="D1229" s="381">
        <f t="shared" si="200"/>
        <v>0</v>
      </c>
      <c r="E1229" s="383">
        <v>684.9666666666667</v>
      </c>
      <c r="F1229" s="8"/>
      <c r="G1229" s="381">
        <f t="shared" si="201"/>
        <v>0</v>
      </c>
      <c r="H1229" s="383">
        <v>684.9666666666667</v>
      </c>
      <c r="I1229" s="32"/>
      <c r="J1229" s="381">
        <f t="shared" si="202"/>
        <v>0</v>
      </c>
      <c r="K1229" s="383">
        <v>684.9666666666667</v>
      </c>
      <c r="L1229" s="31"/>
      <c r="M1229" s="381">
        <f t="shared" si="203"/>
        <v>0</v>
      </c>
      <c r="N1229" s="383">
        <v>684.9666666666667</v>
      </c>
      <c r="O1229" s="32"/>
      <c r="P1229" s="381">
        <f t="shared" si="204"/>
        <v>0</v>
      </c>
      <c r="Q1229" s="383">
        <v>684.9666666666667</v>
      </c>
      <c r="R1229" s="32"/>
      <c r="S1229" s="25">
        <f t="shared" si="205"/>
        <v>0</v>
      </c>
      <c r="T1229" s="383">
        <v>684.9666666666667</v>
      </c>
      <c r="U1229" s="32"/>
      <c r="V1229" s="25">
        <f t="shared" si="208"/>
        <v>0</v>
      </c>
      <c r="W1229" s="32">
        <f t="shared" si="209"/>
        <v>684.9666666666667</v>
      </c>
      <c r="X1229" s="32">
        <f t="shared" si="206"/>
        <v>0</v>
      </c>
      <c r="Y1229" s="381">
        <f t="shared" si="207"/>
        <v>0</v>
      </c>
    </row>
    <row r="1230" spans="1:25" x14ac:dyDescent="0.2">
      <c r="A1230" s="24">
        <f t="shared" si="199"/>
        <v>26.267533826633464</v>
      </c>
      <c r="B1230" s="383">
        <v>689.98333333333335</v>
      </c>
      <c r="C1230" s="32"/>
      <c r="D1230" s="381">
        <f t="shared" si="200"/>
        <v>0</v>
      </c>
      <c r="E1230" s="383">
        <v>689.98333333333335</v>
      </c>
      <c r="F1230" s="8"/>
      <c r="G1230" s="381">
        <f t="shared" si="201"/>
        <v>0</v>
      </c>
      <c r="H1230" s="383">
        <v>689.98333333333335</v>
      </c>
      <c r="I1230" s="32"/>
      <c r="J1230" s="381">
        <f t="shared" si="202"/>
        <v>0</v>
      </c>
      <c r="K1230" s="383">
        <v>689.98333333333335</v>
      </c>
      <c r="L1230" s="31"/>
      <c r="M1230" s="381">
        <f t="shared" si="203"/>
        <v>0</v>
      </c>
      <c r="N1230" s="383">
        <v>689.98333333333335</v>
      </c>
      <c r="O1230" s="32"/>
      <c r="P1230" s="381">
        <f t="shared" si="204"/>
        <v>0</v>
      </c>
      <c r="Q1230" s="383">
        <v>689.98333333333335</v>
      </c>
      <c r="R1230" s="32"/>
      <c r="S1230" s="25">
        <f t="shared" si="205"/>
        <v>0</v>
      </c>
      <c r="T1230" s="383">
        <v>689.98333333333335</v>
      </c>
      <c r="U1230" s="32"/>
      <c r="V1230" s="25">
        <f t="shared" si="208"/>
        <v>0</v>
      </c>
      <c r="W1230" s="32">
        <f t="shared" si="209"/>
        <v>689.98333333333335</v>
      </c>
      <c r="X1230" s="32">
        <f t="shared" si="206"/>
        <v>0</v>
      </c>
      <c r="Y1230" s="381">
        <f t="shared" si="207"/>
        <v>0</v>
      </c>
    </row>
    <row r="1231" spans="1:25" x14ac:dyDescent="0.2">
      <c r="A1231" s="24">
        <f t="shared" si="199"/>
        <v>26.362220442646077</v>
      </c>
      <c r="B1231" s="383">
        <v>694.9666666666667</v>
      </c>
      <c r="C1231" s="32"/>
      <c r="D1231" s="381">
        <f t="shared" si="200"/>
        <v>0</v>
      </c>
      <c r="E1231" s="383">
        <v>694.9666666666667</v>
      </c>
      <c r="F1231" s="8"/>
      <c r="G1231" s="381">
        <f t="shared" si="201"/>
        <v>0</v>
      </c>
      <c r="H1231" s="383">
        <v>694.9666666666667</v>
      </c>
      <c r="I1231" s="32"/>
      <c r="J1231" s="381">
        <f t="shared" si="202"/>
        <v>0</v>
      </c>
      <c r="K1231" s="383">
        <v>694.9666666666667</v>
      </c>
      <c r="L1231" s="31"/>
      <c r="M1231" s="381">
        <f t="shared" si="203"/>
        <v>0</v>
      </c>
      <c r="N1231" s="383">
        <v>694.9666666666667</v>
      </c>
      <c r="O1231" s="32"/>
      <c r="P1231" s="381">
        <f t="shared" si="204"/>
        <v>0</v>
      </c>
      <c r="Q1231" s="383">
        <v>694.9666666666667</v>
      </c>
      <c r="R1231" s="32"/>
      <c r="S1231" s="25">
        <f t="shared" si="205"/>
        <v>0</v>
      </c>
      <c r="T1231" s="383">
        <v>694.9666666666667</v>
      </c>
      <c r="U1231" s="32"/>
      <c r="V1231" s="25">
        <f t="shared" si="208"/>
        <v>0</v>
      </c>
      <c r="W1231" s="32">
        <f t="shared" si="209"/>
        <v>694.9666666666667</v>
      </c>
      <c r="X1231" s="32">
        <f t="shared" si="206"/>
        <v>0</v>
      </c>
      <c r="Y1231" s="381">
        <f t="shared" si="207"/>
        <v>0</v>
      </c>
    </row>
    <row r="1232" spans="1:25" x14ac:dyDescent="0.2">
      <c r="A1232" s="24">
        <f t="shared" si="199"/>
        <v>26.456883162358086</v>
      </c>
      <c r="B1232" s="383">
        <v>699.9666666666667</v>
      </c>
      <c r="C1232" s="32"/>
      <c r="D1232" s="381">
        <f t="shared" si="200"/>
        <v>0</v>
      </c>
      <c r="E1232" s="383">
        <v>699.9666666666667</v>
      </c>
      <c r="F1232" s="8"/>
      <c r="G1232" s="381">
        <f t="shared" si="201"/>
        <v>0</v>
      </c>
      <c r="H1232" s="383">
        <v>699.9666666666667</v>
      </c>
      <c r="I1232" s="32"/>
      <c r="J1232" s="381">
        <f t="shared" si="202"/>
        <v>0</v>
      </c>
      <c r="K1232" s="383">
        <v>699.9666666666667</v>
      </c>
      <c r="L1232" s="31"/>
      <c r="M1232" s="381">
        <f t="shared" si="203"/>
        <v>0</v>
      </c>
      <c r="N1232" s="383">
        <v>699.9666666666667</v>
      </c>
      <c r="O1232" s="32"/>
      <c r="P1232" s="381">
        <f t="shared" si="204"/>
        <v>0</v>
      </c>
      <c r="Q1232" s="383">
        <v>699.9666666666667</v>
      </c>
      <c r="R1232" s="32"/>
      <c r="S1232" s="25">
        <f t="shared" si="205"/>
        <v>0</v>
      </c>
      <c r="T1232" s="383">
        <v>699.9666666666667</v>
      </c>
      <c r="U1232" s="32"/>
      <c r="V1232" s="25">
        <f t="shared" si="208"/>
        <v>0</v>
      </c>
      <c r="W1232" s="32">
        <f t="shared" si="209"/>
        <v>699.9666666666667</v>
      </c>
      <c r="X1232" s="32">
        <f t="shared" si="206"/>
        <v>0</v>
      </c>
      <c r="Y1232" s="381">
        <f t="shared" si="207"/>
        <v>0</v>
      </c>
    </row>
    <row r="1233" spans="1:25" x14ac:dyDescent="0.2">
      <c r="A1233" s="24">
        <f t="shared" si="199"/>
        <v>26.551522241358089</v>
      </c>
      <c r="B1233" s="383">
        <v>704.98333333333335</v>
      </c>
      <c r="C1233" s="32"/>
      <c r="D1233" s="381">
        <f t="shared" si="200"/>
        <v>0</v>
      </c>
      <c r="E1233" s="383">
        <v>704.98333333333335</v>
      </c>
      <c r="F1233" s="8"/>
      <c r="G1233" s="381">
        <f t="shared" si="201"/>
        <v>0</v>
      </c>
      <c r="H1233" s="383">
        <v>704.98333333333335</v>
      </c>
      <c r="I1233" s="32"/>
      <c r="J1233" s="381">
        <f t="shared" si="202"/>
        <v>0</v>
      </c>
      <c r="K1233" s="383">
        <v>704.98333333333335</v>
      </c>
      <c r="L1233" s="31"/>
      <c r="M1233" s="381">
        <f t="shared" si="203"/>
        <v>0</v>
      </c>
      <c r="N1233" s="383">
        <v>704.98333333333335</v>
      </c>
      <c r="O1233" s="32"/>
      <c r="P1233" s="381">
        <f t="shared" si="204"/>
        <v>0</v>
      </c>
      <c r="Q1233" s="383">
        <v>704.98333333333335</v>
      </c>
      <c r="R1233" s="32"/>
      <c r="S1233" s="25">
        <f t="shared" si="205"/>
        <v>0</v>
      </c>
      <c r="T1233" s="383">
        <v>704.98333333333335</v>
      </c>
      <c r="U1233" s="32"/>
      <c r="V1233" s="25">
        <f t="shared" si="208"/>
        <v>0</v>
      </c>
      <c r="W1233" s="32">
        <f t="shared" si="209"/>
        <v>704.98333333333335</v>
      </c>
      <c r="X1233" s="32">
        <f t="shared" si="206"/>
        <v>0</v>
      </c>
      <c r="Y1233" s="381">
        <f t="shared" si="207"/>
        <v>0</v>
      </c>
    </row>
    <row r="1234" spans="1:25" x14ac:dyDescent="0.2">
      <c r="A1234" s="24">
        <f t="shared" si="199"/>
        <v>26.645199692752666</v>
      </c>
      <c r="B1234" s="383">
        <v>709.9666666666667</v>
      </c>
      <c r="C1234" s="32"/>
      <c r="D1234" s="381">
        <f t="shared" si="200"/>
        <v>0</v>
      </c>
      <c r="E1234" s="383">
        <v>709.9666666666667</v>
      </c>
      <c r="F1234" s="8"/>
      <c r="G1234" s="381">
        <f t="shared" si="201"/>
        <v>0</v>
      </c>
      <c r="H1234" s="383">
        <v>709.9666666666667</v>
      </c>
      <c r="I1234" s="32"/>
      <c r="J1234" s="381">
        <f t="shared" si="202"/>
        <v>0</v>
      </c>
      <c r="K1234" s="383">
        <v>709.9666666666667</v>
      </c>
      <c r="L1234" s="31"/>
      <c r="M1234" s="381">
        <f t="shared" si="203"/>
        <v>0</v>
      </c>
      <c r="N1234" s="383">
        <v>709.9666666666667</v>
      </c>
      <c r="O1234" s="32"/>
      <c r="P1234" s="381">
        <f t="shared" si="204"/>
        <v>0</v>
      </c>
      <c r="Q1234" s="383">
        <v>709.9666666666667</v>
      </c>
      <c r="R1234" s="32"/>
      <c r="S1234" s="25">
        <f t="shared" si="205"/>
        <v>0</v>
      </c>
      <c r="T1234" s="383">
        <v>709.9666666666667</v>
      </c>
      <c r="U1234" s="32"/>
      <c r="V1234" s="25">
        <f t="shared" si="208"/>
        <v>0</v>
      </c>
      <c r="W1234" s="32">
        <f t="shared" si="209"/>
        <v>709.9666666666667</v>
      </c>
      <c r="X1234" s="32">
        <f t="shared" si="206"/>
        <v>0</v>
      </c>
      <c r="Y1234" s="381">
        <f t="shared" si="207"/>
        <v>0</v>
      </c>
    </row>
    <row r="1235" spans="1:25" x14ac:dyDescent="0.2">
      <c r="A1235" s="24">
        <f t="shared" si="199"/>
        <v>26.738860608983821</v>
      </c>
      <c r="B1235" s="383">
        <v>714.9666666666667</v>
      </c>
      <c r="C1235" s="32"/>
      <c r="D1235" s="381">
        <f t="shared" si="200"/>
        <v>0</v>
      </c>
      <c r="E1235" s="383">
        <v>714.9666666666667</v>
      </c>
      <c r="F1235" s="8"/>
      <c r="G1235" s="381">
        <f t="shared" si="201"/>
        <v>0</v>
      </c>
      <c r="H1235" s="383">
        <v>714.9666666666667</v>
      </c>
      <c r="I1235" s="32"/>
      <c r="J1235" s="381">
        <f t="shared" si="202"/>
        <v>0</v>
      </c>
      <c r="K1235" s="383">
        <v>714.9666666666667</v>
      </c>
      <c r="L1235" s="31"/>
      <c r="M1235" s="381">
        <f t="shared" si="203"/>
        <v>0</v>
      </c>
      <c r="N1235" s="383">
        <v>714.9666666666667</v>
      </c>
      <c r="O1235" s="32"/>
      <c r="P1235" s="381">
        <f t="shared" si="204"/>
        <v>0</v>
      </c>
      <c r="Q1235" s="383">
        <v>714.9666666666667</v>
      </c>
      <c r="R1235" s="32"/>
      <c r="S1235" s="25">
        <f t="shared" si="205"/>
        <v>0</v>
      </c>
      <c r="T1235" s="383">
        <v>714.9666666666667</v>
      </c>
      <c r="U1235" s="32"/>
      <c r="V1235" s="25">
        <f t="shared" si="208"/>
        <v>0</v>
      </c>
      <c r="W1235" s="32">
        <f t="shared" si="209"/>
        <v>714.9666666666667</v>
      </c>
      <c r="X1235" s="32">
        <f t="shared" si="206"/>
        <v>0</v>
      </c>
      <c r="Y1235" s="381">
        <f t="shared" si="207"/>
        <v>0</v>
      </c>
    </row>
    <row r="1236" spans="1:25" x14ac:dyDescent="0.2">
      <c r="A1236" s="24">
        <f t="shared" si="199"/>
        <v>26.832505163203329</v>
      </c>
      <c r="B1236" s="383">
        <v>719.98333333333335</v>
      </c>
      <c r="C1236" s="32"/>
      <c r="D1236" s="381">
        <f t="shared" si="200"/>
        <v>0</v>
      </c>
      <c r="E1236" s="383">
        <v>719.98333333333335</v>
      </c>
      <c r="F1236" s="8"/>
      <c r="G1236" s="381">
        <f t="shared" si="201"/>
        <v>0</v>
      </c>
      <c r="H1236" s="383">
        <v>719.98333333333335</v>
      </c>
      <c r="I1236" s="32"/>
      <c r="J1236" s="381">
        <f t="shared" si="202"/>
        <v>0</v>
      </c>
      <c r="K1236" s="383">
        <v>719.98333333333335</v>
      </c>
      <c r="L1236" s="31"/>
      <c r="M1236" s="381">
        <f t="shared" si="203"/>
        <v>0</v>
      </c>
      <c r="N1236" s="383">
        <v>719.98333333333335</v>
      </c>
      <c r="O1236" s="32"/>
      <c r="P1236" s="381">
        <f t="shared" si="204"/>
        <v>0</v>
      </c>
      <c r="Q1236" s="383">
        <v>719.98333333333335</v>
      </c>
      <c r="R1236" s="32"/>
      <c r="S1236" s="25">
        <f t="shared" si="205"/>
        <v>0</v>
      </c>
      <c r="T1236" s="383">
        <v>719.98333333333335</v>
      </c>
      <c r="U1236" s="32"/>
      <c r="V1236" s="25">
        <f t="shared" si="208"/>
        <v>0</v>
      </c>
      <c r="W1236" s="32">
        <f t="shared" si="209"/>
        <v>719.98333333333335</v>
      </c>
      <c r="X1236" s="32">
        <f t="shared" si="206"/>
        <v>0</v>
      </c>
      <c r="Y1236" s="381">
        <f t="shared" si="207"/>
        <v>0</v>
      </c>
    </row>
    <row r="1237" spans="1:25" x14ac:dyDescent="0.2">
      <c r="A1237" s="24">
        <f t="shared" si="199"/>
        <v>26.925205044097002</v>
      </c>
      <c r="B1237" s="383">
        <v>724.9666666666667</v>
      </c>
      <c r="C1237" s="32"/>
      <c r="D1237" s="381">
        <f t="shared" si="200"/>
        <v>0</v>
      </c>
      <c r="E1237" s="383">
        <v>724.9666666666667</v>
      </c>
      <c r="F1237" s="8"/>
      <c r="G1237" s="381">
        <f t="shared" si="201"/>
        <v>0</v>
      </c>
      <c r="H1237" s="383">
        <v>724.9666666666667</v>
      </c>
      <c r="I1237" s="32"/>
      <c r="J1237" s="381">
        <f t="shared" si="202"/>
        <v>0</v>
      </c>
      <c r="K1237" s="383">
        <v>724.9666666666667</v>
      </c>
      <c r="L1237" s="31"/>
      <c r="M1237" s="381">
        <f t="shared" si="203"/>
        <v>0</v>
      </c>
      <c r="N1237" s="383">
        <v>724.9666666666667</v>
      </c>
      <c r="O1237" s="32"/>
      <c r="P1237" s="381">
        <f t="shared" si="204"/>
        <v>0</v>
      </c>
      <c r="Q1237" s="383">
        <v>724.9666666666667</v>
      </c>
      <c r="R1237" s="32"/>
      <c r="S1237" s="25">
        <f t="shared" si="205"/>
        <v>0</v>
      </c>
      <c r="T1237" s="383">
        <v>724.9666666666667</v>
      </c>
      <c r="U1237" s="32"/>
      <c r="V1237" s="25">
        <f t="shared" si="208"/>
        <v>0</v>
      </c>
      <c r="W1237" s="32">
        <f t="shared" si="209"/>
        <v>724.9666666666667</v>
      </c>
      <c r="X1237" s="32">
        <f t="shared" si="206"/>
        <v>0</v>
      </c>
      <c r="Y1237" s="381">
        <f t="shared" si="207"/>
        <v>0</v>
      </c>
    </row>
    <row r="1238" spans="1:25" x14ac:dyDescent="0.2">
      <c r="A1238" s="24">
        <f t="shared" si="199"/>
        <v>27.017895304162142</v>
      </c>
      <c r="B1238" s="383">
        <v>729.9666666666667</v>
      </c>
      <c r="C1238" s="32"/>
      <c r="D1238" s="381">
        <f t="shared" si="200"/>
        <v>0</v>
      </c>
      <c r="E1238" s="383">
        <v>729.9666666666667</v>
      </c>
      <c r="F1238" s="8"/>
      <c r="G1238" s="381">
        <f t="shared" si="201"/>
        <v>0</v>
      </c>
      <c r="H1238" s="383">
        <v>729.9666666666667</v>
      </c>
      <c r="I1238" s="32"/>
      <c r="J1238" s="381">
        <f t="shared" si="202"/>
        <v>0</v>
      </c>
      <c r="K1238" s="383">
        <v>729.9666666666667</v>
      </c>
      <c r="L1238" s="31"/>
      <c r="M1238" s="381">
        <f t="shared" si="203"/>
        <v>0</v>
      </c>
      <c r="N1238" s="383">
        <v>729.9666666666667</v>
      </c>
      <c r="O1238" s="32"/>
      <c r="P1238" s="381">
        <f t="shared" si="204"/>
        <v>0</v>
      </c>
      <c r="Q1238" s="383">
        <v>729.9666666666667</v>
      </c>
      <c r="R1238" s="32"/>
      <c r="S1238" s="25">
        <f t="shared" si="205"/>
        <v>0</v>
      </c>
      <c r="T1238" s="383">
        <v>729.9666666666667</v>
      </c>
      <c r="U1238" s="32"/>
      <c r="V1238" s="25">
        <f t="shared" si="208"/>
        <v>0</v>
      </c>
      <c r="W1238" s="32">
        <f t="shared" si="209"/>
        <v>729.9666666666667</v>
      </c>
      <c r="X1238" s="32">
        <f t="shared" si="206"/>
        <v>0</v>
      </c>
      <c r="Y1238" s="381">
        <f t="shared" si="207"/>
        <v>0</v>
      </c>
    </row>
    <row r="1239" spans="1:25" x14ac:dyDescent="0.2">
      <c r="A1239" s="24">
        <f t="shared" si="199"/>
        <v>27.110268657220399</v>
      </c>
      <c r="B1239" s="383">
        <v>734.9666666666667</v>
      </c>
      <c r="C1239" s="32"/>
      <c r="D1239" s="381">
        <f t="shared" si="200"/>
        <v>0</v>
      </c>
      <c r="E1239" s="383">
        <v>734.9666666666667</v>
      </c>
      <c r="F1239" s="8"/>
      <c r="G1239" s="381">
        <f t="shared" si="201"/>
        <v>0</v>
      </c>
      <c r="H1239" s="383">
        <v>734.9666666666667</v>
      </c>
      <c r="I1239" s="32"/>
      <c r="J1239" s="381">
        <f t="shared" si="202"/>
        <v>0</v>
      </c>
      <c r="K1239" s="383">
        <v>734.9666666666667</v>
      </c>
      <c r="L1239" s="31"/>
      <c r="M1239" s="381">
        <f t="shared" si="203"/>
        <v>0</v>
      </c>
      <c r="N1239" s="383">
        <v>734.9666666666667</v>
      </c>
      <c r="O1239" s="32"/>
      <c r="P1239" s="381">
        <f t="shared" si="204"/>
        <v>0</v>
      </c>
      <c r="Q1239" s="383">
        <v>734.9666666666667</v>
      </c>
      <c r="R1239" s="32"/>
      <c r="S1239" s="25">
        <f t="shared" si="205"/>
        <v>0</v>
      </c>
      <c r="T1239" s="383">
        <v>734.9666666666667</v>
      </c>
      <c r="U1239" s="32"/>
      <c r="V1239" s="25">
        <f t="shared" si="208"/>
        <v>0</v>
      </c>
      <c r="W1239" s="32">
        <f t="shared" si="209"/>
        <v>734.9666666666667</v>
      </c>
      <c r="X1239" s="32">
        <f t="shared" si="206"/>
        <v>0</v>
      </c>
      <c r="Y1239" s="381">
        <f t="shared" si="207"/>
        <v>0</v>
      </c>
    </row>
    <row r="1240" spans="1:25" x14ac:dyDescent="0.2">
      <c r="A1240" s="24">
        <f t="shared" si="199"/>
        <v>27.202634676320113</v>
      </c>
      <c r="B1240" s="383">
        <v>739.98333333333335</v>
      </c>
      <c r="C1240" s="32"/>
      <c r="D1240" s="381">
        <f t="shared" si="200"/>
        <v>0</v>
      </c>
      <c r="E1240" s="383">
        <v>739.98333333333335</v>
      </c>
      <c r="F1240" s="8"/>
      <c r="G1240" s="381">
        <f t="shared" si="201"/>
        <v>0</v>
      </c>
      <c r="H1240" s="383">
        <v>739.98333333333335</v>
      </c>
      <c r="I1240" s="32"/>
      <c r="J1240" s="381">
        <f t="shared" si="202"/>
        <v>0</v>
      </c>
      <c r="K1240" s="383">
        <v>739.98333333333335</v>
      </c>
      <c r="L1240" s="31"/>
      <c r="M1240" s="381">
        <f t="shared" si="203"/>
        <v>0</v>
      </c>
      <c r="N1240" s="383">
        <v>739.98333333333335</v>
      </c>
      <c r="O1240" s="32"/>
      <c r="P1240" s="381">
        <f t="shared" si="204"/>
        <v>0</v>
      </c>
      <c r="Q1240" s="383">
        <v>739.98333333333335</v>
      </c>
      <c r="R1240" s="32"/>
      <c r="S1240" s="25">
        <f t="shared" si="205"/>
        <v>0</v>
      </c>
      <c r="T1240" s="383">
        <v>739.98333333333335</v>
      </c>
      <c r="U1240" s="32"/>
      <c r="V1240" s="25">
        <f t="shared" si="208"/>
        <v>0</v>
      </c>
      <c r="W1240" s="32">
        <f t="shared" si="209"/>
        <v>739.98333333333335</v>
      </c>
      <c r="X1240" s="32">
        <f t="shared" si="206"/>
        <v>0</v>
      </c>
      <c r="Y1240" s="381">
        <f t="shared" si="207"/>
        <v>0</v>
      </c>
    </row>
    <row r="1241" spans="1:25" x14ac:dyDescent="0.2">
      <c r="A1241" s="24">
        <f t="shared" si="199"/>
        <v>27.294077501660809</v>
      </c>
      <c r="B1241" s="383">
        <v>744.9666666666667</v>
      </c>
      <c r="C1241" s="32"/>
      <c r="D1241" s="381">
        <f t="shared" si="200"/>
        <v>0</v>
      </c>
      <c r="E1241" s="383">
        <v>744.9666666666667</v>
      </c>
      <c r="F1241" s="8"/>
      <c r="G1241" s="381">
        <f t="shared" si="201"/>
        <v>0</v>
      </c>
      <c r="H1241" s="383">
        <v>744.9666666666667</v>
      </c>
      <c r="I1241" s="32"/>
      <c r="J1241" s="381">
        <f t="shared" si="202"/>
        <v>0</v>
      </c>
      <c r="K1241" s="383">
        <v>744.9666666666667</v>
      </c>
      <c r="L1241" s="31"/>
      <c r="M1241" s="381">
        <f t="shared" si="203"/>
        <v>0</v>
      </c>
      <c r="N1241" s="383">
        <v>744.9666666666667</v>
      </c>
      <c r="O1241" s="32"/>
      <c r="P1241" s="381">
        <f t="shared" si="204"/>
        <v>0</v>
      </c>
      <c r="Q1241" s="383">
        <v>744.9666666666667</v>
      </c>
      <c r="R1241" s="32"/>
      <c r="S1241" s="25">
        <f t="shared" si="205"/>
        <v>0</v>
      </c>
      <c r="T1241" s="383">
        <v>744.9666666666667</v>
      </c>
      <c r="U1241" s="32"/>
      <c r="V1241" s="25">
        <f t="shared" si="208"/>
        <v>0</v>
      </c>
      <c r="W1241" s="32">
        <f t="shared" si="209"/>
        <v>744.9666666666667</v>
      </c>
      <c r="X1241" s="32">
        <f t="shared" si="206"/>
        <v>0</v>
      </c>
      <c r="Y1241" s="381">
        <f t="shared" si="207"/>
        <v>0</v>
      </c>
    </row>
    <row r="1242" spans="1:25" x14ac:dyDescent="0.2">
      <c r="A1242" s="24">
        <f t="shared" si="199"/>
        <v>27.385519287876701</v>
      </c>
      <c r="B1242" s="383">
        <v>749.9666666666667</v>
      </c>
      <c r="C1242" s="32"/>
      <c r="D1242" s="381">
        <f t="shared" si="200"/>
        <v>0</v>
      </c>
      <c r="E1242" s="383">
        <v>749.9666666666667</v>
      </c>
      <c r="F1242" s="8"/>
      <c r="G1242" s="381">
        <f t="shared" si="201"/>
        <v>0</v>
      </c>
      <c r="H1242" s="383">
        <v>749.9666666666667</v>
      </c>
      <c r="I1242" s="32"/>
      <c r="J1242" s="381">
        <f t="shared" si="202"/>
        <v>0</v>
      </c>
      <c r="K1242" s="383">
        <v>749.9666666666667</v>
      </c>
      <c r="L1242" s="31"/>
      <c r="M1242" s="381">
        <f t="shared" si="203"/>
        <v>0</v>
      </c>
      <c r="N1242" s="383">
        <v>749.9666666666667</v>
      </c>
      <c r="O1242" s="32"/>
      <c r="P1242" s="381">
        <f t="shared" si="204"/>
        <v>0</v>
      </c>
      <c r="Q1242" s="383">
        <v>749.9666666666667</v>
      </c>
      <c r="R1242" s="32"/>
      <c r="S1242" s="25">
        <f t="shared" si="205"/>
        <v>0</v>
      </c>
      <c r="T1242" s="383">
        <v>749.9666666666667</v>
      </c>
      <c r="U1242" s="32"/>
      <c r="V1242" s="25">
        <f t="shared" si="208"/>
        <v>0</v>
      </c>
      <c r="W1242" s="32">
        <f t="shared" si="209"/>
        <v>749.9666666666667</v>
      </c>
      <c r="X1242" s="32">
        <f t="shared" si="206"/>
        <v>0</v>
      </c>
      <c r="Y1242" s="381">
        <f t="shared" si="207"/>
        <v>0</v>
      </c>
    </row>
    <row r="1243" spans="1:25" x14ac:dyDescent="0.2">
      <c r="A1243" s="24">
        <f t="shared" si="199"/>
        <v>27.476960045342231</v>
      </c>
      <c r="B1243" s="383">
        <v>754.98333333333335</v>
      </c>
      <c r="C1243" s="32"/>
      <c r="D1243" s="381">
        <f t="shared" si="200"/>
        <v>0</v>
      </c>
      <c r="E1243" s="383">
        <v>754.98333333333335</v>
      </c>
      <c r="F1243" s="8"/>
      <c r="G1243" s="381">
        <f t="shared" si="201"/>
        <v>0</v>
      </c>
      <c r="H1243" s="383">
        <v>754.98333333333335</v>
      </c>
      <c r="I1243" s="32"/>
      <c r="J1243" s="381">
        <f t="shared" si="202"/>
        <v>0</v>
      </c>
      <c r="K1243" s="383">
        <v>754.98333333333335</v>
      </c>
      <c r="L1243" s="31"/>
      <c r="M1243" s="381">
        <f t="shared" si="203"/>
        <v>0</v>
      </c>
      <c r="N1243" s="383">
        <v>754.98333333333335</v>
      </c>
      <c r="O1243" s="32"/>
      <c r="P1243" s="381">
        <f t="shared" si="204"/>
        <v>0</v>
      </c>
      <c r="Q1243" s="383">
        <v>754.98333333333335</v>
      </c>
      <c r="R1243" s="32"/>
      <c r="S1243" s="25">
        <f t="shared" si="205"/>
        <v>0</v>
      </c>
      <c r="T1243" s="383">
        <v>754.98333333333335</v>
      </c>
      <c r="U1243" s="32"/>
      <c r="V1243" s="25">
        <f t="shared" si="208"/>
        <v>0</v>
      </c>
      <c r="W1243" s="32">
        <f t="shared" si="209"/>
        <v>754.98333333333335</v>
      </c>
      <c r="X1243" s="32">
        <f t="shared" si="206"/>
        <v>0</v>
      </c>
      <c r="Y1243" s="381">
        <f t="shared" si="207"/>
        <v>0</v>
      </c>
    </row>
    <row r="1244" spans="1:25" x14ac:dyDescent="0.2">
      <c r="A1244" s="24">
        <f t="shared" si="199"/>
        <v>27.567492934009554</v>
      </c>
      <c r="B1244" s="383">
        <v>759.9666666666667</v>
      </c>
      <c r="C1244" s="32"/>
      <c r="D1244" s="381">
        <f t="shared" si="200"/>
        <v>0</v>
      </c>
      <c r="E1244" s="383">
        <v>759.9666666666667</v>
      </c>
      <c r="F1244" s="8"/>
      <c r="G1244" s="381">
        <f t="shared" si="201"/>
        <v>0</v>
      </c>
      <c r="H1244" s="383">
        <v>759.9666666666667</v>
      </c>
      <c r="I1244" s="32"/>
      <c r="J1244" s="381">
        <f t="shared" si="202"/>
        <v>0</v>
      </c>
      <c r="K1244" s="383">
        <v>759.9666666666667</v>
      </c>
      <c r="L1244" s="31"/>
      <c r="M1244" s="381">
        <f t="shared" si="203"/>
        <v>0</v>
      </c>
      <c r="N1244" s="383">
        <v>759.9666666666667</v>
      </c>
      <c r="O1244" s="32"/>
      <c r="P1244" s="381">
        <f t="shared" si="204"/>
        <v>0</v>
      </c>
      <c r="Q1244" s="383">
        <v>759.9666666666667</v>
      </c>
      <c r="R1244" s="32"/>
      <c r="S1244" s="25">
        <f t="shared" si="205"/>
        <v>0</v>
      </c>
      <c r="T1244" s="383">
        <v>759.9666666666667</v>
      </c>
      <c r="U1244" s="32"/>
      <c r="V1244" s="25">
        <f t="shared" si="208"/>
        <v>0</v>
      </c>
      <c r="W1244" s="32">
        <f t="shared" si="209"/>
        <v>759.9666666666667</v>
      </c>
      <c r="X1244" s="32">
        <f t="shared" si="206"/>
        <v>0</v>
      </c>
      <c r="Y1244" s="381">
        <f t="shared" si="207"/>
        <v>0</v>
      </c>
    </row>
    <row r="1245" spans="1:25" x14ac:dyDescent="0.2">
      <c r="A1245" s="24">
        <f t="shared" si="199"/>
        <v>27.658030780709364</v>
      </c>
      <c r="B1245" s="383">
        <v>764.9666666666667</v>
      </c>
      <c r="C1245" s="32"/>
      <c r="D1245" s="381">
        <f t="shared" si="200"/>
        <v>0</v>
      </c>
      <c r="E1245" s="383">
        <v>764.9666666666667</v>
      </c>
      <c r="F1245" s="8"/>
      <c r="G1245" s="381">
        <f t="shared" si="201"/>
        <v>0</v>
      </c>
      <c r="H1245" s="383">
        <v>764.9666666666667</v>
      </c>
      <c r="I1245" s="32"/>
      <c r="J1245" s="381">
        <f t="shared" si="202"/>
        <v>0</v>
      </c>
      <c r="K1245" s="383">
        <v>764.9666666666667</v>
      </c>
      <c r="L1245" s="31"/>
      <c r="M1245" s="381">
        <f t="shared" si="203"/>
        <v>0</v>
      </c>
      <c r="N1245" s="383">
        <v>764.9666666666667</v>
      </c>
      <c r="O1245" s="32"/>
      <c r="P1245" s="381">
        <f t="shared" si="204"/>
        <v>0</v>
      </c>
      <c r="Q1245" s="383">
        <v>764.9666666666667</v>
      </c>
      <c r="R1245" s="32"/>
      <c r="S1245" s="25">
        <f t="shared" si="205"/>
        <v>0</v>
      </c>
      <c r="T1245" s="383">
        <v>764.9666666666667</v>
      </c>
      <c r="U1245" s="32"/>
      <c r="V1245" s="25">
        <f t="shared" si="208"/>
        <v>0</v>
      </c>
      <c r="W1245" s="32">
        <f t="shared" si="209"/>
        <v>764.9666666666667</v>
      </c>
      <c r="X1245" s="32">
        <f t="shared" si="206"/>
        <v>0</v>
      </c>
      <c r="Y1245" s="381">
        <f t="shared" si="207"/>
        <v>0</v>
      </c>
    </row>
    <row r="1246" spans="1:25" x14ac:dyDescent="0.2">
      <c r="A1246" s="24">
        <f t="shared" si="199"/>
        <v>27.748573536910566</v>
      </c>
      <c r="B1246" s="383">
        <v>769.98333333333335</v>
      </c>
      <c r="C1246" s="32"/>
      <c r="D1246" s="381">
        <f t="shared" si="200"/>
        <v>0</v>
      </c>
      <c r="E1246" s="383">
        <v>769.98333333333335</v>
      </c>
      <c r="F1246" s="8"/>
      <c r="G1246" s="381">
        <f t="shared" si="201"/>
        <v>0</v>
      </c>
      <c r="H1246" s="383">
        <v>769.98333333333335</v>
      </c>
      <c r="I1246" s="32"/>
      <c r="J1246" s="381">
        <f t="shared" si="202"/>
        <v>0</v>
      </c>
      <c r="K1246" s="383">
        <v>769.98333333333335</v>
      </c>
      <c r="L1246" s="31"/>
      <c r="M1246" s="381">
        <f t="shared" si="203"/>
        <v>0</v>
      </c>
      <c r="N1246" s="383">
        <v>769.98333333333335</v>
      </c>
      <c r="O1246" s="32"/>
      <c r="P1246" s="381">
        <f t="shared" si="204"/>
        <v>0</v>
      </c>
      <c r="Q1246" s="383">
        <v>769.98333333333335</v>
      </c>
      <c r="R1246" s="32"/>
      <c r="S1246" s="25">
        <f t="shared" si="205"/>
        <v>0</v>
      </c>
      <c r="T1246" s="383">
        <v>769.98333333333335</v>
      </c>
      <c r="U1246" s="32"/>
      <c r="V1246" s="25">
        <f t="shared" si="208"/>
        <v>0</v>
      </c>
      <c r="W1246" s="32">
        <f t="shared" si="209"/>
        <v>769.98333333333335</v>
      </c>
      <c r="X1246" s="32">
        <f t="shared" si="206"/>
        <v>0</v>
      </c>
      <c r="Y1246" s="381">
        <f t="shared" si="207"/>
        <v>0</v>
      </c>
    </row>
    <row r="1247" spans="1:25" x14ac:dyDescent="0.2">
      <c r="A1247" s="24">
        <f t="shared" si="199"/>
        <v>27.838223123372416</v>
      </c>
      <c r="B1247" s="383">
        <v>774.9666666666667</v>
      </c>
      <c r="C1247" s="32"/>
      <c r="D1247" s="381">
        <f t="shared" si="200"/>
        <v>0</v>
      </c>
      <c r="E1247" s="383">
        <v>774.9666666666667</v>
      </c>
      <c r="F1247" s="8"/>
      <c r="G1247" s="381">
        <f t="shared" si="201"/>
        <v>0</v>
      </c>
      <c r="H1247" s="383">
        <v>774.9666666666667</v>
      </c>
      <c r="I1247" s="32"/>
      <c r="J1247" s="381">
        <f t="shared" si="202"/>
        <v>0</v>
      </c>
      <c r="K1247" s="383">
        <v>774.9666666666667</v>
      </c>
      <c r="L1247" s="31"/>
      <c r="M1247" s="381">
        <f t="shared" si="203"/>
        <v>0</v>
      </c>
      <c r="N1247" s="383">
        <v>774.9666666666667</v>
      </c>
      <c r="O1247" s="32"/>
      <c r="P1247" s="381">
        <f t="shared" si="204"/>
        <v>0</v>
      </c>
      <c r="Q1247" s="383">
        <v>774.9666666666667</v>
      </c>
      <c r="R1247" s="32"/>
      <c r="S1247" s="25">
        <f t="shared" si="205"/>
        <v>0</v>
      </c>
      <c r="T1247" s="383">
        <v>774.9666666666667</v>
      </c>
      <c r="U1247" s="32"/>
      <c r="V1247" s="25">
        <f t="shared" si="208"/>
        <v>0</v>
      </c>
      <c r="W1247" s="32">
        <f t="shared" si="209"/>
        <v>774.9666666666667</v>
      </c>
      <c r="X1247" s="32">
        <f t="shared" si="206"/>
        <v>0</v>
      </c>
      <c r="Y1247" s="381">
        <f t="shared" si="207"/>
        <v>0</v>
      </c>
    </row>
    <row r="1248" spans="1:25" x14ac:dyDescent="0.2">
      <c r="A1248" s="24">
        <f t="shared" si="199"/>
        <v>27.927883318767048</v>
      </c>
      <c r="B1248" s="383">
        <v>779.9666666666667</v>
      </c>
      <c r="C1248" s="32"/>
      <c r="D1248" s="381">
        <f t="shared" si="200"/>
        <v>0</v>
      </c>
      <c r="E1248" s="383">
        <v>779.9666666666667</v>
      </c>
      <c r="F1248" s="8"/>
      <c r="G1248" s="381">
        <f t="shared" si="201"/>
        <v>0</v>
      </c>
      <c r="H1248" s="383">
        <v>779.9666666666667</v>
      </c>
      <c r="I1248" s="32"/>
      <c r="J1248" s="381">
        <f t="shared" si="202"/>
        <v>0</v>
      </c>
      <c r="K1248" s="383">
        <v>779.9666666666667</v>
      </c>
      <c r="L1248" s="31"/>
      <c r="M1248" s="381">
        <f t="shared" si="203"/>
        <v>0</v>
      </c>
      <c r="N1248" s="383">
        <v>779.9666666666667</v>
      </c>
      <c r="O1248" s="32"/>
      <c r="P1248" s="381">
        <f t="shared" si="204"/>
        <v>0</v>
      </c>
      <c r="Q1248" s="383">
        <v>779.9666666666667</v>
      </c>
      <c r="R1248" s="32"/>
      <c r="S1248" s="25">
        <f t="shared" si="205"/>
        <v>0</v>
      </c>
      <c r="T1248" s="383">
        <v>779.9666666666667</v>
      </c>
      <c r="U1248" s="32"/>
      <c r="V1248" s="25">
        <f t="shared" si="208"/>
        <v>0</v>
      </c>
      <c r="W1248" s="32">
        <f t="shared" si="209"/>
        <v>779.9666666666667</v>
      </c>
      <c r="X1248" s="32">
        <f t="shared" si="206"/>
        <v>0</v>
      </c>
      <c r="Y1248" s="381">
        <f t="shared" si="207"/>
        <v>0</v>
      </c>
    </row>
    <row r="1249" spans="1:25" x14ac:dyDescent="0.2">
      <c r="A1249" s="24">
        <f t="shared" si="199"/>
        <v>28.017554021244134</v>
      </c>
      <c r="B1249" s="383">
        <v>784.98333333333335</v>
      </c>
      <c r="C1249" s="32"/>
      <c r="D1249" s="381">
        <f t="shared" si="200"/>
        <v>0</v>
      </c>
      <c r="E1249" s="383">
        <v>784.98333333333335</v>
      </c>
      <c r="F1249" s="8"/>
      <c r="G1249" s="381">
        <f t="shared" si="201"/>
        <v>0</v>
      </c>
      <c r="H1249" s="383">
        <v>784.98333333333335</v>
      </c>
      <c r="I1249" s="32"/>
      <c r="J1249" s="381">
        <f t="shared" si="202"/>
        <v>0</v>
      </c>
      <c r="K1249" s="383">
        <v>784.98333333333335</v>
      </c>
      <c r="L1249" s="31"/>
      <c r="M1249" s="381">
        <f t="shared" si="203"/>
        <v>0</v>
      </c>
      <c r="N1249" s="383">
        <v>784.98333333333335</v>
      </c>
      <c r="O1249" s="32"/>
      <c r="P1249" s="381">
        <f t="shared" si="204"/>
        <v>0</v>
      </c>
      <c r="Q1249" s="383">
        <v>784.98333333333335</v>
      </c>
      <c r="R1249" s="32"/>
      <c r="S1249" s="25">
        <f t="shared" si="205"/>
        <v>0</v>
      </c>
      <c r="T1249" s="383">
        <v>784.98333333333335</v>
      </c>
      <c r="U1249" s="32"/>
      <c r="V1249" s="25">
        <f t="shared" si="208"/>
        <v>0</v>
      </c>
      <c r="W1249" s="32">
        <f t="shared" si="209"/>
        <v>784.98333333333335</v>
      </c>
      <c r="X1249" s="32">
        <f t="shared" si="206"/>
        <v>0</v>
      </c>
      <c r="Y1249" s="381">
        <f t="shared" si="207"/>
        <v>0</v>
      </c>
    </row>
    <row r="1250" spans="1:25" x14ac:dyDescent="0.2">
      <c r="A1250" s="24">
        <f t="shared" si="199"/>
        <v>28.106345665466129</v>
      </c>
      <c r="B1250" s="383">
        <v>789.9666666666667</v>
      </c>
      <c r="C1250" s="32"/>
      <c r="D1250" s="381">
        <f t="shared" si="200"/>
        <v>0</v>
      </c>
      <c r="E1250" s="383">
        <v>789.9666666666667</v>
      </c>
      <c r="F1250" s="8"/>
      <c r="G1250" s="381">
        <f t="shared" si="201"/>
        <v>0</v>
      </c>
      <c r="H1250" s="383">
        <v>789.9666666666667</v>
      </c>
      <c r="I1250" s="32"/>
      <c r="J1250" s="381">
        <f t="shared" si="202"/>
        <v>0</v>
      </c>
      <c r="K1250" s="383">
        <v>789.9666666666667</v>
      </c>
      <c r="L1250" s="31"/>
      <c r="M1250" s="381">
        <f t="shared" si="203"/>
        <v>0</v>
      </c>
      <c r="N1250" s="383">
        <v>789.9666666666667</v>
      </c>
      <c r="O1250" s="32"/>
      <c r="P1250" s="381">
        <f t="shared" si="204"/>
        <v>0</v>
      </c>
      <c r="Q1250" s="383">
        <v>789.9666666666667</v>
      </c>
      <c r="R1250" s="32"/>
      <c r="S1250" s="25">
        <f t="shared" si="205"/>
        <v>0</v>
      </c>
      <c r="T1250" s="383">
        <v>789.9666666666667</v>
      </c>
      <c r="U1250" s="32"/>
      <c r="V1250" s="25">
        <f t="shared" si="208"/>
        <v>0</v>
      </c>
      <c r="W1250" s="32">
        <f t="shared" si="209"/>
        <v>789.9666666666667</v>
      </c>
      <c r="X1250" s="32">
        <f t="shared" si="206"/>
        <v>0</v>
      </c>
      <c r="Y1250" s="381">
        <f t="shared" si="207"/>
        <v>0</v>
      </c>
    </row>
    <row r="1251" spans="1:25" x14ac:dyDescent="0.2">
      <c r="A1251" s="24">
        <f t="shared" si="199"/>
        <v>28.195153247795385</v>
      </c>
      <c r="B1251" s="383">
        <v>794.9666666666667</v>
      </c>
      <c r="C1251" s="32"/>
      <c r="D1251" s="381">
        <f t="shared" si="200"/>
        <v>0</v>
      </c>
      <c r="E1251" s="383">
        <v>794.9666666666667</v>
      </c>
      <c r="F1251" s="8"/>
      <c r="G1251" s="381">
        <f t="shared" si="201"/>
        <v>0</v>
      </c>
      <c r="H1251" s="383">
        <v>794.9666666666667</v>
      </c>
      <c r="I1251" s="32"/>
      <c r="J1251" s="381">
        <f t="shared" si="202"/>
        <v>0</v>
      </c>
      <c r="K1251" s="383">
        <v>794.9666666666667</v>
      </c>
      <c r="L1251" s="31"/>
      <c r="M1251" s="381">
        <f t="shared" si="203"/>
        <v>0</v>
      </c>
      <c r="N1251" s="383">
        <v>794.9666666666667</v>
      </c>
      <c r="O1251" s="32"/>
      <c r="P1251" s="381">
        <f t="shared" si="204"/>
        <v>0</v>
      </c>
      <c r="Q1251" s="383">
        <v>794.9666666666667</v>
      </c>
      <c r="R1251" s="32"/>
      <c r="S1251" s="25">
        <f t="shared" si="205"/>
        <v>0</v>
      </c>
      <c r="T1251" s="383">
        <v>794.9666666666667</v>
      </c>
      <c r="U1251" s="32"/>
      <c r="V1251" s="25">
        <f t="shared" si="208"/>
        <v>0</v>
      </c>
      <c r="W1251" s="32">
        <f t="shared" si="209"/>
        <v>794.9666666666667</v>
      </c>
      <c r="X1251" s="32">
        <f t="shared" si="206"/>
        <v>0</v>
      </c>
      <c r="Y1251" s="381">
        <f t="shared" si="207"/>
        <v>0</v>
      </c>
    </row>
    <row r="1252" spans="1:25" x14ac:dyDescent="0.2">
      <c r="A1252" s="24">
        <f t="shared" si="199"/>
        <v>28.283976618101871</v>
      </c>
      <c r="B1252" s="383">
        <v>799.98333333333335</v>
      </c>
      <c r="C1252" s="32"/>
      <c r="D1252" s="381">
        <f t="shared" si="200"/>
        <v>0</v>
      </c>
      <c r="E1252" s="383">
        <v>799.98333333333335</v>
      </c>
      <c r="F1252" s="8"/>
      <c r="G1252" s="381">
        <f t="shared" si="201"/>
        <v>0</v>
      </c>
      <c r="H1252" s="383">
        <v>799.98333333333335</v>
      </c>
      <c r="I1252" s="32"/>
      <c r="J1252" s="381">
        <f t="shared" si="202"/>
        <v>0</v>
      </c>
      <c r="K1252" s="383">
        <v>799.98333333333335</v>
      </c>
      <c r="L1252" s="31"/>
      <c r="M1252" s="381">
        <f t="shared" si="203"/>
        <v>0</v>
      </c>
      <c r="N1252" s="383">
        <v>799.98333333333335</v>
      </c>
      <c r="O1252" s="32"/>
      <c r="P1252" s="381">
        <f t="shared" si="204"/>
        <v>0</v>
      </c>
      <c r="Q1252" s="383">
        <v>799.98333333333335</v>
      </c>
      <c r="R1252" s="32"/>
      <c r="S1252" s="25">
        <f t="shared" si="205"/>
        <v>0</v>
      </c>
      <c r="T1252" s="383">
        <v>799.98333333333335</v>
      </c>
      <c r="U1252" s="32"/>
      <c r="V1252" s="25">
        <f t="shared" si="208"/>
        <v>0</v>
      </c>
      <c r="W1252" s="32">
        <f t="shared" si="209"/>
        <v>799.98333333333335</v>
      </c>
      <c r="X1252" s="32">
        <f t="shared" si="206"/>
        <v>0</v>
      </c>
      <c r="Y1252" s="381">
        <f t="shared" si="207"/>
        <v>0</v>
      </c>
    </row>
    <row r="1253" spans="1:25" x14ac:dyDescent="0.2">
      <c r="A1253" s="24">
        <f t="shared" ref="A1253:A1270" si="210">SQRT(B1253)</f>
        <v>28.371934489327067</v>
      </c>
      <c r="B1253" s="383">
        <v>804.9666666666667</v>
      </c>
      <c r="C1253" s="32"/>
      <c r="D1253" s="381">
        <f t="shared" si="200"/>
        <v>0</v>
      </c>
      <c r="E1253" s="383">
        <v>804.9666666666667</v>
      </c>
      <c r="F1253" s="8"/>
      <c r="G1253" s="381">
        <f t="shared" si="201"/>
        <v>0</v>
      </c>
      <c r="H1253" s="383">
        <v>804.9666666666667</v>
      </c>
      <c r="I1253" s="32"/>
      <c r="J1253" s="381">
        <f t="shared" si="202"/>
        <v>0</v>
      </c>
      <c r="K1253" s="383">
        <v>804.9666666666667</v>
      </c>
      <c r="L1253" s="31"/>
      <c r="M1253" s="381">
        <f t="shared" si="203"/>
        <v>0</v>
      </c>
      <c r="N1253" s="383">
        <v>804.9666666666667</v>
      </c>
      <c r="O1253" s="32"/>
      <c r="P1253" s="381">
        <f t="shared" si="204"/>
        <v>0</v>
      </c>
      <c r="Q1253" s="383">
        <v>804.9666666666667</v>
      </c>
      <c r="R1253" s="32"/>
      <c r="S1253" s="25">
        <f t="shared" si="205"/>
        <v>0</v>
      </c>
      <c r="T1253" s="383">
        <v>804.9666666666667</v>
      </c>
      <c r="U1253" s="32"/>
      <c r="V1253" s="25">
        <f t="shared" si="208"/>
        <v>0</v>
      </c>
      <c r="W1253" s="32">
        <f t="shared" si="209"/>
        <v>804.9666666666667</v>
      </c>
      <c r="X1253" s="32">
        <f t="shared" si="206"/>
        <v>0</v>
      </c>
      <c r="Y1253" s="381">
        <f t="shared" si="207"/>
        <v>0</v>
      </c>
    </row>
    <row r="1254" spans="1:25" x14ac:dyDescent="0.2">
      <c r="A1254" s="24">
        <f t="shared" si="210"/>
        <v>28.459913328516421</v>
      </c>
      <c r="B1254" s="383">
        <v>809.9666666666667</v>
      </c>
      <c r="C1254" s="32"/>
      <c r="D1254" s="381">
        <f t="shared" si="200"/>
        <v>0</v>
      </c>
      <c r="E1254" s="383">
        <v>809.9666666666667</v>
      </c>
      <c r="F1254" s="8"/>
      <c r="G1254" s="381">
        <f t="shared" si="201"/>
        <v>0</v>
      </c>
      <c r="H1254" s="383">
        <v>809.9666666666667</v>
      </c>
      <c r="I1254" s="32"/>
      <c r="J1254" s="381">
        <f t="shared" si="202"/>
        <v>0</v>
      </c>
      <c r="K1254" s="383">
        <v>809.9666666666667</v>
      </c>
      <c r="L1254" s="31"/>
      <c r="M1254" s="381">
        <f t="shared" si="203"/>
        <v>0</v>
      </c>
      <c r="N1254" s="383">
        <v>809.9666666666667</v>
      </c>
      <c r="O1254" s="32"/>
      <c r="P1254" s="381">
        <f t="shared" si="204"/>
        <v>0</v>
      </c>
      <c r="Q1254" s="383">
        <v>809.9666666666667</v>
      </c>
      <c r="R1254" s="32"/>
      <c r="S1254" s="25">
        <f t="shared" si="205"/>
        <v>0</v>
      </c>
      <c r="T1254" s="383">
        <v>809.9666666666667</v>
      </c>
      <c r="U1254" s="32"/>
      <c r="V1254" s="25">
        <f t="shared" si="208"/>
        <v>0</v>
      </c>
      <c r="W1254" s="32">
        <f t="shared" si="209"/>
        <v>809.9666666666667</v>
      </c>
      <c r="X1254" s="32">
        <f t="shared" si="206"/>
        <v>0</v>
      </c>
      <c r="Y1254" s="381">
        <f t="shared" si="207"/>
        <v>0</v>
      </c>
    </row>
    <row r="1255" spans="1:25" x14ac:dyDescent="0.2">
      <c r="A1255" s="24">
        <f t="shared" si="210"/>
        <v>28.547912941812985</v>
      </c>
      <c r="B1255" s="383">
        <v>814.98333333333335</v>
      </c>
      <c r="C1255" s="32"/>
      <c r="D1255" s="381">
        <f t="shared" si="200"/>
        <v>0</v>
      </c>
      <c r="E1255" s="383">
        <v>814.98333333333335</v>
      </c>
      <c r="F1255" s="8"/>
      <c r="G1255" s="381">
        <f t="shared" si="201"/>
        <v>0</v>
      </c>
      <c r="H1255" s="383">
        <v>814.98333333333335</v>
      </c>
      <c r="I1255" s="32"/>
      <c r="J1255" s="381">
        <f t="shared" si="202"/>
        <v>0</v>
      </c>
      <c r="K1255" s="383">
        <v>814.98333333333335</v>
      </c>
      <c r="L1255" s="31"/>
      <c r="M1255" s="381">
        <f t="shared" si="203"/>
        <v>0</v>
      </c>
      <c r="N1255" s="383">
        <v>814.98333333333335</v>
      </c>
      <c r="O1255" s="32"/>
      <c r="P1255" s="381">
        <f t="shared" si="204"/>
        <v>0</v>
      </c>
      <c r="Q1255" s="383">
        <v>814.98333333333335</v>
      </c>
      <c r="R1255" s="32"/>
      <c r="S1255" s="25">
        <f t="shared" si="205"/>
        <v>0</v>
      </c>
      <c r="T1255" s="383">
        <v>814.98333333333335</v>
      </c>
      <c r="U1255" s="32"/>
      <c r="V1255" s="25">
        <f t="shared" si="208"/>
        <v>0</v>
      </c>
      <c r="W1255" s="32">
        <f t="shared" si="209"/>
        <v>814.98333333333335</v>
      </c>
      <c r="X1255" s="32">
        <f t="shared" si="206"/>
        <v>0</v>
      </c>
      <c r="Y1255" s="381">
        <f t="shared" si="207"/>
        <v>0</v>
      </c>
    </row>
    <row r="1256" spans="1:25" x14ac:dyDescent="0.2">
      <c r="A1256" s="24">
        <f t="shared" si="210"/>
        <v>28.635351112450731</v>
      </c>
      <c r="B1256" s="383">
        <v>819.98333333333335</v>
      </c>
      <c r="C1256" s="32"/>
      <c r="D1256" s="381">
        <f t="shared" si="200"/>
        <v>0</v>
      </c>
      <c r="E1256" s="383">
        <v>819.98333333333335</v>
      </c>
      <c r="F1256" s="8"/>
      <c r="G1256" s="381">
        <f t="shared" si="201"/>
        <v>0</v>
      </c>
      <c r="H1256" s="383">
        <v>819.98333333333335</v>
      </c>
      <c r="I1256" s="32"/>
      <c r="J1256" s="381">
        <f t="shared" si="202"/>
        <v>0</v>
      </c>
      <c r="K1256" s="383">
        <v>819.98333333333335</v>
      </c>
      <c r="L1256" s="31"/>
      <c r="M1256" s="381">
        <f t="shared" si="203"/>
        <v>0</v>
      </c>
      <c r="N1256" s="383">
        <v>819.98333333333335</v>
      </c>
      <c r="O1256" s="32"/>
      <c r="P1256" s="381">
        <f t="shared" si="204"/>
        <v>0</v>
      </c>
      <c r="Q1256" s="383">
        <v>819.98333333333335</v>
      </c>
      <c r="R1256" s="32"/>
      <c r="S1256" s="25">
        <f t="shared" si="205"/>
        <v>0</v>
      </c>
      <c r="T1256" s="383">
        <v>819.98333333333335</v>
      </c>
      <c r="U1256" s="32"/>
      <c r="V1256" s="25">
        <f t="shared" si="208"/>
        <v>0</v>
      </c>
      <c r="W1256" s="32">
        <f t="shared" si="209"/>
        <v>819.98333333333335</v>
      </c>
      <c r="X1256" s="32">
        <f t="shared" si="206"/>
        <v>0</v>
      </c>
      <c r="Y1256" s="381">
        <f t="shared" si="207"/>
        <v>0</v>
      </c>
    </row>
    <row r="1257" spans="1:25" x14ac:dyDescent="0.2">
      <c r="A1257" s="24">
        <f t="shared" si="210"/>
        <v>28.722232967975639</v>
      </c>
      <c r="B1257" s="383">
        <v>824.9666666666667</v>
      </c>
      <c r="C1257" s="32"/>
      <c r="D1257" s="381">
        <f t="shared" si="200"/>
        <v>0</v>
      </c>
      <c r="E1257" s="383">
        <v>824.9666666666667</v>
      </c>
      <c r="F1257" s="8"/>
      <c r="G1257" s="381">
        <f t="shared" si="201"/>
        <v>0</v>
      </c>
      <c r="H1257" s="383">
        <v>824.9666666666667</v>
      </c>
      <c r="I1257" s="32"/>
      <c r="J1257" s="381">
        <f t="shared" si="202"/>
        <v>0</v>
      </c>
      <c r="K1257" s="383">
        <v>824.9666666666667</v>
      </c>
      <c r="L1257" s="31"/>
      <c r="M1257" s="381">
        <f t="shared" si="203"/>
        <v>0</v>
      </c>
      <c r="N1257" s="383">
        <v>824.9666666666667</v>
      </c>
      <c r="O1257" s="32"/>
      <c r="P1257" s="381">
        <f t="shared" si="204"/>
        <v>0</v>
      </c>
      <c r="Q1257" s="383">
        <v>824.9666666666667</v>
      </c>
      <c r="R1257" s="32"/>
      <c r="S1257" s="25">
        <f t="shared" si="205"/>
        <v>0</v>
      </c>
      <c r="T1257" s="383">
        <v>824.9666666666667</v>
      </c>
      <c r="U1257" s="32"/>
      <c r="V1257" s="25">
        <f t="shared" si="208"/>
        <v>0</v>
      </c>
      <c r="W1257" s="32">
        <f t="shared" si="209"/>
        <v>824.9666666666667</v>
      </c>
      <c r="X1257" s="32">
        <f t="shared" si="206"/>
        <v>0</v>
      </c>
      <c r="Y1257" s="381">
        <f t="shared" si="207"/>
        <v>0</v>
      </c>
    </row>
    <row r="1258" spans="1:25" x14ac:dyDescent="0.2">
      <c r="A1258" s="24">
        <f t="shared" si="210"/>
        <v>28.809142067522014</v>
      </c>
      <c r="B1258" s="383">
        <v>829.9666666666667</v>
      </c>
      <c r="C1258" s="32"/>
      <c r="D1258" s="381">
        <f t="shared" si="200"/>
        <v>0</v>
      </c>
      <c r="E1258" s="383">
        <v>829.9666666666667</v>
      </c>
      <c r="F1258" s="8"/>
      <c r="G1258" s="381">
        <f t="shared" si="201"/>
        <v>0</v>
      </c>
      <c r="H1258" s="383">
        <v>829.9666666666667</v>
      </c>
      <c r="I1258" s="32"/>
      <c r="J1258" s="381">
        <f t="shared" si="202"/>
        <v>0</v>
      </c>
      <c r="K1258" s="383">
        <v>829.9666666666667</v>
      </c>
      <c r="L1258" s="31"/>
      <c r="M1258" s="381">
        <f t="shared" si="203"/>
        <v>0</v>
      </c>
      <c r="N1258" s="383">
        <v>829.9666666666667</v>
      </c>
      <c r="O1258" s="32"/>
      <c r="P1258" s="381">
        <f t="shared" si="204"/>
        <v>0</v>
      </c>
      <c r="Q1258" s="383">
        <v>829.9666666666667</v>
      </c>
      <c r="R1258" s="32"/>
      <c r="S1258" s="25">
        <f t="shared" si="205"/>
        <v>0</v>
      </c>
      <c r="T1258" s="383">
        <v>829.9666666666667</v>
      </c>
      <c r="U1258" s="32"/>
      <c r="V1258" s="25">
        <f t="shared" si="208"/>
        <v>0</v>
      </c>
      <c r="W1258" s="32">
        <f t="shared" si="209"/>
        <v>829.9666666666667</v>
      </c>
      <c r="X1258" s="32">
        <f t="shared" si="206"/>
        <v>0</v>
      </c>
      <c r="Y1258" s="381">
        <f t="shared" si="207"/>
        <v>0</v>
      </c>
    </row>
    <row r="1259" spans="1:25" x14ac:dyDescent="0.2">
      <c r="A1259" s="24">
        <f t="shared" si="210"/>
        <v>28.896078165268957</v>
      </c>
      <c r="B1259" s="383">
        <v>834.98333333333335</v>
      </c>
      <c r="C1259" s="32"/>
      <c r="D1259" s="381">
        <f t="shared" si="200"/>
        <v>0</v>
      </c>
      <c r="E1259" s="383">
        <v>834.98333333333335</v>
      </c>
      <c r="F1259" s="8"/>
      <c r="G1259" s="381">
        <f t="shared" si="201"/>
        <v>0</v>
      </c>
      <c r="H1259" s="383">
        <v>834.98333333333335</v>
      </c>
      <c r="I1259" s="32"/>
      <c r="J1259" s="381">
        <f t="shared" si="202"/>
        <v>0</v>
      </c>
      <c r="K1259" s="383">
        <v>834.98333333333335</v>
      </c>
      <c r="L1259" s="31"/>
      <c r="M1259" s="381">
        <f t="shared" si="203"/>
        <v>0</v>
      </c>
      <c r="N1259" s="383">
        <v>834.98333333333335</v>
      </c>
      <c r="O1259" s="32"/>
      <c r="P1259" s="381">
        <f t="shared" si="204"/>
        <v>0</v>
      </c>
      <c r="Q1259" s="383">
        <v>834.98333333333335</v>
      </c>
      <c r="R1259" s="32"/>
      <c r="S1259" s="25">
        <f t="shared" si="205"/>
        <v>0</v>
      </c>
      <c r="T1259" s="383">
        <v>834.98333333333335</v>
      </c>
      <c r="U1259" s="32"/>
      <c r="V1259" s="25">
        <f t="shared" si="208"/>
        <v>0</v>
      </c>
      <c r="W1259" s="32">
        <f t="shared" si="209"/>
        <v>834.98333333333335</v>
      </c>
      <c r="X1259" s="32">
        <f t="shared" si="206"/>
        <v>0</v>
      </c>
      <c r="Y1259" s="381">
        <f t="shared" si="207"/>
        <v>0</v>
      </c>
    </row>
    <row r="1260" spans="1:25" x14ac:dyDescent="0.2">
      <c r="A1260" s="24">
        <f t="shared" si="210"/>
        <v>28.982178432041071</v>
      </c>
      <c r="B1260" s="383">
        <v>839.9666666666667</v>
      </c>
      <c r="C1260" s="32"/>
      <c r="D1260" s="381">
        <f t="shared" si="200"/>
        <v>0</v>
      </c>
      <c r="E1260" s="383">
        <v>839.9666666666667</v>
      </c>
      <c r="F1260" s="8"/>
      <c r="G1260" s="381">
        <f t="shared" si="201"/>
        <v>0</v>
      </c>
      <c r="H1260" s="383">
        <v>839.9666666666667</v>
      </c>
      <c r="I1260" s="32"/>
      <c r="J1260" s="381">
        <f t="shared" si="202"/>
        <v>0</v>
      </c>
      <c r="K1260" s="383">
        <v>839.9666666666667</v>
      </c>
      <c r="L1260" s="31"/>
      <c r="M1260" s="381">
        <f t="shared" si="203"/>
        <v>0</v>
      </c>
      <c r="N1260" s="383">
        <v>839.9666666666667</v>
      </c>
      <c r="O1260" s="32"/>
      <c r="P1260" s="381">
        <f t="shared" si="204"/>
        <v>0</v>
      </c>
      <c r="Q1260" s="383">
        <v>839.9666666666667</v>
      </c>
      <c r="R1260" s="32"/>
      <c r="S1260" s="25">
        <f t="shared" si="205"/>
        <v>0</v>
      </c>
      <c r="T1260" s="383">
        <v>839.9666666666667</v>
      </c>
      <c r="U1260" s="32"/>
      <c r="V1260" s="25">
        <f t="shared" si="208"/>
        <v>0</v>
      </c>
      <c r="W1260" s="32">
        <f t="shared" si="209"/>
        <v>839.9666666666667</v>
      </c>
      <c r="X1260" s="32">
        <f t="shared" si="206"/>
        <v>0</v>
      </c>
      <c r="Y1260" s="381">
        <f t="shared" si="207"/>
        <v>0</v>
      </c>
    </row>
    <row r="1261" spans="1:25" x14ac:dyDescent="0.2">
      <c r="A1261" s="24">
        <f t="shared" si="210"/>
        <v>29.068310351079347</v>
      </c>
      <c r="B1261" s="383">
        <v>844.9666666666667</v>
      </c>
      <c r="C1261" s="32"/>
      <c r="D1261" s="381">
        <f t="shared" si="200"/>
        <v>0</v>
      </c>
      <c r="E1261" s="383">
        <v>844.9666666666667</v>
      </c>
      <c r="F1261" s="8"/>
      <c r="G1261" s="381">
        <f t="shared" si="201"/>
        <v>0</v>
      </c>
      <c r="H1261" s="383">
        <v>844.9666666666667</v>
      </c>
      <c r="I1261" s="32"/>
      <c r="J1261" s="381">
        <f t="shared" si="202"/>
        <v>0</v>
      </c>
      <c r="K1261" s="383">
        <v>844.9666666666667</v>
      </c>
      <c r="L1261" s="31"/>
      <c r="M1261" s="381">
        <f t="shared" si="203"/>
        <v>0</v>
      </c>
      <c r="N1261" s="383">
        <v>844.9666666666667</v>
      </c>
      <c r="O1261" s="32"/>
      <c r="P1261" s="381">
        <f t="shared" si="204"/>
        <v>0</v>
      </c>
      <c r="Q1261" s="383">
        <v>844.9666666666667</v>
      </c>
      <c r="R1261" s="32"/>
      <c r="S1261" s="25">
        <f t="shared" si="205"/>
        <v>0</v>
      </c>
      <c r="T1261" s="383">
        <v>844.9666666666667</v>
      </c>
      <c r="U1261" s="32"/>
      <c r="V1261" s="25">
        <f t="shared" si="208"/>
        <v>0</v>
      </c>
      <c r="W1261" s="32">
        <f t="shared" si="209"/>
        <v>844.9666666666667</v>
      </c>
      <c r="X1261" s="32">
        <f t="shared" si="206"/>
        <v>0</v>
      </c>
      <c r="Y1261" s="381">
        <f t="shared" si="207"/>
        <v>0</v>
      </c>
    </row>
    <row r="1262" spans="1:25" x14ac:dyDescent="0.2">
      <c r="A1262" s="24">
        <f t="shared" si="210"/>
        <v>29.154473641850117</v>
      </c>
      <c r="B1262" s="383">
        <v>849.98333333333335</v>
      </c>
      <c r="C1262" s="32"/>
      <c r="D1262" s="381">
        <f t="shared" si="200"/>
        <v>0</v>
      </c>
      <c r="E1262" s="383">
        <v>849.98333333333335</v>
      </c>
      <c r="F1262" s="8"/>
      <c r="G1262" s="381">
        <f t="shared" si="201"/>
        <v>0</v>
      </c>
      <c r="H1262" s="383">
        <v>849.98333333333335</v>
      </c>
      <c r="I1262" s="32"/>
      <c r="J1262" s="381">
        <f t="shared" si="202"/>
        <v>0</v>
      </c>
      <c r="K1262" s="383">
        <v>849.98333333333335</v>
      </c>
      <c r="L1262" s="31"/>
      <c r="M1262" s="381">
        <f t="shared" si="203"/>
        <v>0</v>
      </c>
      <c r="N1262" s="383">
        <v>849.98333333333335</v>
      </c>
      <c r="O1262" s="32"/>
      <c r="P1262" s="381">
        <f t="shared" si="204"/>
        <v>0</v>
      </c>
      <c r="Q1262" s="383">
        <v>849.98333333333335</v>
      </c>
      <c r="R1262" s="32"/>
      <c r="S1262" s="25">
        <f t="shared" si="205"/>
        <v>0</v>
      </c>
      <c r="T1262" s="383">
        <v>849.98333333333335</v>
      </c>
      <c r="U1262" s="32"/>
      <c r="V1262" s="25">
        <f t="shared" si="208"/>
        <v>0</v>
      </c>
      <c r="W1262" s="32">
        <f t="shared" si="209"/>
        <v>849.98333333333335</v>
      </c>
      <c r="X1262" s="32">
        <f t="shared" si="206"/>
        <v>0</v>
      </c>
      <c r="Y1262" s="381">
        <f t="shared" si="207"/>
        <v>0</v>
      </c>
    </row>
    <row r="1263" spans="1:25" x14ac:dyDescent="0.2">
      <c r="A1263" s="24">
        <f t="shared" si="210"/>
        <v>29.239813040897964</v>
      </c>
      <c r="B1263" s="383">
        <v>854.9666666666667</v>
      </c>
      <c r="C1263" s="32"/>
      <c r="D1263" s="381">
        <f t="shared" si="200"/>
        <v>0</v>
      </c>
      <c r="E1263" s="383">
        <v>854.9666666666667</v>
      </c>
      <c r="F1263" s="8"/>
      <c r="G1263" s="381">
        <f t="shared" si="201"/>
        <v>0</v>
      </c>
      <c r="H1263" s="383">
        <v>854.9666666666667</v>
      </c>
      <c r="I1263" s="32"/>
      <c r="J1263" s="381">
        <f t="shared" si="202"/>
        <v>0</v>
      </c>
      <c r="K1263" s="383">
        <v>854.9666666666667</v>
      </c>
      <c r="L1263" s="31"/>
      <c r="M1263" s="381">
        <f t="shared" si="203"/>
        <v>0</v>
      </c>
      <c r="N1263" s="383">
        <v>854.9666666666667</v>
      </c>
      <c r="O1263" s="32"/>
      <c r="P1263" s="381">
        <f t="shared" si="204"/>
        <v>0</v>
      </c>
      <c r="Q1263" s="383">
        <v>854.9666666666667</v>
      </c>
      <c r="R1263" s="32"/>
      <c r="S1263" s="25">
        <f t="shared" si="205"/>
        <v>0</v>
      </c>
      <c r="T1263" s="383">
        <v>854.9666666666667</v>
      </c>
      <c r="U1263" s="32"/>
      <c r="V1263" s="25">
        <f t="shared" si="208"/>
        <v>0</v>
      </c>
      <c r="W1263" s="32">
        <f t="shared" si="209"/>
        <v>854.9666666666667</v>
      </c>
      <c r="X1263" s="32">
        <f t="shared" si="206"/>
        <v>0</v>
      </c>
      <c r="Y1263" s="381">
        <f t="shared" si="207"/>
        <v>0</v>
      </c>
    </row>
    <row r="1264" spans="1:25" x14ac:dyDescent="0.2">
      <c r="A1264" s="24">
        <f t="shared" si="210"/>
        <v>29.32518826310697</v>
      </c>
      <c r="B1264" s="383">
        <v>859.9666666666667</v>
      </c>
      <c r="C1264" s="32"/>
      <c r="D1264" s="381">
        <f t="shared" si="200"/>
        <v>0</v>
      </c>
      <c r="E1264" s="383">
        <v>859.9666666666667</v>
      </c>
      <c r="F1264" s="8"/>
      <c r="G1264" s="381">
        <f t="shared" si="201"/>
        <v>0</v>
      </c>
      <c r="H1264" s="383">
        <v>859.9666666666667</v>
      </c>
      <c r="I1264" s="32"/>
      <c r="J1264" s="381">
        <f t="shared" si="202"/>
        <v>0</v>
      </c>
      <c r="K1264" s="383">
        <v>859.9666666666667</v>
      </c>
      <c r="L1264" s="31"/>
      <c r="M1264" s="381">
        <f t="shared" si="203"/>
        <v>0</v>
      </c>
      <c r="N1264" s="383">
        <v>859.9666666666667</v>
      </c>
      <c r="O1264" s="32"/>
      <c r="P1264" s="381">
        <f t="shared" si="204"/>
        <v>0</v>
      </c>
      <c r="Q1264" s="383">
        <v>859.9666666666667</v>
      </c>
      <c r="R1264" s="32"/>
      <c r="S1264" s="25">
        <f t="shared" si="205"/>
        <v>0</v>
      </c>
      <c r="T1264" s="383">
        <v>859.9666666666667</v>
      </c>
      <c r="U1264" s="32"/>
      <c r="V1264" s="25">
        <f t="shared" si="208"/>
        <v>0</v>
      </c>
      <c r="W1264" s="32">
        <f t="shared" si="209"/>
        <v>859.9666666666667</v>
      </c>
      <c r="X1264" s="32">
        <f t="shared" si="206"/>
        <v>0</v>
      </c>
      <c r="Y1264" s="381">
        <f t="shared" si="207"/>
        <v>0</v>
      </c>
    </row>
    <row r="1265" spans="1:25" x14ac:dyDescent="0.2">
      <c r="A1265" s="24">
        <f t="shared" si="210"/>
        <v>29.410598996506913</v>
      </c>
      <c r="B1265" s="383">
        <v>864.98333333333335</v>
      </c>
      <c r="C1265" s="32"/>
      <c r="D1265" s="381">
        <f t="shared" si="200"/>
        <v>0</v>
      </c>
      <c r="E1265" s="383">
        <v>864.98333333333335</v>
      </c>
      <c r="F1265" s="8"/>
      <c r="G1265" s="381">
        <f t="shared" si="201"/>
        <v>0</v>
      </c>
      <c r="H1265" s="383">
        <v>864.98333333333335</v>
      </c>
      <c r="I1265" s="32"/>
      <c r="J1265" s="381">
        <f t="shared" si="202"/>
        <v>0</v>
      </c>
      <c r="K1265" s="383">
        <v>864.98333333333335</v>
      </c>
      <c r="L1265" s="31"/>
      <c r="M1265" s="381">
        <f t="shared" si="203"/>
        <v>0</v>
      </c>
      <c r="N1265" s="383">
        <v>864.98333333333335</v>
      </c>
      <c r="O1265" s="32"/>
      <c r="P1265" s="381">
        <f t="shared" si="204"/>
        <v>0</v>
      </c>
      <c r="Q1265" s="383">
        <v>864.98333333333335</v>
      </c>
      <c r="R1265" s="32"/>
      <c r="S1265" s="25">
        <f t="shared" si="205"/>
        <v>0</v>
      </c>
      <c r="T1265" s="383">
        <v>864.98333333333335</v>
      </c>
      <c r="U1265" s="32"/>
      <c r="V1265" s="25">
        <f t="shared" si="208"/>
        <v>0</v>
      </c>
      <c r="W1265" s="32">
        <f t="shared" si="209"/>
        <v>864.98333333333335</v>
      </c>
      <c r="X1265" s="32">
        <f t="shared" si="206"/>
        <v>0</v>
      </c>
      <c r="Y1265" s="381">
        <f t="shared" si="207"/>
        <v>0</v>
      </c>
    </row>
    <row r="1266" spans="1:25" x14ac:dyDescent="0.2">
      <c r="A1266" s="24">
        <f t="shared" si="210"/>
        <v>29.495197349173079</v>
      </c>
      <c r="B1266" s="383">
        <v>869.9666666666667</v>
      </c>
      <c r="C1266" s="32"/>
      <c r="D1266" s="381">
        <f t="shared" si="200"/>
        <v>0</v>
      </c>
      <c r="E1266" s="383">
        <v>869.9666666666667</v>
      </c>
      <c r="F1266" s="8"/>
      <c r="G1266" s="381">
        <f t="shared" si="201"/>
        <v>0</v>
      </c>
      <c r="H1266" s="383">
        <v>869.9666666666667</v>
      </c>
      <c r="I1266" s="32"/>
      <c r="J1266" s="381">
        <f t="shared" si="202"/>
        <v>0</v>
      </c>
      <c r="K1266" s="383">
        <v>869.9666666666667</v>
      </c>
      <c r="L1266" s="31"/>
      <c r="M1266" s="381">
        <f t="shared" si="203"/>
        <v>0</v>
      </c>
      <c r="N1266" s="383">
        <v>869.9666666666667</v>
      </c>
      <c r="O1266" s="32"/>
      <c r="P1266" s="381">
        <f t="shared" si="204"/>
        <v>0</v>
      </c>
      <c r="Q1266" s="383">
        <v>869.9666666666667</v>
      </c>
      <c r="R1266" s="32"/>
      <c r="S1266" s="25">
        <f t="shared" si="205"/>
        <v>0</v>
      </c>
      <c r="T1266" s="383">
        <v>869.9666666666667</v>
      </c>
      <c r="U1266" s="32"/>
      <c r="V1266" s="25">
        <f t="shared" si="208"/>
        <v>0</v>
      </c>
      <c r="W1266" s="32">
        <f t="shared" si="209"/>
        <v>869.9666666666667</v>
      </c>
      <c r="X1266" s="32">
        <f t="shared" si="206"/>
        <v>0</v>
      </c>
      <c r="Y1266" s="381">
        <f t="shared" si="207"/>
        <v>0</v>
      </c>
    </row>
    <row r="1267" spans="1:25" x14ac:dyDescent="0.2">
      <c r="A1267" s="24">
        <f t="shared" si="210"/>
        <v>29.579835473962099</v>
      </c>
      <c r="B1267" s="383">
        <v>874.9666666666667</v>
      </c>
      <c r="C1267" s="32"/>
      <c r="D1267" s="381">
        <f t="shared" si="200"/>
        <v>0</v>
      </c>
      <c r="E1267" s="383">
        <v>874.9666666666667</v>
      </c>
      <c r="F1267" s="8"/>
      <c r="G1267" s="381">
        <f t="shared" si="201"/>
        <v>0</v>
      </c>
      <c r="H1267" s="383">
        <v>874.9666666666667</v>
      </c>
      <c r="I1267" s="32"/>
      <c r="J1267" s="381">
        <f t="shared" si="202"/>
        <v>0</v>
      </c>
      <c r="K1267" s="383">
        <v>874.9666666666667</v>
      </c>
      <c r="L1267" s="31"/>
      <c r="M1267" s="381">
        <f t="shared" si="203"/>
        <v>0</v>
      </c>
      <c r="N1267" s="383">
        <v>874.9666666666667</v>
      </c>
      <c r="O1267" s="32"/>
      <c r="P1267" s="381">
        <f t="shared" si="204"/>
        <v>0</v>
      </c>
      <c r="Q1267" s="383">
        <v>874.9666666666667</v>
      </c>
      <c r="R1267" s="32"/>
      <c r="S1267" s="25">
        <f t="shared" si="205"/>
        <v>0</v>
      </c>
      <c r="T1267" s="383">
        <v>874.9666666666667</v>
      </c>
      <c r="U1267" s="32"/>
      <c r="V1267" s="25">
        <f t="shared" si="208"/>
        <v>0</v>
      </c>
      <c r="W1267" s="32">
        <f t="shared" si="209"/>
        <v>874.9666666666667</v>
      </c>
      <c r="X1267" s="32">
        <f t="shared" si="206"/>
        <v>0</v>
      </c>
      <c r="Y1267" s="381">
        <f t="shared" si="207"/>
        <v>0</v>
      </c>
    </row>
    <row r="1268" spans="1:25" x14ac:dyDescent="0.2">
      <c r="A1268" s="24">
        <f t="shared" si="210"/>
        <v>29.664513030443182</v>
      </c>
      <c r="B1268" s="383">
        <v>879.98333333333335</v>
      </c>
      <c r="C1268" s="32"/>
      <c r="D1268" s="381">
        <f t="shared" si="200"/>
        <v>0</v>
      </c>
      <c r="E1268" s="383">
        <v>879.98333333333335</v>
      </c>
      <c r="F1268" s="8"/>
      <c r="G1268" s="381">
        <f t="shared" si="201"/>
        <v>0</v>
      </c>
      <c r="H1268" s="383">
        <v>879.98333333333335</v>
      </c>
      <c r="I1268" s="32"/>
      <c r="J1268" s="381">
        <f t="shared" si="202"/>
        <v>0</v>
      </c>
      <c r="K1268" s="383">
        <v>879.98333333333335</v>
      </c>
      <c r="L1268" s="31"/>
      <c r="M1268" s="381">
        <f t="shared" si="203"/>
        <v>0</v>
      </c>
      <c r="N1268" s="383">
        <v>879.98333333333335</v>
      </c>
      <c r="O1268" s="32"/>
      <c r="P1268" s="381">
        <f t="shared" si="204"/>
        <v>0</v>
      </c>
      <c r="Q1268" s="383">
        <v>879.98333333333335</v>
      </c>
      <c r="R1268" s="32"/>
      <c r="S1268" s="25">
        <f t="shared" si="205"/>
        <v>0</v>
      </c>
      <c r="T1268" s="383">
        <v>879.98333333333335</v>
      </c>
      <c r="U1268" s="32"/>
      <c r="V1268" s="25">
        <f t="shared" si="208"/>
        <v>0</v>
      </c>
      <c r="W1268" s="32">
        <f t="shared" si="209"/>
        <v>879.98333333333335</v>
      </c>
      <c r="X1268" s="32">
        <f t="shared" si="206"/>
        <v>0</v>
      </c>
      <c r="Y1268" s="381">
        <f t="shared" si="207"/>
        <v>0</v>
      </c>
    </row>
    <row r="1269" spans="1:25" x14ac:dyDescent="0.2">
      <c r="A1269" s="24">
        <f t="shared" si="210"/>
        <v>29.748389312140358</v>
      </c>
      <c r="B1269" s="383">
        <v>884.9666666666667</v>
      </c>
      <c r="C1269" s="32"/>
      <c r="D1269" s="381">
        <f t="shared" si="200"/>
        <v>0</v>
      </c>
      <c r="E1269" s="383">
        <v>884.9666666666667</v>
      </c>
      <c r="F1269" s="8"/>
      <c r="G1269" s="381">
        <f t="shared" si="201"/>
        <v>0</v>
      </c>
      <c r="H1269" s="383">
        <v>884.9666666666667</v>
      </c>
      <c r="I1269" s="32"/>
      <c r="J1269" s="381">
        <f t="shared" si="202"/>
        <v>0</v>
      </c>
      <c r="K1269" s="383">
        <v>884.9666666666667</v>
      </c>
      <c r="L1269" s="31"/>
      <c r="M1269" s="381">
        <f t="shared" si="203"/>
        <v>0</v>
      </c>
      <c r="N1269" s="383">
        <v>884.9666666666667</v>
      </c>
      <c r="O1269" s="32"/>
      <c r="P1269" s="381">
        <f t="shared" si="204"/>
        <v>0</v>
      </c>
      <c r="Q1269" s="383">
        <v>884.9666666666667</v>
      </c>
      <c r="R1269" s="32"/>
      <c r="S1269" s="25">
        <f t="shared" si="205"/>
        <v>0</v>
      </c>
      <c r="T1269" s="383">
        <v>884.9666666666667</v>
      </c>
      <c r="U1269" s="32"/>
      <c r="V1269" s="25">
        <f t="shared" si="208"/>
        <v>0</v>
      </c>
      <c r="W1269" s="32">
        <f t="shared" si="209"/>
        <v>884.9666666666667</v>
      </c>
      <c r="X1269" s="32">
        <f t="shared" si="206"/>
        <v>0</v>
      </c>
      <c r="Y1269" s="381">
        <f t="shared" si="207"/>
        <v>0</v>
      </c>
    </row>
    <row r="1270" spans="1:25" x14ac:dyDescent="0.2">
      <c r="A1270" s="24">
        <f t="shared" si="210"/>
        <v>29.798210237081911</v>
      </c>
      <c r="B1270" s="383">
        <v>887.93333333333328</v>
      </c>
      <c r="C1270" s="32"/>
      <c r="D1270" s="381">
        <f t="shared" si="200"/>
        <v>0</v>
      </c>
      <c r="E1270" s="383">
        <v>887.93333333333328</v>
      </c>
      <c r="F1270" s="8"/>
      <c r="G1270" s="381">
        <f t="shared" si="201"/>
        <v>0</v>
      </c>
      <c r="H1270" s="383">
        <v>887.93333333333305</v>
      </c>
      <c r="I1270" s="32"/>
      <c r="J1270" s="381">
        <f t="shared" si="202"/>
        <v>0</v>
      </c>
      <c r="K1270" s="383">
        <v>887.93333333333328</v>
      </c>
      <c r="L1270" s="31"/>
      <c r="M1270" s="381">
        <f t="shared" si="203"/>
        <v>0</v>
      </c>
      <c r="N1270" s="383">
        <v>887.93333333333328</v>
      </c>
      <c r="O1270" s="32"/>
      <c r="P1270" s="381">
        <f t="shared" si="204"/>
        <v>0</v>
      </c>
      <c r="Q1270" s="383">
        <v>887.93333333333328</v>
      </c>
      <c r="R1270" s="32"/>
      <c r="S1270" s="25">
        <f t="shared" si="205"/>
        <v>0</v>
      </c>
      <c r="T1270" s="383">
        <v>887.93333333333328</v>
      </c>
      <c r="U1270" s="32"/>
      <c r="V1270" s="25">
        <f t="shared" si="208"/>
        <v>0</v>
      </c>
      <c r="W1270" s="32">
        <f t="shared" si="209"/>
        <v>887.93333333333328</v>
      </c>
      <c r="X1270" s="32">
        <f t="shared" si="206"/>
        <v>0</v>
      </c>
      <c r="Y1270" s="381">
        <f t="shared" si="207"/>
        <v>0</v>
      </c>
    </row>
    <row r="1271" spans="1:25" x14ac:dyDescent="0.2">
      <c r="B1271" s="383"/>
      <c r="C1271" s="32"/>
      <c r="D1271" s="381">
        <f t="shared" si="200"/>
        <v>0</v>
      </c>
      <c r="E1271" s="383"/>
      <c r="F1271" s="8"/>
      <c r="G1271" s="381">
        <f t="shared" si="201"/>
        <v>0</v>
      </c>
      <c r="H1271" s="383"/>
      <c r="I1271" s="32"/>
      <c r="J1271" s="381">
        <f t="shared" si="202"/>
        <v>0</v>
      </c>
      <c r="K1271" s="383"/>
      <c r="L1271" s="31"/>
      <c r="M1271" s="381">
        <f t="shared" si="203"/>
        <v>0</v>
      </c>
      <c r="N1271" s="383"/>
      <c r="O1271" s="32"/>
      <c r="P1271" s="381">
        <f t="shared" si="204"/>
        <v>0</v>
      </c>
      <c r="Q1271" s="383"/>
      <c r="R1271" s="32"/>
      <c r="S1271" s="25">
        <f t="shared" si="205"/>
        <v>0</v>
      </c>
      <c r="T1271" s="383"/>
      <c r="U1271" s="32"/>
      <c r="V1271" s="25">
        <f t="shared" si="208"/>
        <v>0</v>
      </c>
      <c r="W1271" s="32"/>
      <c r="X1271" s="32">
        <f t="shared" si="206"/>
        <v>0</v>
      </c>
      <c r="Y1271" s="381">
        <f t="shared" si="207"/>
        <v>0</v>
      </c>
    </row>
    <row r="1272" spans="1:25" x14ac:dyDescent="0.2">
      <c r="B1272" s="383"/>
      <c r="C1272" s="32"/>
      <c r="D1272" s="381">
        <f t="shared" si="200"/>
        <v>0</v>
      </c>
      <c r="E1272" s="383"/>
      <c r="F1272" s="8"/>
      <c r="G1272" s="381">
        <f t="shared" si="201"/>
        <v>0</v>
      </c>
      <c r="H1272" s="383"/>
      <c r="I1272" s="32"/>
      <c r="J1272" s="381">
        <f t="shared" si="202"/>
        <v>0</v>
      </c>
      <c r="K1272" s="383"/>
      <c r="L1272" s="31"/>
      <c r="M1272" s="381">
        <f t="shared" si="203"/>
        <v>0</v>
      </c>
      <c r="N1272" s="383"/>
      <c r="O1272" s="32"/>
      <c r="P1272" s="381">
        <f t="shared" si="204"/>
        <v>0</v>
      </c>
      <c r="Q1272" s="383"/>
      <c r="R1272" s="32"/>
      <c r="S1272" s="25">
        <f t="shared" si="205"/>
        <v>0</v>
      </c>
      <c r="T1272" s="383"/>
      <c r="U1272" s="32"/>
      <c r="V1272" s="25">
        <f t="shared" si="208"/>
        <v>0</v>
      </c>
      <c r="W1272" s="32"/>
      <c r="X1272" s="32">
        <f t="shared" si="206"/>
        <v>0</v>
      </c>
      <c r="Y1272" s="381">
        <f t="shared" si="207"/>
        <v>0</v>
      </c>
    </row>
    <row r="1273" spans="1:25" x14ac:dyDescent="0.2">
      <c r="B1273" s="383"/>
      <c r="C1273" s="32"/>
      <c r="D1273" s="381">
        <f t="shared" si="200"/>
        <v>0</v>
      </c>
      <c r="E1273" s="383"/>
      <c r="F1273" s="8"/>
      <c r="G1273" s="381">
        <f t="shared" si="201"/>
        <v>0</v>
      </c>
      <c r="H1273" s="383"/>
      <c r="I1273" s="32"/>
      <c r="J1273" s="381">
        <f t="shared" si="202"/>
        <v>0</v>
      </c>
      <c r="K1273" s="383"/>
      <c r="L1273" s="31"/>
      <c r="M1273" s="381">
        <f t="shared" si="203"/>
        <v>0</v>
      </c>
      <c r="N1273" s="383"/>
      <c r="O1273" s="32"/>
      <c r="P1273" s="381">
        <f t="shared" si="204"/>
        <v>0</v>
      </c>
      <c r="Q1273" s="383"/>
      <c r="R1273" s="32"/>
      <c r="S1273" s="25">
        <f t="shared" si="205"/>
        <v>0</v>
      </c>
      <c r="T1273" s="383"/>
      <c r="U1273" s="32"/>
      <c r="V1273" s="25">
        <f t="shared" si="208"/>
        <v>0</v>
      </c>
      <c r="W1273" s="32"/>
      <c r="X1273" s="32">
        <f t="shared" si="206"/>
        <v>0</v>
      </c>
      <c r="Y1273" s="381">
        <f t="shared" si="207"/>
        <v>0</v>
      </c>
    </row>
    <row r="1274" spans="1:25" x14ac:dyDescent="0.2">
      <c r="B1274" s="383"/>
      <c r="C1274" s="32"/>
      <c r="D1274" s="381">
        <f t="shared" si="200"/>
        <v>0</v>
      </c>
      <c r="E1274" s="383"/>
      <c r="F1274" s="8"/>
      <c r="G1274" s="381">
        <f t="shared" si="201"/>
        <v>0</v>
      </c>
      <c r="H1274" s="383"/>
      <c r="I1274" s="32"/>
      <c r="J1274" s="381">
        <f t="shared" si="202"/>
        <v>0</v>
      </c>
      <c r="K1274" s="383"/>
      <c r="L1274" s="31"/>
      <c r="M1274" s="381">
        <f t="shared" si="203"/>
        <v>0</v>
      </c>
      <c r="N1274" s="383"/>
      <c r="O1274" s="32"/>
      <c r="P1274" s="381">
        <f t="shared" si="204"/>
        <v>0</v>
      </c>
      <c r="Q1274" s="383"/>
      <c r="R1274" s="32"/>
      <c r="S1274" s="25">
        <f t="shared" si="205"/>
        <v>0</v>
      </c>
      <c r="T1274" s="383"/>
      <c r="U1274" s="32"/>
      <c r="V1274" s="25">
        <f t="shared" si="208"/>
        <v>0</v>
      </c>
      <c r="W1274" s="32"/>
      <c r="X1274" s="32">
        <f t="shared" si="206"/>
        <v>0</v>
      </c>
      <c r="Y1274" s="381">
        <f t="shared" si="207"/>
        <v>0</v>
      </c>
    </row>
    <row r="1275" spans="1:25" x14ac:dyDescent="0.2">
      <c r="B1275" s="383"/>
      <c r="C1275" s="32"/>
      <c r="D1275" s="381">
        <f t="shared" si="200"/>
        <v>0</v>
      </c>
      <c r="E1275" s="383"/>
      <c r="F1275" s="8"/>
      <c r="G1275" s="381">
        <f t="shared" si="201"/>
        <v>0</v>
      </c>
      <c r="H1275" s="383"/>
      <c r="I1275" s="32"/>
      <c r="J1275" s="381">
        <f t="shared" si="202"/>
        <v>0</v>
      </c>
      <c r="K1275" s="383"/>
      <c r="L1275" s="31"/>
      <c r="M1275" s="381">
        <f t="shared" si="203"/>
        <v>0</v>
      </c>
      <c r="N1275" s="383"/>
      <c r="O1275" s="32"/>
      <c r="P1275" s="381">
        <f t="shared" si="204"/>
        <v>0</v>
      </c>
      <c r="Q1275" s="383"/>
      <c r="R1275" s="32"/>
      <c r="S1275" s="25">
        <f t="shared" si="205"/>
        <v>0</v>
      </c>
      <c r="T1275" s="383"/>
      <c r="U1275" s="32"/>
      <c r="V1275" s="25">
        <f t="shared" si="208"/>
        <v>0</v>
      </c>
      <c r="W1275" s="32"/>
      <c r="X1275" s="32">
        <f t="shared" si="206"/>
        <v>0</v>
      </c>
      <c r="Y1275" s="381">
        <f t="shared" si="207"/>
        <v>0</v>
      </c>
    </row>
    <row r="1276" spans="1:25" x14ac:dyDescent="0.2">
      <c r="B1276" s="383"/>
      <c r="C1276" s="32"/>
      <c r="D1276" s="381">
        <f t="shared" si="200"/>
        <v>0</v>
      </c>
      <c r="E1276" s="383"/>
      <c r="F1276" s="8"/>
      <c r="G1276" s="381">
        <f t="shared" si="201"/>
        <v>0</v>
      </c>
      <c r="H1276" s="383"/>
      <c r="I1276" s="32"/>
      <c r="J1276" s="381">
        <f t="shared" si="202"/>
        <v>0</v>
      </c>
      <c r="K1276" s="383"/>
      <c r="L1276" s="31"/>
      <c r="M1276" s="381">
        <f t="shared" si="203"/>
        <v>0</v>
      </c>
      <c r="N1276" s="383"/>
      <c r="O1276" s="32"/>
      <c r="P1276" s="381">
        <f t="shared" si="204"/>
        <v>0</v>
      </c>
      <c r="Q1276" s="383"/>
      <c r="R1276" s="32"/>
      <c r="S1276" s="25">
        <f t="shared" si="205"/>
        <v>0</v>
      </c>
      <c r="T1276" s="383"/>
      <c r="U1276" s="32"/>
      <c r="V1276" s="25">
        <f t="shared" si="208"/>
        <v>0</v>
      </c>
      <c r="W1276" s="32"/>
      <c r="X1276" s="32">
        <f t="shared" si="206"/>
        <v>0</v>
      </c>
      <c r="Y1276" s="381">
        <f t="shared" si="207"/>
        <v>0</v>
      </c>
    </row>
    <row r="1277" spans="1:25" x14ac:dyDescent="0.2">
      <c r="B1277" s="383"/>
      <c r="C1277" s="32"/>
      <c r="D1277" s="381">
        <f t="shared" si="200"/>
        <v>0</v>
      </c>
      <c r="E1277" s="383"/>
      <c r="F1277" s="8"/>
      <c r="G1277" s="381">
        <f t="shared" si="201"/>
        <v>0</v>
      </c>
      <c r="H1277" s="383"/>
      <c r="I1277" s="32"/>
      <c r="J1277" s="381">
        <f t="shared" si="202"/>
        <v>0</v>
      </c>
      <c r="K1277" s="383"/>
      <c r="L1277" s="31"/>
      <c r="M1277" s="381">
        <f t="shared" si="203"/>
        <v>0</v>
      </c>
      <c r="N1277" s="383"/>
      <c r="O1277" s="32"/>
      <c r="P1277" s="381">
        <f t="shared" si="204"/>
        <v>0</v>
      </c>
      <c r="Q1277" s="383"/>
      <c r="R1277" s="32"/>
      <c r="S1277" s="25">
        <f t="shared" si="205"/>
        <v>0</v>
      </c>
      <c r="T1277" s="383"/>
      <c r="U1277" s="32"/>
      <c r="V1277" s="25">
        <f t="shared" si="208"/>
        <v>0</v>
      </c>
      <c r="W1277" s="32"/>
      <c r="X1277" s="32">
        <f t="shared" si="206"/>
        <v>0</v>
      </c>
      <c r="Y1277" s="381">
        <f t="shared" si="207"/>
        <v>0</v>
      </c>
    </row>
    <row r="1278" spans="1:25" x14ac:dyDescent="0.2">
      <c r="B1278" s="383"/>
      <c r="C1278" s="32"/>
      <c r="D1278" s="381">
        <f t="shared" si="200"/>
        <v>0</v>
      </c>
      <c r="E1278" s="383"/>
      <c r="F1278" s="8"/>
      <c r="G1278" s="381">
        <f t="shared" si="201"/>
        <v>0</v>
      </c>
      <c r="H1278" s="383"/>
      <c r="I1278" s="32"/>
      <c r="J1278" s="381">
        <f t="shared" si="202"/>
        <v>0</v>
      </c>
      <c r="K1278" s="383"/>
      <c r="L1278" s="31"/>
      <c r="M1278" s="381">
        <f t="shared" si="203"/>
        <v>0</v>
      </c>
      <c r="N1278" s="383"/>
      <c r="O1278" s="32"/>
      <c r="P1278" s="381">
        <f t="shared" si="204"/>
        <v>0</v>
      </c>
      <c r="Q1278" s="383"/>
      <c r="R1278" s="32"/>
      <c r="S1278" s="25">
        <f t="shared" si="205"/>
        <v>0</v>
      </c>
      <c r="T1278" s="383"/>
      <c r="U1278" s="32"/>
      <c r="V1278" s="25">
        <f t="shared" si="208"/>
        <v>0</v>
      </c>
      <c r="W1278" s="32"/>
      <c r="X1278" s="32">
        <f t="shared" si="206"/>
        <v>0</v>
      </c>
      <c r="Y1278" s="381">
        <f t="shared" si="207"/>
        <v>0</v>
      </c>
    </row>
    <row r="1279" spans="1:25" x14ac:dyDescent="0.2">
      <c r="B1279" s="383"/>
      <c r="C1279" s="32"/>
      <c r="D1279" s="381">
        <f t="shared" si="200"/>
        <v>0</v>
      </c>
      <c r="E1279" s="383"/>
      <c r="F1279" s="8"/>
      <c r="G1279" s="381">
        <f t="shared" si="201"/>
        <v>0</v>
      </c>
      <c r="H1279" s="383"/>
      <c r="I1279" s="32"/>
      <c r="J1279" s="381">
        <f t="shared" ref="J1279:J1284" si="211">I1279+$AB$3</f>
        <v>0</v>
      </c>
      <c r="K1279" s="383"/>
      <c r="L1279" s="31"/>
      <c r="M1279" s="381">
        <f t="shared" si="203"/>
        <v>0</v>
      </c>
      <c r="N1279" s="383"/>
      <c r="O1279" s="32"/>
      <c r="P1279" s="381">
        <f t="shared" si="204"/>
        <v>0</v>
      </c>
      <c r="Q1279" s="383"/>
      <c r="R1279" s="32"/>
      <c r="S1279" s="25">
        <f t="shared" si="205"/>
        <v>0</v>
      </c>
      <c r="T1279" s="383"/>
      <c r="U1279" s="32"/>
      <c r="V1279" s="25">
        <f t="shared" si="208"/>
        <v>0</v>
      </c>
      <c r="W1279" s="32"/>
      <c r="X1279" s="32">
        <f t="shared" si="206"/>
        <v>0</v>
      </c>
      <c r="Y1279" s="381">
        <f t="shared" si="207"/>
        <v>0</v>
      </c>
    </row>
    <row r="1280" spans="1:25" x14ac:dyDescent="0.2">
      <c r="B1280" s="383"/>
      <c r="C1280" s="32"/>
      <c r="D1280" s="381">
        <f t="shared" si="200"/>
        <v>0</v>
      </c>
      <c r="E1280" s="383"/>
      <c r="F1280" s="8"/>
      <c r="G1280" s="381">
        <f t="shared" si="201"/>
        <v>0</v>
      </c>
      <c r="H1280" s="383"/>
      <c r="I1280" s="32"/>
      <c r="J1280" s="381">
        <f t="shared" si="211"/>
        <v>0</v>
      </c>
      <c r="K1280" s="383"/>
      <c r="L1280" s="31"/>
      <c r="M1280" s="381">
        <f t="shared" si="203"/>
        <v>0</v>
      </c>
      <c r="N1280" s="383"/>
      <c r="O1280" s="32"/>
      <c r="P1280" s="381">
        <f t="shared" si="204"/>
        <v>0</v>
      </c>
      <c r="Q1280" s="383"/>
      <c r="R1280" s="32"/>
      <c r="S1280" s="25">
        <f t="shared" si="205"/>
        <v>0</v>
      </c>
      <c r="T1280" s="383"/>
      <c r="U1280" s="32"/>
      <c r="V1280" s="25">
        <f t="shared" si="208"/>
        <v>0</v>
      </c>
      <c r="W1280" s="32"/>
      <c r="X1280" s="32">
        <f t="shared" si="206"/>
        <v>0</v>
      </c>
      <c r="Y1280" s="381">
        <f t="shared" si="207"/>
        <v>0</v>
      </c>
    </row>
    <row r="1281" spans="2:25" x14ac:dyDescent="0.2">
      <c r="B1281" s="383"/>
      <c r="C1281" s="32"/>
      <c r="D1281" s="381">
        <f t="shared" si="200"/>
        <v>0</v>
      </c>
      <c r="E1281" s="383"/>
      <c r="F1281" s="8"/>
      <c r="G1281" s="381">
        <f t="shared" si="201"/>
        <v>0</v>
      </c>
      <c r="H1281" s="383"/>
      <c r="I1281" s="32"/>
      <c r="J1281" s="381">
        <f t="shared" si="211"/>
        <v>0</v>
      </c>
      <c r="K1281" s="383"/>
      <c r="L1281" s="31"/>
      <c r="M1281" s="381">
        <f t="shared" si="203"/>
        <v>0</v>
      </c>
      <c r="N1281" s="383"/>
      <c r="O1281" s="32"/>
      <c r="P1281" s="381">
        <f t="shared" si="204"/>
        <v>0</v>
      </c>
      <c r="Q1281" s="383"/>
      <c r="R1281" s="32"/>
      <c r="S1281" s="25">
        <f t="shared" si="205"/>
        <v>0</v>
      </c>
      <c r="T1281" s="383"/>
      <c r="U1281" s="32"/>
      <c r="V1281" s="25">
        <f t="shared" si="208"/>
        <v>0</v>
      </c>
      <c r="W1281" s="32"/>
      <c r="X1281" s="32">
        <f t="shared" si="206"/>
        <v>0</v>
      </c>
      <c r="Y1281" s="381">
        <f t="shared" si="207"/>
        <v>0</v>
      </c>
    </row>
    <row r="1282" spans="2:25" x14ac:dyDescent="0.2">
      <c r="B1282" s="383"/>
      <c r="C1282" s="32"/>
      <c r="D1282" s="381">
        <f t="shared" si="200"/>
        <v>0</v>
      </c>
      <c r="E1282" s="383"/>
      <c r="F1282" s="8"/>
      <c r="G1282" s="381">
        <f t="shared" si="201"/>
        <v>0</v>
      </c>
      <c r="H1282" s="383"/>
      <c r="I1282" s="32"/>
      <c r="J1282" s="381">
        <f t="shared" si="211"/>
        <v>0</v>
      </c>
      <c r="K1282" s="383"/>
      <c r="L1282" s="31"/>
      <c r="M1282" s="381">
        <f t="shared" si="203"/>
        <v>0</v>
      </c>
      <c r="N1282" s="383"/>
      <c r="O1282" s="32"/>
      <c r="P1282" s="381">
        <f t="shared" si="204"/>
        <v>0</v>
      </c>
      <c r="Q1282" s="383"/>
      <c r="R1282" s="32"/>
      <c r="S1282" s="25">
        <f t="shared" si="205"/>
        <v>0</v>
      </c>
      <c r="T1282" s="383"/>
      <c r="U1282" s="32"/>
      <c r="V1282" s="25">
        <f t="shared" si="208"/>
        <v>0</v>
      </c>
      <c r="W1282" s="32"/>
      <c r="X1282" s="32">
        <f t="shared" si="206"/>
        <v>0</v>
      </c>
      <c r="Y1282" s="381">
        <f t="shared" si="207"/>
        <v>0</v>
      </c>
    </row>
    <row r="1283" spans="2:25" x14ac:dyDescent="0.2">
      <c r="B1283" s="383"/>
      <c r="C1283" s="32"/>
      <c r="D1283" s="381">
        <f t="shared" ref="D1283:D1284" si="212">C1283</f>
        <v>0</v>
      </c>
      <c r="E1283" s="383"/>
      <c r="F1283" s="8"/>
      <c r="G1283" s="381">
        <f t="shared" si="201"/>
        <v>0</v>
      </c>
      <c r="H1283" s="383"/>
      <c r="I1283" s="32"/>
      <c r="J1283" s="381">
        <f t="shared" si="211"/>
        <v>0</v>
      </c>
      <c r="K1283" s="383"/>
      <c r="L1283" s="31"/>
      <c r="M1283" s="381">
        <f t="shared" si="203"/>
        <v>0</v>
      </c>
      <c r="N1283" s="383"/>
      <c r="O1283" s="32"/>
      <c r="P1283" s="381">
        <f t="shared" si="204"/>
        <v>0</v>
      </c>
      <c r="Q1283" s="383"/>
      <c r="R1283" s="32"/>
      <c r="S1283" s="25">
        <f t="shared" si="205"/>
        <v>0</v>
      </c>
      <c r="T1283" s="383"/>
      <c r="U1283" s="32"/>
      <c r="V1283" s="25">
        <f t="shared" si="208"/>
        <v>0</v>
      </c>
      <c r="W1283" s="32"/>
      <c r="X1283" s="32">
        <f t="shared" si="206"/>
        <v>0</v>
      </c>
      <c r="Y1283" s="381">
        <f t="shared" si="207"/>
        <v>0</v>
      </c>
    </row>
    <row r="1284" spans="2:25" x14ac:dyDescent="0.2">
      <c r="B1284" s="383"/>
      <c r="C1284" s="32"/>
      <c r="D1284" s="381">
        <f t="shared" si="212"/>
        <v>0</v>
      </c>
      <c r="E1284" s="383"/>
      <c r="F1284" s="8"/>
      <c r="G1284" s="381">
        <f t="shared" si="201"/>
        <v>0</v>
      </c>
      <c r="H1284" s="383"/>
      <c r="I1284" s="32"/>
      <c r="J1284" s="381">
        <f t="shared" si="211"/>
        <v>0</v>
      </c>
      <c r="K1284" s="383"/>
      <c r="L1284" s="31"/>
      <c r="M1284" s="381">
        <f t="shared" si="203"/>
        <v>0</v>
      </c>
      <c r="N1284" s="383"/>
      <c r="O1284" s="32"/>
      <c r="P1284" s="381">
        <f t="shared" si="204"/>
        <v>0</v>
      </c>
      <c r="Q1284" s="383"/>
      <c r="R1284" s="32"/>
      <c r="S1284" s="25">
        <f t="shared" si="205"/>
        <v>0</v>
      </c>
      <c r="T1284" s="383"/>
      <c r="U1284" s="32"/>
      <c r="V1284" s="25">
        <f t="shared" si="208"/>
        <v>0</v>
      </c>
      <c r="W1284" s="32"/>
      <c r="X1284" s="32">
        <f t="shared" si="206"/>
        <v>0</v>
      </c>
      <c r="Y1284" s="381">
        <f t="shared" si="207"/>
        <v>0</v>
      </c>
    </row>
    <row r="1285" spans="2:25" x14ac:dyDescent="0.2">
      <c r="B1285" s="383"/>
      <c r="C1285" s="32"/>
      <c r="D1285" s="381">
        <f t="shared" ref="D1285:D1348" si="213">C1285</f>
        <v>0</v>
      </c>
      <c r="E1285" s="383"/>
      <c r="F1285" s="8"/>
      <c r="G1285" s="381">
        <f t="shared" ref="G1285:G1348" si="214">F1285+$AB$2</f>
        <v>0</v>
      </c>
      <c r="H1285" s="383"/>
      <c r="I1285" s="32"/>
      <c r="J1285" s="381">
        <f t="shared" ref="J1285:J1348" si="215">I1285+$AB$3</f>
        <v>0</v>
      </c>
      <c r="K1285" s="383"/>
      <c r="L1285" s="31"/>
      <c r="M1285" s="381">
        <f t="shared" ref="M1285:M1333" si="216">L1285+$AB$4</f>
        <v>0</v>
      </c>
      <c r="N1285" s="383"/>
      <c r="O1285" s="32"/>
      <c r="P1285" s="381">
        <f t="shared" ref="P1285:P1348" si="217">O1285+$AB$5</f>
        <v>0</v>
      </c>
      <c r="Q1285" s="383"/>
      <c r="R1285" s="32"/>
      <c r="S1285" s="25">
        <f t="shared" ref="S1285:S1348" si="218">R1285+$AB$6</f>
        <v>0</v>
      </c>
      <c r="T1285" s="383"/>
      <c r="U1285" s="32"/>
      <c r="V1285" s="25">
        <f t="shared" si="208"/>
        <v>0</v>
      </c>
      <c r="W1285" s="32"/>
      <c r="X1285" s="32">
        <f t="shared" ref="X1285:X1348" si="219">U1285</f>
        <v>0</v>
      </c>
      <c r="Y1285" s="381">
        <f t="shared" ref="Y1285:Y1348" si="220">X1285+$AB$8</f>
        <v>0</v>
      </c>
    </row>
    <row r="1286" spans="2:25" x14ac:dyDescent="0.2">
      <c r="B1286" s="383"/>
      <c r="C1286" s="32"/>
      <c r="D1286" s="381">
        <f t="shared" si="213"/>
        <v>0</v>
      </c>
      <c r="E1286" s="383"/>
      <c r="F1286" s="8"/>
      <c r="G1286" s="381">
        <f t="shared" si="214"/>
        <v>0</v>
      </c>
      <c r="H1286" s="383"/>
      <c r="I1286" s="32"/>
      <c r="J1286" s="381">
        <f t="shared" si="215"/>
        <v>0</v>
      </c>
      <c r="K1286" s="383"/>
      <c r="L1286" s="31"/>
      <c r="M1286" s="381">
        <f t="shared" si="216"/>
        <v>0</v>
      </c>
      <c r="N1286" s="383"/>
      <c r="O1286" s="32"/>
      <c r="P1286" s="381">
        <f t="shared" si="217"/>
        <v>0</v>
      </c>
      <c r="Q1286" s="383"/>
      <c r="R1286" s="32"/>
      <c r="S1286" s="25">
        <f t="shared" si="218"/>
        <v>0</v>
      </c>
      <c r="T1286" s="383"/>
      <c r="U1286" s="32"/>
      <c r="V1286" s="25">
        <f t="shared" ref="V1286:V1328" si="221">Y1286</f>
        <v>0</v>
      </c>
      <c r="W1286" s="32"/>
      <c r="X1286" s="32">
        <f t="shared" si="219"/>
        <v>0</v>
      </c>
      <c r="Y1286" s="381">
        <f t="shared" si="220"/>
        <v>0</v>
      </c>
    </row>
    <row r="1287" spans="2:25" x14ac:dyDescent="0.2">
      <c r="B1287" s="383"/>
      <c r="C1287" s="32"/>
      <c r="D1287" s="381">
        <f t="shared" si="213"/>
        <v>0</v>
      </c>
      <c r="E1287" s="383"/>
      <c r="F1287" s="8"/>
      <c r="G1287" s="381">
        <f t="shared" si="214"/>
        <v>0</v>
      </c>
      <c r="H1287" s="383"/>
      <c r="I1287" s="32"/>
      <c r="J1287" s="381">
        <f t="shared" si="215"/>
        <v>0</v>
      </c>
      <c r="K1287" s="383"/>
      <c r="L1287" s="31"/>
      <c r="M1287" s="381">
        <f t="shared" si="216"/>
        <v>0</v>
      </c>
      <c r="N1287" s="383"/>
      <c r="O1287" s="32"/>
      <c r="P1287" s="381">
        <f t="shared" si="217"/>
        <v>0</v>
      </c>
      <c r="Q1287" s="383"/>
      <c r="R1287" s="32"/>
      <c r="S1287" s="25">
        <f t="shared" si="218"/>
        <v>0</v>
      </c>
      <c r="T1287" s="383"/>
      <c r="U1287" s="32"/>
      <c r="V1287" s="25">
        <f t="shared" si="221"/>
        <v>0</v>
      </c>
      <c r="W1287" s="32"/>
      <c r="X1287" s="32">
        <f t="shared" si="219"/>
        <v>0</v>
      </c>
      <c r="Y1287" s="381">
        <f t="shared" si="220"/>
        <v>0</v>
      </c>
    </row>
    <row r="1288" spans="2:25" x14ac:dyDescent="0.2">
      <c r="B1288" s="383"/>
      <c r="C1288" s="32"/>
      <c r="D1288" s="381">
        <f t="shared" si="213"/>
        <v>0</v>
      </c>
      <c r="E1288" s="383"/>
      <c r="F1288" s="8"/>
      <c r="G1288" s="381">
        <f t="shared" si="214"/>
        <v>0</v>
      </c>
      <c r="H1288" s="383"/>
      <c r="I1288" s="32"/>
      <c r="J1288" s="381">
        <f t="shared" si="215"/>
        <v>0</v>
      </c>
      <c r="K1288" s="383"/>
      <c r="L1288" s="31"/>
      <c r="M1288" s="381">
        <f t="shared" si="216"/>
        <v>0</v>
      </c>
      <c r="N1288" s="383"/>
      <c r="O1288" s="32"/>
      <c r="P1288" s="381">
        <f t="shared" si="217"/>
        <v>0</v>
      </c>
      <c r="Q1288" s="383"/>
      <c r="R1288" s="32"/>
      <c r="S1288" s="25">
        <f t="shared" si="218"/>
        <v>0</v>
      </c>
      <c r="T1288" s="383"/>
      <c r="U1288" s="32"/>
      <c r="V1288" s="25">
        <f t="shared" si="221"/>
        <v>0</v>
      </c>
      <c r="W1288" s="32"/>
      <c r="X1288" s="32">
        <f t="shared" si="219"/>
        <v>0</v>
      </c>
      <c r="Y1288" s="381">
        <f t="shared" si="220"/>
        <v>0</v>
      </c>
    </row>
    <row r="1289" spans="2:25" x14ac:dyDescent="0.2">
      <c r="B1289" s="383"/>
      <c r="C1289" s="32"/>
      <c r="D1289" s="381">
        <f t="shared" si="213"/>
        <v>0</v>
      </c>
      <c r="E1289" s="383"/>
      <c r="F1289" s="8"/>
      <c r="G1289" s="381">
        <f t="shared" si="214"/>
        <v>0</v>
      </c>
      <c r="H1289" s="383"/>
      <c r="I1289" s="32"/>
      <c r="J1289" s="381">
        <f t="shared" si="215"/>
        <v>0</v>
      </c>
      <c r="K1289" s="383"/>
      <c r="L1289" s="31"/>
      <c r="M1289" s="381">
        <f t="shared" si="216"/>
        <v>0</v>
      </c>
      <c r="N1289" s="383"/>
      <c r="O1289" s="32"/>
      <c r="P1289" s="381">
        <f t="shared" si="217"/>
        <v>0</v>
      </c>
      <c r="Q1289" s="383"/>
      <c r="R1289" s="32"/>
      <c r="S1289" s="25">
        <f t="shared" si="218"/>
        <v>0</v>
      </c>
      <c r="T1289" s="383"/>
      <c r="U1289" s="32"/>
      <c r="V1289" s="25">
        <f t="shared" si="221"/>
        <v>0</v>
      </c>
      <c r="W1289" s="32"/>
      <c r="X1289" s="32">
        <f t="shared" si="219"/>
        <v>0</v>
      </c>
      <c r="Y1289" s="381">
        <f t="shared" si="220"/>
        <v>0</v>
      </c>
    </row>
    <row r="1290" spans="2:25" x14ac:dyDescent="0.2">
      <c r="B1290" s="383"/>
      <c r="C1290" s="32"/>
      <c r="D1290" s="381">
        <f t="shared" si="213"/>
        <v>0</v>
      </c>
      <c r="E1290" s="383"/>
      <c r="F1290" s="8"/>
      <c r="G1290" s="381">
        <f t="shared" si="214"/>
        <v>0</v>
      </c>
      <c r="H1290" s="383"/>
      <c r="I1290" s="32"/>
      <c r="J1290" s="381">
        <f t="shared" si="215"/>
        <v>0</v>
      </c>
      <c r="K1290" s="383"/>
      <c r="L1290" s="31"/>
      <c r="M1290" s="381">
        <f t="shared" si="216"/>
        <v>0</v>
      </c>
      <c r="N1290" s="383"/>
      <c r="O1290" s="32"/>
      <c r="P1290" s="381">
        <f t="shared" si="217"/>
        <v>0</v>
      </c>
      <c r="Q1290" s="383"/>
      <c r="R1290" s="32"/>
      <c r="S1290" s="25">
        <f t="shared" si="218"/>
        <v>0</v>
      </c>
      <c r="T1290" s="383"/>
      <c r="U1290" s="32"/>
      <c r="V1290" s="25">
        <f t="shared" si="221"/>
        <v>0</v>
      </c>
      <c r="W1290" s="32"/>
      <c r="X1290" s="32">
        <f t="shared" si="219"/>
        <v>0</v>
      </c>
      <c r="Y1290" s="381">
        <f t="shared" si="220"/>
        <v>0</v>
      </c>
    </row>
    <row r="1291" spans="2:25" x14ac:dyDescent="0.2">
      <c r="B1291" s="383"/>
      <c r="C1291" s="32"/>
      <c r="D1291" s="381">
        <f t="shared" si="213"/>
        <v>0</v>
      </c>
      <c r="E1291" s="383"/>
      <c r="F1291" s="8"/>
      <c r="G1291" s="381">
        <f t="shared" si="214"/>
        <v>0</v>
      </c>
      <c r="H1291" s="383"/>
      <c r="I1291" s="32"/>
      <c r="J1291" s="381">
        <f t="shared" si="215"/>
        <v>0</v>
      </c>
      <c r="K1291" s="383"/>
      <c r="L1291" s="31"/>
      <c r="M1291" s="381">
        <f t="shared" si="216"/>
        <v>0</v>
      </c>
      <c r="N1291" s="383"/>
      <c r="O1291" s="32"/>
      <c r="P1291" s="381">
        <f t="shared" si="217"/>
        <v>0</v>
      </c>
      <c r="Q1291" s="383"/>
      <c r="R1291" s="32"/>
      <c r="S1291" s="25">
        <f t="shared" si="218"/>
        <v>0</v>
      </c>
      <c r="T1291" s="383"/>
      <c r="U1291" s="32"/>
      <c r="V1291" s="25">
        <f t="shared" si="221"/>
        <v>0</v>
      </c>
      <c r="W1291" s="32"/>
      <c r="X1291" s="32">
        <f t="shared" si="219"/>
        <v>0</v>
      </c>
      <c r="Y1291" s="381">
        <f t="shared" si="220"/>
        <v>0</v>
      </c>
    </row>
    <row r="1292" spans="2:25" x14ac:dyDescent="0.2">
      <c r="B1292" s="383"/>
      <c r="C1292" s="32"/>
      <c r="D1292" s="381">
        <f t="shared" si="213"/>
        <v>0</v>
      </c>
      <c r="E1292" s="383"/>
      <c r="F1292" s="8"/>
      <c r="G1292" s="381">
        <f t="shared" si="214"/>
        <v>0</v>
      </c>
      <c r="H1292" s="383"/>
      <c r="I1292" s="32"/>
      <c r="J1292" s="381">
        <f t="shared" si="215"/>
        <v>0</v>
      </c>
      <c r="K1292" s="383"/>
      <c r="L1292" s="31"/>
      <c r="M1292" s="381">
        <f t="shared" si="216"/>
        <v>0</v>
      </c>
      <c r="N1292" s="383"/>
      <c r="O1292" s="32"/>
      <c r="P1292" s="381">
        <f t="shared" si="217"/>
        <v>0</v>
      </c>
      <c r="Q1292" s="383"/>
      <c r="R1292" s="32"/>
      <c r="S1292" s="25">
        <f t="shared" si="218"/>
        <v>0</v>
      </c>
      <c r="T1292" s="383"/>
      <c r="U1292" s="32"/>
      <c r="V1292" s="25">
        <f t="shared" si="221"/>
        <v>0</v>
      </c>
      <c r="W1292" s="32"/>
      <c r="X1292" s="32">
        <f t="shared" si="219"/>
        <v>0</v>
      </c>
      <c r="Y1292" s="381">
        <f t="shared" si="220"/>
        <v>0</v>
      </c>
    </row>
    <row r="1293" spans="2:25" x14ac:dyDescent="0.2">
      <c r="B1293" s="383"/>
      <c r="C1293" s="32"/>
      <c r="D1293" s="381">
        <f t="shared" si="213"/>
        <v>0</v>
      </c>
      <c r="E1293" s="383"/>
      <c r="F1293" s="8"/>
      <c r="G1293" s="381">
        <f t="shared" si="214"/>
        <v>0</v>
      </c>
      <c r="H1293" s="383"/>
      <c r="I1293" s="32"/>
      <c r="J1293" s="381">
        <f t="shared" si="215"/>
        <v>0</v>
      </c>
      <c r="K1293" s="383"/>
      <c r="L1293" s="31"/>
      <c r="M1293" s="381">
        <f t="shared" si="216"/>
        <v>0</v>
      </c>
      <c r="N1293" s="383"/>
      <c r="O1293" s="32"/>
      <c r="P1293" s="381">
        <f t="shared" si="217"/>
        <v>0</v>
      </c>
      <c r="Q1293" s="383"/>
      <c r="R1293" s="32"/>
      <c r="S1293" s="25">
        <f t="shared" si="218"/>
        <v>0</v>
      </c>
      <c r="T1293" s="383"/>
      <c r="U1293" s="32"/>
      <c r="V1293" s="25">
        <f t="shared" si="221"/>
        <v>0</v>
      </c>
      <c r="W1293" s="32"/>
      <c r="X1293" s="32">
        <f t="shared" si="219"/>
        <v>0</v>
      </c>
      <c r="Y1293" s="381">
        <f t="shared" si="220"/>
        <v>0</v>
      </c>
    </row>
    <row r="1294" spans="2:25" x14ac:dyDescent="0.2">
      <c r="B1294" s="383"/>
      <c r="C1294" s="32"/>
      <c r="D1294" s="381">
        <f t="shared" si="213"/>
        <v>0</v>
      </c>
      <c r="E1294" s="383"/>
      <c r="F1294" s="8"/>
      <c r="G1294" s="381">
        <f t="shared" si="214"/>
        <v>0</v>
      </c>
      <c r="H1294" s="383"/>
      <c r="I1294" s="32"/>
      <c r="J1294" s="381">
        <f t="shared" si="215"/>
        <v>0</v>
      </c>
      <c r="K1294" s="383"/>
      <c r="L1294" s="31"/>
      <c r="M1294" s="381">
        <f t="shared" si="216"/>
        <v>0</v>
      </c>
      <c r="N1294" s="383"/>
      <c r="O1294" s="32"/>
      <c r="P1294" s="381">
        <f t="shared" si="217"/>
        <v>0</v>
      </c>
      <c r="Q1294" s="383"/>
      <c r="R1294" s="32"/>
      <c r="S1294" s="25">
        <f t="shared" si="218"/>
        <v>0</v>
      </c>
      <c r="T1294" s="383"/>
      <c r="U1294" s="32"/>
      <c r="V1294" s="25">
        <f t="shared" si="221"/>
        <v>0</v>
      </c>
      <c r="W1294" s="32"/>
      <c r="X1294" s="32">
        <f t="shared" si="219"/>
        <v>0</v>
      </c>
      <c r="Y1294" s="381">
        <f t="shared" si="220"/>
        <v>0</v>
      </c>
    </row>
    <row r="1295" spans="2:25" x14ac:dyDescent="0.2">
      <c r="B1295" s="383"/>
      <c r="C1295" s="32"/>
      <c r="D1295" s="381">
        <f t="shared" si="213"/>
        <v>0</v>
      </c>
      <c r="E1295" s="383"/>
      <c r="F1295" s="8"/>
      <c r="G1295" s="381">
        <f t="shared" si="214"/>
        <v>0</v>
      </c>
      <c r="H1295" s="383"/>
      <c r="I1295" s="32"/>
      <c r="J1295" s="381">
        <f t="shared" si="215"/>
        <v>0</v>
      </c>
      <c r="K1295" s="383"/>
      <c r="L1295" s="31"/>
      <c r="M1295" s="381">
        <f t="shared" si="216"/>
        <v>0</v>
      </c>
      <c r="N1295" s="383"/>
      <c r="O1295" s="32"/>
      <c r="P1295" s="381">
        <f t="shared" si="217"/>
        <v>0</v>
      </c>
      <c r="Q1295" s="383"/>
      <c r="R1295" s="32"/>
      <c r="S1295" s="25">
        <f t="shared" si="218"/>
        <v>0</v>
      </c>
      <c r="T1295" s="383"/>
      <c r="U1295" s="32"/>
      <c r="V1295" s="25">
        <f t="shared" si="221"/>
        <v>0</v>
      </c>
      <c r="W1295" s="32"/>
      <c r="X1295" s="32">
        <f t="shared" si="219"/>
        <v>0</v>
      </c>
      <c r="Y1295" s="381">
        <f t="shared" si="220"/>
        <v>0</v>
      </c>
    </row>
    <row r="1296" spans="2:25" x14ac:dyDescent="0.2">
      <c r="B1296" s="383"/>
      <c r="C1296" s="32"/>
      <c r="D1296" s="381">
        <f t="shared" si="213"/>
        <v>0</v>
      </c>
      <c r="E1296" s="383"/>
      <c r="F1296" s="8"/>
      <c r="G1296" s="381">
        <f t="shared" si="214"/>
        <v>0</v>
      </c>
      <c r="H1296" s="383"/>
      <c r="I1296" s="32"/>
      <c r="J1296" s="381">
        <f t="shared" si="215"/>
        <v>0</v>
      </c>
      <c r="K1296" s="383"/>
      <c r="L1296" s="31"/>
      <c r="M1296" s="381">
        <f t="shared" si="216"/>
        <v>0</v>
      </c>
      <c r="N1296" s="383"/>
      <c r="O1296" s="32"/>
      <c r="P1296" s="381">
        <f t="shared" si="217"/>
        <v>0</v>
      </c>
      <c r="Q1296" s="383"/>
      <c r="R1296" s="32"/>
      <c r="S1296" s="25">
        <f t="shared" si="218"/>
        <v>0</v>
      </c>
      <c r="T1296" s="383"/>
      <c r="U1296" s="32"/>
      <c r="V1296" s="25">
        <f t="shared" si="221"/>
        <v>0</v>
      </c>
      <c r="W1296" s="32"/>
      <c r="X1296" s="32">
        <f t="shared" si="219"/>
        <v>0</v>
      </c>
      <c r="Y1296" s="381">
        <f t="shared" si="220"/>
        <v>0</v>
      </c>
    </row>
    <row r="1297" spans="2:25" x14ac:dyDescent="0.2">
      <c r="B1297" s="383"/>
      <c r="C1297" s="32"/>
      <c r="D1297" s="381">
        <f t="shared" si="213"/>
        <v>0</v>
      </c>
      <c r="E1297" s="383"/>
      <c r="F1297" s="8"/>
      <c r="G1297" s="381">
        <f t="shared" si="214"/>
        <v>0</v>
      </c>
      <c r="H1297" s="383"/>
      <c r="I1297" s="32"/>
      <c r="J1297" s="381">
        <f t="shared" si="215"/>
        <v>0</v>
      </c>
      <c r="K1297" s="383"/>
      <c r="L1297" s="31"/>
      <c r="M1297" s="381">
        <f t="shared" si="216"/>
        <v>0</v>
      </c>
      <c r="N1297" s="383"/>
      <c r="O1297" s="32"/>
      <c r="P1297" s="381">
        <f t="shared" si="217"/>
        <v>0</v>
      </c>
      <c r="Q1297" s="383"/>
      <c r="R1297" s="32"/>
      <c r="S1297" s="25">
        <f t="shared" si="218"/>
        <v>0</v>
      </c>
      <c r="T1297" s="383"/>
      <c r="U1297" s="32"/>
      <c r="V1297" s="25">
        <f t="shared" si="221"/>
        <v>0</v>
      </c>
      <c r="W1297" s="32"/>
      <c r="X1297" s="32">
        <f t="shared" si="219"/>
        <v>0</v>
      </c>
      <c r="Y1297" s="381">
        <f t="shared" si="220"/>
        <v>0</v>
      </c>
    </row>
    <row r="1298" spans="2:25" x14ac:dyDescent="0.2">
      <c r="B1298" s="383"/>
      <c r="C1298" s="32"/>
      <c r="D1298" s="381">
        <f t="shared" si="213"/>
        <v>0</v>
      </c>
      <c r="E1298" s="383"/>
      <c r="F1298" s="8"/>
      <c r="G1298" s="381">
        <f t="shared" si="214"/>
        <v>0</v>
      </c>
      <c r="H1298" s="383"/>
      <c r="I1298" s="32"/>
      <c r="J1298" s="381">
        <f t="shared" si="215"/>
        <v>0</v>
      </c>
      <c r="K1298" s="383"/>
      <c r="L1298" s="31"/>
      <c r="M1298" s="381">
        <f t="shared" si="216"/>
        <v>0</v>
      </c>
      <c r="N1298" s="383"/>
      <c r="O1298" s="32"/>
      <c r="P1298" s="381">
        <f t="shared" si="217"/>
        <v>0</v>
      </c>
      <c r="Q1298" s="383"/>
      <c r="R1298" s="32"/>
      <c r="S1298" s="25">
        <f t="shared" si="218"/>
        <v>0</v>
      </c>
      <c r="T1298" s="383"/>
      <c r="U1298" s="32"/>
      <c r="V1298" s="25">
        <f t="shared" si="221"/>
        <v>0</v>
      </c>
      <c r="W1298" s="32"/>
      <c r="X1298" s="32">
        <f t="shared" si="219"/>
        <v>0</v>
      </c>
      <c r="Y1298" s="381">
        <f t="shared" si="220"/>
        <v>0</v>
      </c>
    </row>
    <row r="1299" spans="2:25" x14ac:dyDescent="0.2">
      <c r="B1299" s="383"/>
      <c r="C1299" s="32"/>
      <c r="D1299" s="381">
        <f t="shared" si="213"/>
        <v>0</v>
      </c>
      <c r="E1299" s="383"/>
      <c r="F1299" s="8"/>
      <c r="G1299" s="381">
        <f t="shared" si="214"/>
        <v>0</v>
      </c>
      <c r="H1299" s="383"/>
      <c r="I1299" s="32"/>
      <c r="J1299" s="381">
        <f t="shared" si="215"/>
        <v>0</v>
      </c>
      <c r="K1299" s="383"/>
      <c r="L1299" s="31"/>
      <c r="M1299" s="381">
        <f t="shared" si="216"/>
        <v>0</v>
      </c>
      <c r="N1299" s="383"/>
      <c r="O1299" s="32"/>
      <c r="P1299" s="381">
        <f t="shared" si="217"/>
        <v>0</v>
      </c>
      <c r="Q1299" s="383"/>
      <c r="R1299" s="32"/>
      <c r="S1299" s="25">
        <f t="shared" si="218"/>
        <v>0</v>
      </c>
      <c r="T1299" s="383"/>
      <c r="U1299" s="32"/>
      <c r="V1299" s="25">
        <f t="shared" si="221"/>
        <v>0</v>
      </c>
      <c r="W1299" s="32"/>
      <c r="X1299" s="32">
        <f t="shared" si="219"/>
        <v>0</v>
      </c>
      <c r="Y1299" s="381">
        <f t="shared" si="220"/>
        <v>0</v>
      </c>
    </row>
    <row r="1300" spans="2:25" x14ac:dyDescent="0.2">
      <c r="B1300" s="383"/>
      <c r="C1300" s="32"/>
      <c r="D1300" s="381">
        <f t="shared" si="213"/>
        <v>0</v>
      </c>
      <c r="E1300" s="383"/>
      <c r="F1300" s="8"/>
      <c r="G1300" s="381">
        <f t="shared" si="214"/>
        <v>0</v>
      </c>
      <c r="H1300" s="383"/>
      <c r="I1300" s="32"/>
      <c r="J1300" s="381">
        <f t="shared" si="215"/>
        <v>0</v>
      </c>
      <c r="K1300" s="383"/>
      <c r="L1300" s="31"/>
      <c r="M1300" s="381">
        <f t="shared" si="216"/>
        <v>0</v>
      </c>
      <c r="N1300" s="383"/>
      <c r="O1300" s="32"/>
      <c r="P1300" s="381">
        <f t="shared" si="217"/>
        <v>0</v>
      </c>
      <c r="Q1300" s="383"/>
      <c r="R1300" s="32"/>
      <c r="S1300" s="25">
        <f t="shared" si="218"/>
        <v>0</v>
      </c>
      <c r="T1300" s="383"/>
      <c r="U1300" s="32"/>
      <c r="V1300" s="25">
        <f t="shared" si="221"/>
        <v>0</v>
      </c>
      <c r="W1300" s="32"/>
      <c r="X1300" s="32">
        <f t="shared" si="219"/>
        <v>0</v>
      </c>
      <c r="Y1300" s="381">
        <f t="shared" si="220"/>
        <v>0</v>
      </c>
    </row>
    <row r="1301" spans="2:25" x14ac:dyDescent="0.2">
      <c r="B1301" s="383"/>
      <c r="C1301" s="32"/>
      <c r="D1301" s="381">
        <f t="shared" si="213"/>
        <v>0</v>
      </c>
      <c r="E1301" s="383"/>
      <c r="F1301" s="8"/>
      <c r="G1301" s="381">
        <f t="shared" si="214"/>
        <v>0</v>
      </c>
      <c r="H1301" s="383"/>
      <c r="I1301" s="32"/>
      <c r="J1301" s="381">
        <f t="shared" si="215"/>
        <v>0</v>
      </c>
      <c r="K1301" s="383"/>
      <c r="L1301" s="31"/>
      <c r="M1301" s="381">
        <f t="shared" si="216"/>
        <v>0</v>
      </c>
      <c r="N1301" s="383"/>
      <c r="O1301" s="32"/>
      <c r="P1301" s="381">
        <f t="shared" si="217"/>
        <v>0</v>
      </c>
      <c r="Q1301" s="383"/>
      <c r="R1301" s="32"/>
      <c r="S1301" s="25">
        <f t="shared" si="218"/>
        <v>0</v>
      </c>
      <c r="T1301" s="383"/>
      <c r="U1301" s="32"/>
      <c r="V1301" s="25">
        <f t="shared" si="221"/>
        <v>0</v>
      </c>
      <c r="W1301" s="32"/>
      <c r="X1301" s="32">
        <f t="shared" si="219"/>
        <v>0</v>
      </c>
      <c r="Y1301" s="381">
        <f t="shared" si="220"/>
        <v>0</v>
      </c>
    </row>
    <row r="1302" spans="2:25" x14ac:dyDescent="0.2">
      <c r="B1302" s="383"/>
      <c r="C1302" s="32"/>
      <c r="D1302" s="381">
        <f t="shared" si="213"/>
        <v>0</v>
      </c>
      <c r="E1302" s="383"/>
      <c r="F1302" s="8"/>
      <c r="G1302" s="381">
        <f t="shared" si="214"/>
        <v>0</v>
      </c>
      <c r="H1302" s="383"/>
      <c r="I1302" s="32"/>
      <c r="J1302" s="381">
        <f t="shared" si="215"/>
        <v>0</v>
      </c>
      <c r="K1302" s="383"/>
      <c r="L1302" s="31"/>
      <c r="M1302" s="381">
        <f t="shared" si="216"/>
        <v>0</v>
      </c>
      <c r="N1302" s="383"/>
      <c r="O1302" s="32"/>
      <c r="P1302" s="381">
        <f t="shared" si="217"/>
        <v>0</v>
      </c>
      <c r="Q1302" s="383"/>
      <c r="R1302" s="32"/>
      <c r="S1302" s="25">
        <f t="shared" si="218"/>
        <v>0</v>
      </c>
      <c r="T1302" s="383"/>
      <c r="U1302" s="32"/>
      <c r="V1302" s="25">
        <f t="shared" si="221"/>
        <v>0</v>
      </c>
      <c r="W1302" s="32"/>
      <c r="X1302" s="32">
        <f t="shared" si="219"/>
        <v>0</v>
      </c>
      <c r="Y1302" s="381">
        <f t="shared" si="220"/>
        <v>0</v>
      </c>
    </row>
    <row r="1303" spans="2:25" x14ac:dyDescent="0.2">
      <c r="B1303" s="383"/>
      <c r="C1303" s="32"/>
      <c r="D1303" s="381">
        <f t="shared" si="213"/>
        <v>0</v>
      </c>
      <c r="E1303" s="383"/>
      <c r="F1303" s="8"/>
      <c r="G1303" s="381">
        <f t="shared" si="214"/>
        <v>0</v>
      </c>
      <c r="H1303" s="383"/>
      <c r="I1303" s="32"/>
      <c r="J1303" s="381">
        <f t="shared" si="215"/>
        <v>0</v>
      </c>
      <c r="K1303" s="383"/>
      <c r="L1303" s="31"/>
      <c r="M1303" s="381">
        <f t="shared" si="216"/>
        <v>0</v>
      </c>
      <c r="N1303" s="383"/>
      <c r="O1303" s="32"/>
      <c r="P1303" s="381">
        <f t="shared" si="217"/>
        <v>0</v>
      </c>
      <c r="Q1303" s="383"/>
      <c r="R1303" s="32"/>
      <c r="S1303" s="25">
        <f t="shared" si="218"/>
        <v>0</v>
      </c>
      <c r="T1303" s="383"/>
      <c r="U1303" s="32"/>
      <c r="V1303" s="25">
        <f t="shared" si="221"/>
        <v>0</v>
      </c>
      <c r="W1303" s="32"/>
      <c r="X1303" s="32">
        <f t="shared" si="219"/>
        <v>0</v>
      </c>
      <c r="Y1303" s="381">
        <f t="shared" si="220"/>
        <v>0</v>
      </c>
    </row>
    <row r="1304" spans="2:25" x14ac:dyDescent="0.2">
      <c r="B1304" s="383"/>
      <c r="C1304" s="32"/>
      <c r="D1304" s="381">
        <f t="shared" si="213"/>
        <v>0</v>
      </c>
      <c r="E1304" s="383"/>
      <c r="F1304" s="8"/>
      <c r="G1304" s="381">
        <f t="shared" si="214"/>
        <v>0</v>
      </c>
      <c r="H1304" s="383"/>
      <c r="I1304" s="32"/>
      <c r="J1304" s="381">
        <f t="shared" si="215"/>
        <v>0</v>
      </c>
      <c r="K1304" s="383"/>
      <c r="L1304" s="31"/>
      <c r="M1304" s="381">
        <f t="shared" si="216"/>
        <v>0</v>
      </c>
      <c r="N1304" s="383"/>
      <c r="O1304" s="32"/>
      <c r="P1304" s="381">
        <f t="shared" si="217"/>
        <v>0</v>
      </c>
      <c r="Q1304" s="383"/>
      <c r="R1304" s="32"/>
      <c r="S1304" s="25">
        <f t="shared" si="218"/>
        <v>0</v>
      </c>
      <c r="T1304" s="383"/>
      <c r="U1304" s="32"/>
      <c r="V1304" s="25">
        <f t="shared" si="221"/>
        <v>0</v>
      </c>
      <c r="W1304" s="32"/>
      <c r="X1304" s="32">
        <f t="shared" si="219"/>
        <v>0</v>
      </c>
      <c r="Y1304" s="381">
        <f t="shared" si="220"/>
        <v>0</v>
      </c>
    </row>
    <row r="1305" spans="2:25" x14ac:dyDescent="0.2">
      <c r="B1305" s="383"/>
      <c r="C1305" s="32"/>
      <c r="D1305" s="381">
        <f t="shared" si="213"/>
        <v>0</v>
      </c>
      <c r="E1305" s="383"/>
      <c r="F1305" s="8"/>
      <c r="G1305" s="381">
        <f t="shared" si="214"/>
        <v>0</v>
      </c>
      <c r="H1305" s="383"/>
      <c r="I1305" s="32"/>
      <c r="J1305" s="381">
        <f t="shared" si="215"/>
        <v>0</v>
      </c>
      <c r="K1305" s="383"/>
      <c r="L1305" s="31"/>
      <c r="M1305" s="381">
        <f t="shared" si="216"/>
        <v>0</v>
      </c>
      <c r="N1305" s="383"/>
      <c r="O1305" s="32"/>
      <c r="P1305" s="381">
        <f t="shared" si="217"/>
        <v>0</v>
      </c>
      <c r="Q1305" s="383"/>
      <c r="R1305" s="32"/>
      <c r="S1305" s="25">
        <f t="shared" si="218"/>
        <v>0</v>
      </c>
      <c r="T1305" s="383"/>
      <c r="U1305" s="32"/>
      <c r="V1305" s="25">
        <f t="shared" si="221"/>
        <v>0</v>
      </c>
      <c r="W1305" s="32"/>
      <c r="X1305" s="32">
        <f t="shared" si="219"/>
        <v>0</v>
      </c>
      <c r="Y1305" s="381">
        <f t="shared" si="220"/>
        <v>0</v>
      </c>
    </row>
    <row r="1306" spans="2:25" x14ac:dyDescent="0.2">
      <c r="B1306" s="383"/>
      <c r="C1306" s="32"/>
      <c r="D1306" s="381">
        <f t="shared" si="213"/>
        <v>0</v>
      </c>
      <c r="E1306" s="383"/>
      <c r="F1306" s="8"/>
      <c r="G1306" s="381">
        <f t="shared" si="214"/>
        <v>0</v>
      </c>
      <c r="H1306" s="383"/>
      <c r="I1306" s="32"/>
      <c r="J1306" s="381">
        <f t="shared" si="215"/>
        <v>0</v>
      </c>
      <c r="K1306" s="383"/>
      <c r="L1306" s="31"/>
      <c r="M1306" s="381">
        <f t="shared" si="216"/>
        <v>0</v>
      </c>
      <c r="N1306" s="383"/>
      <c r="O1306" s="32"/>
      <c r="P1306" s="381">
        <f t="shared" si="217"/>
        <v>0</v>
      </c>
      <c r="Q1306" s="383"/>
      <c r="R1306" s="32"/>
      <c r="S1306" s="25">
        <f t="shared" si="218"/>
        <v>0</v>
      </c>
      <c r="T1306" s="383"/>
      <c r="U1306" s="32"/>
      <c r="V1306" s="25">
        <f t="shared" si="221"/>
        <v>0</v>
      </c>
      <c r="W1306" s="32"/>
      <c r="X1306" s="32">
        <f t="shared" si="219"/>
        <v>0</v>
      </c>
      <c r="Y1306" s="381">
        <f t="shared" si="220"/>
        <v>0</v>
      </c>
    </row>
    <row r="1307" spans="2:25" x14ac:dyDescent="0.2">
      <c r="B1307" s="383"/>
      <c r="C1307" s="32"/>
      <c r="D1307" s="381">
        <f t="shared" si="213"/>
        <v>0</v>
      </c>
      <c r="E1307" s="383"/>
      <c r="F1307" s="8"/>
      <c r="G1307" s="381">
        <f t="shared" si="214"/>
        <v>0</v>
      </c>
      <c r="H1307" s="383"/>
      <c r="I1307" s="32"/>
      <c r="J1307" s="381">
        <f t="shared" si="215"/>
        <v>0</v>
      </c>
      <c r="K1307" s="383"/>
      <c r="L1307" s="31"/>
      <c r="M1307" s="381">
        <f t="shared" si="216"/>
        <v>0</v>
      </c>
      <c r="N1307" s="383"/>
      <c r="O1307" s="32"/>
      <c r="P1307" s="381">
        <f t="shared" si="217"/>
        <v>0</v>
      </c>
      <c r="Q1307" s="383"/>
      <c r="R1307" s="32"/>
      <c r="S1307" s="25">
        <f t="shared" si="218"/>
        <v>0</v>
      </c>
      <c r="T1307" s="383"/>
      <c r="U1307" s="32"/>
      <c r="V1307" s="25">
        <f t="shared" si="221"/>
        <v>0</v>
      </c>
      <c r="W1307" s="32"/>
      <c r="X1307" s="32">
        <f t="shared" si="219"/>
        <v>0</v>
      </c>
      <c r="Y1307" s="381">
        <f t="shared" si="220"/>
        <v>0</v>
      </c>
    </row>
    <row r="1308" spans="2:25" x14ac:dyDescent="0.2">
      <c r="B1308" s="383"/>
      <c r="C1308" s="32"/>
      <c r="D1308" s="381">
        <f t="shared" si="213"/>
        <v>0</v>
      </c>
      <c r="E1308" s="383"/>
      <c r="F1308" s="8"/>
      <c r="G1308" s="381">
        <f t="shared" si="214"/>
        <v>0</v>
      </c>
      <c r="H1308" s="383"/>
      <c r="I1308" s="32"/>
      <c r="J1308" s="381">
        <f t="shared" si="215"/>
        <v>0</v>
      </c>
      <c r="K1308" s="383"/>
      <c r="L1308" s="31"/>
      <c r="M1308" s="381">
        <f t="shared" si="216"/>
        <v>0</v>
      </c>
      <c r="N1308" s="383"/>
      <c r="O1308" s="32"/>
      <c r="P1308" s="381">
        <f t="shared" si="217"/>
        <v>0</v>
      </c>
      <c r="Q1308" s="383"/>
      <c r="R1308" s="32"/>
      <c r="S1308" s="25">
        <f t="shared" si="218"/>
        <v>0</v>
      </c>
      <c r="T1308" s="383"/>
      <c r="U1308" s="32"/>
      <c r="V1308" s="25">
        <f t="shared" si="221"/>
        <v>0</v>
      </c>
      <c r="W1308" s="32"/>
      <c r="X1308" s="32">
        <f t="shared" si="219"/>
        <v>0</v>
      </c>
      <c r="Y1308" s="381">
        <f t="shared" si="220"/>
        <v>0</v>
      </c>
    </row>
    <row r="1309" spans="2:25" x14ac:dyDescent="0.2">
      <c r="B1309" s="383"/>
      <c r="C1309" s="32"/>
      <c r="D1309" s="381">
        <f t="shared" si="213"/>
        <v>0</v>
      </c>
      <c r="E1309" s="383"/>
      <c r="F1309" s="8"/>
      <c r="G1309" s="381">
        <f t="shared" si="214"/>
        <v>0</v>
      </c>
      <c r="H1309" s="383"/>
      <c r="I1309" s="32"/>
      <c r="J1309" s="381">
        <f t="shared" si="215"/>
        <v>0</v>
      </c>
      <c r="K1309" s="383"/>
      <c r="L1309" s="31"/>
      <c r="M1309" s="381">
        <f t="shared" si="216"/>
        <v>0</v>
      </c>
      <c r="N1309" s="383"/>
      <c r="O1309" s="32"/>
      <c r="P1309" s="381">
        <f t="shared" si="217"/>
        <v>0</v>
      </c>
      <c r="Q1309" s="383"/>
      <c r="R1309" s="32"/>
      <c r="S1309" s="25">
        <f t="shared" si="218"/>
        <v>0</v>
      </c>
      <c r="T1309" s="383"/>
      <c r="U1309" s="32"/>
      <c r="V1309" s="25">
        <f t="shared" si="221"/>
        <v>0</v>
      </c>
      <c r="W1309" s="32"/>
      <c r="X1309" s="32">
        <f t="shared" si="219"/>
        <v>0</v>
      </c>
      <c r="Y1309" s="381">
        <f t="shared" si="220"/>
        <v>0</v>
      </c>
    </row>
    <row r="1310" spans="2:25" x14ac:dyDescent="0.2">
      <c r="B1310" s="383"/>
      <c r="C1310" s="32"/>
      <c r="D1310" s="381">
        <f t="shared" si="213"/>
        <v>0</v>
      </c>
      <c r="E1310" s="383"/>
      <c r="F1310" s="8"/>
      <c r="G1310" s="381">
        <f t="shared" si="214"/>
        <v>0</v>
      </c>
      <c r="H1310" s="383"/>
      <c r="I1310" s="32"/>
      <c r="J1310" s="381">
        <f t="shared" si="215"/>
        <v>0</v>
      </c>
      <c r="K1310" s="383"/>
      <c r="L1310" s="31"/>
      <c r="M1310" s="381">
        <f t="shared" si="216"/>
        <v>0</v>
      </c>
      <c r="N1310" s="383"/>
      <c r="O1310" s="32"/>
      <c r="P1310" s="381">
        <f t="shared" si="217"/>
        <v>0</v>
      </c>
      <c r="Q1310" s="383"/>
      <c r="R1310" s="32"/>
      <c r="S1310" s="25">
        <f t="shared" si="218"/>
        <v>0</v>
      </c>
      <c r="T1310" s="383"/>
      <c r="U1310" s="32"/>
      <c r="V1310" s="25">
        <f t="shared" si="221"/>
        <v>0</v>
      </c>
      <c r="W1310" s="32"/>
      <c r="X1310" s="32">
        <f t="shared" si="219"/>
        <v>0</v>
      </c>
      <c r="Y1310" s="381">
        <f t="shared" si="220"/>
        <v>0</v>
      </c>
    </row>
    <row r="1311" spans="2:25" x14ac:dyDescent="0.2">
      <c r="B1311" s="383"/>
      <c r="C1311" s="32"/>
      <c r="D1311" s="381">
        <f t="shared" si="213"/>
        <v>0</v>
      </c>
      <c r="E1311" s="383"/>
      <c r="F1311" s="8"/>
      <c r="G1311" s="381">
        <f t="shared" si="214"/>
        <v>0</v>
      </c>
      <c r="H1311" s="383"/>
      <c r="I1311" s="32"/>
      <c r="J1311" s="381">
        <f t="shared" si="215"/>
        <v>0</v>
      </c>
      <c r="K1311" s="383"/>
      <c r="L1311" s="31"/>
      <c r="M1311" s="381">
        <f t="shared" si="216"/>
        <v>0</v>
      </c>
      <c r="N1311" s="383"/>
      <c r="O1311" s="32"/>
      <c r="P1311" s="381">
        <f t="shared" si="217"/>
        <v>0</v>
      </c>
      <c r="Q1311" s="383"/>
      <c r="R1311" s="32"/>
      <c r="S1311" s="25">
        <f t="shared" si="218"/>
        <v>0</v>
      </c>
      <c r="T1311" s="383"/>
      <c r="U1311" s="32"/>
      <c r="V1311" s="25">
        <f t="shared" si="221"/>
        <v>0</v>
      </c>
      <c r="W1311" s="32"/>
      <c r="X1311" s="32">
        <f t="shared" si="219"/>
        <v>0</v>
      </c>
      <c r="Y1311" s="381">
        <f t="shared" si="220"/>
        <v>0</v>
      </c>
    </row>
    <row r="1312" spans="2:25" x14ac:dyDescent="0.2">
      <c r="B1312" s="383"/>
      <c r="C1312" s="32"/>
      <c r="D1312" s="381">
        <f t="shared" si="213"/>
        <v>0</v>
      </c>
      <c r="E1312" s="383"/>
      <c r="F1312" s="8"/>
      <c r="G1312" s="381">
        <f t="shared" si="214"/>
        <v>0</v>
      </c>
      <c r="H1312" s="383"/>
      <c r="I1312" s="32"/>
      <c r="J1312" s="381">
        <f t="shared" si="215"/>
        <v>0</v>
      </c>
      <c r="K1312" s="383"/>
      <c r="L1312" s="31"/>
      <c r="M1312" s="381">
        <f t="shared" si="216"/>
        <v>0</v>
      </c>
      <c r="N1312" s="383"/>
      <c r="O1312" s="32"/>
      <c r="P1312" s="381">
        <f t="shared" si="217"/>
        <v>0</v>
      </c>
      <c r="Q1312" s="383"/>
      <c r="R1312" s="32"/>
      <c r="S1312" s="25">
        <f t="shared" si="218"/>
        <v>0</v>
      </c>
      <c r="T1312" s="383"/>
      <c r="U1312" s="32"/>
      <c r="V1312" s="25">
        <f t="shared" si="221"/>
        <v>0</v>
      </c>
      <c r="W1312" s="32"/>
      <c r="X1312" s="32">
        <f t="shared" si="219"/>
        <v>0</v>
      </c>
      <c r="Y1312" s="381">
        <f t="shared" si="220"/>
        <v>0</v>
      </c>
    </row>
    <row r="1313" spans="2:25" x14ac:dyDescent="0.2">
      <c r="B1313" s="383"/>
      <c r="C1313" s="32"/>
      <c r="D1313" s="381">
        <f t="shared" si="213"/>
        <v>0</v>
      </c>
      <c r="E1313" s="383"/>
      <c r="F1313" s="8"/>
      <c r="G1313" s="381">
        <f t="shared" si="214"/>
        <v>0</v>
      </c>
      <c r="H1313" s="383"/>
      <c r="I1313" s="32"/>
      <c r="J1313" s="381">
        <f t="shared" si="215"/>
        <v>0</v>
      </c>
      <c r="K1313" s="383"/>
      <c r="L1313" s="31"/>
      <c r="M1313" s="381">
        <f t="shared" si="216"/>
        <v>0</v>
      </c>
      <c r="N1313" s="383"/>
      <c r="O1313" s="32"/>
      <c r="P1313" s="381">
        <f t="shared" si="217"/>
        <v>0</v>
      </c>
      <c r="Q1313" s="383"/>
      <c r="R1313" s="32"/>
      <c r="S1313" s="25">
        <f t="shared" si="218"/>
        <v>0</v>
      </c>
      <c r="T1313" s="383"/>
      <c r="U1313" s="32"/>
      <c r="V1313" s="25">
        <f t="shared" si="221"/>
        <v>0</v>
      </c>
      <c r="W1313" s="32"/>
      <c r="X1313" s="32">
        <f t="shared" si="219"/>
        <v>0</v>
      </c>
      <c r="Y1313" s="381">
        <f t="shared" si="220"/>
        <v>0</v>
      </c>
    </row>
    <row r="1314" spans="2:25" x14ac:dyDescent="0.2">
      <c r="B1314" s="383"/>
      <c r="C1314" s="32"/>
      <c r="D1314" s="381">
        <f t="shared" si="213"/>
        <v>0</v>
      </c>
      <c r="E1314" s="383"/>
      <c r="F1314" s="8"/>
      <c r="G1314" s="381">
        <f t="shared" si="214"/>
        <v>0</v>
      </c>
      <c r="H1314" s="383"/>
      <c r="I1314" s="32"/>
      <c r="J1314" s="381">
        <f t="shared" si="215"/>
        <v>0</v>
      </c>
      <c r="K1314" s="383"/>
      <c r="L1314" s="31"/>
      <c r="M1314" s="381">
        <f t="shared" si="216"/>
        <v>0</v>
      </c>
      <c r="N1314" s="383"/>
      <c r="O1314" s="32"/>
      <c r="P1314" s="381">
        <f t="shared" si="217"/>
        <v>0</v>
      </c>
      <c r="Q1314" s="383"/>
      <c r="R1314" s="32"/>
      <c r="S1314" s="25">
        <f t="shared" si="218"/>
        <v>0</v>
      </c>
      <c r="T1314" s="383"/>
      <c r="U1314" s="32"/>
      <c r="V1314" s="25">
        <f t="shared" si="221"/>
        <v>0</v>
      </c>
      <c r="W1314" s="32"/>
      <c r="X1314" s="32">
        <f t="shared" si="219"/>
        <v>0</v>
      </c>
      <c r="Y1314" s="381">
        <f t="shared" si="220"/>
        <v>0</v>
      </c>
    </row>
    <row r="1315" spans="2:25" x14ac:dyDescent="0.2">
      <c r="B1315" s="383"/>
      <c r="C1315" s="32"/>
      <c r="D1315" s="381">
        <f t="shared" si="213"/>
        <v>0</v>
      </c>
      <c r="E1315" s="383"/>
      <c r="F1315" s="8"/>
      <c r="G1315" s="381">
        <f t="shared" si="214"/>
        <v>0</v>
      </c>
      <c r="H1315" s="383"/>
      <c r="I1315" s="32"/>
      <c r="J1315" s="381">
        <f t="shared" si="215"/>
        <v>0</v>
      </c>
      <c r="K1315" s="383"/>
      <c r="L1315" s="31"/>
      <c r="M1315" s="381">
        <f t="shared" si="216"/>
        <v>0</v>
      </c>
      <c r="N1315" s="383"/>
      <c r="O1315" s="32"/>
      <c r="P1315" s="381">
        <f t="shared" si="217"/>
        <v>0</v>
      </c>
      <c r="Q1315" s="383"/>
      <c r="R1315" s="32"/>
      <c r="S1315" s="25">
        <f t="shared" si="218"/>
        <v>0</v>
      </c>
      <c r="T1315" s="383"/>
      <c r="U1315" s="32"/>
      <c r="V1315" s="25">
        <f t="shared" si="221"/>
        <v>0</v>
      </c>
      <c r="W1315" s="32"/>
      <c r="X1315" s="32">
        <f t="shared" si="219"/>
        <v>0</v>
      </c>
      <c r="Y1315" s="381">
        <f t="shared" si="220"/>
        <v>0</v>
      </c>
    </row>
    <row r="1316" spans="2:25" x14ac:dyDescent="0.2">
      <c r="B1316" s="383"/>
      <c r="C1316" s="32"/>
      <c r="D1316" s="381">
        <f t="shared" si="213"/>
        <v>0</v>
      </c>
      <c r="E1316" s="383"/>
      <c r="F1316" s="8"/>
      <c r="G1316" s="381">
        <f t="shared" si="214"/>
        <v>0</v>
      </c>
      <c r="H1316" s="383"/>
      <c r="I1316" s="32"/>
      <c r="J1316" s="381">
        <f t="shared" si="215"/>
        <v>0</v>
      </c>
      <c r="K1316" s="383"/>
      <c r="L1316" s="31"/>
      <c r="M1316" s="381">
        <f t="shared" si="216"/>
        <v>0</v>
      </c>
      <c r="N1316" s="383"/>
      <c r="O1316" s="32"/>
      <c r="P1316" s="381">
        <f t="shared" si="217"/>
        <v>0</v>
      </c>
      <c r="Q1316" s="383"/>
      <c r="R1316" s="32"/>
      <c r="S1316" s="25">
        <f t="shared" si="218"/>
        <v>0</v>
      </c>
      <c r="T1316" s="383"/>
      <c r="U1316" s="32"/>
      <c r="V1316" s="25">
        <f t="shared" si="221"/>
        <v>0</v>
      </c>
      <c r="W1316" s="32"/>
      <c r="X1316" s="32">
        <f t="shared" si="219"/>
        <v>0</v>
      </c>
      <c r="Y1316" s="381">
        <f t="shared" si="220"/>
        <v>0</v>
      </c>
    </row>
    <row r="1317" spans="2:25" x14ac:dyDescent="0.2">
      <c r="B1317" s="383"/>
      <c r="C1317" s="32"/>
      <c r="D1317" s="381">
        <f t="shared" si="213"/>
        <v>0</v>
      </c>
      <c r="E1317" s="383"/>
      <c r="F1317" s="8"/>
      <c r="G1317" s="381">
        <f t="shared" si="214"/>
        <v>0</v>
      </c>
      <c r="H1317" s="383"/>
      <c r="I1317" s="32"/>
      <c r="J1317" s="381">
        <f t="shared" si="215"/>
        <v>0</v>
      </c>
      <c r="K1317" s="383"/>
      <c r="L1317" s="31"/>
      <c r="M1317" s="381">
        <f t="shared" si="216"/>
        <v>0</v>
      </c>
      <c r="N1317" s="383"/>
      <c r="O1317" s="32"/>
      <c r="P1317" s="381">
        <f t="shared" si="217"/>
        <v>0</v>
      </c>
      <c r="Q1317" s="383"/>
      <c r="R1317" s="32"/>
      <c r="S1317" s="25">
        <f t="shared" si="218"/>
        <v>0</v>
      </c>
      <c r="T1317" s="383"/>
      <c r="U1317" s="32"/>
      <c r="V1317" s="25">
        <f t="shared" si="221"/>
        <v>0</v>
      </c>
      <c r="W1317" s="32"/>
      <c r="X1317" s="32">
        <f t="shared" si="219"/>
        <v>0</v>
      </c>
      <c r="Y1317" s="381">
        <f t="shared" si="220"/>
        <v>0</v>
      </c>
    </row>
    <row r="1318" spans="2:25" x14ac:dyDescent="0.2">
      <c r="B1318" s="383"/>
      <c r="C1318" s="32"/>
      <c r="D1318" s="381">
        <f t="shared" si="213"/>
        <v>0</v>
      </c>
      <c r="E1318" s="383"/>
      <c r="F1318" s="8"/>
      <c r="G1318" s="381">
        <f t="shared" si="214"/>
        <v>0</v>
      </c>
      <c r="H1318" s="383"/>
      <c r="I1318" s="32"/>
      <c r="J1318" s="381">
        <f t="shared" si="215"/>
        <v>0</v>
      </c>
      <c r="K1318" s="383"/>
      <c r="L1318" s="31"/>
      <c r="M1318" s="381">
        <f t="shared" si="216"/>
        <v>0</v>
      </c>
      <c r="N1318" s="383"/>
      <c r="O1318" s="32"/>
      <c r="P1318" s="381">
        <f t="shared" si="217"/>
        <v>0</v>
      </c>
      <c r="Q1318" s="383"/>
      <c r="R1318" s="32"/>
      <c r="S1318" s="25">
        <f t="shared" si="218"/>
        <v>0</v>
      </c>
      <c r="T1318" s="383"/>
      <c r="U1318" s="32"/>
      <c r="V1318" s="25">
        <f t="shared" si="221"/>
        <v>0</v>
      </c>
      <c r="W1318" s="32"/>
      <c r="X1318" s="32">
        <f t="shared" si="219"/>
        <v>0</v>
      </c>
      <c r="Y1318" s="381">
        <f t="shared" si="220"/>
        <v>0</v>
      </c>
    </row>
    <row r="1319" spans="2:25" x14ac:dyDescent="0.2">
      <c r="B1319" s="383"/>
      <c r="C1319" s="32"/>
      <c r="D1319" s="381">
        <f t="shared" si="213"/>
        <v>0</v>
      </c>
      <c r="E1319" s="383"/>
      <c r="F1319" s="8"/>
      <c r="G1319" s="381">
        <f t="shared" si="214"/>
        <v>0</v>
      </c>
      <c r="H1319" s="383"/>
      <c r="I1319" s="32"/>
      <c r="J1319" s="381">
        <f t="shared" si="215"/>
        <v>0</v>
      </c>
      <c r="K1319" s="383"/>
      <c r="L1319" s="31"/>
      <c r="M1319" s="381">
        <f t="shared" si="216"/>
        <v>0</v>
      </c>
      <c r="N1319" s="383"/>
      <c r="O1319" s="32"/>
      <c r="P1319" s="381">
        <f t="shared" si="217"/>
        <v>0</v>
      </c>
      <c r="Q1319" s="383"/>
      <c r="R1319" s="32"/>
      <c r="S1319" s="25">
        <f t="shared" si="218"/>
        <v>0</v>
      </c>
      <c r="T1319" s="383"/>
      <c r="U1319" s="32"/>
      <c r="V1319" s="25">
        <f t="shared" si="221"/>
        <v>0</v>
      </c>
      <c r="W1319" s="32"/>
      <c r="X1319" s="32">
        <f t="shared" si="219"/>
        <v>0</v>
      </c>
      <c r="Y1319" s="381">
        <f t="shared" si="220"/>
        <v>0</v>
      </c>
    </row>
    <row r="1320" spans="2:25" x14ac:dyDescent="0.2">
      <c r="B1320" s="383"/>
      <c r="C1320" s="32"/>
      <c r="D1320" s="381">
        <f t="shared" si="213"/>
        <v>0</v>
      </c>
      <c r="E1320" s="383"/>
      <c r="F1320" s="8"/>
      <c r="G1320" s="381">
        <f t="shared" si="214"/>
        <v>0</v>
      </c>
      <c r="H1320" s="383"/>
      <c r="I1320" s="32"/>
      <c r="J1320" s="381">
        <f t="shared" si="215"/>
        <v>0</v>
      </c>
      <c r="K1320" s="383"/>
      <c r="L1320" s="31"/>
      <c r="M1320" s="381">
        <f t="shared" si="216"/>
        <v>0</v>
      </c>
      <c r="N1320" s="383"/>
      <c r="O1320" s="32"/>
      <c r="P1320" s="381">
        <f t="shared" si="217"/>
        <v>0</v>
      </c>
      <c r="Q1320" s="383"/>
      <c r="R1320" s="32"/>
      <c r="S1320" s="25">
        <f t="shared" si="218"/>
        <v>0</v>
      </c>
      <c r="T1320" s="383"/>
      <c r="U1320" s="32"/>
      <c r="V1320" s="25">
        <f t="shared" si="221"/>
        <v>0</v>
      </c>
      <c r="W1320" s="32"/>
      <c r="X1320" s="32">
        <f t="shared" si="219"/>
        <v>0</v>
      </c>
      <c r="Y1320" s="381">
        <f t="shared" si="220"/>
        <v>0</v>
      </c>
    </row>
    <row r="1321" spans="2:25" x14ac:dyDescent="0.2">
      <c r="B1321" s="383"/>
      <c r="C1321" s="32"/>
      <c r="D1321" s="381">
        <f t="shared" si="213"/>
        <v>0</v>
      </c>
      <c r="E1321" s="383"/>
      <c r="F1321" s="8"/>
      <c r="G1321" s="381">
        <f t="shared" si="214"/>
        <v>0</v>
      </c>
      <c r="H1321" s="383"/>
      <c r="I1321" s="32"/>
      <c r="J1321" s="381">
        <f t="shared" si="215"/>
        <v>0</v>
      </c>
      <c r="K1321" s="383"/>
      <c r="L1321" s="31"/>
      <c r="M1321" s="381">
        <f t="shared" si="216"/>
        <v>0</v>
      </c>
      <c r="N1321" s="383"/>
      <c r="O1321" s="32"/>
      <c r="P1321" s="381">
        <f t="shared" si="217"/>
        <v>0</v>
      </c>
      <c r="Q1321" s="383"/>
      <c r="R1321" s="32"/>
      <c r="S1321" s="25">
        <f t="shared" si="218"/>
        <v>0</v>
      </c>
      <c r="T1321" s="383"/>
      <c r="U1321" s="32"/>
      <c r="V1321" s="25">
        <f t="shared" si="221"/>
        <v>0</v>
      </c>
      <c r="W1321" s="32"/>
      <c r="X1321" s="32">
        <f t="shared" si="219"/>
        <v>0</v>
      </c>
      <c r="Y1321" s="381">
        <f t="shared" si="220"/>
        <v>0</v>
      </c>
    </row>
    <row r="1322" spans="2:25" x14ac:dyDescent="0.2">
      <c r="B1322" s="383"/>
      <c r="C1322" s="32"/>
      <c r="D1322" s="381">
        <f t="shared" si="213"/>
        <v>0</v>
      </c>
      <c r="E1322" s="383"/>
      <c r="F1322" s="8"/>
      <c r="G1322" s="381">
        <f t="shared" si="214"/>
        <v>0</v>
      </c>
      <c r="H1322" s="383"/>
      <c r="I1322" s="32"/>
      <c r="J1322" s="381">
        <f t="shared" si="215"/>
        <v>0</v>
      </c>
      <c r="K1322" s="383"/>
      <c r="L1322" s="31"/>
      <c r="M1322" s="381">
        <f t="shared" si="216"/>
        <v>0</v>
      </c>
      <c r="N1322" s="383"/>
      <c r="O1322" s="32"/>
      <c r="P1322" s="381">
        <f t="shared" si="217"/>
        <v>0</v>
      </c>
      <c r="Q1322" s="383"/>
      <c r="R1322" s="32"/>
      <c r="S1322" s="25">
        <f t="shared" si="218"/>
        <v>0</v>
      </c>
      <c r="T1322" s="383"/>
      <c r="U1322" s="32"/>
      <c r="V1322" s="25">
        <f t="shared" si="221"/>
        <v>0</v>
      </c>
      <c r="W1322" s="32"/>
      <c r="X1322" s="32">
        <f t="shared" si="219"/>
        <v>0</v>
      </c>
      <c r="Y1322" s="381">
        <f t="shared" si="220"/>
        <v>0</v>
      </c>
    </row>
    <row r="1323" spans="2:25" x14ac:dyDescent="0.2">
      <c r="B1323" s="383"/>
      <c r="C1323" s="32"/>
      <c r="D1323" s="381">
        <f t="shared" si="213"/>
        <v>0</v>
      </c>
      <c r="E1323" s="383"/>
      <c r="F1323" s="8"/>
      <c r="G1323" s="381">
        <f t="shared" si="214"/>
        <v>0</v>
      </c>
      <c r="H1323" s="383"/>
      <c r="I1323" s="32"/>
      <c r="J1323" s="381">
        <f t="shared" si="215"/>
        <v>0</v>
      </c>
      <c r="K1323" s="383"/>
      <c r="L1323" s="31"/>
      <c r="M1323" s="381">
        <f t="shared" si="216"/>
        <v>0</v>
      </c>
      <c r="N1323" s="383"/>
      <c r="O1323" s="32"/>
      <c r="P1323" s="381">
        <f t="shared" si="217"/>
        <v>0</v>
      </c>
      <c r="Q1323" s="383"/>
      <c r="R1323" s="32"/>
      <c r="S1323" s="25">
        <f t="shared" si="218"/>
        <v>0</v>
      </c>
      <c r="T1323" s="383"/>
      <c r="U1323" s="32"/>
      <c r="V1323" s="25">
        <f t="shared" si="221"/>
        <v>0</v>
      </c>
      <c r="W1323" s="32"/>
      <c r="X1323" s="32">
        <f t="shared" si="219"/>
        <v>0</v>
      </c>
      <c r="Y1323" s="381">
        <f t="shared" si="220"/>
        <v>0</v>
      </c>
    </row>
    <row r="1324" spans="2:25" x14ac:dyDescent="0.2">
      <c r="B1324" s="383"/>
      <c r="C1324" s="32"/>
      <c r="D1324" s="381">
        <f t="shared" si="213"/>
        <v>0</v>
      </c>
      <c r="E1324" s="383"/>
      <c r="F1324" s="8"/>
      <c r="G1324" s="381">
        <f t="shared" si="214"/>
        <v>0</v>
      </c>
      <c r="H1324" s="383"/>
      <c r="I1324" s="32"/>
      <c r="J1324" s="381">
        <f t="shared" si="215"/>
        <v>0</v>
      </c>
      <c r="K1324" s="383"/>
      <c r="L1324" s="31"/>
      <c r="M1324" s="381">
        <f t="shared" si="216"/>
        <v>0</v>
      </c>
      <c r="N1324" s="383"/>
      <c r="O1324" s="32"/>
      <c r="P1324" s="381">
        <f t="shared" si="217"/>
        <v>0</v>
      </c>
      <c r="Q1324" s="383"/>
      <c r="R1324" s="32"/>
      <c r="S1324" s="25">
        <f t="shared" si="218"/>
        <v>0</v>
      </c>
      <c r="T1324" s="383"/>
      <c r="U1324" s="32"/>
      <c r="V1324" s="25">
        <f t="shared" si="221"/>
        <v>0</v>
      </c>
      <c r="W1324" s="32"/>
      <c r="X1324" s="32">
        <f t="shared" si="219"/>
        <v>0</v>
      </c>
      <c r="Y1324" s="381">
        <f t="shared" si="220"/>
        <v>0</v>
      </c>
    </row>
    <row r="1325" spans="2:25" x14ac:dyDescent="0.2">
      <c r="B1325" s="383"/>
      <c r="C1325" s="32"/>
      <c r="D1325" s="381">
        <f t="shared" si="213"/>
        <v>0</v>
      </c>
      <c r="E1325" s="383"/>
      <c r="F1325" s="8"/>
      <c r="G1325" s="381">
        <f t="shared" si="214"/>
        <v>0</v>
      </c>
      <c r="H1325" s="383"/>
      <c r="I1325" s="32"/>
      <c r="J1325" s="381">
        <f t="shared" si="215"/>
        <v>0</v>
      </c>
      <c r="K1325" s="383"/>
      <c r="L1325" s="31"/>
      <c r="M1325" s="381">
        <f t="shared" si="216"/>
        <v>0</v>
      </c>
      <c r="N1325" s="383"/>
      <c r="O1325" s="32"/>
      <c r="P1325" s="381">
        <f t="shared" si="217"/>
        <v>0</v>
      </c>
      <c r="Q1325" s="383"/>
      <c r="R1325" s="32"/>
      <c r="S1325" s="25">
        <f t="shared" si="218"/>
        <v>0</v>
      </c>
      <c r="T1325" s="383"/>
      <c r="U1325" s="32"/>
      <c r="V1325" s="25">
        <f t="shared" si="221"/>
        <v>0</v>
      </c>
      <c r="W1325" s="32"/>
      <c r="X1325" s="32">
        <f t="shared" si="219"/>
        <v>0</v>
      </c>
      <c r="Y1325" s="381">
        <f t="shared" si="220"/>
        <v>0</v>
      </c>
    </row>
    <row r="1326" spans="2:25" x14ac:dyDescent="0.2">
      <c r="B1326" s="383"/>
      <c r="C1326" s="32"/>
      <c r="D1326" s="381">
        <f t="shared" si="213"/>
        <v>0</v>
      </c>
      <c r="E1326" s="383"/>
      <c r="F1326" s="8"/>
      <c r="G1326" s="381">
        <f t="shared" si="214"/>
        <v>0</v>
      </c>
      <c r="H1326" s="383"/>
      <c r="I1326" s="32"/>
      <c r="J1326" s="381">
        <f t="shared" si="215"/>
        <v>0</v>
      </c>
      <c r="K1326" s="383"/>
      <c r="L1326" s="31"/>
      <c r="M1326" s="381">
        <f t="shared" si="216"/>
        <v>0</v>
      </c>
      <c r="N1326" s="383"/>
      <c r="O1326" s="32"/>
      <c r="P1326" s="381">
        <f t="shared" si="217"/>
        <v>0</v>
      </c>
      <c r="Q1326" s="383"/>
      <c r="R1326" s="32"/>
      <c r="S1326" s="25">
        <f t="shared" si="218"/>
        <v>0</v>
      </c>
      <c r="T1326" s="383"/>
      <c r="U1326" s="32"/>
      <c r="V1326" s="25">
        <f t="shared" si="221"/>
        <v>0</v>
      </c>
      <c r="W1326" s="32"/>
      <c r="X1326" s="32">
        <f t="shared" si="219"/>
        <v>0</v>
      </c>
      <c r="Y1326" s="381">
        <f t="shared" si="220"/>
        <v>0</v>
      </c>
    </row>
    <row r="1327" spans="2:25" x14ac:dyDescent="0.2">
      <c r="B1327" s="383"/>
      <c r="C1327" s="32"/>
      <c r="D1327" s="381">
        <f t="shared" si="213"/>
        <v>0</v>
      </c>
      <c r="E1327" s="383"/>
      <c r="F1327" s="8"/>
      <c r="G1327" s="381">
        <f t="shared" si="214"/>
        <v>0</v>
      </c>
      <c r="H1327" s="383"/>
      <c r="I1327" s="32"/>
      <c r="J1327" s="381">
        <f t="shared" si="215"/>
        <v>0</v>
      </c>
      <c r="K1327" s="383"/>
      <c r="L1327" s="31"/>
      <c r="M1327" s="381">
        <f t="shared" si="216"/>
        <v>0</v>
      </c>
      <c r="N1327" s="383"/>
      <c r="O1327" s="32"/>
      <c r="P1327" s="381">
        <f t="shared" si="217"/>
        <v>0</v>
      </c>
      <c r="Q1327" s="383"/>
      <c r="R1327" s="32"/>
      <c r="S1327" s="25">
        <f t="shared" si="218"/>
        <v>0</v>
      </c>
      <c r="T1327" s="383"/>
      <c r="U1327" s="32"/>
      <c r="V1327" s="25">
        <f t="shared" si="221"/>
        <v>0</v>
      </c>
      <c r="W1327" s="32"/>
      <c r="X1327" s="32">
        <f t="shared" si="219"/>
        <v>0</v>
      </c>
      <c r="Y1327" s="381">
        <f t="shared" si="220"/>
        <v>0</v>
      </c>
    </row>
    <row r="1328" spans="2:25" x14ac:dyDescent="0.2">
      <c r="B1328" s="383"/>
      <c r="C1328" s="32"/>
      <c r="D1328" s="381">
        <f t="shared" si="213"/>
        <v>0</v>
      </c>
      <c r="E1328" s="383"/>
      <c r="F1328" s="8"/>
      <c r="G1328" s="381">
        <f t="shared" si="214"/>
        <v>0</v>
      </c>
      <c r="H1328" s="383"/>
      <c r="I1328" s="32"/>
      <c r="J1328" s="381">
        <f t="shared" si="215"/>
        <v>0</v>
      </c>
      <c r="K1328" s="383"/>
      <c r="L1328" s="31"/>
      <c r="M1328" s="381">
        <f t="shared" si="216"/>
        <v>0</v>
      </c>
      <c r="N1328" s="383"/>
      <c r="O1328" s="32"/>
      <c r="P1328" s="381">
        <f t="shared" si="217"/>
        <v>0</v>
      </c>
      <c r="Q1328" s="383"/>
      <c r="R1328" s="32"/>
      <c r="S1328" s="25">
        <f t="shared" si="218"/>
        <v>0</v>
      </c>
      <c r="T1328" s="383"/>
      <c r="U1328" s="32"/>
      <c r="V1328" s="25">
        <f t="shared" si="221"/>
        <v>0</v>
      </c>
      <c r="W1328" s="32"/>
      <c r="X1328" s="32">
        <f t="shared" si="219"/>
        <v>0</v>
      </c>
      <c r="Y1328" s="381">
        <f t="shared" si="220"/>
        <v>0</v>
      </c>
    </row>
    <row r="1329" spans="2:25" x14ac:dyDescent="0.2">
      <c r="B1329" s="383"/>
      <c r="C1329" s="32"/>
      <c r="D1329" s="381">
        <f t="shared" si="213"/>
        <v>0</v>
      </c>
      <c r="E1329" s="383"/>
      <c r="F1329" s="8"/>
      <c r="G1329" s="381">
        <f t="shared" si="214"/>
        <v>0</v>
      </c>
      <c r="H1329" s="383"/>
      <c r="I1329" s="32"/>
      <c r="J1329" s="381">
        <f t="shared" si="215"/>
        <v>0</v>
      </c>
      <c r="K1329" s="383"/>
      <c r="L1329" s="31"/>
      <c r="M1329" s="381">
        <f t="shared" si="216"/>
        <v>0</v>
      </c>
      <c r="N1329" s="383"/>
      <c r="O1329" s="32"/>
      <c r="P1329" s="381">
        <f t="shared" si="217"/>
        <v>0</v>
      </c>
      <c r="Q1329" s="383"/>
      <c r="R1329" s="32"/>
      <c r="S1329" s="25">
        <f t="shared" si="218"/>
        <v>0</v>
      </c>
      <c r="T1329" s="383"/>
      <c r="U1329" s="32"/>
      <c r="V1329" s="381">
        <f t="shared" ref="V1329:V1348" si="222">U1329+$AB$7</f>
        <v>0</v>
      </c>
      <c r="W1329" s="32"/>
      <c r="X1329" s="32">
        <f t="shared" si="219"/>
        <v>0</v>
      </c>
      <c r="Y1329" s="381">
        <f t="shared" si="220"/>
        <v>0</v>
      </c>
    </row>
    <row r="1330" spans="2:25" x14ac:dyDescent="0.2">
      <c r="B1330" s="383"/>
      <c r="C1330" s="32"/>
      <c r="D1330" s="381">
        <f t="shared" si="213"/>
        <v>0</v>
      </c>
      <c r="E1330" s="383"/>
      <c r="F1330" s="8"/>
      <c r="G1330" s="381">
        <f t="shared" si="214"/>
        <v>0</v>
      </c>
      <c r="H1330" s="383"/>
      <c r="I1330" s="32"/>
      <c r="J1330" s="381">
        <f t="shared" si="215"/>
        <v>0</v>
      </c>
      <c r="K1330" s="383"/>
      <c r="L1330" s="31"/>
      <c r="M1330" s="381">
        <f t="shared" si="216"/>
        <v>0</v>
      </c>
      <c r="N1330" s="383"/>
      <c r="O1330" s="32"/>
      <c r="P1330" s="381">
        <f t="shared" si="217"/>
        <v>0</v>
      </c>
      <c r="Q1330" s="383"/>
      <c r="R1330" s="32"/>
      <c r="S1330" s="25">
        <f t="shared" si="218"/>
        <v>0</v>
      </c>
      <c r="T1330" s="383"/>
      <c r="U1330" s="32"/>
      <c r="V1330" s="381">
        <f t="shared" si="222"/>
        <v>0</v>
      </c>
      <c r="W1330" s="32"/>
      <c r="X1330" s="32">
        <f t="shared" si="219"/>
        <v>0</v>
      </c>
      <c r="Y1330" s="381">
        <f t="shared" si="220"/>
        <v>0</v>
      </c>
    </row>
    <row r="1331" spans="2:25" x14ac:dyDescent="0.2">
      <c r="B1331" s="383"/>
      <c r="C1331" s="32"/>
      <c r="D1331" s="381">
        <f t="shared" si="213"/>
        <v>0</v>
      </c>
      <c r="E1331" s="383"/>
      <c r="F1331" s="8"/>
      <c r="G1331" s="381">
        <f t="shared" si="214"/>
        <v>0</v>
      </c>
      <c r="H1331" s="383"/>
      <c r="I1331" s="32"/>
      <c r="J1331" s="381">
        <f t="shared" si="215"/>
        <v>0</v>
      </c>
      <c r="K1331" s="383"/>
      <c r="L1331" s="31"/>
      <c r="M1331" s="381">
        <f t="shared" si="216"/>
        <v>0</v>
      </c>
      <c r="N1331" s="383"/>
      <c r="O1331" s="32"/>
      <c r="P1331" s="381">
        <f t="shared" si="217"/>
        <v>0</v>
      </c>
      <c r="Q1331" s="383"/>
      <c r="R1331" s="32"/>
      <c r="S1331" s="25">
        <f t="shared" si="218"/>
        <v>0</v>
      </c>
      <c r="T1331" s="383"/>
      <c r="U1331" s="32"/>
      <c r="V1331" s="381">
        <f t="shared" si="222"/>
        <v>0</v>
      </c>
      <c r="W1331" s="32"/>
      <c r="X1331" s="32">
        <f t="shared" si="219"/>
        <v>0</v>
      </c>
      <c r="Y1331" s="381">
        <f t="shared" si="220"/>
        <v>0</v>
      </c>
    </row>
    <row r="1332" spans="2:25" x14ac:dyDescent="0.2">
      <c r="B1332" s="383"/>
      <c r="C1332" s="32"/>
      <c r="D1332" s="381">
        <f t="shared" si="213"/>
        <v>0</v>
      </c>
      <c r="E1332" s="383"/>
      <c r="F1332" s="8"/>
      <c r="G1332" s="381">
        <f t="shared" si="214"/>
        <v>0</v>
      </c>
      <c r="H1332" s="383"/>
      <c r="I1332" s="32"/>
      <c r="J1332" s="381">
        <f t="shared" si="215"/>
        <v>0</v>
      </c>
      <c r="K1332" s="383"/>
      <c r="L1332" s="31"/>
      <c r="M1332" s="381">
        <f t="shared" si="216"/>
        <v>0</v>
      </c>
      <c r="N1332" s="383"/>
      <c r="O1332" s="32"/>
      <c r="P1332" s="381">
        <f t="shared" si="217"/>
        <v>0</v>
      </c>
      <c r="Q1332" s="383"/>
      <c r="R1332" s="32"/>
      <c r="S1332" s="25">
        <f t="shared" si="218"/>
        <v>0</v>
      </c>
      <c r="T1332" s="383"/>
      <c r="U1332" s="32"/>
      <c r="V1332" s="381">
        <f t="shared" si="222"/>
        <v>0</v>
      </c>
      <c r="W1332" s="32"/>
      <c r="X1332" s="32">
        <f t="shared" si="219"/>
        <v>0</v>
      </c>
      <c r="Y1332" s="381">
        <f t="shared" si="220"/>
        <v>0</v>
      </c>
    </row>
    <row r="1333" spans="2:25" x14ac:dyDescent="0.2">
      <c r="B1333" s="383"/>
      <c r="C1333" s="32"/>
      <c r="D1333" s="381">
        <f t="shared" si="213"/>
        <v>0</v>
      </c>
      <c r="E1333" s="383"/>
      <c r="F1333" s="8"/>
      <c r="G1333" s="381">
        <f t="shared" si="214"/>
        <v>0</v>
      </c>
      <c r="H1333" s="383"/>
      <c r="I1333" s="32"/>
      <c r="J1333" s="381">
        <f t="shared" si="215"/>
        <v>0</v>
      </c>
      <c r="K1333" s="383"/>
      <c r="L1333" s="31"/>
      <c r="M1333" s="381">
        <f t="shared" si="216"/>
        <v>0</v>
      </c>
      <c r="N1333" s="383"/>
      <c r="O1333" s="32"/>
      <c r="P1333" s="381">
        <f t="shared" si="217"/>
        <v>0</v>
      </c>
      <c r="Q1333" s="383"/>
      <c r="R1333" s="32"/>
      <c r="S1333" s="25">
        <f t="shared" si="218"/>
        <v>0</v>
      </c>
      <c r="T1333" s="383"/>
      <c r="U1333" s="32"/>
      <c r="V1333" s="381">
        <f t="shared" si="222"/>
        <v>0</v>
      </c>
      <c r="W1333" s="32"/>
      <c r="X1333" s="32">
        <f t="shared" si="219"/>
        <v>0</v>
      </c>
      <c r="Y1333" s="381">
        <f t="shared" si="220"/>
        <v>0</v>
      </c>
    </row>
    <row r="1334" spans="2:25" x14ac:dyDescent="0.2">
      <c r="B1334" s="383"/>
      <c r="C1334" s="32"/>
      <c r="D1334" s="381">
        <f t="shared" si="213"/>
        <v>0</v>
      </c>
      <c r="E1334" s="383"/>
      <c r="F1334" s="8"/>
      <c r="G1334" s="381">
        <f t="shared" si="214"/>
        <v>0</v>
      </c>
      <c r="H1334" s="383"/>
      <c r="I1334" s="32"/>
      <c r="J1334" s="381">
        <f t="shared" si="215"/>
        <v>0</v>
      </c>
      <c r="K1334" s="383"/>
      <c r="L1334" s="31"/>
      <c r="M1334" s="381">
        <f t="shared" ref="M1334:M1348" si="223">L1334+$AB$4</f>
        <v>0</v>
      </c>
      <c r="N1334" s="383"/>
      <c r="O1334" s="32"/>
      <c r="P1334" s="381">
        <f t="shared" si="217"/>
        <v>0</v>
      </c>
      <c r="Q1334" s="383"/>
      <c r="R1334" s="32"/>
      <c r="S1334" s="25">
        <f t="shared" si="218"/>
        <v>0</v>
      </c>
      <c r="T1334" s="383"/>
      <c r="U1334" s="32"/>
      <c r="V1334" s="381">
        <f t="shared" si="222"/>
        <v>0</v>
      </c>
      <c r="W1334" s="32"/>
      <c r="X1334" s="32">
        <f t="shared" si="219"/>
        <v>0</v>
      </c>
      <c r="Y1334" s="381">
        <f t="shared" si="220"/>
        <v>0</v>
      </c>
    </row>
    <row r="1335" spans="2:25" x14ac:dyDescent="0.2">
      <c r="B1335" s="383"/>
      <c r="C1335" s="32"/>
      <c r="D1335" s="381">
        <f t="shared" si="213"/>
        <v>0</v>
      </c>
      <c r="E1335" s="383"/>
      <c r="F1335" s="8"/>
      <c r="G1335" s="381">
        <f t="shared" si="214"/>
        <v>0</v>
      </c>
      <c r="H1335" s="383"/>
      <c r="I1335" s="32"/>
      <c r="J1335" s="381">
        <f t="shared" si="215"/>
        <v>0</v>
      </c>
      <c r="K1335" s="383"/>
      <c r="L1335" s="31"/>
      <c r="M1335" s="381">
        <f t="shared" si="223"/>
        <v>0</v>
      </c>
      <c r="N1335" s="383"/>
      <c r="O1335" s="32"/>
      <c r="P1335" s="381">
        <f t="shared" si="217"/>
        <v>0</v>
      </c>
      <c r="Q1335" s="383"/>
      <c r="R1335" s="32"/>
      <c r="S1335" s="25">
        <f t="shared" si="218"/>
        <v>0</v>
      </c>
      <c r="T1335" s="383"/>
      <c r="U1335" s="32"/>
      <c r="V1335" s="381">
        <f t="shared" si="222"/>
        <v>0</v>
      </c>
      <c r="W1335" s="32"/>
      <c r="X1335" s="32">
        <f t="shared" si="219"/>
        <v>0</v>
      </c>
      <c r="Y1335" s="381">
        <f t="shared" si="220"/>
        <v>0</v>
      </c>
    </row>
    <row r="1336" spans="2:25" x14ac:dyDescent="0.2">
      <c r="B1336" s="383"/>
      <c r="C1336" s="32"/>
      <c r="D1336" s="381">
        <f t="shared" si="213"/>
        <v>0</v>
      </c>
      <c r="E1336" s="383"/>
      <c r="F1336" s="8"/>
      <c r="G1336" s="381">
        <f t="shared" si="214"/>
        <v>0</v>
      </c>
      <c r="H1336" s="383"/>
      <c r="I1336" s="32"/>
      <c r="J1336" s="381">
        <f t="shared" si="215"/>
        <v>0</v>
      </c>
      <c r="K1336" s="383"/>
      <c r="L1336" s="31"/>
      <c r="M1336" s="381">
        <f t="shared" si="223"/>
        <v>0</v>
      </c>
      <c r="N1336" s="383"/>
      <c r="O1336" s="32"/>
      <c r="P1336" s="381">
        <f t="shared" si="217"/>
        <v>0</v>
      </c>
      <c r="Q1336" s="383"/>
      <c r="R1336" s="32"/>
      <c r="S1336" s="25">
        <f t="shared" si="218"/>
        <v>0</v>
      </c>
      <c r="T1336" s="383"/>
      <c r="U1336" s="32"/>
      <c r="V1336" s="381">
        <f t="shared" si="222"/>
        <v>0</v>
      </c>
      <c r="W1336" s="32"/>
      <c r="X1336" s="32">
        <f t="shared" si="219"/>
        <v>0</v>
      </c>
      <c r="Y1336" s="381">
        <f t="shared" si="220"/>
        <v>0</v>
      </c>
    </row>
    <row r="1337" spans="2:25" x14ac:dyDescent="0.2">
      <c r="B1337" s="383"/>
      <c r="C1337" s="32"/>
      <c r="D1337" s="381">
        <f t="shared" si="213"/>
        <v>0</v>
      </c>
      <c r="E1337" s="383"/>
      <c r="F1337" s="8"/>
      <c r="G1337" s="381">
        <f t="shared" si="214"/>
        <v>0</v>
      </c>
      <c r="H1337" s="383"/>
      <c r="I1337" s="32"/>
      <c r="J1337" s="381">
        <f t="shared" si="215"/>
        <v>0</v>
      </c>
      <c r="K1337" s="383"/>
      <c r="L1337" s="31"/>
      <c r="M1337" s="381">
        <f t="shared" si="223"/>
        <v>0</v>
      </c>
      <c r="N1337" s="383"/>
      <c r="O1337" s="32"/>
      <c r="P1337" s="381">
        <f t="shared" si="217"/>
        <v>0</v>
      </c>
      <c r="Q1337" s="383"/>
      <c r="R1337" s="32"/>
      <c r="S1337" s="25">
        <f t="shared" si="218"/>
        <v>0</v>
      </c>
      <c r="T1337" s="383"/>
      <c r="U1337" s="32"/>
      <c r="V1337" s="381">
        <f t="shared" si="222"/>
        <v>0</v>
      </c>
      <c r="W1337" s="32"/>
      <c r="X1337" s="32">
        <f t="shared" si="219"/>
        <v>0</v>
      </c>
      <c r="Y1337" s="381">
        <f t="shared" si="220"/>
        <v>0</v>
      </c>
    </row>
    <row r="1338" spans="2:25" x14ac:dyDescent="0.2">
      <c r="B1338" s="383"/>
      <c r="C1338" s="32"/>
      <c r="D1338" s="381">
        <f t="shared" si="213"/>
        <v>0</v>
      </c>
      <c r="E1338" s="383"/>
      <c r="F1338" s="8"/>
      <c r="G1338" s="381">
        <f t="shared" si="214"/>
        <v>0</v>
      </c>
      <c r="H1338" s="383"/>
      <c r="I1338" s="32"/>
      <c r="J1338" s="381">
        <f t="shared" si="215"/>
        <v>0</v>
      </c>
      <c r="K1338" s="383"/>
      <c r="L1338" s="31"/>
      <c r="M1338" s="381">
        <f t="shared" si="223"/>
        <v>0</v>
      </c>
      <c r="N1338" s="383"/>
      <c r="O1338" s="32"/>
      <c r="P1338" s="381">
        <f t="shared" si="217"/>
        <v>0</v>
      </c>
      <c r="Q1338" s="383"/>
      <c r="R1338" s="32"/>
      <c r="S1338" s="25">
        <f t="shared" si="218"/>
        <v>0</v>
      </c>
      <c r="T1338" s="383"/>
      <c r="U1338" s="32"/>
      <c r="V1338" s="381">
        <f t="shared" si="222"/>
        <v>0</v>
      </c>
      <c r="W1338" s="32"/>
      <c r="X1338" s="32">
        <f t="shared" si="219"/>
        <v>0</v>
      </c>
      <c r="Y1338" s="381">
        <f t="shared" si="220"/>
        <v>0</v>
      </c>
    </row>
    <row r="1339" spans="2:25" x14ac:dyDescent="0.2">
      <c r="B1339" s="383"/>
      <c r="C1339" s="32"/>
      <c r="D1339" s="381">
        <f t="shared" si="213"/>
        <v>0</v>
      </c>
      <c r="E1339" s="383"/>
      <c r="F1339" s="8"/>
      <c r="G1339" s="381">
        <f t="shared" si="214"/>
        <v>0</v>
      </c>
      <c r="H1339" s="383"/>
      <c r="I1339" s="32"/>
      <c r="J1339" s="381">
        <f t="shared" si="215"/>
        <v>0</v>
      </c>
      <c r="K1339" s="383"/>
      <c r="L1339" s="31"/>
      <c r="M1339" s="381">
        <f t="shared" si="223"/>
        <v>0</v>
      </c>
      <c r="N1339" s="383"/>
      <c r="O1339" s="32"/>
      <c r="P1339" s="381">
        <f t="shared" si="217"/>
        <v>0</v>
      </c>
      <c r="Q1339" s="383"/>
      <c r="R1339" s="32"/>
      <c r="S1339" s="25">
        <f t="shared" si="218"/>
        <v>0</v>
      </c>
      <c r="T1339" s="383"/>
      <c r="U1339" s="32"/>
      <c r="V1339" s="381">
        <f t="shared" si="222"/>
        <v>0</v>
      </c>
      <c r="W1339" s="32"/>
      <c r="X1339" s="32">
        <f t="shared" si="219"/>
        <v>0</v>
      </c>
      <c r="Y1339" s="381">
        <f t="shared" si="220"/>
        <v>0</v>
      </c>
    </row>
    <row r="1340" spans="2:25" x14ac:dyDescent="0.2">
      <c r="B1340" s="383"/>
      <c r="C1340" s="32"/>
      <c r="D1340" s="381">
        <f t="shared" si="213"/>
        <v>0</v>
      </c>
      <c r="E1340" s="383"/>
      <c r="F1340" s="8"/>
      <c r="G1340" s="381">
        <f t="shared" si="214"/>
        <v>0</v>
      </c>
      <c r="H1340" s="383"/>
      <c r="I1340" s="32"/>
      <c r="J1340" s="381">
        <f t="shared" si="215"/>
        <v>0</v>
      </c>
      <c r="K1340" s="383"/>
      <c r="L1340" s="31"/>
      <c r="M1340" s="381">
        <f t="shared" si="223"/>
        <v>0</v>
      </c>
      <c r="N1340" s="383"/>
      <c r="O1340" s="32"/>
      <c r="P1340" s="381">
        <f t="shared" si="217"/>
        <v>0</v>
      </c>
      <c r="Q1340" s="383"/>
      <c r="R1340" s="32"/>
      <c r="S1340" s="25">
        <f t="shared" si="218"/>
        <v>0</v>
      </c>
      <c r="T1340" s="383"/>
      <c r="U1340" s="32"/>
      <c r="V1340" s="381">
        <f t="shared" si="222"/>
        <v>0</v>
      </c>
      <c r="W1340" s="32"/>
      <c r="X1340" s="32">
        <f t="shared" si="219"/>
        <v>0</v>
      </c>
      <c r="Y1340" s="381">
        <f t="shared" si="220"/>
        <v>0</v>
      </c>
    </row>
    <row r="1341" spans="2:25" x14ac:dyDescent="0.2">
      <c r="B1341" s="383"/>
      <c r="C1341" s="32"/>
      <c r="D1341" s="381">
        <f t="shared" si="213"/>
        <v>0</v>
      </c>
      <c r="E1341" s="383"/>
      <c r="F1341" s="8"/>
      <c r="G1341" s="381">
        <f t="shared" si="214"/>
        <v>0</v>
      </c>
      <c r="H1341" s="383"/>
      <c r="I1341" s="32"/>
      <c r="J1341" s="381">
        <f t="shared" si="215"/>
        <v>0</v>
      </c>
      <c r="K1341" s="383"/>
      <c r="L1341" s="31"/>
      <c r="M1341" s="381">
        <f t="shared" si="223"/>
        <v>0</v>
      </c>
      <c r="N1341" s="383"/>
      <c r="O1341" s="32"/>
      <c r="P1341" s="381">
        <f t="shared" si="217"/>
        <v>0</v>
      </c>
      <c r="Q1341" s="383"/>
      <c r="R1341" s="32"/>
      <c r="S1341" s="25">
        <f t="shared" si="218"/>
        <v>0</v>
      </c>
      <c r="T1341" s="383"/>
      <c r="U1341" s="32"/>
      <c r="V1341" s="381">
        <f t="shared" si="222"/>
        <v>0</v>
      </c>
      <c r="W1341" s="32"/>
      <c r="X1341" s="32">
        <f t="shared" si="219"/>
        <v>0</v>
      </c>
      <c r="Y1341" s="381">
        <f t="shared" si="220"/>
        <v>0</v>
      </c>
    </row>
    <row r="1342" spans="2:25" x14ac:dyDescent="0.2">
      <c r="B1342" s="383"/>
      <c r="C1342" s="32"/>
      <c r="D1342" s="381">
        <f t="shared" si="213"/>
        <v>0</v>
      </c>
      <c r="E1342" s="383"/>
      <c r="F1342" s="8"/>
      <c r="G1342" s="381">
        <f t="shared" si="214"/>
        <v>0</v>
      </c>
      <c r="H1342" s="383"/>
      <c r="I1342" s="32"/>
      <c r="J1342" s="381">
        <f t="shared" si="215"/>
        <v>0</v>
      </c>
      <c r="K1342" s="383"/>
      <c r="L1342" s="31"/>
      <c r="M1342" s="381">
        <f t="shared" si="223"/>
        <v>0</v>
      </c>
      <c r="N1342" s="383"/>
      <c r="O1342" s="32"/>
      <c r="P1342" s="381">
        <f t="shared" si="217"/>
        <v>0</v>
      </c>
      <c r="Q1342" s="383"/>
      <c r="R1342" s="32"/>
      <c r="S1342" s="25">
        <f t="shared" si="218"/>
        <v>0</v>
      </c>
      <c r="T1342" s="383"/>
      <c r="U1342" s="32"/>
      <c r="V1342" s="381">
        <f t="shared" si="222"/>
        <v>0</v>
      </c>
      <c r="W1342" s="32"/>
      <c r="X1342" s="32">
        <f t="shared" si="219"/>
        <v>0</v>
      </c>
      <c r="Y1342" s="381">
        <f t="shared" si="220"/>
        <v>0</v>
      </c>
    </row>
    <row r="1343" spans="2:25" x14ac:dyDescent="0.2">
      <c r="B1343" s="383"/>
      <c r="C1343" s="32"/>
      <c r="D1343" s="381">
        <f t="shared" si="213"/>
        <v>0</v>
      </c>
      <c r="E1343" s="383"/>
      <c r="F1343" s="8"/>
      <c r="G1343" s="381">
        <f t="shared" si="214"/>
        <v>0</v>
      </c>
      <c r="H1343" s="383"/>
      <c r="I1343" s="32"/>
      <c r="J1343" s="381">
        <f t="shared" si="215"/>
        <v>0</v>
      </c>
      <c r="K1343" s="383"/>
      <c r="L1343" s="31"/>
      <c r="M1343" s="381">
        <f t="shared" si="223"/>
        <v>0</v>
      </c>
      <c r="N1343" s="383"/>
      <c r="O1343" s="32"/>
      <c r="P1343" s="381">
        <f t="shared" si="217"/>
        <v>0</v>
      </c>
      <c r="Q1343" s="383"/>
      <c r="R1343" s="32"/>
      <c r="S1343" s="25">
        <f t="shared" si="218"/>
        <v>0</v>
      </c>
      <c r="T1343" s="383"/>
      <c r="U1343" s="32"/>
      <c r="V1343" s="381">
        <f t="shared" si="222"/>
        <v>0</v>
      </c>
      <c r="W1343" s="32"/>
      <c r="X1343" s="32">
        <f t="shared" si="219"/>
        <v>0</v>
      </c>
      <c r="Y1343" s="381">
        <f t="shared" si="220"/>
        <v>0</v>
      </c>
    </row>
    <row r="1344" spans="2:25" x14ac:dyDescent="0.2">
      <c r="B1344" s="383"/>
      <c r="C1344" s="32"/>
      <c r="D1344" s="381">
        <f t="shared" si="213"/>
        <v>0</v>
      </c>
      <c r="E1344" s="383"/>
      <c r="F1344" s="8"/>
      <c r="G1344" s="381">
        <f t="shared" si="214"/>
        <v>0</v>
      </c>
      <c r="H1344" s="383"/>
      <c r="I1344" s="32"/>
      <c r="J1344" s="381">
        <f t="shared" si="215"/>
        <v>0</v>
      </c>
      <c r="K1344" s="383"/>
      <c r="L1344" s="31"/>
      <c r="M1344" s="381">
        <f t="shared" si="223"/>
        <v>0</v>
      </c>
      <c r="N1344" s="383"/>
      <c r="O1344" s="32"/>
      <c r="P1344" s="381">
        <f t="shared" si="217"/>
        <v>0</v>
      </c>
      <c r="Q1344" s="383"/>
      <c r="R1344" s="32"/>
      <c r="S1344" s="25">
        <f t="shared" si="218"/>
        <v>0</v>
      </c>
      <c r="T1344" s="383"/>
      <c r="U1344" s="32"/>
      <c r="V1344" s="381">
        <f t="shared" si="222"/>
        <v>0</v>
      </c>
      <c r="W1344" s="32"/>
      <c r="X1344" s="32">
        <f t="shared" si="219"/>
        <v>0</v>
      </c>
      <c r="Y1344" s="381">
        <f t="shared" si="220"/>
        <v>0</v>
      </c>
    </row>
    <row r="1345" spans="2:25" x14ac:dyDescent="0.2">
      <c r="B1345" s="383"/>
      <c r="C1345" s="32"/>
      <c r="D1345" s="381">
        <f t="shared" si="213"/>
        <v>0</v>
      </c>
      <c r="E1345" s="383"/>
      <c r="F1345" s="8"/>
      <c r="G1345" s="381">
        <f t="shared" si="214"/>
        <v>0</v>
      </c>
      <c r="H1345" s="383"/>
      <c r="I1345" s="32"/>
      <c r="J1345" s="381">
        <f t="shared" si="215"/>
        <v>0</v>
      </c>
      <c r="K1345" s="383"/>
      <c r="L1345" s="31"/>
      <c r="M1345" s="381">
        <f t="shared" si="223"/>
        <v>0</v>
      </c>
      <c r="N1345" s="383"/>
      <c r="O1345" s="32"/>
      <c r="P1345" s="381">
        <f t="shared" si="217"/>
        <v>0</v>
      </c>
      <c r="Q1345" s="383"/>
      <c r="R1345" s="32"/>
      <c r="S1345" s="25">
        <f t="shared" si="218"/>
        <v>0</v>
      </c>
      <c r="T1345" s="383"/>
      <c r="U1345" s="32"/>
      <c r="V1345" s="381">
        <f t="shared" si="222"/>
        <v>0</v>
      </c>
      <c r="W1345" s="32"/>
      <c r="X1345" s="32">
        <f t="shared" si="219"/>
        <v>0</v>
      </c>
      <c r="Y1345" s="381">
        <f t="shared" si="220"/>
        <v>0</v>
      </c>
    </row>
    <row r="1346" spans="2:25" x14ac:dyDescent="0.2">
      <c r="B1346" s="383"/>
      <c r="C1346" s="32"/>
      <c r="D1346" s="381">
        <f t="shared" si="213"/>
        <v>0</v>
      </c>
      <c r="E1346" s="383"/>
      <c r="F1346" s="8"/>
      <c r="G1346" s="381">
        <f t="shared" si="214"/>
        <v>0</v>
      </c>
      <c r="H1346" s="383"/>
      <c r="I1346" s="32"/>
      <c r="J1346" s="381">
        <f t="shared" si="215"/>
        <v>0</v>
      </c>
      <c r="K1346" s="383"/>
      <c r="L1346" s="31"/>
      <c r="M1346" s="381">
        <f t="shared" si="223"/>
        <v>0</v>
      </c>
      <c r="N1346" s="383"/>
      <c r="O1346" s="32"/>
      <c r="P1346" s="381">
        <f t="shared" si="217"/>
        <v>0</v>
      </c>
      <c r="Q1346" s="383"/>
      <c r="R1346" s="32"/>
      <c r="S1346" s="25">
        <f t="shared" si="218"/>
        <v>0</v>
      </c>
      <c r="T1346" s="383"/>
      <c r="U1346" s="32"/>
      <c r="V1346" s="381">
        <f t="shared" si="222"/>
        <v>0</v>
      </c>
      <c r="W1346" s="32"/>
      <c r="X1346" s="32">
        <f t="shared" si="219"/>
        <v>0</v>
      </c>
      <c r="Y1346" s="381">
        <f t="shared" si="220"/>
        <v>0</v>
      </c>
    </row>
    <row r="1347" spans="2:25" x14ac:dyDescent="0.2">
      <c r="B1347" s="383"/>
      <c r="C1347" s="32"/>
      <c r="D1347" s="381">
        <f t="shared" si="213"/>
        <v>0</v>
      </c>
      <c r="E1347" s="383"/>
      <c r="F1347" s="8"/>
      <c r="G1347" s="381">
        <f t="shared" si="214"/>
        <v>0</v>
      </c>
      <c r="H1347" s="383"/>
      <c r="I1347" s="32"/>
      <c r="J1347" s="381">
        <f t="shared" si="215"/>
        <v>0</v>
      </c>
      <c r="K1347" s="383"/>
      <c r="L1347" s="31"/>
      <c r="M1347" s="381">
        <f t="shared" si="223"/>
        <v>0</v>
      </c>
      <c r="N1347" s="383"/>
      <c r="O1347" s="32"/>
      <c r="P1347" s="381">
        <f t="shared" si="217"/>
        <v>0</v>
      </c>
      <c r="Q1347" s="383"/>
      <c r="R1347" s="32"/>
      <c r="S1347" s="25">
        <f t="shared" si="218"/>
        <v>0</v>
      </c>
      <c r="T1347" s="383"/>
      <c r="U1347" s="32"/>
      <c r="V1347" s="381">
        <f t="shared" si="222"/>
        <v>0</v>
      </c>
      <c r="W1347" s="32"/>
      <c r="X1347" s="32">
        <f t="shared" si="219"/>
        <v>0</v>
      </c>
      <c r="Y1347" s="381">
        <f t="shared" si="220"/>
        <v>0</v>
      </c>
    </row>
    <row r="1348" spans="2:25" x14ac:dyDescent="0.2">
      <c r="B1348" s="383"/>
      <c r="C1348" s="32"/>
      <c r="D1348" s="381">
        <f t="shared" si="213"/>
        <v>0</v>
      </c>
      <c r="E1348" s="383"/>
      <c r="F1348" s="8"/>
      <c r="G1348" s="381">
        <f t="shared" si="214"/>
        <v>0</v>
      </c>
      <c r="H1348" s="383"/>
      <c r="I1348" s="32"/>
      <c r="J1348" s="381">
        <f t="shared" si="215"/>
        <v>0</v>
      </c>
      <c r="K1348" s="383"/>
      <c r="L1348" s="31"/>
      <c r="M1348" s="381">
        <f t="shared" si="223"/>
        <v>0</v>
      </c>
      <c r="N1348" s="383"/>
      <c r="O1348" s="32"/>
      <c r="P1348" s="381">
        <f t="shared" si="217"/>
        <v>0</v>
      </c>
      <c r="Q1348" s="383"/>
      <c r="R1348" s="32"/>
      <c r="S1348" s="25">
        <f t="shared" si="218"/>
        <v>0</v>
      </c>
      <c r="T1348" s="383"/>
      <c r="U1348" s="32"/>
      <c r="V1348" s="381">
        <f t="shared" si="222"/>
        <v>0</v>
      </c>
      <c r="W1348" s="32"/>
      <c r="X1348" s="32">
        <f t="shared" si="219"/>
        <v>0</v>
      </c>
      <c r="Y1348" s="381">
        <f t="shared" si="220"/>
        <v>0</v>
      </c>
    </row>
    <row r="1349" spans="2:25" x14ac:dyDescent="0.2">
      <c r="B1349" s="383"/>
      <c r="C1349" s="32"/>
      <c r="D1349" s="381">
        <f t="shared" ref="D1349:D1412" si="224">C1349</f>
        <v>0</v>
      </c>
      <c r="E1349" s="383"/>
      <c r="F1349" s="8"/>
      <c r="G1349" s="381">
        <f t="shared" ref="G1349:G1412" si="225">F1349+$AB$2</f>
        <v>0</v>
      </c>
      <c r="H1349" s="383"/>
      <c r="I1349" s="32"/>
      <c r="J1349" s="381">
        <f t="shared" ref="J1349:J1412" si="226">I1349+$AB$3</f>
        <v>0</v>
      </c>
      <c r="K1349" s="383"/>
      <c r="L1349" s="31"/>
      <c r="M1349" s="381">
        <f t="shared" ref="M1349:M1412" si="227">L1349+$AB$4</f>
        <v>0</v>
      </c>
      <c r="N1349" s="383"/>
      <c r="O1349" s="32"/>
      <c r="P1349" s="381">
        <f t="shared" ref="P1349:P1412" si="228">O1349+$AB$5</f>
        <v>0</v>
      </c>
      <c r="Q1349" s="383"/>
      <c r="R1349" s="32"/>
      <c r="S1349" s="25">
        <f t="shared" ref="S1349:S1412" si="229">R1349+$AB$6</f>
        <v>0</v>
      </c>
      <c r="T1349" s="383"/>
      <c r="U1349" s="32"/>
      <c r="V1349" s="381">
        <f t="shared" ref="V1349:V1412" si="230">U1349+$AB$7</f>
        <v>0</v>
      </c>
      <c r="W1349" s="32"/>
      <c r="X1349" s="32">
        <f t="shared" ref="X1349:X1377" si="231">U1349</f>
        <v>0</v>
      </c>
      <c r="Y1349" s="381">
        <f t="shared" ref="Y1349:Y1412" si="232">X1349+$AB$8</f>
        <v>0</v>
      </c>
    </row>
    <row r="1350" spans="2:25" x14ac:dyDescent="0.2">
      <c r="B1350" s="383"/>
      <c r="C1350" s="32"/>
      <c r="D1350" s="381">
        <f t="shared" si="224"/>
        <v>0</v>
      </c>
      <c r="E1350" s="383"/>
      <c r="F1350" s="8"/>
      <c r="G1350" s="381">
        <f t="shared" si="225"/>
        <v>0</v>
      </c>
      <c r="H1350" s="383"/>
      <c r="I1350" s="32"/>
      <c r="J1350" s="381">
        <f t="shared" si="226"/>
        <v>0</v>
      </c>
      <c r="K1350" s="383"/>
      <c r="L1350" s="31"/>
      <c r="M1350" s="381">
        <f t="shared" si="227"/>
        <v>0</v>
      </c>
      <c r="N1350" s="383"/>
      <c r="O1350" s="32"/>
      <c r="P1350" s="381">
        <f t="shared" si="228"/>
        <v>0</v>
      </c>
      <c r="Q1350" s="383"/>
      <c r="R1350" s="32"/>
      <c r="S1350" s="25">
        <f t="shared" si="229"/>
        <v>0</v>
      </c>
      <c r="T1350" s="383"/>
      <c r="U1350" s="32"/>
      <c r="V1350" s="381">
        <f t="shared" si="230"/>
        <v>0</v>
      </c>
      <c r="W1350" s="32"/>
      <c r="X1350" s="32">
        <f t="shared" si="231"/>
        <v>0</v>
      </c>
      <c r="Y1350" s="381">
        <f t="shared" si="232"/>
        <v>0</v>
      </c>
    </row>
    <row r="1351" spans="2:25" x14ac:dyDescent="0.2">
      <c r="B1351" s="383"/>
      <c r="C1351" s="32"/>
      <c r="D1351" s="381">
        <f t="shared" si="224"/>
        <v>0</v>
      </c>
      <c r="E1351" s="383"/>
      <c r="F1351" s="8"/>
      <c r="G1351" s="381">
        <f t="shared" si="225"/>
        <v>0</v>
      </c>
      <c r="H1351" s="383"/>
      <c r="I1351" s="32"/>
      <c r="J1351" s="381">
        <f t="shared" si="226"/>
        <v>0</v>
      </c>
      <c r="K1351" s="383"/>
      <c r="L1351" s="31"/>
      <c r="M1351" s="381">
        <f t="shared" si="227"/>
        <v>0</v>
      </c>
      <c r="N1351" s="383"/>
      <c r="O1351" s="383"/>
      <c r="P1351" s="381">
        <f t="shared" si="228"/>
        <v>0</v>
      </c>
      <c r="Q1351" s="383"/>
      <c r="R1351" s="32"/>
      <c r="S1351" s="25">
        <f t="shared" si="229"/>
        <v>0</v>
      </c>
      <c r="T1351" s="383"/>
      <c r="U1351" s="32"/>
      <c r="V1351" s="381">
        <f t="shared" si="230"/>
        <v>0</v>
      </c>
      <c r="W1351" s="32"/>
      <c r="X1351" s="32">
        <f t="shared" si="231"/>
        <v>0</v>
      </c>
      <c r="Y1351" s="381">
        <f t="shared" si="232"/>
        <v>0</v>
      </c>
    </row>
    <row r="1352" spans="2:25" x14ac:dyDescent="0.2">
      <c r="B1352" s="383"/>
      <c r="C1352" s="32"/>
      <c r="D1352" s="381">
        <f t="shared" si="224"/>
        <v>0</v>
      </c>
      <c r="E1352" s="383"/>
      <c r="F1352" s="8"/>
      <c r="G1352" s="381">
        <f t="shared" si="225"/>
        <v>0</v>
      </c>
      <c r="H1352" s="383"/>
      <c r="I1352" s="32"/>
      <c r="J1352" s="381">
        <f t="shared" si="226"/>
        <v>0</v>
      </c>
      <c r="K1352" s="383"/>
      <c r="L1352" s="31"/>
      <c r="M1352" s="381">
        <f t="shared" si="227"/>
        <v>0</v>
      </c>
      <c r="N1352" s="383"/>
      <c r="O1352" s="383"/>
      <c r="P1352" s="381">
        <f t="shared" si="228"/>
        <v>0</v>
      </c>
      <c r="Q1352" s="383"/>
      <c r="R1352" s="32"/>
      <c r="S1352" s="25">
        <f t="shared" si="229"/>
        <v>0</v>
      </c>
      <c r="T1352" s="383"/>
      <c r="U1352" s="32"/>
      <c r="V1352" s="381">
        <f t="shared" si="230"/>
        <v>0</v>
      </c>
      <c r="W1352" s="32"/>
      <c r="X1352" s="32">
        <f t="shared" si="231"/>
        <v>0</v>
      </c>
      <c r="Y1352" s="381">
        <f t="shared" si="232"/>
        <v>0</v>
      </c>
    </row>
    <row r="1353" spans="2:25" x14ac:dyDescent="0.2">
      <c r="B1353" s="383"/>
      <c r="C1353" s="32"/>
      <c r="D1353" s="381">
        <f t="shared" si="224"/>
        <v>0</v>
      </c>
      <c r="E1353" s="383"/>
      <c r="F1353" s="8"/>
      <c r="G1353" s="381">
        <f t="shared" si="225"/>
        <v>0</v>
      </c>
      <c r="H1353" s="383"/>
      <c r="I1353" s="32"/>
      <c r="J1353" s="381">
        <f t="shared" si="226"/>
        <v>0</v>
      </c>
      <c r="K1353" s="383"/>
      <c r="L1353" s="31"/>
      <c r="M1353" s="381">
        <f t="shared" si="227"/>
        <v>0</v>
      </c>
      <c r="N1353" s="383"/>
      <c r="O1353" s="383"/>
      <c r="P1353" s="381">
        <f t="shared" si="228"/>
        <v>0</v>
      </c>
      <c r="Q1353" s="383"/>
      <c r="R1353" s="32"/>
      <c r="S1353" s="25">
        <f t="shared" si="229"/>
        <v>0</v>
      </c>
      <c r="T1353" s="383"/>
      <c r="U1353" s="32"/>
      <c r="V1353" s="381">
        <f t="shared" si="230"/>
        <v>0</v>
      </c>
      <c r="W1353" s="32"/>
      <c r="X1353" s="32">
        <f t="shared" si="231"/>
        <v>0</v>
      </c>
      <c r="Y1353" s="381">
        <f t="shared" si="232"/>
        <v>0</v>
      </c>
    </row>
    <row r="1354" spans="2:25" x14ac:dyDescent="0.2">
      <c r="B1354" s="383"/>
      <c r="C1354" s="32"/>
      <c r="D1354" s="381">
        <f t="shared" si="224"/>
        <v>0</v>
      </c>
      <c r="E1354" s="383"/>
      <c r="F1354" s="8"/>
      <c r="G1354" s="381">
        <f t="shared" si="225"/>
        <v>0</v>
      </c>
      <c r="H1354" s="383"/>
      <c r="I1354" s="32"/>
      <c r="J1354" s="381">
        <f t="shared" si="226"/>
        <v>0</v>
      </c>
      <c r="K1354" s="383"/>
      <c r="L1354" s="31"/>
      <c r="M1354" s="381">
        <f t="shared" si="227"/>
        <v>0</v>
      </c>
      <c r="N1354" s="383"/>
      <c r="O1354" s="383"/>
      <c r="P1354" s="381">
        <f t="shared" si="228"/>
        <v>0</v>
      </c>
      <c r="Q1354" s="383"/>
      <c r="R1354" s="32"/>
      <c r="S1354" s="25">
        <f t="shared" si="229"/>
        <v>0</v>
      </c>
      <c r="T1354" s="383"/>
      <c r="U1354" s="32"/>
      <c r="V1354" s="381">
        <f t="shared" si="230"/>
        <v>0</v>
      </c>
      <c r="W1354" s="32"/>
      <c r="X1354" s="32">
        <f t="shared" si="231"/>
        <v>0</v>
      </c>
      <c r="Y1354" s="381">
        <f t="shared" si="232"/>
        <v>0</v>
      </c>
    </row>
    <row r="1355" spans="2:25" x14ac:dyDescent="0.2">
      <c r="B1355" s="383"/>
      <c r="C1355" s="32"/>
      <c r="D1355" s="381">
        <f t="shared" si="224"/>
        <v>0</v>
      </c>
      <c r="E1355" s="383"/>
      <c r="F1355" s="8"/>
      <c r="G1355" s="381">
        <f t="shared" si="225"/>
        <v>0</v>
      </c>
      <c r="H1355" s="383"/>
      <c r="I1355" s="32"/>
      <c r="J1355" s="381">
        <f t="shared" si="226"/>
        <v>0</v>
      </c>
      <c r="K1355" s="383"/>
      <c r="L1355" s="31"/>
      <c r="M1355" s="381">
        <f t="shared" si="227"/>
        <v>0</v>
      </c>
      <c r="N1355" s="383"/>
      <c r="O1355" s="383"/>
      <c r="P1355" s="381">
        <f t="shared" si="228"/>
        <v>0</v>
      </c>
      <c r="Q1355" s="383"/>
      <c r="R1355" s="32"/>
      <c r="S1355" s="25">
        <f t="shared" si="229"/>
        <v>0</v>
      </c>
      <c r="T1355" s="383"/>
      <c r="U1355" s="32"/>
      <c r="V1355" s="381">
        <f t="shared" si="230"/>
        <v>0</v>
      </c>
      <c r="W1355" s="32"/>
      <c r="X1355" s="32">
        <f t="shared" si="231"/>
        <v>0</v>
      </c>
      <c r="Y1355" s="381">
        <f t="shared" si="232"/>
        <v>0</v>
      </c>
    </row>
    <row r="1356" spans="2:25" x14ac:dyDescent="0.2">
      <c r="B1356" s="383"/>
      <c r="C1356" s="32"/>
      <c r="D1356" s="381">
        <f t="shared" si="224"/>
        <v>0</v>
      </c>
      <c r="E1356" s="383"/>
      <c r="F1356" s="8"/>
      <c r="G1356" s="381">
        <f t="shared" si="225"/>
        <v>0</v>
      </c>
      <c r="H1356" s="383"/>
      <c r="I1356" s="32"/>
      <c r="J1356" s="381">
        <f t="shared" si="226"/>
        <v>0</v>
      </c>
      <c r="K1356" s="383"/>
      <c r="L1356" s="31"/>
      <c r="M1356" s="381">
        <f t="shared" si="227"/>
        <v>0</v>
      </c>
      <c r="N1356" s="383"/>
      <c r="O1356" s="383"/>
      <c r="P1356" s="381">
        <f t="shared" si="228"/>
        <v>0</v>
      </c>
      <c r="Q1356" s="383"/>
      <c r="R1356" s="32"/>
      <c r="S1356" s="25">
        <f t="shared" si="229"/>
        <v>0</v>
      </c>
      <c r="T1356" s="383"/>
      <c r="U1356" s="32"/>
      <c r="V1356" s="381">
        <f t="shared" si="230"/>
        <v>0</v>
      </c>
      <c r="W1356" s="32"/>
      <c r="X1356" s="32">
        <f t="shared" si="231"/>
        <v>0</v>
      </c>
      <c r="Y1356" s="381">
        <f t="shared" si="232"/>
        <v>0</v>
      </c>
    </row>
    <row r="1357" spans="2:25" x14ac:dyDescent="0.2">
      <c r="B1357" s="383"/>
      <c r="C1357" s="32"/>
      <c r="D1357" s="381">
        <f t="shared" si="224"/>
        <v>0</v>
      </c>
      <c r="E1357" s="383"/>
      <c r="F1357" s="8"/>
      <c r="G1357" s="381">
        <f t="shared" si="225"/>
        <v>0</v>
      </c>
      <c r="H1357" s="383"/>
      <c r="I1357" s="32"/>
      <c r="J1357" s="381">
        <f t="shared" si="226"/>
        <v>0</v>
      </c>
      <c r="K1357" s="383"/>
      <c r="L1357" s="31"/>
      <c r="M1357" s="381">
        <f t="shared" si="227"/>
        <v>0</v>
      </c>
      <c r="N1357" s="383"/>
      <c r="O1357" s="383"/>
      <c r="P1357" s="381">
        <f t="shared" si="228"/>
        <v>0</v>
      </c>
      <c r="Q1357" s="383"/>
      <c r="R1357" s="32"/>
      <c r="S1357" s="25">
        <f t="shared" si="229"/>
        <v>0</v>
      </c>
      <c r="T1357" s="383"/>
      <c r="U1357" s="32"/>
      <c r="V1357" s="381">
        <f t="shared" si="230"/>
        <v>0</v>
      </c>
      <c r="W1357" s="32"/>
      <c r="X1357" s="32">
        <f t="shared" si="231"/>
        <v>0</v>
      </c>
      <c r="Y1357" s="381">
        <f t="shared" si="232"/>
        <v>0</v>
      </c>
    </row>
    <row r="1358" spans="2:25" x14ac:dyDescent="0.2">
      <c r="B1358" s="383"/>
      <c r="C1358" s="32"/>
      <c r="D1358" s="381">
        <f t="shared" si="224"/>
        <v>0</v>
      </c>
      <c r="E1358" s="383"/>
      <c r="F1358" s="8"/>
      <c r="G1358" s="381">
        <f t="shared" si="225"/>
        <v>0</v>
      </c>
      <c r="H1358" s="383"/>
      <c r="I1358" s="32"/>
      <c r="J1358" s="381">
        <f t="shared" si="226"/>
        <v>0</v>
      </c>
      <c r="K1358" s="383"/>
      <c r="L1358" s="31"/>
      <c r="M1358" s="381">
        <f t="shared" si="227"/>
        <v>0</v>
      </c>
      <c r="N1358" s="383"/>
      <c r="O1358" s="383"/>
      <c r="P1358" s="381">
        <f t="shared" si="228"/>
        <v>0</v>
      </c>
      <c r="Q1358" s="383"/>
      <c r="R1358" s="32"/>
      <c r="S1358" s="25">
        <f t="shared" si="229"/>
        <v>0</v>
      </c>
      <c r="T1358" s="383"/>
      <c r="U1358" s="32"/>
      <c r="V1358" s="381">
        <f t="shared" si="230"/>
        <v>0</v>
      </c>
      <c r="W1358" s="32"/>
      <c r="X1358" s="32">
        <f t="shared" si="231"/>
        <v>0</v>
      </c>
      <c r="Y1358" s="381">
        <f t="shared" si="232"/>
        <v>0</v>
      </c>
    </row>
    <row r="1359" spans="2:25" x14ac:dyDescent="0.2">
      <c r="B1359" s="383"/>
      <c r="C1359" s="32"/>
      <c r="D1359" s="381">
        <f t="shared" si="224"/>
        <v>0</v>
      </c>
      <c r="E1359" s="383"/>
      <c r="F1359" s="8"/>
      <c r="G1359" s="381">
        <f t="shared" si="225"/>
        <v>0</v>
      </c>
      <c r="H1359" s="383"/>
      <c r="I1359" s="32"/>
      <c r="J1359" s="381">
        <f t="shared" si="226"/>
        <v>0</v>
      </c>
      <c r="K1359" s="383"/>
      <c r="L1359" s="31"/>
      <c r="M1359" s="381">
        <f t="shared" si="227"/>
        <v>0</v>
      </c>
      <c r="N1359" s="383"/>
      <c r="O1359" s="383"/>
      <c r="P1359" s="381">
        <f t="shared" si="228"/>
        <v>0</v>
      </c>
      <c r="Q1359" s="383"/>
      <c r="R1359" s="32"/>
      <c r="S1359" s="25">
        <f t="shared" si="229"/>
        <v>0</v>
      </c>
      <c r="T1359" s="383"/>
      <c r="U1359" s="32"/>
      <c r="V1359" s="381">
        <f t="shared" si="230"/>
        <v>0</v>
      </c>
      <c r="W1359" s="32"/>
      <c r="X1359" s="32">
        <f t="shared" si="231"/>
        <v>0</v>
      </c>
      <c r="Y1359" s="381">
        <f t="shared" si="232"/>
        <v>0</v>
      </c>
    </row>
    <row r="1360" spans="2:25" x14ac:dyDescent="0.2">
      <c r="B1360" s="383"/>
      <c r="C1360" s="32"/>
      <c r="D1360" s="381">
        <f t="shared" si="224"/>
        <v>0</v>
      </c>
      <c r="E1360" s="383"/>
      <c r="F1360" s="8"/>
      <c r="G1360" s="381">
        <f t="shared" si="225"/>
        <v>0</v>
      </c>
      <c r="H1360" s="383"/>
      <c r="I1360" s="32"/>
      <c r="J1360" s="381">
        <f t="shared" si="226"/>
        <v>0</v>
      </c>
      <c r="K1360" s="383"/>
      <c r="L1360" s="31"/>
      <c r="M1360" s="381">
        <f t="shared" si="227"/>
        <v>0</v>
      </c>
      <c r="N1360" s="383"/>
      <c r="O1360" s="383"/>
      <c r="P1360" s="381">
        <f t="shared" si="228"/>
        <v>0</v>
      </c>
      <c r="Q1360" s="383"/>
      <c r="R1360" s="32"/>
      <c r="S1360" s="25">
        <f t="shared" si="229"/>
        <v>0</v>
      </c>
      <c r="T1360" s="383"/>
      <c r="U1360" s="32"/>
      <c r="V1360" s="381">
        <f t="shared" si="230"/>
        <v>0</v>
      </c>
      <c r="W1360" s="32"/>
      <c r="X1360" s="32">
        <f t="shared" si="231"/>
        <v>0</v>
      </c>
      <c r="Y1360" s="381">
        <f t="shared" si="232"/>
        <v>0</v>
      </c>
    </row>
    <row r="1361" spans="2:25" x14ac:dyDescent="0.2">
      <c r="B1361" s="383"/>
      <c r="C1361" s="32"/>
      <c r="D1361" s="381">
        <f t="shared" si="224"/>
        <v>0</v>
      </c>
      <c r="E1361" s="383"/>
      <c r="F1361" s="8"/>
      <c r="G1361" s="381">
        <f t="shared" si="225"/>
        <v>0</v>
      </c>
      <c r="H1361" s="383"/>
      <c r="I1361" s="32"/>
      <c r="J1361" s="381">
        <f t="shared" si="226"/>
        <v>0</v>
      </c>
      <c r="K1361" s="383"/>
      <c r="L1361" s="31"/>
      <c r="M1361" s="381">
        <f t="shared" si="227"/>
        <v>0</v>
      </c>
      <c r="N1361" s="383"/>
      <c r="O1361" s="383"/>
      <c r="P1361" s="381">
        <f t="shared" si="228"/>
        <v>0</v>
      </c>
      <c r="Q1361" s="383"/>
      <c r="R1361" s="32"/>
      <c r="S1361" s="25">
        <f t="shared" si="229"/>
        <v>0</v>
      </c>
      <c r="T1361" s="383"/>
      <c r="U1361" s="32"/>
      <c r="V1361" s="381">
        <f t="shared" si="230"/>
        <v>0</v>
      </c>
      <c r="W1361" s="32"/>
      <c r="X1361" s="32">
        <f t="shared" si="231"/>
        <v>0</v>
      </c>
      <c r="Y1361" s="381">
        <f t="shared" si="232"/>
        <v>0</v>
      </c>
    </row>
    <row r="1362" spans="2:25" x14ac:dyDescent="0.2">
      <c r="B1362" s="383"/>
      <c r="C1362" s="32"/>
      <c r="D1362" s="381">
        <f t="shared" si="224"/>
        <v>0</v>
      </c>
      <c r="E1362" s="383"/>
      <c r="F1362" s="8"/>
      <c r="G1362" s="381">
        <f t="shared" si="225"/>
        <v>0</v>
      </c>
      <c r="H1362" s="383"/>
      <c r="I1362" s="32"/>
      <c r="J1362" s="381">
        <f t="shared" si="226"/>
        <v>0</v>
      </c>
      <c r="K1362" s="383"/>
      <c r="L1362" s="31"/>
      <c r="M1362" s="381">
        <f t="shared" si="227"/>
        <v>0</v>
      </c>
      <c r="N1362" s="383"/>
      <c r="O1362" s="383"/>
      <c r="P1362" s="381">
        <f t="shared" si="228"/>
        <v>0</v>
      </c>
      <c r="Q1362" s="383"/>
      <c r="R1362" s="32"/>
      <c r="S1362" s="25">
        <f t="shared" si="229"/>
        <v>0</v>
      </c>
      <c r="T1362" s="383"/>
      <c r="U1362" s="32"/>
      <c r="V1362" s="381">
        <f t="shared" si="230"/>
        <v>0</v>
      </c>
      <c r="W1362" s="32"/>
      <c r="X1362" s="32">
        <f t="shared" si="231"/>
        <v>0</v>
      </c>
      <c r="Y1362" s="381">
        <f t="shared" si="232"/>
        <v>0</v>
      </c>
    </row>
    <row r="1363" spans="2:25" x14ac:dyDescent="0.2">
      <c r="B1363" s="383"/>
      <c r="C1363" s="32"/>
      <c r="D1363" s="381">
        <f t="shared" si="224"/>
        <v>0</v>
      </c>
      <c r="E1363" s="383"/>
      <c r="F1363" s="8"/>
      <c r="G1363" s="381">
        <f t="shared" si="225"/>
        <v>0</v>
      </c>
      <c r="H1363" s="383"/>
      <c r="I1363" s="32"/>
      <c r="J1363" s="381">
        <f t="shared" si="226"/>
        <v>0</v>
      </c>
      <c r="K1363" s="383"/>
      <c r="L1363" s="31"/>
      <c r="M1363" s="381">
        <f t="shared" si="227"/>
        <v>0</v>
      </c>
      <c r="N1363" s="383"/>
      <c r="O1363" s="383"/>
      <c r="P1363" s="381">
        <f t="shared" si="228"/>
        <v>0</v>
      </c>
      <c r="Q1363" s="383"/>
      <c r="R1363" s="32"/>
      <c r="S1363" s="25">
        <f t="shared" si="229"/>
        <v>0</v>
      </c>
      <c r="T1363" s="383"/>
      <c r="U1363" s="32"/>
      <c r="V1363" s="381">
        <f t="shared" si="230"/>
        <v>0</v>
      </c>
      <c r="W1363" s="32"/>
      <c r="X1363" s="32">
        <f t="shared" si="231"/>
        <v>0</v>
      </c>
      <c r="Y1363" s="381">
        <f t="shared" si="232"/>
        <v>0</v>
      </c>
    </row>
    <row r="1364" spans="2:25" x14ac:dyDescent="0.2">
      <c r="B1364" s="383"/>
      <c r="C1364" s="32"/>
      <c r="D1364" s="381">
        <f t="shared" si="224"/>
        <v>0</v>
      </c>
      <c r="E1364" s="383"/>
      <c r="F1364" s="8"/>
      <c r="G1364" s="381">
        <f t="shared" si="225"/>
        <v>0</v>
      </c>
      <c r="H1364" s="383"/>
      <c r="I1364" s="32"/>
      <c r="J1364" s="381">
        <f t="shared" si="226"/>
        <v>0</v>
      </c>
      <c r="K1364" s="383"/>
      <c r="L1364" s="31"/>
      <c r="M1364" s="381">
        <f t="shared" si="227"/>
        <v>0</v>
      </c>
      <c r="N1364" s="383"/>
      <c r="O1364" s="383"/>
      <c r="P1364" s="381">
        <f t="shared" si="228"/>
        <v>0</v>
      </c>
      <c r="Q1364" s="383"/>
      <c r="R1364" s="32"/>
      <c r="S1364" s="25">
        <f t="shared" si="229"/>
        <v>0</v>
      </c>
      <c r="T1364" s="383"/>
      <c r="U1364" s="32"/>
      <c r="V1364" s="381">
        <f t="shared" si="230"/>
        <v>0</v>
      </c>
      <c r="W1364" s="32"/>
      <c r="X1364" s="32">
        <f t="shared" si="231"/>
        <v>0</v>
      </c>
      <c r="Y1364" s="381">
        <f t="shared" si="232"/>
        <v>0</v>
      </c>
    </row>
    <row r="1365" spans="2:25" x14ac:dyDescent="0.2">
      <c r="B1365" s="383"/>
      <c r="C1365" s="32"/>
      <c r="D1365" s="381">
        <f t="shared" si="224"/>
        <v>0</v>
      </c>
      <c r="E1365" s="383"/>
      <c r="F1365" s="8"/>
      <c r="G1365" s="381">
        <f t="shared" si="225"/>
        <v>0</v>
      </c>
      <c r="H1365" s="383"/>
      <c r="I1365" s="32"/>
      <c r="J1365" s="381">
        <f t="shared" si="226"/>
        <v>0</v>
      </c>
      <c r="K1365" s="383"/>
      <c r="L1365" s="31"/>
      <c r="M1365" s="381">
        <f t="shared" si="227"/>
        <v>0</v>
      </c>
      <c r="N1365" s="383"/>
      <c r="O1365" s="383"/>
      <c r="P1365" s="381">
        <f t="shared" si="228"/>
        <v>0</v>
      </c>
      <c r="Q1365" s="383"/>
      <c r="R1365" s="32"/>
      <c r="S1365" s="25">
        <f t="shared" si="229"/>
        <v>0</v>
      </c>
      <c r="T1365" s="383"/>
      <c r="U1365" s="32"/>
      <c r="V1365" s="381">
        <f t="shared" si="230"/>
        <v>0</v>
      </c>
      <c r="W1365" s="32"/>
      <c r="X1365" s="32">
        <f t="shared" si="231"/>
        <v>0</v>
      </c>
      <c r="Y1365" s="381">
        <f t="shared" si="232"/>
        <v>0</v>
      </c>
    </row>
    <row r="1366" spans="2:25" x14ac:dyDescent="0.2">
      <c r="B1366" s="383"/>
      <c r="C1366" s="32"/>
      <c r="D1366" s="381">
        <f t="shared" si="224"/>
        <v>0</v>
      </c>
      <c r="E1366" s="383"/>
      <c r="F1366" s="8"/>
      <c r="G1366" s="381">
        <f t="shared" si="225"/>
        <v>0</v>
      </c>
      <c r="H1366" s="383"/>
      <c r="I1366" s="32"/>
      <c r="J1366" s="381">
        <f t="shared" si="226"/>
        <v>0</v>
      </c>
      <c r="K1366" s="383"/>
      <c r="L1366" s="31"/>
      <c r="M1366" s="381">
        <f t="shared" si="227"/>
        <v>0</v>
      </c>
      <c r="N1366" s="383"/>
      <c r="O1366" s="383"/>
      <c r="P1366" s="381">
        <f t="shared" si="228"/>
        <v>0</v>
      </c>
      <c r="Q1366" s="383"/>
      <c r="R1366" s="32"/>
      <c r="S1366" s="25">
        <f t="shared" si="229"/>
        <v>0</v>
      </c>
      <c r="T1366" s="383"/>
      <c r="U1366" s="32"/>
      <c r="V1366" s="381">
        <f t="shared" si="230"/>
        <v>0</v>
      </c>
      <c r="W1366" s="32"/>
      <c r="X1366" s="32">
        <f t="shared" si="231"/>
        <v>0</v>
      </c>
      <c r="Y1366" s="381">
        <f t="shared" si="232"/>
        <v>0</v>
      </c>
    </row>
    <row r="1367" spans="2:25" x14ac:dyDescent="0.2">
      <c r="B1367" s="383"/>
      <c r="C1367" s="32"/>
      <c r="D1367" s="381">
        <f t="shared" si="224"/>
        <v>0</v>
      </c>
      <c r="E1367" s="383"/>
      <c r="F1367" s="8"/>
      <c r="G1367" s="381">
        <f t="shared" si="225"/>
        <v>0</v>
      </c>
      <c r="H1367" s="383"/>
      <c r="I1367" s="32"/>
      <c r="J1367" s="381">
        <f t="shared" si="226"/>
        <v>0</v>
      </c>
      <c r="K1367" s="383"/>
      <c r="L1367" s="31"/>
      <c r="M1367" s="381">
        <f t="shared" si="227"/>
        <v>0</v>
      </c>
      <c r="N1367" s="383"/>
      <c r="O1367" s="383"/>
      <c r="P1367" s="381">
        <f t="shared" si="228"/>
        <v>0</v>
      </c>
      <c r="Q1367" s="383"/>
      <c r="R1367" s="32"/>
      <c r="S1367" s="25">
        <f t="shared" si="229"/>
        <v>0</v>
      </c>
      <c r="T1367" s="383"/>
      <c r="U1367" s="32"/>
      <c r="V1367" s="381">
        <f t="shared" si="230"/>
        <v>0</v>
      </c>
      <c r="W1367" s="32"/>
      <c r="X1367" s="32">
        <f t="shared" si="231"/>
        <v>0</v>
      </c>
      <c r="Y1367" s="381">
        <f t="shared" si="232"/>
        <v>0</v>
      </c>
    </row>
    <row r="1368" spans="2:25" x14ac:dyDescent="0.2">
      <c r="B1368" s="383"/>
      <c r="C1368" s="32"/>
      <c r="D1368" s="381">
        <f t="shared" si="224"/>
        <v>0</v>
      </c>
      <c r="E1368" s="383"/>
      <c r="F1368" s="8"/>
      <c r="G1368" s="381">
        <f t="shared" si="225"/>
        <v>0</v>
      </c>
      <c r="H1368" s="383"/>
      <c r="I1368" s="32"/>
      <c r="J1368" s="381">
        <f t="shared" si="226"/>
        <v>0</v>
      </c>
      <c r="K1368" s="383"/>
      <c r="L1368" s="31"/>
      <c r="M1368" s="381">
        <f t="shared" si="227"/>
        <v>0</v>
      </c>
      <c r="N1368" s="383"/>
      <c r="O1368" s="383"/>
      <c r="P1368" s="381">
        <f t="shared" si="228"/>
        <v>0</v>
      </c>
      <c r="Q1368" s="383"/>
      <c r="R1368" s="32"/>
      <c r="S1368" s="25">
        <f t="shared" si="229"/>
        <v>0</v>
      </c>
      <c r="T1368" s="383"/>
      <c r="U1368" s="32"/>
      <c r="V1368" s="381">
        <f t="shared" si="230"/>
        <v>0</v>
      </c>
      <c r="W1368" s="32"/>
      <c r="X1368" s="32">
        <f t="shared" si="231"/>
        <v>0</v>
      </c>
      <c r="Y1368" s="381">
        <f t="shared" si="232"/>
        <v>0</v>
      </c>
    </row>
    <row r="1369" spans="2:25" x14ac:dyDescent="0.2">
      <c r="B1369" s="383"/>
      <c r="C1369" s="32"/>
      <c r="D1369" s="381">
        <f t="shared" si="224"/>
        <v>0</v>
      </c>
      <c r="E1369" s="383"/>
      <c r="F1369" s="8"/>
      <c r="G1369" s="381">
        <f t="shared" si="225"/>
        <v>0</v>
      </c>
      <c r="H1369" s="383"/>
      <c r="I1369" s="32"/>
      <c r="J1369" s="381">
        <f t="shared" si="226"/>
        <v>0</v>
      </c>
      <c r="K1369" s="383"/>
      <c r="L1369" s="31"/>
      <c r="M1369" s="381">
        <f t="shared" si="227"/>
        <v>0</v>
      </c>
      <c r="N1369" s="383"/>
      <c r="O1369" s="383"/>
      <c r="P1369" s="381">
        <f t="shared" si="228"/>
        <v>0</v>
      </c>
      <c r="Q1369" s="383"/>
      <c r="R1369" s="32"/>
      <c r="S1369" s="25">
        <f t="shared" si="229"/>
        <v>0</v>
      </c>
      <c r="T1369" s="383"/>
      <c r="U1369" s="32"/>
      <c r="V1369" s="381">
        <f t="shared" si="230"/>
        <v>0</v>
      </c>
      <c r="W1369" s="32"/>
      <c r="X1369" s="32">
        <f t="shared" si="231"/>
        <v>0</v>
      </c>
      <c r="Y1369" s="381">
        <f t="shared" si="232"/>
        <v>0</v>
      </c>
    </row>
    <row r="1370" spans="2:25" x14ac:dyDescent="0.2">
      <c r="B1370" s="383"/>
      <c r="C1370" s="32"/>
      <c r="D1370" s="381">
        <f t="shared" si="224"/>
        <v>0</v>
      </c>
      <c r="E1370" s="383"/>
      <c r="F1370" s="8"/>
      <c r="G1370" s="381">
        <f t="shared" si="225"/>
        <v>0</v>
      </c>
      <c r="H1370" s="383"/>
      <c r="I1370" s="32"/>
      <c r="J1370" s="381">
        <f t="shared" si="226"/>
        <v>0</v>
      </c>
      <c r="K1370" s="383"/>
      <c r="L1370" s="31"/>
      <c r="M1370" s="381">
        <f t="shared" si="227"/>
        <v>0</v>
      </c>
      <c r="N1370" s="383"/>
      <c r="O1370" s="383"/>
      <c r="P1370" s="381">
        <f t="shared" si="228"/>
        <v>0</v>
      </c>
      <c r="Q1370" s="383"/>
      <c r="R1370" s="32"/>
      <c r="S1370" s="25">
        <f t="shared" si="229"/>
        <v>0</v>
      </c>
      <c r="T1370" s="383"/>
      <c r="U1370" s="32"/>
      <c r="V1370" s="381">
        <f t="shared" si="230"/>
        <v>0</v>
      </c>
      <c r="W1370" s="32"/>
      <c r="X1370" s="32">
        <f t="shared" si="231"/>
        <v>0</v>
      </c>
      <c r="Y1370" s="381">
        <f t="shared" si="232"/>
        <v>0</v>
      </c>
    </row>
    <row r="1371" spans="2:25" x14ac:dyDescent="0.2">
      <c r="B1371" s="383"/>
      <c r="C1371" s="32"/>
      <c r="D1371" s="381">
        <f t="shared" si="224"/>
        <v>0</v>
      </c>
      <c r="E1371" s="383"/>
      <c r="F1371" s="8"/>
      <c r="G1371" s="381">
        <f t="shared" si="225"/>
        <v>0</v>
      </c>
      <c r="H1371" s="383"/>
      <c r="I1371" s="32"/>
      <c r="J1371" s="381">
        <f t="shared" si="226"/>
        <v>0</v>
      </c>
      <c r="K1371" s="383"/>
      <c r="L1371" s="31"/>
      <c r="M1371" s="381">
        <f t="shared" si="227"/>
        <v>0</v>
      </c>
      <c r="N1371" s="383"/>
      <c r="O1371" s="383"/>
      <c r="P1371" s="381">
        <f t="shared" si="228"/>
        <v>0</v>
      </c>
      <c r="Q1371" s="383"/>
      <c r="R1371" s="32"/>
      <c r="S1371" s="25">
        <f t="shared" si="229"/>
        <v>0</v>
      </c>
      <c r="T1371" s="383"/>
      <c r="U1371" s="32"/>
      <c r="V1371" s="381">
        <f t="shared" si="230"/>
        <v>0</v>
      </c>
      <c r="W1371" s="32"/>
      <c r="X1371" s="32">
        <f t="shared" si="231"/>
        <v>0</v>
      </c>
      <c r="Y1371" s="381">
        <f t="shared" si="232"/>
        <v>0</v>
      </c>
    </row>
    <row r="1372" spans="2:25" x14ac:dyDescent="0.2">
      <c r="B1372" s="383"/>
      <c r="C1372" s="32"/>
      <c r="D1372" s="381">
        <f t="shared" si="224"/>
        <v>0</v>
      </c>
      <c r="E1372" s="383"/>
      <c r="F1372" s="8"/>
      <c r="G1372" s="381">
        <f t="shared" si="225"/>
        <v>0</v>
      </c>
      <c r="H1372" s="383"/>
      <c r="I1372" s="32"/>
      <c r="J1372" s="381">
        <f t="shared" si="226"/>
        <v>0</v>
      </c>
      <c r="K1372" s="383"/>
      <c r="L1372" s="31"/>
      <c r="M1372" s="381">
        <f t="shared" si="227"/>
        <v>0</v>
      </c>
      <c r="N1372" s="383"/>
      <c r="O1372" s="383"/>
      <c r="P1372" s="381">
        <f t="shared" si="228"/>
        <v>0</v>
      </c>
      <c r="Q1372" s="383"/>
      <c r="R1372" s="32"/>
      <c r="S1372" s="25">
        <f t="shared" si="229"/>
        <v>0</v>
      </c>
      <c r="T1372" s="383"/>
      <c r="U1372" s="32"/>
      <c r="V1372" s="381">
        <f t="shared" si="230"/>
        <v>0</v>
      </c>
      <c r="W1372" s="32"/>
      <c r="X1372" s="32">
        <f t="shared" si="231"/>
        <v>0</v>
      </c>
      <c r="Y1372" s="381">
        <f t="shared" si="232"/>
        <v>0</v>
      </c>
    </row>
    <row r="1373" spans="2:25" x14ac:dyDescent="0.2">
      <c r="B1373" s="383"/>
      <c r="C1373" s="32"/>
      <c r="D1373" s="381">
        <f t="shared" si="224"/>
        <v>0</v>
      </c>
      <c r="E1373" s="383"/>
      <c r="F1373" s="8"/>
      <c r="G1373" s="381">
        <f t="shared" si="225"/>
        <v>0</v>
      </c>
      <c r="H1373" s="383"/>
      <c r="I1373" s="32"/>
      <c r="J1373" s="381">
        <f t="shared" si="226"/>
        <v>0</v>
      </c>
      <c r="K1373" s="383"/>
      <c r="L1373" s="31"/>
      <c r="M1373" s="381">
        <f t="shared" si="227"/>
        <v>0</v>
      </c>
      <c r="N1373" s="383"/>
      <c r="O1373" s="383"/>
      <c r="P1373" s="381">
        <f t="shared" si="228"/>
        <v>0</v>
      </c>
      <c r="Q1373" s="383"/>
      <c r="R1373" s="32"/>
      <c r="S1373" s="25">
        <f t="shared" si="229"/>
        <v>0</v>
      </c>
      <c r="T1373" s="383"/>
      <c r="U1373" s="32"/>
      <c r="V1373" s="381">
        <f t="shared" si="230"/>
        <v>0</v>
      </c>
      <c r="W1373" s="32"/>
      <c r="X1373" s="32">
        <f t="shared" si="231"/>
        <v>0</v>
      </c>
      <c r="Y1373" s="381">
        <f t="shared" si="232"/>
        <v>0</v>
      </c>
    </row>
    <row r="1374" spans="2:25" x14ac:dyDescent="0.2">
      <c r="B1374" s="383"/>
      <c r="C1374" s="32"/>
      <c r="D1374" s="381">
        <f t="shared" si="224"/>
        <v>0</v>
      </c>
      <c r="E1374" s="383"/>
      <c r="F1374" s="8"/>
      <c r="G1374" s="381">
        <f t="shared" si="225"/>
        <v>0</v>
      </c>
      <c r="H1374" s="383"/>
      <c r="I1374" s="32"/>
      <c r="J1374" s="381">
        <f t="shared" si="226"/>
        <v>0</v>
      </c>
      <c r="K1374" s="383"/>
      <c r="L1374" s="31"/>
      <c r="M1374" s="381">
        <f t="shared" si="227"/>
        <v>0</v>
      </c>
      <c r="N1374" s="383"/>
      <c r="O1374" s="383"/>
      <c r="P1374" s="381">
        <f t="shared" si="228"/>
        <v>0</v>
      </c>
      <c r="Q1374" s="383"/>
      <c r="R1374" s="32"/>
      <c r="S1374" s="25">
        <f t="shared" si="229"/>
        <v>0</v>
      </c>
      <c r="T1374" s="383"/>
      <c r="U1374" s="32"/>
      <c r="V1374" s="381">
        <f t="shared" si="230"/>
        <v>0</v>
      </c>
      <c r="W1374" s="32"/>
      <c r="X1374" s="32">
        <f t="shared" si="231"/>
        <v>0</v>
      </c>
      <c r="Y1374" s="381">
        <f t="shared" si="232"/>
        <v>0</v>
      </c>
    </row>
    <row r="1375" spans="2:25" x14ac:dyDescent="0.2">
      <c r="B1375" s="383"/>
      <c r="C1375" s="32"/>
      <c r="D1375" s="381">
        <f t="shared" si="224"/>
        <v>0</v>
      </c>
      <c r="E1375" s="383"/>
      <c r="F1375" s="8"/>
      <c r="G1375" s="381">
        <f t="shared" si="225"/>
        <v>0</v>
      </c>
      <c r="H1375" s="383"/>
      <c r="I1375" s="32"/>
      <c r="J1375" s="381">
        <f t="shared" si="226"/>
        <v>0</v>
      </c>
      <c r="K1375" s="383"/>
      <c r="L1375" s="31"/>
      <c r="M1375" s="381">
        <f t="shared" si="227"/>
        <v>0</v>
      </c>
      <c r="N1375" s="383"/>
      <c r="O1375" s="383"/>
      <c r="P1375" s="381">
        <f t="shared" si="228"/>
        <v>0</v>
      </c>
      <c r="Q1375" s="383"/>
      <c r="R1375" s="32"/>
      <c r="S1375" s="25">
        <f t="shared" si="229"/>
        <v>0</v>
      </c>
      <c r="T1375" s="383"/>
      <c r="U1375" s="32"/>
      <c r="V1375" s="381">
        <f t="shared" si="230"/>
        <v>0</v>
      </c>
      <c r="W1375" s="32"/>
      <c r="X1375" s="32">
        <f t="shared" si="231"/>
        <v>0</v>
      </c>
      <c r="Y1375" s="381">
        <f t="shared" si="232"/>
        <v>0</v>
      </c>
    </row>
    <row r="1376" spans="2:25" x14ac:dyDescent="0.2">
      <c r="B1376" s="383"/>
      <c r="C1376" s="32"/>
      <c r="D1376" s="381">
        <f t="shared" si="224"/>
        <v>0</v>
      </c>
      <c r="E1376" s="383"/>
      <c r="F1376" s="8"/>
      <c r="G1376" s="381">
        <f t="shared" si="225"/>
        <v>0</v>
      </c>
      <c r="H1376" s="383"/>
      <c r="I1376" s="32"/>
      <c r="J1376" s="381">
        <f t="shared" si="226"/>
        <v>0</v>
      </c>
      <c r="K1376" s="383"/>
      <c r="L1376" s="31"/>
      <c r="M1376" s="381">
        <f t="shared" si="227"/>
        <v>0</v>
      </c>
      <c r="N1376" s="383"/>
      <c r="O1376" s="383"/>
      <c r="P1376" s="381">
        <f t="shared" si="228"/>
        <v>0</v>
      </c>
      <c r="Q1376" s="383"/>
      <c r="R1376" s="32"/>
      <c r="S1376" s="25">
        <f t="shared" si="229"/>
        <v>0</v>
      </c>
      <c r="T1376" s="383"/>
      <c r="U1376" s="32"/>
      <c r="V1376" s="381">
        <f t="shared" si="230"/>
        <v>0</v>
      </c>
      <c r="W1376" s="32"/>
      <c r="X1376" s="32">
        <f t="shared" si="231"/>
        <v>0</v>
      </c>
      <c r="Y1376" s="381">
        <f t="shared" si="232"/>
        <v>0</v>
      </c>
    </row>
    <row r="1377" spans="2:25" x14ac:dyDescent="0.2">
      <c r="B1377" s="383"/>
      <c r="C1377" s="32"/>
      <c r="D1377" s="381">
        <f t="shared" si="224"/>
        <v>0</v>
      </c>
      <c r="E1377" s="383"/>
      <c r="F1377" s="8"/>
      <c r="G1377" s="381">
        <f t="shared" si="225"/>
        <v>0</v>
      </c>
      <c r="H1377" s="383"/>
      <c r="I1377" s="32"/>
      <c r="J1377" s="381">
        <f t="shared" si="226"/>
        <v>0</v>
      </c>
      <c r="K1377" s="383"/>
      <c r="L1377" s="31"/>
      <c r="M1377" s="381">
        <f t="shared" si="227"/>
        <v>0</v>
      </c>
      <c r="N1377" s="383"/>
      <c r="O1377" s="383"/>
      <c r="P1377" s="381">
        <f t="shared" si="228"/>
        <v>0</v>
      </c>
      <c r="Q1377" s="383"/>
      <c r="R1377" s="32"/>
      <c r="S1377" s="25">
        <f t="shared" si="229"/>
        <v>0</v>
      </c>
      <c r="T1377" s="383"/>
      <c r="U1377" s="32"/>
      <c r="V1377" s="381">
        <f t="shared" si="230"/>
        <v>0</v>
      </c>
      <c r="W1377" s="32"/>
      <c r="X1377" s="32">
        <f t="shared" si="231"/>
        <v>0</v>
      </c>
      <c r="Y1377" s="381">
        <f t="shared" si="232"/>
        <v>0</v>
      </c>
    </row>
    <row r="1378" spans="2:25" x14ac:dyDescent="0.2">
      <c r="B1378" s="383"/>
      <c r="C1378" s="32"/>
      <c r="D1378" s="381">
        <f t="shared" si="224"/>
        <v>0</v>
      </c>
      <c r="E1378" s="383"/>
      <c r="F1378" s="8"/>
      <c r="G1378" s="381">
        <f t="shared" si="225"/>
        <v>0</v>
      </c>
      <c r="H1378" s="383"/>
      <c r="I1378" s="32"/>
      <c r="J1378" s="381">
        <f t="shared" si="226"/>
        <v>0</v>
      </c>
      <c r="K1378" s="383"/>
      <c r="L1378" s="31"/>
      <c r="M1378" s="381">
        <f t="shared" si="227"/>
        <v>0</v>
      </c>
      <c r="N1378" s="383"/>
      <c r="O1378" s="383"/>
      <c r="P1378" s="381">
        <f t="shared" si="228"/>
        <v>0</v>
      </c>
      <c r="Q1378" s="383"/>
      <c r="R1378" s="32"/>
      <c r="S1378" s="25">
        <f t="shared" si="229"/>
        <v>0</v>
      </c>
      <c r="T1378" s="383"/>
      <c r="U1378" s="32"/>
      <c r="V1378" s="381">
        <f t="shared" si="230"/>
        <v>0</v>
      </c>
      <c r="W1378" s="32"/>
      <c r="X1378" s="383"/>
      <c r="Y1378" s="381">
        <f t="shared" si="232"/>
        <v>0</v>
      </c>
    </row>
    <row r="1379" spans="2:25" x14ac:dyDescent="0.2">
      <c r="B1379" s="383"/>
      <c r="C1379" s="32"/>
      <c r="D1379" s="381">
        <f t="shared" si="224"/>
        <v>0</v>
      </c>
      <c r="E1379" s="383"/>
      <c r="F1379" s="8"/>
      <c r="G1379" s="381">
        <f t="shared" si="225"/>
        <v>0</v>
      </c>
      <c r="H1379" s="383"/>
      <c r="I1379" s="32"/>
      <c r="J1379" s="381">
        <f t="shared" si="226"/>
        <v>0</v>
      </c>
      <c r="K1379" s="383"/>
      <c r="L1379" s="31"/>
      <c r="M1379" s="381">
        <f t="shared" si="227"/>
        <v>0</v>
      </c>
      <c r="N1379" s="383"/>
      <c r="O1379" s="383"/>
      <c r="P1379" s="381">
        <f t="shared" si="228"/>
        <v>0</v>
      </c>
      <c r="Q1379" s="383"/>
      <c r="R1379" s="32"/>
      <c r="S1379" s="25">
        <f t="shared" si="229"/>
        <v>0</v>
      </c>
      <c r="T1379" s="383"/>
      <c r="U1379" s="32"/>
      <c r="V1379" s="381">
        <f t="shared" si="230"/>
        <v>0</v>
      </c>
      <c r="W1379" s="32"/>
      <c r="X1379" s="383"/>
      <c r="Y1379" s="381">
        <f t="shared" si="232"/>
        <v>0</v>
      </c>
    </row>
    <row r="1380" spans="2:25" x14ac:dyDescent="0.2">
      <c r="B1380" s="383"/>
      <c r="C1380" s="32"/>
      <c r="D1380" s="381">
        <f t="shared" si="224"/>
        <v>0</v>
      </c>
      <c r="E1380" s="383"/>
      <c r="F1380" s="8"/>
      <c r="G1380" s="381">
        <f t="shared" si="225"/>
        <v>0</v>
      </c>
      <c r="H1380" s="383"/>
      <c r="I1380" s="32"/>
      <c r="J1380" s="381">
        <f t="shared" si="226"/>
        <v>0</v>
      </c>
      <c r="K1380" s="383"/>
      <c r="L1380" s="31"/>
      <c r="M1380" s="381">
        <f t="shared" si="227"/>
        <v>0</v>
      </c>
      <c r="N1380" s="383"/>
      <c r="O1380" s="383"/>
      <c r="P1380" s="381">
        <f t="shared" si="228"/>
        <v>0</v>
      </c>
      <c r="Q1380" s="383"/>
      <c r="R1380" s="32"/>
      <c r="S1380" s="25">
        <f t="shared" si="229"/>
        <v>0</v>
      </c>
      <c r="T1380" s="383"/>
      <c r="U1380" s="32"/>
      <c r="V1380" s="381">
        <f t="shared" si="230"/>
        <v>0</v>
      </c>
      <c r="W1380" s="32"/>
      <c r="X1380" s="383"/>
      <c r="Y1380" s="381">
        <f t="shared" si="232"/>
        <v>0</v>
      </c>
    </row>
    <row r="1381" spans="2:25" x14ac:dyDescent="0.2">
      <c r="B1381" s="383"/>
      <c r="C1381" s="32"/>
      <c r="D1381" s="381">
        <f t="shared" si="224"/>
        <v>0</v>
      </c>
      <c r="E1381" s="383"/>
      <c r="F1381" s="8"/>
      <c r="G1381" s="381">
        <f t="shared" si="225"/>
        <v>0</v>
      </c>
      <c r="H1381" s="383"/>
      <c r="I1381" s="32"/>
      <c r="J1381" s="381">
        <f t="shared" si="226"/>
        <v>0</v>
      </c>
      <c r="K1381" s="383"/>
      <c r="L1381" s="31"/>
      <c r="M1381" s="381">
        <f t="shared" si="227"/>
        <v>0</v>
      </c>
      <c r="N1381" s="383"/>
      <c r="O1381" s="383"/>
      <c r="P1381" s="381">
        <f t="shared" si="228"/>
        <v>0</v>
      </c>
      <c r="Q1381" s="383"/>
      <c r="R1381" s="32"/>
      <c r="S1381" s="25">
        <f t="shared" si="229"/>
        <v>0</v>
      </c>
      <c r="T1381" s="383"/>
      <c r="U1381" s="32"/>
      <c r="V1381" s="381">
        <f t="shared" si="230"/>
        <v>0</v>
      </c>
      <c r="W1381" s="32"/>
      <c r="X1381" s="383"/>
      <c r="Y1381" s="381">
        <f t="shared" si="232"/>
        <v>0</v>
      </c>
    </row>
    <row r="1382" spans="2:25" x14ac:dyDescent="0.2">
      <c r="B1382" s="383"/>
      <c r="C1382" s="32"/>
      <c r="D1382" s="381">
        <f t="shared" si="224"/>
        <v>0</v>
      </c>
      <c r="E1382" s="383"/>
      <c r="F1382" s="8"/>
      <c r="G1382" s="381">
        <f t="shared" si="225"/>
        <v>0</v>
      </c>
      <c r="H1382" s="383"/>
      <c r="I1382" s="32"/>
      <c r="J1382" s="381">
        <f t="shared" si="226"/>
        <v>0</v>
      </c>
      <c r="K1382" s="383"/>
      <c r="L1382" s="31"/>
      <c r="M1382" s="381">
        <f t="shared" si="227"/>
        <v>0</v>
      </c>
      <c r="N1382" s="383"/>
      <c r="O1382" s="383"/>
      <c r="P1382" s="381">
        <f t="shared" si="228"/>
        <v>0</v>
      </c>
      <c r="Q1382" s="383"/>
      <c r="R1382" s="32"/>
      <c r="S1382" s="25">
        <f t="shared" si="229"/>
        <v>0</v>
      </c>
      <c r="T1382" s="383"/>
      <c r="U1382" s="32"/>
      <c r="V1382" s="381">
        <f t="shared" si="230"/>
        <v>0</v>
      </c>
      <c r="W1382" s="32"/>
      <c r="X1382" s="383"/>
      <c r="Y1382" s="381">
        <f t="shared" si="232"/>
        <v>0</v>
      </c>
    </row>
    <row r="1383" spans="2:25" x14ac:dyDescent="0.2">
      <c r="B1383" s="383"/>
      <c r="C1383" s="32"/>
      <c r="D1383" s="381">
        <f t="shared" si="224"/>
        <v>0</v>
      </c>
      <c r="E1383" s="383"/>
      <c r="F1383" s="8"/>
      <c r="G1383" s="381">
        <f t="shared" si="225"/>
        <v>0</v>
      </c>
      <c r="H1383" s="383"/>
      <c r="I1383" s="32"/>
      <c r="J1383" s="381">
        <f t="shared" si="226"/>
        <v>0</v>
      </c>
      <c r="K1383" s="383"/>
      <c r="L1383" s="31"/>
      <c r="M1383" s="381">
        <f t="shared" si="227"/>
        <v>0</v>
      </c>
      <c r="N1383" s="383"/>
      <c r="O1383" s="383"/>
      <c r="P1383" s="381">
        <f t="shared" si="228"/>
        <v>0</v>
      </c>
      <c r="Q1383" s="383"/>
      <c r="R1383" s="32"/>
      <c r="S1383" s="25">
        <f t="shared" si="229"/>
        <v>0</v>
      </c>
      <c r="T1383" s="383"/>
      <c r="U1383" s="32"/>
      <c r="V1383" s="381">
        <f t="shared" si="230"/>
        <v>0</v>
      </c>
      <c r="W1383" s="32"/>
      <c r="X1383" s="383"/>
      <c r="Y1383" s="381">
        <f t="shared" si="232"/>
        <v>0</v>
      </c>
    </row>
    <row r="1384" spans="2:25" x14ac:dyDescent="0.2">
      <c r="B1384" s="383"/>
      <c r="C1384" s="32"/>
      <c r="D1384" s="381">
        <f t="shared" si="224"/>
        <v>0</v>
      </c>
      <c r="E1384" s="383"/>
      <c r="F1384" s="8"/>
      <c r="G1384" s="381">
        <f t="shared" si="225"/>
        <v>0</v>
      </c>
      <c r="H1384" s="383"/>
      <c r="I1384" s="32"/>
      <c r="J1384" s="381">
        <f t="shared" si="226"/>
        <v>0</v>
      </c>
      <c r="K1384" s="383"/>
      <c r="L1384" s="31"/>
      <c r="M1384" s="381">
        <f t="shared" si="227"/>
        <v>0</v>
      </c>
      <c r="N1384" s="383"/>
      <c r="O1384" s="383"/>
      <c r="P1384" s="381">
        <f t="shared" si="228"/>
        <v>0</v>
      </c>
      <c r="Q1384" s="383"/>
      <c r="R1384" s="32"/>
      <c r="S1384" s="25">
        <f t="shared" si="229"/>
        <v>0</v>
      </c>
      <c r="T1384" s="383"/>
      <c r="U1384" s="32"/>
      <c r="V1384" s="381">
        <f t="shared" si="230"/>
        <v>0</v>
      </c>
      <c r="W1384" s="32"/>
      <c r="X1384" s="383"/>
      <c r="Y1384" s="381">
        <f t="shared" si="232"/>
        <v>0</v>
      </c>
    </row>
    <row r="1385" spans="2:25" x14ac:dyDescent="0.2">
      <c r="B1385" s="383"/>
      <c r="C1385" s="32"/>
      <c r="D1385" s="381">
        <f t="shared" si="224"/>
        <v>0</v>
      </c>
      <c r="E1385" s="383"/>
      <c r="F1385" s="8"/>
      <c r="G1385" s="381">
        <f t="shared" si="225"/>
        <v>0</v>
      </c>
      <c r="H1385" s="383"/>
      <c r="I1385" s="32"/>
      <c r="J1385" s="381">
        <f t="shared" si="226"/>
        <v>0</v>
      </c>
      <c r="K1385" s="383"/>
      <c r="L1385" s="31"/>
      <c r="M1385" s="381">
        <f t="shared" si="227"/>
        <v>0</v>
      </c>
      <c r="N1385" s="383"/>
      <c r="O1385" s="383"/>
      <c r="P1385" s="381">
        <f t="shared" si="228"/>
        <v>0</v>
      </c>
      <c r="Q1385" s="383"/>
      <c r="R1385" s="32"/>
      <c r="S1385" s="25">
        <f t="shared" si="229"/>
        <v>0</v>
      </c>
      <c r="T1385" s="383"/>
      <c r="U1385" s="32"/>
      <c r="V1385" s="381">
        <f t="shared" si="230"/>
        <v>0</v>
      </c>
      <c r="W1385" s="32"/>
      <c r="X1385" s="383"/>
      <c r="Y1385" s="381">
        <f t="shared" si="232"/>
        <v>0</v>
      </c>
    </row>
    <row r="1386" spans="2:25" x14ac:dyDescent="0.2">
      <c r="B1386" s="383"/>
      <c r="C1386" s="32"/>
      <c r="D1386" s="381">
        <f t="shared" si="224"/>
        <v>0</v>
      </c>
      <c r="E1386" s="383"/>
      <c r="F1386" s="8"/>
      <c r="G1386" s="381">
        <f t="shared" si="225"/>
        <v>0</v>
      </c>
      <c r="H1386" s="383"/>
      <c r="I1386" s="32"/>
      <c r="J1386" s="381">
        <f t="shared" si="226"/>
        <v>0</v>
      </c>
      <c r="K1386" s="383"/>
      <c r="L1386" s="31"/>
      <c r="M1386" s="381">
        <f t="shared" si="227"/>
        <v>0</v>
      </c>
      <c r="N1386" s="383"/>
      <c r="O1386" s="383"/>
      <c r="P1386" s="381">
        <f t="shared" si="228"/>
        <v>0</v>
      </c>
      <c r="Q1386" s="383"/>
      <c r="R1386" s="32"/>
      <c r="S1386" s="25">
        <f t="shared" si="229"/>
        <v>0</v>
      </c>
      <c r="T1386" s="383"/>
      <c r="U1386" s="32"/>
      <c r="V1386" s="381">
        <f t="shared" si="230"/>
        <v>0</v>
      </c>
      <c r="W1386" s="32"/>
      <c r="X1386" s="383"/>
      <c r="Y1386" s="381">
        <f t="shared" si="232"/>
        <v>0</v>
      </c>
    </row>
    <row r="1387" spans="2:25" x14ac:dyDescent="0.2">
      <c r="B1387" s="383"/>
      <c r="C1387" s="32"/>
      <c r="D1387" s="381">
        <f t="shared" si="224"/>
        <v>0</v>
      </c>
      <c r="E1387" s="383"/>
      <c r="F1387" s="8"/>
      <c r="G1387" s="381">
        <f t="shared" si="225"/>
        <v>0</v>
      </c>
      <c r="H1387" s="383"/>
      <c r="I1387" s="32"/>
      <c r="J1387" s="381">
        <f t="shared" si="226"/>
        <v>0</v>
      </c>
      <c r="K1387" s="383"/>
      <c r="L1387" s="31"/>
      <c r="M1387" s="381">
        <f t="shared" si="227"/>
        <v>0</v>
      </c>
      <c r="N1387" s="383"/>
      <c r="O1387" s="383"/>
      <c r="P1387" s="381">
        <f t="shared" si="228"/>
        <v>0</v>
      </c>
      <c r="Q1387" s="383"/>
      <c r="R1387" s="32"/>
      <c r="S1387" s="25">
        <f t="shared" si="229"/>
        <v>0</v>
      </c>
      <c r="T1387" s="383"/>
      <c r="U1387" s="32"/>
      <c r="V1387" s="381">
        <f t="shared" si="230"/>
        <v>0</v>
      </c>
      <c r="W1387" s="32"/>
      <c r="X1387" s="383"/>
      <c r="Y1387" s="381">
        <f t="shared" si="232"/>
        <v>0</v>
      </c>
    </row>
    <row r="1388" spans="2:25" x14ac:dyDescent="0.2">
      <c r="B1388" s="383"/>
      <c r="C1388" s="32"/>
      <c r="D1388" s="381">
        <f t="shared" si="224"/>
        <v>0</v>
      </c>
      <c r="E1388" s="383"/>
      <c r="F1388" s="8"/>
      <c r="G1388" s="381">
        <f t="shared" si="225"/>
        <v>0</v>
      </c>
      <c r="H1388" s="383"/>
      <c r="I1388" s="32"/>
      <c r="J1388" s="381">
        <f t="shared" si="226"/>
        <v>0</v>
      </c>
      <c r="K1388" s="383"/>
      <c r="L1388" s="31"/>
      <c r="M1388" s="381">
        <f t="shared" si="227"/>
        <v>0</v>
      </c>
      <c r="N1388" s="383"/>
      <c r="O1388" s="383"/>
      <c r="P1388" s="381">
        <f t="shared" si="228"/>
        <v>0</v>
      </c>
      <c r="Q1388" s="383"/>
      <c r="R1388" s="32"/>
      <c r="S1388" s="25">
        <f t="shared" si="229"/>
        <v>0</v>
      </c>
      <c r="T1388" s="383"/>
      <c r="U1388" s="32"/>
      <c r="V1388" s="381">
        <f t="shared" si="230"/>
        <v>0</v>
      </c>
      <c r="W1388" s="32"/>
      <c r="X1388" s="383"/>
      <c r="Y1388" s="381">
        <f t="shared" si="232"/>
        <v>0</v>
      </c>
    </row>
    <row r="1389" spans="2:25" x14ac:dyDescent="0.2">
      <c r="B1389" s="383"/>
      <c r="C1389" s="32"/>
      <c r="D1389" s="381">
        <f t="shared" si="224"/>
        <v>0</v>
      </c>
      <c r="E1389" s="383"/>
      <c r="F1389" s="8"/>
      <c r="G1389" s="381">
        <f t="shared" si="225"/>
        <v>0</v>
      </c>
      <c r="H1389" s="383"/>
      <c r="I1389" s="32"/>
      <c r="J1389" s="381">
        <f t="shared" si="226"/>
        <v>0</v>
      </c>
      <c r="K1389" s="383"/>
      <c r="L1389" s="31"/>
      <c r="M1389" s="381">
        <f t="shared" si="227"/>
        <v>0</v>
      </c>
      <c r="N1389" s="383"/>
      <c r="O1389" s="383"/>
      <c r="P1389" s="381">
        <f t="shared" si="228"/>
        <v>0</v>
      </c>
      <c r="Q1389" s="383"/>
      <c r="R1389" s="32"/>
      <c r="S1389" s="25">
        <f t="shared" si="229"/>
        <v>0</v>
      </c>
      <c r="T1389" s="383"/>
      <c r="U1389" s="32"/>
      <c r="V1389" s="381">
        <f t="shared" si="230"/>
        <v>0</v>
      </c>
      <c r="W1389" s="32"/>
      <c r="X1389" s="383"/>
      <c r="Y1389" s="381">
        <f t="shared" si="232"/>
        <v>0</v>
      </c>
    </row>
    <row r="1390" spans="2:25" x14ac:dyDescent="0.2">
      <c r="B1390" s="383"/>
      <c r="C1390" s="32"/>
      <c r="D1390" s="381">
        <f t="shared" si="224"/>
        <v>0</v>
      </c>
      <c r="E1390" s="383"/>
      <c r="F1390" s="8"/>
      <c r="G1390" s="381">
        <f t="shared" si="225"/>
        <v>0</v>
      </c>
      <c r="H1390" s="383"/>
      <c r="I1390" s="32"/>
      <c r="J1390" s="381">
        <f t="shared" si="226"/>
        <v>0</v>
      </c>
      <c r="K1390" s="383"/>
      <c r="L1390" s="31"/>
      <c r="M1390" s="381">
        <f t="shared" si="227"/>
        <v>0</v>
      </c>
      <c r="N1390" s="383"/>
      <c r="O1390" s="383"/>
      <c r="P1390" s="381">
        <f t="shared" si="228"/>
        <v>0</v>
      </c>
      <c r="Q1390" s="383"/>
      <c r="R1390" s="32"/>
      <c r="S1390" s="25">
        <f t="shared" si="229"/>
        <v>0</v>
      </c>
      <c r="T1390" s="383"/>
      <c r="U1390" s="32"/>
      <c r="V1390" s="381">
        <f t="shared" si="230"/>
        <v>0</v>
      </c>
      <c r="W1390" s="32"/>
      <c r="X1390" s="383"/>
      <c r="Y1390" s="381">
        <f t="shared" si="232"/>
        <v>0</v>
      </c>
    </row>
    <row r="1391" spans="2:25" x14ac:dyDescent="0.2">
      <c r="B1391" s="383"/>
      <c r="C1391" s="32"/>
      <c r="D1391" s="381">
        <f t="shared" si="224"/>
        <v>0</v>
      </c>
      <c r="E1391" s="383"/>
      <c r="F1391" s="8"/>
      <c r="G1391" s="381">
        <f t="shared" si="225"/>
        <v>0</v>
      </c>
      <c r="H1391" s="383"/>
      <c r="I1391" s="32"/>
      <c r="J1391" s="381">
        <f t="shared" si="226"/>
        <v>0</v>
      </c>
      <c r="K1391" s="383"/>
      <c r="L1391" s="31"/>
      <c r="M1391" s="381">
        <f t="shared" si="227"/>
        <v>0</v>
      </c>
      <c r="N1391" s="383"/>
      <c r="O1391" s="383"/>
      <c r="P1391" s="381">
        <f t="shared" si="228"/>
        <v>0</v>
      </c>
      <c r="Q1391" s="383"/>
      <c r="R1391" s="32"/>
      <c r="S1391" s="25">
        <f t="shared" si="229"/>
        <v>0</v>
      </c>
      <c r="T1391" s="383"/>
      <c r="U1391" s="32"/>
      <c r="V1391" s="381">
        <f t="shared" si="230"/>
        <v>0</v>
      </c>
      <c r="W1391" s="32"/>
      <c r="X1391" s="383"/>
      <c r="Y1391" s="381">
        <f t="shared" si="232"/>
        <v>0</v>
      </c>
    </row>
    <row r="1392" spans="2:25" x14ac:dyDescent="0.2">
      <c r="B1392" s="383"/>
      <c r="C1392" s="32"/>
      <c r="D1392" s="381">
        <f t="shared" si="224"/>
        <v>0</v>
      </c>
      <c r="E1392" s="383"/>
      <c r="F1392" s="8"/>
      <c r="G1392" s="381">
        <f t="shared" si="225"/>
        <v>0</v>
      </c>
      <c r="H1392" s="383"/>
      <c r="I1392" s="32"/>
      <c r="J1392" s="381">
        <f t="shared" si="226"/>
        <v>0</v>
      </c>
      <c r="K1392" s="383"/>
      <c r="L1392" s="31"/>
      <c r="M1392" s="381">
        <f t="shared" si="227"/>
        <v>0</v>
      </c>
      <c r="N1392" s="383"/>
      <c r="O1392" s="383"/>
      <c r="P1392" s="381">
        <f t="shared" si="228"/>
        <v>0</v>
      </c>
      <c r="Q1392" s="383"/>
      <c r="R1392" s="32"/>
      <c r="S1392" s="25">
        <f t="shared" si="229"/>
        <v>0</v>
      </c>
      <c r="T1392" s="383"/>
      <c r="U1392" s="32"/>
      <c r="V1392" s="381">
        <f t="shared" si="230"/>
        <v>0</v>
      </c>
      <c r="W1392" s="32"/>
      <c r="X1392" s="383"/>
      <c r="Y1392" s="381">
        <f t="shared" si="232"/>
        <v>0</v>
      </c>
    </row>
    <row r="1393" spans="2:25" x14ac:dyDescent="0.2">
      <c r="B1393" s="383"/>
      <c r="C1393" s="32"/>
      <c r="D1393" s="381">
        <f t="shared" si="224"/>
        <v>0</v>
      </c>
      <c r="E1393" s="383"/>
      <c r="F1393" s="8"/>
      <c r="G1393" s="381">
        <f t="shared" si="225"/>
        <v>0</v>
      </c>
      <c r="H1393" s="383"/>
      <c r="I1393" s="32"/>
      <c r="J1393" s="381">
        <f t="shared" si="226"/>
        <v>0</v>
      </c>
      <c r="K1393" s="383"/>
      <c r="L1393" s="31"/>
      <c r="M1393" s="381">
        <f t="shared" si="227"/>
        <v>0</v>
      </c>
      <c r="N1393" s="383"/>
      <c r="O1393" s="383"/>
      <c r="P1393" s="381">
        <f t="shared" si="228"/>
        <v>0</v>
      </c>
      <c r="Q1393" s="383"/>
      <c r="R1393" s="32"/>
      <c r="S1393" s="25">
        <f t="shared" si="229"/>
        <v>0</v>
      </c>
      <c r="T1393" s="383"/>
      <c r="U1393" s="32"/>
      <c r="V1393" s="381">
        <f t="shared" si="230"/>
        <v>0</v>
      </c>
      <c r="W1393" s="32"/>
      <c r="X1393" s="383"/>
      <c r="Y1393" s="381">
        <f t="shared" si="232"/>
        <v>0</v>
      </c>
    </row>
    <row r="1394" spans="2:25" x14ac:dyDescent="0.2">
      <c r="B1394" s="383"/>
      <c r="C1394" s="32"/>
      <c r="D1394" s="381">
        <f t="shared" si="224"/>
        <v>0</v>
      </c>
      <c r="E1394" s="383"/>
      <c r="F1394" s="8"/>
      <c r="G1394" s="381">
        <f t="shared" si="225"/>
        <v>0</v>
      </c>
      <c r="H1394" s="383"/>
      <c r="I1394" s="32"/>
      <c r="J1394" s="381">
        <f t="shared" si="226"/>
        <v>0</v>
      </c>
      <c r="K1394" s="383"/>
      <c r="L1394" s="31"/>
      <c r="M1394" s="381">
        <f t="shared" si="227"/>
        <v>0</v>
      </c>
      <c r="N1394" s="383"/>
      <c r="O1394" s="383"/>
      <c r="P1394" s="381">
        <f t="shared" si="228"/>
        <v>0</v>
      </c>
      <c r="Q1394" s="383"/>
      <c r="R1394" s="32"/>
      <c r="S1394" s="25">
        <f t="shared" si="229"/>
        <v>0</v>
      </c>
      <c r="T1394" s="383"/>
      <c r="U1394" s="32"/>
      <c r="V1394" s="381">
        <f t="shared" si="230"/>
        <v>0</v>
      </c>
      <c r="W1394" s="32"/>
      <c r="X1394" s="383"/>
      <c r="Y1394" s="381">
        <f t="shared" si="232"/>
        <v>0</v>
      </c>
    </row>
    <row r="1395" spans="2:25" x14ac:dyDescent="0.2">
      <c r="B1395" s="383"/>
      <c r="C1395" s="32"/>
      <c r="D1395" s="381">
        <f t="shared" si="224"/>
        <v>0</v>
      </c>
      <c r="E1395" s="383"/>
      <c r="F1395" s="8"/>
      <c r="G1395" s="381">
        <f t="shared" si="225"/>
        <v>0</v>
      </c>
      <c r="H1395" s="383"/>
      <c r="I1395" s="32"/>
      <c r="J1395" s="381">
        <f t="shared" si="226"/>
        <v>0</v>
      </c>
      <c r="K1395" s="383"/>
      <c r="L1395" s="31"/>
      <c r="M1395" s="381">
        <f t="shared" si="227"/>
        <v>0</v>
      </c>
      <c r="N1395" s="383"/>
      <c r="O1395" s="383"/>
      <c r="P1395" s="381">
        <f t="shared" si="228"/>
        <v>0</v>
      </c>
      <c r="Q1395" s="383"/>
      <c r="R1395" s="32"/>
      <c r="S1395" s="25">
        <f t="shared" si="229"/>
        <v>0</v>
      </c>
      <c r="T1395" s="383"/>
      <c r="U1395" s="32"/>
      <c r="V1395" s="381">
        <f t="shared" si="230"/>
        <v>0</v>
      </c>
      <c r="W1395" s="32"/>
      <c r="X1395" s="383"/>
      <c r="Y1395" s="381">
        <f t="shared" si="232"/>
        <v>0</v>
      </c>
    </row>
    <row r="1396" spans="2:25" x14ac:dyDescent="0.2">
      <c r="B1396" s="383"/>
      <c r="C1396" s="32"/>
      <c r="D1396" s="381">
        <f t="shared" si="224"/>
        <v>0</v>
      </c>
      <c r="E1396" s="383"/>
      <c r="F1396" s="8"/>
      <c r="G1396" s="381">
        <f t="shared" si="225"/>
        <v>0</v>
      </c>
      <c r="H1396" s="383"/>
      <c r="I1396" s="32"/>
      <c r="J1396" s="381">
        <f t="shared" si="226"/>
        <v>0</v>
      </c>
      <c r="K1396" s="383"/>
      <c r="L1396" s="31"/>
      <c r="M1396" s="381">
        <f t="shared" si="227"/>
        <v>0</v>
      </c>
      <c r="N1396" s="383"/>
      <c r="O1396" s="383"/>
      <c r="P1396" s="381">
        <f t="shared" si="228"/>
        <v>0</v>
      </c>
      <c r="Q1396" s="383"/>
      <c r="R1396" s="32"/>
      <c r="S1396" s="25">
        <f t="shared" si="229"/>
        <v>0</v>
      </c>
      <c r="T1396" s="383"/>
      <c r="U1396" s="32"/>
      <c r="V1396" s="381">
        <f t="shared" si="230"/>
        <v>0</v>
      </c>
      <c r="W1396" s="32"/>
      <c r="X1396" s="383"/>
      <c r="Y1396" s="381">
        <f t="shared" si="232"/>
        <v>0</v>
      </c>
    </row>
    <row r="1397" spans="2:25" x14ac:dyDescent="0.2">
      <c r="B1397" s="383"/>
      <c r="C1397" s="32"/>
      <c r="D1397" s="381">
        <f t="shared" si="224"/>
        <v>0</v>
      </c>
      <c r="E1397" s="383"/>
      <c r="F1397" s="8"/>
      <c r="G1397" s="381">
        <f t="shared" si="225"/>
        <v>0</v>
      </c>
      <c r="H1397" s="383"/>
      <c r="I1397" s="32"/>
      <c r="J1397" s="381">
        <f t="shared" si="226"/>
        <v>0</v>
      </c>
      <c r="K1397" s="383"/>
      <c r="L1397" s="31"/>
      <c r="M1397" s="381">
        <f t="shared" si="227"/>
        <v>0</v>
      </c>
      <c r="N1397" s="383"/>
      <c r="O1397" s="383"/>
      <c r="P1397" s="381">
        <f t="shared" si="228"/>
        <v>0</v>
      </c>
      <c r="Q1397" s="383"/>
      <c r="R1397" s="32"/>
      <c r="S1397" s="25">
        <f t="shared" si="229"/>
        <v>0</v>
      </c>
      <c r="T1397" s="383"/>
      <c r="U1397" s="32"/>
      <c r="V1397" s="381">
        <f t="shared" si="230"/>
        <v>0</v>
      </c>
      <c r="W1397" s="32"/>
      <c r="X1397" s="383"/>
      <c r="Y1397" s="381">
        <f t="shared" si="232"/>
        <v>0</v>
      </c>
    </row>
    <row r="1398" spans="2:25" x14ac:dyDescent="0.2">
      <c r="B1398" s="383"/>
      <c r="C1398" s="32"/>
      <c r="D1398" s="381">
        <f t="shared" si="224"/>
        <v>0</v>
      </c>
      <c r="E1398" s="383"/>
      <c r="F1398" s="8"/>
      <c r="G1398" s="381">
        <f t="shared" si="225"/>
        <v>0</v>
      </c>
      <c r="H1398" s="383"/>
      <c r="I1398" s="32"/>
      <c r="J1398" s="381">
        <f t="shared" si="226"/>
        <v>0</v>
      </c>
      <c r="K1398" s="383"/>
      <c r="L1398" s="31"/>
      <c r="M1398" s="381">
        <f t="shared" si="227"/>
        <v>0</v>
      </c>
      <c r="N1398" s="383"/>
      <c r="O1398" s="383"/>
      <c r="P1398" s="381">
        <f t="shared" si="228"/>
        <v>0</v>
      </c>
      <c r="Q1398" s="383"/>
      <c r="R1398" s="32"/>
      <c r="S1398" s="25">
        <f t="shared" si="229"/>
        <v>0</v>
      </c>
      <c r="T1398" s="383"/>
      <c r="U1398" s="32"/>
      <c r="V1398" s="381">
        <f t="shared" si="230"/>
        <v>0</v>
      </c>
      <c r="W1398" s="32"/>
      <c r="X1398" s="383"/>
      <c r="Y1398" s="381">
        <f t="shared" si="232"/>
        <v>0</v>
      </c>
    </row>
    <row r="1399" spans="2:25" x14ac:dyDescent="0.2">
      <c r="B1399" s="383"/>
      <c r="C1399" s="32"/>
      <c r="D1399" s="381">
        <f t="shared" si="224"/>
        <v>0</v>
      </c>
      <c r="E1399" s="383"/>
      <c r="F1399" s="8"/>
      <c r="G1399" s="381">
        <f t="shared" si="225"/>
        <v>0</v>
      </c>
      <c r="H1399" s="383"/>
      <c r="I1399" s="32"/>
      <c r="J1399" s="381">
        <f t="shared" si="226"/>
        <v>0</v>
      </c>
      <c r="K1399" s="383"/>
      <c r="L1399" s="31"/>
      <c r="M1399" s="381">
        <f t="shared" si="227"/>
        <v>0</v>
      </c>
      <c r="N1399" s="383"/>
      <c r="O1399" s="383"/>
      <c r="P1399" s="381">
        <f t="shared" si="228"/>
        <v>0</v>
      </c>
      <c r="Q1399" s="383"/>
      <c r="R1399" s="32"/>
      <c r="S1399" s="25">
        <f t="shared" si="229"/>
        <v>0</v>
      </c>
      <c r="T1399" s="383"/>
      <c r="U1399" s="32"/>
      <c r="V1399" s="381">
        <f t="shared" si="230"/>
        <v>0</v>
      </c>
      <c r="W1399" s="32"/>
      <c r="X1399" s="383"/>
      <c r="Y1399" s="381">
        <f t="shared" si="232"/>
        <v>0</v>
      </c>
    </row>
    <row r="1400" spans="2:25" x14ac:dyDescent="0.2">
      <c r="B1400" s="383"/>
      <c r="C1400" s="32"/>
      <c r="D1400" s="381">
        <f t="shared" si="224"/>
        <v>0</v>
      </c>
      <c r="E1400" s="383"/>
      <c r="F1400" s="8"/>
      <c r="G1400" s="381">
        <f t="shared" si="225"/>
        <v>0</v>
      </c>
      <c r="H1400" s="383"/>
      <c r="I1400" s="32"/>
      <c r="J1400" s="381">
        <f t="shared" si="226"/>
        <v>0</v>
      </c>
      <c r="K1400" s="383"/>
      <c r="L1400" s="31"/>
      <c r="M1400" s="381">
        <f t="shared" si="227"/>
        <v>0</v>
      </c>
      <c r="N1400" s="383"/>
      <c r="O1400" s="383"/>
      <c r="P1400" s="381">
        <f t="shared" si="228"/>
        <v>0</v>
      </c>
      <c r="Q1400" s="383"/>
      <c r="R1400" s="32"/>
      <c r="S1400" s="25">
        <f t="shared" si="229"/>
        <v>0</v>
      </c>
      <c r="T1400" s="383"/>
      <c r="U1400" s="32"/>
      <c r="V1400" s="381">
        <f t="shared" si="230"/>
        <v>0</v>
      </c>
      <c r="W1400" s="32"/>
      <c r="X1400" s="383"/>
      <c r="Y1400" s="381">
        <f t="shared" si="232"/>
        <v>0</v>
      </c>
    </row>
    <row r="1401" spans="2:25" x14ac:dyDescent="0.2">
      <c r="B1401" s="383"/>
      <c r="C1401" s="32"/>
      <c r="D1401" s="381">
        <f t="shared" si="224"/>
        <v>0</v>
      </c>
      <c r="E1401" s="383"/>
      <c r="F1401" s="8"/>
      <c r="G1401" s="381">
        <f t="shared" si="225"/>
        <v>0</v>
      </c>
      <c r="H1401" s="383"/>
      <c r="I1401" s="32"/>
      <c r="J1401" s="381">
        <f t="shared" si="226"/>
        <v>0</v>
      </c>
      <c r="K1401" s="383"/>
      <c r="L1401" s="31"/>
      <c r="M1401" s="381">
        <f t="shared" si="227"/>
        <v>0</v>
      </c>
      <c r="N1401" s="383"/>
      <c r="O1401" s="383"/>
      <c r="P1401" s="381">
        <f t="shared" si="228"/>
        <v>0</v>
      </c>
      <c r="Q1401" s="383"/>
      <c r="R1401" s="32"/>
      <c r="S1401" s="25">
        <f t="shared" si="229"/>
        <v>0</v>
      </c>
      <c r="T1401" s="383"/>
      <c r="U1401" s="32"/>
      <c r="V1401" s="381">
        <f t="shared" si="230"/>
        <v>0</v>
      </c>
      <c r="W1401" s="32"/>
      <c r="X1401" s="383"/>
      <c r="Y1401" s="381">
        <f t="shared" si="232"/>
        <v>0</v>
      </c>
    </row>
    <row r="1402" spans="2:25" x14ac:dyDescent="0.2">
      <c r="B1402" s="383"/>
      <c r="C1402" s="32"/>
      <c r="D1402" s="381">
        <f t="shared" si="224"/>
        <v>0</v>
      </c>
      <c r="E1402" s="383"/>
      <c r="F1402" s="8"/>
      <c r="G1402" s="381">
        <f t="shared" si="225"/>
        <v>0</v>
      </c>
      <c r="H1402" s="383"/>
      <c r="I1402" s="32"/>
      <c r="J1402" s="381">
        <f t="shared" si="226"/>
        <v>0</v>
      </c>
      <c r="K1402" s="383"/>
      <c r="L1402" s="31"/>
      <c r="M1402" s="381">
        <f t="shared" si="227"/>
        <v>0</v>
      </c>
      <c r="N1402" s="383"/>
      <c r="O1402" s="383"/>
      <c r="P1402" s="381">
        <f t="shared" si="228"/>
        <v>0</v>
      </c>
      <c r="Q1402" s="383"/>
      <c r="R1402" s="32"/>
      <c r="S1402" s="25">
        <f t="shared" si="229"/>
        <v>0</v>
      </c>
      <c r="T1402" s="383"/>
      <c r="U1402" s="32"/>
      <c r="V1402" s="381">
        <f t="shared" si="230"/>
        <v>0</v>
      </c>
      <c r="W1402" s="32"/>
      <c r="X1402" s="383"/>
      <c r="Y1402" s="381">
        <f t="shared" si="232"/>
        <v>0</v>
      </c>
    </row>
    <row r="1403" spans="2:25" x14ac:dyDescent="0.2">
      <c r="B1403" s="383"/>
      <c r="C1403" s="32"/>
      <c r="D1403" s="381">
        <f t="shared" si="224"/>
        <v>0</v>
      </c>
      <c r="E1403" s="383"/>
      <c r="F1403" s="8"/>
      <c r="G1403" s="381">
        <f t="shared" si="225"/>
        <v>0</v>
      </c>
      <c r="H1403" s="383"/>
      <c r="I1403" s="32"/>
      <c r="J1403" s="381">
        <f t="shared" si="226"/>
        <v>0</v>
      </c>
      <c r="K1403" s="383"/>
      <c r="L1403" s="31"/>
      <c r="M1403" s="381">
        <f t="shared" si="227"/>
        <v>0</v>
      </c>
      <c r="N1403" s="383"/>
      <c r="O1403" s="383"/>
      <c r="P1403" s="381">
        <f t="shared" si="228"/>
        <v>0</v>
      </c>
      <c r="Q1403" s="383"/>
      <c r="R1403" s="32"/>
      <c r="S1403" s="25">
        <f t="shared" si="229"/>
        <v>0</v>
      </c>
      <c r="T1403" s="383"/>
      <c r="U1403" s="32"/>
      <c r="V1403" s="381">
        <f t="shared" si="230"/>
        <v>0</v>
      </c>
      <c r="W1403" s="32"/>
      <c r="X1403" s="383"/>
      <c r="Y1403" s="381">
        <f t="shared" si="232"/>
        <v>0</v>
      </c>
    </row>
    <row r="1404" spans="2:25" x14ac:dyDescent="0.2">
      <c r="B1404" s="383"/>
      <c r="C1404" s="32"/>
      <c r="D1404" s="381">
        <f t="shared" si="224"/>
        <v>0</v>
      </c>
      <c r="E1404" s="383"/>
      <c r="F1404" s="8"/>
      <c r="G1404" s="381">
        <f t="shared" si="225"/>
        <v>0</v>
      </c>
      <c r="H1404" s="383"/>
      <c r="I1404" s="32"/>
      <c r="J1404" s="381">
        <f t="shared" si="226"/>
        <v>0</v>
      </c>
      <c r="K1404" s="383"/>
      <c r="L1404" s="31"/>
      <c r="M1404" s="381">
        <f t="shared" si="227"/>
        <v>0</v>
      </c>
      <c r="N1404" s="383"/>
      <c r="O1404" s="383"/>
      <c r="P1404" s="381">
        <f t="shared" si="228"/>
        <v>0</v>
      </c>
      <c r="Q1404" s="383"/>
      <c r="R1404" s="32"/>
      <c r="S1404" s="25">
        <f t="shared" si="229"/>
        <v>0</v>
      </c>
      <c r="T1404" s="383"/>
      <c r="U1404" s="32"/>
      <c r="V1404" s="381">
        <f t="shared" si="230"/>
        <v>0</v>
      </c>
      <c r="W1404" s="32"/>
      <c r="X1404" s="383"/>
      <c r="Y1404" s="381">
        <f t="shared" si="232"/>
        <v>0</v>
      </c>
    </row>
    <row r="1405" spans="2:25" x14ac:dyDescent="0.2">
      <c r="B1405" s="383"/>
      <c r="C1405" s="32"/>
      <c r="D1405" s="381">
        <f t="shared" si="224"/>
        <v>0</v>
      </c>
      <c r="E1405" s="383"/>
      <c r="F1405" s="8"/>
      <c r="G1405" s="381">
        <f t="shared" si="225"/>
        <v>0</v>
      </c>
      <c r="H1405" s="383"/>
      <c r="I1405" s="32"/>
      <c r="J1405" s="381">
        <f t="shared" si="226"/>
        <v>0</v>
      </c>
      <c r="K1405" s="383"/>
      <c r="L1405" s="31"/>
      <c r="M1405" s="381">
        <f t="shared" si="227"/>
        <v>0</v>
      </c>
      <c r="N1405" s="383"/>
      <c r="O1405" s="383"/>
      <c r="P1405" s="381">
        <f t="shared" si="228"/>
        <v>0</v>
      </c>
      <c r="Q1405" s="383"/>
      <c r="R1405" s="32"/>
      <c r="S1405" s="25">
        <f t="shared" si="229"/>
        <v>0</v>
      </c>
      <c r="T1405" s="383"/>
      <c r="U1405" s="32"/>
      <c r="V1405" s="381">
        <f t="shared" si="230"/>
        <v>0</v>
      </c>
      <c r="W1405" s="32"/>
      <c r="X1405" s="383"/>
      <c r="Y1405" s="381">
        <f t="shared" si="232"/>
        <v>0</v>
      </c>
    </row>
    <row r="1406" spans="2:25" x14ac:dyDescent="0.2">
      <c r="B1406" s="383"/>
      <c r="C1406" s="32"/>
      <c r="D1406" s="381">
        <f t="shared" si="224"/>
        <v>0</v>
      </c>
      <c r="E1406" s="383"/>
      <c r="F1406" s="8"/>
      <c r="G1406" s="381">
        <f t="shared" si="225"/>
        <v>0</v>
      </c>
      <c r="H1406" s="383"/>
      <c r="I1406" s="32"/>
      <c r="J1406" s="381">
        <f t="shared" si="226"/>
        <v>0</v>
      </c>
      <c r="K1406" s="383"/>
      <c r="L1406" s="31"/>
      <c r="M1406" s="381">
        <f t="shared" si="227"/>
        <v>0</v>
      </c>
      <c r="N1406" s="383"/>
      <c r="O1406" s="383"/>
      <c r="P1406" s="381">
        <f t="shared" si="228"/>
        <v>0</v>
      </c>
      <c r="Q1406" s="383"/>
      <c r="R1406" s="32"/>
      <c r="S1406" s="25">
        <f t="shared" si="229"/>
        <v>0</v>
      </c>
      <c r="T1406" s="383"/>
      <c r="U1406" s="32"/>
      <c r="V1406" s="381">
        <f t="shared" si="230"/>
        <v>0</v>
      </c>
      <c r="W1406" s="32"/>
      <c r="X1406" s="383"/>
      <c r="Y1406" s="381">
        <f t="shared" si="232"/>
        <v>0</v>
      </c>
    </row>
    <row r="1407" spans="2:25" x14ac:dyDescent="0.2">
      <c r="B1407" s="383"/>
      <c r="C1407" s="32"/>
      <c r="D1407" s="381">
        <f t="shared" si="224"/>
        <v>0</v>
      </c>
      <c r="E1407" s="383"/>
      <c r="F1407" s="8"/>
      <c r="G1407" s="381">
        <f t="shared" si="225"/>
        <v>0</v>
      </c>
      <c r="H1407" s="383"/>
      <c r="I1407" s="32"/>
      <c r="J1407" s="381">
        <f t="shared" si="226"/>
        <v>0</v>
      </c>
      <c r="K1407" s="383"/>
      <c r="L1407" s="31"/>
      <c r="M1407" s="381">
        <f t="shared" si="227"/>
        <v>0</v>
      </c>
      <c r="N1407" s="383"/>
      <c r="O1407" s="383"/>
      <c r="P1407" s="381">
        <f t="shared" si="228"/>
        <v>0</v>
      </c>
      <c r="Q1407" s="383"/>
      <c r="R1407" s="32"/>
      <c r="S1407" s="25">
        <f t="shared" si="229"/>
        <v>0</v>
      </c>
      <c r="T1407" s="383"/>
      <c r="U1407" s="32"/>
      <c r="V1407" s="381">
        <f t="shared" si="230"/>
        <v>0</v>
      </c>
      <c r="W1407" s="32"/>
      <c r="X1407" s="383"/>
      <c r="Y1407" s="381">
        <f t="shared" si="232"/>
        <v>0</v>
      </c>
    </row>
    <row r="1408" spans="2:25" x14ac:dyDescent="0.2">
      <c r="B1408" s="383"/>
      <c r="C1408" s="32"/>
      <c r="D1408" s="381">
        <f t="shared" si="224"/>
        <v>0</v>
      </c>
      <c r="E1408" s="383"/>
      <c r="F1408" s="8"/>
      <c r="G1408" s="381">
        <f t="shared" si="225"/>
        <v>0</v>
      </c>
      <c r="H1408" s="383"/>
      <c r="I1408" s="32"/>
      <c r="J1408" s="381">
        <f t="shared" si="226"/>
        <v>0</v>
      </c>
      <c r="K1408" s="383"/>
      <c r="L1408" s="31"/>
      <c r="M1408" s="381">
        <f t="shared" si="227"/>
        <v>0</v>
      </c>
      <c r="N1408" s="383"/>
      <c r="O1408" s="383"/>
      <c r="P1408" s="381">
        <f t="shared" si="228"/>
        <v>0</v>
      </c>
      <c r="Q1408" s="383"/>
      <c r="R1408" s="32"/>
      <c r="S1408" s="25">
        <f t="shared" si="229"/>
        <v>0</v>
      </c>
      <c r="T1408" s="383"/>
      <c r="U1408" s="32"/>
      <c r="V1408" s="381">
        <f t="shared" si="230"/>
        <v>0</v>
      </c>
      <c r="W1408" s="32"/>
      <c r="X1408" s="383"/>
      <c r="Y1408" s="381">
        <f t="shared" si="232"/>
        <v>0</v>
      </c>
    </row>
    <row r="1409" spans="2:25" x14ac:dyDescent="0.2">
      <c r="B1409" s="383"/>
      <c r="C1409" s="32"/>
      <c r="D1409" s="381">
        <f t="shared" si="224"/>
        <v>0</v>
      </c>
      <c r="E1409" s="383"/>
      <c r="F1409" s="8"/>
      <c r="G1409" s="381">
        <f t="shared" si="225"/>
        <v>0</v>
      </c>
      <c r="H1409" s="383"/>
      <c r="I1409" s="32"/>
      <c r="J1409" s="381">
        <f t="shared" si="226"/>
        <v>0</v>
      </c>
      <c r="K1409" s="383"/>
      <c r="L1409" s="31"/>
      <c r="M1409" s="381">
        <f t="shared" si="227"/>
        <v>0</v>
      </c>
      <c r="N1409" s="383"/>
      <c r="O1409" s="383"/>
      <c r="P1409" s="381">
        <f t="shared" si="228"/>
        <v>0</v>
      </c>
      <c r="Q1409" s="383"/>
      <c r="R1409" s="32"/>
      <c r="S1409" s="25">
        <f t="shared" si="229"/>
        <v>0</v>
      </c>
      <c r="T1409" s="383"/>
      <c r="U1409" s="32"/>
      <c r="V1409" s="381">
        <f t="shared" si="230"/>
        <v>0</v>
      </c>
      <c r="W1409" s="32"/>
      <c r="X1409" s="383"/>
      <c r="Y1409" s="381">
        <f t="shared" si="232"/>
        <v>0</v>
      </c>
    </row>
    <row r="1410" spans="2:25" x14ac:dyDescent="0.2">
      <c r="B1410" s="383"/>
      <c r="C1410" s="32"/>
      <c r="D1410" s="381">
        <f t="shared" si="224"/>
        <v>0</v>
      </c>
      <c r="E1410" s="383"/>
      <c r="F1410" s="8"/>
      <c r="G1410" s="381">
        <f t="shared" si="225"/>
        <v>0</v>
      </c>
      <c r="H1410" s="383"/>
      <c r="I1410" s="32"/>
      <c r="J1410" s="381">
        <f t="shared" si="226"/>
        <v>0</v>
      </c>
      <c r="K1410" s="383"/>
      <c r="L1410" s="31"/>
      <c r="M1410" s="381">
        <f t="shared" si="227"/>
        <v>0</v>
      </c>
      <c r="N1410" s="383"/>
      <c r="O1410" s="383"/>
      <c r="P1410" s="381">
        <f t="shared" si="228"/>
        <v>0</v>
      </c>
      <c r="Q1410" s="383"/>
      <c r="R1410" s="32"/>
      <c r="S1410" s="25">
        <f t="shared" si="229"/>
        <v>0</v>
      </c>
      <c r="T1410" s="383"/>
      <c r="U1410" s="32"/>
      <c r="V1410" s="381">
        <f t="shared" si="230"/>
        <v>0</v>
      </c>
      <c r="W1410" s="32"/>
      <c r="X1410" s="383"/>
      <c r="Y1410" s="381">
        <f t="shared" si="232"/>
        <v>0</v>
      </c>
    </row>
    <row r="1411" spans="2:25" x14ac:dyDescent="0.2">
      <c r="B1411" s="383"/>
      <c r="C1411" s="32"/>
      <c r="D1411" s="381">
        <f t="shared" si="224"/>
        <v>0</v>
      </c>
      <c r="E1411" s="383"/>
      <c r="F1411" s="8"/>
      <c r="G1411" s="381">
        <f t="shared" si="225"/>
        <v>0</v>
      </c>
      <c r="H1411" s="383"/>
      <c r="I1411" s="32"/>
      <c r="J1411" s="381">
        <f t="shared" si="226"/>
        <v>0</v>
      </c>
      <c r="K1411" s="383"/>
      <c r="L1411" s="31"/>
      <c r="M1411" s="381">
        <f t="shared" si="227"/>
        <v>0</v>
      </c>
      <c r="N1411" s="383"/>
      <c r="O1411" s="383"/>
      <c r="P1411" s="381">
        <f t="shared" si="228"/>
        <v>0</v>
      </c>
      <c r="Q1411" s="383"/>
      <c r="R1411" s="32"/>
      <c r="S1411" s="25">
        <f t="shared" si="229"/>
        <v>0</v>
      </c>
      <c r="T1411" s="383"/>
      <c r="U1411" s="32"/>
      <c r="V1411" s="381">
        <f t="shared" si="230"/>
        <v>0</v>
      </c>
      <c r="W1411" s="32"/>
      <c r="X1411" s="383"/>
      <c r="Y1411" s="381">
        <f t="shared" si="232"/>
        <v>0</v>
      </c>
    </row>
    <row r="1412" spans="2:25" x14ac:dyDescent="0.2">
      <c r="B1412" s="383"/>
      <c r="C1412" s="32"/>
      <c r="D1412" s="381">
        <f t="shared" si="224"/>
        <v>0</v>
      </c>
      <c r="E1412" s="383"/>
      <c r="F1412" s="8"/>
      <c r="G1412" s="381">
        <f t="shared" si="225"/>
        <v>0</v>
      </c>
      <c r="H1412" s="383"/>
      <c r="I1412" s="32"/>
      <c r="J1412" s="381">
        <f t="shared" si="226"/>
        <v>0</v>
      </c>
      <c r="K1412" s="383"/>
      <c r="L1412" s="31"/>
      <c r="M1412" s="381">
        <f t="shared" si="227"/>
        <v>0</v>
      </c>
      <c r="N1412" s="383"/>
      <c r="O1412" s="383"/>
      <c r="P1412" s="381">
        <f t="shared" si="228"/>
        <v>0</v>
      </c>
      <c r="Q1412" s="383"/>
      <c r="R1412" s="32"/>
      <c r="S1412" s="25">
        <f t="shared" si="229"/>
        <v>0</v>
      </c>
      <c r="T1412" s="383"/>
      <c r="U1412" s="32"/>
      <c r="V1412" s="381">
        <f t="shared" si="230"/>
        <v>0</v>
      </c>
      <c r="W1412" s="32"/>
      <c r="X1412" s="383"/>
      <c r="Y1412" s="381">
        <f t="shared" si="232"/>
        <v>0</v>
      </c>
    </row>
    <row r="1413" spans="2:25" x14ac:dyDescent="0.2">
      <c r="B1413" s="383"/>
      <c r="C1413" s="32"/>
      <c r="D1413" s="381">
        <f t="shared" ref="D1413:D1476" si="233">C1413</f>
        <v>0</v>
      </c>
      <c r="E1413" s="383"/>
      <c r="F1413" s="8"/>
      <c r="G1413" s="381">
        <f t="shared" ref="G1413:G1476" si="234">F1413+$AB$2</f>
        <v>0</v>
      </c>
      <c r="H1413" s="383"/>
      <c r="I1413" s="32"/>
      <c r="J1413" s="381">
        <f t="shared" ref="J1413:J1476" si="235">I1413+$AB$3</f>
        <v>0</v>
      </c>
      <c r="K1413" s="383"/>
      <c r="L1413" s="31"/>
      <c r="M1413" s="381">
        <f t="shared" ref="M1413:M1476" si="236">L1413+$AB$4</f>
        <v>0</v>
      </c>
      <c r="N1413" s="383"/>
      <c r="O1413" s="383"/>
      <c r="P1413" s="381">
        <f t="shared" ref="P1413:P1476" si="237">O1413+$AB$5</f>
        <v>0</v>
      </c>
      <c r="Q1413" s="383"/>
      <c r="R1413" s="32"/>
      <c r="S1413" s="25">
        <f t="shared" ref="S1413:S1476" si="238">R1413+$AB$6</f>
        <v>0</v>
      </c>
      <c r="T1413" s="383"/>
      <c r="U1413" s="32"/>
      <c r="V1413" s="381">
        <f t="shared" ref="V1413:V1476" si="239">U1413+$AB$7</f>
        <v>0</v>
      </c>
      <c r="W1413" s="32"/>
      <c r="X1413" s="383"/>
      <c r="Y1413" s="381">
        <f t="shared" ref="Y1413:Y1476" si="240">X1413+$AB$8</f>
        <v>0</v>
      </c>
    </row>
    <row r="1414" spans="2:25" x14ac:dyDescent="0.2">
      <c r="B1414" s="383"/>
      <c r="C1414" s="32"/>
      <c r="D1414" s="381">
        <f t="shared" si="233"/>
        <v>0</v>
      </c>
      <c r="E1414" s="383"/>
      <c r="F1414" s="8"/>
      <c r="G1414" s="381">
        <f t="shared" si="234"/>
        <v>0</v>
      </c>
      <c r="H1414" s="383"/>
      <c r="I1414" s="32"/>
      <c r="J1414" s="381">
        <f t="shared" si="235"/>
        <v>0</v>
      </c>
      <c r="K1414" s="383"/>
      <c r="L1414" s="31"/>
      <c r="M1414" s="381">
        <f t="shared" si="236"/>
        <v>0</v>
      </c>
      <c r="N1414" s="383"/>
      <c r="O1414" s="383"/>
      <c r="P1414" s="381">
        <f t="shared" si="237"/>
        <v>0</v>
      </c>
      <c r="Q1414" s="383"/>
      <c r="R1414" s="32"/>
      <c r="S1414" s="25">
        <f t="shared" si="238"/>
        <v>0</v>
      </c>
      <c r="T1414" s="383"/>
      <c r="U1414" s="32"/>
      <c r="V1414" s="381">
        <f t="shared" si="239"/>
        <v>0</v>
      </c>
      <c r="W1414" s="32"/>
      <c r="X1414" s="383"/>
      <c r="Y1414" s="381">
        <f t="shared" si="240"/>
        <v>0</v>
      </c>
    </row>
    <row r="1415" spans="2:25" x14ac:dyDescent="0.2">
      <c r="B1415" s="383"/>
      <c r="C1415" s="32"/>
      <c r="D1415" s="381">
        <f t="shared" si="233"/>
        <v>0</v>
      </c>
      <c r="E1415" s="383"/>
      <c r="F1415" s="8"/>
      <c r="G1415" s="381">
        <f t="shared" si="234"/>
        <v>0</v>
      </c>
      <c r="H1415" s="383"/>
      <c r="I1415" s="32"/>
      <c r="J1415" s="381">
        <f t="shared" si="235"/>
        <v>0</v>
      </c>
      <c r="K1415" s="383"/>
      <c r="L1415" s="31"/>
      <c r="M1415" s="381">
        <f t="shared" si="236"/>
        <v>0</v>
      </c>
      <c r="N1415" s="383"/>
      <c r="O1415" s="383"/>
      <c r="P1415" s="381">
        <f t="shared" si="237"/>
        <v>0</v>
      </c>
      <c r="Q1415" s="383"/>
      <c r="R1415" s="32"/>
      <c r="S1415" s="25">
        <f t="shared" si="238"/>
        <v>0</v>
      </c>
      <c r="T1415" s="383"/>
      <c r="U1415" s="32"/>
      <c r="V1415" s="381">
        <f t="shared" si="239"/>
        <v>0</v>
      </c>
      <c r="W1415" s="32"/>
      <c r="X1415" s="383"/>
      <c r="Y1415" s="381">
        <f t="shared" si="240"/>
        <v>0</v>
      </c>
    </row>
    <row r="1416" spans="2:25" x14ac:dyDescent="0.2">
      <c r="B1416" s="383"/>
      <c r="C1416" s="32"/>
      <c r="D1416" s="381">
        <f t="shared" si="233"/>
        <v>0</v>
      </c>
      <c r="E1416" s="383"/>
      <c r="F1416" s="8"/>
      <c r="G1416" s="381">
        <f t="shared" si="234"/>
        <v>0</v>
      </c>
      <c r="H1416" s="383"/>
      <c r="I1416" s="32"/>
      <c r="J1416" s="381">
        <f t="shared" si="235"/>
        <v>0</v>
      </c>
      <c r="K1416" s="383"/>
      <c r="L1416" s="31"/>
      <c r="M1416" s="381">
        <f t="shared" si="236"/>
        <v>0</v>
      </c>
      <c r="N1416" s="383"/>
      <c r="O1416" s="383"/>
      <c r="P1416" s="381">
        <f t="shared" si="237"/>
        <v>0</v>
      </c>
      <c r="Q1416" s="383"/>
      <c r="R1416" s="32"/>
      <c r="S1416" s="25">
        <f t="shared" si="238"/>
        <v>0</v>
      </c>
      <c r="T1416" s="383"/>
      <c r="U1416" s="32"/>
      <c r="V1416" s="381">
        <f t="shared" si="239"/>
        <v>0</v>
      </c>
      <c r="W1416" s="32"/>
      <c r="X1416" s="383"/>
      <c r="Y1416" s="381">
        <f t="shared" si="240"/>
        <v>0</v>
      </c>
    </row>
    <row r="1417" spans="2:25" x14ac:dyDescent="0.2">
      <c r="B1417" s="383"/>
      <c r="C1417" s="32"/>
      <c r="D1417" s="381">
        <f t="shared" si="233"/>
        <v>0</v>
      </c>
      <c r="E1417" s="383"/>
      <c r="F1417" s="8"/>
      <c r="G1417" s="381">
        <f t="shared" si="234"/>
        <v>0</v>
      </c>
      <c r="H1417" s="383"/>
      <c r="I1417" s="32"/>
      <c r="J1417" s="381">
        <f t="shared" si="235"/>
        <v>0</v>
      </c>
      <c r="K1417" s="383"/>
      <c r="L1417" s="31"/>
      <c r="M1417" s="381">
        <f t="shared" si="236"/>
        <v>0</v>
      </c>
      <c r="N1417" s="383"/>
      <c r="O1417" s="383"/>
      <c r="P1417" s="381">
        <f t="shared" si="237"/>
        <v>0</v>
      </c>
      <c r="Q1417" s="383"/>
      <c r="R1417" s="32"/>
      <c r="S1417" s="25">
        <f t="shared" si="238"/>
        <v>0</v>
      </c>
      <c r="T1417" s="383"/>
      <c r="U1417" s="32"/>
      <c r="V1417" s="381">
        <f t="shared" si="239"/>
        <v>0</v>
      </c>
      <c r="W1417" s="32"/>
      <c r="X1417" s="383"/>
      <c r="Y1417" s="381">
        <f t="shared" si="240"/>
        <v>0</v>
      </c>
    </row>
    <row r="1418" spans="2:25" x14ac:dyDescent="0.2">
      <c r="B1418" s="383"/>
      <c r="C1418" s="32"/>
      <c r="D1418" s="381">
        <f t="shared" si="233"/>
        <v>0</v>
      </c>
      <c r="E1418" s="383"/>
      <c r="F1418" s="8"/>
      <c r="G1418" s="381">
        <f t="shared" si="234"/>
        <v>0</v>
      </c>
      <c r="H1418" s="383"/>
      <c r="I1418" s="32"/>
      <c r="J1418" s="381">
        <f t="shared" si="235"/>
        <v>0</v>
      </c>
      <c r="K1418" s="383"/>
      <c r="L1418" s="31"/>
      <c r="M1418" s="381">
        <f t="shared" si="236"/>
        <v>0</v>
      </c>
      <c r="N1418" s="383"/>
      <c r="O1418" s="383"/>
      <c r="P1418" s="381">
        <f t="shared" si="237"/>
        <v>0</v>
      </c>
      <c r="Q1418" s="383"/>
      <c r="R1418" s="32"/>
      <c r="S1418" s="25">
        <f t="shared" si="238"/>
        <v>0</v>
      </c>
      <c r="T1418" s="383"/>
      <c r="U1418" s="32"/>
      <c r="V1418" s="381">
        <f t="shared" si="239"/>
        <v>0</v>
      </c>
      <c r="W1418" s="32"/>
      <c r="X1418" s="383"/>
      <c r="Y1418" s="381">
        <f t="shared" si="240"/>
        <v>0</v>
      </c>
    </row>
    <row r="1419" spans="2:25" x14ac:dyDescent="0.2">
      <c r="B1419" s="383"/>
      <c r="C1419" s="32"/>
      <c r="D1419" s="381">
        <f t="shared" si="233"/>
        <v>0</v>
      </c>
      <c r="E1419" s="383"/>
      <c r="F1419" s="8"/>
      <c r="G1419" s="381">
        <f t="shared" si="234"/>
        <v>0</v>
      </c>
      <c r="H1419" s="383"/>
      <c r="I1419" s="32"/>
      <c r="J1419" s="381">
        <f t="shared" si="235"/>
        <v>0</v>
      </c>
      <c r="K1419" s="383"/>
      <c r="L1419" s="31"/>
      <c r="M1419" s="381">
        <f t="shared" si="236"/>
        <v>0</v>
      </c>
      <c r="N1419" s="383"/>
      <c r="O1419" s="383"/>
      <c r="P1419" s="381">
        <f t="shared" si="237"/>
        <v>0</v>
      </c>
      <c r="Q1419" s="383"/>
      <c r="R1419" s="32"/>
      <c r="S1419" s="25">
        <f t="shared" si="238"/>
        <v>0</v>
      </c>
      <c r="T1419" s="383"/>
      <c r="U1419" s="32"/>
      <c r="V1419" s="381">
        <f t="shared" si="239"/>
        <v>0</v>
      </c>
      <c r="W1419" s="32"/>
      <c r="X1419" s="383"/>
      <c r="Y1419" s="381">
        <f t="shared" si="240"/>
        <v>0</v>
      </c>
    </row>
    <row r="1420" spans="2:25" x14ac:dyDescent="0.2">
      <c r="B1420" s="383"/>
      <c r="C1420" s="32"/>
      <c r="D1420" s="381">
        <f t="shared" si="233"/>
        <v>0</v>
      </c>
      <c r="E1420" s="383"/>
      <c r="F1420" s="8"/>
      <c r="G1420" s="381">
        <f t="shared" si="234"/>
        <v>0</v>
      </c>
      <c r="H1420" s="383"/>
      <c r="I1420" s="32"/>
      <c r="J1420" s="381">
        <f t="shared" si="235"/>
        <v>0</v>
      </c>
      <c r="K1420" s="383"/>
      <c r="L1420" s="31"/>
      <c r="M1420" s="381">
        <f t="shared" si="236"/>
        <v>0</v>
      </c>
      <c r="N1420" s="383"/>
      <c r="O1420" s="383"/>
      <c r="P1420" s="381">
        <f t="shared" si="237"/>
        <v>0</v>
      </c>
      <c r="Q1420" s="383"/>
      <c r="R1420" s="32"/>
      <c r="S1420" s="25">
        <f t="shared" si="238"/>
        <v>0</v>
      </c>
      <c r="T1420" s="383"/>
      <c r="U1420" s="32"/>
      <c r="V1420" s="381">
        <f t="shared" si="239"/>
        <v>0</v>
      </c>
      <c r="W1420" s="32"/>
      <c r="X1420" s="383"/>
      <c r="Y1420" s="381">
        <f t="shared" si="240"/>
        <v>0</v>
      </c>
    </row>
    <row r="1421" spans="2:25" x14ac:dyDescent="0.2">
      <c r="B1421" s="383"/>
      <c r="C1421" s="32"/>
      <c r="D1421" s="381">
        <f t="shared" si="233"/>
        <v>0</v>
      </c>
      <c r="E1421" s="383"/>
      <c r="F1421" s="8"/>
      <c r="G1421" s="381">
        <f t="shared" si="234"/>
        <v>0</v>
      </c>
      <c r="H1421" s="383"/>
      <c r="I1421" s="32"/>
      <c r="J1421" s="381">
        <f t="shared" si="235"/>
        <v>0</v>
      </c>
      <c r="K1421" s="383"/>
      <c r="L1421" s="31"/>
      <c r="M1421" s="381">
        <f t="shared" si="236"/>
        <v>0</v>
      </c>
      <c r="N1421" s="383"/>
      <c r="O1421" s="383"/>
      <c r="P1421" s="381">
        <f t="shared" si="237"/>
        <v>0</v>
      </c>
      <c r="Q1421" s="383"/>
      <c r="R1421" s="32"/>
      <c r="S1421" s="25">
        <f t="shared" si="238"/>
        <v>0</v>
      </c>
      <c r="T1421" s="383"/>
      <c r="U1421" s="32"/>
      <c r="V1421" s="381">
        <f t="shared" si="239"/>
        <v>0</v>
      </c>
      <c r="W1421" s="32"/>
      <c r="X1421" s="383"/>
      <c r="Y1421" s="381">
        <f t="shared" si="240"/>
        <v>0</v>
      </c>
    </row>
    <row r="1422" spans="2:25" x14ac:dyDescent="0.2">
      <c r="B1422" s="383"/>
      <c r="C1422" s="32"/>
      <c r="D1422" s="381">
        <f t="shared" si="233"/>
        <v>0</v>
      </c>
      <c r="E1422" s="383"/>
      <c r="F1422" s="382"/>
      <c r="G1422" s="381">
        <f t="shared" si="234"/>
        <v>0</v>
      </c>
      <c r="H1422" s="383"/>
      <c r="I1422" s="32"/>
      <c r="J1422" s="381">
        <f t="shared" si="235"/>
        <v>0</v>
      </c>
      <c r="K1422" s="383"/>
      <c r="L1422" s="31"/>
      <c r="M1422" s="381">
        <f t="shared" si="236"/>
        <v>0</v>
      </c>
      <c r="N1422" s="383"/>
      <c r="O1422" s="383"/>
      <c r="P1422" s="381">
        <f t="shared" si="237"/>
        <v>0</v>
      </c>
      <c r="Q1422" s="383"/>
      <c r="R1422" s="32"/>
      <c r="S1422" s="25">
        <f t="shared" si="238"/>
        <v>0</v>
      </c>
      <c r="T1422" s="383"/>
      <c r="U1422" s="32"/>
      <c r="V1422" s="381">
        <f t="shared" si="239"/>
        <v>0</v>
      </c>
      <c r="W1422" s="32"/>
      <c r="X1422" s="383"/>
      <c r="Y1422" s="381">
        <f t="shared" si="240"/>
        <v>0</v>
      </c>
    </row>
    <row r="1423" spans="2:25" x14ac:dyDescent="0.2">
      <c r="B1423" s="383"/>
      <c r="C1423" s="32"/>
      <c r="D1423" s="381">
        <f t="shared" si="233"/>
        <v>0</v>
      </c>
      <c r="E1423" s="383"/>
      <c r="F1423" s="382"/>
      <c r="G1423" s="381">
        <f t="shared" si="234"/>
        <v>0</v>
      </c>
      <c r="H1423" s="383"/>
      <c r="I1423" s="32"/>
      <c r="J1423" s="381">
        <f t="shared" si="235"/>
        <v>0</v>
      </c>
      <c r="K1423" s="383"/>
      <c r="L1423" s="31"/>
      <c r="M1423" s="381">
        <f t="shared" si="236"/>
        <v>0</v>
      </c>
      <c r="N1423" s="383"/>
      <c r="O1423" s="383"/>
      <c r="P1423" s="381">
        <f t="shared" si="237"/>
        <v>0</v>
      </c>
      <c r="Q1423" s="383"/>
      <c r="R1423" s="32"/>
      <c r="S1423" s="25">
        <f t="shared" si="238"/>
        <v>0</v>
      </c>
      <c r="T1423" s="383"/>
      <c r="U1423" s="32"/>
      <c r="V1423" s="381">
        <f t="shared" si="239"/>
        <v>0</v>
      </c>
      <c r="W1423" s="32"/>
      <c r="X1423" s="383"/>
      <c r="Y1423" s="381">
        <f t="shared" si="240"/>
        <v>0</v>
      </c>
    </row>
    <row r="1424" spans="2:25" x14ac:dyDescent="0.2">
      <c r="B1424" s="383"/>
      <c r="C1424" s="32"/>
      <c r="D1424" s="381">
        <f t="shared" si="233"/>
        <v>0</v>
      </c>
      <c r="E1424" s="383"/>
      <c r="F1424" s="382"/>
      <c r="G1424" s="381">
        <f t="shared" si="234"/>
        <v>0</v>
      </c>
      <c r="H1424" s="383"/>
      <c r="I1424" s="32"/>
      <c r="J1424" s="381">
        <f t="shared" si="235"/>
        <v>0</v>
      </c>
      <c r="K1424" s="383"/>
      <c r="L1424" s="31"/>
      <c r="M1424" s="381">
        <f t="shared" si="236"/>
        <v>0</v>
      </c>
      <c r="N1424" s="383"/>
      <c r="O1424" s="383"/>
      <c r="P1424" s="381">
        <f t="shared" si="237"/>
        <v>0</v>
      </c>
      <c r="Q1424" s="383"/>
      <c r="R1424" s="32"/>
      <c r="S1424" s="25">
        <f t="shared" si="238"/>
        <v>0</v>
      </c>
      <c r="T1424" s="383"/>
      <c r="U1424" s="32"/>
      <c r="V1424" s="381">
        <f t="shared" si="239"/>
        <v>0</v>
      </c>
      <c r="W1424" s="32"/>
      <c r="X1424" s="383"/>
      <c r="Y1424" s="381">
        <f t="shared" si="240"/>
        <v>0</v>
      </c>
    </row>
    <row r="1425" spans="2:25" x14ac:dyDescent="0.2">
      <c r="B1425" s="383"/>
      <c r="C1425" s="32"/>
      <c r="D1425" s="381">
        <f t="shared" si="233"/>
        <v>0</v>
      </c>
      <c r="E1425" s="383"/>
      <c r="F1425" s="382"/>
      <c r="G1425" s="381">
        <f t="shared" si="234"/>
        <v>0</v>
      </c>
      <c r="H1425" s="383"/>
      <c r="I1425" s="32"/>
      <c r="J1425" s="381">
        <f t="shared" si="235"/>
        <v>0</v>
      </c>
      <c r="K1425" s="383"/>
      <c r="L1425" s="31"/>
      <c r="M1425" s="381">
        <f t="shared" si="236"/>
        <v>0</v>
      </c>
      <c r="N1425" s="383"/>
      <c r="O1425" s="383"/>
      <c r="P1425" s="381">
        <f t="shared" si="237"/>
        <v>0</v>
      </c>
      <c r="Q1425" s="383"/>
      <c r="R1425" s="32"/>
      <c r="S1425" s="25">
        <f t="shared" si="238"/>
        <v>0</v>
      </c>
      <c r="T1425" s="383"/>
      <c r="U1425" s="32"/>
      <c r="V1425" s="381">
        <f t="shared" si="239"/>
        <v>0</v>
      </c>
      <c r="W1425" s="32"/>
      <c r="X1425" s="383"/>
      <c r="Y1425" s="381">
        <f t="shared" si="240"/>
        <v>0</v>
      </c>
    </row>
    <row r="1426" spans="2:25" x14ac:dyDescent="0.2">
      <c r="B1426" s="383"/>
      <c r="C1426" s="32"/>
      <c r="D1426" s="381">
        <f t="shared" si="233"/>
        <v>0</v>
      </c>
      <c r="E1426" s="383"/>
      <c r="F1426" s="382"/>
      <c r="G1426" s="381">
        <f t="shared" si="234"/>
        <v>0</v>
      </c>
      <c r="H1426" s="383"/>
      <c r="I1426" s="32"/>
      <c r="J1426" s="381">
        <f t="shared" si="235"/>
        <v>0</v>
      </c>
      <c r="K1426" s="383"/>
      <c r="L1426" s="31"/>
      <c r="M1426" s="381">
        <f t="shared" si="236"/>
        <v>0</v>
      </c>
      <c r="N1426" s="383"/>
      <c r="O1426" s="383"/>
      <c r="P1426" s="381">
        <f t="shared" si="237"/>
        <v>0</v>
      </c>
      <c r="Q1426" s="383"/>
      <c r="R1426" s="32"/>
      <c r="S1426" s="25">
        <f t="shared" si="238"/>
        <v>0</v>
      </c>
      <c r="T1426" s="383"/>
      <c r="U1426" s="32"/>
      <c r="V1426" s="381">
        <f t="shared" si="239"/>
        <v>0</v>
      </c>
      <c r="W1426" s="32"/>
      <c r="X1426" s="383"/>
      <c r="Y1426" s="381">
        <f t="shared" si="240"/>
        <v>0</v>
      </c>
    </row>
    <row r="1427" spans="2:25" x14ac:dyDescent="0.2">
      <c r="B1427" s="383"/>
      <c r="C1427" s="32"/>
      <c r="D1427" s="381">
        <f t="shared" si="233"/>
        <v>0</v>
      </c>
      <c r="E1427" s="383"/>
      <c r="F1427" s="382"/>
      <c r="G1427" s="381">
        <f t="shared" si="234"/>
        <v>0</v>
      </c>
      <c r="H1427" s="383"/>
      <c r="I1427" s="32"/>
      <c r="J1427" s="381">
        <f t="shared" si="235"/>
        <v>0</v>
      </c>
      <c r="K1427" s="383"/>
      <c r="L1427" s="31"/>
      <c r="M1427" s="381">
        <f t="shared" si="236"/>
        <v>0</v>
      </c>
      <c r="N1427" s="383"/>
      <c r="O1427" s="383"/>
      <c r="P1427" s="381">
        <f t="shared" si="237"/>
        <v>0</v>
      </c>
      <c r="Q1427" s="383"/>
      <c r="R1427" s="32"/>
      <c r="S1427" s="25">
        <f t="shared" si="238"/>
        <v>0</v>
      </c>
      <c r="T1427" s="383"/>
      <c r="U1427" s="32"/>
      <c r="V1427" s="381">
        <f t="shared" si="239"/>
        <v>0</v>
      </c>
      <c r="W1427" s="32"/>
      <c r="X1427" s="383"/>
      <c r="Y1427" s="381">
        <f t="shared" si="240"/>
        <v>0</v>
      </c>
    </row>
    <row r="1428" spans="2:25" x14ac:dyDescent="0.2">
      <c r="B1428" s="383"/>
      <c r="C1428" s="32"/>
      <c r="D1428" s="381">
        <f t="shared" si="233"/>
        <v>0</v>
      </c>
      <c r="E1428" s="383"/>
      <c r="F1428" s="382"/>
      <c r="G1428" s="381">
        <f t="shared" si="234"/>
        <v>0</v>
      </c>
      <c r="H1428" s="383"/>
      <c r="I1428" s="32"/>
      <c r="J1428" s="381">
        <f t="shared" si="235"/>
        <v>0</v>
      </c>
      <c r="K1428" s="383"/>
      <c r="L1428" s="31"/>
      <c r="M1428" s="381">
        <f t="shared" si="236"/>
        <v>0</v>
      </c>
      <c r="N1428" s="383"/>
      <c r="O1428" s="383"/>
      <c r="P1428" s="381">
        <f t="shared" si="237"/>
        <v>0</v>
      </c>
      <c r="Q1428" s="383"/>
      <c r="R1428" s="32"/>
      <c r="S1428" s="25">
        <f t="shared" si="238"/>
        <v>0</v>
      </c>
      <c r="T1428" s="383"/>
      <c r="U1428" s="32"/>
      <c r="V1428" s="381">
        <f t="shared" si="239"/>
        <v>0</v>
      </c>
      <c r="W1428" s="32"/>
      <c r="X1428" s="383"/>
      <c r="Y1428" s="381">
        <f t="shared" si="240"/>
        <v>0</v>
      </c>
    </row>
    <row r="1429" spans="2:25" x14ac:dyDescent="0.2">
      <c r="B1429" s="383"/>
      <c r="C1429" s="32"/>
      <c r="D1429" s="381">
        <f t="shared" si="233"/>
        <v>0</v>
      </c>
      <c r="E1429" s="383"/>
      <c r="F1429" s="382"/>
      <c r="G1429" s="381">
        <f t="shared" si="234"/>
        <v>0</v>
      </c>
      <c r="H1429" s="383"/>
      <c r="I1429" s="32"/>
      <c r="J1429" s="381">
        <f t="shared" si="235"/>
        <v>0</v>
      </c>
      <c r="K1429" s="383"/>
      <c r="L1429" s="31"/>
      <c r="M1429" s="381">
        <f t="shared" si="236"/>
        <v>0</v>
      </c>
      <c r="N1429" s="383"/>
      <c r="O1429" s="383"/>
      <c r="P1429" s="381">
        <f t="shared" si="237"/>
        <v>0</v>
      </c>
      <c r="Q1429" s="383"/>
      <c r="R1429" s="32"/>
      <c r="S1429" s="25">
        <f t="shared" si="238"/>
        <v>0</v>
      </c>
      <c r="T1429" s="383"/>
      <c r="U1429" s="32"/>
      <c r="V1429" s="381">
        <f t="shared" si="239"/>
        <v>0</v>
      </c>
      <c r="W1429" s="32"/>
      <c r="X1429" s="383"/>
      <c r="Y1429" s="381">
        <f t="shared" si="240"/>
        <v>0</v>
      </c>
    </row>
    <row r="1430" spans="2:25" x14ac:dyDescent="0.2">
      <c r="B1430" s="383"/>
      <c r="C1430" s="32"/>
      <c r="D1430" s="381">
        <f t="shared" si="233"/>
        <v>0</v>
      </c>
      <c r="E1430" s="383"/>
      <c r="F1430" s="382"/>
      <c r="G1430" s="381">
        <f t="shared" si="234"/>
        <v>0</v>
      </c>
      <c r="H1430" s="383"/>
      <c r="I1430" s="32"/>
      <c r="J1430" s="381">
        <f t="shared" si="235"/>
        <v>0</v>
      </c>
      <c r="K1430" s="383"/>
      <c r="L1430" s="31"/>
      <c r="M1430" s="381">
        <f t="shared" si="236"/>
        <v>0</v>
      </c>
      <c r="N1430" s="383"/>
      <c r="O1430" s="383"/>
      <c r="P1430" s="381">
        <f t="shared" si="237"/>
        <v>0</v>
      </c>
      <c r="Q1430" s="383"/>
      <c r="R1430" s="32"/>
      <c r="S1430" s="25">
        <f t="shared" si="238"/>
        <v>0</v>
      </c>
      <c r="T1430" s="383"/>
      <c r="U1430" s="32"/>
      <c r="V1430" s="381">
        <f t="shared" si="239"/>
        <v>0</v>
      </c>
      <c r="W1430" s="32"/>
      <c r="X1430" s="383"/>
      <c r="Y1430" s="381">
        <f t="shared" si="240"/>
        <v>0</v>
      </c>
    </row>
    <row r="1431" spans="2:25" x14ac:dyDescent="0.2">
      <c r="B1431" s="383"/>
      <c r="C1431" s="32"/>
      <c r="D1431" s="381">
        <f t="shared" si="233"/>
        <v>0</v>
      </c>
      <c r="E1431" s="383"/>
      <c r="F1431" s="382"/>
      <c r="G1431" s="381">
        <f t="shared" si="234"/>
        <v>0</v>
      </c>
      <c r="H1431" s="383"/>
      <c r="I1431" s="32"/>
      <c r="J1431" s="381">
        <f t="shared" si="235"/>
        <v>0</v>
      </c>
      <c r="K1431" s="383"/>
      <c r="L1431" s="31"/>
      <c r="M1431" s="381">
        <f t="shared" si="236"/>
        <v>0</v>
      </c>
      <c r="N1431" s="383"/>
      <c r="O1431" s="383"/>
      <c r="P1431" s="381">
        <f t="shared" si="237"/>
        <v>0</v>
      </c>
      <c r="Q1431" s="383"/>
      <c r="R1431" s="32"/>
      <c r="S1431" s="25">
        <f t="shared" si="238"/>
        <v>0</v>
      </c>
      <c r="T1431" s="383"/>
      <c r="U1431" s="32"/>
      <c r="V1431" s="381">
        <f t="shared" si="239"/>
        <v>0</v>
      </c>
      <c r="W1431" s="32"/>
      <c r="X1431" s="383"/>
      <c r="Y1431" s="381">
        <f t="shared" si="240"/>
        <v>0</v>
      </c>
    </row>
    <row r="1432" spans="2:25" x14ac:dyDescent="0.2">
      <c r="B1432" s="383"/>
      <c r="C1432" s="32"/>
      <c r="D1432" s="381">
        <f t="shared" si="233"/>
        <v>0</v>
      </c>
      <c r="E1432" s="383"/>
      <c r="F1432" s="382"/>
      <c r="G1432" s="381">
        <f t="shared" si="234"/>
        <v>0</v>
      </c>
      <c r="H1432" s="383"/>
      <c r="I1432" s="32"/>
      <c r="J1432" s="381">
        <f t="shared" si="235"/>
        <v>0</v>
      </c>
      <c r="K1432" s="383"/>
      <c r="L1432" s="31"/>
      <c r="M1432" s="381">
        <f t="shared" si="236"/>
        <v>0</v>
      </c>
      <c r="N1432" s="383"/>
      <c r="O1432" s="383"/>
      <c r="P1432" s="381">
        <f t="shared" si="237"/>
        <v>0</v>
      </c>
      <c r="Q1432" s="383"/>
      <c r="R1432" s="32"/>
      <c r="S1432" s="25">
        <f t="shared" si="238"/>
        <v>0</v>
      </c>
      <c r="T1432" s="383"/>
      <c r="U1432" s="32"/>
      <c r="V1432" s="381">
        <f t="shared" si="239"/>
        <v>0</v>
      </c>
      <c r="W1432" s="32"/>
      <c r="X1432" s="383"/>
      <c r="Y1432" s="381">
        <f t="shared" si="240"/>
        <v>0</v>
      </c>
    </row>
    <row r="1433" spans="2:25" x14ac:dyDescent="0.2">
      <c r="B1433" s="383"/>
      <c r="C1433" s="32"/>
      <c r="D1433" s="381">
        <f t="shared" si="233"/>
        <v>0</v>
      </c>
      <c r="E1433" s="383"/>
      <c r="F1433" s="382"/>
      <c r="G1433" s="381">
        <f t="shared" si="234"/>
        <v>0</v>
      </c>
      <c r="H1433" s="383"/>
      <c r="I1433" s="32"/>
      <c r="J1433" s="381">
        <f t="shared" si="235"/>
        <v>0</v>
      </c>
      <c r="K1433" s="383"/>
      <c r="L1433" s="31"/>
      <c r="M1433" s="381">
        <f t="shared" si="236"/>
        <v>0</v>
      </c>
      <c r="N1433" s="383"/>
      <c r="O1433" s="383"/>
      <c r="P1433" s="381">
        <f t="shared" si="237"/>
        <v>0</v>
      </c>
      <c r="Q1433" s="383"/>
      <c r="R1433" s="32"/>
      <c r="S1433" s="25">
        <f t="shared" si="238"/>
        <v>0</v>
      </c>
      <c r="T1433" s="383"/>
      <c r="U1433" s="32"/>
      <c r="V1433" s="381">
        <f t="shared" si="239"/>
        <v>0</v>
      </c>
      <c r="W1433" s="32"/>
      <c r="X1433" s="383"/>
      <c r="Y1433" s="381">
        <f t="shared" si="240"/>
        <v>0</v>
      </c>
    </row>
    <row r="1434" spans="2:25" x14ac:dyDescent="0.2">
      <c r="B1434" s="383"/>
      <c r="C1434" s="32"/>
      <c r="D1434" s="381">
        <f t="shared" si="233"/>
        <v>0</v>
      </c>
      <c r="E1434" s="383"/>
      <c r="F1434" s="382"/>
      <c r="G1434" s="381">
        <f t="shared" si="234"/>
        <v>0</v>
      </c>
      <c r="H1434" s="383"/>
      <c r="I1434" s="32"/>
      <c r="J1434" s="381">
        <f t="shared" si="235"/>
        <v>0</v>
      </c>
      <c r="K1434" s="383"/>
      <c r="L1434" s="31"/>
      <c r="M1434" s="381">
        <f t="shared" si="236"/>
        <v>0</v>
      </c>
      <c r="N1434" s="383"/>
      <c r="O1434" s="383"/>
      <c r="P1434" s="381">
        <f t="shared" si="237"/>
        <v>0</v>
      </c>
      <c r="Q1434" s="383"/>
      <c r="R1434" s="32"/>
      <c r="S1434" s="25">
        <f t="shared" si="238"/>
        <v>0</v>
      </c>
      <c r="T1434" s="383"/>
      <c r="U1434" s="32"/>
      <c r="V1434" s="381">
        <f t="shared" si="239"/>
        <v>0</v>
      </c>
      <c r="W1434" s="32"/>
      <c r="X1434" s="383"/>
      <c r="Y1434" s="381">
        <f t="shared" si="240"/>
        <v>0</v>
      </c>
    </row>
    <row r="1435" spans="2:25" x14ac:dyDescent="0.2">
      <c r="B1435" s="383"/>
      <c r="C1435" s="32"/>
      <c r="D1435" s="381">
        <f t="shared" si="233"/>
        <v>0</v>
      </c>
      <c r="E1435" s="383"/>
      <c r="F1435" s="382"/>
      <c r="G1435" s="381">
        <f t="shared" si="234"/>
        <v>0</v>
      </c>
      <c r="H1435" s="383"/>
      <c r="I1435" s="32"/>
      <c r="J1435" s="381">
        <f t="shared" si="235"/>
        <v>0</v>
      </c>
      <c r="K1435" s="383"/>
      <c r="L1435" s="31"/>
      <c r="M1435" s="381">
        <f t="shared" si="236"/>
        <v>0</v>
      </c>
      <c r="N1435" s="383"/>
      <c r="O1435" s="383"/>
      <c r="P1435" s="381">
        <f t="shared" si="237"/>
        <v>0</v>
      </c>
      <c r="Q1435" s="383"/>
      <c r="R1435" s="32"/>
      <c r="S1435" s="25">
        <f t="shared" si="238"/>
        <v>0</v>
      </c>
      <c r="T1435" s="383"/>
      <c r="U1435" s="383"/>
      <c r="V1435" s="381">
        <f t="shared" si="239"/>
        <v>0</v>
      </c>
      <c r="W1435" s="32"/>
      <c r="X1435" s="383"/>
      <c r="Y1435" s="381">
        <f t="shared" si="240"/>
        <v>0</v>
      </c>
    </row>
    <row r="1436" spans="2:25" x14ac:dyDescent="0.2">
      <c r="B1436" s="383"/>
      <c r="C1436" s="32"/>
      <c r="D1436" s="381">
        <f t="shared" si="233"/>
        <v>0</v>
      </c>
      <c r="E1436" s="383"/>
      <c r="F1436" s="382"/>
      <c r="G1436" s="381">
        <f t="shared" si="234"/>
        <v>0</v>
      </c>
      <c r="H1436" s="383"/>
      <c r="I1436" s="32"/>
      <c r="J1436" s="381">
        <f t="shared" si="235"/>
        <v>0</v>
      </c>
      <c r="K1436" s="383"/>
      <c r="L1436" s="31"/>
      <c r="M1436" s="381">
        <f t="shared" si="236"/>
        <v>0</v>
      </c>
      <c r="N1436" s="383"/>
      <c r="O1436" s="383"/>
      <c r="P1436" s="381">
        <f t="shared" si="237"/>
        <v>0</v>
      </c>
      <c r="Q1436" s="383"/>
      <c r="R1436" s="32"/>
      <c r="S1436" s="25">
        <f t="shared" si="238"/>
        <v>0</v>
      </c>
      <c r="T1436" s="383"/>
      <c r="U1436" s="383"/>
      <c r="V1436" s="381">
        <f t="shared" si="239"/>
        <v>0</v>
      </c>
      <c r="W1436" s="32"/>
      <c r="X1436" s="383"/>
      <c r="Y1436" s="381">
        <f t="shared" si="240"/>
        <v>0</v>
      </c>
    </row>
    <row r="1437" spans="2:25" x14ac:dyDescent="0.2">
      <c r="B1437" s="383"/>
      <c r="C1437" s="32"/>
      <c r="D1437" s="381">
        <f t="shared" si="233"/>
        <v>0</v>
      </c>
      <c r="E1437" s="383"/>
      <c r="F1437" s="382"/>
      <c r="G1437" s="381">
        <f t="shared" si="234"/>
        <v>0</v>
      </c>
      <c r="H1437" s="383"/>
      <c r="I1437" s="32"/>
      <c r="J1437" s="381">
        <f t="shared" si="235"/>
        <v>0</v>
      </c>
      <c r="K1437" s="383"/>
      <c r="L1437" s="31"/>
      <c r="M1437" s="381">
        <f t="shared" si="236"/>
        <v>0</v>
      </c>
      <c r="N1437" s="383"/>
      <c r="O1437" s="383"/>
      <c r="P1437" s="381">
        <f t="shared" si="237"/>
        <v>0</v>
      </c>
      <c r="Q1437" s="383"/>
      <c r="R1437" s="32"/>
      <c r="S1437" s="25">
        <f t="shared" si="238"/>
        <v>0</v>
      </c>
      <c r="T1437" s="383"/>
      <c r="U1437" s="383"/>
      <c r="V1437" s="381">
        <f t="shared" si="239"/>
        <v>0</v>
      </c>
      <c r="W1437" s="32"/>
      <c r="X1437" s="383"/>
      <c r="Y1437" s="381">
        <f t="shared" si="240"/>
        <v>0</v>
      </c>
    </row>
    <row r="1438" spans="2:25" x14ac:dyDescent="0.2">
      <c r="B1438" s="383"/>
      <c r="C1438" s="32"/>
      <c r="D1438" s="381">
        <f t="shared" si="233"/>
        <v>0</v>
      </c>
      <c r="E1438" s="383"/>
      <c r="F1438" s="382"/>
      <c r="G1438" s="381">
        <f t="shared" si="234"/>
        <v>0</v>
      </c>
      <c r="H1438" s="383"/>
      <c r="I1438" s="32"/>
      <c r="J1438" s="381">
        <f t="shared" si="235"/>
        <v>0</v>
      </c>
      <c r="K1438" s="383"/>
      <c r="L1438" s="31"/>
      <c r="M1438" s="381">
        <f t="shared" si="236"/>
        <v>0</v>
      </c>
      <c r="N1438" s="383"/>
      <c r="O1438" s="383"/>
      <c r="P1438" s="381">
        <f t="shared" si="237"/>
        <v>0</v>
      </c>
      <c r="Q1438" s="383"/>
      <c r="R1438" s="32"/>
      <c r="S1438" s="25">
        <f t="shared" si="238"/>
        <v>0</v>
      </c>
      <c r="T1438" s="383"/>
      <c r="U1438" s="383"/>
      <c r="V1438" s="381">
        <f t="shared" si="239"/>
        <v>0</v>
      </c>
      <c r="W1438" s="32"/>
      <c r="X1438" s="383"/>
      <c r="Y1438" s="381">
        <f t="shared" si="240"/>
        <v>0</v>
      </c>
    </row>
    <row r="1439" spans="2:25" x14ac:dyDescent="0.2">
      <c r="B1439" s="383"/>
      <c r="C1439" s="32"/>
      <c r="D1439" s="381">
        <f t="shared" si="233"/>
        <v>0</v>
      </c>
      <c r="E1439" s="383"/>
      <c r="F1439" s="382"/>
      <c r="G1439" s="381">
        <f t="shared" si="234"/>
        <v>0</v>
      </c>
      <c r="H1439" s="383"/>
      <c r="I1439" s="32"/>
      <c r="J1439" s="381">
        <f t="shared" si="235"/>
        <v>0</v>
      </c>
      <c r="K1439" s="383"/>
      <c r="L1439" s="31"/>
      <c r="M1439" s="381">
        <f t="shared" si="236"/>
        <v>0</v>
      </c>
      <c r="N1439" s="383"/>
      <c r="O1439" s="383"/>
      <c r="P1439" s="381">
        <f t="shared" si="237"/>
        <v>0</v>
      </c>
      <c r="Q1439" s="383"/>
      <c r="R1439" s="32"/>
      <c r="S1439" s="25">
        <f t="shared" si="238"/>
        <v>0</v>
      </c>
      <c r="T1439" s="383"/>
      <c r="U1439" s="383"/>
      <c r="V1439" s="381">
        <f t="shared" si="239"/>
        <v>0</v>
      </c>
      <c r="W1439" s="32"/>
      <c r="X1439" s="383"/>
      <c r="Y1439" s="381">
        <f t="shared" si="240"/>
        <v>0</v>
      </c>
    </row>
    <row r="1440" spans="2:25" x14ac:dyDescent="0.2">
      <c r="B1440" s="383"/>
      <c r="C1440" s="32"/>
      <c r="D1440" s="381">
        <f t="shared" si="233"/>
        <v>0</v>
      </c>
      <c r="E1440" s="383"/>
      <c r="F1440" s="382"/>
      <c r="G1440" s="381">
        <f t="shared" si="234"/>
        <v>0</v>
      </c>
      <c r="H1440" s="383"/>
      <c r="I1440" s="32"/>
      <c r="J1440" s="381">
        <f t="shared" si="235"/>
        <v>0</v>
      </c>
      <c r="K1440" s="383"/>
      <c r="L1440" s="31"/>
      <c r="M1440" s="381">
        <f t="shared" si="236"/>
        <v>0</v>
      </c>
      <c r="N1440" s="383"/>
      <c r="O1440" s="383"/>
      <c r="P1440" s="381">
        <f t="shared" si="237"/>
        <v>0</v>
      </c>
      <c r="Q1440" s="383"/>
      <c r="R1440" s="32"/>
      <c r="S1440" s="25">
        <f t="shared" si="238"/>
        <v>0</v>
      </c>
      <c r="T1440" s="383"/>
      <c r="U1440" s="383"/>
      <c r="V1440" s="381">
        <f t="shared" si="239"/>
        <v>0</v>
      </c>
      <c r="W1440" s="32"/>
      <c r="X1440" s="383"/>
      <c r="Y1440" s="381">
        <f t="shared" si="240"/>
        <v>0</v>
      </c>
    </row>
    <row r="1441" spans="2:25" x14ac:dyDescent="0.2">
      <c r="B1441" s="383"/>
      <c r="C1441" s="32"/>
      <c r="D1441" s="381">
        <f t="shared" si="233"/>
        <v>0</v>
      </c>
      <c r="E1441" s="383"/>
      <c r="F1441" s="382"/>
      <c r="G1441" s="381">
        <f t="shared" si="234"/>
        <v>0</v>
      </c>
      <c r="H1441" s="383"/>
      <c r="I1441" s="32"/>
      <c r="J1441" s="381">
        <f t="shared" si="235"/>
        <v>0</v>
      </c>
      <c r="K1441" s="383"/>
      <c r="L1441" s="31"/>
      <c r="M1441" s="381">
        <f t="shared" si="236"/>
        <v>0</v>
      </c>
      <c r="N1441" s="383"/>
      <c r="O1441" s="383"/>
      <c r="P1441" s="381">
        <f t="shared" si="237"/>
        <v>0</v>
      </c>
      <c r="Q1441" s="383"/>
      <c r="R1441" s="32"/>
      <c r="S1441" s="25">
        <f t="shared" si="238"/>
        <v>0</v>
      </c>
      <c r="T1441" s="383"/>
      <c r="U1441" s="383"/>
      <c r="V1441" s="381">
        <f t="shared" si="239"/>
        <v>0</v>
      </c>
      <c r="W1441" s="32"/>
      <c r="X1441" s="383"/>
      <c r="Y1441" s="381">
        <f t="shared" si="240"/>
        <v>0</v>
      </c>
    </row>
    <row r="1442" spans="2:25" x14ac:dyDescent="0.2">
      <c r="B1442" s="383"/>
      <c r="C1442" s="32"/>
      <c r="D1442" s="381">
        <f t="shared" si="233"/>
        <v>0</v>
      </c>
      <c r="E1442" s="383"/>
      <c r="F1442" s="382"/>
      <c r="G1442" s="381">
        <f t="shared" si="234"/>
        <v>0</v>
      </c>
      <c r="H1442" s="383"/>
      <c r="I1442" s="32"/>
      <c r="J1442" s="381">
        <f t="shared" si="235"/>
        <v>0</v>
      </c>
      <c r="K1442" s="383"/>
      <c r="L1442" s="31"/>
      <c r="M1442" s="381">
        <f t="shared" si="236"/>
        <v>0</v>
      </c>
      <c r="N1442" s="383"/>
      <c r="O1442" s="383"/>
      <c r="P1442" s="381">
        <f t="shared" si="237"/>
        <v>0</v>
      </c>
      <c r="Q1442" s="383"/>
      <c r="R1442" s="32"/>
      <c r="S1442" s="25">
        <f t="shared" si="238"/>
        <v>0</v>
      </c>
      <c r="T1442" s="383"/>
      <c r="U1442" s="383"/>
      <c r="V1442" s="381">
        <f t="shared" si="239"/>
        <v>0</v>
      </c>
      <c r="W1442" s="32"/>
      <c r="X1442" s="383"/>
      <c r="Y1442" s="381">
        <f t="shared" si="240"/>
        <v>0</v>
      </c>
    </row>
    <row r="1443" spans="2:25" x14ac:dyDescent="0.2">
      <c r="B1443" s="383"/>
      <c r="C1443" s="32"/>
      <c r="D1443" s="381">
        <f t="shared" si="233"/>
        <v>0</v>
      </c>
      <c r="E1443" s="383"/>
      <c r="F1443" s="382"/>
      <c r="G1443" s="381">
        <f t="shared" si="234"/>
        <v>0</v>
      </c>
      <c r="H1443" s="383"/>
      <c r="I1443" s="32"/>
      <c r="J1443" s="381">
        <f t="shared" si="235"/>
        <v>0</v>
      </c>
      <c r="K1443" s="383"/>
      <c r="L1443" s="31"/>
      <c r="M1443" s="381">
        <f t="shared" si="236"/>
        <v>0</v>
      </c>
      <c r="N1443" s="383"/>
      <c r="O1443" s="383"/>
      <c r="P1443" s="381">
        <f t="shared" si="237"/>
        <v>0</v>
      </c>
      <c r="Q1443" s="383"/>
      <c r="R1443" s="32"/>
      <c r="S1443" s="25">
        <f t="shared" si="238"/>
        <v>0</v>
      </c>
      <c r="T1443" s="383"/>
      <c r="U1443" s="383"/>
      <c r="V1443" s="381">
        <f t="shared" si="239"/>
        <v>0</v>
      </c>
      <c r="W1443" s="32"/>
      <c r="X1443" s="383"/>
      <c r="Y1443" s="381">
        <f t="shared" si="240"/>
        <v>0</v>
      </c>
    </row>
    <row r="1444" spans="2:25" x14ac:dyDescent="0.2">
      <c r="B1444" s="383"/>
      <c r="C1444" s="32"/>
      <c r="D1444" s="381">
        <f t="shared" si="233"/>
        <v>0</v>
      </c>
      <c r="E1444" s="383"/>
      <c r="F1444" s="382"/>
      <c r="G1444" s="381">
        <f t="shared" si="234"/>
        <v>0</v>
      </c>
      <c r="H1444" s="383"/>
      <c r="I1444" s="32"/>
      <c r="J1444" s="381">
        <f t="shared" si="235"/>
        <v>0</v>
      </c>
      <c r="K1444" s="383"/>
      <c r="L1444" s="31"/>
      <c r="M1444" s="381">
        <f t="shared" si="236"/>
        <v>0</v>
      </c>
      <c r="N1444" s="383"/>
      <c r="O1444" s="383"/>
      <c r="P1444" s="381">
        <f t="shared" si="237"/>
        <v>0</v>
      </c>
      <c r="Q1444" s="383"/>
      <c r="R1444" s="32"/>
      <c r="S1444" s="25">
        <f t="shared" si="238"/>
        <v>0</v>
      </c>
      <c r="T1444" s="383"/>
      <c r="U1444" s="383"/>
      <c r="V1444" s="381">
        <f t="shared" si="239"/>
        <v>0</v>
      </c>
      <c r="W1444" s="32"/>
      <c r="X1444" s="383"/>
      <c r="Y1444" s="381">
        <f t="shared" si="240"/>
        <v>0</v>
      </c>
    </row>
    <row r="1445" spans="2:25" x14ac:dyDescent="0.2">
      <c r="B1445" s="383"/>
      <c r="C1445" s="32"/>
      <c r="D1445" s="381">
        <f t="shared" si="233"/>
        <v>0</v>
      </c>
      <c r="E1445" s="383"/>
      <c r="F1445" s="382"/>
      <c r="G1445" s="381">
        <f t="shared" si="234"/>
        <v>0</v>
      </c>
      <c r="H1445" s="383"/>
      <c r="I1445" s="32"/>
      <c r="J1445" s="381">
        <f t="shared" si="235"/>
        <v>0</v>
      </c>
      <c r="K1445" s="383"/>
      <c r="L1445" s="31"/>
      <c r="M1445" s="381">
        <f t="shared" si="236"/>
        <v>0</v>
      </c>
      <c r="N1445" s="383"/>
      <c r="O1445" s="383"/>
      <c r="P1445" s="381">
        <f t="shared" si="237"/>
        <v>0</v>
      </c>
      <c r="Q1445" s="383"/>
      <c r="R1445" s="32"/>
      <c r="S1445" s="25">
        <f t="shared" si="238"/>
        <v>0</v>
      </c>
      <c r="T1445" s="383"/>
      <c r="U1445" s="383"/>
      <c r="V1445" s="381">
        <f t="shared" si="239"/>
        <v>0</v>
      </c>
      <c r="W1445" s="32"/>
      <c r="X1445" s="383"/>
      <c r="Y1445" s="381">
        <f t="shared" si="240"/>
        <v>0</v>
      </c>
    </row>
    <row r="1446" spans="2:25" x14ac:dyDescent="0.2">
      <c r="B1446" s="383"/>
      <c r="C1446" s="32"/>
      <c r="D1446" s="381">
        <f t="shared" si="233"/>
        <v>0</v>
      </c>
      <c r="E1446" s="383"/>
      <c r="F1446" s="382"/>
      <c r="G1446" s="381">
        <f t="shared" si="234"/>
        <v>0</v>
      </c>
      <c r="H1446" s="383"/>
      <c r="I1446" s="32"/>
      <c r="J1446" s="381">
        <f t="shared" si="235"/>
        <v>0</v>
      </c>
      <c r="K1446" s="383"/>
      <c r="L1446" s="31"/>
      <c r="M1446" s="381">
        <f t="shared" si="236"/>
        <v>0</v>
      </c>
      <c r="N1446" s="383"/>
      <c r="O1446" s="383"/>
      <c r="P1446" s="381">
        <f t="shared" si="237"/>
        <v>0</v>
      </c>
      <c r="Q1446" s="383"/>
      <c r="R1446" s="32"/>
      <c r="S1446" s="25">
        <f t="shared" si="238"/>
        <v>0</v>
      </c>
      <c r="T1446" s="383"/>
      <c r="U1446" s="383"/>
      <c r="V1446" s="381">
        <f t="shared" si="239"/>
        <v>0</v>
      </c>
      <c r="W1446" s="32"/>
      <c r="X1446" s="383"/>
      <c r="Y1446" s="381">
        <f t="shared" si="240"/>
        <v>0</v>
      </c>
    </row>
    <row r="1447" spans="2:25" x14ac:dyDescent="0.2">
      <c r="B1447" s="383"/>
      <c r="C1447" s="32"/>
      <c r="D1447" s="381">
        <f t="shared" si="233"/>
        <v>0</v>
      </c>
      <c r="E1447" s="383"/>
      <c r="F1447" s="382"/>
      <c r="G1447" s="381">
        <f t="shared" si="234"/>
        <v>0</v>
      </c>
      <c r="H1447" s="383"/>
      <c r="I1447" s="32"/>
      <c r="J1447" s="381">
        <f t="shared" si="235"/>
        <v>0</v>
      </c>
      <c r="K1447" s="383"/>
      <c r="L1447" s="31"/>
      <c r="M1447" s="381">
        <f t="shared" si="236"/>
        <v>0</v>
      </c>
      <c r="N1447" s="383"/>
      <c r="O1447" s="383"/>
      <c r="P1447" s="381">
        <f t="shared" si="237"/>
        <v>0</v>
      </c>
      <c r="Q1447" s="383"/>
      <c r="R1447" s="32"/>
      <c r="S1447" s="25">
        <f t="shared" si="238"/>
        <v>0</v>
      </c>
      <c r="T1447" s="383"/>
      <c r="U1447" s="383"/>
      <c r="V1447" s="381">
        <f t="shared" si="239"/>
        <v>0</v>
      </c>
      <c r="W1447" s="32"/>
      <c r="X1447" s="383"/>
      <c r="Y1447" s="381">
        <f t="shared" si="240"/>
        <v>0</v>
      </c>
    </row>
    <row r="1448" spans="2:25" x14ac:dyDescent="0.2">
      <c r="B1448" s="383"/>
      <c r="C1448" s="32"/>
      <c r="D1448" s="381">
        <f t="shared" si="233"/>
        <v>0</v>
      </c>
      <c r="E1448" s="383"/>
      <c r="F1448" s="382"/>
      <c r="G1448" s="381">
        <f t="shared" si="234"/>
        <v>0</v>
      </c>
      <c r="H1448" s="383"/>
      <c r="I1448" s="32"/>
      <c r="J1448" s="381">
        <f t="shared" si="235"/>
        <v>0</v>
      </c>
      <c r="K1448" s="383"/>
      <c r="L1448" s="31"/>
      <c r="M1448" s="381">
        <f t="shared" si="236"/>
        <v>0</v>
      </c>
      <c r="N1448" s="383"/>
      <c r="O1448" s="383"/>
      <c r="P1448" s="381">
        <f t="shared" si="237"/>
        <v>0</v>
      </c>
      <c r="Q1448" s="383"/>
      <c r="R1448" s="32"/>
      <c r="S1448" s="25">
        <f t="shared" si="238"/>
        <v>0</v>
      </c>
      <c r="T1448" s="383"/>
      <c r="U1448" s="383"/>
      <c r="V1448" s="381">
        <f t="shared" si="239"/>
        <v>0</v>
      </c>
      <c r="W1448" s="32"/>
      <c r="X1448" s="383"/>
      <c r="Y1448" s="381">
        <f t="shared" si="240"/>
        <v>0</v>
      </c>
    </row>
    <row r="1449" spans="2:25" x14ac:dyDescent="0.2">
      <c r="B1449" s="383"/>
      <c r="C1449" s="32"/>
      <c r="D1449" s="381">
        <f t="shared" si="233"/>
        <v>0</v>
      </c>
      <c r="E1449" s="383"/>
      <c r="F1449" s="382"/>
      <c r="G1449" s="381">
        <f t="shared" si="234"/>
        <v>0</v>
      </c>
      <c r="H1449" s="383"/>
      <c r="I1449" s="32"/>
      <c r="J1449" s="381">
        <f t="shared" si="235"/>
        <v>0</v>
      </c>
      <c r="K1449" s="383"/>
      <c r="L1449" s="31"/>
      <c r="M1449" s="381">
        <f t="shared" si="236"/>
        <v>0</v>
      </c>
      <c r="N1449" s="383"/>
      <c r="O1449" s="383"/>
      <c r="P1449" s="381">
        <f t="shared" si="237"/>
        <v>0</v>
      </c>
      <c r="Q1449" s="383"/>
      <c r="R1449" s="32"/>
      <c r="S1449" s="25">
        <f t="shared" si="238"/>
        <v>0</v>
      </c>
      <c r="T1449" s="383"/>
      <c r="U1449" s="383"/>
      <c r="V1449" s="381">
        <f t="shared" si="239"/>
        <v>0</v>
      </c>
      <c r="W1449" s="32"/>
      <c r="X1449" s="383"/>
      <c r="Y1449" s="381">
        <f t="shared" si="240"/>
        <v>0</v>
      </c>
    </row>
    <row r="1450" spans="2:25" x14ac:dyDescent="0.2">
      <c r="B1450" s="383"/>
      <c r="C1450" s="32"/>
      <c r="D1450" s="381">
        <f t="shared" si="233"/>
        <v>0</v>
      </c>
      <c r="E1450" s="383"/>
      <c r="F1450" s="382"/>
      <c r="G1450" s="381">
        <f t="shared" si="234"/>
        <v>0</v>
      </c>
      <c r="H1450" s="383"/>
      <c r="I1450" s="32"/>
      <c r="J1450" s="381">
        <f t="shared" si="235"/>
        <v>0</v>
      </c>
      <c r="K1450" s="383"/>
      <c r="L1450" s="31"/>
      <c r="M1450" s="381">
        <f t="shared" si="236"/>
        <v>0</v>
      </c>
      <c r="N1450" s="383"/>
      <c r="O1450" s="383"/>
      <c r="P1450" s="381">
        <f t="shared" si="237"/>
        <v>0</v>
      </c>
      <c r="Q1450" s="383"/>
      <c r="R1450" s="32"/>
      <c r="S1450" s="25">
        <f t="shared" si="238"/>
        <v>0</v>
      </c>
      <c r="T1450" s="383"/>
      <c r="U1450" s="383"/>
      <c r="V1450" s="381">
        <f t="shared" si="239"/>
        <v>0</v>
      </c>
      <c r="W1450" s="32"/>
      <c r="X1450" s="383"/>
      <c r="Y1450" s="381">
        <f t="shared" si="240"/>
        <v>0</v>
      </c>
    </row>
    <row r="1451" spans="2:25" x14ac:dyDescent="0.2">
      <c r="B1451" s="383"/>
      <c r="C1451" s="32"/>
      <c r="D1451" s="381">
        <f t="shared" si="233"/>
        <v>0</v>
      </c>
      <c r="E1451" s="383"/>
      <c r="F1451" s="382"/>
      <c r="G1451" s="381">
        <f t="shared" si="234"/>
        <v>0</v>
      </c>
      <c r="H1451" s="383"/>
      <c r="I1451" s="32"/>
      <c r="J1451" s="381">
        <f t="shared" si="235"/>
        <v>0</v>
      </c>
      <c r="K1451" s="383"/>
      <c r="L1451" s="31"/>
      <c r="M1451" s="381">
        <f t="shared" si="236"/>
        <v>0</v>
      </c>
      <c r="N1451" s="383"/>
      <c r="O1451" s="383"/>
      <c r="P1451" s="381">
        <f t="shared" si="237"/>
        <v>0</v>
      </c>
      <c r="Q1451" s="383"/>
      <c r="R1451" s="32"/>
      <c r="S1451" s="25">
        <f t="shared" si="238"/>
        <v>0</v>
      </c>
      <c r="T1451" s="383"/>
      <c r="U1451" s="383"/>
      <c r="V1451" s="381">
        <f t="shared" si="239"/>
        <v>0</v>
      </c>
      <c r="W1451" s="32"/>
      <c r="X1451" s="383"/>
      <c r="Y1451" s="381">
        <f t="shared" si="240"/>
        <v>0</v>
      </c>
    </row>
    <row r="1452" spans="2:25" x14ac:dyDescent="0.2">
      <c r="B1452" s="383"/>
      <c r="C1452" s="32"/>
      <c r="D1452" s="381">
        <f t="shared" si="233"/>
        <v>0</v>
      </c>
      <c r="E1452" s="383"/>
      <c r="F1452" s="382"/>
      <c r="G1452" s="381">
        <f t="shared" si="234"/>
        <v>0</v>
      </c>
      <c r="H1452" s="383"/>
      <c r="I1452" s="32"/>
      <c r="J1452" s="381">
        <f t="shared" si="235"/>
        <v>0</v>
      </c>
      <c r="K1452" s="383"/>
      <c r="L1452" s="31"/>
      <c r="M1452" s="381">
        <f t="shared" si="236"/>
        <v>0</v>
      </c>
      <c r="N1452" s="383"/>
      <c r="O1452" s="383"/>
      <c r="P1452" s="381">
        <f t="shared" si="237"/>
        <v>0</v>
      </c>
      <c r="Q1452" s="383"/>
      <c r="R1452" s="32"/>
      <c r="S1452" s="25">
        <f t="shared" si="238"/>
        <v>0</v>
      </c>
      <c r="T1452" s="383"/>
      <c r="U1452" s="383"/>
      <c r="V1452" s="381">
        <f t="shared" si="239"/>
        <v>0</v>
      </c>
      <c r="W1452" s="32"/>
      <c r="X1452" s="383"/>
      <c r="Y1452" s="381">
        <f t="shared" si="240"/>
        <v>0</v>
      </c>
    </row>
    <row r="1453" spans="2:25" x14ac:dyDescent="0.2">
      <c r="B1453" s="383"/>
      <c r="C1453" s="32"/>
      <c r="D1453" s="381">
        <f t="shared" si="233"/>
        <v>0</v>
      </c>
      <c r="E1453" s="383"/>
      <c r="F1453" s="382"/>
      <c r="G1453" s="381">
        <f t="shared" si="234"/>
        <v>0</v>
      </c>
      <c r="H1453" s="383"/>
      <c r="I1453" s="32"/>
      <c r="J1453" s="381">
        <f t="shared" si="235"/>
        <v>0</v>
      </c>
      <c r="K1453" s="383"/>
      <c r="L1453" s="31"/>
      <c r="M1453" s="381">
        <f t="shared" si="236"/>
        <v>0</v>
      </c>
      <c r="N1453" s="383"/>
      <c r="O1453" s="383"/>
      <c r="P1453" s="381">
        <f t="shared" si="237"/>
        <v>0</v>
      </c>
      <c r="Q1453" s="383"/>
      <c r="R1453" s="32"/>
      <c r="S1453" s="25">
        <f t="shared" si="238"/>
        <v>0</v>
      </c>
      <c r="T1453" s="383"/>
      <c r="U1453" s="383"/>
      <c r="V1453" s="381">
        <f t="shared" si="239"/>
        <v>0</v>
      </c>
      <c r="W1453" s="32"/>
      <c r="X1453" s="383"/>
      <c r="Y1453" s="381">
        <f t="shared" si="240"/>
        <v>0</v>
      </c>
    </row>
    <row r="1454" spans="2:25" x14ac:dyDescent="0.2">
      <c r="B1454" s="383"/>
      <c r="C1454" s="32"/>
      <c r="D1454" s="381">
        <f t="shared" si="233"/>
        <v>0</v>
      </c>
      <c r="E1454" s="383"/>
      <c r="F1454" s="382"/>
      <c r="G1454" s="381">
        <f t="shared" si="234"/>
        <v>0</v>
      </c>
      <c r="H1454" s="383"/>
      <c r="I1454" s="32"/>
      <c r="J1454" s="381">
        <f t="shared" si="235"/>
        <v>0</v>
      </c>
      <c r="K1454" s="383"/>
      <c r="L1454" s="31"/>
      <c r="M1454" s="381">
        <f t="shared" si="236"/>
        <v>0</v>
      </c>
      <c r="N1454" s="383"/>
      <c r="O1454" s="383"/>
      <c r="P1454" s="381">
        <f t="shared" si="237"/>
        <v>0</v>
      </c>
      <c r="Q1454" s="383"/>
      <c r="R1454" s="32"/>
      <c r="S1454" s="25">
        <f t="shared" si="238"/>
        <v>0</v>
      </c>
      <c r="T1454" s="383"/>
      <c r="U1454" s="383"/>
      <c r="V1454" s="381">
        <f t="shared" si="239"/>
        <v>0</v>
      </c>
      <c r="W1454" s="32"/>
      <c r="X1454" s="383"/>
      <c r="Y1454" s="381">
        <f t="shared" si="240"/>
        <v>0</v>
      </c>
    </row>
    <row r="1455" spans="2:25" x14ac:dyDescent="0.2">
      <c r="B1455" s="383"/>
      <c r="C1455" s="32"/>
      <c r="D1455" s="381">
        <f t="shared" si="233"/>
        <v>0</v>
      </c>
      <c r="E1455" s="383"/>
      <c r="F1455" s="382"/>
      <c r="G1455" s="381">
        <f t="shared" si="234"/>
        <v>0</v>
      </c>
      <c r="H1455" s="383"/>
      <c r="I1455" s="32"/>
      <c r="J1455" s="381">
        <f t="shared" si="235"/>
        <v>0</v>
      </c>
      <c r="K1455" s="383"/>
      <c r="L1455" s="31"/>
      <c r="M1455" s="381">
        <f t="shared" si="236"/>
        <v>0</v>
      </c>
      <c r="N1455" s="383"/>
      <c r="O1455" s="383"/>
      <c r="P1455" s="381">
        <f t="shared" si="237"/>
        <v>0</v>
      </c>
      <c r="Q1455" s="383"/>
      <c r="R1455" s="32"/>
      <c r="S1455" s="25">
        <f t="shared" si="238"/>
        <v>0</v>
      </c>
      <c r="T1455" s="383"/>
      <c r="U1455" s="383"/>
      <c r="V1455" s="381">
        <f t="shared" si="239"/>
        <v>0</v>
      </c>
      <c r="W1455" s="32"/>
      <c r="X1455" s="383"/>
      <c r="Y1455" s="381">
        <f t="shared" si="240"/>
        <v>0</v>
      </c>
    </row>
    <row r="1456" spans="2:25" x14ac:dyDescent="0.2">
      <c r="B1456" s="383"/>
      <c r="C1456" s="32"/>
      <c r="D1456" s="381">
        <f t="shared" si="233"/>
        <v>0</v>
      </c>
      <c r="E1456" s="383"/>
      <c r="F1456" s="382"/>
      <c r="G1456" s="381">
        <f t="shared" si="234"/>
        <v>0</v>
      </c>
      <c r="H1456" s="383"/>
      <c r="I1456" s="32"/>
      <c r="J1456" s="381">
        <f t="shared" si="235"/>
        <v>0</v>
      </c>
      <c r="K1456" s="383"/>
      <c r="L1456" s="31"/>
      <c r="M1456" s="381">
        <f t="shared" si="236"/>
        <v>0</v>
      </c>
      <c r="N1456" s="383"/>
      <c r="O1456" s="383"/>
      <c r="P1456" s="381">
        <f t="shared" si="237"/>
        <v>0</v>
      </c>
      <c r="Q1456" s="383"/>
      <c r="R1456" s="32"/>
      <c r="S1456" s="25">
        <f t="shared" si="238"/>
        <v>0</v>
      </c>
      <c r="T1456" s="383"/>
      <c r="U1456" s="383"/>
      <c r="V1456" s="381">
        <f t="shared" si="239"/>
        <v>0</v>
      </c>
      <c r="W1456" s="383"/>
      <c r="X1456" s="383"/>
      <c r="Y1456" s="381">
        <f t="shared" si="240"/>
        <v>0</v>
      </c>
    </row>
    <row r="1457" spans="2:25" x14ac:dyDescent="0.2">
      <c r="B1457" s="383"/>
      <c r="C1457" s="32"/>
      <c r="D1457" s="381">
        <f t="shared" si="233"/>
        <v>0</v>
      </c>
      <c r="E1457" s="383"/>
      <c r="F1457" s="382"/>
      <c r="G1457" s="381">
        <f t="shared" si="234"/>
        <v>0</v>
      </c>
      <c r="H1457" s="383"/>
      <c r="I1457" s="32"/>
      <c r="J1457" s="381">
        <f t="shared" si="235"/>
        <v>0</v>
      </c>
      <c r="K1457" s="383"/>
      <c r="L1457" s="31"/>
      <c r="M1457" s="381">
        <f t="shared" si="236"/>
        <v>0</v>
      </c>
      <c r="N1457" s="383"/>
      <c r="O1457" s="383"/>
      <c r="P1457" s="381">
        <f t="shared" si="237"/>
        <v>0</v>
      </c>
      <c r="Q1457" s="383"/>
      <c r="R1457" s="32"/>
      <c r="S1457" s="25">
        <f t="shared" si="238"/>
        <v>0</v>
      </c>
      <c r="T1457" s="383"/>
      <c r="U1457" s="383"/>
      <c r="V1457" s="381">
        <f t="shared" si="239"/>
        <v>0</v>
      </c>
      <c r="W1457" s="383"/>
      <c r="X1457" s="383"/>
      <c r="Y1457" s="381">
        <f t="shared" si="240"/>
        <v>0</v>
      </c>
    </row>
    <row r="1458" spans="2:25" x14ac:dyDescent="0.2">
      <c r="B1458" s="383"/>
      <c r="C1458" s="32"/>
      <c r="D1458" s="381">
        <f t="shared" si="233"/>
        <v>0</v>
      </c>
      <c r="E1458" s="383"/>
      <c r="F1458" s="382"/>
      <c r="G1458" s="381">
        <f t="shared" si="234"/>
        <v>0</v>
      </c>
      <c r="H1458" s="383"/>
      <c r="I1458" s="32"/>
      <c r="J1458" s="381">
        <f t="shared" si="235"/>
        <v>0</v>
      </c>
      <c r="K1458" s="383"/>
      <c r="L1458" s="31"/>
      <c r="M1458" s="381">
        <f t="shared" si="236"/>
        <v>0</v>
      </c>
      <c r="N1458" s="383"/>
      <c r="O1458" s="383"/>
      <c r="P1458" s="381">
        <f t="shared" si="237"/>
        <v>0</v>
      </c>
      <c r="Q1458" s="383"/>
      <c r="R1458" s="32"/>
      <c r="S1458" s="25">
        <f t="shared" si="238"/>
        <v>0</v>
      </c>
      <c r="T1458" s="383"/>
      <c r="U1458" s="383"/>
      <c r="V1458" s="381">
        <f t="shared" si="239"/>
        <v>0</v>
      </c>
      <c r="W1458" s="383"/>
      <c r="X1458" s="383"/>
      <c r="Y1458" s="381">
        <f t="shared" si="240"/>
        <v>0</v>
      </c>
    </row>
    <row r="1459" spans="2:25" x14ac:dyDescent="0.2">
      <c r="B1459" s="383"/>
      <c r="C1459" s="32"/>
      <c r="D1459" s="381">
        <f t="shared" si="233"/>
        <v>0</v>
      </c>
      <c r="E1459" s="383"/>
      <c r="F1459" s="382"/>
      <c r="G1459" s="381">
        <f t="shared" si="234"/>
        <v>0</v>
      </c>
      <c r="H1459" s="383"/>
      <c r="I1459" s="32"/>
      <c r="J1459" s="381">
        <f t="shared" si="235"/>
        <v>0</v>
      </c>
      <c r="K1459" s="383"/>
      <c r="L1459" s="31"/>
      <c r="M1459" s="381">
        <f t="shared" si="236"/>
        <v>0</v>
      </c>
      <c r="N1459" s="383"/>
      <c r="O1459" s="383"/>
      <c r="P1459" s="381">
        <f t="shared" si="237"/>
        <v>0</v>
      </c>
      <c r="Q1459" s="383"/>
      <c r="R1459" s="32"/>
      <c r="S1459" s="25">
        <f t="shared" si="238"/>
        <v>0</v>
      </c>
      <c r="T1459" s="383"/>
      <c r="U1459" s="383"/>
      <c r="V1459" s="381">
        <f t="shared" si="239"/>
        <v>0</v>
      </c>
      <c r="W1459" s="383"/>
      <c r="X1459" s="383"/>
      <c r="Y1459" s="381">
        <f t="shared" si="240"/>
        <v>0</v>
      </c>
    </row>
    <row r="1460" spans="2:25" x14ac:dyDescent="0.2">
      <c r="B1460" s="383"/>
      <c r="C1460" s="32"/>
      <c r="D1460" s="381">
        <f t="shared" si="233"/>
        <v>0</v>
      </c>
      <c r="E1460" s="383"/>
      <c r="F1460" s="382"/>
      <c r="G1460" s="381">
        <f t="shared" si="234"/>
        <v>0</v>
      </c>
      <c r="H1460" s="383"/>
      <c r="I1460" s="32"/>
      <c r="J1460" s="381">
        <f t="shared" si="235"/>
        <v>0</v>
      </c>
      <c r="K1460" s="383"/>
      <c r="L1460" s="31"/>
      <c r="M1460" s="381">
        <f t="shared" si="236"/>
        <v>0</v>
      </c>
      <c r="N1460" s="383"/>
      <c r="O1460" s="383"/>
      <c r="P1460" s="381">
        <f t="shared" si="237"/>
        <v>0</v>
      </c>
      <c r="Q1460" s="383"/>
      <c r="R1460" s="32"/>
      <c r="S1460" s="25">
        <f t="shared" si="238"/>
        <v>0</v>
      </c>
      <c r="T1460" s="383"/>
      <c r="U1460" s="383"/>
      <c r="V1460" s="381">
        <f t="shared" si="239"/>
        <v>0</v>
      </c>
      <c r="W1460" s="383"/>
      <c r="X1460" s="383"/>
      <c r="Y1460" s="381">
        <f t="shared" si="240"/>
        <v>0</v>
      </c>
    </row>
    <row r="1461" spans="2:25" x14ac:dyDescent="0.2">
      <c r="B1461" s="383"/>
      <c r="C1461" s="32"/>
      <c r="D1461" s="381">
        <f t="shared" si="233"/>
        <v>0</v>
      </c>
      <c r="E1461" s="383"/>
      <c r="F1461" s="382"/>
      <c r="G1461" s="381">
        <f t="shared" si="234"/>
        <v>0</v>
      </c>
      <c r="H1461" s="383"/>
      <c r="I1461" s="32"/>
      <c r="J1461" s="381">
        <f t="shared" si="235"/>
        <v>0</v>
      </c>
      <c r="K1461" s="383"/>
      <c r="L1461" s="31"/>
      <c r="M1461" s="381">
        <f t="shared" si="236"/>
        <v>0</v>
      </c>
      <c r="N1461" s="383"/>
      <c r="O1461" s="383"/>
      <c r="P1461" s="381">
        <f t="shared" si="237"/>
        <v>0</v>
      </c>
      <c r="Q1461" s="383"/>
      <c r="R1461" s="32"/>
      <c r="S1461" s="25">
        <f t="shared" si="238"/>
        <v>0</v>
      </c>
      <c r="T1461" s="383"/>
      <c r="U1461" s="383"/>
      <c r="V1461" s="381">
        <f t="shared" si="239"/>
        <v>0</v>
      </c>
      <c r="W1461" s="383"/>
      <c r="X1461" s="383"/>
      <c r="Y1461" s="381">
        <f t="shared" si="240"/>
        <v>0</v>
      </c>
    </row>
    <row r="1462" spans="2:25" x14ac:dyDescent="0.2">
      <c r="B1462" s="383"/>
      <c r="C1462" s="32"/>
      <c r="D1462" s="381">
        <f t="shared" si="233"/>
        <v>0</v>
      </c>
      <c r="E1462" s="383"/>
      <c r="F1462" s="382"/>
      <c r="G1462" s="381">
        <f t="shared" si="234"/>
        <v>0</v>
      </c>
      <c r="H1462" s="383"/>
      <c r="I1462" s="32"/>
      <c r="J1462" s="381">
        <f t="shared" si="235"/>
        <v>0</v>
      </c>
      <c r="K1462" s="383"/>
      <c r="L1462" s="31"/>
      <c r="M1462" s="381">
        <f t="shared" si="236"/>
        <v>0</v>
      </c>
      <c r="N1462" s="383"/>
      <c r="O1462" s="383"/>
      <c r="P1462" s="381">
        <f t="shared" si="237"/>
        <v>0</v>
      </c>
      <c r="Q1462" s="383"/>
      <c r="R1462" s="383"/>
      <c r="S1462" s="25">
        <f t="shared" si="238"/>
        <v>0</v>
      </c>
      <c r="T1462" s="383"/>
      <c r="U1462" s="383"/>
      <c r="V1462" s="381">
        <f t="shared" si="239"/>
        <v>0</v>
      </c>
      <c r="W1462" s="383"/>
      <c r="X1462" s="383"/>
      <c r="Y1462" s="381">
        <f t="shared" si="240"/>
        <v>0</v>
      </c>
    </row>
    <row r="1463" spans="2:25" x14ac:dyDescent="0.2">
      <c r="B1463" s="383"/>
      <c r="C1463" s="32"/>
      <c r="D1463" s="381">
        <f t="shared" si="233"/>
        <v>0</v>
      </c>
      <c r="E1463" s="383"/>
      <c r="F1463" s="382"/>
      <c r="G1463" s="381">
        <f t="shared" si="234"/>
        <v>0</v>
      </c>
      <c r="H1463" s="383"/>
      <c r="I1463" s="32"/>
      <c r="J1463" s="381">
        <f t="shared" si="235"/>
        <v>0</v>
      </c>
      <c r="K1463" s="383"/>
      <c r="L1463" s="31"/>
      <c r="M1463" s="381">
        <f t="shared" si="236"/>
        <v>0</v>
      </c>
      <c r="N1463" s="383"/>
      <c r="O1463" s="383"/>
      <c r="P1463" s="381">
        <f t="shared" si="237"/>
        <v>0</v>
      </c>
      <c r="Q1463" s="383"/>
      <c r="R1463" s="383"/>
      <c r="S1463" s="25">
        <f t="shared" si="238"/>
        <v>0</v>
      </c>
      <c r="T1463" s="383"/>
      <c r="U1463" s="383"/>
      <c r="V1463" s="381">
        <f t="shared" si="239"/>
        <v>0</v>
      </c>
      <c r="W1463" s="383"/>
      <c r="X1463" s="383"/>
      <c r="Y1463" s="381">
        <f t="shared" si="240"/>
        <v>0</v>
      </c>
    </row>
    <row r="1464" spans="2:25" x14ac:dyDescent="0.2">
      <c r="B1464" s="383"/>
      <c r="C1464" s="32"/>
      <c r="D1464" s="381">
        <f t="shared" si="233"/>
        <v>0</v>
      </c>
      <c r="E1464" s="383"/>
      <c r="F1464" s="382"/>
      <c r="G1464" s="381">
        <f t="shared" si="234"/>
        <v>0</v>
      </c>
      <c r="H1464" s="383"/>
      <c r="I1464" s="32"/>
      <c r="J1464" s="381">
        <f t="shared" si="235"/>
        <v>0</v>
      </c>
      <c r="K1464" s="383"/>
      <c r="L1464" s="31"/>
      <c r="M1464" s="381">
        <f t="shared" si="236"/>
        <v>0</v>
      </c>
      <c r="N1464" s="383"/>
      <c r="O1464" s="383"/>
      <c r="P1464" s="381">
        <f t="shared" si="237"/>
        <v>0</v>
      </c>
      <c r="Q1464" s="383"/>
      <c r="R1464" s="383"/>
      <c r="S1464" s="25">
        <f t="shared" si="238"/>
        <v>0</v>
      </c>
      <c r="T1464" s="383"/>
      <c r="U1464" s="383"/>
      <c r="V1464" s="381">
        <f t="shared" si="239"/>
        <v>0</v>
      </c>
      <c r="W1464" s="383"/>
      <c r="X1464" s="383"/>
      <c r="Y1464" s="381">
        <f t="shared" si="240"/>
        <v>0</v>
      </c>
    </row>
    <row r="1465" spans="2:25" x14ac:dyDescent="0.2">
      <c r="B1465" s="383"/>
      <c r="C1465" s="32"/>
      <c r="D1465" s="381">
        <f t="shared" si="233"/>
        <v>0</v>
      </c>
      <c r="E1465" s="383"/>
      <c r="F1465" s="382"/>
      <c r="G1465" s="381">
        <f t="shared" si="234"/>
        <v>0</v>
      </c>
      <c r="H1465" s="383"/>
      <c r="I1465" s="32"/>
      <c r="J1465" s="381">
        <f t="shared" si="235"/>
        <v>0</v>
      </c>
      <c r="K1465" s="383"/>
      <c r="L1465" s="31"/>
      <c r="M1465" s="381">
        <f t="shared" si="236"/>
        <v>0</v>
      </c>
      <c r="N1465" s="383"/>
      <c r="O1465" s="383"/>
      <c r="P1465" s="381">
        <f t="shared" si="237"/>
        <v>0</v>
      </c>
      <c r="Q1465" s="383"/>
      <c r="R1465" s="383"/>
      <c r="S1465" s="25">
        <f t="shared" si="238"/>
        <v>0</v>
      </c>
      <c r="T1465" s="383"/>
      <c r="U1465" s="383"/>
      <c r="V1465" s="381">
        <f t="shared" si="239"/>
        <v>0</v>
      </c>
      <c r="W1465" s="383"/>
      <c r="X1465" s="383"/>
      <c r="Y1465" s="381">
        <f t="shared" si="240"/>
        <v>0</v>
      </c>
    </row>
    <row r="1466" spans="2:25" x14ac:dyDescent="0.2">
      <c r="B1466" s="383"/>
      <c r="C1466" s="32"/>
      <c r="D1466" s="381">
        <f t="shared" si="233"/>
        <v>0</v>
      </c>
      <c r="E1466" s="383"/>
      <c r="F1466" s="382"/>
      <c r="G1466" s="381">
        <f t="shared" si="234"/>
        <v>0</v>
      </c>
      <c r="H1466" s="383"/>
      <c r="I1466" s="32"/>
      <c r="J1466" s="381">
        <f t="shared" si="235"/>
        <v>0</v>
      </c>
      <c r="K1466" s="383"/>
      <c r="L1466" s="31"/>
      <c r="M1466" s="381">
        <f t="shared" si="236"/>
        <v>0</v>
      </c>
      <c r="N1466" s="383"/>
      <c r="O1466" s="383"/>
      <c r="P1466" s="381">
        <f t="shared" si="237"/>
        <v>0</v>
      </c>
      <c r="Q1466" s="383"/>
      <c r="R1466" s="383"/>
      <c r="S1466" s="25">
        <f t="shared" si="238"/>
        <v>0</v>
      </c>
      <c r="T1466" s="383"/>
      <c r="U1466" s="383"/>
      <c r="V1466" s="381">
        <f t="shared" si="239"/>
        <v>0</v>
      </c>
      <c r="W1466" s="383"/>
      <c r="X1466" s="383"/>
      <c r="Y1466" s="381">
        <f t="shared" si="240"/>
        <v>0</v>
      </c>
    </row>
    <row r="1467" spans="2:25" x14ac:dyDescent="0.2">
      <c r="B1467" s="383"/>
      <c r="C1467" s="32"/>
      <c r="D1467" s="381">
        <f t="shared" si="233"/>
        <v>0</v>
      </c>
      <c r="E1467" s="383"/>
      <c r="F1467" s="382"/>
      <c r="G1467" s="381">
        <f t="shared" si="234"/>
        <v>0</v>
      </c>
      <c r="H1467" s="383"/>
      <c r="I1467" s="32"/>
      <c r="J1467" s="381">
        <f t="shared" si="235"/>
        <v>0</v>
      </c>
      <c r="K1467" s="383"/>
      <c r="L1467" s="31"/>
      <c r="M1467" s="381">
        <f t="shared" si="236"/>
        <v>0</v>
      </c>
      <c r="N1467" s="383"/>
      <c r="O1467" s="383"/>
      <c r="P1467" s="381">
        <f t="shared" si="237"/>
        <v>0</v>
      </c>
      <c r="Q1467" s="383"/>
      <c r="R1467" s="383"/>
      <c r="S1467" s="25">
        <f t="shared" si="238"/>
        <v>0</v>
      </c>
      <c r="T1467" s="383"/>
      <c r="U1467" s="383"/>
      <c r="V1467" s="381">
        <f t="shared" si="239"/>
        <v>0</v>
      </c>
      <c r="W1467" s="383"/>
      <c r="X1467" s="383"/>
      <c r="Y1467" s="381">
        <f t="shared" si="240"/>
        <v>0</v>
      </c>
    </row>
    <row r="1468" spans="2:25" x14ac:dyDescent="0.2">
      <c r="B1468" s="383"/>
      <c r="C1468" s="32"/>
      <c r="D1468" s="381">
        <f t="shared" si="233"/>
        <v>0</v>
      </c>
      <c r="E1468" s="383"/>
      <c r="F1468" s="382"/>
      <c r="G1468" s="381">
        <f t="shared" si="234"/>
        <v>0</v>
      </c>
      <c r="H1468" s="383"/>
      <c r="I1468" s="32"/>
      <c r="J1468" s="381">
        <f t="shared" si="235"/>
        <v>0</v>
      </c>
      <c r="K1468" s="383"/>
      <c r="L1468" s="31"/>
      <c r="M1468" s="381">
        <f t="shared" si="236"/>
        <v>0</v>
      </c>
      <c r="N1468" s="383"/>
      <c r="O1468" s="383"/>
      <c r="P1468" s="381">
        <f t="shared" si="237"/>
        <v>0</v>
      </c>
      <c r="Q1468" s="383"/>
      <c r="R1468" s="383"/>
      <c r="S1468" s="25">
        <f t="shared" si="238"/>
        <v>0</v>
      </c>
      <c r="T1468" s="383"/>
      <c r="U1468" s="383"/>
      <c r="V1468" s="381">
        <f t="shared" si="239"/>
        <v>0</v>
      </c>
      <c r="W1468" s="383"/>
      <c r="X1468" s="383"/>
      <c r="Y1468" s="381">
        <f t="shared" si="240"/>
        <v>0</v>
      </c>
    </row>
    <row r="1469" spans="2:25" x14ac:dyDescent="0.2">
      <c r="B1469" s="383"/>
      <c r="C1469" s="32"/>
      <c r="D1469" s="381">
        <f t="shared" si="233"/>
        <v>0</v>
      </c>
      <c r="E1469" s="383"/>
      <c r="F1469" s="382"/>
      <c r="G1469" s="381">
        <f t="shared" si="234"/>
        <v>0</v>
      </c>
      <c r="H1469" s="383"/>
      <c r="I1469" s="32"/>
      <c r="J1469" s="381">
        <f t="shared" si="235"/>
        <v>0</v>
      </c>
      <c r="K1469" s="383"/>
      <c r="L1469" s="31"/>
      <c r="M1469" s="381">
        <f t="shared" si="236"/>
        <v>0</v>
      </c>
      <c r="N1469" s="383"/>
      <c r="O1469" s="383"/>
      <c r="P1469" s="381">
        <f t="shared" si="237"/>
        <v>0</v>
      </c>
      <c r="Q1469" s="383"/>
      <c r="R1469" s="383"/>
      <c r="S1469" s="25">
        <f t="shared" si="238"/>
        <v>0</v>
      </c>
      <c r="T1469" s="383"/>
      <c r="U1469" s="383"/>
      <c r="V1469" s="381">
        <f t="shared" si="239"/>
        <v>0</v>
      </c>
      <c r="W1469" s="383"/>
      <c r="X1469" s="383"/>
      <c r="Y1469" s="381">
        <f t="shared" si="240"/>
        <v>0</v>
      </c>
    </row>
    <row r="1470" spans="2:25" x14ac:dyDescent="0.2">
      <c r="B1470" s="383"/>
      <c r="C1470" s="32"/>
      <c r="D1470" s="381">
        <f t="shared" si="233"/>
        <v>0</v>
      </c>
      <c r="E1470" s="383"/>
      <c r="F1470" s="382"/>
      <c r="G1470" s="381">
        <f t="shared" si="234"/>
        <v>0</v>
      </c>
      <c r="H1470" s="383"/>
      <c r="I1470" s="32"/>
      <c r="J1470" s="381">
        <f t="shared" si="235"/>
        <v>0</v>
      </c>
      <c r="K1470" s="383"/>
      <c r="L1470" s="31"/>
      <c r="M1470" s="381">
        <f t="shared" si="236"/>
        <v>0</v>
      </c>
      <c r="N1470" s="383"/>
      <c r="O1470" s="383"/>
      <c r="P1470" s="381">
        <f t="shared" si="237"/>
        <v>0</v>
      </c>
      <c r="Q1470" s="383"/>
      <c r="R1470" s="383"/>
      <c r="S1470" s="25">
        <f t="shared" si="238"/>
        <v>0</v>
      </c>
      <c r="T1470" s="383"/>
      <c r="U1470" s="383"/>
      <c r="V1470" s="381">
        <f t="shared" si="239"/>
        <v>0</v>
      </c>
      <c r="W1470" s="383"/>
      <c r="X1470" s="383"/>
      <c r="Y1470" s="381">
        <f t="shared" si="240"/>
        <v>0</v>
      </c>
    </row>
    <row r="1471" spans="2:25" x14ac:dyDescent="0.2">
      <c r="B1471" s="383"/>
      <c r="C1471" s="32"/>
      <c r="D1471" s="381">
        <f t="shared" si="233"/>
        <v>0</v>
      </c>
      <c r="E1471" s="383"/>
      <c r="F1471" s="382"/>
      <c r="G1471" s="381">
        <f t="shared" si="234"/>
        <v>0</v>
      </c>
      <c r="H1471" s="383"/>
      <c r="I1471" s="32"/>
      <c r="J1471" s="381">
        <f t="shared" si="235"/>
        <v>0</v>
      </c>
      <c r="K1471" s="383"/>
      <c r="L1471" s="31"/>
      <c r="M1471" s="381">
        <f t="shared" si="236"/>
        <v>0</v>
      </c>
      <c r="N1471" s="383"/>
      <c r="O1471" s="383"/>
      <c r="P1471" s="381">
        <f t="shared" si="237"/>
        <v>0</v>
      </c>
      <c r="Q1471" s="383"/>
      <c r="R1471" s="383"/>
      <c r="S1471" s="25">
        <f t="shared" si="238"/>
        <v>0</v>
      </c>
      <c r="T1471" s="383"/>
      <c r="U1471" s="383"/>
      <c r="V1471" s="381">
        <f t="shared" si="239"/>
        <v>0</v>
      </c>
      <c r="W1471" s="383"/>
      <c r="X1471" s="383"/>
      <c r="Y1471" s="381">
        <f t="shared" si="240"/>
        <v>0</v>
      </c>
    </row>
    <row r="1472" spans="2:25" x14ac:dyDescent="0.2">
      <c r="B1472" s="383"/>
      <c r="C1472" s="32"/>
      <c r="D1472" s="381">
        <f t="shared" si="233"/>
        <v>0</v>
      </c>
      <c r="E1472" s="383"/>
      <c r="F1472" s="382"/>
      <c r="G1472" s="381">
        <f t="shared" si="234"/>
        <v>0</v>
      </c>
      <c r="H1472" s="383"/>
      <c r="I1472" s="32"/>
      <c r="J1472" s="381">
        <f t="shared" si="235"/>
        <v>0</v>
      </c>
      <c r="K1472" s="383"/>
      <c r="L1472" s="31"/>
      <c r="M1472" s="381">
        <f t="shared" si="236"/>
        <v>0</v>
      </c>
      <c r="N1472" s="383"/>
      <c r="O1472" s="383"/>
      <c r="P1472" s="381">
        <f t="shared" si="237"/>
        <v>0</v>
      </c>
      <c r="Q1472" s="383"/>
      <c r="R1472" s="383"/>
      <c r="S1472" s="25">
        <f t="shared" si="238"/>
        <v>0</v>
      </c>
      <c r="T1472" s="383"/>
      <c r="U1472" s="383"/>
      <c r="V1472" s="381">
        <f t="shared" si="239"/>
        <v>0</v>
      </c>
      <c r="W1472" s="383"/>
      <c r="X1472" s="383"/>
      <c r="Y1472" s="381">
        <f t="shared" si="240"/>
        <v>0</v>
      </c>
    </row>
    <row r="1473" spans="2:25" x14ac:dyDescent="0.2">
      <c r="B1473" s="383"/>
      <c r="C1473" s="32"/>
      <c r="D1473" s="381">
        <f t="shared" si="233"/>
        <v>0</v>
      </c>
      <c r="E1473" s="383"/>
      <c r="F1473" s="382"/>
      <c r="G1473" s="381">
        <f t="shared" si="234"/>
        <v>0</v>
      </c>
      <c r="H1473" s="383"/>
      <c r="I1473" s="32"/>
      <c r="J1473" s="381">
        <f t="shared" si="235"/>
        <v>0</v>
      </c>
      <c r="K1473" s="383"/>
      <c r="L1473" s="31"/>
      <c r="M1473" s="381">
        <f t="shared" si="236"/>
        <v>0</v>
      </c>
      <c r="N1473" s="383"/>
      <c r="O1473" s="383"/>
      <c r="P1473" s="381">
        <f t="shared" si="237"/>
        <v>0</v>
      </c>
      <c r="Q1473" s="383"/>
      <c r="R1473" s="383"/>
      <c r="S1473" s="25">
        <f t="shared" si="238"/>
        <v>0</v>
      </c>
      <c r="T1473" s="383"/>
      <c r="U1473" s="383"/>
      <c r="V1473" s="381">
        <f t="shared" si="239"/>
        <v>0</v>
      </c>
      <c r="W1473" s="383"/>
      <c r="X1473" s="383"/>
      <c r="Y1473" s="381">
        <f t="shared" si="240"/>
        <v>0</v>
      </c>
    </row>
    <row r="1474" spans="2:25" x14ac:dyDescent="0.2">
      <c r="B1474" s="383"/>
      <c r="C1474" s="32"/>
      <c r="D1474" s="381">
        <f t="shared" si="233"/>
        <v>0</v>
      </c>
      <c r="E1474" s="383"/>
      <c r="F1474" s="382"/>
      <c r="G1474" s="381">
        <f t="shared" si="234"/>
        <v>0</v>
      </c>
      <c r="H1474" s="383"/>
      <c r="I1474" s="32"/>
      <c r="J1474" s="381">
        <f t="shared" si="235"/>
        <v>0</v>
      </c>
      <c r="K1474" s="383"/>
      <c r="L1474" s="31"/>
      <c r="M1474" s="381">
        <f t="shared" si="236"/>
        <v>0</v>
      </c>
      <c r="N1474" s="383"/>
      <c r="O1474" s="383"/>
      <c r="P1474" s="381">
        <f t="shared" si="237"/>
        <v>0</v>
      </c>
      <c r="Q1474" s="383"/>
      <c r="R1474" s="383"/>
      <c r="S1474" s="25">
        <f t="shared" si="238"/>
        <v>0</v>
      </c>
      <c r="T1474" s="383"/>
      <c r="U1474" s="383"/>
      <c r="V1474" s="381">
        <f t="shared" si="239"/>
        <v>0</v>
      </c>
      <c r="W1474" s="383"/>
      <c r="X1474" s="383"/>
      <c r="Y1474" s="381">
        <f t="shared" si="240"/>
        <v>0</v>
      </c>
    </row>
    <row r="1475" spans="2:25" x14ac:dyDescent="0.2">
      <c r="B1475" s="383"/>
      <c r="C1475" s="32"/>
      <c r="D1475" s="381">
        <f t="shared" si="233"/>
        <v>0</v>
      </c>
      <c r="E1475" s="383"/>
      <c r="F1475" s="382"/>
      <c r="G1475" s="381">
        <f t="shared" si="234"/>
        <v>0</v>
      </c>
      <c r="H1475" s="383"/>
      <c r="I1475" s="32"/>
      <c r="J1475" s="381">
        <f t="shared" si="235"/>
        <v>0</v>
      </c>
      <c r="K1475" s="383"/>
      <c r="L1475" s="31"/>
      <c r="M1475" s="381">
        <f t="shared" si="236"/>
        <v>0</v>
      </c>
      <c r="N1475" s="383"/>
      <c r="O1475" s="383"/>
      <c r="P1475" s="381">
        <f t="shared" si="237"/>
        <v>0</v>
      </c>
      <c r="Q1475" s="383"/>
      <c r="R1475" s="383"/>
      <c r="S1475" s="25">
        <f t="shared" si="238"/>
        <v>0</v>
      </c>
      <c r="T1475" s="383"/>
      <c r="U1475" s="383"/>
      <c r="V1475" s="381">
        <f t="shared" si="239"/>
        <v>0</v>
      </c>
      <c r="W1475" s="383"/>
      <c r="X1475" s="383"/>
      <c r="Y1475" s="381">
        <f t="shared" si="240"/>
        <v>0</v>
      </c>
    </row>
    <row r="1476" spans="2:25" x14ac:dyDescent="0.2">
      <c r="B1476" s="383"/>
      <c r="C1476" s="32"/>
      <c r="D1476" s="381">
        <f t="shared" si="233"/>
        <v>0</v>
      </c>
      <c r="E1476" s="383"/>
      <c r="F1476" s="382"/>
      <c r="G1476" s="381">
        <f t="shared" si="234"/>
        <v>0</v>
      </c>
      <c r="H1476" s="383"/>
      <c r="I1476" s="32"/>
      <c r="J1476" s="381">
        <f t="shared" si="235"/>
        <v>0</v>
      </c>
      <c r="K1476" s="383"/>
      <c r="L1476" s="31"/>
      <c r="M1476" s="381">
        <f t="shared" si="236"/>
        <v>0</v>
      </c>
      <c r="N1476" s="383"/>
      <c r="O1476" s="383"/>
      <c r="P1476" s="381">
        <f t="shared" si="237"/>
        <v>0</v>
      </c>
      <c r="Q1476" s="383"/>
      <c r="R1476" s="383"/>
      <c r="S1476" s="25">
        <f t="shared" si="238"/>
        <v>0</v>
      </c>
      <c r="T1476" s="383"/>
      <c r="U1476" s="383"/>
      <c r="V1476" s="381">
        <f t="shared" si="239"/>
        <v>0</v>
      </c>
      <c r="W1476" s="383"/>
      <c r="X1476" s="383"/>
      <c r="Y1476" s="381">
        <f t="shared" si="240"/>
        <v>0</v>
      </c>
    </row>
    <row r="1477" spans="2:25" x14ac:dyDescent="0.2">
      <c r="B1477" s="383"/>
      <c r="C1477" s="32"/>
      <c r="D1477" s="381">
        <f t="shared" ref="D1477:D1489" si="241">C1477</f>
        <v>0</v>
      </c>
      <c r="E1477" s="383"/>
      <c r="F1477" s="382"/>
      <c r="G1477" s="381">
        <f t="shared" ref="G1477:G1489" si="242">F1477+$AB$2</f>
        <v>0</v>
      </c>
      <c r="H1477" s="383"/>
      <c r="I1477" s="32"/>
      <c r="J1477" s="381">
        <f t="shared" ref="J1477:J1489" si="243">I1477+$AB$3</f>
        <v>0</v>
      </c>
      <c r="K1477" s="383"/>
      <c r="L1477" s="31"/>
      <c r="M1477" s="381">
        <f t="shared" ref="M1477:M1489" si="244">L1477+$AB$4</f>
        <v>0</v>
      </c>
      <c r="N1477" s="383"/>
      <c r="O1477" s="383"/>
      <c r="P1477" s="381">
        <f t="shared" ref="P1477:P1489" si="245">O1477+$AB$5</f>
        <v>0</v>
      </c>
      <c r="Q1477" s="383"/>
      <c r="R1477" s="383"/>
      <c r="S1477" s="25">
        <f t="shared" ref="S1477:S1489" si="246">R1477+$AB$6</f>
        <v>0</v>
      </c>
      <c r="T1477" s="383"/>
      <c r="U1477" s="383"/>
      <c r="V1477" s="381">
        <f t="shared" ref="V1477:V1489" si="247">U1477+$AB$7</f>
        <v>0</v>
      </c>
      <c r="W1477" s="383"/>
      <c r="X1477" s="383"/>
      <c r="Y1477" s="381">
        <f t="shared" ref="Y1477:Y1489" si="248">X1477+$AB$8</f>
        <v>0</v>
      </c>
    </row>
    <row r="1478" spans="2:25" x14ac:dyDescent="0.2">
      <c r="B1478" s="383"/>
      <c r="C1478" s="32"/>
      <c r="D1478" s="381">
        <f t="shared" si="241"/>
        <v>0</v>
      </c>
      <c r="E1478" s="383"/>
      <c r="F1478" s="382"/>
      <c r="G1478" s="381">
        <f t="shared" si="242"/>
        <v>0</v>
      </c>
      <c r="H1478" s="383"/>
      <c r="I1478" s="32"/>
      <c r="J1478" s="381">
        <f t="shared" si="243"/>
        <v>0</v>
      </c>
      <c r="K1478" s="383"/>
      <c r="L1478" s="31"/>
      <c r="M1478" s="381">
        <f t="shared" si="244"/>
        <v>0</v>
      </c>
      <c r="N1478" s="383"/>
      <c r="O1478" s="383"/>
      <c r="P1478" s="381">
        <f t="shared" si="245"/>
        <v>0</v>
      </c>
      <c r="Q1478" s="383"/>
      <c r="R1478" s="383"/>
      <c r="S1478" s="25">
        <f t="shared" si="246"/>
        <v>0</v>
      </c>
      <c r="T1478" s="383"/>
      <c r="U1478" s="383"/>
      <c r="V1478" s="381">
        <f t="shared" si="247"/>
        <v>0</v>
      </c>
      <c r="W1478" s="383"/>
      <c r="X1478" s="383"/>
      <c r="Y1478" s="381">
        <f t="shared" si="248"/>
        <v>0</v>
      </c>
    </row>
    <row r="1479" spans="2:25" x14ac:dyDescent="0.2">
      <c r="B1479" s="383"/>
      <c r="C1479" s="32"/>
      <c r="D1479" s="381">
        <f t="shared" si="241"/>
        <v>0</v>
      </c>
      <c r="E1479" s="383"/>
      <c r="F1479" s="382"/>
      <c r="G1479" s="381">
        <f t="shared" si="242"/>
        <v>0</v>
      </c>
      <c r="H1479" s="383"/>
      <c r="I1479" s="32"/>
      <c r="J1479" s="381">
        <f t="shared" si="243"/>
        <v>0</v>
      </c>
      <c r="K1479" s="383"/>
      <c r="L1479" s="31"/>
      <c r="M1479" s="381">
        <f t="shared" si="244"/>
        <v>0</v>
      </c>
      <c r="N1479" s="383"/>
      <c r="O1479" s="383"/>
      <c r="P1479" s="381">
        <f t="shared" si="245"/>
        <v>0</v>
      </c>
      <c r="Q1479" s="383"/>
      <c r="R1479" s="383"/>
      <c r="S1479" s="25">
        <f t="shared" si="246"/>
        <v>0</v>
      </c>
      <c r="T1479" s="383"/>
      <c r="U1479" s="383"/>
      <c r="V1479" s="381">
        <f t="shared" si="247"/>
        <v>0</v>
      </c>
      <c r="W1479" s="383"/>
      <c r="X1479" s="383"/>
      <c r="Y1479" s="381">
        <f t="shared" si="248"/>
        <v>0</v>
      </c>
    </row>
    <row r="1480" spans="2:25" x14ac:dyDescent="0.2">
      <c r="B1480" s="383"/>
      <c r="C1480" s="32"/>
      <c r="D1480" s="381">
        <f t="shared" si="241"/>
        <v>0</v>
      </c>
      <c r="E1480" s="383"/>
      <c r="F1480" s="382"/>
      <c r="G1480" s="381">
        <f t="shared" si="242"/>
        <v>0</v>
      </c>
      <c r="H1480" s="383"/>
      <c r="I1480" s="32"/>
      <c r="J1480" s="381">
        <f t="shared" si="243"/>
        <v>0</v>
      </c>
      <c r="K1480" s="383"/>
      <c r="L1480" s="31"/>
      <c r="M1480" s="381">
        <f t="shared" si="244"/>
        <v>0</v>
      </c>
      <c r="N1480" s="383"/>
      <c r="O1480" s="383"/>
      <c r="P1480" s="381">
        <f t="shared" si="245"/>
        <v>0</v>
      </c>
      <c r="Q1480" s="383"/>
      <c r="R1480" s="383"/>
      <c r="S1480" s="25">
        <f t="shared" si="246"/>
        <v>0</v>
      </c>
      <c r="T1480" s="383"/>
      <c r="U1480" s="383"/>
      <c r="V1480" s="381">
        <f t="shared" si="247"/>
        <v>0</v>
      </c>
      <c r="W1480" s="383"/>
      <c r="X1480" s="383"/>
      <c r="Y1480" s="381">
        <f t="shared" si="248"/>
        <v>0</v>
      </c>
    </row>
    <row r="1481" spans="2:25" x14ac:dyDescent="0.2">
      <c r="B1481" s="383"/>
      <c r="C1481" s="32"/>
      <c r="D1481" s="381">
        <f t="shared" si="241"/>
        <v>0</v>
      </c>
      <c r="E1481" s="383"/>
      <c r="F1481" s="382"/>
      <c r="G1481" s="381">
        <f t="shared" si="242"/>
        <v>0</v>
      </c>
      <c r="H1481" s="383"/>
      <c r="I1481" s="32"/>
      <c r="J1481" s="381">
        <f t="shared" si="243"/>
        <v>0</v>
      </c>
      <c r="K1481" s="383"/>
      <c r="L1481" s="31"/>
      <c r="M1481" s="381">
        <f t="shared" si="244"/>
        <v>0</v>
      </c>
      <c r="N1481" s="383"/>
      <c r="O1481" s="383"/>
      <c r="P1481" s="381">
        <f t="shared" si="245"/>
        <v>0</v>
      </c>
      <c r="Q1481" s="383"/>
      <c r="R1481" s="383"/>
      <c r="S1481" s="25">
        <f t="shared" si="246"/>
        <v>0</v>
      </c>
      <c r="T1481" s="383"/>
      <c r="U1481" s="383"/>
      <c r="V1481" s="381">
        <f t="shared" si="247"/>
        <v>0</v>
      </c>
      <c r="W1481" s="383"/>
      <c r="X1481" s="383"/>
      <c r="Y1481" s="381">
        <f t="shared" si="248"/>
        <v>0</v>
      </c>
    </row>
    <row r="1482" spans="2:25" x14ac:dyDescent="0.2">
      <c r="B1482" s="383"/>
      <c r="C1482" s="32"/>
      <c r="D1482" s="381">
        <f t="shared" si="241"/>
        <v>0</v>
      </c>
      <c r="E1482" s="383"/>
      <c r="F1482" s="382"/>
      <c r="G1482" s="381">
        <f t="shared" si="242"/>
        <v>0</v>
      </c>
      <c r="H1482" s="383"/>
      <c r="I1482" s="32"/>
      <c r="J1482" s="381">
        <f t="shared" si="243"/>
        <v>0</v>
      </c>
      <c r="K1482" s="383"/>
      <c r="L1482" s="31"/>
      <c r="M1482" s="381">
        <f t="shared" si="244"/>
        <v>0</v>
      </c>
      <c r="N1482" s="383"/>
      <c r="O1482" s="383"/>
      <c r="P1482" s="381">
        <f t="shared" si="245"/>
        <v>0</v>
      </c>
      <c r="Q1482" s="383"/>
      <c r="R1482" s="383"/>
      <c r="S1482" s="25">
        <f t="shared" si="246"/>
        <v>0</v>
      </c>
      <c r="T1482" s="383"/>
      <c r="U1482" s="383"/>
      <c r="V1482" s="381">
        <f t="shared" si="247"/>
        <v>0</v>
      </c>
      <c r="W1482" s="383"/>
      <c r="X1482" s="383"/>
      <c r="Y1482" s="381">
        <f t="shared" si="248"/>
        <v>0</v>
      </c>
    </row>
    <row r="1483" spans="2:25" x14ac:dyDescent="0.2">
      <c r="B1483" s="383"/>
      <c r="C1483" s="32"/>
      <c r="D1483" s="381">
        <f t="shared" si="241"/>
        <v>0</v>
      </c>
      <c r="E1483" s="383"/>
      <c r="F1483" s="382"/>
      <c r="G1483" s="381">
        <f t="shared" si="242"/>
        <v>0</v>
      </c>
      <c r="H1483" s="383"/>
      <c r="I1483" s="32"/>
      <c r="J1483" s="381">
        <f t="shared" si="243"/>
        <v>0</v>
      </c>
      <c r="K1483" s="383"/>
      <c r="L1483" s="31"/>
      <c r="M1483" s="381">
        <f t="shared" si="244"/>
        <v>0</v>
      </c>
      <c r="N1483" s="383"/>
      <c r="O1483" s="383"/>
      <c r="P1483" s="381">
        <f t="shared" si="245"/>
        <v>0</v>
      </c>
      <c r="Q1483" s="383"/>
      <c r="R1483" s="383"/>
      <c r="S1483" s="25">
        <f t="shared" si="246"/>
        <v>0</v>
      </c>
      <c r="T1483" s="383"/>
      <c r="U1483" s="383"/>
      <c r="V1483" s="381">
        <f t="shared" si="247"/>
        <v>0</v>
      </c>
      <c r="W1483" s="383"/>
      <c r="X1483" s="383"/>
      <c r="Y1483" s="381">
        <f t="shared" si="248"/>
        <v>0</v>
      </c>
    </row>
    <row r="1484" spans="2:25" x14ac:dyDescent="0.2">
      <c r="B1484" s="383"/>
      <c r="C1484" s="32"/>
      <c r="D1484" s="381">
        <f t="shared" si="241"/>
        <v>0</v>
      </c>
      <c r="E1484" s="383"/>
      <c r="F1484" s="382"/>
      <c r="G1484" s="381">
        <f t="shared" si="242"/>
        <v>0</v>
      </c>
      <c r="H1484" s="383"/>
      <c r="I1484" s="32"/>
      <c r="J1484" s="381">
        <f t="shared" si="243"/>
        <v>0</v>
      </c>
      <c r="K1484" s="383"/>
      <c r="L1484" s="31"/>
      <c r="M1484" s="381">
        <f t="shared" si="244"/>
        <v>0</v>
      </c>
      <c r="N1484" s="383"/>
      <c r="O1484" s="383"/>
      <c r="P1484" s="381">
        <f t="shared" si="245"/>
        <v>0</v>
      </c>
      <c r="Q1484" s="383"/>
      <c r="R1484" s="383"/>
      <c r="S1484" s="25">
        <f t="shared" si="246"/>
        <v>0</v>
      </c>
      <c r="T1484" s="383"/>
      <c r="U1484" s="383"/>
      <c r="V1484" s="381">
        <f t="shared" si="247"/>
        <v>0</v>
      </c>
      <c r="W1484" s="383"/>
      <c r="X1484" s="383"/>
      <c r="Y1484" s="381">
        <f t="shared" si="248"/>
        <v>0</v>
      </c>
    </row>
    <row r="1485" spans="2:25" x14ac:dyDescent="0.2">
      <c r="B1485" s="383"/>
      <c r="C1485" s="32"/>
      <c r="D1485" s="381">
        <f t="shared" si="241"/>
        <v>0</v>
      </c>
      <c r="E1485" s="383"/>
      <c r="F1485" s="382"/>
      <c r="G1485" s="381">
        <f t="shared" si="242"/>
        <v>0</v>
      </c>
      <c r="H1485" s="383"/>
      <c r="I1485" s="32"/>
      <c r="J1485" s="381">
        <f t="shared" si="243"/>
        <v>0</v>
      </c>
      <c r="K1485" s="383"/>
      <c r="L1485" s="31"/>
      <c r="M1485" s="381">
        <f t="shared" si="244"/>
        <v>0</v>
      </c>
      <c r="N1485" s="383"/>
      <c r="O1485" s="383"/>
      <c r="P1485" s="381">
        <f t="shared" si="245"/>
        <v>0</v>
      </c>
      <c r="Q1485" s="383"/>
      <c r="R1485" s="383"/>
      <c r="S1485" s="25">
        <f t="shared" si="246"/>
        <v>0</v>
      </c>
      <c r="T1485" s="383"/>
      <c r="U1485" s="383"/>
      <c r="V1485" s="381">
        <f t="shared" si="247"/>
        <v>0</v>
      </c>
      <c r="W1485" s="383"/>
      <c r="X1485" s="383"/>
      <c r="Y1485" s="381">
        <f t="shared" si="248"/>
        <v>0</v>
      </c>
    </row>
    <row r="1486" spans="2:25" x14ac:dyDescent="0.2">
      <c r="B1486" s="383"/>
      <c r="C1486" s="32"/>
      <c r="D1486" s="381">
        <f t="shared" si="241"/>
        <v>0</v>
      </c>
      <c r="E1486" s="383"/>
      <c r="F1486" s="382"/>
      <c r="G1486" s="381">
        <f t="shared" si="242"/>
        <v>0</v>
      </c>
      <c r="H1486" s="383"/>
      <c r="I1486" s="32"/>
      <c r="J1486" s="381">
        <f t="shared" si="243"/>
        <v>0</v>
      </c>
      <c r="K1486" s="383"/>
      <c r="L1486" s="31"/>
      <c r="M1486" s="381">
        <f t="shared" si="244"/>
        <v>0</v>
      </c>
      <c r="N1486" s="383"/>
      <c r="O1486" s="383"/>
      <c r="P1486" s="381">
        <f t="shared" si="245"/>
        <v>0</v>
      </c>
      <c r="Q1486" s="383"/>
      <c r="R1486" s="383"/>
      <c r="S1486" s="25">
        <f t="shared" si="246"/>
        <v>0</v>
      </c>
      <c r="T1486" s="383"/>
      <c r="U1486" s="383"/>
      <c r="V1486" s="381">
        <f t="shared" si="247"/>
        <v>0</v>
      </c>
      <c r="W1486" s="383"/>
      <c r="X1486" s="383"/>
      <c r="Y1486" s="381">
        <f t="shared" si="248"/>
        <v>0</v>
      </c>
    </row>
    <row r="1487" spans="2:25" x14ac:dyDescent="0.2">
      <c r="B1487" s="383"/>
      <c r="C1487" s="32"/>
      <c r="D1487" s="381">
        <f t="shared" si="241"/>
        <v>0</v>
      </c>
      <c r="E1487" s="383"/>
      <c r="F1487" s="382"/>
      <c r="G1487" s="381">
        <f t="shared" si="242"/>
        <v>0</v>
      </c>
      <c r="H1487" s="383"/>
      <c r="I1487" s="32"/>
      <c r="J1487" s="381">
        <f t="shared" si="243"/>
        <v>0</v>
      </c>
      <c r="K1487" s="383"/>
      <c r="L1487" s="31"/>
      <c r="M1487" s="381">
        <f t="shared" si="244"/>
        <v>0</v>
      </c>
      <c r="N1487" s="383"/>
      <c r="O1487" s="383"/>
      <c r="P1487" s="381">
        <f t="shared" si="245"/>
        <v>0</v>
      </c>
      <c r="Q1487" s="383"/>
      <c r="R1487" s="383"/>
      <c r="S1487" s="25">
        <f t="shared" si="246"/>
        <v>0</v>
      </c>
      <c r="T1487" s="383"/>
      <c r="U1487" s="383"/>
      <c r="V1487" s="381">
        <f t="shared" si="247"/>
        <v>0</v>
      </c>
      <c r="W1487" s="383"/>
      <c r="X1487" s="383"/>
      <c r="Y1487" s="381">
        <f t="shared" si="248"/>
        <v>0</v>
      </c>
    </row>
    <row r="1488" spans="2:25" x14ac:dyDescent="0.2">
      <c r="B1488" s="383"/>
      <c r="C1488" s="32"/>
      <c r="D1488" s="381">
        <f t="shared" si="241"/>
        <v>0</v>
      </c>
      <c r="E1488" s="383"/>
      <c r="F1488" s="382"/>
      <c r="G1488" s="381">
        <f t="shared" si="242"/>
        <v>0</v>
      </c>
      <c r="H1488" s="383"/>
      <c r="I1488" s="32"/>
      <c r="J1488" s="381">
        <f t="shared" si="243"/>
        <v>0</v>
      </c>
      <c r="K1488" s="383"/>
      <c r="L1488" s="31"/>
      <c r="M1488" s="381">
        <f t="shared" si="244"/>
        <v>0</v>
      </c>
      <c r="N1488" s="383"/>
      <c r="O1488" s="383"/>
      <c r="P1488" s="381">
        <f t="shared" si="245"/>
        <v>0</v>
      </c>
      <c r="Q1488" s="383"/>
      <c r="R1488" s="383"/>
      <c r="S1488" s="25">
        <f t="shared" si="246"/>
        <v>0</v>
      </c>
      <c r="T1488" s="383"/>
      <c r="U1488" s="383"/>
      <c r="V1488" s="381">
        <f t="shared" si="247"/>
        <v>0</v>
      </c>
      <c r="W1488" s="383"/>
      <c r="X1488" s="383"/>
      <c r="Y1488" s="381">
        <f t="shared" si="248"/>
        <v>0</v>
      </c>
    </row>
    <row r="1489" spans="2:25" x14ac:dyDescent="0.2">
      <c r="B1489" s="383"/>
      <c r="C1489" s="32"/>
      <c r="D1489" s="381">
        <f t="shared" si="241"/>
        <v>0</v>
      </c>
      <c r="E1489" s="383"/>
      <c r="F1489" s="382"/>
      <c r="G1489" s="381">
        <f t="shared" si="242"/>
        <v>0</v>
      </c>
      <c r="H1489" s="383"/>
      <c r="I1489" s="383"/>
      <c r="J1489" s="381">
        <f t="shared" si="243"/>
        <v>0</v>
      </c>
      <c r="K1489" s="383"/>
      <c r="L1489" s="31"/>
      <c r="M1489" s="381">
        <f t="shared" si="244"/>
        <v>0</v>
      </c>
      <c r="N1489" s="383"/>
      <c r="O1489" s="383"/>
      <c r="P1489" s="381">
        <f t="shared" si="245"/>
        <v>0</v>
      </c>
      <c r="Q1489" s="383"/>
      <c r="R1489" s="383"/>
      <c r="S1489" s="25">
        <f t="shared" si="246"/>
        <v>0</v>
      </c>
      <c r="T1489" s="383"/>
      <c r="U1489" s="383"/>
      <c r="V1489" s="381">
        <f t="shared" si="247"/>
        <v>0</v>
      </c>
      <c r="W1489" s="383"/>
      <c r="X1489" s="383"/>
      <c r="Y1489" s="381">
        <f t="shared" si="248"/>
        <v>0</v>
      </c>
    </row>
    <row r="1490" spans="2:25" x14ac:dyDescent="0.2">
      <c r="B1490" s="383"/>
      <c r="C1490" s="32"/>
      <c r="D1490" s="381">
        <f t="shared" ref="D1490:D1553" si="249">C1490</f>
        <v>0</v>
      </c>
      <c r="E1490" s="383"/>
      <c r="F1490" s="382"/>
      <c r="G1490" s="381">
        <f t="shared" ref="G1490:G1553" si="250">F1490+$AB$2</f>
        <v>0</v>
      </c>
      <c r="H1490" s="383"/>
      <c r="I1490" s="383"/>
      <c r="J1490" s="381">
        <f t="shared" ref="J1490:J1553" si="251">I1490+$AB$3</f>
        <v>0</v>
      </c>
      <c r="K1490" s="383"/>
      <c r="L1490" s="31"/>
      <c r="M1490" s="381">
        <f t="shared" ref="M1490:M1553" si="252">L1490+$AB$4</f>
        <v>0</v>
      </c>
      <c r="N1490" s="383"/>
      <c r="O1490" s="383"/>
      <c r="P1490" s="381">
        <f t="shared" ref="P1490:P1553" si="253">O1490+$AB$5</f>
        <v>0</v>
      </c>
      <c r="Q1490" s="383"/>
      <c r="R1490" s="383"/>
      <c r="S1490" s="25">
        <f t="shared" ref="S1490:S1553" si="254">R1490+$AB$6</f>
        <v>0</v>
      </c>
      <c r="T1490" s="383"/>
      <c r="U1490" s="383"/>
      <c r="V1490" s="381">
        <f t="shared" ref="V1490:V1553" si="255">U1490+$AB$7</f>
        <v>0</v>
      </c>
      <c r="W1490" s="383"/>
      <c r="X1490" s="383"/>
      <c r="Y1490" s="381">
        <f t="shared" ref="Y1490:Y1553" si="256">X1490+$AB$8</f>
        <v>0</v>
      </c>
    </row>
    <row r="1491" spans="2:25" x14ac:dyDescent="0.2">
      <c r="B1491" s="383"/>
      <c r="C1491" s="32"/>
      <c r="D1491" s="381">
        <f t="shared" si="249"/>
        <v>0</v>
      </c>
      <c r="E1491" s="383"/>
      <c r="F1491" s="382"/>
      <c r="G1491" s="381">
        <f t="shared" si="250"/>
        <v>0</v>
      </c>
      <c r="H1491" s="383"/>
      <c r="I1491" s="383"/>
      <c r="J1491" s="381">
        <f t="shared" si="251"/>
        <v>0</v>
      </c>
      <c r="K1491" s="383"/>
      <c r="L1491" s="31"/>
      <c r="M1491" s="381">
        <f t="shared" si="252"/>
        <v>0</v>
      </c>
      <c r="N1491" s="383"/>
      <c r="O1491" s="383"/>
      <c r="P1491" s="381">
        <f t="shared" si="253"/>
        <v>0</v>
      </c>
      <c r="Q1491" s="383"/>
      <c r="R1491" s="383"/>
      <c r="S1491" s="25">
        <f t="shared" si="254"/>
        <v>0</v>
      </c>
      <c r="T1491" s="383"/>
      <c r="U1491" s="383"/>
      <c r="V1491" s="381">
        <f t="shared" si="255"/>
        <v>0</v>
      </c>
      <c r="W1491" s="383"/>
      <c r="X1491" s="383"/>
      <c r="Y1491" s="381">
        <f t="shared" si="256"/>
        <v>0</v>
      </c>
    </row>
    <row r="1492" spans="2:25" x14ac:dyDescent="0.2">
      <c r="B1492" s="383"/>
      <c r="C1492" s="32"/>
      <c r="D1492" s="381">
        <f t="shared" si="249"/>
        <v>0</v>
      </c>
      <c r="E1492" s="383"/>
      <c r="F1492" s="382"/>
      <c r="G1492" s="381">
        <f t="shared" si="250"/>
        <v>0</v>
      </c>
      <c r="H1492" s="383"/>
      <c r="I1492" s="383"/>
      <c r="J1492" s="381">
        <f t="shared" si="251"/>
        <v>0</v>
      </c>
      <c r="K1492" s="383"/>
      <c r="L1492" s="31"/>
      <c r="M1492" s="381">
        <f t="shared" si="252"/>
        <v>0</v>
      </c>
      <c r="N1492" s="383"/>
      <c r="O1492" s="383"/>
      <c r="P1492" s="381">
        <f t="shared" si="253"/>
        <v>0</v>
      </c>
      <c r="Q1492" s="383"/>
      <c r="R1492" s="383"/>
      <c r="S1492" s="25">
        <f t="shared" si="254"/>
        <v>0</v>
      </c>
      <c r="T1492" s="383"/>
      <c r="U1492" s="383"/>
      <c r="V1492" s="381">
        <f t="shared" si="255"/>
        <v>0</v>
      </c>
      <c r="W1492" s="383"/>
      <c r="X1492" s="383"/>
      <c r="Y1492" s="381">
        <f t="shared" si="256"/>
        <v>0</v>
      </c>
    </row>
    <row r="1493" spans="2:25" x14ac:dyDescent="0.2">
      <c r="B1493" s="383"/>
      <c r="C1493" s="32"/>
      <c r="D1493" s="381">
        <f t="shared" si="249"/>
        <v>0</v>
      </c>
      <c r="E1493" s="383"/>
      <c r="F1493" s="382"/>
      <c r="G1493" s="381">
        <f t="shared" si="250"/>
        <v>0</v>
      </c>
      <c r="H1493" s="383"/>
      <c r="I1493" s="383"/>
      <c r="J1493" s="381">
        <f t="shared" si="251"/>
        <v>0</v>
      </c>
      <c r="K1493" s="383"/>
      <c r="L1493" s="31"/>
      <c r="M1493" s="381">
        <f t="shared" si="252"/>
        <v>0</v>
      </c>
      <c r="N1493" s="383"/>
      <c r="O1493" s="383"/>
      <c r="P1493" s="381">
        <f t="shared" si="253"/>
        <v>0</v>
      </c>
      <c r="Q1493" s="383"/>
      <c r="R1493" s="383"/>
      <c r="S1493" s="25">
        <f t="shared" si="254"/>
        <v>0</v>
      </c>
      <c r="T1493" s="383"/>
      <c r="U1493" s="383"/>
      <c r="V1493" s="381">
        <f t="shared" si="255"/>
        <v>0</v>
      </c>
      <c r="W1493" s="383"/>
      <c r="X1493" s="383"/>
      <c r="Y1493" s="381">
        <f t="shared" si="256"/>
        <v>0</v>
      </c>
    </row>
    <row r="1494" spans="2:25" x14ac:dyDescent="0.2">
      <c r="B1494" s="383"/>
      <c r="C1494" s="32"/>
      <c r="D1494" s="381">
        <f t="shared" si="249"/>
        <v>0</v>
      </c>
      <c r="E1494" s="383"/>
      <c r="F1494" s="382"/>
      <c r="G1494" s="381">
        <f t="shared" si="250"/>
        <v>0</v>
      </c>
      <c r="H1494" s="383"/>
      <c r="I1494" s="383"/>
      <c r="J1494" s="381">
        <f t="shared" si="251"/>
        <v>0</v>
      </c>
      <c r="K1494" s="383"/>
      <c r="L1494" s="31"/>
      <c r="M1494" s="381">
        <f t="shared" si="252"/>
        <v>0</v>
      </c>
      <c r="N1494" s="383"/>
      <c r="O1494" s="383"/>
      <c r="P1494" s="381">
        <f t="shared" si="253"/>
        <v>0</v>
      </c>
      <c r="Q1494" s="383"/>
      <c r="R1494" s="383"/>
      <c r="S1494" s="25">
        <f t="shared" si="254"/>
        <v>0</v>
      </c>
      <c r="T1494" s="383"/>
      <c r="U1494" s="383"/>
      <c r="V1494" s="381">
        <f t="shared" si="255"/>
        <v>0</v>
      </c>
      <c r="W1494" s="383"/>
      <c r="X1494" s="383"/>
      <c r="Y1494" s="381">
        <f t="shared" si="256"/>
        <v>0</v>
      </c>
    </row>
    <row r="1495" spans="2:25" x14ac:dyDescent="0.2">
      <c r="B1495" s="383"/>
      <c r="C1495" s="32"/>
      <c r="D1495" s="381">
        <f t="shared" si="249"/>
        <v>0</v>
      </c>
      <c r="E1495" s="383"/>
      <c r="F1495" s="382"/>
      <c r="G1495" s="381">
        <f t="shared" si="250"/>
        <v>0</v>
      </c>
      <c r="H1495" s="383"/>
      <c r="I1495" s="383"/>
      <c r="J1495" s="381">
        <f t="shared" si="251"/>
        <v>0</v>
      </c>
      <c r="K1495" s="383"/>
      <c r="L1495" s="31"/>
      <c r="M1495" s="381">
        <f t="shared" si="252"/>
        <v>0</v>
      </c>
      <c r="N1495" s="383"/>
      <c r="O1495" s="383"/>
      <c r="P1495" s="381">
        <f t="shared" si="253"/>
        <v>0</v>
      </c>
      <c r="Q1495" s="383"/>
      <c r="R1495" s="383"/>
      <c r="S1495" s="25">
        <f t="shared" si="254"/>
        <v>0</v>
      </c>
      <c r="T1495" s="383"/>
      <c r="U1495" s="383"/>
      <c r="V1495" s="381">
        <f t="shared" si="255"/>
        <v>0</v>
      </c>
      <c r="W1495" s="383"/>
      <c r="X1495" s="383"/>
      <c r="Y1495" s="381">
        <f t="shared" si="256"/>
        <v>0</v>
      </c>
    </row>
    <row r="1496" spans="2:25" x14ac:dyDescent="0.2">
      <c r="B1496" s="383"/>
      <c r="C1496" s="32"/>
      <c r="D1496" s="381">
        <f t="shared" si="249"/>
        <v>0</v>
      </c>
      <c r="E1496" s="383"/>
      <c r="F1496" s="382"/>
      <c r="G1496" s="381">
        <f t="shared" si="250"/>
        <v>0</v>
      </c>
      <c r="H1496" s="383"/>
      <c r="I1496" s="383"/>
      <c r="J1496" s="381">
        <f t="shared" si="251"/>
        <v>0</v>
      </c>
      <c r="K1496" s="383"/>
      <c r="L1496" s="31"/>
      <c r="M1496" s="381">
        <f t="shared" si="252"/>
        <v>0</v>
      </c>
      <c r="N1496" s="383"/>
      <c r="O1496" s="383"/>
      <c r="P1496" s="381">
        <f t="shared" si="253"/>
        <v>0</v>
      </c>
      <c r="Q1496" s="383"/>
      <c r="R1496" s="383"/>
      <c r="S1496" s="25">
        <f t="shared" si="254"/>
        <v>0</v>
      </c>
      <c r="T1496" s="383"/>
      <c r="U1496" s="383"/>
      <c r="V1496" s="381">
        <f t="shared" si="255"/>
        <v>0</v>
      </c>
      <c r="W1496" s="383"/>
      <c r="X1496" s="383"/>
      <c r="Y1496" s="381">
        <f t="shared" si="256"/>
        <v>0</v>
      </c>
    </row>
    <row r="1497" spans="2:25" x14ac:dyDescent="0.2">
      <c r="B1497" s="383"/>
      <c r="C1497" s="32"/>
      <c r="D1497" s="381">
        <f t="shared" si="249"/>
        <v>0</v>
      </c>
      <c r="E1497" s="383"/>
      <c r="F1497" s="382"/>
      <c r="G1497" s="381">
        <f t="shared" si="250"/>
        <v>0</v>
      </c>
      <c r="H1497" s="383"/>
      <c r="I1497" s="383"/>
      <c r="J1497" s="381">
        <f t="shared" si="251"/>
        <v>0</v>
      </c>
      <c r="K1497" s="383"/>
      <c r="L1497" s="31"/>
      <c r="M1497" s="381">
        <f t="shared" si="252"/>
        <v>0</v>
      </c>
      <c r="N1497" s="383"/>
      <c r="O1497" s="383"/>
      <c r="P1497" s="381">
        <f t="shared" si="253"/>
        <v>0</v>
      </c>
      <c r="Q1497" s="383"/>
      <c r="R1497" s="383"/>
      <c r="S1497" s="25">
        <f t="shared" si="254"/>
        <v>0</v>
      </c>
      <c r="T1497" s="383"/>
      <c r="U1497" s="383"/>
      <c r="V1497" s="381">
        <f t="shared" si="255"/>
        <v>0</v>
      </c>
      <c r="W1497" s="383"/>
      <c r="X1497" s="383"/>
      <c r="Y1497" s="381">
        <f t="shared" si="256"/>
        <v>0</v>
      </c>
    </row>
    <row r="1498" spans="2:25" x14ac:dyDescent="0.2">
      <c r="B1498" s="383"/>
      <c r="C1498" s="32"/>
      <c r="D1498" s="381">
        <f t="shared" si="249"/>
        <v>0</v>
      </c>
      <c r="E1498" s="383"/>
      <c r="F1498" s="382"/>
      <c r="G1498" s="381">
        <f t="shared" si="250"/>
        <v>0</v>
      </c>
      <c r="H1498" s="383"/>
      <c r="I1498" s="383"/>
      <c r="J1498" s="381">
        <f t="shared" si="251"/>
        <v>0</v>
      </c>
      <c r="K1498" s="383"/>
      <c r="L1498" s="31"/>
      <c r="M1498" s="381">
        <f t="shared" si="252"/>
        <v>0</v>
      </c>
      <c r="N1498" s="383"/>
      <c r="O1498" s="383"/>
      <c r="P1498" s="381">
        <f t="shared" si="253"/>
        <v>0</v>
      </c>
      <c r="Q1498" s="383"/>
      <c r="R1498" s="383"/>
      <c r="S1498" s="25">
        <f t="shared" si="254"/>
        <v>0</v>
      </c>
      <c r="T1498" s="383"/>
      <c r="U1498" s="383"/>
      <c r="V1498" s="381">
        <f t="shared" si="255"/>
        <v>0</v>
      </c>
      <c r="W1498" s="383"/>
      <c r="X1498" s="383"/>
      <c r="Y1498" s="381">
        <f t="shared" si="256"/>
        <v>0</v>
      </c>
    </row>
    <row r="1499" spans="2:25" x14ac:dyDescent="0.2">
      <c r="B1499" s="383"/>
      <c r="C1499" s="32"/>
      <c r="D1499" s="381">
        <f t="shared" si="249"/>
        <v>0</v>
      </c>
      <c r="E1499" s="383"/>
      <c r="F1499" s="382"/>
      <c r="G1499" s="381">
        <f t="shared" si="250"/>
        <v>0</v>
      </c>
      <c r="H1499" s="383"/>
      <c r="I1499" s="383"/>
      <c r="J1499" s="381">
        <f t="shared" si="251"/>
        <v>0</v>
      </c>
      <c r="K1499" s="383"/>
      <c r="L1499" s="31"/>
      <c r="M1499" s="381">
        <f t="shared" si="252"/>
        <v>0</v>
      </c>
      <c r="N1499" s="383"/>
      <c r="O1499" s="383"/>
      <c r="P1499" s="381">
        <f t="shared" si="253"/>
        <v>0</v>
      </c>
      <c r="Q1499" s="383"/>
      <c r="R1499" s="383"/>
      <c r="S1499" s="25">
        <f t="shared" si="254"/>
        <v>0</v>
      </c>
      <c r="T1499" s="383"/>
      <c r="U1499" s="383"/>
      <c r="V1499" s="381">
        <f t="shared" si="255"/>
        <v>0</v>
      </c>
      <c r="W1499" s="383"/>
      <c r="X1499" s="383"/>
      <c r="Y1499" s="381">
        <f t="shared" si="256"/>
        <v>0</v>
      </c>
    </row>
    <row r="1500" spans="2:25" x14ac:dyDescent="0.2">
      <c r="B1500" s="383"/>
      <c r="C1500" s="32"/>
      <c r="D1500" s="381">
        <f t="shared" si="249"/>
        <v>0</v>
      </c>
      <c r="E1500" s="383"/>
      <c r="F1500" s="382"/>
      <c r="G1500" s="381">
        <f t="shared" si="250"/>
        <v>0</v>
      </c>
      <c r="H1500" s="383"/>
      <c r="I1500" s="383"/>
      <c r="J1500" s="381">
        <f t="shared" si="251"/>
        <v>0</v>
      </c>
      <c r="K1500" s="383"/>
      <c r="L1500" s="31"/>
      <c r="M1500" s="381">
        <f t="shared" si="252"/>
        <v>0</v>
      </c>
      <c r="N1500" s="383"/>
      <c r="O1500" s="383"/>
      <c r="P1500" s="381">
        <f t="shared" si="253"/>
        <v>0</v>
      </c>
      <c r="Q1500" s="383"/>
      <c r="R1500" s="383"/>
      <c r="S1500" s="25">
        <f t="shared" si="254"/>
        <v>0</v>
      </c>
      <c r="T1500" s="383"/>
      <c r="U1500" s="383"/>
      <c r="V1500" s="381">
        <f t="shared" si="255"/>
        <v>0</v>
      </c>
      <c r="W1500" s="383"/>
      <c r="X1500" s="383"/>
      <c r="Y1500" s="381">
        <f t="shared" si="256"/>
        <v>0</v>
      </c>
    </row>
    <row r="1501" spans="2:25" x14ac:dyDescent="0.2">
      <c r="B1501" s="383"/>
      <c r="C1501" s="32"/>
      <c r="D1501" s="381">
        <f t="shared" si="249"/>
        <v>0</v>
      </c>
      <c r="E1501" s="383"/>
      <c r="F1501" s="382"/>
      <c r="G1501" s="381">
        <f t="shared" si="250"/>
        <v>0</v>
      </c>
      <c r="H1501" s="383"/>
      <c r="I1501" s="383"/>
      <c r="J1501" s="381">
        <f t="shared" si="251"/>
        <v>0</v>
      </c>
      <c r="K1501" s="383"/>
      <c r="L1501" s="31"/>
      <c r="M1501" s="381">
        <f t="shared" si="252"/>
        <v>0</v>
      </c>
      <c r="N1501" s="383"/>
      <c r="O1501" s="383"/>
      <c r="P1501" s="381">
        <f t="shared" si="253"/>
        <v>0</v>
      </c>
      <c r="Q1501" s="383"/>
      <c r="R1501" s="383"/>
      <c r="S1501" s="25">
        <f t="shared" si="254"/>
        <v>0</v>
      </c>
      <c r="T1501" s="383"/>
      <c r="U1501" s="383"/>
      <c r="V1501" s="381">
        <f t="shared" si="255"/>
        <v>0</v>
      </c>
      <c r="W1501" s="383"/>
      <c r="X1501" s="383"/>
      <c r="Y1501" s="381">
        <f t="shared" si="256"/>
        <v>0</v>
      </c>
    </row>
    <row r="1502" spans="2:25" x14ac:dyDescent="0.2">
      <c r="B1502" s="383"/>
      <c r="C1502" s="32"/>
      <c r="D1502" s="381">
        <f t="shared" si="249"/>
        <v>0</v>
      </c>
      <c r="E1502" s="383"/>
      <c r="F1502" s="382"/>
      <c r="G1502" s="381">
        <f t="shared" si="250"/>
        <v>0</v>
      </c>
      <c r="H1502" s="383"/>
      <c r="I1502" s="383"/>
      <c r="J1502" s="381">
        <f t="shared" si="251"/>
        <v>0</v>
      </c>
      <c r="K1502" s="383"/>
      <c r="L1502" s="31"/>
      <c r="M1502" s="381">
        <f t="shared" si="252"/>
        <v>0</v>
      </c>
      <c r="N1502" s="383"/>
      <c r="O1502" s="383"/>
      <c r="P1502" s="381">
        <f t="shared" si="253"/>
        <v>0</v>
      </c>
      <c r="Q1502" s="383"/>
      <c r="R1502" s="383"/>
      <c r="S1502" s="25">
        <f t="shared" si="254"/>
        <v>0</v>
      </c>
      <c r="T1502" s="383"/>
      <c r="U1502" s="383"/>
      <c r="V1502" s="381">
        <f t="shared" si="255"/>
        <v>0</v>
      </c>
      <c r="W1502" s="383"/>
      <c r="X1502" s="383"/>
      <c r="Y1502" s="381">
        <f t="shared" si="256"/>
        <v>0</v>
      </c>
    </row>
    <row r="1503" spans="2:25" x14ac:dyDescent="0.2">
      <c r="B1503" s="383"/>
      <c r="C1503" s="32"/>
      <c r="D1503" s="381">
        <f t="shared" si="249"/>
        <v>0</v>
      </c>
      <c r="E1503" s="383"/>
      <c r="F1503" s="382"/>
      <c r="G1503" s="381">
        <f t="shared" si="250"/>
        <v>0</v>
      </c>
      <c r="H1503" s="383"/>
      <c r="I1503" s="383"/>
      <c r="J1503" s="381">
        <f t="shared" si="251"/>
        <v>0</v>
      </c>
      <c r="K1503" s="383"/>
      <c r="L1503" s="31"/>
      <c r="M1503" s="381">
        <f t="shared" si="252"/>
        <v>0</v>
      </c>
      <c r="N1503" s="383"/>
      <c r="O1503" s="383"/>
      <c r="P1503" s="381">
        <f t="shared" si="253"/>
        <v>0</v>
      </c>
      <c r="Q1503" s="383"/>
      <c r="R1503" s="383"/>
      <c r="S1503" s="25">
        <f t="shared" si="254"/>
        <v>0</v>
      </c>
      <c r="T1503" s="383"/>
      <c r="U1503" s="383"/>
      <c r="V1503" s="381">
        <f t="shared" si="255"/>
        <v>0</v>
      </c>
      <c r="W1503" s="383"/>
      <c r="X1503" s="383"/>
      <c r="Y1503" s="381">
        <f t="shared" si="256"/>
        <v>0</v>
      </c>
    </row>
    <row r="1504" spans="2:25" x14ac:dyDescent="0.2">
      <c r="B1504" s="383"/>
      <c r="C1504" s="32"/>
      <c r="D1504" s="381">
        <f t="shared" si="249"/>
        <v>0</v>
      </c>
      <c r="E1504" s="383"/>
      <c r="F1504" s="382"/>
      <c r="G1504" s="381">
        <f t="shared" si="250"/>
        <v>0</v>
      </c>
      <c r="H1504" s="383"/>
      <c r="I1504" s="383"/>
      <c r="J1504" s="381">
        <f t="shared" si="251"/>
        <v>0</v>
      </c>
      <c r="K1504" s="383"/>
      <c r="L1504" s="31"/>
      <c r="M1504" s="381">
        <f t="shared" si="252"/>
        <v>0</v>
      </c>
      <c r="N1504" s="383"/>
      <c r="O1504" s="383"/>
      <c r="P1504" s="381">
        <f t="shared" si="253"/>
        <v>0</v>
      </c>
      <c r="Q1504" s="383"/>
      <c r="R1504" s="383"/>
      <c r="S1504" s="25">
        <f t="shared" si="254"/>
        <v>0</v>
      </c>
      <c r="T1504" s="383"/>
      <c r="U1504" s="383"/>
      <c r="V1504" s="381">
        <f t="shared" si="255"/>
        <v>0</v>
      </c>
      <c r="W1504" s="383"/>
      <c r="X1504" s="383"/>
      <c r="Y1504" s="381">
        <f t="shared" si="256"/>
        <v>0</v>
      </c>
    </row>
    <row r="1505" spans="2:25" x14ac:dyDescent="0.2">
      <c r="B1505" s="383"/>
      <c r="C1505" s="32"/>
      <c r="D1505" s="381">
        <f t="shared" si="249"/>
        <v>0</v>
      </c>
      <c r="E1505" s="383"/>
      <c r="F1505" s="382"/>
      <c r="G1505" s="381">
        <f t="shared" si="250"/>
        <v>0</v>
      </c>
      <c r="H1505" s="383"/>
      <c r="I1505" s="383"/>
      <c r="J1505" s="381">
        <f t="shared" si="251"/>
        <v>0</v>
      </c>
      <c r="K1505" s="383"/>
      <c r="L1505" s="31"/>
      <c r="M1505" s="381">
        <f t="shared" si="252"/>
        <v>0</v>
      </c>
      <c r="N1505" s="383"/>
      <c r="O1505" s="383"/>
      <c r="P1505" s="381">
        <f t="shared" si="253"/>
        <v>0</v>
      </c>
      <c r="Q1505" s="383"/>
      <c r="R1505" s="383"/>
      <c r="S1505" s="25">
        <f t="shared" si="254"/>
        <v>0</v>
      </c>
      <c r="T1505" s="383"/>
      <c r="U1505" s="383"/>
      <c r="V1505" s="381">
        <f t="shared" si="255"/>
        <v>0</v>
      </c>
      <c r="W1505" s="383"/>
      <c r="X1505" s="383"/>
      <c r="Y1505" s="381">
        <f t="shared" si="256"/>
        <v>0</v>
      </c>
    </row>
    <row r="1506" spans="2:25" x14ac:dyDescent="0.2">
      <c r="B1506" s="383"/>
      <c r="C1506" s="32"/>
      <c r="D1506" s="381">
        <f t="shared" si="249"/>
        <v>0</v>
      </c>
      <c r="E1506" s="383"/>
      <c r="F1506" s="382"/>
      <c r="G1506" s="381">
        <f t="shared" si="250"/>
        <v>0</v>
      </c>
      <c r="H1506" s="383"/>
      <c r="I1506" s="383"/>
      <c r="J1506" s="381">
        <f t="shared" si="251"/>
        <v>0</v>
      </c>
      <c r="K1506" s="383"/>
      <c r="L1506" s="31"/>
      <c r="M1506" s="381">
        <f t="shared" si="252"/>
        <v>0</v>
      </c>
      <c r="N1506" s="383"/>
      <c r="O1506" s="383"/>
      <c r="P1506" s="381">
        <f t="shared" si="253"/>
        <v>0</v>
      </c>
      <c r="Q1506" s="383"/>
      <c r="R1506" s="383"/>
      <c r="S1506" s="25">
        <f t="shared" si="254"/>
        <v>0</v>
      </c>
      <c r="T1506" s="383"/>
      <c r="U1506" s="383"/>
      <c r="V1506" s="381">
        <f t="shared" si="255"/>
        <v>0</v>
      </c>
      <c r="W1506" s="383"/>
      <c r="X1506" s="383"/>
      <c r="Y1506" s="381">
        <f t="shared" si="256"/>
        <v>0</v>
      </c>
    </row>
    <row r="1507" spans="2:25" x14ac:dyDescent="0.2">
      <c r="B1507" s="383"/>
      <c r="C1507" s="32"/>
      <c r="D1507" s="381">
        <f t="shared" si="249"/>
        <v>0</v>
      </c>
      <c r="E1507" s="383"/>
      <c r="F1507" s="382"/>
      <c r="G1507" s="381">
        <f t="shared" si="250"/>
        <v>0</v>
      </c>
      <c r="H1507" s="383"/>
      <c r="I1507" s="383"/>
      <c r="J1507" s="381">
        <f t="shared" si="251"/>
        <v>0</v>
      </c>
      <c r="K1507" s="383"/>
      <c r="L1507" s="31"/>
      <c r="M1507" s="381">
        <f t="shared" si="252"/>
        <v>0</v>
      </c>
      <c r="N1507" s="383"/>
      <c r="O1507" s="383"/>
      <c r="P1507" s="381">
        <f t="shared" si="253"/>
        <v>0</v>
      </c>
      <c r="Q1507" s="383"/>
      <c r="R1507" s="383"/>
      <c r="S1507" s="25">
        <f t="shared" si="254"/>
        <v>0</v>
      </c>
      <c r="T1507" s="383"/>
      <c r="U1507" s="383"/>
      <c r="V1507" s="381">
        <f t="shared" si="255"/>
        <v>0</v>
      </c>
      <c r="W1507" s="383"/>
      <c r="X1507" s="383"/>
      <c r="Y1507" s="381">
        <f t="shared" si="256"/>
        <v>0</v>
      </c>
    </row>
    <row r="1508" spans="2:25" x14ac:dyDescent="0.2">
      <c r="B1508" s="383"/>
      <c r="C1508" s="32"/>
      <c r="D1508" s="381">
        <f t="shared" si="249"/>
        <v>0</v>
      </c>
      <c r="E1508" s="383"/>
      <c r="F1508" s="382"/>
      <c r="G1508" s="381">
        <f t="shared" si="250"/>
        <v>0</v>
      </c>
      <c r="H1508" s="383"/>
      <c r="I1508" s="383"/>
      <c r="J1508" s="381">
        <f t="shared" si="251"/>
        <v>0</v>
      </c>
      <c r="K1508" s="383"/>
      <c r="L1508" s="31"/>
      <c r="M1508" s="381">
        <f t="shared" si="252"/>
        <v>0</v>
      </c>
      <c r="N1508" s="383"/>
      <c r="O1508" s="383"/>
      <c r="P1508" s="381">
        <f t="shared" si="253"/>
        <v>0</v>
      </c>
      <c r="Q1508" s="383"/>
      <c r="R1508" s="383"/>
      <c r="S1508" s="25">
        <f t="shared" si="254"/>
        <v>0</v>
      </c>
      <c r="T1508" s="383"/>
      <c r="U1508" s="383"/>
      <c r="V1508" s="381">
        <f t="shared" si="255"/>
        <v>0</v>
      </c>
      <c r="W1508" s="383"/>
      <c r="X1508" s="383"/>
      <c r="Y1508" s="381">
        <f t="shared" si="256"/>
        <v>0</v>
      </c>
    </row>
    <row r="1509" spans="2:25" x14ac:dyDescent="0.2">
      <c r="B1509" s="383"/>
      <c r="C1509" s="32"/>
      <c r="D1509" s="381">
        <f t="shared" si="249"/>
        <v>0</v>
      </c>
      <c r="E1509" s="383"/>
      <c r="F1509" s="382"/>
      <c r="G1509" s="381">
        <f t="shared" si="250"/>
        <v>0</v>
      </c>
      <c r="H1509" s="383"/>
      <c r="I1509" s="383"/>
      <c r="J1509" s="381">
        <f t="shared" si="251"/>
        <v>0</v>
      </c>
      <c r="K1509" s="383"/>
      <c r="L1509" s="31"/>
      <c r="M1509" s="381">
        <f t="shared" si="252"/>
        <v>0</v>
      </c>
      <c r="N1509" s="383"/>
      <c r="O1509" s="383"/>
      <c r="P1509" s="381">
        <f t="shared" si="253"/>
        <v>0</v>
      </c>
      <c r="Q1509" s="383"/>
      <c r="R1509" s="383"/>
      <c r="S1509" s="25">
        <f t="shared" si="254"/>
        <v>0</v>
      </c>
      <c r="T1509" s="383"/>
      <c r="U1509" s="383"/>
      <c r="V1509" s="381">
        <f t="shared" si="255"/>
        <v>0</v>
      </c>
      <c r="W1509" s="383"/>
      <c r="X1509" s="383"/>
      <c r="Y1509" s="381">
        <f t="shared" si="256"/>
        <v>0</v>
      </c>
    </row>
    <row r="1510" spans="2:25" x14ac:dyDescent="0.2">
      <c r="B1510" s="383"/>
      <c r="C1510" s="32"/>
      <c r="D1510" s="381">
        <f t="shared" si="249"/>
        <v>0</v>
      </c>
      <c r="E1510" s="383"/>
      <c r="F1510" s="382"/>
      <c r="G1510" s="381">
        <f t="shared" si="250"/>
        <v>0</v>
      </c>
      <c r="H1510" s="383"/>
      <c r="I1510" s="383"/>
      <c r="J1510" s="381">
        <f t="shared" si="251"/>
        <v>0</v>
      </c>
      <c r="K1510" s="383"/>
      <c r="L1510" s="31"/>
      <c r="M1510" s="381">
        <f t="shared" si="252"/>
        <v>0</v>
      </c>
      <c r="N1510" s="383"/>
      <c r="O1510" s="383"/>
      <c r="P1510" s="381">
        <f t="shared" si="253"/>
        <v>0</v>
      </c>
      <c r="Q1510" s="383"/>
      <c r="R1510" s="383"/>
      <c r="S1510" s="25">
        <f t="shared" si="254"/>
        <v>0</v>
      </c>
      <c r="T1510" s="383"/>
      <c r="U1510" s="383"/>
      <c r="V1510" s="381">
        <f t="shared" si="255"/>
        <v>0</v>
      </c>
      <c r="W1510" s="383"/>
      <c r="X1510" s="383"/>
      <c r="Y1510" s="381">
        <f t="shared" si="256"/>
        <v>0</v>
      </c>
    </row>
    <row r="1511" spans="2:25" x14ac:dyDescent="0.2">
      <c r="B1511" s="383"/>
      <c r="C1511" s="32"/>
      <c r="D1511" s="381">
        <f t="shared" si="249"/>
        <v>0</v>
      </c>
      <c r="E1511" s="383"/>
      <c r="F1511" s="382"/>
      <c r="G1511" s="381">
        <f t="shared" si="250"/>
        <v>0</v>
      </c>
      <c r="H1511" s="383"/>
      <c r="I1511" s="383"/>
      <c r="J1511" s="381">
        <f t="shared" si="251"/>
        <v>0</v>
      </c>
      <c r="K1511" s="383"/>
      <c r="L1511" s="31"/>
      <c r="M1511" s="381">
        <f t="shared" si="252"/>
        <v>0</v>
      </c>
      <c r="N1511" s="383"/>
      <c r="O1511" s="383"/>
      <c r="P1511" s="381">
        <f t="shared" si="253"/>
        <v>0</v>
      </c>
      <c r="Q1511" s="383"/>
      <c r="R1511" s="383"/>
      <c r="S1511" s="25">
        <f t="shared" si="254"/>
        <v>0</v>
      </c>
      <c r="T1511" s="383"/>
      <c r="U1511" s="383"/>
      <c r="V1511" s="381">
        <f t="shared" si="255"/>
        <v>0</v>
      </c>
      <c r="W1511" s="383"/>
      <c r="X1511" s="383"/>
      <c r="Y1511" s="381">
        <f t="shared" si="256"/>
        <v>0</v>
      </c>
    </row>
    <row r="1512" spans="2:25" x14ac:dyDescent="0.2">
      <c r="B1512" s="383"/>
      <c r="C1512" s="32"/>
      <c r="D1512" s="381">
        <f t="shared" si="249"/>
        <v>0</v>
      </c>
      <c r="E1512" s="383"/>
      <c r="F1512" s="382"/>
      <c r="G1512" s="381">
        <f t="shared" si="250"/>
        <v>0</v>
      </c>
      <c r="H1512" s="383"/>
      <c r="I1512" s="383"/>
      <c r="J1512" s="381">
        <f t="shared" si="251"/>
        <v>0</v>
      </c>
      <c r="K1512" s="383"/>
      <c r="L1512" s="31"/>
      <c r="M1512" s="381">
        <f t="shared" si="252"/>
        <v>0</v>
      </c>
      <c r="N1512" s="383"/>
      <c r="O1512" s="383"/>
      <c r="P1512" s="381">
        <f t="shared" si="253"/>
        <v>0</v>
      </c>
      <c r="Q1512" s="383"/>
      <c r="R1512" s="383"/>
      <c r="S1512" s="25">
        <f t="shared" si="254"/>
        <v>0</v>
      </c>
      <c r="T1512" s="383"/>
      <c r="U1512" s="383"/>
      <c r="V1512" s="381">
        <f t="shared" si="255"/>
        <v>0</v>
      </c>
      <c r="W1512" s="383"/>
      <c r="X1512" s="383"/>
      <c r="Y1512" s="381">
        <f t="shared" si="256"/>
        <v>0</v>
      </c>
    </row>
    <row r="1513" spans="2:25" x14ac:dyDescent="0.2">
      <c r="B1513" s="383"/>
      <c r="C1513" s="32"/>
      <c r="D1513" s="381">
        <f t="shared" si="249"/>
        <v>0</v>
      </c>
      <c r="E1513" s="383"/>
      <c r="F1513" s="382"/>
      <c r="G1513" s="381">
        <f t="shared" si="250"/>
        <v>0</v>
      </c>
      <c r="H1513" s="383"/>
      <c r="I1513" s="383"/>
      <c r="J1513" s="381">
        <f t="shared" si="251"/>
        <v>0</v>
      </c>
      <c r="K1513" s="383"/>
      <c r="L1513" s="31"/>
      <c r="M1513" s="381">
        <f t="shared" si="252"/>
        <v>0</v>
      </c>
      <c r="N1513" s="383"/>
      <c r="O1513" s="383"/>
      <c r="P1513" s="381">
        <f t="shared" si="253"/>
        <v>0</v>
      </c>
      <c r="Q1513" s="383"/>
      <c r="R1513" s="383"/>
      <c r="S1513" s="25">
        <f t="shared" si="254"/>
        <v>0</v>
      </c>
      <c r="T1513" s="383"/>
      <c r="U1513" s="383"/>
      <c r="V1513" s="381">
        <f t="shared" si="255"/>
        <v>0</v>
      </c>
      <c r="W1513" s="383"/>
      <c r="X1513" s="383"/>
      <c r="Y1513" s="381">
        <f t="shared" si="256"/>
        <v>0</v>
      </c>
    </row>
    <row r="1514" spans="2:25" x14ac:dyDescent="0.2">
      <c r="B1514" s="383"/>
      <c r="C1514" s="32"/>
      <c r="D1514" s="381">
        <f t="shared" si="249"/>
        <v>0</v>
      </c>
      <c r="E1514" s="383"/>
      <c r="F1514" s="382"/>
      <c r="G1514" s="381">
        <f t="shared" si="250"/>
        <v>0</v>
      </c>
      <c r="H1514" s="383"/>
      <c r="I1514" s="383"/>
      <c r="J1514" s="381">
        <f t="shared" si="251"/>
        <v>0</v>
      </c>
      <c r="K1514" s="383"/>
      <c r="L1514" s="31"/>
      <c r="M1514" s="381">
        <f t="shared" si="252"/>
        <v>0</v>
      </c>
      <c r="N1514" s="383"/>
      <c r="O1514" s="383"/>
      <c r="P1514" s="381">
        <f t="shared" si="253"/>
        <v>0</v>
      </c>
      <c r="Q1514" s="383"/>
      <c r="R1514" s="383"/>
      <c r="S1514" s="25">
        <f t="shared" si="254"/>
        <v>0</v>
      </c>
      <c r="T1514" s="383"/>
      <c r="U1514" s="383"/>
      <c r="V1514" s="381">
        <f t="shared" si="255"/>
        <v>0</v>
      </c>
      <c r="W1514" s="383"/>
      <c r="X1514" s="383"/>
      <c r="Y1514" s="381">
        <f t="shared" si="256"/>
        <v>0</v>
      </c>
    </row>
    <row r="1515" spans="2:25" x14ac:dyDescent="0.2">
      <c r="B1515" s="383"/>
      <c r="C1515" s="32"/>
      <c r="D1515" s="381">
        <f t="shared" si="249"/>
        <v>0</v>
      </c>
      <c r="E1515" s="383"/>
      <c r="F1515" s="382"/>
      <c r="G1515" s="381">
        <f t="shared" si="250"/>
        <v>0</v>
      </c>
      <c r="H1515" s="383"/>
      <c r="I1515" s="383"/>
      <c r="J1515" s="381">
        <f t="shared" si="251"/>
        <v>0</v>
      </c>
      <c r="K1515" s="383"/>
      <c r="L1515" s="31"/>
      <c r="M1515" s="381">
        <f t="shared" si="252"/>
        <v>0</v>
      </c>
      <c r="N1515" s="383"/>
      <c r="O1515" s="383"/>
      <c r="P1515" s="381">
        <f t="shared" si="253"/>
        <v>0</v>
      </c>
      <c r="Q1515" s="383"/>
      <c r="R1515" s="383"/>
      <c r="S1515" s="25">
        <f t="shared" si="254"/>
        <v>0</v>
      </c>
      <c r="T1515" s="383"/>
      <c r="U1515" s="383"/>
      <c r="V1515" s="381">
        <f t="shared" si="255"/>
        <v>0</v>
      </c>
      <c r="W1515" s="383"/>
      <c r="X1515" s="383"/>
      <c r="Y1515" s="381">
        <f t="shared" si="256"/>
        <v>0</v>
      </c>
    </row>
    <row r="1516" spans="2:25" x14ac:dyDescent="0.2">
      <c r="B1516" s="383"/>
      <c r="C1516" s="32"/>
      <c r="D1516" s="381">
        <f t="shared" si="249"/>
        <v>0</v>
      </c>
      <c r="E1516" s="383"/>
      <c r="F1516" s="382"/>
      <c r="G1516" s="381">
        <f t="shared" si="250"/>
        <v>0</v>
      </c>
      <c r="H1516" s="383"/>
      <c r="I1516" s="383"/>
      <c r="J1516" s="381">
        <f t="shared" si="251"/>
        <v>0</v>
      </c>
      <c r="K1516" s="383"/>
      <c r="L1516" s="31"/>
      <c r="M1516" s="381">
        <f t="shared" si="252"/>
        <v>0</v>
      </c>
      <c r="N1516" s="383"/>
      <c r="O1516" s="383"/>
      <c r="P1516" s="381">
        <f t="shared" si="253"/>
        <v>0</v>
      </c>
      <c r="Q1516" s="383"/>
      <c r="R1516" s="383"/>
      <c r="S1516" s="25">
        <f t="shared" si="254"/>
        <v>0</v>
      </c>
      <c r="T1516" s="383"/>
      <c r="U1516" s="383"/>
      <c r="V1516" s="381">
        <f t="shared" si="255"/>
        <v>0</v>
      </c>
      <c r="W1516" s="383"/>
      <c r="X1516" s="383"/>
      <c r="Y1516" s="381">
        <f t="shared" si="256"/>
        <v>0</v>
      </c>
    </row>
    <row r="1517" spans="2:25" x14ac:dyDescent="0.2">
      <c r="B1517" s="383"/>
      <c r="C1517" s="32"/>
      <c r="D1517" s="381">
        <f t="shared" si="249"/>
        <v>0</v>
      </c>
      <c r="E1517" s="383"/>
      <c r="F1517" s="382"/>
      <c r="G1517" s="381">
        <f t="shared" si="250"/>
        <v>0</v>
      </c>
      <c r="H1517" s="383"/>
      <c r="I1517" s="383"/>
      <c r="J1517" s="381">
        <f t="shared" si="251"/>
        <v>0</v>
      </c>
      <c r="K1517" s="383"/>
      <c r="L1517" s="31"/>
      <c r="M1517" s="381">
        <f t="shared" si="252"/>
        <v>0</v>
      </c>
      <c r="N1517" s="383"/>
      <c r="O1517" s="383"/>
      <c r="P1517" s="381">
        <f t="shared" si="253"/>
        <v>0</v>
      </c>
      <c r="Q1517" s="383"/>
      <c r="R1517" s="383"/>
      <c r="S1517" s="25">
        <f t="shared" si="254"/>
        <v>0</v>
      </c>
      <c r="T1517" s="383"/>
      <c r="U1517" s="383"/>
      <c r="V1517" s="381">
        <f t="shared" si="255"/>
        <v>0</v>
      </c>
      <c r="W1517" s="383"/>
      <c r="X1517" s="383"/>
      <c r="Y1517" s="381">
        <f t="shared" si="256"/>
        <v>0</v>
      </c>
    </row>
    <row r="1518" spans="2:25" x14ac:dyDescent="0.2">
      <c r="B1518" s="383"/>
      <c r="C1518" s="32"/>
      <c r="D1518" s="381">
        <f t="shared" si="249"/>
        <v>0</v>
      </c>
      <c r="E1518" s="383"/>
      <c r="F1518" s="382"/>
      <c r="G1518" s="381">
        <f t="shared" si="250"/>
        <v>0</v>
      </c>
      <c r="H1518" s="383"/>
      <c r="I1518" s="383"/>
      <c r="J1518" s="381">
        <f t="shared" si="251"/>
        <v>0</v>
      </c>
      <c r="K1518" s="383"/>
      <c r="L1518" s="31"/>
      <c r="M1518" s="381">
        <f t="shared" si="252"/>
        <v>0</v>
      </c>
      <c r="N1518" s="383"/>
      <c r="O1518" s="383"/>
      <c r="P1518" s="381">
        <f t="shared" si="253"/>
        <v>0</v>
      </c>
      <c r="Q1518" s="383"/>
      <c r="R1518" s="383"/>
      <c r="S1518" s="25">
        <f t="shared" si="254"/>
        <v>0</v>
      </c>
      <c r="T1518" s="383"/>
      <c r="U1518" s="383"/>
      <c r="V1518" s="381">
        <f t="shared" si="255"/>
        <v>0</v>
      </c>
      <c r="W1518" s="383"/>
      <c r="X1518" s="383"/>
      <c r="Y1518" s="381">
        <f t="shared" si="256"/>
        <v>0</v>
      </c>
    </row>
    <row r="1519" spans="2:25" x14ac:dyDescent="0.2">
      <c r="B1519" s="383"/>
      <c r="C1519" s="32"/>
      <c r="D1519" s="381">
        <f t="shared" si="249"/>
        <v>0</v>
      </c>
      <c r="E1519" s="383"/>
      <c r="F1519" s="382"/>
      <c r="G1519" s="381">
        <f t="shared" si="250"/>
        <v>0</v>
      </c>
      <c r="H1519" s="383"/>
      <c r="I1519" s="383"/>
      <c r="J1519" s="381">
        <f t="shared" si="251"/>
        <v>0</v>
      </c>
      <c r="K1519" s="383"/>
      <c r="L1519" s="31"/>
      <c r="M1519" s="381">
        <f t="shared" si="252"/>
        <v>0</v>
      </c>
      <c r="N1519" s="383"/>
      <c r="O1519" s="383"/>
      <c r="P1519" s="381">
        <f t="shared" si="253"/>
        <v>0</v>
      </c>
      <c r="Q1519" s="383"/>
      <c r="R1519" s="383"/>
      <c r="S1519" s="25">
        <f t="shared" si="254"/>
        <v>0</v>
      </c>
      <c r="T1519" s="383"/>
      <c r="U1519" s="383"/>
      <c r="V1519" s="381">
        <f t="shared" si="255"/>
        <v>0</v>
      </c>
      <c r="W1519" s="383"/>
      <c r="X1519" s="383"/>
      <c r="Y1519" s="381">
        <f t="shared" si="256"/>
        <v>0</v>
      </c>
    </row>
    <row r="1520" spans="2:25" x14ac:dyDescent="0.2">
      <c r="B1520" s="383"/>
      <c r="C1520" s="32"/>
      <c r="D1520" s="381">
        <f t="shared" si="249"/>
        <v>0</v>
      </c>
      <c r="E1520" s="383"/>
      <c r="F1520" s="382"/>
      <c r="G1520" s="381">
        <f t="shared" si="250"/>
        <v>0</v>
      </c>
      <c r="H1520" s="383"/>
      <c r="I1520" s="383"/>
      <c r="J1520" s="381">
        <f t="shared" si="251"/>
        <v>0</v>
      </c>
      <c r="K1520" s="383"/>
      <c r="L1520" s="31"/>
      <c r="M1520" s="381">
        <f t="shared" si="252"/>
        <v>0</v>
      </c>
      <c r="N1520" s="383"/>
      <c r="O1520" s="383"/>
      <c r="P1520" s="381">
        <f t="shared" si="253"/>
        <v>0</v>
      </c>
      <c r="Q1520" s="383"/>
      <c r="R1520" s="383"/>
      <c r="S1520" s="25">
        <f t="shared" si="254"/>
        <v>0</v>
      </c>
      <c r="T1520" s="383"/>
      <c r="U1520" s="383"/>
      <c r="V1520" s="381">
        <f t="shared" si="255"/>
        <v>0</v>
      </c>
      <c r="W1520" s="383"/>
      <c r="X1520" s="383"/>
      <c r="Y1520" s="381">
        <f t="shared" si="256"/>
        <v>0</v>
      </c>
    </row>
    <row r="1521" spans="2:25" x14ac:dyDescent="0.2">
      <c r="B1521" s="383"/>
      <c r="C1521" s="32"/>
      <c r="D1521" s="381">
        <f t="shared" si="249"/>
        <v>0</v>
      </c>
      <c r="E1521" s="383"/>
      <c r="F1521" s="382"/>
      <c r="G1521" s="381">
        <f t="shared" si="250"/>
        <v>0</v>
      </c>
      <c r="H1521" s="383"/>
      <c r="I1521" s="383"/>
      <c r="J1521" s="381">
        <f t="shared" si="251"/>
        <v>0</v>
      </c>
      <c r="K1521" s="383"/>
      <c r="L1521" s="31"/>
      <c r="M1521" s="381">
        <f t="shared" si="252"/>
        <v>0</v>
      </c>
      <c r="N1521" s="383"/>
      <c r="O1521" s="383"/>
      <c r="P1521" s="381">
        <f t="shared" si="253"/>
        <v>0</v>
      </c>
      <c r="Q1521" s="383"/>
      <c r="R1521" s="383"/>
      <c r="S1521" s="25">
        <f t="shared" si="254"/>
        <v>0</v>
      </c>
      <c r="T1521" s="383"/>
      <c r="U1521" s="383"/>
      <c r="V1521" s="381">
        <f t="shared" si="255"/>
        <v>0</v>
      </c>
      <c r="W1521" s="383"/>
      <c r="X1521" s="383"/>
      <c r="Y1521" s="381">
        <f t="shared" si="256"/>
        <v>0</v>
      </c>
    </row>
    <row r="1522" spans="2:25" x14ac:dyDescent="0.2">
      <c r="B1522" s="383"/>
      <c r="C1522" s="32"/>
      <c r="D1522" s="381">
        <f t="shared" si="249"/>
        <v>0</v>
      </c>
      <c r="E1522" s="383"/>
      <c r="F1522" s="382"/>
      <c r="G1522" s="381">
        <f t="shared" si="250"/>
        <v>0</v>
      </c>
      <c r="H1522" s="383"/>
      <c r="I1522" s="383"/>
      <c r="J1522" s="381">
        <f t="shared" si="251"/>
        <v>0</v>
      </c>
      <c r="K1522" s="383"/>
      <c r="L1522" s="31"/>
      <c r="M1522" s="381">
        <f t="shared" si="252"/>
        <v>0</v>
      </c>
      <c r="N1522" s="383"/>
      <c r="O1522" s="383"/>
      <c r="P1522" s="381">
        <f t="shared" si="253"/>
        <v>0</v>
      </c>
      <c r="Q1522" s="383"/>
      <c r="R1522" s="383"/>
      <c r="S1522" s="25">
        <f t="shared" si="254"/>
        <v>0</v>
      </c>
      <c r="T1522" s="383"/>
      <c r="U1522" s="383"/>
      <c r="V1522" s="381">
        <f t="shared" si="255"/>
        <v>0</v>
      </c>
      <c r="W1522" s="383"/>
      <c r="X1522" s="383"/>
      <c r="Y1522" s="381">
        <f t="shared" si="256"/>
        <v>0</v>
      </c>
    </row>
    <row r="1523" spans="2:25" x14ac:dyDescent="0.2">
      <c r="B1523" s="383"/>
      <c r="C1523" s="32"/>
      <c r="D1523" s="381">
        <f t="shared" si="249"/>
        <v>0</v>
      </c>
      <c r="E1523" s="383"/>
      <c r="F1523" s="382"/>
      <c r="G1523" s="381">
        <f t="shared" si="250"/>
        <v>0</v>
      </c>
      <c r="H1523" s="383"/>
      <c r="I1523" s="383"/>
      <c r="J1523" s="381">
        <f t="shared" si="251"/>
        <v>0</v>
      </c>
      <c r="K1523" s="383"/>
      <c r="L1523" s="31"/>
      <c r="M1523" s="381">
        <f t="shared" si="252"/>
        <v>0</v>
      </c>
      <c r="N1523" s="383"/>
      <c r="O1523" s="383"/>
      <c r="P1523" s="381">
        <f t="shared" si="253"/>
        <v>0</v>
      </c>
      <c r="Q1523" s="383"/>
      <c r="R1523" s="383"/>
      <c r="S1523" s="25">
        <f t="shared" si="254"/>
        <v>0</v>
      </c>
      <c r="T1523" s="383"/>
      <c r="U1523" s="383"/>
      <c r="V1523" s="381">
        <f t="shared" si="255"/>
        <v>0</v>
      </c>
      <c r="W1523" s="383"/>
      <c r="X1523" s="383"/>
      <c r="Y1523" s="381">
        <f t="shared" si="256"/>
        <v>0</v>
      </c>
    </row>
    <row r="1524" spans="2:25" x14ac:dyDescent="0.2">
      <c r="B1524" s="383"/>
      <c r="C1524" s="32"/>
      <c r="D1524" s="381">
        <f t="shared" si="249"/>
        <v>0</v>
      </c>
      <c r="E1524" s="383"/>
      <c r="F1524" s="382"/>
      <c r="G1524" s="381">
        <f t="shared" si="250"/>
        <v>0</v>
      </c>
      <c r="H1524" s="383"/>
      <c r="I1524" s="383"/>
      <c r="J1524" s="381">
        <f t="shared" si="251"/>
        <v>0</v>
      </c>
      <c r="K1524" s="383"/>
      <c r="L1524" s="31"/>
      <c r="M1524" s="381">
        <f t="shared" si="252"/>
        <v>0</v>
      </c>
      <c r="N1524" s="383"/>
      <c r="O1524" s="383"/>
      <c r="P1524" s="381">
        <f t="shared" si="253"/>
        <v>0</v>
      </c>
      <c r="Q1524" s="383"/>
      <c r="R1524" s="383"/>
      <c r="S1524" s="25">
        <f t="shared" si="254"/>
        <v>0</v>
      </c>
      <c r="T1524" s="383"/>
      <c r="U1524" s="383"/>
      <c r="V1524" s="381">
        <f t="shared" si="255"/>
        <v>0</v>
      </c>
      <c r="W1524" s="383"/>
      <c r="X1524" s="383"/>
      <c r="Y1524" s="381">
        <f t="shared" si="256"/>
        <v>0</v>
      </c>
    </row>
    <row r="1525" spans="2:25" x14ac:dyDescent="0.2">
      <c r="B1525" s="383"/>
      <c r="C1525" s="32"/>
      <c r="D1525" s="381">
        <f t="shared" si="249"/>
        <v>0</v>
      </c>
      <c r="E1525" s="383"/>
      <c r="F1525" s="382"/>
      <c r="G1525" s="381">
        <f t="shared" si="250"/>
        <v>0</v>
      </c>
      <c r="H1525" s="383"/>
      <c r="I1525" s="383"/>
      <c r="J1525" s="381">
        <f t="shared" si="251"/>
        <v>0</v>
      </c>
      <c r="K1525" s="383"/>
      <c r="L1525" s="31"/>
      <c r="M1525" s="381">
        <f t="shared" si="252"/>
        <v>0</v>
      </c>
      <c r="N1525" s="383"/>
      <c r="O1525" s="383"/>
      <c r="P1525" s="381">
        <f t="shared" si="253"/>
        <v>0</v>
      </c>
      <c r="Q1525" s="383"/>
      <c r="R1525" s="383"/>
      <c r="S1525" s="25">
        <f t="shared" si="254"/>
        <v>0</v>
      </c>
      <c r="T1525" s="383"/>
      <c r="U1525" s="383"/>
      <c r="V1525" s="381">
        <f t="shared" si="255"/>
        <v>0</v>
      </c>
      <c r="W1525" s="383"/>
      <c r="X1525" s="383"/>
      <c r="Y1525" s="381">
        <f t="shared" si="256"/>
        <v>0</v>
      </c>
    </row>
    <row r="1526" spans="2:25" x14ac:dyDescent="0.2">
      <c r="B1526" s="383"/>
      <c r="C1526" s="32"/>
      <c r="D1526" s="381">
        <f t="shared" si="249"/>
        <v>0</v>
      </c>
      <c r="E1526" s="383"/>
      <c r="F1526" s="382"/>
      <c r="G1526" s="381">
        <f t="shared" si="250"/>
        <v>0</v>
      </c>
      <c r="H1526" s="383"/>
      <c r="I1526" s="383"/>
      <c r="J1526" s="381">
        <f t="shared" si="251"/>
        <v>0</v>
      </c>
      <c r="K1526" s="383"/>
      <c r="L1526" s="31"/>
      <c r="M1526" s="381">
        <f t="shared" si="252"/>
        <v>0</v>
      </c>
      <c r="N1526" s="383"/>
      <c r="O1526" s="383"/>
      <c r="P1526" s="381">
        <f t="shared" si="253"/>
        <v>0</v>
      </c>
      <c r="Q1526" s="383"/>
      <c r="R1526" s="383"/>
      <c r="S1526" s="25">
        <f t="shared" si="254"/>
        <v>0</v>
      </c>
      <c r="T1526" s="383"/>
      <c r="U1526" s="383"/>
      <c r="V1526" s="381">
        <f t="shared" si="255"/>
        <v>0</v>
      </c>
      <c r="W1526" s="383"/>
      <c r="X1526" s="383"/>
      <c r="Y1526" s="381">
        <f t="shared" si="256"/>
        <v>0</v>
      </c>
    </row>
    <row r="1527" spans="2:25" x14ac:dyDescent="0.2">
      <c r="B1527" s="383"/>
      <c r="C1527" s="32"/>
      <c r="D1527" s="381">
        <f t="shared" si="249"/>
        <v>0</v>
      </c>
      <c r="E1527" s="383"/>
      <c r="F1527" s="382"/>
      <c r="G1527" s="381">
        <f t="shared" si="250"/>
        <v>0</v>
      </c>
      <c r="H1527" s="383"/>
      <c r="I1527" s="383"/>
      <c r="J1527" s="381">
        <f t="shared" si="251"/>
        <v>0</v>
      </c>
      <c r="K1527" s="383"/>
      <c r="L1527" s="31"/>
      <c r="M1527" s="381">
        <f t="shared" si="252"/>
        <v>0</v>
      </c>
      <c r="N1527" s="383"/>
      <c r="O1527" s="383"/>
      <c r="P1527" s="381">
        <f t="shared" si="253"/>
        <v>0</v>
      </c>
      <c r="Q1527" s="383"/>
      <c r="R1527" s="383"/>
      <c r="S1527" s="25">
        <f t="shared" si="254"/>
        <v>0</v>
      </c>
      <c r="T1527" s="383"/>
      <c r="U1527" s="383"/>
      <c r="V1527" s="381">
        <f t="shared" si="255"/>
        <v>0</v>
      </c>
      <c r="W1527" s="383"/>
      <c r="X1527" s="383"/>
      <c r="Y1527" s="381">
        <f t="shared" si="256"/>
        <v>0</v>
      </c>
    </row>
    <row r="1528" spans="2:25" x14ac:dyDescent="0.2">
      <c r="B1528" s="383"/>
      <c r="C1528" s="32"/>
      <c r="D1528" s="381">
        <f t="shared" si="249"/>
        <v>0</v>
      </c>
      <c r="E1528" s="383"/>
      <c r="F1528" s="382"/>
      <c r="G1528" s="381">
        <f t="shared" si="250"/>
        <v>0</v>
      </c>
      <c r="H1528" s="383"/>
      <c r="I1528" s="383"/>
      <c r="J1528" s="381">
        <f t="shared" si="251"/>
        <v>0</v>
      </c>
      <c r="K1528" s="383"/>
      <c r="L1528" s="31"/>
      <c r="M1528" s="381">
        <f t="shared" si="252"/>
        <v>0</v>
      </c>
      <c r="N1528" s="383"/>
      <c r="O1528" s="383"/>
      <c r="P1528" s="381">
        <f t="shared" si="253"/>
        <v>0</v>
      </c>
      <c r="Q1528" s="383"/>
      <c r="R1528" s="383"/>
      <c r="S1528" s="25">
        <f t="shared" si="254"/>
        <v>0</v>
      </c>
      <c r="T1528" s="383"/>
      <c r="U1528" s="383"/>
      <c r="V1528" s="381">
        <f t="shared" si="255"/>
        <v>0</v>
      </c>
      <c r="W1528" s="383"/>
      <c r="X1528" s="383"/>
      <c r="Y1528" s="381">
        <f t="shared" si="256"/>
        <v>0</v>
      </c>
    </row>
    <row r="1529" spans="2:25" x14ac:dyDescent="0.2">
      <c r="B1529" s="383"/>
      <c r="C1529" s="32"/>
      <c r="D1529" s="381">
        <f t="shared" si="249"/>
        <v>0</v>
      </c>
      <c r="E1529" s="383"/>
      <c r="F1529" s="382"/>
      <c r="G1529" s="381">
        <f t="shared" si="250"/>
        <v>0</v>
      </c>
      <c r="H1529" s="383"/>
      <c r="I1529" s="383"/>
      <c r="J1529" s="381">
        <f t="shared" si="251"/>
        <v>0</v>
      </c>
      <c r="K1529" s="383"/>
      <c r="L1529" s="31"/>
      <c r="M1529" s="381">
        <f t="shared" si="252"/>
        <v>0</v>
      </c>
      <c r="N1529" s="383"/>
      <c r="O1529" s="383"/>
      <c r="P1529" s="381">
        <f t="shared" si="253"/>
        <v>0</v>
      </c>
      <c r="Q1529" s="383"/>
      <c r="R1529" s="383"/>
      <c r="S1529" s="25">
        <f t="shared" si="254"/>
        <v>0</v>
      </c>
      <c r="T1529" s="383"/>
      <c r="U1529" s="383"/>
      <c r="V1529" s="381">
        <f t="shared" si="255"/>
        <v>0</v>
      </c>
      <c r="W1529" s="383"/>
      <c r="X1529" s="383"/>
      <c r="Y1529" s="381">
        <f t="shared" si="256"/>
        <v>0</v>
      </c>
    </row>
    <row r="1530" spans="2:25" x14ac:dyDescent="0.2">
      <c r="B1530" s="383"/>
      <c r="C1530" s="32"/>
      <c r="D1530" s="381">
        <f t="shared" si="249"/>
        <v>0</v>
      </c>
      <c r="E1530" s="383"/>
      <c r="F1530" s="382"/>
      <c r="G1530" s="381">
        <f t="shared" si="250"/>
        <v>0</v>
      </c>
      <c r="H1530" s="383"/>
      <c r="I1530" s="383"/>
      <c r="J1530" s="381">
        <f t="shared" si="251"/>
        <v>0</v>
      </c>
      <c r="K1530" s="383"/>
      <c r="L1530" s="31"/>
      <c r="M1530" s="381">
        <f t="shared" si="252"/>
        <v>0</v>
      </c>
      <c r="N1530" s="383"/>
      <c r="O1530" s="383"/>
      <c r="P1530" s="381">
        <f t="shared" si="253"/>
        <v>0</v>
      </c>
      <c r="Q1530" s="383"/>
      <c r="R1530" s="383"/>
      <c r="S1530" s="25">
        <f t="shared" si="254"/>
        <v>0</v>
      </c>
      <c r="T1530" s="383"/>
      <c r="U1530" s="383"/>
      <c r="V1530" s="381">
        <f t="shared" si="255"/>
        <v>0</v>
      </c>
      <c r="W1530" s="383"/>
      <c r="X1530" s="383"/>
      <c r="Y1530" s="381">
        <f t="shared" si="256"/>
        <v>0</v>
      </c>
    </row>
    <row r="1531" spans="2:25" x14ac:dyDescent="0.2">
      <c r="B1531" s="383"/>
      <c r="C1531" s="32"/>
      <c r="D1531" s="381">
        <f t="shared" si="249"/>
        <v>0</v>
      </c>
      <c r="E1531" s="383"/>
      <c r="F1531" s="382"/>
      <c r="G1531" s="381">
        <f t="shared" si="250"/>
        <v>0</v>
      </c>
      <c r="H1531" s="383"/>
      <c r="I1531" s="383"/>
      <c r="J1531" s="381">
        <f t="shared" si="251"/>
        <v>0</v>
      </c>
      <c r="K1531" s="383"/>
      <c r="L1531" s="31"/>
      <c r="M1531" s="381">
        <f t="shared" si="252"/>
        <v>0</v>
      </c>
      <c r="N1531" s="383"/>
      <c r="O1531" s="383"/>
      <c r="P1531" s="381">
        <f t="shared" si="253"/>
        <v>0</v>
      </c>
      <c r="Q1531" s="383"/>
      <c r="R1531" s="383"/>
      <c r="S1531" s="25">
        <f t="shared" si="254"/>
        <v>0</v>
      </c>
      <c r="T1531" s="383"/>
      <c r="U1531" s="383"/>
      <c r="V1531" s="381">
        <f t="shared" si="255"/>
        <v>0</v>
      </c>
      <c r="W1531" s="383"/>
      <c r="X1531" s="383"/>
      <c r="Y1531" s="381">
        <f t="shared" si="256"/>
        <v>0</v>
      </c>
    </row>
    <row r="1532" spans="2:25" x14ac:dyDescent="0.2">
      <c r="B1532" s="383"/>
      <c r="C1532" s="32"/>
      <c r="D1532" s="381">
        <f t="shared" si="249"/>
        <v>0</v>
      </c>
      <c r="E1532" s="383"/>
      <c r="F1532" s="382"/>
      <c r="G1532" s="381">
        <f t="shared" si="250"/>
        <v>0</v>
      </c>
      <c r="H1532" s="383"/>
      <c r="I1532" s="383"/>
      <c r="J1532" s="381">
        <f t="shared" si="251"/>
        <v>0</v>
      </c>
      <c r="K1532" s="383"/>
      <c r="L1532" s="31"/>
      <c r="M1532" s="381">
        <f t="shared" si="252"/>
        <v>0</v>
      </c>
      <c r="N1532" s="383"/>
      <c r="O1532" s="383"/>
      <c r="P1532" s="381">
        <f t="shared" si="253"/>
        <v>0</v>
      </c>
      <c r="Q1532" s="383"/>
      <c r="R1532" s="383"/>
      <c r="S1532" s="25">
        <f t="shared" si="254"/>
        <v>0</v>
      </c>
      <c r="T1532" s="383"/>
      <c r="U1532" s="383"/>
      <c r="V1532" s="381">
        <f t="shared" si="255"/>
        <v>0</v>
      </c>
      <c r="W1532" s="383"/>
      <c r="X1532" s="383"/>
      <c r="Y1532" s="381">
        <f t="shared" si="256"/>
        <v>0</v>
      </c>
    </row>
    <row r="1533" spans="2:25" x14ac:dyDescent="0.2">
      <c r="B1533" s="383"/>
      <c r="C1533" s="32"/>
      <c r="D1533" s="381">
        <f t="shared" si="249"/>
        <v>0</v>
      </c>
      <c r="E1533" s="383"/>
      <c r="F1533" s="382"/>
      <c r="G1533" s="381">
        <f t="shared" si="250"/>
        <v>0</v>
      </c>
      <c r="H1533" s="383"/>
      <c r="I1533" s="383"/>
      <c r="J1533" s="381">
        <f t="shared" si="251"/>
        <v>0</v>
      </c>
      <c r="K1533" s="383"/>
      <c r="L1533" s="31"/>
      <c r="M1533" s="381">
        <f t="shared" si="252"/>
        <v>0</v>
      </c>
      <c r="N1533" s="383"/>
      <c r="O1533" s="383"/>
      <c r="P1533" s="381">
        <f t="shared" si="253"/>
        <v>0</v>
      </c>
      <c r="Q1533" s="383"/>
      <c r="R1533" s="383"/>
      <c r="S1533" s="25">
        <f t="shared" si="254"/>
        <v>0</v>
      </c>
      <c r="T1533" s="383"/>
      <c r="U1533" s="383"/>
      <c r="V1533" s="381">
        <f t="shared" si="255"/>
        <v>0</v>
      </c>
      <c r="W1533" s="383"/>
      <c r="X1533" s="383"/>
      <c r="Y1533" s="381">
        <f t="shared" si="256"/>
        <v>0</v>
      </c>
    </row>
    <row r="1534" spans="2:25" x14ac:dyDescent="0.2">
      <c r="B1534" s="383"/>
      <c r="C1534" s="32"/>
      <c r="D1534" s="381">
        <f t="shared" si="249"/>
        <v>0</v>
      </c>
      <c r="E1534" s="383"/>
      <c r="F1534" s="382"/>
      <c r="G1534" s="381">
        <f t="shared" si="250"/>
        <v>0</v>
      </c>
      <c r="H1534" s="383"/>
      <c r="I1534" s="383"/>
      <c r="J1534" s="381">
        <f t="shared" si="251"/>
        <v>0</v>
      </c>
      <c r="K1534" s="383"/>
      <c r="L1534" s="31"/>
      <c r="M1534" s="381">
        <f t="shared" si="252"/>
        <v>0</v>
      </c>
      <c r="N1534" s="383"/>
      <c r="O1534" s="383"/>
      <c r="P1534" s="381">
        <f t="shared" si="253"/>
        <v>0</v>
      </c>
      <c r="Q1534" s="383"/>
      <c r="R1534" s="383"/>
      <c r="S1534" s="25">
        <f t="shared" si="254"/>
        <v>0</v>
      </c>
      <c r="T1534" s="383"/>
      <c r="U1534" s="383"/>
      <c r="V1534" s="381">
        <f t="shared" si="255"/>
        <v>0</v>
      </c>
      <c r="W1534" s="383"/>
      <c r="X1534" s="383"/>
      <c r="Y1534" s="381">
        <f t="shared" si="256"/>
        <v>0</v>
      </c>
    </row>
    <row r="1535" spans="2:25" x14ac:dyDescent="0.2">
      <c r="B1535" s="383"/>
      <c r="C1535" s="32"/>
      <c r="D1535" s="381">
        <f t="shared" si="249"/>
        <v>0</v>
      </c>
      <c r="E1535" s="383"/>
      <c r="F1535" s="382"/>
      <c r="G1535" s="381">
        <f t="shared" si="250"/>
        <v>0</v>
      </c>
      <c r="H1535" s="383"/>
      <c r="I1535" s="383"/>
      <c r="J1535" s="381">
        <f t="shared" si="251"/>
        <v>0</v>
      </c>
      <c r="K1535" s="383"/>
      <c r="L1535" s="31"/>
      <c r="M1535" s="381">
        <f t="shared" si="252"/>
        <v>0</v>
      </c>
      <c r="N1535" s="383"/>
      <c r="O1535" s="383"/>
      <c r="P1535" s="381">
        <f t="shared" si="253"/>
        <v>0</v>
      </c>
      <c r="Q1535" s="383"/>
      <c r="R1535" s="383"/>
      <c r="S1535" s="25">
        <f t="shared" si="254"/>
        <v>0</v>
      </c>
      <c r="T1535" s="383"/>
      <c r="U1535" s="383"/>
      <c r="V1535" s="381">
        <f t="shared" si="255"/>
        <v>0</v>
      </c>
      <c r="W1535" s="383"/>
      <c r="X1535" s="383"/>
      <c r="Y1535" s="381">
        <f t="shared" si="256"/>
        <v>0</v>
      </c>
    </row>
    <row r="1536" spans="2:25" x14ac:dyDescent="0.2">
      <c r="B1536" s="383"/>
      <c r="C1536" s="32"/>
      <c r="D1536" s="381">
        <f t="shared" si="249"/>
        <v>0</v>
      </c>
      <c r="E1536" s="383"/>
      <c r="F1536" s="382"/>
      <c r="G1536" s="381">
        <f t="shared" si="250"/>
        <v>0</v>
      </c>
      <c r="H1536" s="383"/>
      <c r="I1536" s="383"/>
      <c r="J1536" s="381">
        <f t="shared" si="251"/>
        <v>0</v>
      </c>
      <c r="K1536" s="383"/>
      <c r="L1536" s="31"/>
      <c r="M1536" s="381">
        <f t="shared" si="252"/>
        <v>0</v>
      </c>
      <c r="N1536" s="383"/>
      <c r="O1536" s="383"/>
      <c r="P1536" s="381">
        <f t="shared" si="253"/>
        <v>0</v>
      </c>
      <c r="Q1536" s="383"/>
      <c r="R1536" s="383"/>
      <c r="S1536" s="25">
        <f t="shared" si="254"/>
        <v>0</v>
      </c>
      <c r="T1536" s="383"/>
      <c r="U1536" s="383"/>
      <c r="V1536" s="381">
        <f t="shared" si="255"/>
        <v>0</v>
      </c>
      <c r="W1536" s="383"/>
      <c r="X1536" s="383"/>
      <c r="Y1536" s="381">
        <f t="shared" si="256"/>
        <v>0</v>
      </c>
    </row>
    <row r="1537" spans="2:25" x14ac:dyDescent="0.2">
      <c r="B1537" s="383"/>
      <c r="C1537" s="32"/>
      <c r="D1537" s="381">
        <f t="shared" si="249"/>
        <v>0</v>
      </c>
      <c r="E1537" s="383"/>
      <c r="F1537" s="382"/>
      <c r="G1537" s="381">
        <f t="shared" si="250"/>
        <v>0</v>
      </c>
      <c r="H1537" s="383"/>
      <c r="I1537" s="383"/>
      <c r="J1537" s="381">
        <f t="shared" si="251"/>
        <v>0</v>
      </c>
      <c r="K1537" s="383"/>
      <c r="L1537" s="31"/>
      <c r="M1537" s="381">
        <f t="shared" si="252"/>
        <v>0</v>
      </c>
      <c r="N1537" s="383"/>
      <c r="O1537" s="383"/>
      <c r="P1537" s="381">
        <f t="shared" si="253"/>
        <v>0</v>
      </c>
      <c r="Q1537" s="383"/>
      <c r="R1537" s="383"/>
      <c r="S1537" s="25">
        <f t="shared" si="254"/>
        <v>0</v>
      </c>
      <c r="T1537" s="383"/>
      <c r="U1537" s="383"/>
      <c r="V1537" s="381">
        <f t="shared" si="255"/>
        <v>0</v>
      </c>
      <c r="W1537" s="383"/>
      <c r="X1537" s="383"/>
      <c r="Y1537" s="381">
        <f t="shared" si="256"/>
        <v>0</v>
      </c>
    </row>
    <row r="1538" spans="2:25" x14ac:dyDescent="0.2">
      <c r="B1538" s="383"/>
      <c r="C1538" s="32"/>
      <c r="D1538" s="381">
        <f t="shared" si="249"/>
        <v>0</v>
      </c>
      <c r="E1538" s="383"/>
      <c r="F1538" s="382"/>
      <c r="G1538" s="381">
        <f t="shared" si="250"/>
        <v>0</v>
      </c>
      <c r="H1538" s="383"/>
      <c r="I1538" s="383"/>
      <c r="J1538" s="381">
        <f t="shared" si="251"/>
        <v>0</v>
      </c>
      <c r="K1538" s="383"/>
      <c r="L1538" s="31"/>
      <c r="M1538" s="381">
        <f t="shared" si="252"/>
        <v>0</v>
      </c>
      <c r="N1538" s="383"/>
      <c r="O1538" s="383"/>
      <c r="P1538" s="381">
        <f t="shared" si="253"/>
        <v>0</v>
      </c>
      <c r="Q1538" s="383"/>
      <c r="R1538" s="383"/>
      <c r="S1538" s="25">
        <f t="shared" si="254"/>
        <v>0</v>
      </c>
      <c r="T1538" s="383"/>
      <c r="U1538" s="383"/>
      <c r="V1538" s="381">
        <f t="shared" si="255"/>
        <v>0</v>
      </c>
      <c r="W1538" s="383"/>
      <c r="X1538" s="383"/>
      <c r="Y1538" s="381">
        <f t="shared" si="256"/>
        <v>0</v>
      </c>
    </row>
    <row r="1539" spans="2:25" x14ac:dyDescent="0.2">
      <c r="B1539" s="383"/>
      <c r="C1539" s="32"/>
      <c r="D1539" s="381">
        <f t="shared" si="249"/>
        <v>0</v>
      </c>
      <c r="E1539" s="383"/>
      <c r="F1539" s="382"/>
      <c r="G1539" s="381">
        <f t="shared" si="250"/>
        <v>0</v>
      </c>
      <c r="H1539" s="383"/>
      <c r="I1539" s="383"/>
      <c r="J1539" s="381">
        <f t="shared" si="251"/>
        <v>0</v>
      </c>
      <c r="K1539" s="383"/>
      <c r="L1539" s="31"/>
      <c r="M1539" s="381">
        <f t="shared" si="252"/>
        <v>0</v>
      </c>
      <c r="N1539" s="383"/>
      <c r="O1539" s="383"/>
      <c r="P1539" s="381">
        <f t="shared" si="253"/>
        <v>0</v>
      </c>
      <c r="Q1539" s="383"/>
      <c r="R1539" s="383"/>
      <c r="S1539" s="25">
        <f t="shared" si="254"/>
        <v>0</v>
      </c>
      <c r="T1539" s="383"/>
      <c r="U1539" s="383"/>
      <c r="V1539" s="381">
        <f t="shared" si="255"/>
        <v>0</v>
      </c>
      <c r="W1539" s="383"/>
      <c r="X1539" s="383"/>
      <c r="Y1539" s="381">
        <f t="shared" si="256"/>
        <v>0</v>
      </c>
    </row>
    <row r="1540" spans="2:25" x14ac:dyDescent="0.2">
      <c r="B1540" s="383"/>
      <c r="C1540" s="32"/>
      <c r="D1540" s="381">
        <f t="shared" si="249"/>
        <v>0</v>
      </c>
      <c r="E1540" s="383"/>
      <c r="F1540" s="382"/>
      <c r="G1540" s="381">
        <f t="shared" si="250"/>
        <v>0</v>
      </c>
      <c r="H1540" s="383"/>
      <c r="I1540" s="383"/>
      <c r="J1540" s="381">
        <f t="shared" si="251"/>
        <v>0</v>
      </c>
      <c r="K1540" s="383"/>
      <c r="L1540" s="31"/>
      <c r="M1540" s="381">
        <f t="shared" si="252"/>
        <v>0</v>
      </c>
      <c r="N1540" s="383"/>
      <c r="O1540" s="383"/>
      <c r="P1540" s="381">
        <f t="shared" si="253"/>
        <v>0</v>
      </c>
      <c r="Q1540" s="383"/>
      <c r="R1540" s="383"/>
      <c r="S1540" s="25">
        <f t="shared" si="254"/>
        <v>0</v>
      </c>
      <c r="T1540" s="383"/>
      <c r="U1540" s="383"/>
      <c r="V1540" s="381">
        <f t="shared" si="255"/>
        <v>0</v>
      </c>
      <c r="W1540" s="383"/>
      <c r="X1540" s="383"/>
      <c r="Y1540" s="381">
        <f t="shared" si="256"/>
        <v>0</v>
      </c>
    </row>
    <row r="1541" spans="2:25" x14ac:dyDescent="0.2">
      <c r="B1541" s="383"/>
      <c r="C1541" s="32"/>
      <c r="D1541" s="381">
        <f t="shared" si="249"/>
        <v>0</v>
      </c>
      <c r="E1541" s="383"/>
      <c r="F1541" s="382"/>
      <c r="G1541" s="381">
        <f t="shared" si="250"/>
        <v>0</v>
      </c>
      <c r="H1541" s="383"/>
      <c r="I1541" s="383"/>
      <c r="J1541" s="381">
        <f t="shared" si="251"/>
        <v>0</v>
      </c>
      <c r="K1541" s="383"/>
      <c r="L1541" s="31"/>
      <c r="M1541" s="381">
        <f t="shared" si="252"/>
        <v>0</v>
      </c>
      <c r="N1541" s="383"/>
      <c r="O1541" s="383"/>
      <c r="P1541" s="381">
        <f t="shared" si="253"/>
        <v>0</v>
      </c>
      <c r="Q1541" s="383"/>
      <c r="R1541" s="383"/>
      <c r="S1541" s="25">
        <f t="shared" si="254"/>
        <v>0</v>
      </c>
      <c r="T1541" s="383"/>
      <c r="U1541" s="383"/>
      <c r="V1541" s="381">
        <f t="shared" si="255"/>
        <v>0</v>
      </c>
      <c r="W1541" s="383"/>
      <c r="X1541" s="383"/>
      <c r="Y1541" s="381">
        <f t="shared" si="256"/>
        <v>0</v>
      </c>
    </row>
    <row r="1542" spans="2:25" x14ac:dyDescent="0.2">
      <c r="B1542" s="383"/>
      <c r="C1542" s="32"/>
      <c r="D1542" s="381">
        <f t="shared" si="249"/>
        <v>0</v>
      </c>
      <c r="E1542" s="383"/>
      <c r="F1542" s="382"/>
      <c r="G1542" s="381">
        <f t="shared" si="250"/>
        <v>0</v>
      </c>
      <c r="H1542" s="383"/>
      <c r="I1542" s="383"/>
      <c r="J1542" s="381">
        <f t="shared" si="251"/>
        <v>0</v>
      </c>
      <c r="K1542" s="383"/>
      <c r="L1542" s="383"/>
      <c r="M1542" s="381">
        <f t="shared" si="252"/>
        <v>0</v>
      </c>
      <c r="N1542" s="383"/>
      <c r="O1542" s="383"/>
      <c r="P1542" s="381">
        <f t="shared" si="253"/>
        <v>0</v>
      </c>
      <c r="Q1542" s="383"/>
      <c r="R1542" s="383"/>
      <c r="S1542" s="25">
        <f t="shared" si="254"/>
        <v>0</v>
      </c>
      <c r="T1542" s="383"/>
      <c r="U1542" s="383"/>
      <c r="V1542" s="381">
        <f t="shared" si="255"/>
        <v>0</v>
      </c>
      <c r="W1542" s="383"/>
      <c r="X1542" s="383"/>
      <c r="Y1542" s="381">
        <f t="shared" si="256"/>
        <v>0</v>
      </c>
    </row>
    <row r="1543" spans="2:25" x14ac:dyDescent="0.2">
      <c r="B1543" s="383"/>
      <c r="C1543" s="32"/>
      <c r="D1543" s="381">
        <f t="shared" si="249"/>
        <v>0</v>
      </c>
      <c r="E1543" s="383"/>
      <c r="F1543" s="382"/>
      <c r="G1543" s="381">
        <f t="shared" si="250"/>
        <v>0</v>
      </c>
      <c r="H1543" s="383"/>
      <c r="I1543" s="383"/>
      <c r="J1543" s="381">
        <f t="shared" si="251"/>
        <v>0</v>
      </c>
      <c r="K1543" s="383"/>
      <c r="L1543" s="383"/>
      <c r="M1543" s="381">
        <f t="shared" si="252"/>
        <v>0</v>
      </c>
      <c r="N1543" s="383"/>
      <c r="O1543" s="383"/>
      <c r="P1543" s="381">
        <f t="shared" si="253"/>
        <v>0</v>
      </c>
      <c r="Q1543" s="383"/>
      <c r="R1543" s="383"/>
      <c r="S1543" s="25">
        <f t="shared" si="254"/>
        <v>0</v>
      </c>
      <c r="T1543" s="383"/>
      <c r="U1543" s="383"/>
      <c r="V1543" s="381">
        <f t="shared" si="255"/>
        <v>0</v>
      </c>
      <c r="W1543" s="383"/>
      <c r="X1543" s="383"/>
      <c r="Y1543" s="381">
        <f t="shared" si="256"/>
        <v>0</v>
      </c>
    </row>
    <row r="1544" spans="2:25" x14ac:dyDescent="0.2">
      <c r="B1544" s="383"/>
      <c r="C1544" s="32"/>
      <c r="D1544" s="381">
        <f t="shared" si="249"/>
        <v>0</v>
      </c>
      <c r="E1544" s="383"/>
      <c r="F1544" s="382"/>
      <c r="G1544" s="381">
        <f t="shared" si="250"/>
        <v>0</v>
      </c>
      <c r="H1544" s="383"/>
      <c r="I1544" s="383"/>
      <c r="J1544" s="381">
        <f t="shared" si="251"/>
        <v>0</v>
      </c>
      <c r="K1544" s="383"/>
      <c r="L1544" s="383"/>
      <c r="M1544" s="381">
        <f t="shared" si="252"/>
        <v>0</v>
      </c>
      <c r="N1544" s="383"/>
      <c r="O1544" s="383"/>
      <c r="P1544" s="381">
        <f t="shared" si="253"/>
        <v>0</v>
      </c>
      <c r="Q1544" s="383"/>
      <c r="R1544" s="383"/>
      <c r="S1544" s="25">
        <f t="shared" si="254"/>
        <v>0</v>
      </c>
      <c r="T1544" s="383"/>
      <c r="U1544" s="383"/>
      <c r="V1544" s="381">
        <f t="shared" si="255"/>
        <v>0</v>
      </c>
      <c r="W1544" s="383"/>
      <c r="X1544" s="383"/>
      <c r="Y1544" s="381">
        <f t="shared" si="256"/>
        <v>0</v>
      </c>
    </row>
    <row r="1545" spans="2:25" x14ac:dyDescent="0.2">
      <c r="B1545" s="383"/>
      <c r="C1545" s="32"/>
      <c r="D1545" s="381">
        <f t="shared" si="249"/>
        <v>0</v>
      </c>
      <c r="E1545" s="383"/>
      <c r="F1545" s="382"/>
      <c r="G1545" s="381">
        <f t="shared" si="250"/>
        <v>0</v>
      </c>
      <c r="H1545" s="383"/>
      <c r="I1545" s="383"/>
      <c r="J1545" s="381">
        <f t="shared" si="251"/>
        <v>0</v>
      </c>
      <c r="K1545" s="383"/>
      <c r="L1545" s="383"/>
      <c r="M1545" s="381">
        <f t="shared" si="252"/>
        <v>0</v>
      </c>
      <c r="N1545" s="383"/>
      <c r="O1545" s="383"/>
      <c r="P1545" s="381">
        <f t="shared" si="253"/>
        <v>0</v>
      </c>
      <c r="Q1545" s="383"/>
      <c r="R1545" s="383"/>
      <c r="S1545" s="25">
        <f t="shared" si="254"/>
        <v>0</v>
      </c>
      <c r="T1545" s="383"/>
      <c r="U1545" s="383"/>
      <c r="V1545" s="381">
        <f t="shared" si="255"/>
        <v>0</v>
      </c>
      <c r="W1545" s="383"/>
      <c r="X1545" s="383"/>
      <c r="Y1545" s="381">
        <f t="shared" si="256"/>
        <v>0</v>
      </c>
    </row>
    <row r="1546" spans="2:25" x14ac:dyDescent="0.2">
      <c r="B1546" s="383"/>
      <c r="C1546" s="32"/>
      <c r="D1546" s="381">
        <f t="shared" si="249"/>
        <v>0</v>
      </c>
      <c r="E1546" s="383"/>
      <c r="F1546" s="382"/>
      <c r="G1546" s="381">
        <f t="shared" si="250"/>
        <v>0</v>
      </c>
      <c r="H1546" s="383"/>
      <c r="I1546" s="383"/>
      <c r="J1546" s="381">
        <f t="shared" si="251"/>
        <v>0</v>
      </c>
      <c r="K1546" s="383"/>
      <c r="L1546" s="383"/>
      <c r="M1546" s="381">
        <f t="shared" si="252"/>
        <v>0</v>
      </c>
      <c r="N1546" s="383"/>
      <c r="O1546" s="383"/>
      <c r="P1546" s="381">
        <f t="shared" si="253"/>
        <v>0</v>
      </c>
      <c r="Q1546" s="383"/>
      <c r="R1546" s="383"/>
      <c r="S1546" s="25">
        <f t="shared" si="254"/>
        <v>0</v>
      </c>
      <c r="T1546" s="383"/>
      <c r="U1546" s="383"/>
      <c r="V1546" s="381">
        <f t="shared" si="255"/>
        <v>0</v>
      </c>
      <c r="W1546" s="383"/>
      <c r="X1546" s="383"/>
      <c r="Y1546" s="381">
        <f t="shared" si="256"/>
        <v>0</v>
      </c>
    </row>
    <row r="1547" spans="2:25" x14ac:dyDescent="0.2">
      <c r="B1547" s="383"/>
      <c r="C1547" s="32"/>
      <c r="D1547" s="381">
        <f t="shared" si="249"/>
        <v>0</v>
      </c>
      <c r="E1547" s="383"/>
      <c r="F1547" s="382"/>
      <c r="G1547" s="381">
        <f t="shared" si="250"/>
        <v>0</v>
      </c>
      <c r="H1547" s="383"/>
      <c r="I1547" s="383"/>
      <c r="J1547" s="381">
        <f t="shared" si="251"/>
        <v>0</v>
      </c>
      <c r="K1547" s="383"/>
      <c r="L1547" s="383"/>
      <c r="M1547" s="381">
        <f t="shared" si="252"/>
        <v>0</v>
      </c>
      <c r="N1547" s="383"/>
      <c r="O1547" s="383"/>
      <c r="P1547" s="381">
        <f t="shared" si="253"/>
        <v>0</v>
      </c>
      <c r="Q1547" s="383"/>
      <c r="R1547" s="383"/>
      <c r="S1547" s="25">
        <f t="shared" si="254"/>
        <v>0</v>
      </c>
      <c r="T1547" s="383"/>
      <c r="U1547" s="383"/>
      <c r="V1547" s="381">
        <f t="shared" si="255"/>
        <v>0</v>
      </c>
      <c r="W1547" s="383"/>
      <c r="X1547" s="383"/>
      <c r="Y1547" s="381">
        <f t="shared" si="256"/>
        <v>0</v>
      </c>
    </row>
    <row r="1548" spans="2:25" x14ac:dyDescent="0.2">
      <c r="B1548" s="383"/>
      <c r="C1548" s="32"/>
      <c r="D1548" s="381">
        <f t="shared" si="249"/>
        <v>0</v>
      </c>
      <c r="E1548" s="383"/>
      <c r="F1548" s="382"/>
      <c r="G1548" s="381">
        <f t="shared" si="250"/>
        <v>0</v>
      </c>
      <c r="H1548" s="383"/>
      <c r="I1548" s="383"/>
      <c r="J1548" s="381">
        <f t="shared" si="251"/>
        <v>0</v>
      </c>
      <c r="K1548" s="383"/>
      <c r="L1548" s="383"/>
      <c r="M1548" s="381">
        <f t="shared" si="252"/>
        <v>0</v>
      </c>
      <c r="N1548" s="383"/>
      <c r="O1548" s="383"/>
      <c r="P1548" s="381">
        <f t="shared" si="253"/>
        <v>0</v>
      </c>
      <c r="Q1548" s="383"/>
      <c r="R1548" s="383"/>
      <c r="S1548" s="25">
        <f t="shared" si="254"/>
        <v>0</v>
      </c>
      <c r="T1548" s="383"/>
      <c r="U1548" s="383"/>
      <c r="V1548" s="381">
        <f t="shared" si="255"/>
        <v>0</v>
      </c>
      <c r="W1548" s="383"/>
      <c r="X1548" s="383"/>
      <c r="Y1548" s="381">
        <f t="shared" si="256"/>
        <v>0</v>
      </c>
    </row>
    <row r="1549" spans="2:25" x14ac:dyDescent="0.2">
      <c r="B1549" s="383"/>
      <c r="C1549" s="32"/>
      <c r="D1549" s="381">
        <f t="shared" si="249"/>
        <v>0</v>
      </c>
      <c r="E1549" s="383"/>
      <c r="F1549" s="382"/>
      <c r="G1549" s="381">
        <f t="shared" si="250"/>
        <v>0</v>
      </c>
      <c r="H1549" s="383"/>
      <c r="I1549" s="383"/>
      <c r="J1549" s="381">
        <f t="shared" si="251"/>
        <v>0</v>
      </c>
      <c r="K1549" s="383"/>
      <c r="L1549" s="383"/>
      <c r="M1549" s="381">
        <f t="shared" si="252"/>
        <v>0</v>
      </c>
      <c r="N1549" s="383"/>
      <c r="O1549" s="383"/>
      <c r="P1549" s="381">
        <f t="shared" si="253"/>
        <v>0</v>
      </c>
      <c r="Q1549" s="383"/>
      <c r="R1549" s="383"/>
      <c r="S1549" s="25">
        <f t="shared" si="254"/>
        <v>0</v>
      </c>
      <c r="T1549" s="383"/>
      <c r="U1549" s="383"/>
      <c r="V1549" s="381">
        <f t="shared" si="255"/>
        <v>0</v>
      </c>
      <c r="W1549" s="383"/>
      <c r="X1549" s="383"/>
      <c r="Y1549" s="381">
        <f t="shared" si="256"/>
        <v>0</v>
      </c>
    </row>
    <row r="1550" spans="2:25" x14ac:dyDescent="0.2">
      <c r="B1550" s="383"/>
      <c r="C1550" s="32"/>
      <c r="D1550" s="381">
        <f t="shared" si="249"/>
        <v>0</v>
      </c>
      <c r="E1550" s="383"/>
      <c r="F1550" s="382"/>
      <c r="G1550" s="381">
        <f t="shared" si="250"/>
        <v>0</v>
      </c>
      <c r="H1550" s="383"/>
      <c r="I1550" s="383"/>
      <c r="J1550" s="381">
        <f t="shared" si="251"/>
        <v>0</v>
      </c>
      <c r="K1550" s="383"/>
      <c r="L1550" s="383"/>
      <c r="M1550" s="381">
        <f t="shared" si="252"/>
        <v>0</v>
      </c>
      <c r="N1550" s="383"/>
      <c r="O1550" s="383"/>
      <c r="P1550" s="381">
        <f t="shared" si="253"/>
        <v>0</v>
      </c>
      <c r="Q1550" s="383"/>
      <c r="R1550" s="383"/>
      <c r="S1550" s="25">
        <f t="shared" si="254"/>
        <v>0</v>
      </c>
      <c r="T1550" s="383"/>
      <c r="U1550" s="383"/>
      <c r="V1550" s="381">
        <f t="shared" si="255"/>
        <v>0</v>
      </c>
      <c r="W1550" s="383"/>
      <c r="X1550" s="383"/>
      <c r="Y1550" s="381">
        <f t="shared" si="256"/>
        <v>0</v>
      </c>
    </row>
    <row r="1551" spans="2:25" x14ac:dyDescent="0.2">
      <c r="B1551" s="383"/>
      <c r="C1551" s="32"/>
      <c r="D1551" s="381">
        <f t="shared" si="249"/>
        <v>0</v>
      </c>
      <c r="E1551" s="383"/>
      <c r="F1551" s="382"/>
      <c r="G1551" s="381">
        <f t="shared" si="250"/>
        <v>0</v>
      </c>
      <c r="H1551" s="383"/>
      <c r="I1551" s="383"/>
      <c r="J1551" s="381">
        <f t="shared" si="251"/>
        <v>0</v>
      </c>
      <c r="K1551" s="383"/>
      <c r="L1551" s="383"/>
      <c r="M1551" s="381">
        <f t="shared" si="252"/>
        <v>0</v>
      </c>
      <c r="N1551" s="383"/>
      <c r="O1551" s="383"/>
      <c r="P1551" s="381">
        <f t="shared" si="253"/>
        <v>0</v>
      </c>
      <c r="Q1551" s="383"/>
      <c r="R1551" s="383"/>
      <c r="S1551" s="25">
        <f t="shared" si="254"/>
        <v>0</v>
      </c>
      <c r="T1551" s="383"/>
      <c r="U1551" s="383"/>
      <c r="V1551" s="381">
        <f t="shared" si="255"/>
        <v>0</v>
      </c>
      <c r="W1551" s="383"/>
      <c r="X1551" s="383"/>
      <c r="Y1551" s="381">
        <f t="shared" si="256"/>
        <v>0</v>
      </c>
    </row>
    <row r="1552" spans="2:25" x14ac:dyDescent="0.2">
      <c r="B1552" s="383"/>
      <c r="C1552" s="32"/>
      <c r="D1552" s="381">
        <f t="shared" si="249"/>
        <v>0</v>
      </c>
      <c r="E1552" s="383"/>
      <c r="F1552" s="382"/>
      <c r="G1552" s="381">
        <f t="shared" si="250"/>
        <v>0</v>
      </c>
      <c r="H1552" s="383"/>
      <c r="I1552" s="383"/>
      <c r="J1552" s="381">
        <f t="shared" si="251"/>
        <v>0</v>
      </c>
      <c r="K1552" s="383"/>
      <c r="L1552" s="383"/>
      <c r="M1552" s="381">
        <f t="shared" si="252"/>
        <v>0</v>
      </c>
      <c r="N1552" s="383"/>
      <c r="O1552" s="383"/>
      <c r="P1552" s="381">
        <f t="shared" si="253"/>
        <v>0</v>
      </c>
      <c r="Q1552" s="383"/>
      <c r="R1552" s="383"/>
      <c r="S1552" s="25">
        <f t="shared" si="254"/>
        <v>0</v>
      </c>
      <c r="T1552" s="383"/>
      <c r="U1552" s="383"/>
      <c r="V1552" s="381">
        <f t="shared" si="255"/>
        <v>0</v>
      </c>
      <c r="W1552" s="383"/>
      <c r="X1552" s="383"/>
      <c r="Y1552" s="381">
        <f t="shared" si="256"/>
        <v>0</v>
      </c>
    </row>
    <row r="1553" spans="2:25" x14ac:dyDescent="0.2">
      <c r="B1553" s="383"/>
      <c r="C1553" s="32"/>
      <c r="D1553" s="381">
        <f t="shared" si="249"/>
        <v>0</v>
      </c>
      <c r="E1553" s="383"/>
      <c r="F1553" s="382"/>
      <c r="G1553" s="381">
        <f t="shared" si="250"/>
        <v>0</v>
      </c>
      <c r="H1553" s="383"/>
      <c r="I1553" s="383"/>
      <c r="J1553" s="381">
        <f t="shared" si="251"/>
        <v>0</v>
      </c>
      <c r="K1553" s="383"/>
      <c r="L1553" s="383"/>
      <c r="M1553" s="381">
        <f t="shared" si="252"/>
        <v>0</v>
      </c>
      <c r="N1553" s="383"/>
      <c r="O1553" s="383"/>
      <c r="P1553" s="381">
        <f t="shared" si="253"/>
        <v>0</v>
      </c>
      <c r="Q1553" s="383"/>
      <c r="R1553" s="383"/>
      <c r="S1553" s="25">
        <f t="shared" si="254"/>
        <v>0</v>
      </c>
      <c r="T1553" s="383"/>
      <c r="U1553" s="383"/>
      <c r="V1553" s="381">
        <f t="shared" si="255"/>
        <v>0</v>
      </c>
      <c r="W1553" s="383"/>
      <c r="X1553" s="383"/>
      <c r="Y1553" s="381">
        <f t="shared" si="256"/>
        <v>0</v>
      </c>
    </row>
    <row r="1554" spans="2:25" x14ac:dyDescent="0.2">
      <c r="B1554" s="383"/>
      <c r="C1554" s="32"/>
      <c r="D1554" s="381">
        <f t="shared" ref="D1554:D1617" si="257">C1554</f>
        <v>0</v>
      </c>
      <c r="E1554" s="383"/>
      <c r="F1554" s="382"/>
      <c r="G1554" s="381">
        <f t="shared" ref="G1554:G1617" si="258">F1554+$AB$2</f>
        <v>0</v>
      </c>
      <c r="H1554" s="383"/>
      <c r="I1554" s="383"/>
      <c r="J1554" s="381">
        <f t="shared" ref="J1554:J1617" si="259">I1554+$AB$3</f>
        <v>0</v>
      </c>
      <c r="K1554" s="383"/>
      <c r="L1554" s="383"/>
      <c r="M1554" s="381">
        <f t="shared" ref="M1554:M1617" si="260">L1554+$AB$4</f>
        <v>0</v>
      </c>
      <c r="N1554" s="383"/>
      <c r="O1554" s="383"/>
      <c r="P1554" s="381">
        <f t="shared" ref="P1554:P1617" si="261">O1554+$AB$5</f>
        <v>0</v>
      </c>
      <c r="Q1554" s="383"/>
      <c r="R1554" s="383"/>
      <c r="S1554" s="25">
        <f t="shared" ref="S1554:S1617" si="262">R1554+$AB$6</f>
        <v>0</v>
      </c>
      <c r="T1554" s="383"/>
      <c r="U1554" s="383"/>
      <c r="V1554" s="381">
        <f t="shared" ref="V1554:V1617" si="263">U1554+$AB$7</f>
        <v>0</v>
      </c>
      <c r="W1554" s="383"/>
      <c r="X1554" s="383"/>
      <c r="Y1554" s="381">
        <f t="shared" ref="Y1554:Y1617" si="264">X1554+$AB$8</f>
        <v>0</v>
      </c>
    </row>
    <row r="1555" spans="2:25" x14ac:dyDescent="0.2">
      <c r="B1555" s="383"/>
      <c r="C1555" s="32"/>
      <c r="D1555" s="381">
        <f t="shared" si="257"/>
        <v>0</v>
      </c>
      <c r="E1555" s="383"/>
      <c r="F1555" s="382"/>
      <c r="G1555" s="381">
        <f t="shared" si="258"/>
        <v>0</v>
      </c>
      <c r="H1555" s="383"/>
      <c r="I1555" s="383"/>
      <c r="J1555" s="381">
        <f t="shared" si="259"/>
        <v>0</v>
      </c>
      <c r="K1555" s="383"/>
      <c r="L1555" s="383"/>
      <c r="M1555" s="381">
        <f t="shared" si="260"/>
        <v>0</v>
      </c>
      <c r="N1555" s="383"/>
      <c r="O1555" s="383"/>
      <c r="P1555" s="381">
        <f t="shared" si="261"/>
        <v>0</v>
      </c>
      <c r="Q1555" s="383"/>
      <c r="R1555" s="383"/>
      <c r="S1555" s="25">
        <f t="shared" si="262"/>
        <v>0</v>
      </c>
      <c r="T1555" s="383"/>
      <c r="U1555" s="383"/>
      <c r="V1555" s="381">
        <f t="shared" si="263"/>
        <v>0</v>
      </c>
      <c r="W1555" s="383"/>
      <c r="X1555" s="383"/>
      <c r="Y1555" s="381">
        <f t="shared" si="264"/>
        <v>0</v>
      </c>
    </row>
    <row r="1556" spans="2:25" x14ac:dyDescent="0.2">
      <c r="B1556" s="383"/>
      <c r="C1556" s="32"/>
      <c r="D1556" s="381">
        <f t="shared" si="257"/>
        <v>0</v>
      </c>
      <c r="E1556" s="383"/>
      <c r="F1556" s="382"/>
      <c r="G1556" s="381">
        <f t="shared" si="258"/>
        <v>0</v>
      </c>
      <c r="H1556" s="383"/>
      <c r="I1556" s="383"/>
      <c r="J1556" s="381">
        <f t="shared" si="259"/>
        <v>0</v>
      </c>
      <c r="K1556" s="383"/>
      <c r="L1556" s="383"/>
      <c r="M1556" s="381">
        <f t="shared" si="260"/>
        <v>0</v>
      </c>
      <c r="N1556" s="383"/>
      <c r="O1556" s="383"/>
      <c r="P1556" s="381">
        <f t="shared" si="261"/>
        <v>0</v>
      </c>
      <c r="Q1556" s="383"/>
      <c r="R1556" s="383"/>
      <c r="S1556" s="25">
        <f t="shared" si="262"/>
        <v>0</v>
      </c>
      <c r="T1556" s="383"/>
      <c r="U1556" s="383"/>
      <c r="V1556" s="381">
        <f t="shared" si="263"/>
        <v>0</v>
      </c>
      <c r="W1556" s="383"/>
      <c r="X1556" s="383"/>
      <c r="Y1556" s="381">
        <f t="shared" si="264"/>
        <v>0</v>
      </c>
    </row>
    <row r="1557" spans="2:25" x14ac:dyDescent="0.2">
      <c r="B1557" s="383"/>
      <c r="C1557" s="32"/>
      <c r="D1557" s="381">
        <f t="shared" si="257"/>
        <v>0</v>
      </c>
      <c r="E1557" s="383"/>
      <c r="F1557" s="382"/>
      <c r="G1557" s="381">
        <f t="shared" si="258"/>
        <v>0</v>
      </c>
      <c r="H1557" s="383"/>
      <c r="I1557" s="383"/>
      <c r="J1557" s="381">
        <f t="shared" si="259"/>
        <v>0</v>
      </c>
      <c r="K1557" s="383"/>
      <c r="L1557" s="383"/>
      <c r="M1557" s="381">
        <f t="shared" si="260"/>
        <v>0</v>
      </c>
      <c r="N1557" s="383"/>
      <c r="O1557" s="383"/>
      <c r="P1557" s="381">
        <f t="shared" si="261"/>
        <v>0</v>
      </c>
      <c r="Q1557" s="383"/>
      <c r="R1557" s="383"/>
      <c r="S1557" s="25">
        <f t="shared" si="262"/>
        <v>0</v>
      </c>
      <c r="T1557" s="383"/>
      <c r="U1557" s="383"/>
      <c r="V1557" s="381">
        <f t="shared" si="263"/>
        <v>0</v>
      </c>
      <c r="W1557" s="383"/>
      <c r="X1557" s="383"/>
      <c r="Y1557" s="381">
        <f t="shared" si="264"/>
        <v>0</v>
      </c>
    </row>
    <row r="1558" spans="2:25" x14ac:dyDescent="0.2">
      <c r="B1558" s="383"/>
      <c r="C1558" s="32"/>
      <c r="D1558" s="381">
        <f t="shared" si="257"/>
        <v>0</v>
      </c>
      <c r="E1558" s="383"/>
      <c r="F1558" s="382"/>
      <c r="G1558" s="381">
        <f t="shared" si="258"/>
        <v>0</v>
      </c>
      <c r="H1558" s="383"/>
      <c r="I1558" s="383"/>
      <c r="J1558" s="381">
        <f t="shared" si="259"/>
        <v>0</v>
      </c>
      <c r="K1558" s="383"/>
      <c r="L1558" s="383"/>
      <c r="M1558" s="381">
        <f t="shared" si="260"/>
        <v>0</v>
      </c>
      <c r="N1558" s="383"/>
      <c r="O1558" s="383"/>
      <c r="P1558" s="381">
        <f t="shared" si="261"/>
        <v>0</v>
      </c>
      <c r="Q1558" s="383"/>
      <c r="R1558" s="383"/>
      <c r="S1558" s="25">
        <f t="shared" si="262"/>
        <v>0</v>
      </c>
      <c r="T1558" s="383"/>
      <c r="U1558" s="383"/>
      <c r="V1558" s="381">
        <f t="shared" si="263"/>
        <v>0</v>
      </c>
      <c r="W1558" s="383"/>
      <c r="X1558" s="383"/>
      <c r="Y1558" s="381">
        <f t="shared" si="264"/>
        <v>0</v>
      </c>
    </row>
    <row r="1559" spans="2:25" x14ac:dyDescent="0.2">
      <c r="B1559" s="383"/>
      <c r="C1559" s="32"/>
      <c r="D1559" s="381">
        <f t="shared" si="257"/>
        <v>0</v>
      </c>
      <c r="E1559" s="383"/>
      <c r="F1559" s="382"/>
      <c r="G1559" s="381">
        <f t="shared" si="258"/>
        <v>0</v>
      </c>
      <c r="H1559" s="383"/>
      <c r="I1559" s="383"/>
      <c r="J1559" s="381">
        <f t="shared" si="259"/>
        <v>0</v>
      </c>
      <c r="K1559" s="383"/>
      <c r="L1559" s="383"/>
      <c r="M1559" s="381">
        <f t="shared" si="260"/>
        <v>0</v>
      </c>
      <c r="N1559" s="383"/>
      <c r="O1559" s="383"/>
      <c r="P1559" s="381">
        <f t="shared" si="261"/>
        <v>0</v>
      </c>
      <c r="Q1559" s="383"/>
      <c r="R1559" s="383"/>
      <c r="S1559" s="25">
        <f t="shared" si="262"/>
        <v>0</v>
      </c>
      <c r="T1559" s="383"/>
      <c r="U1559" s="383"/>
      <c r="V1559" s="381">
        <f t="shared" si="263"/>
        <v>0</v>
      </c>
      <c r="W1559" s="383"/>
      <c r="X1559" s="383"/>
      <c r="Y1559" s="381">
        <f t="shared" si="264"/>
        <v>0</v>
      </c>
    </row>
    <row r="1560" spans="2:25" x14ac:dyDescent="0.2">
      <c r="B1560" s="383"/>
      <c r="C1560" s="32"/>
      <c r="D1560" s="381">
        <f t="shared" si="257"/>
        <v>0</v>
      </c>
      <c r="E1560" s="383"/>
      <c r="F1560" s="382"/>
      <c r="G1560" s="381">
        <f t="shared" si="258"/>
        <v>0</v>
      </c>
      <c r="H1560" s="383"/>
      <c r="I1560" s="383"/>
      <c r="J1560" s="381">
        <f t="shared" si="259"/>
        <v>0</v>
      </c>
      <c r="K1560" s="383"/>
      <c r="L1560" s="383"/>
      <c r="M1560" s="381">
        <f t="shared" si="260"/>
        <v>0</v>
      </c>
      <c r="N1560" s="383"/>
      <c r="O1560" s="383"/>
      <c r="P1560" s="381">
        <f t="shared" si="261"/>
        <v>0</v>
      </c>
      <c r="Q1560" s="383"/>
      <c r="R1560" s="383"/>
      <c r="S1560" s="25">
        <f t="shared" si="262"/>
        <v>0</v>
      </c>
      <c r="T1560" s="383"/>
      <c r="U1560" s="383"/>
      <c r="V1560" s="381">
        <f t="shared" si="263"/>
        <v>0</v>
      </c>
      <c r="W1560" s="383"/>
      <c r="X1560" s="383"/>
      <c r="Y1560" s="381">
        <f t="shared" si="264"/>
        <v>0</v>
      </c>
    </row>
    <row r="1561" spans="2:25" x14ac:dyDescent="0.2">
      <c r="B1561" s="383"/>
      <c r="C1561" s="32"/>
      <c r="D1561" s="381">
        <f t="shared" si="257"/>
        <v>0</v>
      </c>
      <c r="E1561" s="383"/>
      <c r="F1561" s="382"/>
      <c r="G1561" s="381">
        <f t="shared" si="258"/>
        <v>0</v>
      </c>
      <c r="H1561" s="383"/>
      <c r="I1561" s="383"/>
      <c r="J1561" s="381">
        <f t="shared" si="259"/>
        <v>0</v>
      </c>
      <c r="K1561" s="383"/>
      <c r="L1561" s="383"/>
      <c r="M1561" s="381">
        <f t="shared" si="260"/>
        <v>0</v>
      </c>
      <c r="N1561" s="383"/>
      <c r="O1561" s="383"/>
      <c r="P1561" s="381">
        <f t="shared" si="261"/>
        <v>0</v>
      </c>
      <c r="Q1561" s="383"/>
      <c r="R1561" s="383"/>
      <c r="S1561" s="25">
        <f t="shared" si="262"/>
        <v>0</v>
      </c>
      <c r="T1561" s="383"/>
      <c r="U1561" s="383"/>
      <c r="V1561" s="381">
        <f t="shared" si="263"/>
        <v>0</v>
      </c>
      <c r="W1561" s="383"/>
      <c r="X1561" s="383"/>
      <c r="Y1561" s="381">
        <f t="shared" si="264"/>
        <v>0</v>
      </c>
    </row>
    <row r="1562" spans="2:25" x14ac:dyDescent="0.2">
      <c r="B1562" s="383"/>
      <c r="C1562" s="32"/>
      <c r="D1562" s="381">
        <f t="shared" si="257"/>
        <v>0</v>
      </c>
      <c r="E1562" s="383"/>
      <c r="F1562" s="382"/>
      <c r="G1562" s="381">
        <f t="shared" si="258"/>
        <v>0</v>
      </c>
      <c r="H1562" s="383"/>
      <c r="I1562" s="383"/>
      <c r="J1562" s="381">
        <f t="shared" si="259"/>
        <v>0</v>
      </c>
      <c r="K1562" s="383"/>
      <c r="L1562" s="383"/>
      <c r="M1562" s="381">
        <f t="shared" si="260"/>
        <v>0</v>
      </c>
      <c r="N1562" s="383"/>
      <c r="O1562" s="383"/>
      <c r="P1562" s="381">
        <f t="shared" si="261"/>
        <v>0</v>
      </c>
      <c r="Q1562" s="383"/>
      <c r="R1562" s="383"/>
      <c r="S1562" s="25">
        <f t="shared" si="262"/>
        <v>0</v>
      </c>
      <c r="T1562" s="383"/>
      <c r="U1562" s="383"/>
      <c r="V1562" s="381">
        <f t="shared" si="263"/>
        <v>0</v>
      </c>
      <c r="W1562" s="383"/>
      <c r="X1562" s="383"/>
      <c r="Y1562" s="381">
        <f t="shared" si="264"/>
        <v>0</v>
      </c>
    </row>
    <row r="1563" spans="2:25" x14ac:dyDescent="0.2">
      <c r="B1563" s="383"/>
      <c r="C1563" s="32"/>
      <c r="D1563" s="381">
        <f t="shared" si="257"/>
        <v>0</v>
      </c>
      <c r="E1563" s="383"/>
      <c r="F1563" s="382"/>
      <c r="G1563" s="381">
        <f t="shared" si="258"/>
        <v>0</v>
      </c>
      <c r="H1563" s="383"/>
      <c r="I1563" s="383"/>
      <c r="J1563" s="381">
        <f t="shared" si="259"/>
        <v>0</v>
      </c>
      <c r="K1563" s="383"/>
      <c r="L1563" s="383"/>
      <c r="M1563" s="381">
        <f t="shared" si="260"/>
        <v>0</v>
      </c>
      <c r="N1563" s="383"/>
      <c r="O1563" s="383"/>
      <c r="P1563" s="381">
        <f t="shared" si="261"/>
        <v>0</v>
      </c>
      <c r="Q1563" s="383"/>
      <c r="R1563" s="383"/>
      <c r="S1563" s="25">
        <f t="shared" si="262"/>
        <v>0</v>
      </c>
      <c r="T1563" s="383"/>
      <c r="U1563" s="383"/>
      <c r="V1563" s="381">
        <f t="shared" si="263"/>
        <v>0</v>
      </c>
      <c r="W1563" s="383"/>
      <c r="X1563" s="383"/>
      <c r="Y1563" s="381">
        <f t="shared" si="264"/>
        <v>0</v>
      </c>
    </row>
    <row r="1564" spans="2:25" x14ac:dyDescent="0.2">
      <c r="B1564" s="383"/>
      <c r="C1564" s="32"/>
      <c r="D1564" s="381">
        <f t="shared" si="257"/>
        <v>0</v>
      </c>
      <c r="E1564" s="383"/>
      <c r="F1564" s="382"/>
      <c r="G1564" s="381">
        <f t="shared" si="258"/>
        <v>0</v>
      </c>
      <c r="H1564" s="383"/>
      <c r="I1564" s="383"/>
      <c r="J1564" s="381">
        <f t="shared" si="259"/>
        <v>0</v>
      </c>
      <c r="K1564" s="383"/>
      <c r="L1564" s="383"/>
      <c r="M1564" s="381">
        <f t="shared" si="260"/>
        <v>0</v>
      </c>
      <c r="N1564" s="383"/>
      <c r="O1564" s="383"/>
      <c r="P1564" s="381">
        <f t="shared" si="261"/>
        <v>0</v>
      </c>
      <c r="Q1564" s="383"/>
      <c r="R1564" s="383"/>
      <c r="S1564" s="25">
        <f t="shared" si="262"/>
        <v>0</v>
      </c>
      <c r="T1564" s="383"/>
      <c r="U1564" s="383"/>
      <c r="V1564" s="381">
        <f t="shared" si="263"/>
        <v>0</v>
      </c>
      <c r="W1564" s="383"/>
      <c r="X1564" s="383"/>
      <c r="Y1564" s="381">
        <f t="shared" si="264"/>
        <v>0</v>
      </c>
    </row>
    <row r="1565" spans="2:25" x14ac:dyDescent="0.2">
      <c r="B1565" s="383"/>
      <c r="C1565" s="32"/>
      <c r="D1565" s="381">
        <f t="shared" si="257"/>
        <v>0</v>
      </c>
      <c r="E1565" s="383"/>
      <c r="F1565" s="382"/>
      <c r="G1565" s="381">
        <f t="shared" si="258"/>
        <v>0</v>
      </c>
      <c r="H1565" s="383"/>
      <c r="I1565" s="383"/>
      <c r="J1565" s="381">
        <f t="shared" si="259"/>
        <v>0</v>
      </c>
      <c r="K1565" s="383"/>
      <c r="L1565" s="383"/>
      <c r="M1565" s="381">
        <f t="shared" si="260"/>
        <v>0</v>
      </c>
      <c r="N1565" s="383"/>
      <c r="O1565" s="383"/>
      <c r="P1565" s="381">
        <f t="shared" si="261"/>
        <v>0</v>
      </c>
      <c r="Q1565" s="383"/>
      <c r="R1565" s="383"/>
      <c r="S1565" s="25">
        <f t="shared" si="262"/>
        <v>0</v>
      </c>
      <c r="T1565" s="383"/>
      <c r="U1565" s="383"/>
      <c r="V1565" s="381">
        <f t="shared" si="263"/>
        <v>0</v>
      </c>
      <c r="W1565" s="383"/>
      <c r="X1565" s="383"/>
      <c r="Y1565" s="381">
        <f t="shared" si="264"/>
        <v>0</v>
      </c>
    </row>
    <row r="1566" spans="2:25" x14ac:dyDescent="0.2">
      <c r="B1566" s="383"/>
      <c r="C1566" s="32"/>
      <c r="D1566" s="381">
        <f t="shared" si="257"/>
        <v>0</v>
      </c>
      <c r="E1566" s="383"/>
      <c r="F1566" s="382"/>
      <c r="G1566" s="381">
        <f t="shared" si="258"/>
        <v>0</v>
      </c>
      <c r="H1566" s="383"/>
      <c r="I1566" s="383"/>
      <c r="J1566" s="381">
        <f t="shared" si="259"/>
        <v>0</v>
      </c>
      <c r="K1566" s="383"/>
      <c r="L1566" s="383"/>
      <c r="M1566" s="381">
        <f t="shared" si="260"/>
        <v>0</v>
      </c>
      <c r="N1566" s="383"/>
      <c r="O1566" s="383"/>
      <c r="P1566" s="381">
        <f t="shared" si="261"/>
        <v>0</v>
      </c>
      <c r="Q1566" s="383"/>
      <c r="R1566" s="383"/>
      <c r="S1566" s="25">
        <f t="shared" si="262"/>
        <v>0</v>
      </c>
      <c r="T1566" s="383"/>
      <c r="U1566" s="383"/>
      <c r="V1566" s="381">
        <f t="shared" si="263"/>
        <v>0</v>
      </c>
      <c r="W1566" s="383"/>
      <c r="X1566" s="383"/>
      <c r="Y1566" s="381">
        <f t="shared" si="264"/>
        <v>0</v>
      </c>
    </row>
    <row r="1567" spans="2:25" x14ac:dyDescent="0.2">
      <c r="B1567" s="383"/>
      <c r="C1567" s="32"/>
      <c r="D1567" s="381">
        <f t="shared" si="257"/>
        <v>0</v>
      </c>
      <c r="E1567" s="383"/>
      <c r="F1567" s="382"/>
      <c r="G1567" s="381">
        <f t="shared" si="258"/>
        <v>0</v>
      </c>
      <c r="H1567" s="383"/>
      <c r="I1567" s="383"/>
      <c r="J1567" s="381">
        <f t="shared" si="259"/>
        <v>0</v>
      </c>
      <c r="K1567" s="383"/>
      <c r="L1567" s="383"/>
      <c r="M1567" s="381">
        <f t="shared" si="260"/>
        <v>0</v>
      </c>
      <c r="N1567" s="383"/>
      <c r="O1567" s="383"/>
      <c r="P1567" s="381">
        <f t="shared" si="261"/>
        <v>0</v>
      </c>
      <c r="Q1567" s="383"/>
      <c r="R1567" s="383"/>
      <c r="S1567" s="25">
        <f t="shared" si="262"/>
        <v>0</v>
      </c>
      <c r="T1567" s="383"/>
      <c r="U1567" s="383"/>
      <c r="V1567" s="381">
        <f t="shared" si="263"/>
        <v>0</v>
      </c>
      <c r="W1567" s="383"/>
      <c r="X1567" s="383"/>
      <c r="Y1567" s="381">
        <f t="shared" si="264"/>
        <v>0</v>
      </c>
    </row>
    <row r="1568" spans="2:25" x14ac:dyDescent="0.2">
      <c r="B1568" s="383"/>
      <c r="C1568" s="32"/>
      <c r="D1568" s="381">
        <f t="shared" si="257"/>
        <v>0</v>
      </c>
      <c r="E1568" s="383"/>
      <c r="F1568" s="382"/>
      <c r="G1568" s="381">
        <f t="shared" si="258"/>
        <v>0</v>
      </c>
      <c r="H1568" s="383"/>
      <c r="I1568" s="383"/>
      <c r="J1568" s="381">
        <f t="shared" si="259"/>
        <v>0</v>
      </c>
      <c r="K1568" s="383"/>
      <c r="L1568" s="383"/>
      <c r="M1568" s="381">
        <f t="shared" si="260"/>
        <v>0</v>
      </c>
      <c r="N1568" s="383"/>
      <c r="O1568" s="383"/>
      <c r="P1568" s="381">
        <f t="shared" si="261"/>
        <v>0</v>
      </c>
      <c r="Q1568" s="383"/>
      <c r="R1568" s="383"/>
      <c r="S1568" s="25">
        <f t="shared" si="262"/>
        <v>0</v>
      </c>
      <c r="T1568" s="383"/>
      <c r="U1568" s="383"/>
      <c r="V1568" s="381">
        <f t="shared" si="263"/>
        <v>0</v>
      </c>
      <c r="W1568" s="383"/>
      <c r="X1568" s="383"/>
      <c r="Y1568" s="381">
        <f t="shared" si="264"/>
        <v>0</v>
      </c>
    </row>
    <row r="1569" spans="2:25" x14ac:dyDescent="0.2">
      <c r="B1569" s="383"/>
      <c r="C1569" s="32"/>
      <c r="D1569" s="381">
        <f t="shared" si="257"/>
        <v>0</v>
      </c>
      <c r="E1569" s="383"/>
      <c r="F1569" s="382"/>
      <c r="G1569" s="381">
        <f t="shared" si="258"/>
        <v>0</v>
      </c>
      <c r="H1569" s="383"/>
      <c r="I1569" s="383"/>
      <c r="J1569" s="381">
        <f t="shared" si="259"/>
        <v>0</v>
      </c>
      <c r="K1569" s="383"/>
      <c r="L1569" s="383"/>
      <c r="M1569" s="381">
        <f t="shared" si="260"/>
        <v>0</v>
      </c>
      <c r="N1569" s="383"/>
      <c r="O1569" s="383"/>
      <c r="P1569" s="381">
        <f t="shared" si="261"/>
        <v>0</v>
      </c>
      <c r="Q1569" s="383"/>
      <c r="R1569" s="383"/>
      <c r="S1569" s="25">
        <f t="shared" si="262"/>
        <v>0</v>
      </c>
      <c r="T1569" s="383"/>
      <c r="U1569" s="383"/>
      <c r="V1569" s="381">
        <f t="shared" si="263"/>
        <v>0</v>
      </c>
      <c r="W1569" s="383"/>
      <c r="X1569" s="383"/>
      <c r="Y1569" s="381">
        <f t="shared" si="264"/>
        <v>0</v>
      </c>
    </row>
    <row r="1570" spans="2:25" x14ac:dyDescent="0.2">
      <c r="B1570" s="383"/>
      <c r="C1570" s="32"/>
      <c r="D1570" s="381">
        <f t="shared" si="257"/>
        <v>0</v>
      </c>
      <c r="E1570" s="383"/>
      <c r="F1570" s="382"/>
      <c r="G1570" s="381">
        <f t="shared" si="258"/>
        <v>0</v>
      </c>
      <c r="H1570" s="383"/>
      <c r="I1570" s="383"/>
      <c r="J1570" s="381">
        <f t="shared" si="259"/>
        <v>0</v>
      </c>
      <c r="K1570" s="383"/>
      <c r="L1570" s="383"/>
      <c r="M1570" s="381">
        <f t="shared" si="260"/>
        <v>0</v>
      </c>
      <c r="N1570" s="383"/>
      <c r="O1570" s="383"/>
      <c r="P1570" s="381">
        <f t="shared" si="261"/>
        <v>0</v>
      </c>
      <c r="Q1570" s="383"/>
      <c r="R1570" s="383"/>
      <c r="S1570" s="25">
        <f t="shared" si="262"/>
        <v>0</v>
      </c>
      <c r="T1570" s="383"/>
      <c r="U1570" s="383"/>
      <c r="V1570" s="381">
        <f t="shared" si="263"/>
        <v>0</v>
      </c>
      <c r="W1570" s="383"/>
      <c r="X1570" s="383"/>
      <c r="Y1570" s="381">
        <f t="shared" si="264"/>
        <v>0</v>
      </c>
    </row>
    <row r="1571" spans="2:25" x14ac:dyDescent="0.2">
      <c r="B1571" s="383"/>
      <c r="C1571" s="32"/>
      <c r="D1571" s="381">
        <f t="shared" si="257"/>
        <v>0</v>
      </c>
      <c r="E1571" s="383"/>
      <c r="F1571" s="382"/>
      <c r="G1571" s="381">
        <f t="shared" si="258"/>
        <v>0</v>
      </c>
      <c r="H1571" s="383"/>
      <c r="I1571" s="383"/>
      <c r="J1571" s="381">
        <f t="shared" si="259"/>
        <v>0</v>
      </c>
      <c r="K1571" s="383"/>
      <c r="L1571" s="383"/>
      <c r="M1571" s="381">
        <f t="shared" si="260"/>
        <v>0</v>
      </c>
      <c r="N1571" s="383"/>
      <c r="O1571" s="383"/>
      <c r="P1571" s="381">
        <f t="shared" si="261"/>
        <v>0</v>
      </c>
      <c r="Q1571" s="383"/>
      <c r="R1571" s="383"/>
      <c r="S1571" s="25">
        <f t="shared" si="262"/>
        <v>0</v>
      </c>
      <c r="T1571" s="383"/>
      <c r="U1571" s="383"/>
      <c r="V1571" s="381">
        <f t="shared" si="263"/>
        <v>0</v>
      </c>
      <c r="W1571" s="383"/>
      <c r="X1571" s="383"/>
      <c r="Y1571" s="381">
        <f t="shared" si="264"/>
        <v>0</v>
      </c>
    </row>
    <row r="1572" spans="2:25" x14ac:dyDescent="0.2">
      <c r="B1572" s="383"/>
      <c r="C1572" s="32"/>
      <c r="D1572" s="381">
        <f t="shared" si="257"/>
        <v>0</v>
      </c>
      <c r="E1572" s="383"/>
      <c r="F1572" s="382"/>
      <c r="G1572" s="381">
        <f t="shared" si="258"/>
        <v>0</v>
      </c>
      <c r="H1572" s="383"/>
      <c r="I1572" s="383"/>
      <c r="J1572" s="381">
        <f t="shared" si="259"/>
        <v>0</v>
      </c>
      <c r="K1572" s="383"/>
      <c r="L1572" s="383"/>
      <c r="M1572" s="381">
        <f t="shared" si="260"/>
        <v>0</v>
      </c>
      <c r="N1572" s="383"/>
      <c r="O1572" s="383"/>
      <c r="P1572" s="381">
        <f t="shared" si="261"/>
        <v>0</v>
      </c>
      <c r="Q1572" s="383"/>
      <c r="R1572" s="383"/>
      <c r="S1572" s="25">
        <f t="shared" si="262"/>
        <v>0</v>
      </c>
      <c r="T1572" s="383"/>
      <c r="U1572" s="383"/>
      <c r="V1572" s="381">
        <f t="shared" si="263"/>
        <v>0</v>
      </c>
      <c r="W1572" s="383"/>
      <c r="X1572" s="383"/>
      <c r="Y1572" s="381">
        <f t="shared" si="264"/>
        <v>0</v>
      </c>
    </row>
    <row r="1573" spans="2:25" x14ac:dyDescent="0.2">
      <c r="B1573" s="383"/>
      <c r="C1573" s="32"/>
      <c r="D1573" s="381">
        <f t="shared" si="257"/>
        <v>0</v>
      </c>
      <c r="E1573" s="383"/>
      <c r="F1573" s="382"/>
      <c r="G1573" s="381">
        <f t="shared" si="258"/>
        <v>0</v>
      </c>
      <c r="H1573" s="383"/>
      <c r="I1573" s="383"/>
      <c r="J1573" s="381">
        <f t="shared" si="259"/>
        <v>0</v>
      </c>
      <c r="K1573" s="383"/>
      <c r="L1573" s="383"/>
      <c r="M1573" s="381">
        <f t="shared" si="260"/>
        <v>0</v>
      </c>
      <c r="N1573" s="383"/>
      <c r="O1573" s="383"/>
      <c r="P1573" s="381">
        <f t="shared" si="261"/>
        <v>0</v>
      </c>
      <c r="Q1573" s="383"/>
      <c r="R1573" s="383"/>
      <c r="S1573" s="25">
        <f t="shared" si="262"/>
        <v>0</v>
      </c>
      <c r="T1573" s="383"/>
      <c r="U1573" s="383"/>
      <c r="V1573" s="381">
        <f t="shared" si="263"/>
        <v>0</v>
      </c>
      <c r="W1573" s="383"/>
      <c r="X1573" s="383"/>
      <c r="Y1573" s="381">
        <f t="shared" si="264"/>
        <v>0</v>
      </c>
    </row>
    <row r="1574" spans="2:25" x14ac:dyDescent="0.2">
      <c r="B1574" s="383"/>
      <c r="C1574" s="32"/>
      <c r="D1574" s="381">
        <f t="shared" si="257"/>
        <v>0</v>
      </c>
      <c r="E1574" s="383"/>
      <c r="F1574" s="382"/>
      <c r="G1574" s="381">
        <f t="shared" si="258"/>
        <v>0</v>
      </c>
      <c r="H1574" s="383"/>
      <c r="I1574" s="383"/>
      <c r="J1574" s="381">
        <f t="shared" si="259"/>
        <v>0</v>
      </c>
      <c r="K1574" s="383"/>
      <c r="L1574" s="383"/>
      <c r="M1574" s="381">
        <f t="shared" si="260"/>
        <v>0</v>
      </c>
      <c r="N1574" s="383"/>
      <c r="O1574" s="383"/>
      <c r="P1574" s="381">
        <f t="shared" si="261"/>
        <v>0</v>
      </c>
      <c r="Q1574" s="383"/>
      <c r="R1574" s="383"/>
      <c r="S1574" s="25">
        <f t="shared" si="262"/>
        <v>0</v>
      </c>
      <c r="T1574" s="383"/>
      <c r="U1574" s="383"/>
      <c r="V1574" s="381">
        <f t="shared" si="263"/>
        <v>0</v>
      </c>
      <c r="W1574" s="383"/>
      <c r="X1574" s="383"/>
      <c r="Y1574" s="381">
        <f t="shared" si="264"/>
        <v>0</v>
      </c>
    </row>
    <row r="1575" spans="2:25" x14ac:dyDescent="0.2">
      <c r="B1575" s="383"/>
      <c r="C1575" s="32"/>
      <c r="D1575" s="381">
        <f t="shared" si="257"/>
        <v>0</v>
      </c>
      <c r="E1575" s="383"/>
      <c r="F1575" s="382"/>
      <c r="G1575" s="381">
        <f t="shared" si="258"/>
        <v>0</v>
      </c>
      <c r="H1575" s="383"/>
      <c r="I1575" s="383"/>
      <c r="J1575" s="381">
        <f t="shared" si="259"/>
        <v>0</v>
      </c>
      <c r="K1575" s="383"/>
      <c r="L1575" s="383"/>
      <c r="M1575" s="381">
        <f t="shared" si="260"/>
        <v>0</v>
      </c>
      <c r="N1575" s="383"/>
      <c r="O1575" s="383"/>
      <c r="P1575" s="381">
        <f t="shared" si="261"/>
        <v>0</v>
      </c>
      <c r="Q1575" s="383"/>
      <c r="R1575" s="383"/>
      <c r="S1575" s="25">
        <f t="shared" si="262"/>
        <v>0</v>
      </c>
      <c r="T1575" s="383"/>
      <c r="U1575" s="383"/>
      <c r="V1575" s="381">
        <f t="shared" si="263"/>
        <v>0</v>
      </c>
      <c r="W1575" s="383"/>
      <c r="X1575" s="383"/>
      <c r="Y1575" s="381">
        <f t="shared" si="264"/>
        <v>0</v>
      </c>
    </row>
    <row r="1576" spans="2:25" x14ac:dyDescent="0.2">
      <c r="B1576" s="383"/>
      <c r="C1576" s="32"/>
      <c r="D1576" s="381">
        <f t="shared" si="257"/>
        <v>0</v>
      </c>
      <c r="E1576" s="383"/>
      <c r="F1576" s="382"/>
      <c r="G1576" s="381">
        <f t="shared" si="258"/>
        <v>0</v>
      </c>
      <c r="H1576" s="383"/>
      <c r="I1576" s="383"/>
      <c r="J1576" s="381">
        <f t="shared" si="259"/>
        <v>0</v>
      </c>
      <c r="K1576" s="383"/>
      <c r="L1576" s="383"/>
      <c r="M1576" s="381">
        <f t="shared" si="260"/>
        <v>0</v>
      </c>
      <c r="N1576" s="383"/>
      <c r="O1576" s="383"/>
      <c r="P1576" s="381">
        <f t="shared" si="261"/>
        <v>0</v>
      </c>
      <c r="Q1576" s="383"/>
      <c r="R1576" s="383"/>
      <c r="S1576" s="25">
        <f t="shared" si="262"/>
        <v>0</v>
      </c>
      <c r="T1576" s="383"/>
      <c r="U1576" s="383"/>
      <c r="V1576" s="381">
        <f t="shared" si="263"/>
        <v>0</v>
      </c>
      <c r="W1576" s="383"/>
      <c r="X1576" s="383"/>
      <c r="Y1576" s="381">
        <f t="shared" si="264"/>
        <v>0</v>
      </c>
    </row>
    <row r="1577" spans="2:25" x14ac:dyDescent="0.2">
      <c r="B1577" s="383"/>
      <c r="C1577" s="32"/>
      <c r="D1577" s="381">
        <f t="shared" si="257"/>
        <v>0</v>
      </c>
      <c r="E1577" s="383"/>
      <c r="F1577" s="382"/>
      <c r="G1577" s="381">
        <f t="shared" si="258"/>
        <v>0</v>
      </c>
      <c r="H1577" s="383"/>
      <c r="I1577" s="383"/>
      <c r="J1577" s="381">
        <f t="shared" si="259"/>
        <v>0</v>
      </c>
      <c r="K1577" s="383"/>
      <c r="L1577" s="383"/>
      <c r="M1577" s="381">
        <f t="shared" si="260"/>
        <v>0</v>
      </c>
      <c r="N1577" s="383"/>
      <c r="O1577" s="383"/>
      <c r="P1577" s="381">
        <f t="shared" si="261"/>
        <v>0</v>
      </c>
      <c r="Q1577" s="383"/>
      <c r="R1577" s="383"/>
      <c r="S1577" s="25">
        <f t="shared" si="262"/>
        <v>0</v>
      </c>
      <c r="T1577" s="383"/>
      <c r="U1577" s="383"/>
      <c r="V1577" s="381">
        <f t="shared" si="263"/>
        <v>0</v>
      </c>
      <c r="W1577" s="383"/>
      <c r="X1577" s="383"/>
      <c r="Y1577" s="381">
        <f t="shared" si="264"/>
        <v>0</v>
      </c>
    </row>
    <row r="1578" spans="2:25" x14ac:dyDescent="0.2">
      <c r="B1578" s="383"/>
      <c r="C1578" s="32"/>
      <c r="D1578" s="381">
        <f t="shared" si="257"/>
        <v>0</v>
      </c>
      <c r="E1578" s="383"/>
      <c r="F1578" s="382"/>
      <c r="G1578" s="381">
        <f t="shared" si="258"/>
        <v>0</v>
      </c>
      <c r="H1578" s="383"/>
      <c r="I1578" s="383"/>
      <c r="J1578" s="381">
        <f t="shared" si="259"/>
        <v>0</v>
      </c>
      <c r="K1578" s="383"/>
      <c r="L1578" s="383"/>
      <c r="M1578" s="381">
        <f t="shared" si="260"/>
        <v>0</v>
      </c>
      <c r="N1578" s="383"/>
      <c r="O1578" s="383"/>
      <c r="P1578" s="381">
        <f t="shared" si="261"/>
        <v>0</v>
      </c>
      <c r="Q1578" s="383"/>
      <c r="R1578" s="383"/>
      <c r="S1578" s="25">
        <f t="shared" si="262"/>
        <v>0</v>
      </c>
      <c r="T1578" s="383"/>
      <c r="U1578" s="383"/>
      <c r="V1578" s="381">
        <f t="shared" si="263"/>
        <v>0</v>
      </c>
      <c r="W1578" s="383"/>
      <c r="X1578" s="383"/>
      <c r="Y1578" s="381">
        <f t="shared" si="264"/>
        <v>0</v>
      </c>
    </row>
    <row r="1579" spans="2:25" x14ac:dyDescent="0.2">
      <c r="B1579" s="383"/>
      <c r="C1579" s="32"/>
      <c r="D1579" s="381">
        <f t="shared" si="257"/>
        <v>0</v>
      </c>
      <c r="E1579" s="383"/>
      <c r="F1579" s="382"/>
      <c r="G1579" s="381">
        <f t="shared" si="258"/>
        <v>0</v>
      </c>
      <c r="H1579" s="383"/>
      <c r="I1579" s="383"/>
      <c r="J1579" s="381">
        <f t="shared" si="259"/>
        <v>0</v>
      </c>
      <c r="K1579" s="383"/>
      <c r="L1579" s="383"/>
      <c r="M1579" s="381">
        <f t="shared" si="260"/>
        <v>0</v>
      </c>
      <c r="N1579" s="383"/>
      <c r="O1579" s="383"/>
      <c r="P1579" s="381">
        <f t="shared" si="261"/>
        <v>0</v>
      </c>
      <c r="Q1579" s="383"/>
      <c r="R1579" s="383"/>
      <c r="S1579" s="25">
        <f t="shared" si="262"/>
        <v>0</v>
      </c>
      <c r="T1579" s="383"/>
      <c r="U1579" s="383"/>
      <c r="V1579" s="381">
        <f t="shared" si="263"/>
        <v>0</v>
      </c>
      <c r="W1579" s="383"/>
      <c r="X1579" s="383"/>
      <c r="Y1579" s="381">
        <f t="shared" si="264"/>
        <v>0</v>
      </c>
    </row>
    <row r="1580" spans="2:25" x14ac:dyDescent="0.2">
      <c r="B1580" s="383"/>
      <c r="C1580" s="32"/>
      <c r="D1580" s="381">
        <f t="shared" si="257"/>
        <v>0</v>
      </c>
      <c r="E1580" s="383"/>
      <c r="F1580" s="382"/>
      <c r="G1580" s="381">
        <f t="shared" si="258"/>
        <v>0</v>
      </c>
      <c r="H1580" s="383"/>
      <c r="I1580" s="383"/>
      <c r="J1580" s="381">
        <f t="shared" si="259"/>
        <v>0</v>
      </c>
      <c r="K1580" s="383"/>
      <c r="L1580" s="383"/>
      <c r="M1580" s="381">
        <f t="shared" si="260"/>
        <v>0</v>
      </c>
      <c r="N1580" s="383"/>
      <c r="O1580" s="383"/>
      <c r="P1580" s="381">
        <f t="shared" si="261"/>
        <v>0</v>
      </c>
      <c r="Q1580" s="383"/>
      <c r="R1580" s="383"/>
      <c r="S1580" s="25">
        <f t="shared" si="262"/>
        <v>0</v>
      </c>
      <c r="T1580" s="383"/>
      <c r="U1580" s="383"/>
      <c r="V1580" s="381">
        <f t="shared" si="263"/>
        <v>0</v>
      </c>
      <c r="W1580" s="383"/>
      <c r="X1580" s="383"/>
      <c r="Y1580" s="381">
        <f t="shared" si="264"/>
        <v>0</v>
      </c>
    </row>
    <row r="1581" spans="2:25" x14ac:dyDescent="0.2">
      <c r="B1581" s="383"/>
      <c r="C1581" s="32"/>
      <c r="D1581" s="381">
        <f t="shared" si="257"/>
        <v>0</v>
      </c>
      <c r="E1581" s="383"/>
      <c r="F1581" s="382"/>
      <c r="G1581" s="381">
        <f t="shared" si="258"/>
        <v>0</v>
      </c>
      <c r="H1581" s="383"/>
      <c r="I1581" s="383"/>
      <c r="J1581" s="381">
        <f t="shared" si="259"/>
        <v>0</v>
      </c>
      <c r="K1581" s="383"/>
      <c r="L1581" s="383"/>
      <c r="M1581" s="381">
        <f t="shared" si="260"/>
        <v>0</v>
      </c>
      <c r="N1581" s="383"/>
      <c r="O1581" s="383"/>
      <c r="P1581" s="381">
        <f t="shared" si="261"/>
        <v>0</v>
      </c>
      <c r="Q1581" s="383"/>
      <c r="R1581" s="383"/>
      <c r="S1581" s="25">
        <f t="shared" si="262"/>
        <v>0</v>
      </c>
      <c r="T1581" s="383"/>
      <c r="U1581" s="383"/>
      <c r="V1581" s="381">
        <f t="shared" si="263"/>
        <v>0</v>
      </c>
      <c r="W1581" s="383"/>
      <c r="X1581" s="383"/>
      <c r="Y1581" s="381">
        <f t="shared" si="264"/>
        <v>0</v>
      </c>
    </row>
    <row r="1582" spans="2:25" x14ac:dyDescent="0.2">
      <c r="B1582" s="383"/>
      <c r="C1582" s="32"/>
      <c r="D1582" s="381">
        <f t="shared" si="257"/>
        <v>0</v>
      </c>
      <c r="E1582" s="383"/>
      <c r="F1582" s="382"/>
      <c r="G1582" s="381">
        <f t="shared" si="258"/>
        <v>0</v>
      </c>
      <c r="H1582" s="383"/>
      <c r="I1582" s="383"/>
      <c r="J1582" s="381">
        <f t="shared" si="259"/>
        <v>0</v>
      </c>
      <c r="K1582" s="383"/>
      <c r="L1582" s="383"/>
      <c r="M1582" s="381">
        <f t="shared" si="260"/>
        <v>0</v>
      </c>
      <c r="N1582" s="383"/>
      <c r="O1582" s="383"/>
      <c r="P1582" s="381">
        <f t="shared" si="261"/>
        <v>0</v>
      </c>
      <c r="Q1582" s="383"/>
      <c r="R1582" s="383"/>
      <c r="S1582" s="25">
        <f t="shared" si="262"/>
        <v>0</v>
      </c>
      <c r="T1582" s="383"/>
      <c r="U1582" s="383"/>
      <c r="V1582" s="381">
        <f t="shared" si="263"/>
        <v>0</v>
      </c>
      <c r="W1582" s="383"/>
      <c r="X1582" s="383"/>
      <c r="Y1582" s="381">
        <f t="shared" si="264"/>
        <v>0</v>
      </c>
    </row>
    <row r="1583" spans="2:25" x14ac:dyDescent="0.2">
      <c r="B1583" s="383"/>
      <c r="C1583" s="32"/>
      <c r="D1583" s="381">
        <f t="shared" si="257"/>
        <v>0</v>
      </c>
      <c r="E1583" s="383"/>
      <c r="F1583" s="382"/>
      <c r="G1583" s="381">
        <f t="shared" si="258"/>
        <v>0</v>
      </c>
      <c r="H1583" s="383"/>
      <c r="I1583" s="383"/>
      <c r="J1583" s="381">
        <f t="shared" si="259"/>
        <v>0</v>
      </c>
      <c r="K1583" s="383"/>
      <c r="L1583" s="383"/>
      <c r="M1583" s="381">
        <f t="shared" si="260"/>
        <v>0</v>
      </c>
      <c r="N1583" s="383"/>
      <c r="O1583" s="383"/>
      <c r="P1583" s="381">
        <f t="shared" si="261"/>
        <v>0</v>
      </c>
      <c r="Q1583" s="383"/>
      <c r="R1583" s="383"/>
      <c r="S1583" s="25">
        <f t="shared" si="262"/>
        <v>0</v>
      </c>
      <c r="T1583" s="383"/>
      <c r="U1583" s="383"/>
      <c r="V1583" s="381">
        <f t="shared" si="263"/>
        <v>0</v>
      </c>
      <c r="W1583" s="383"/>
      <c r="X1583" s="383"/>
      <c r="Y1583" s="381">
        <f t="shared" si="264"/>
        <v>0</v>
      </c>
    </row>
    <row r="1584" spans="2:25" x14ac:dyDescent="0.2">
      <c r="B1584" s="383"/>
      <c r="C1584" s="32"/>
      <c r="D1584" s="381">
        <f t="shared" si="257"/>
        <v>0</v>
      </c>
      <c r="E1584" s="383"/>
      <c r="F1584" s="382"/>
      <c r="G1584" s="381">
        <f t="shared" si="258"/>
        <v>0</v>
      </c>
      <c r="H1584" s="383"/>
      <c r="I1584" s="383"/>
      <c r="J1584" s="381">
        <f t="shared" si="259"/>
        <v>0</v>
      </c>
      <c r="K1584" s="383"/>
      <c r="L1584" s="383"/>
      <c r="M1584" s="381">
        <f t="shared" si="260"/>
        <v>0</v>
      </c>
      <c r="N1584" s="383"/>
      <c r="O1584" s="383"/>
      <c r="P1584" s="381">
        <f t="shared" si="261"/>
        <v>0</v>
      </c>
      <c r="Q1584" s="383"/>
      <c r="R1584" s="383"/>
      <c r="S1584" s="25">
        <f t="shared" si="262"/>
        <v>0</v>
      </c>
      <c r="T1584" s="383"/>
      <c r="U1584" s="383"/>
      <c r="V1584" s="381">
        <f t="shared" si="263"/>
        <v>0</v>
      </c>
      <c r="W1584" s="383"/>
      <c r="X1584" s="383"/>
      <c r="Y1584" s="381">
        <f t="shared" si="264"/>
        <v>0</v>
      </c>
    </row>
    <row r="1585" spans="2:25" x14ac:dyDescent="0.2">
      <c r="B1585" s="383"/>
      <c r="C1585" s="32"/>
      <c r="D1585" s="381">
        <f t="shared" si="257"/>
        <v>0</v>
      </c>
      <c r="E1585" s="383"/>
      <c r="F1585" s="382"/>
      <c r="G1585" s="381">
        <f t="shared" si="258"/>
        <v>0</v>
      </c>
      <c r="H1585" s="383"/>
      <c r="I1585" s="383"/>
      <c r="J1585" s="381">
        <f t="shared" si="259"/>
        <v>0</v>
      </c>
      <c r="K1585" s="383"/>
      <c r="L1585" s="383"/>
      <c r="M1585" s="381">
        <f t="shared" si="260"/>
        <v>0</v>
      </c>
      <c r="N1585" s="383"/>
      <c r="O1585" s="383"/>
      <c r="P1585" s="381">
        <f t="shared" si="261"/>
        <v>0</v>
      </c>
      <c r="Q1585" s="383"/>
      <c r="R1585" s="383"/>
      <c r="S1585" s="25">
        <f t="shared" si="262"/>
        <v>0</v>
      </c>
      <c r="T1585" s="383"/>
      <c r="U1585" s="383"/>
      <c r="V1585" s="381">
        <f t="shared" si="263"/>
        <v>0</v>
      </c>
      <c r="W1585" s="383"/>
      <c r="X1585" s="383"/>
      <c r="Y1585" s="381">
        <f t="shared" si="264"/>
        <v>0</v>
      </c>
    </row>
    <row r="1586" spans="2:25" x14ac:dyDescent="0.2">
      <c r="B1586" s="383"/>
      <c r="C1586" s="32"/>
      <c r="D1586" s="381">
        <f t="shared" si="257"/>
        <v>0</v>
      </c>
      <c r="E1586" s="383"/>
      <c r="F1586" s="382"/>
      <c r="G1586" s="381">
        <f t="shared" si="258"/>
        <v>0</v>
      </c>
      <c r="H1586" s="383"/>
      <c r="I1586" s="383"/>
      <c r="J1586" s="381">
        <f t="shared" si="259"/>
        <v>0</v>
      </c>
      <c r="K1586" s="383"/>
      <c r="L1586" s="383"/>
      <c r="M1586" s="381">
        <f t="shared" si="260"/>
        <v>0</v>
      </c>
      <c r="N1586" s="383"/>
      <c r="O1586" s="383"/>
      <c r="P1586" s="381">
        <f t="shared" si="261"/>
        <v>0</v>
      </c>
      <c r="Q1586" s="383"/>
      <c r="R1586" s="383"/>
      <c r="S1586" s="25">
        <f t="shared" si="262"/>
        <v>0</v>
      </c>
      <c r="T1586" s="383"/>
      <c r="U1586" s="383"/>
      <c r="V1586" s="381">
        <f t="shared" si="263"/>
        <v>0</v>
      </c>
      <c r="W1586" s="383"/>
      <c r="X1586" s="383"/>
      <c r="Y1586" s="381">
        <f t="shared" si="264"/>
        <v>0</v>
      </c>
    </row>
    <row r="1587" spans="2:25" x14ac:dyDescent="0.2">
      <c r="B1587" s="383"/>
      <c r="C1587" s="32"/>
      <c r="D1587" s="381">
        <f t="shared" si="257"/>
        <v>0</v>
      </c>
      <c r="E1587" s="383"/>
      <c r="F1587" s="382"/>
      <c r="G1587" s="381">
        <f t="shared" si="258"/>
        <v>0</v>
      </c>
      <c r="H1587" s="383"/>
      <c r="I1587" s="383"/>
      <c r="J1587" s="381">
        <f t="shared" si="259"/>
        <v>0</v>
      </c>
      <c r="K1587" s="383"/>
      <c r="L1587" s="383"/>
      <c r="M1587" s="381">
        <f t="shared" si="260"/>
        <v>0</v>
      </c>
      <c r="N1587" s="383"/>
      <c r="O1587" s="383"/>
      <c r="P1587" s="381">
        <f t="shared" si="261"/>
        <v>0</v>
      </c>
      <c r="Q1587" s="383"/>
      <c r="R1587" s="383"/>
      <c r="S1587" s="25">
        <f t="shared" si="262"/>
        <v>0</v>
      </c>
      <c r="T1587" s="383"/>
      <c r="U1587" s="383"/>
      <c r="V1587" s="381">
        <f t="shared" si="263"/>
        <v>0</v>
      </c>
      <c r="W1587" s="383"/>
      <c r="X1587" s="383"/>
      <c r="Y1587" s="381">
        <f t="shared" si="264"/>
        <v>0</v>
      </c>
    </row>
    <row r="1588" spans="2:25" x14ac:dyDescent="0.2">
      <c r="B1588" s="383"/>
      <c r="C1588" s="32"/>
      <c r="D1588" s="381">
        <f t="shared" si="257"/>
        <v>0</v>
      </c>
      <c r="E1588" s="383"/>
      <c r="F1588" s="382"/>
      <c r="G1588" s="381">
        <f t="shared" si="258"/>
        <v>0</v>
      </c>
      <c r="H1588" s="383"/>
      <c r="I1588" s="383"/>
      <c r="J1588" s="381">
        <f t="shared" si="259"/>
        <v>0</v>
      </c>
      <c r="K1588" s="383"/>
      <c r="L1588" s="383"/>
      <c r="M1588" s="381">
        <f t="shared" si="260"/>
        <v>0</v>
      </c>
      <c r="N1588" s="383"/>
      <c r="O1588" s="383"/>
      <c r="P1588" s="381">
        <f t="shared" si="261"/>
        <v>0</v>
      </c>
      <c r="Q1588" s="383"/>
      <c r="R1588" s="383"/>
      <c r="S1588" s="25">
        <f t="shared" si="262"/>
        <v>0</v>
      </c>
      <c r="T1588" s="383"/>
      <c r="U1588" s="383"/>
      <c r="V1588" s="381">
        <f t="shared" si="263"/>
        <v>0</v>
      </c>
      <c r="W1588" s="383"/>
      <c r="X1588" s="383"/>
      <c r="Y1588" s="381">
        <f t="shared" si="264"/>
        <v>0</v>
      </c>
    </row>
    <row r="1589" spans="2:25" x14ac:dyDescent="0.2">
      <c r="B1589" s="383"/>
      <c r="C1589" s="32"/>
      <c r="D1589" s="381">
        <f t="shared" si="257"/>
        <v>0</v>
      </c>
      <c r="E1589" s="383"/>
      <c r="F1589" s="382"/>
      <c r="G1589" s="381">
        <f t="shared" si="258"/>
        <v>0</v>
      </c>
      <c r="H1589" s="383"/>
      <c r="I1589" s="383"/>
      <c r="J1589" s="381">
        <f t="shared" si="259"/>
        <v>0</v>
      </c>
      <c r="K1589" s="383"/>
      <c r="L1589" s="383"/>
      <c r="M1589" s="381">
        <f t="shared" si="260"/>
        <v>0</v>
      </c>
      <c r="N1589" s="383"/>
      <c r="O1589" s="383"/>
      <c r="P1589" s="381">
        <f t="shared" si="261"/>
        <v>0</v>
      </c>
      <c r="Q1589" s="383"/>
      <c r="R1589" s="383"/>
      <c r="S1589" s="25">
        <f t="shared" si="262"/>
        <v>0</v>
      </c>
      <c r="T1589" s="383"/>
      <c r="U1589" s="383"/>
      <c r="V1589" s="381">
        <f t="shared" si="263"/>
        <v>0</v>
      </c>
      <c r="W1589" s="383"/>
      <c r="X1589" s="383"/>
      <c r="Y1589" s="381">
        <f t="shared" si="264"/>
        <v>0</v>
      </c>
    </row>
    <row r="1590" spans="2:25" x14ac:dyDescent="0.2">
      <c r="B1590" s="383"/>
      <c r="C1590" s="32"/>
      <c r="D1590" s="381">
        <f t="shared" si="257"/>
        <v>0</v>
      </c>
      <c r="E1590" s="383"/>
      <c r="F1590" s="382"/>
      <c r="G1590" s="381">
        <f t="shared" si="258"/>
        <v>0</v>
      </c>
      <c r="H1590" s="383"/>
      <c r="I1590" s="383"/>
      <c r="J1590" s="381">
        <f t="shared" si="259"/>
        <v>0</v>
      </c>
      <c r="K1590" s="383"/>
      <c r="L1590" s="383"/>
      <c r="M1590" s="381">
        <f t="shared" si="260"/>
        <v>0</v>
      </c>
      <c r="N1590" s="383"/>
      <c r="O1590" s="383"/>
      <c r="P1590" s="381">
        <f t="shared" si="261"/>
        <v>0</v>
      </c>
      <c r="Q1590" s="383"/>
      <c r="R1590" s="383"/>
      <c r="S1590" s="25">
        <f t="shared" si="262"/>
        <v>0</v>
      </c>
      <c r="T1590" s="383"/>
      <c r="U1590" s="383"/>
      <c r="V1590" s="381">
        <f t="shared" si="263"/>
        <v>0</v>
      </c>
      <c r="W1590" s="383"/>
      <c r="X1590" s="383"/>
      <c r="Y1590" s="381">
        <f t="shared" si="264"/>
        <v>0</v>
      </c>
    </row>
    <row r="1591" spans="2:25" x14ac:dyDescent="0.2">
      <c r="B1591" s="383"/>
      <c r="C1591" s="32"/>
      <c r="D1591" s="381">
        <f t="shared" si="257"/>
        <v>0</v>
      </c>
      <c r="E1591" s="383"/>
      <c r="F1591" s="382"/>
      <c r="G1591" s="381">
        <f t="shared" si="258"/>
        <v>0</v>
      </c>
      <c r="H1591" s="383"/>
      <c r="I1591" s="383"/>
      <c r="J1591" s="381">
        <f t="shared" si="259"/>
        <v>0</v>
      </c>
      <c r="K1591" s="383"/>
      <c r="L1591" s="383"/>
      <c r="M1591" s="381">
        <f t="shared" si="260"/>
        <v>0</v>
      </c>
      <c r="N1591" s="383"/>
      <c r="O1591" s="383"/>
      <c r="P1591" s="381">
        <f t="shared" si="261"/>
        <v>0</v>
      </c>
      <c r="Q1591" s="383"/>
      <c r="R1591" s="383"/>
      <c r="S1591" s="25">
        <f t="shared" si="262"/>
        <v>0</v>
      </c>
      <c r="T1591" s="383"/>
      <c r="U1591" s="383"/>
      <c r="V1591" s="381">
        <f t="shared" si="263"/>
        <v>0</v>
      </c>
      <c r="W1591" s="383"/>
      <c r="X1591" s="383"/>
      <c r="Y1591" s="381">
        <f t="shared" si="264"/>
        <v>0</v>
      </c>
    </row>
    <row r="1592" spans="2:25" x14ac:dyDescent="0.2">
      <c r="B1592" s="383"/>
      <c r="C1592" s="32"/>
      <c r="D1592" s="381">
        <f t="shared" si="257"/>
        <v>0</v>
      </c>
      <c r="E1592" s="383"/>
      <c r="F1592" s="382"/>
      <c r="G1592" s="381">
        <f t="shared" si="258"/>
        <v>0</v>
      </c>
      <c r="H1592" s="383"/>
      <c r="I1592" s="383"/>
      <c r="J1592" s="381">
        <f t="shared" si="259"/>
        <v>0</v>
      </c>
      <c r="K1592" s="383"/>
      <c r="L1592" s="383"/>
      <c r="M1592" s="381">
        <f t="shared" si="260"/>
        <v>0</v>
      </c>
      <c r="N1592" s="383"/>
      <c r="O1592" s="383"/>
      <c r="P1592" s="381">
        <f t="shared" si="261"/>
        <v>0</v>
      </c>
      <c r="Q1592" s="383"/>
      <c r="R1592" s="383"/>
      <c r="S1592" s="25">
        <f t="shared" si="262"/>
        <v>0</v>
      </c>
      <c r="T1592" s="383"/>
      <c r="U1592" s="383"/>
      <c r="V1592" s="381">
        <f t="shared" si="263"/>
        <v>0</v>
      </c>
      <c r="W1592" s="383"/>
      <c r="X1592" s="383"/>
      <c r="Y1592" s="381">
        <f t="shared" si="264"/>
        <v>0</v>
      </c>
    </row>
    <row r="1593" spans="2:25" x14ac:dyDescent="0.2">
      <c r="B1593" s="383"/>
      <c r="C1593" s="32"/>
      <c r="D1593" s="381">
        <f t="shared" si="257"/>
        <v>0</v>
      </c>
      <c r="E1593" s="383"/>
      <c r="F1593" s="382"/>
      <c r="G1593" s="381">
        <f t="shared" si="258"/>
        <v>0</v>
      </c>
      <c r="H1593" s="383"/>
      <c r="I1593" s="383"/>
      <c r="J1593" s="381">
        <f t="shared" si="259"/>
        <v>0</v>
      </c>
      <c r="K1593" s="383"/>
      <c r="L1593" s="383"/>
      <c r="M1593" s="381">
        <f t="shared" si="260"/>
        <v>0</v>
      </c>
      <c r="N1593" s="383"/>
      <c r="O1593" s="383"/>
      <c r="P1593" s="381">
        <f t="shared" si="261"/>
        <v>0</v>
      </c>
      <c r="Q1593" s="383"/>
      <c r="R1593" s="383"/>
      <c r="S1593" s="25">
        <f t="shared" si="262"/>
        <v>0</v>
      </c>
      <c r="T1593" s="383"/>
      <c r="U1593" s="383"/>
      <c r="V1593" s="381">
        <f t="shared" si="263"/>
        <v>0</v>
      </c>
      <c r="W1593" s="383"/>
      <c r="X1593" s="383"/>
      <c r="Y1593" s="381">
        <f t="shared" si="264"/>
        <v>0</v>
      </c>
    </row>
    <row r="1594" spans="2:25" x14ac:dyDescent="0.2">
      <c r="B1594" s="383"/>
      <c r="C1594" s="32"/>
      <c r="D1594" s="381">
        <f t="shared" si="257"/>
        <v>0</v>
      </c>
      <c r="E1594" s="383"/>
      <c r="F1594" s="382"/>
      <c r="G1594" s="381">
        <f t="shared" si="258"/>
        <v>0</v>
      </c>
      <c r="H1594" s="383"/>
      <c r="I1594" s="383"/>
      <c r="J1594" s="381">
        <f t="shared" si="259"/>
        <v>0</v>
      </c>
      <c r="K1594" s="383"/>
      <c r="L1594" s="383"/>
      <c r="M1594" s="381">
        <f t="shared" si="260"/>
        <v>0</v>
      </c>
      <c r="N1594" s="383"/>
      <c r="O1594" s="383"/>
      <c r="P1594" s="381">
        <f t="shared" si="261"/>
        <v>0</v>
      </c>
      <c r="Q1594" s="383"/>
      <c r="R1594" s="383"/>
      <c r="S1594" s="25">
        <f t="shared" si="262"/>
        <v>0</v>
      </c>
      <c r="T1594" s="383"/>
      <c r="U1594" s="383"/>
      <c r="V1594" s="381">
        <f t="shared" si="263"/>
        <v>0</v>
      </c>
      <c r="W1594" s="383"/>
      <c r="X1594" s="383"/>
      <c r="Y1594" s="381">
        <f t="shared" si="264"/>
        <v>0</v>
      </c>
    </row>
    <row r="1595" spans="2:25" x14ac:dyDescent="0.2">
      <c r="B1595" s="383"/>
      <c r="C1595" s="32"/>
      <c r="D1595" s="381">
        <f t="shared" si="257"/>
        <v>0</v>
      </c>
      <c r="E1595" s="383"/>
      <c r="F1595" s="382"/>
      <c r="G1595" s="381">
        <f t="shared" si="258"/>
        <v>0</v>
      </c>
      <c r="H1595" s="383"/>
      <c r="I1595" s="383"/>
      <c r="J1595" s="381">
        <f t="shared" si="259"/>
        <v>0</v>
      </c>
      <c r="K1595" s="383"/>
      <c r="L1595" s="383"/>
      <c r="M1595" s="381">
        <f t="shared" si="260"/>
        <v>0</v>
      </c>
      <c r="N1595" s="383"/>
      <c r="O1595" s="383"/>
      <c r="P1595" s="381">
        <f t="shared" si="261"/>
        <v>0</v>
      </c>
      <c r="Q1595" s="383"/>
      <c r="R1595" s="383"/>
      <c r="S1595" s="25">
        <f t="shared" si="262"/>
        <v>0</v>
      </c>
      <c r="T1595" s="383"/>
      <c r="U1595" s="383"/>
      <c r="V1595" s="381">
        <f t="shared" si="263"/>
        <v>0</v>
      </c>
      <c r="W1595" s="383"/>
      <c r="X1595" s="383"/>
      <c r="Y1595" s="381">
        <f t="shared" si="264"/>
        <v>0</v>
      </c>
    </row>
    <row r="1596" spans="2:25" x14ac:dyDescent="0.2">
      <c r="B1596" s="383"/>
      <c r="C1596" s="32"/>
      <c r="D1596" s="381">
        <f t="shared" si="257"/>
        <v>0</v>
      </c>
      <c r="E1596" s="383"/>
      <c r="F1596" s="382"/>
      <c r="G1596" s="381">
        <f t="shared" si="258"/>
        <v>0</v>
      </c>
      <c r="H1596" s="383"/>
      <c r="I1596" s="383"/>
      <c r="J1596" s="381">
        <f t="shared" si="259"/>
        <v>0</v>
      </c>
      <c r="K1596" s="383"/>
      <c r="L1596" s="383"/>
      <c r="M1596" s="381">
        <f t="shared" si="260"/>
        <v>0</v>
      </c>
      <c r="N1596" s="383"/>
      <c r="O1596" s="383"/>
      <c r="P1596" s="381">
        <f t="shared" si="261"/>
        <v>0</v>
      </c>
      <c r="Q1596" s="383"/>
      <c r="R1596" s="383"/>
      <c r="S1596" s="25">
        <f t="shared" si="262"/>
        <v>0</v>
      </c>
      <c r="T1596" s="383"/>
      <c r="U1596" s="383"/>
      <c r="V1596" s="381">
        <f t="shared" si="263"/>
        <v>0</v>
      </c>
      <c r="W1596" s="383"/>
      <c r="X1596" s="383"/>
      <c r="Y1596" s="381">
        <f t="shared" si="264"/>
        <v>0</v>
      </c>
    </row>
    <row r="1597" spans="2:25" x14ac:dyDescent="0.2">
      <c r="B1597" s="383"/>
      <c r="C1597" s="32"/>
      <c r="D1597" s="381">
        <f t="shared" si="257"/>
        <v>0</v>
      </c>
      <c r="E1597" s="383"/>
      <c r="F1597" s="382"/>
      <c r="G1597" s="381">
        <f t="shared" si="258"/>
        <v>0</v>
      </c>
      <c r="H1597" s="383"/>
      <c r="I1597" s="383"/>
      <c r="J1597" s="381">
        <f t="shared" si="259"/>
        <v>0</v>
      </c>
      <c r="K1597" s="383"/>
      <c r="L1597" s="383"/>
      <c r="M1597" s="381">
        <f t="shared" si="260"/>
        <v>0</v>
      </c>
      <c r="N1597" s="383"/>
      <c r="O1597" s="383"/>
      <c r="P1597" s="381">
        <f t="shared" si="261"/>
        <v>0</v>
      </c>
      <c r="Q1597" s="383"/>
      <c r="R1597" s="383"/>
      <c r="S1597" s="25">
        <f t="shared" si="262"/>
        <v>0</v>
      </c>
      <c r="T1597" s="383"/>
      <c r="U1597" s="383"/>
      <c r="V1597" s="381">
        <f t="shared" si="263"/>
        <v>0</v>
      </c>
      <c r="W1597" s="383"/>
      <c r="X1597" s="383"/>
      <c r="Y1597" s="381">
        <f t="shared" si="264"/>
        <v>0</v>
      </c>
    </row>
    <row r="1598" spans="2:25" x14ac:dyDescent="0.2">
      <c r="B1598" s="383"/>
      <c r="C1598" s="32"/>
      <c r="D1598" s="381">
        <f t="shared" si="257"/>
        <v>0</v>
      </c>
      <c r="E1598" s="383"/>
      <c r="F1598" s="382"/>
      <c r="G1598" s="381">
        <f t="shared" si="258"/>
        <v>0</v>
      </c>
      <c r="H1598" s="383"/>
      <c r="I1598" s="383"/>
      <c r="J1598" s="381">
        <f t="shared" si="259"/>
        <v>0</v>
      </c>
      <c r="K1598" s="383"/>
      <c r="L1598" s="383"/>
      <c r="M1598" s="381">
        <f t="shared" si="260"/>
        <v>0</v>
      </c>
      <c r="N1598" s="383"/>
      <c r="O1598" s="383"/>
      <c r="P1598" s="381">
        <f t="shared" si="261"/>
        <v>0</v>
      </c>
      <c r="Q1598" s="383"/>
      <c r="R1598" s="383"/>
      <c r="S1598" s="25">
        <f t="shared" si="262"/>
        <v>0</v>
      </c>
      <c r="T1598" s="383"/>
      <c r="U1598" s="383"/>
      <c r="V1598" s="381">
        <f t="shared" si="263"/>
        <v>0</v>
      </c>
      <c r="W1598" s="383"/>
      <c r="X1598" s="383"/>
      <c r="Y1598" s="381">
        <f t="shared" si="264"/>
        <v>0</v>
      </c>
    </row>
    <row r="1599" spans="2:25" x14ac:dyDescent="0.2">
      <c r="B1599" s="383"/>
      <c r="C1599" s="32"/>
      <c r="D1599" s="381">
        <f t="shared" si="257"/>
        <v>0</v>
      </c>
      <c r="E1599" s="383"/>
      <c r="F1599" s="382"/>
      <c r="G1599" s="381">
        <f t="shared" si="258"/>
        <v>0</v>
      </c>
      <c r="H1599" s="383"/>
      <c r="I1599" s="383"/>
      <c r="J1599" s="381">
        <f t="shared" si="259"/>
        <v>0</v>
      </c>
      <c r="K1599" s="383"/>
      <c r="L1599" s="383"/>
      <c r="M1599" s="381">
        <f t="shared" si="260"/>
        <v>0</v>
      </c>
      <c r="N1599" s="383"/>
      <c r="O1599" s="383"/>
      <c r="P1599" s="381">
        <f t="shared" si="261"/>
        <v>0</v>
      </c>
      <c r="Q1599" s="383"/>
      <c r="R1599" s="383"/>
      <c r="S1599" s="25">
        <f t="shared" si="262"/>
        <v>0</v>
      </c>
      <c r="T1599" s="383"/>
      <c r="U1599" s="383"/>
      <c r="V1599" s="381">
        <f t="shared" si="263"/>
        <v>0</v>
      </c>
      <c r="W1599" s="383"/>
      <c r="X1599" s="383"/>
      <c r="Y1599" s="381">
        <f t="shared" si="264"/>
        <v>0</v>
      </c>
    </row>
    <row r="1600" spans="2:25" x14ac:dyDescent="0.2">
      <c r="B1600" s="383"/>
      <c r="C1600" s="32"/>
      <c r="D1600" s="381">
        <f t="shared" si="257"/>
        <v>0</v>
      </c>
      <c r="E1600" s="383"/>
      <c r="F1600" s="382"/>
      <c r="G1600" s="381">
        <f t="shared" si="258"/>
        <v>0</v>
      </c>
      <c r="H1600" s="383"/>
      <c r="I1600" s="383"/>
      <c r="J1600" s="381">
        <f t="shared" si="259"/>
        <v>0</v>
      </c>
      <c r="K1600" s="383"/>
      <c r="L1600" s="383"/>
      <c r="M1600" s="381">
        <f t="shared" si="260"/>
        <v>0</v>
      </c>
      <c r="N1600" s="383"/>
      <c r="O1600" s="383"/>
      <c r="P1600" s="381">
        <f t="shared" si="261"/>
        <v>0</v>
      </c>
      <c r="Q1600" s="383"/>
      <c r="R1600" s="383"/>
      <c r="S1600" s="25">
        <f t="shared" si="262"/>
        <v>0</v>
      </c>
      <c r="T1600" s="383"/>
      <c r="U1600" s="383"/>
      <c r="V1600" s="381">
        <f t="shared" si="263"/>
        <v>0</v>
      </c>
      <c r="W1600" s="383"/>
      <c r="X1600" s="383"/>
      <c r="Y1600" s="381">
        <f t="shared" si="264"/>
        <v>0</v>
      </c>
    </row>
    <row r="1601" spans="2:25" x14ac:dyDescent="0.2">
      <c r="B1601" s="383"/>
      <c r="C1601" s="32"/>
      <c r="D1601" s="381">
        <f t="shared" si="257"/>
        <v>0</v>
      </c>
      <c r="E1601" s="383"/>
      <c r="F1601" s="382"/>
      <c r="G1601" s="381">
        <f t="shared" si="258"/>
        <v>0</v>
      </c>
      <c r="H1601" s="383"/>
      <c r="I1601" s="383"/>
      <c r="J1601" s="381">
        <f t="shared" si="259"/>
        <v>0</v>
      </c>
      <c r="K1601" s="383"/>
      <c r="L1601" s="383"/>
      <c r="M1601" s="381">
        <f t="shared" si="260"/>
        <v>0</v>
      </c>
      <c r="N1601" s="383"/>
      <c r="O1601" s="383"/>
      <c r="P1601" s="381">
        <f t="shared" si="261"/>
        <v>0</v>
      </c>
      <c r="Q1601" s="383"/>
      <c r="R1601" s="383"/>
      <c r="S1601" s="25">
        <f t="shared" si="262"/>
        <v>0</v>
      </c>
      <c r="T1601" s="383"/>
      <c r="U1601" s="383"/>
      <c r="V1601" s="381">
        <f t="shared" si="263"/>
        <v>0</v>
      </c>
      <c r="W1601" s="383"/>
      <c r="X1601" s="383"/>
      <c r="Y1601" s="381">
        <f t="shared" si="264"/>
        <v>0</v>
      </c>
    </row>
    <row r="1602" spans="2:25" x14ac:dyDescent="0.2">
      <c r="B1602" s="383"/>
      <c r="C1602" s="32"/>
      <c r="D1602" s="381">
        <f t="shared" si="257"/>
        <v>0</v>
      </c>
      <c r="E1602" s="383"/>
      <c r="F1602" s="382"/>
      <c r="G1602" s="381">
        <f t="shared" si="258"/>
        <v>0</v>
      </c>
      <c r="H1602" s="383"/>
      <c r="I1602" s="383"/>
      <c r="J1602" s="381">
        <f t="shared" si="259"/>
        <v>0</v>
      </c>
      <c r="K1602" s="383"/>
      <c r="L1602" s="383"/>
      <c r="M1602" s="381">
        <f t="shared" si="260"/>
        <v>0</v>
      </c>
      <c r="N1602" s="383"/>
      <c r="O1602" s="383"/>
      <c r="P1602" s="381">
        <f t="shared" si="261"/>
        <v>0</v>
      </c>
      <c r="Q1602" s="383"/>
      <c r="R1602" s="383"/>
      <c r="S1602" s="25">
        <f t="shared" si="262"/>
        <v>0</v>
      </c>
      <c r="T1602" s="383"/>
      <c r="U1602" s="383"/>
      <c r="V1602" s="381">
        <f t="shared" si="263"/>
        <v>0</v>
      </c>
      <c r="W1602" s="383"/>
      <c r="X1602" s="383"/>
      <c r="Y1602" s="381">
        <f t="shared" si="264"/>
        <v>0</v>
      </c>
    </row>
    <row r="1603" spans="2:25" x14ac:dyDescent="0.2">
      <c r="B1603" s="383"/>
      <c r="C1603" s="32"/>
      <c r="D1603" s="381">
        <f t="shared" si="257"/>
        <v>0</v>
      </c>
      <c r="E1603" s="383"/>
      <c r="F1603" s="382"/>
      <c r="G1603" s="381">
        <f t="shared" si="258"/>
        <v>0</v>
      </c>
      <c r="H1603" s="383"/>
      <c r="I1603" s="383"/>
      <c r="J1603" s="381">
        <f t="shared" si="259"/>
        <v>0</v>
      </c>
      <c r="K1603" s="383"/>
      <c r="L1603" s="383"/>
      <c r="M1603" s="381">
        <f t="shared" si="260"/>
        <v>0</v>
      </c>
      <c r="N1603" s="383"/>
      <c r="O1603" s="383"/>
      <c r="P1603" s="381">
        <f t="shared" si="261"/>
        <v>0</v>
      </c>
      <c r="Q1603" s="383"/>
      <c r="R1603" s="383"/>
      <c r="S1603" s="25">
        <f t="shared" si="262"/>
        <v>0</v>
      </c>
      <c r="T1603" s="383"/>
      <c r="U1603" s="383"/>
      <c r="V1603" s="381">
        <f t="shared" si="263"/>
        <v>0</v>
      </c>
      <c r="W1603" s="383"/>
      <c r="X1603" s="383"/>
      <c r="Y1603" s="381">
        <f t="shared" si="264"/>
        <v>0</v>
      </c>
    </row>
    <row r="1604" spans="2:25" x14ac:dyDescent="0.2">
      <c r="B1604" s="383"/>
      <c r="C1604" s="32"/>
      <c r="D1604" s="381">
        <f t="shared" si="257"/>
        <v>0</v>
      </c>
      <c r="E1604" s="383"/>
      <c r="F1604" s="382"/>
      <c r="G1604" s="381">
        <f t="shared" si="258"/>
        <v>0</v>
      </c>
      <c r="H1604" s="383"/>
      <c r="I1604" s="383"/>
      <c r="J1604" s="381">
        <f t="shared" si="259"/>
        <v>0</v>
      </c>
      <c r="K1604" s="383"/>
      <c r="L1604" s="383"/>
      <c r="M1604" s="381">
        <f t="shared" si="260"/>
        <v>0</v>
      </c>
      <c r="N1604" s="383"/>
      <c r="O1604" s="383"/>
      <c r="P1604" s="381">
        <f t="shared" si="261"/>
        <v>0</v>
      </c>
      <c r="Q1604" s="383"/>
      <c r="R1604" s="383"/>
      <c r="S1604" s="25">
        <f t="shared" si="262"/>
        <v>0</v>
      </c>
      <c r="T1604" s="383"/>
      <c r="U1604" s="383"/>
      <c r="V1604" s="381">
        <f t="shared" si="263"/>
        <v>0</v>
      </c>
      <c r="W1604" s="383"/>
      <c r="X1604" s="383"/>
      <c r="Y1604" s="381">
        <f t="shared" si="264"/>
        <v>0</v>
      </c>
    </row>
    <row r="1605" spans="2:25" x14ac:dyDescent="0.2">
      <c r="B1605" s="383"/>
      <c r="C1605" s="32"/>
      <c r="D1605" s="381">
        <f t="shared" si="257"/>
        <v>0</v>
      </c>
      <c r="E1605" s="383"/>
      <c r="F1605" s="382"/>
      <c r="G1605" s="381">
        <f t="shared" si="258"/>
        <v>0</v>
      </c>
      <c r="H1605" s="383"/>
      <c r="I1605" s="383"/>
      <c r="J1605" s="381">
        <f t="shared" si="259"/>
        <v>0</v>
      </c>
      <c r="K1605" s="383"/>
      <c r="L1605" s="383"/>
      <c r="M1605" s="381">
        <f t="shared" si="260"/>
        <v>0</v>
      </c>
      <c r="N1605" s="383"/>
      <c r="O1605" s="383"/>
      <c r="P1605" s="381">
        <f t="shared" si="261"/>
        <v>0</v>
      </c>
      <c r="Q1605" s="383"/>
      <c r="R1605" s="383"/>
      <c r="S1605" s="25">
        <f t="shared" si="262"/>
        <v>0</v>
      </c>
      <c r="T1605" s="383"/>
      <c r="U1605" s="383"/>
      <c r="V1605" s="381">
        <f t="shared" si="263"/>
        <v>0</v>
      </c>
      <c r="W1605" s="383"/>
      <c r="X1605" s="383"/>
      <c r="Y1605" s="381">
        <f t="shared" si="264"/>
        <v>0</v>
      </c>
    </row>
    <row r="1606" spans="2:25" x14ac:dyDescent="0.2">
      <c r="B1606" s="383"/>
      <c r="C1606" s="32"/>
      <c r="D1606" s="381">
        <f t="shared" si="257"/>
        <v>0</v>
      </c>
      <c r="E1606" s="383"/>
      <c r="F1606" s="382"/>
      <c r="G1606" s="381">
        <f t="shared" si="258"/>
        <v>0</v>
      </c>
      <c r="H1606" s="383"/>
      <c r="I1606" s="383"/>
      <c r="J1606" s="381">
        <f t="shared" si="259"/>
        <v>0</v>
      </c>
      <c r="K1606" s="383"/>
      <c r="L1606" s="383"/>
      <c r="M1606" s="381">
        <f t="shared" si="260"/>
        <v>0</v>
      </c>
      <c r="N1606" s="383"/>
      <c r="O1606" s="383"/>
      <c r="P1606" s="381">
        <f t="shared" si="261"/>
        <v>0</v>
      </c>
      <c r="Q1606" s="383"/>
      <c r="R1606" s="383"/>
      <c r="S1606" s="25">
        <f t="shared" si="262"/>
        <v>0</v>
      </c>
      <c r="T1606" s="383"/>
      <c r="U1606" s="383"/>
      <c r="V1606" s="381">
        <f t="shared" si="263"/>
        <v>0</v>
      </c>
      <c r="W1606" s="383"/>
      <c r="X1606" s="383"/>
      <c r="Y1606" s="381">
        <f t="shared" si="264"/>
        <v>0</v>
      </c>
    </row>
    <row r="1607" spans="2:25" x14ac:dyDescent="0.2">
      <c r="B1607" s="383"/>
      <c r="C1607" s="32"/>
      <c r="D1607" s="381">
        <f t="shared" si="257"/>
        <v>0</v>
      </c>
      <c r="E1607" s="383"/>
      <c r="F1607" s="382"/>
      <c r="G1607" s="381">
        <f t="shared" si="258"/>
        <v>0</v>
      </c>
      <c r="H1607" s="383"/>
      <c r="I1607" s="383"/>
      <c r="J1607" s="381">
        <f t="shared" si="259"/>
        <v>0</v>
      </c>
      <c r="K1607" s="383"/>
      <c r="L1607" s="383"/>
      <c r="M1607" s="381">
        <f t="shared" si="260"/>
        <v>0</v>
      </c>
      <c r="N1607" s="383"/>
      <c r="O1607" s="383"/>
      <c r="P1607" s="381">
        <f t="shared" si="261"/>
        <v>0</v>
      </c>
      <c r="Q1607" s="383"/>
      <c r="R1607" s="383"/>
      <c r="S1607" s="25">
        <f t="shared" si="262"/>
        <v>0</v>
      </c>
      <c r="T1607" s="383"/>
      <c r="U1607" s="383"/>
      <c r="V1607" s="381">
        <f t="shared" si="263"/>
        <v>0</v>
      </c>
      <c r="W1607" s="383"/>
      <c r="X1607" s="383"/>
      <c r="Y1607" s="381">
        <f t="shared" si="264"/>
        <v>0</v>
      </c>
    </row>
    <row r="1608" spans="2:25" x14ac:dyDescent="0.2">
      <c r="B1608" s="383"/>
      <c r="C1608" s="32"/>
      <c r="D1608" s="381">
        <f t="shared" si="257"/>
        <v>0</v>
      </c>
      <c r="E1608" s="383"/>
      <c r="F1608" s="382"/>
      <c r="G1608" s="381">
        <f t="shared" si="258"/>
        <v>0</v>
      </c>
      <c r="H1608" s="383"/>
      <c r="I1608" s="383"/>
      <c r="J1608" s="381">
        <f t="shared" si="259"/>
        <v>0</v>
      </c>
      <c r="K1608" s="383"/>
      <c r="L1608" s="383"/>
      <c r="M1608" s="381">
        <f t="shared" si="260"/>
        <v>0</v>
      </c>
      <c r="N1608" s="383"/>
      <c r="O1608" s="383"/>
      <c r="P1608" s="381">
        <f t="shared" si="261"/>
        <v>0</v>
      </c>
      <c r="Q1608" s="383"/>
      <c r="R1608" s="383"/>
      <c r="S1608" s="25">
        <f t="shared" si="262"/>
        <v>0</v>
      </c>
      <c r="T1608" s="383"/>
      <c r="U1608" s="383"/>
      <c r="V1608" s="381">
        <f t="shared" si="263"/>
        <v>0</v>
      </c>
      <c r="W1608" s="383"/>
      <c r="X1608" s="383"/>
      <c r="Y1608" s="381">
        <f t="shared" si="264"/>
        <v>0</v>
      </c>
    </row>
    <row r="1609" spans="2:25" x14ac:dyDescent="0.2">
      <c r="B1609" s="383"/>
      <c r="C1609" s="32"/>
      <c r="D1609" s="381">
        <f t="shared" si="257"/>
        <v>0</v>
      </c>
      <c r="E1609" s="383"/>
      <c r="F1609" s="382"/>
      <c r="G1609" s="381">
        <f t="shared" si="258"/>
        <v>0</v>
      </c>
      <c r="H1609" s="383"/>
      <c r="I1609" s="383"/>
      <c r="J1609" s="381">
        <f t="shared" si="259"/>
        <v>0</v>
      </c>
      <c r="K1609" s="383"/>
      <c r="L1609" s="383"/>
      <c r="M1609" s="381">
        <f t="shared" si="260"/>
        <v>0</v>
      </c>
      <c r="N1609" s="383"/>
      <c r="O1609" s="383"/>
      <c r="P1609" s="381">
        <f t="shared" si="261"/>
        <v>0</v>
      </c>
      <c r="Q1609" s="383"/>
      <c r="R1609" s="383"/>
      <c r="S1609" s="25">
        <f t="shared" si="262"/>
        <v>0</v>
      </c>
      <c r="T1609" s="383"/>
      <c r="U1609" s="383"/>
      <c r="V1609" s="381">
        <f t="shared" si="263"/>
        <v>0</v>
      </c>
      <c r="W1609" s="383"/>
      <c r="X1609" s="383"/>
      <c r="Y1609" s="381">
        <f t="shared" si="264"/>
        <v>0</v>
      </c>
    </row>
    <row r="1610" spans="2:25" x14ac:dyDescent="0.2">
      <c r="B1610" s="383"/>
      <c r="C1610" s="32"/>
      <c r="D1610" s="381">
        <f t="shared" si="257"/>
        <v>0</v>
      </c>
      <c r="E1610" s="383"/>
      <c r="F1610" s="382"/>
      <c r="G1610" s="381">
        <f t="shared" si="258"/>
        <v>0</v>
      </c>
      <c r="H1610" s="383"/>
      <c r="I1610" s="383"/>
      <c r="J1610" s="381">
        <f t="shared" si="259"/>
        <v>0</v>
      </c>
      <c r="K1610" s="383"/>
      <c r="L1610" s="383"/>
      <c r="M1610" s="381">
        <f t="shared" si="260"/>
        <v>0</v>
      </c>
      <c r="N1610" s="383"/>
      <c r="O1610" s="383"/>
      <c r="P1610" s="381">
        <f t="shared" si="261"/>
        <v>0</v>
      </c>
      <c r="Q1610" s="383"/>
      <c r="R1610" s="383"/>
      <c r="S1610" s="25">
        <f t="shared" si="262"/>
        <v>0</v>
      </c>
      <c r="T1610" s="383"/>
      <c r="U1610" s="383"/>
      <c r="V1610" s="381">
        <f t="shared" si="263"/>
        <v>0</v>
      </c>
      <c r="W1610" s="383"/>
      <c r="X1610" s="383"/>
      <c r="Y1610" s="381">
        <f t="shared" si="264"/>
        <v>0</v>
      </c>
    </row>
    <row r="1611" spans="2:25" x14ac:dyDescent="0.2">
      <c r="B1611" s="383"/>
      <c r="C1611" s="32"/>
      <c r="D1611" s="381">
        <f t="shared" si="257"/>
        <v>0</v>
      </c>
      <c r="E1611" s="383"/>
      <c r="F1611" s="382"/>
      <c r="G1611" s="381">
        <f t="shared" si="258"/>
        <v>0</v>
      </c>
      <c r="H1611" s="383"/>
      <c r="I1611" s="383"/>
      <c r="J1611" s="381">
        <f t="shared" si="259"/>
        <v>0</v>
      </c>
      <c r="K1611" s="383"/>
      <c r="L1611" s="383"/>
      <c r="M1611" s="381">
        <f t="shared" si="260"/>
        <v>0</v>
      </c>
      <c r="N1611" s="383"/>
      <c r="O1611" s="383"/>
      <c r="P1611" s="381">
        <f t="shared" si="261"/>
        <v>0</v>
      </c>
      <c r="Q1611" s="383"/>
      <c r="R1611" s="383"/>
      <c r="S1611" s="25">
        <f t="shared" si="262"/>
        <v>0</v>
      </c>
      <c r="T1611" s="383"/>
      <c r="U1611" s="383"/>
      <c r="V1611" s="381">
        <f t="shared" si="263"/>
        <v>0</v>
      </c>
      <c r="W1611" s="383"/>
      <c r="X1611" s="383"/>
      <c r="Y1611" s="381">
        <f t="shared" si="264"/>
        <v>0</v>
      </c>
    </row>
    <row r="1612" spans="2:25" x14ac:dyDescent="0.2">
      <c r="B1612" s="383"/>
      <c r="C1612" s="32"/>
      <c r="D1612" s="381">
        <f t="shared" si="257"/>
        <v>0</v>
      </c>
      <c r="E1612" s="383"/>
      <c r="F1612" s="382"/>
      <c r="G1612" s="381">
        <f t="shared" si="258"/>
        <v>0</v>
      </c>
      <c r="H1612" s="383"/>
      <c r="I1612" s="383"/>
      <c r="J1612" s="381">
        <f t="shared" si="259"/>
        <v>0</v>
      </c>
      <c r="K1612" s="383"/>
      <c r="L1612" s="383"/>
      <c r="M1612" s="381">
        <f t="shared" si="260"/>
        <v>0</v>
      </c>
      <c r="N1612" s="383"/>
      <c r="O1612" s="383"/>
      <c r="P1612" s="381">
        <f t="shared" si="261"/>
        <v>0</v>
      </c>
      <c r="Q1612" s="383"/>
      <c r="R1612" s="383"/>
      <c r="S1612" s="25">
        <f t="shared" si="262"/>
        <v>0</v>
      </c>
      <c r="T1612" s="383"/>
      <c r="U1612" s="383"/>
      <c r="V1612" s="381">
        <f t="shared" si="263"/>
        <v>0</v>
      </c>
      <c r="W1612" s="383"/>
      <c r="X1612" s="383"/>
      <c r="Y1612" s="381">
        <f t="shared" si="264"/>
        <v>0</v>
      </c>
    </row>
    <row r="1613" spans="2:25" x14ac:dyDescent="0.2">
      <c r="B1613" s="383"/>
      <c r="C1613" s="32"/>
      <c r="D1613" s="381">
        <f t="shared" si="257"/>
        <v>0</v>
      </c>
      <c r="E1613" s="383"/>
      <c r="F1613" s="382"/>
      <c r="G1613" s="381">
        <f t="shared" si="258"/>
        <v>0</v>
      </c>
      <c r="H1613" s="383"/>
      <c r="I1613" s="383"/>
      <c r="J1613" s="381">
        <f t="shared" si="259"/>
        <v>0</v>
      </c>
      <c r="K1613" s="383"/>
      <c r="L1613" s="383"/>
      <c r="M1613" s="381">
        <f t="shared" si="260"/>
        <v>0</v>
      </c>
      <c r="N1613" s="383"/>
      <c r="O1613" s="383"/>
      <c r="P1613" s="381">
        <f t="shared" si="261"/>
        <v>0</v>
      </c>
      <c r="Q1613" s="383"/>
      <c r="R1613" s="383"/>
      <c r="S1613" s="25">
        <f t="shared" si="262"/>
        <v>0</v>
      </c>
      <c r="T1613" s="383"/>
      <c r="U1613" s="383"/>
      <c r="V1613" s="381">
        <f t="shared" si="263"/>
        <v>0</v>
      </c>
      <c r="W1613" s="383"/>
      <c r="X1613" s="383"/>
      <c r="Y1613" s="381">
        <f t="shared" si="264"/>
        <v>0</v>
      </c>
    </row>
    <row r="1614" spans="2:25" x14ac:dyDescent="0.2">
      <c r="B1614" s="383"/>
      <c r="C1614" s="32"/>
      <c r="D1614" s="381">
        <f t="shared" si="257"/>
        <v>0</v>
      </c>
      <c r="E1614" s="383"/>
      <c r="F1614" s="382"/>
      <c r="G1614" s="381">
        <f t="shared" si="258"/>
        <v>0</v>
      </c>
      <c r="H1614" s="383"/>
      <c r="I1614" s="383"/>
      <c r="J1614" s="381">
        <f t="shared" si="259"/>
        <v>0</v>
      </c>
      <c r="K1614" s="383"/>
      <c r="L1614" s="383"/>
      <c r="M1614" s="381">
        <f t="shared" si="260"/>
        <v>0</v>
      </c>
      <c r="N1614" s="383"/>
      <c r="O1614" s="383"/>
      <c r="P1614" s="381">
        <f t="shared" si="261"/>
        <v>0</v>
      </c>
      <c r="Q1614" s="383"/>
      <c r="R1614" s="383"/>
      <c r="S1614" s="25">
        <f t="shared" si="262"/>
        <v>0</v>
      </c>
      <c r="T1614" s="383"/>
      <c r="U1614" s="383"/>
      <c r="V1614" s="381">
        <f t="shared" si="263"/>
        <v>0</v>
      </c>
      <c r="W1614" s="383"/>
      <c r="X1614" s="383"/>
      <c r="Y1614" s="381">
        <f t="shared" si="264"/>
        <v>0</v>
      </c>
    </row>
    <row r="1615" spans="2:25" x14ac:dyDescent="0.2">
      <c r="B1615" s="383"/>
      <c r="C1615" s="32"/>
      <c r="D1615" s="381">
        <f t="shared" si="257"/>
        <v>0</v>
      </c>
      <c r="E1615" s="383"/>
      <c r="F1615" s="382"/>
      <c r="G1615" s="381">
        <f t="shared" si="258"/>
        <v>0</v>
      </c>
      <c r="H1615" s="383"/>
      <c r="I1615" s="383"/>
      <c r="J1615" s="381">
        <f t="shared" si="259"/>
        <v>0</v>
      </c>
      <c r="K1615" s="383"/>
      <c r="L1615" s="383"/>
      <c r="M1615" s="381">
        <f t="shared" si="260"/>
        <v>0</v>
      </c>
      <c r="N1615" s="383"/>
      <c r="O1615" s="383"/>
      <c r="P1615" s="381">
        <f t="shared" si="261"/>
        <v>0</v>
      </c>
      <c r="Q1615" s="383"/>
      <c r="R1615" s="383"/>
      <c r="S1615" s="25">
        <f t="shared" si="262"/>
        <v>0</v>
      </c>
      <c r="T1615" s="383"/>
      <c r="U1615" s="383"/>
      <c r="V1615" s="381">
        <f t="shared" si="263"/>
        <v>0</v>
      </c>
      <c r="W1615" s="383"/>
      <c r="X1615" s="383"/>
      <c r="Y1615" s="381">
        <f t="shared" si="264"/>
        <v>0</v>
      </c>
    </row>
    <row r="1616" spans="2:25" x14ac:dyDescent="0.2">
      <c r="B1616" s="383"/>
      <c r="C1616" s="32"/>
      <c r="D1616" s="381">
        <f t="shared" si="257"/>
        <v>0</v>
      </c>
      <c r="E1616" s="383"/>
      <c r="F1616" s="382"/>
      <c r="G1616" s="381">
        <f t="shared" si="258"/>
        <v>0</v>
      </c>
      <c r="H1616" s="383"/>
      <c r="I1616" s="383"/>
      <c r="J1616" s="381">
        <f t="shared" si="259"/>
        <v>0</v>
      </c>
      <c r="K1616" s="383"/>
      <c r="L1616" s="383"/>
      <c r="M1616" s="381">
        <f t="shared" si="260"/>
        <v>0</v>
      </c>
      <c r="N1616" s="383"/>
      <c r="O1616" s="383"/>
      <c r="P1616" s="381">
        <f t="shared" si="261"/>
        <v>0</v>
      </c>
      <c r="Q1616" s="383"/>
      <c r="R1616" s="383"/>
      <c r="S1616" s="25">
        <f t="shared" si="262"/>
        <v>0</v>
      </c>
      <c r="T1616" s="383"/>
      <c r="U1616" s="383"/>
      <c r="V1616" s="381">
        <f t="shared" si="263"/>
        <v>0</v>
      </c>
      <c r="W1616" s="383"/>
      <c r="X1616" s="383"/>
      <c r="Y1616" s="381">
        <f t="shared" si="264"/>
        <v>0</v>
      </c>
    </row>
    <row r="1617" spans="2:25" x14ac:dyDescent="0.2">
      <c r="B1617" s="383"/>
      <c r="C1617" s="32"/>
      <c r="D1617" s="381">
        <f t="shared" si="257"/>
        <v>0</v>
      </c>
      <c r="E1617" s="383"/>
      <c r="F1617" s="382"/>
      <c r="G1617" s="381">
        <f t="shared" si="258"/>
        <v>0</v>
      </c>
      <c r="H1617" s="383"/>
      <c r="I1617" s="383"/>
      <c r="J1617" s="381">
        <f t="shared" si="259"/>
        <v>0</v>
      </c>
      <c r="K1617" s="383"/>
      <c r="L1617" s="383"/>
      <c r="M1617" s="381">
        <f t="shared" si="260"/>
        <v>0</v>
      </c>
      <c r="N1617" s="383"/>
      <c r="O1617" s="383"/>
      <c r="P1617" s="381">
        <f t="shared" si="261"/>
        <v>0</v>
      </c>
      <c r="Q1617" s="383"/>
      <c r="R1617" s="383"/>
      <c r="S1617" s="25">
        <f t="shared" si="262"/>
        <v>0</v>
      </c>
      <c r="T1617" s="383"/>
      <c r="U1617" s="383"/>
      <c r="V1617" s="381">
        <f t="shared" si="263"/>
        <v>0</v>
      </c>
      <c r="W1617" s="383"/>
      <c r="X1617" s="383"/>
      <c r="Y1617" s="381">
        <f t="shared" si="264"/>
        <v>0</v>
      </c>
    </row>
    <row r="1618" spans="2:25" x14ac:dyDescent="0.2">
      <c r="B1618" s="383"/>
      <c r="C1618" s="32"/>
      <c r="D1618" s="381">
        <f t="shared" ref="D1618:D1681" si="265">C1618</f>
        <v>0</v>
      </c>
      <c r="E1618" s="383"/>
      <c r="F1618" s="382"/>
      <c r="G1618" s="381">
        <f t="shared" ref="G1618:G1681" si="266">F1618+$AB$2</f>
        <v>0</v>
      </c>
      <c r="H1618" s="383"/>
      <c r="I1618" s="383"/>
      <c r="J1618" s="381">
        <f t="shared" ref="J1618:J1681" si="267">I1618+$AB$3</f>
        <v>0</v>
      </c>
      <c r="K1618" s="383"/>
      <c r="L1618" s="383"/>
      <c r="M1618" s="381">
        <f t="shared" ref="M1618:M1681" si="268">L1618+$AB$4</f>
        <v>0</v>
      </c>
      <c r="N1618" s="383"/>
      <c r="O1618" s="383"/>
      <c r="P1618" s="381">
        <f t="shared" ref="P1618:P1681" si="269">O1618+$AB$5</f>
        <v>0</v>
      </c>
      <c r="Q1618" s="383"/>
      <c r="R1618" s="383"/>
      <c r="S1618" s="25">
        <f t="shared" ref="S1618:S1681" si="270">R1618+$AB$6</f>
        <v>0</v>
      </c>
      <c r="T1618" s="383"/>
      <c r="U1618" s="383"/>
      <c r="V1618" s="381">
        <f t="shared" ref="V1618:V1681" si="271">U1618+$AB$7</f>
        <v>0</v>
      </c>
      <c r="W1618" s="383"/>
      <c r="X1618" s="383"/>
      <c r="Y1618" s="381">
        <f t="shared" ref="Y1618:Y1681" si="272">X1618+$AB$8</f>
        <v>0</v>
      </c>
    </row>
    <row r="1619" spans="2:25" x14ac:dyDescent="0.2">
      <c r="B1619" s="383"/>
      <c r="C1619" s="32"/>
      <c r="D1619" s="381">
        <f t="shared" si="265"/>
        <v>0</v>
      </c>
      <c r="E1619" s="383"/>
      <c r="F1619" s="382"/>
      <c r="G1619" s="381">
        <f t="shared" si="266"/>
        <v>0</v>
      </c>
      <c r="H1619" s="383"/>
      <c r="I1619" s="383"/>
      <c r="J1619" s="381">
        <f t="shared" si="267"/>
        <v>0</v>
      </c>
      <c r="K1619" s="383"/>
      <c r="L1619" s="383"/>
      <c r="M1619" s="381">
        <f t="shared" si="268"/>
        <v>0</v>
      </c>
      <c r="N1619" s="383"/>
      <c r="O1619" s="383"/>
      <c r="P1619" s="381">
        <f t="shared" si="269"/>
        <v>0</v>
      </c>
      <c r="Q1619" s="383"/>
      <c r="R1619" s="383"/>
      <c r="S1619" s="25">
        <f t="shared" si="270"/>
        <v>0</v>
      </c>
      <c r="T1619" s="383"/>
      <c r="U1619" s="383"/>
      <c r="V1619" s="381">
        <f t="shared" si="271"/>
        <v>0</v>
      </c>
      <c r="W1619" s="383"/>
      <c r="X1619" s="383"/>
      <c r="Y1619" s="381">
        <f t="shared" si="272"/>
        <v>0</v>
      </c>
    </row>
    <row r="1620" spans="2:25" x14ac:dyDescent="0.2">
      <c r="B1620" s="383"/>
      <c r="C1620" s="32"/>
      <c r="D1620" s="381">
        <f t="shared" si="265"/>
        <v>0</v>
      </c>
      <c r="E1620" s="383"/>
      <c r="F1620" s="382"/>
      <c r="G1620" s="381">
        <f t="shared" si="266"/>
        <v>0</v>
      </c>
      <c r="H1620" s="383"/>
      <c r="I1620" s="383"/>
      <c r="J1620" s="381">
        <f t="shared" si="267"/>
        <v>0</v>
      </c>
      <c r="K1620" s="383"/>
      <c r="L1620" s="383"/>
      <c r="M1620" s="381">
        <f t="shared" si="268"/>
        <v>0</v>
      </c>
      <c r="N1620" s="383"/>
      <c r="O1620" s="383"/>
      <c r="P1620" s="381">
        <f t="shared" si="269"/>
        <v>0</v>
      </c>
      <c r="Q1620" s="383"/>
      <c r="R1620" s="383"/>
      <c r="S1620" s="25">
        <f t="shared" si="270"/>
        <v>0</v>
      </c>
      <c r="T1620" s="383"/>
      <c r="U1620" s="383"/>
      <c r="V1620" s="381">
        <f t="shared" si="271"/>
        <v>0</v>
      </c>
      <c r="W1620" s="383"/>
      <c r="X1620" s="383"/>
      <c r="Y1620" s="381">
        <f t="shared" si="272"/>
        <v>0</v>
      </c>
    </row>
    <row r="1621" spans="2:25" x14ac:dyDescent="0.2">
      <c r="B1621" s="383"/>
      <c r="C1621" s="32"/>
      <c r="D1621" s="381">
        <f t="shared" si="265"/>
        <v>0</v>
      </c>
      <c r="E1621" s="383"/>
      <c r="F1621" s="382"/>
      <c r="G1621" s="381">
        <f t="shared" si="266"/>
        <v>0</v>
      </c>
      <c r="H1621" s="383"/>
      <c r="I1621" s="383"/>
      <c r="J1621" s="381">
        <f t="shared" si="267"/>
        <v>0</v>
      </c>
      <c r="K1621" s="383"/>
      <c r="L1621" s="383"/>
      <c r="M1621" s="381">
        <f t="shared" si="268"/>
        <v>0</v>
      </c>
      <c r="N1621" s="383"/>
      <c r="O1621" s="383"/>
      <c r="P1621" s="381">
        <f t="shared" si="269"/>
        <v>0</v>
      </c>
      <c r="Q1621" s="383"/>
      <c r="R1621" s="383"/>
      <c r="S1621" s="25">
        <f t="shared" si="270"/>
        <v>0</v>
      </c>
      <c r="T1621" s="383"/>
      <c r="U1621" s="383"/>
      <c r="V1621" s="381">
        <f t="shared" si="271"/>
        <v>0</v>
      </c>
      <c r="W1621" s="383"/>
      <c r="X1621" s="383"/>
      <c r="Y1621" s="381">
        <f t="shared" si="272"/>
        <v>0</v>
      </c>
    </row>
    <row r="1622" spans="2:25" x14ac:dyDescent="0.2">
      <c r="B1622" s="383"/>
      <c r="C1622" s="32"/>
      <c r="D1622" s="381">
        <f t="shared" si="265"/>
        <v>0</v>
      </c>
      <c r="E1622" s="383"/>
      <c r="F1622" s="382"/>
      <c r="G1622" s="381">
        <f t="shared" si="266"/>
        <v>0</v>
      </c>
      <c r="H1622" s="383"/>
      <c r="I1622" s="383"/>
      <c r="J1622" s="381">
        <f t="shared" si="267"/>
        <v>0</v>
      </c>
      <c r="K1622" s="383"/>
      <c r="L1622" s="383"/>
      <c r="M1622" s="381">
        <f t="shared" si="268"/>
        <v>0</v>
      </c>
      <c r="N1622" s="383"/>
      <c r="O1622" s="383"/>
      <c r="P1622" s="381">
        <f t="shared" si="269"/>
        <v>0</v>
      </c>
      <c r="Q1622" s="383"/>
      <c r="R1622" s="383"/>
      <c r="S1622" s="25">
        <f t="shared" si="270"/>
        <v>0</v>
      </c>
      <c r="T1622" s="383"/>
      <c r="U1622" s="383"/>
      <c r="V1622" s="381">
        <f t="shared" si="271"/>
        <v>0</v>
      </c>
      <c r="W1622" s="383"/>
      <c r="X1622" s="383"/>
      <c r="Y1622" s="381">
        <f t="shared" si="272"/>
        <v>0</v>
      </c>
    </row>
    <row r="1623" spans="2:25" x14ac:dyDescent="0.2">
      <c r="B1623" s="383"/>
      <c r="C1623" s="32"/>
      <c r="D1623" s="381">
        <f t="shared" si="265"/>
        <v>0</v>
      </c>
      <c r="E1623" s="383"/>
      <c r="F1623" s="382"/>
      <c r="G1623" s="381">
        <f t="shared" si="266"/>
        <v>0</v>
      </c>
      <c r="H1623" s="383"/>
      <c r="I1623" s="383"/>
      <c r="J1623" s="381">
        <f t="shared" si="267"/>
        <v>0</v>
      </c>
      <c r="K1623" s="383"/>
      <c r="L1623" s="383"/>
      <c r="M1623" s="381">
        <f t="shared" si="268"/>
        <v>0</v>
      </c>
      <c r="N1623" s="383"/>
      <c r="O1623" s="383"/>
      <c r="P1623" s="381">
        <f t="shared" si="269"/>
        <v>0</v>
      </c>
      <c r="Q1623" s="383"/>
      <c r="R1623" s="383"/>
      <c r="S1623" s="25">
        <f t="shared" si="270"/>
        <v>0</v>
      </c>
      <c r="T1623" s="383"/>
      <c r="U1623" s="383"/>
      <c r="V1623" s="381">
        <f t="shared" si="271"/>
        <v>0</v>
      </c>
      <c r="W1623" s="383"/>
      <c r="X1623" s="383"/>
      <c r="Y1623" s="381">
        <f t="shared" si="272"/>
        <v>0</v>
      </c>
    </row>
    <row r="1624" spans="2:25" x14ac:dyDescent="0.2">
      <c r="B1624" s="383"/>
      <c r="C1624" s="32"/>
      <c r="D1624" s="381">
        <f t="shared" si="265"/>
        <v>0</v>
      </c>
      <c r="E1624" s="383"/>
      <c r="F1624" s="382"/>
      <c r="G1624" s="381">
        <f t="shared" si="266"/>
        <v>0</v>
      </c>
      <c r="H1624" s="383"/>
      <c r="I1624" s="383"/>
      <c r="J1624" s="381">
        <f t="shared" si="267"/>
        <v>0</v>
      </c>
      <c r="K1624" s="383"/>
      <c r="L1624" s="383"/>
      <c r="M1624" s="381">
        <f t="shared" si="268"/>
        <v>0</v>
      </c>
      <c r="N1624" s="383"/>
      <c r="O1624" s="383"/>
      <c r="P1624" s="381">
        <f t="shared" si="269"/>
        <v>0</v>
      </c>
      <c r="Q1624" s="383"/>
      <c r="R1624" s="383"/>
      <c r="S1624" s="25">
        <f t="shared" si="270"/>
        <v>0</v>
      </c>
      <c r="T1624" s="383"/>
      <c r="U1624" s="383"/>
      <c r="V1624" s="381">
        <f t="shared" si="271"/>
        <v>0</v>
      </c>
      <c r="W1624" s="383"/>
      <c r="X1624" s="383"/>
      <c r="Y1624" s="381">
        <f t="shared" si="272"/>
        <v>0</v>
      </c>
    </row>
    <row r="1625" spans="2:25" x14ac:dyDescent="0.2">
      <c r="B1625" s="383"/>
      <c r="C1625" s="32"/>
      <c r="D1625" s="381">
        <f t="shared" si="265"/>
        <v>0</v>
      </c>
      <c r="E1625" s="383"/>
      <c r="F1625" s="382"/>
      <c r="G1625" s="381">
        <f t="shared" si="266"/>
        <v>0</v>
      </c>
      <c r="H1625" s="383"/>
      <c r="I1625" s="383"/>
      <c r="J1625" s="381">
        <f t="shared" si="267"/>
        <v>0</v>
      </c>
      <c r="K1625" s="383"/>
      <c r="L1625" s="383"/>
      <c r="M1625" s="381">
        <f t="shared" si="268"/>
        <v>0</v>
      </c>
      <c r="N1625" s="383"/>
      <c r="O1625" s="383"/>
      <c r="P1625" s="381">
        <f t="shared" si="269"/>
        <v>0</v>
      </c>
      <c r="Q1625" s="383"/>
      <c r="R1625" s="383"/>
      <c r="S1625" s="25">
        <f t="shared" si="270"/>
        <v>0</v>
      </c>
      <c r="T1625" s="383"/>
      <c r="U1625" s="383"/>
      <c r="V1625" s="381">
        <f t="shared" si="271"/>
        <v>0</v>
      </c>
      <c r="W1625" s="383"/>
      <c r="X1625" s="383"/>
      <c r="Y1625" s="381">
        <f t="shared" si="272"/>
        <v>0</v>
      </c>
    </row>
    <row r="1626" spans="2:25" x14ac:dyDescent="0.2">
      <c r="B1626" s="383"/>
      <c r="C1626" s="32"/>
      <c r="D1626" s="381">
        <f t="shared" si="265"/>
        <v>0</v>
      </c>
      <c r="E1626" s="383"/>
      <c r="F1626" s="382"/>
      <c r="G1626" s="381">
        <f t="shared" si="266"/>
        <v>0</v>
      </c>
      <c r="H1626" s="383"/>
      <c r="I1626" s="383"/>
      <c r="J1626" s="381">
        <f t="shared" si="267"/>
        <v>0</v>
      </c>
      <c r="K1626" s="383"/>
      <c r="L1626" s="383"/>
      <c r="M1626" s="381">
        <f t="shared" si="268"/>
        <v>0</v>
      </c>
      <c r="N1626" s="383"/>
      <c r="O1626" s="383"/>
      <c r="P1626" s="381">
        <f t="shared" si="269"/>
        <v>0</v>
      </c>
      <c r="Q1626" s="383"/>
      <c r="R1626" s="383"/>
      <c r="S1626" s="25">
        <f t="shared" si="270"/>
        <v>0</v>
      </c>
      <c r="T1626" s="383"/>
      <c r="U1626" s="383"/>
      <c r="V1626" s="381">
        <f t="shared" si="271"/>
        <v>0</v>
      </c>
      <c r="W1626" s="383"/>
      <c r="X1626" s="383"/>
      <c r="Y1626" s="381">
        <f t="shared" si="272"/>
        <v>0</v>
      </c>
    </row>
    <row r="1627" spans="2:25" x14ac:dyDescent="0.2">
      <c r="B1627" s="383"/>
      <c r="C1627" s="32"/>
      <c r="D1627" s="381">
        <f t="shared" si="265"/>
        <v>0</v>
      </c>
      <c r="E1627" s="383"/>
      <c r="F1627" s="382"/>
      <c r="G1627" s="381">
        <f t="shared" si="266"/>
        <v>0</v>
      </c>
      <c r="H1627" s="383"/>
      <c r="I1627" s="383"/>
      <c r="J1627" s="381">
        <f t="shared" si="267"/>
        <v>0</v>
      </c>
      <c r="K1627" s="383"/>
      <c r="L1627" s="383"/>
      <c r="M1627" s="381">
        <f t="shared" si="268"/>
        <v>0</v>
      </c>
      <c r="N1627" s="383"/>
      <c r="O1627" s="383"/>
      <c r="P1627" s="381">
        <f t="shared" si="269"/>
        <v>0</v>
      </c>
      <c r="Q1627" s="383"/>
      <c r="R1627" s="383"/>
      <c r="S1627" s="25">
        <f t="shared" si="270"/>
        <v>0</v>
      </c>
      <c r="T1627" s="383"/>
      <c r="U1627" s="383"/>
      <c r="V1627" s="381">
        <f t="shared" si="271"/>
        <v>0</v>
      </c>
      <c r="W1627" s="383"/>
      <c r="X1627" s="383"/>
      <c r="Y1627" s="381">
        <f t="shared" si="272"/>
        <v>0</v>
      </c>
    </row>
    <row r="1628" spans="2:25" x14ac:dyDescent="0.2">
      <c r="B1628" s="383"/>
      <c r="C1628" s="32"/>
      <c r="D1628" s="381">
        <f t="shared" si="265"/>
        <v>0</v>
      </c>
      <c r="E1628" s="383"/>
      <c r="F1628" s="382"/>
      <c r="G1628" s="381">
        <f t="shared" si="266"/>
        <v>0</v>
      </c>
      <c r="H1628" s="383"/>
      <c r="I1628" s="383"/>
      <c r="J1628" s="381">
        <f t="shared" si="267"/>
        <v>0</v>
      </c>
      <c r="K1628" s="383"/>
      <c r="L1628" s="383"/>
      <c r="M1628" s="381">
        <f t="shared" si="268"/>
        <v>0</v>
      </c>
      <c r="N1628" s="383"/>
      <c r="O1628" s="383"/>
      <c r="P1628" s="381">
        <f t="shared" si="269"/>
        <v>0</v>
      </c>
      <c r="Q1628" s="383"/>
      <c r="R1628" s="383"/>
      <c r="S1628" s="25">
        <f t="shared" si="270"/>
        <v>0</v>
      </c>
      <c r="T1628" s="383"/>
      <c r="U1628" s="383"/>
      <c r="V1628" s="381">
        <f t="shared" si="271"/>
        <v>0</v>
      </c>
      <c r="W1628" s="383"/>
      <c r="X1628" s="383"/>
      <c r="Y1628" s="381">
        <f t="shared" si="272"/>
        <v>0</v>
      </c>
    </row>
    <row r="1629" spans="2:25" x14ac:dyDescent="0.2">
      <c r="B1629" s="383"/>
      <c r="C1629" s="32"/>
      <c r="D1629" s="381">
        <f t="shared" si="265"/>
        <v>0</v>
      </c>
      <c r="E1629" s="383"/>
      <c r="F1629" s="382"/>
      <c r="G1629" s="381">
        <f t="shared" si="266"/>
        <v>0</v>
      </c>
      <c r="H1629" s="383"/>
      <c r="I1629" s="383"/>
      <c r="J1629" s="381">
        <f t="shared" si="267"/>
        <v>0</v>
      </c>
      <c r="K1629" s="383"/>
      <c r="L1629" s="383"/>
      <c r="M1629" s="381">
        <f t="shared" si="268"/>
        <v>0</v>
      </c>
      <c r="N1629" s="383"/>
      <c r="O1629" s="383"/>
      <c r="P1629" s="381">
        <f t="shared" si="269"/>
        <v>0</v>
      </c>
      <c r="Q1629" s="383"/>
      <c r="R1629" s="383"/>
      <c r="S1629" s="25">
        <f t="shared" si="270"/>
        <v>0</v>
      </c>
      <c r="T1629" s="383"/>
      <c r="U1629" s="383"/>
      <c r="V1629" s="381">
        <f t="shared" si="271"/>
        <v>0</v>
      </c>
      <c r="W1629" s="383"/>
      <c r="X1629" s="383"/>
      <c r="Y1629" s="381">
        <f t="shared" si="272"/>
        <v>0</v>
      </c>
    </row>
    <row r="1630" spans="2:25" x14ac:dyDescent="0.2">
      <c r="B1630" s="383"/>
      <c r="C1630" s="32"/>
      <c r="D1630" s="381">
        <f t="shared" si="265"/>
        <v>0</v>
      </c>
      <c r="E1630" s="383"/>
      <c r="F1630" s="382"/>
      <c r="G1630" s="381">
        <f t="shared" si="266"/>
        <v>0</v>
      </c>
      <c r="H1630" s="383"/>
      <c r="I1630" s="383"/>
      <c r="J1630" s="381">
        <f t="shared" si="267"/>
        <v>0</v>
      </c>
      <c r="K1630" s="383"/>
      <c r="L1630" s="383"/>
      <c r="M1630" s="381">
        <f t="shared" si="268"/>
        <v>0</v>
      </c>
      <c r="N1630" s="383"/>
      <c r="O1630" s="383"/>
      <c r="P1630" s="381">
        <f t="shared" si="269"/>
        <v>0</v>
      </c>
      <c r="Q1630" s="383"/>
      <c r="R1630" s="383"/>
      <c r="S1630" s="25">
        <f t="shared" si="270"/>
        <v>0</v>
      </c>
      <c r="T1630" s="383"/>
      <c r="U1630" s="383"/>
      <c r="V1630" s="381">
        <f t="shared" si="271"/>
        <v>0</v>
      </c>
      <c r="W1630" s="383"/>
      <c r="X1630" s="383"/>
      <c r="Y1630" s="381">
        <f t="shared" si="272"/>
        <v>0</v>
      </c>
    </row>
    <row r="1631" spans="2:25" x14ac:dyDescent="0.2">
      <c r="B1631" s="383"/>
      <c r="C1631" s="32"/>
      <c r="D1631" s="381">
        <f t="shared" si="265"/>
        <v>0</v>
      </c>
      <c r="E1631" s="383"/>
      <c r="F1631" s="382"/>
      <c r="G1631" s="381">
        <f t="shared" si="266"/>
        <v>0</v>
      </c>
      <c r="H1631" s="383"/>
      <c r="I1631" s="383"/>
      <c r="J1631" s="381">
        <f t="shared" si="267"/>
        <v>0</v>
      </c>
      <c r="K1631" s="383"/>
      <c r="L1631" s="383"/>
      <c r="M1631" s="381">
        <f t="shared" si="268"/>
        <v>0</v>
      </c>
      <c r="N1631" s="383"/>
      <c r="O1631" s="383"/>
      <c r="P1631" s="381">
        <f t="shared" si="269"/>
        <v>0</v>
      </c>
      <c r="Q1631" s="383"/>
      <c r="R1631" s="383"/>
      <c r="S1631" s="25">
        <f t="shared" si="270"/>
        <v>0</v>
      </c>
      <c r="T1631" s="383"/>
      <c r="U1631" s="383"/>
      <c r="V1631" s="381">
        <f t="shared" si="271"/>
        <v>0</v>
      </c>
      <c r="W1631" s="383"/>
      <c r="X1631" s="383"/>
      <c r="Y1631" s="381">
        <f t="shared" si="272"/>
        <v>0</v>
      </c>
    </row>
    <row r="1632" spans="2:25" x14ac:dyDescent="0.2">
      <c r="B1632" s="383"/>
      <c r="C1632" s="32"/>
      <c r="D1632" s="381">
        <f t="shared" si="265"/>
        <v>0</v>
      </c>
      <c r="E1632" s="383"/>
      <c r="F1632" s="382"/>
      <c r="G1632" s="381">
        <f t="shared" si="266"/>
        <v>0</v>
      </c>
      <c r="H1632" s="383"/>
      <c r="I1632" s="383"/>
      <c r="J1632" s="381">
        <f t="shared" si="267"/>
        <v>0</v>
      </c>
      <c r="K1632" s="383"/>
      <c r="L1632" s="383"/>
      <c r="M1632" s="381">
        <f t="shared" si="268"/>
        <v>0</v>
      </c>
      <c r="N1632" s="383"/>
      <c r="O1632" s="383"/>
      <c r="P1632" s="381">
        <f t="shared" si="269"/>
        <v>0</v>
      </c>
      <c r="Q1632" s="383"/>
      <c r="R1632" s="383"/>
      <c r="S1632" s="25">
        <f t="shared" si="270"/>
        <v>0</v>
      </c>
      <c r="T1632" s="383"/>
      <c r="U1632" s="383"/>
      <c r="V1632" s="381">
        <f t="shared" si="271"/>
        <v>0</v>
      </c>
      <c r="W1632" s="383"/>
      <c r="X1632" s="383"/>
      <c r="Y1632" s="381">
        <f t="shared" si="272"/>
        <v>0</v>
      </c>
    </row>
    <row r="1633" spans="2:25" x14ac:dyDescent="0.2">
      <c r="B1633" s="383"/>
      <c r="C1633" s="32"/>
      <c r="D1633" s="381">
        <f t="shared" si="265"/>
        <v>0</v>
      </c>
      <c r="E1633" s="383"/>
      <c r="F1633" s="382"/>
      <c r="G1633" s="381">
        <f t="shared" si="266"/>
        <v>0</v>
      </c>
      <c r="H1633" s="383"/>
      <c r="I1633" s="383"/>
      <c r="J1633" s="381">
        <f t="shared" si="267"/>
        <v>0</v>
      </c>
      <c r="K1633" s="383"/>
      <c r="L1633" s="383"/>
      <c r="M1633" s="381">
        <f t="shared" si="268"/>
        <v>0</v>
      </c>
      <c r="N1633" s="383"/>
      <c r="O1633" s="383"/>
      <c r="P1633" s="381">
        <f t="shared" si="269"/>
        <v>0</v>
      </c>
      <c r="Q1633" s="383"/>
      <c r="R1633" s="383"/>
      <c r="S1633" s="25">
        <f t="shared" si="270"/>
        <v>0</v>
      </c>
      <c r="T1633" s="383"/>
      <c r="U1633" s="383"/>
      <c r="V1633" s="381">
        <f t="shared" si="271"/>
        <v>0</v>
      </c>
      <c r="W1633" s="383"/>
      <c r="X1633" s="383"/>
      <c r="Y1633" s="381">
        <f t="shared" si="272"/>
        <v>0</v>
      </c>
    </row>
    <row r="1634" spans="2:25" x14ac:dyDescent="0.2">
      <c r="B1634" s="383"/>
      <c r="C1634" s="32"/>
      <c r="D1634" s="381">
        <f t="shared" si="265"/>
        <v>0</v>
      </c>
      <c r="E1634" s="383"/>
      <c r="F1634" s="382"/>
      <c r="G1634" s="381">
        <f t="shared" si="266"/>
        <v>0</v>
      </c>
      <c r="H1634" s="383"/>
      <c r="I1634" s="383"/>
      <c r="J1634" s="381">
        <f t="shared" si="267"/>
        <v>0</v>
      </c>
      <c r="K1634" s="383"/>
      <c r="L1634" s="383"/>
      <c r="M1634" s="381">
        <f t="shared" si="268"/>
        <v>0</v>
      </c>
      <c r="N1634" s="383"/>
      <c r="O1634" s="383"/>
      <c r="P1634" s="381">
        <f t="shared" si="269"/>
        <v>0</v>
      </c>
      <c r="Q1634" s="383"/>
      <c r="R1634" s="383"/>
      <c r="S1634" s="25">
        <f t="shared" si="270"/>
        <v>0</v>
      </c>
      <c r="T1634" s="383"/>
      <c r="U1634" s="383"/>
      <c r="V1634" s="381">
        <f t="shared" si="271"/>
        <v>0</v>
      </c>
      <c r="W1634" s="383"/>
      <c r="X1634" s="383"/>
      <c r="Y1634" s="381">
        <f t="shared" si="272"/>
        <v>0</v>
      </c>
    </row>
    <row r="1635" spans="2:25" x14ac:dyDescent="0.2">
      <c r="B1635" s="383"/>
      <c r="C1635" s="32"/>
      <c r="D1635" s="381">
        <f t="shared" si="265"/>
        <v>0</v>
      </c>
      <c r="E1635" s="383"/>
      <c r="F1635" s="382"/>
      <c r="G1635" s="381">
        <f t="shared" si="266"/>
        <v>0</v>
      </c>
      <c r="H1635" s="383"/>
      <c r="I1635" s="383"/>
      <c r="J1635" s="381">
        <f t="shared" si="267"/>
        <v>0</v>
      </c>
      <c r="K1635" s="383"/>
      <c r="L1635" s="383"/>
      <c r="M1635" s="381">
        <f t="shared" si="268"/>
        <v>0</v>
      </c>
      <c r="N1635" s="383"/>
      <c r="O1635" s="383"/>
      <c r="P1635" s="381">
        <f t="shared" si="269"/>
        <v>0</v>
      </c>
      <c r="Q1635" s="383"/>
      <c r="R1635" s="383"/>
      <c r="S1635" s="25">
        <f t="shared" si="270"/>
        <v>0</v>
      </c>
      <c r="T1635" s="383"/>
      <c r="U1635" s="383"/>
      <c r="V1635" s="381">
        <f t="shared" si="271"/>
        <v>0</v>
      </c>
      <c r="W1635" s="383"/>
      <c r="X1635" s="383"/>
      <c r="Y1635" s="381">
        <f t="shared" si="272"/>
        <v>0</v>
      </c>
    </row>
    <row r="1636" spans="2:25" x14ac:dyDescent="0.2">
      <c r="B1636" s="383"/>
      <c r="C1636" s="32"/>
      <c r="D1636" s="381">
        <f t="shared" si="265"/>
        <v>0</v>
      </c>
      <c r="E1636" s="383"/>
      <c r="F1636" s="382"/>
      <c r="G1636" s="381">
        <f t="shared" si="266"/>
        <v>0</v>
      </c>
      <c r="H1636" s="383"/>
      <c r="I1636" s="383"/>
      <c r="J1636" s="381">
        <f t="shared" si="267"/>
        <v>0</v>
      </c>
      <c r="K1636" s="383"/>
      <c r="L1636" s="383"/>
      <c r="M1636" s="381">
        <f t="shared" si="268"/>
        <v>0</v>
      </c>
      <c r="N1636" s="383"/>
      <c r="O1636" s="383"/>
      <c r="P1636" s="381">
        <f t="shared" si="269"/>
        <v>0</v>
      </c>
      <c r="Q1636" s="383"/>
      <c r="R1636" s="383"/>
      <c r="S1636" s="25">
        <f t="shared" si="270"/>
        <v>0</v>
      </c>
      <c r="T1636" s="383"/>
      <c r="U1636" s="383"/>
      <c r="V1636" s="381">
        <f t="shared" si="271"/>
        <v>0</v>
      </c>
      <c r="W1636" s="383"/>
      <c r="X1636" s="383"/>
      <c r="Y1636" s="381">
        <f t="shared" si="272"/>
        <v>0</v>
      </c>
    </row>
    <row r="1637" spans="2:25" x14ac:dyDescent="0.2">
      <c r="B1637" s="383"/>
      <c r="C1637" s="32"/>
      <c r="D1637" s="381">
        <f t="shared" si="265"/>
        <v>0</v>
      </c>
      <c r="E1637" s="383"/>
      <c r="F1637" s="382"/>
      <c r="G1637" s="381">
        <f t="shared" si="266"/>
        <v>0</v>
      </c>
      <c r="H1637" s="383"/>
      <c r="I1637" s="383"/>
      <c r="J1637" s="381">
        <f t="shared" si="267"/>
        <v>0</v>
      </c>
      <c r="K1637" s="383"/>
      <c r="L1637" s="383"/>
      <c r="M1637" s="381">
        <f t="shared" si="268"/>
        <v>0</v>
      </c>
      <c r="N1637" s="383"/>
      <c r="O1637" s="383"/>
      <c r="P1637" s="381">
        <f t="shared" si="269"/>
        <v>0</v>
      </c>
      <c r="Q1637" s="383"/>
      <c r="R1637" s="383"/>
      <c r="S1637" s="25">
        <f t="shared" si="270"/>
        <v>0</v>
      </c>
      <c r="T1637" s="383"/>
      <c r="U1637" s="383"/>
      <c r="V1637" s="381">
        <f t="shared" si="271"/>
        <v>0</v>
      </c>
      <c r="W1637" s="383"/>
      <c r="X1637" s="383"/>
      <c r="Y1637" s="381">
        <f t="shared" si="272"/>
        <v>0</v>
      </c>
    </row>
    <row r="1638" spans="2:25" x14ac:dyDescent="0.2">
      <c r="B1638" s="383"/>
      <c r="C1638" s="32"/>
      <c r="D1638" s="381">
        <f t="shared" si="265"/>
        <v>0</v>
      </c>
      <c r="E1638" s="383"/>
      <c r="F1638" s="382"/>
      <c r="G1638" s="381">
        <f t="shared" si="266"/>
        <v>0</v>
      </c>
      <c r="H1638" s="383"/>
      <c r="I1638" s="383"/>
      <c r="J1638" s="381">
        <f t="shared" si="267"/>
        <v>0</v>
      </c>
      <c r="K1638" s="383"/>
      <c r="L1638" s="383"/>
      <c r="M1638" s="381">
        <f t="shared" si="268"/>
        <v>0</v>
      </c>
      <c r="N1638" s="383"/>
      <c r="O1638" s="383"/>
      <c r="P1638" s="381">
        <f t="shared" si="269"/>
        <v>0</v>
      </c>
      <c r="Q1638" s="383"/>
      <c r="R1638" s="383"/>
      <c r="S1638" s="25">
        <f t="shared" si="270"/>
        <v>0</v>
      </c>
      <c r="T1638" s="383"/>
      <c r="U1638" s="383"/>
      <c r="V1638" s="381">
        <f t="shared" si="271"/>
        <v>0</v>
      </c>
      <c r="W1638" s="383"/>
      <c r="X1638" s="383"/>
      <c r="Y1638" s="381">
        <f t="shared" si="272"/>
        <v>0</v>
      </c>
    </row>
    <row r="1639" spans="2:25" x14ac:dyDescent="0.2">
      <c r="B1639" s="383"/>
      <c r="C1639" s="32"/>
      <c r="D1639" s="381">
        <f t="shared" si="265"/>
        <v>0</v>
      </c>
      <c r="E1639" s="383"/>
      <c r="F1639" s="382"/>
      <c r="G1639" s="381">
        <f t="shared" si="266"/>
        <v>0</v>
      </c>
      <c r="H1639" s="383"/>
      <c r="I1639" s="383"/>
      <c r="J1639" s="381">
        <f t="shared" si="267"/>
        <v>0</v>
      </c>
      <c r="K1639" s="383"/>
      <c r="L1639" s="383"/>
      <c r="M1639" s="381">
        <f t="shared" si="268"/>
        <v>0</v>
      </c>
      <c r="N1639" s="383"/>
      <c r="O1639" s="383"/>
      <c r="P1639" s="381">
        <f t="shared" si="269"/>
        <v>0</v>
      </c>
      <c r="Q1639" s="383"/>
      <c r="R1639" s="383"/>
      <c r="S1639" s="25">
        <f t="shared" si="270"/>
        <v>0</v>
      </c>
      <c r="T1639" s="383"/>
      <c r="U1639" s="383"/>
      <c r="V1639" s="381">
        <f t="shared" si="271"/>
        <v>0</v>
      </c>
      <c r="W1639" s="383"/>
      <c r="X1639" s="383"/>
      <c r="Y1639" s="381">
        <f t="shared" si="272"/>
        <v>0</v>
      </c>
    </row>
    <row r="1640" spans="2:25" x14ac:dyDescent="0.2">
      <c r="B1640" s="383"/>
      <c r="C1640" s="32"/>
      <c r="D1640" s="381">
        <f t="shared" si="265"/>
        <v>0</v>
      </c>
      <c r="E1640" s="383"/>
      <c r="F1640" s="382"/>
      <c r="G1640" s="381">
        <f t="shared" si="266"/>
        <v>0</v>
      </c>
      <c r="H1640" s="383"/>
      <c r="I1640" s="383"/>
      <c r="J1640" s="381">
        <f t="shared" si="267"/>
        <v>0</v>
      </c>
      <c r="K1640" s="383"/>
      <c r="L1640" s="383"/>
      <c r="M1640" s="381">
        <f t="shared" si="268"/>
        <v>0</v>
      </c>
      <c r="N1640" s="383"/>
      <c r="O1640" s="383"/>
      <c r="P1640" s="381">
        <f t="shared" si="269"/>
        <v>0</v>
      </c>
      <c r="Q1640" s="383"/>
      <c r="R1640" s="383"/>
      <c r="S1640" s="25">
        <f t="shared" si="270"/>
        <v>0</v>
      </c>
      <c r="T1640" s="383"/>
      <c r="U1640" s="383"/>
      <c r="V1640" s="381">
        <f t="shared" si="271"/>
        <v>0</v>
      </c>
      <c r="W1640" s="383"/>
      <c r="X1640" s="383"/>
      <c r="Y1640" s="381">
        <f t="shared" si="272"/>
        <v>0</v>
      </c>
    </row>
    <row r="1641" spans="2:25" x14ac:dyDescent="0.2">
      <c r="B1641" s="383"/>
      <c r="C1641" s="32"/>
      <c r="D1641" s="381">
        <f t="shared" si="265"/>
        <v>0</v>
      </c>
      <c r="E1641" s="383"/>
      <c r="F1641" s="382"/>
      <c r="G1641" s="381">
        <f t="shared" si="266"/>
        <v>0</v>
      </c>
      <c r="H1641" s="383"/>
      <c r="I1641" s="383"/>
      <c r="J1641" s="381">
        <f t="shared" si="267"/>
        <v>0</v>
      </c>
      <c r="K1641" s="383"/>
      <c r="L1641" s="383"/>
      <c r="M1641" s="381">
        <f t="shared" si="268"/>
        <v>0</v>
      </c>
      <c r="N1641" s="383"/>
      <c r="O1641" s="383"/>
      <c r="P1641" s="381">
        <f t="shared" si="269"/>
        <v>0</v>
      </c>
      <c r="Q1641" s="383"/>
      <c r="R1641" s="383"/>
      <c r="S1641" s="25">
        <f t="shared" si="270"/>
        <v>0</v>
      </c>
      <c r="T1641" s="383"/>
      <c r="U1641" s="383"/>
      <c r="V1641" s="381">
        <f t="shared" si="271"/>
        <v>0</v>
      </c>
      <c r="W1641" s="383"/>
      <c r="X1641" s="383"/>
      <c r="Y1641" s="381">
        <f t="shared" si="272"/>
        <v>0</v>
      </c>
    </row>
    <row r="1642" spans="2:25" x14ac:dyDescent="0.2">
      <c r="B1642" s="383"/>
      <c r="C1642" s="32"/>
      <c r="D1642" s="381">
        <f t="shared" si="265"/>
        <v>0</v>
      </c>
      <c r="E1642" s="383"/>
      <c r="F1642" s="382"/>
      <c r="G1642" s="381">
        <f t="shared" si="266"/>
        <v>0</v>
      </c>
      <c r="H1642" s="383"/>
      <c r="I1642" s="383"/>
      <c r="J1642" s="381">
        <f t="shared" si="267"/>
        <v>0</v>
      </c>
      <c r="K1642" s="383"/>
      <c r="L1642" s="383"/>
      <c r="M1642" s="381">
        <f t="shared" si="268"/>
        <v>0</v>
      </c>
      <c r="N1642" s="383"/>
      <c r="O1642" s="383"/>
      <c r="P1642" s="381">
        <f t="shared" si="269"/>
        <v>0</v>
      </c>
      <c r="Q1642" s="383"/>
      <c r="R1642" s="383"/>
      <c r="S1642" s="25">
        <f t="shared" si="270"/>
        <v>0</v>
      </c>
      <c r="T1642" s="383"/>
      <c r="U1642" s="383"/>
      <c r="V1642" s="381">
        <f t="shared" si="271"/>
        <v>0</v>
      </c>
      <c r="W1642" s="383"/>
      <c r="X1642" s="383"/>
      <c r="Y1642" s="381">
        <f t="shared" si="272"/>
        <v>0</v>
      </c>
    </row>
    <row r="1643" spans="2:25" x14ac:dyDescent="0.2">
      <c r="B1643" s="383"/>
      <c r="C1643" s="32"/>
      <c r="D1643" s="381">
        <f t="shared" si="265"/>
        <v>0</v>
      </c>
      <c r="E1643" s="383"/>
      <c r="F1643" s="382"/>
      <c r="G1643" s="381">
        <f t="shared" si="266"/>
        <v>0</v>
      </c>
      <c r="H1643" s="383"/>
      <c r="I1643" s="383"/>
      <c r="J1643" s="381">
        <f t="shared" si="267"/>
        <v>0</v>
      </c>
      <c r="K1643" s="383"/>
      <c r="L1643" s="383"/>
      <c r="M1643" s="381">
        <f t="shared" si="268"/>
        <v>0</v>
      </c>
      <c r="N1643" s="383"/>
      <c r="O1643" s="383"/>
      <c r="P1643" s="381">
        <f t="shared" si="269"/>
        <v>0</v>
      </c>
      <c r="Q1643" s="383"/>
      <c r="R1643" s="383"/>
      <c r="S1643" s="25">
        <f t="shared" si="270"/>
        <v>0</v>
      </c>
      <c r="T1643" s="383"/>
      <c r="U1643" s="383"/>
      <c r="V1643" s="381">
        <f t="shared" si="271"/>
        <v>0</v>
      </c>
      <c r="W1643" s="383"/>
      <c r="X1643" s="383"/>
      <c r="Y1643" s="381">
        <f t="shared" si="272"/>
        <v>0</v>
      </c>
    </row>
    <row r="1644" spans="2:25" x14ac:dyDescent="0.2">
      <c r="B1644" s="383"/>
      <c r="C1644" s="32"/>
      <c r="D1644" s="381">
        <f t="shared" si="265"/>
        <v>0</v>
      </c>
      <c r="E1644" s="383"/>
      <c r="F1644" s="382"/>
      <c r="G1644" s="381">
        <f t="shared" si="266"/>
        <v>0</v>
      </c>
      <c r="H1644" s="383"/>
      <c r="I1644" s="383"/>
      <c r="J1644" s="381">
        <f t="shared" si="267"/>
        <v>0</v>
      </c>
      <c r="K1644" s="383"/>
      <c r="L1644" s="383"/>
      <c r="M1644" s="381">
        <f t="shared" si="268"/>
        <v>0</v>
      </c>
      <c r="N1644" s="383"/>
      <c r="O1644" s="383"/>
      <c r="P1644" s="381">
        <f t="shared" si="269"/>
        <v>0</v>
      </c>
      <c r="Q1644" s="383"/>
      <c r="R1644" s="383"/>
      <c r="S1644" s="25">
        <f t="shared" si="270"/>
        <v>0</v>
      </c>
      <c r="T1644" s="383"/>
      <c r="U1644" s="383"/>
      <c r="V1644" s="381">
        <f t="shared" si="271"/>
        <v>0</v>
      </c>
      <c r="W1644" s="383"/>
      <c r="X1644" s="383"/>
      <c r="Y1644" s="381">
        <f t="shared" si="272"/>
        <v>0</v>
      </c>
    </row>
    <row r="1645" spans="2:25" x14ac:dyDescent="0.2">
      <c r="B1645" s="383"/>
      <c r="C1645" s="32"/>
      <c r="D1645" s="381">
        <f t="shared" si="265"/>
        <v>0</v>
      </c>
      <c r="E1645" s="383"/>
      <c r="F1645" s="382"/>
      <c r="G1645" s="381">
        <f t="shared" si="266"/>
        <v>0</v>
      </c>
      <c r="H1645" s="383"/>
      <c r="I1645" s="383"/>
      <c r="J1645" s="381">
        <f t="shared" si="267"/>
        <v>0</v>
      </c>
      <c r="K1645" s="383"/>
      <c r="L1645" s="383"/>
      <c r="M1645" s="381">
        <f t="shared" si="268"/>
        <v>0</v>
      </c>
      <c r="N1645" s="383"/>
      <c r="O1645" s="383"/>
      <c r="P1645" s="381">
        <f t="shared" si="269"/>
        <v>0</v>
      </c>
      <c r="Q1645" s="383"/>
      <c r="R1645" s="383"/>
      <c r="S1645" s="25">
        <f t="shared" si="270"/>
        <v>0</v>
      </c>
      <c r="T1645" s="383"/>
      <c r="U1645" s="383"/>
      <c r="V1645" s="381">
        <f t="shared" si="271"/>
        <v>0</v>
      </c>
      <c r="W1645" s="383"/>
      <c r="X1645" s="383"/>
      <c r="Y1645" s="381">
        <f t="shared" si="272"/>
        <v>0</v>
      </c>
    </row>
    <row r="1646" spans="2:25" x14ac:dyDescent="0.2">
      <c r="B1646" s="383"/>
      <c r="C1646" s="32"/>
      <c r="D1646" s="381">
        <f t="shared" si="265"/>
        <v>0</v>
      </c>
      <c r="E1646" s="383"/>
      <c r="F1646" s="382"/>
      <c r="G1646" s="381">
        <f t="shared" si="266"/>
        <v>0</v>
      </c>
      <c r="H1646" s="383"/>
      <c r="I1646" s="383"/>
      <c r="J1646" s="381">
        <f t="shared" si="267"/>
        <v>0</v>
      </c>
      <c r="K1646" s="383"/>
      <c r="L1646" s="383"/>
      <c r="M1646" s="381">
        <f t="shared" si="268"/>
        <v>0</v>
      </c>
      <c r="N1646" s="383"/>
      <c r="O1646" s="383"/>
      <c r="P1646" s="381">
        <f t="shared" si="269"/>
        <v>0</v>
      </c>
      <c r="Q1646" s="383"/>
      <c r="R1646" s="383"/>
      <c r="S1646" s="25">
        <f t="shared" si="270"/>
        <v>0</v>
      </c>
      <c r="T1646" s="383"/>
      <c r="U1646" s="383"/>
      <c r="V1646" s="381">
        <f t="shared" si="271"/>
        <v>0</v>
      </c>
      <c r="W1646" s="383"/>
      <c r="X1646" s="383"/>
      <c r="Y1646" s="381">
        <f t="shared" si="272"/>
        <v>0</v>
      </c>
    </row>
    <row r="1647" spans="2:25" x14ac:dyDescent="0.2">
      <c r="B1647" s="383"/>
      <c r="C1647" s="32"/>
      <c r="D1647" s="381">
        <f t="shared" si="265"/>
        <v>0</v>
      </c>
      <c r="E1647" s="383"/>
      <c r="F1647" s="382"/>
      <c r="G1647" s="381">
        <f t="shared" si="266"/>
        <v>0</v>
      </c>
      <c r="H1647" s="383"/>
      <c r="I1647" s="383"/>
      <c r="J1647" s="381">
        <f t="shared" si="267"/>
        <v>0</v>
      </c>
      <c r="K1647" s="383"/>
      <c r="L1647" s="383"/>
      <c r="M1647" s="381">
        <f t="shared" si="268"/>
        <v>0</v>
      </c>
      <c r="N1647" s="383"/>
      <c r="O1647" s="383"/>
      <c r="P1647" s="381">
        <f t="shared" si="269"/>
        <v>0</v>
      </c>
      <c r="Q1647" s="383"/>
      <c r="R1647" s="383"/>
      <c r="S1647" s="25">
        <f t="shared" si="270"/>
        <v>0</v>
      </c>
      <c r="T1647" s="383"/>
      <c r="U1647" s="383"/>
      <c r="V1647" s="381">
        <f t="shared" si="271"/>
        <v>0</v>
      </c>
      <c r="W1647" s="383"/>
      <c r="X1647" s="383"/>
      <c r="Y1647" s="381">
        <f t="shared" si="272"/>
        <v>0</v>
      </c>
    </row>
    <row r="1648" spans="2:25" x14ac:dyDescent="0.2">
      <c r="B1648" s="383"/>
      <c r="C1648" s="32"/>
      <c r="D1648" s="381">
        <f t="shared" si="265"/>
        <v>0</v>
      </c>
      <c r="E1648" s="383"/>
      <c r="F1648" s="382"/>
      <c r="G1648" s="381">
        <f t="shared" si="266"/>
        <v>0</v>
      </c>
      <c r="H1648" s="383"/>
      <c r="I1648" s="383"/>
      <c r="J1648" s="381">
        <f t="shared" si="267"/>
        <v>0</v>
      </c>
      <c r="K1648" s="383"/>
      <c r="L1648" s="383"/>
      <c r="M1648" s="381">
        <f t="shared" si="268"/>
        <v>0</v>
      </c>
      <c r="N1648" s="383"/>
      <c r="O1648" s="383"/>
      <c r="P1648" s="381">
        <f t="shared" si="269"/>
        <v>0</v>
      </c>
      <c r="Q1648" s="383"/>
      <c r="R1648" s="383"/>
      <c r="S1648" s="25">
        <f t="shared" si="270"/>
        <v>0</v>
      </c>
      <c r="T1648" s="383"/>
      <c r="U1648" s="383"/>
      <c r="V1648" s="381">
        <f t="shared" si="271"/>
        <v>0</v>
      </c>
      <c r="W1648" s="383"/>
      <c r="X1648" s="383"/>
      <c r="Y1648" s="381">
        <f t="shared" si="272"/>
        <v>0</v>
      </c>
    </row>
    <row r="1649" spans="2:25" x14ac:dyDescent="0.2">
      <c r="B1649" s="383"/>
      <c r="C1649" s="32"/>
      <c r="D1649" s="381">
        <f t="shared" si="265"/>
        <v>0</v>
      </c>
      <c r="E1649" s="383"/>
      <c r="F1649" s="382"/>
      <c r="G1649" s="381">
        <f t="shared" si="266"/>
        <v>0</v>
      </c>
      <c r="H1649" s="383"/>
      <c r="I1649" s="383"/>
      <c r="J1649" s="381">
        <f t="shared" si="267"/>
        <v>0</v>
      </c>
      <c r="K1649" s="383"/>
      <c r="L1649" s="383"/>
      <c r="M1649" s="381">
        <f t="shared" si="268"/>
        <v>0</v>
      </c>
      <c r="N1649" s="383"/>
      <c r="O1649" s="383"/>
      <c r="P1649" s="381">
        <f t="shared" si="269"/>
        <v>0</v>
      </c>
      <c r="Q1649" s="383"/>
      <c r="R1649" s="383"/>
      <c r="S1649" s="25">
        <f t="shared" si="270"/>
        <v>0</v>
      </c>
      <c r="T1649" s="383"/>
      <c r="U1649" s="383"/>
      <c r="V1649" s="381">
        <f t="shared" si="271"/>
        <v>0</v>
      </c>
      <c r="W1649" s="383"/>
      <c r="X1649" s="383"/>
      <c r="Y1649" s="381">
        <f t="shared" si="272"/>
        <v>0</v>
      </c>
    </row>
    <row r="1650" spans="2:25" x14ac:dyDescent="0.2">
      <c r="B1650" s="383"/>
      <c r="C1650" s="32"/>
      <c r="D1650" s="381">
        <f t="shared" si="265"/>
        <v>0</v>
      </c>
      <c r="E1650" s="383"/>
      <c r="F1650" s="382"/>
      <c r="G1650" s="381">
        <f t="shared" si="266"/>
        <v>0</v>
      </c>
      <c r="H1650" s="383"/>
      <c r="I1650" s="383"/>
      <c r="J1650" s="381">
        <f t="shared" si="267"/>
        <v>0</v>
      </c>
      <c r="K1650" s="383"/>
      <c r="L1650" s="383"/>
      <c r="M1650" s="381">
        <f t="shared" si="268"/>
        <v>0</v>
      </c>
      <c r="N1650" s="383"/>
      <c r="O1650" s="383"/>
      <c r="P1650" s="381">
        <f t="shared" si="269"/>
        <v>0</v>
      </c>
      <c r="Q1650" s="383"/>
      <c r="R1650" s="383"/>
      <c r="S1650" s="25">
        <f t="shared" si="270"/>
        <v>0</v>
      </c>
      <c r="T1650" s="383"/>
      <c r="U1650" s="383"/>
      <c r="V1650" s="381">
        <f t="shared" si="271"/>
        <v>0</v>
      </c>
      <c r="W1650" s="383"/>
      <c r="X1650" s="383"/>
      <c r="Y1650" s="381">
        <f t="shared" si="272"/>
        <v>0</v>
      </c>
    </row>
    <row r="1651" spans="2:25" x14ac:dyDescent="0.2">
      <c r="B1651" s="383"/>
      <c r="C1651" s="32"/>
      <c r="D1651" s="381">
        <f t="shared" si="265"/>
        <v>0</v>
      </c>
      <c r="E1651" s="383"/>
      <c r="F1651" s="382"/>
      <c r="G1651" s="381">
        <f t="shared" si="266"/>
        <v>0</v>
      </c>
      <c r="H1651" s="383"/>
      <c r="I1651" s="383"/>
      <c r="J1651" s="381">
        <f t="shared" si="267"/>
        <v>0</v>
      </c>
      <c r="K1651" s="383"/>
      <c r="L1651" s="383"/>
      <c r="M1651" s="381">
        <f t="shared" si="268"/>
        <v>0</v>
      </c>
      <c r="N1651" s="383"/>
      <c r="O1651" s="383"/>
      <c r="P1651" s="381">
        <f t="shared" si="269"/>
        <v>0</v>
      </c>
      <c r="Q1651" s="383"/>
      <c r="R1651" s="383"/>
      <c r="S1651" s="25">
        <f t="shared" si="270"/>
        <v>0</v>
      </c>
      <c r="T1651" s="383"/>
      <c r="U1651" s="383"/>
      <c r="V1651" s="381">
        <f t="shared" si="271"/>
        <v>0</v>
      </c>
      <c r="W1651" s="383"/>
      <c r="X1651" s="383"/>
      <c r="Y1651" s="381">
        <f t="shared" si="272"/>
        <v>0</v>
      </c>
    </row>
    <row r="1652" spans="2:25" x14ac:dyDescent="0.2">
      <c r="B1652" s="383"/>
      <c r="C1652" s="32"/>
      <c r="D1652" s="381">
        <f t="shared" si="265"/>
        <v>0</v>
      </c>
      <c r="E1652" s="383"/>
      <c r="F1652" s="382"/>
      <c r="G1652" s="381">
        <f t="shared" si="266"/>
        <v>0</v>
      </c>
      <c r="H1652" s="383"/>
      <c r="I1652" s="383"/>
      <c r="J1652" s="381">
        <f t="shared" si="267"/>
        <v>0</v>
      </c>
      <c r="K1652" s="383"/>
      <c r="L1652" s="383"/>
      <c r="M1652" s="381">
        <f t="shared" si="268"/>
        <v>0</v>
      </c>
      <c r="N1652" s="383"/>
      <c r="O1652" s="383"/>
      <c r="P1652" s="381">
        <f t="shared" si="269"/>
        <v>0</v>
      </c>
      <c r="Q1652" s="383"/>
      <c r="R1652" s="383"/>
      <c r="S1652" s="25">
        <f t="shared" si="270"/>
        <v>0</v>
      </c>
      <c r="T1652" s="383"/>
      <c r="U1652" s="383"/>
      <c r="V1652" s="381">
        <f t="shared" si="271"/>
        <v>0</v>
      </c>
      <c r="W1652" s="383"/>
      <c r="X1652" s="383"/>
      <c r="Y1652" s="381">
        <f t="shared" si="272"/>
        <v>0</v>
      </c>
    </row>
    <row r="1653" spans="2:25" x14ac:dyDescent="0.2">
      <c r="B1653" s="383"/>
      <c r="C1653" s="32"/>
      <c r="D1653" s="381">
        <f t="shared" si="265"/>
        <v>0</v>
      </c>
      <c r="E1653" s="383"/>
      <c r="F1653" s="382"/>
      <c r="G1653" s="381">
        <f t="shared" si="266"/>
        <v>0</v>
      </c>
      <c r="H1653" s="383"/>
      <c r="I1653" s="383"/>
      <c r="J1653" s="381">
        <f t="shared" si="267"/>
        <v>0</v>
      </c>
      <c r="K1653" s="383"/>
      <c r="L1653" s="383"/>
      <c r="M1653" s="381">
        <f t="shared" si="268"/>
        <v>0</v>
      </c>
      <c r="N1653" s="383"/>
      <c r="O1653" s="383"/>
      <c r="P1653" s="381">
        <f t="shared" si="269"/>
        <v>0</v>
      </c>
      <c r="Q1653" s="383"/>
      <c r="R1653" s="383"/>
      <c r="S1653" s="25">
        <f t="shared" si="270"/>
        <v>0</v>
      </c>
      <c r="T1653" s="383"/>
      <c r="U1653" s="383"/>
      <c r="V1653" s="381">
        <f t="shared" si="271"/>
        <v>0</v>
      </c>
      <c r="W1653" s="383"/>
      <c r="X1653" s="383"/>
      <c r="Y1653" s="381">
        <f t="shared" si="272"/>
        <v>0</v>
      </c>
    </row>
    <row r="1654" spans="2:25" x14ac:dyDescent="0.2">
      <c r="B1654" s="383"/>
      <c r="C1654" s="32"/>
      <c r="D1654" s="381">
        <f t="shared" si="265"/>
        <v>0</v>
      </c>
      <c r="E1654" s="383"/>
      <c r="F1654" s="382"/>
      <c r="G1654" s="381">
        <f t="shared" si="266"/>
        <v>0</v>
      </c>
      <c r="H1654" s="383"/>
      <c r="I1654" s="383"/>
      <c r="J1654" s="381">
        <f t="shared" si="267"/>
        <v>0</v>
      </c>
      <c r="K1654" s="383"/>
      <c r="L1654" s="383"/>
      <c r="M1654" s="381">
        <f t="shared" si="268"/>
        <v>0</v>
      </c>
      <c r="N1654" s="383"/>
      <c r="O1654" s="383"/>
      <c r="P1654" s="381">
        <f t="shared" si="269"/>
        <v>0</v>
      </c>
      <c r="Q1654" s="383"/>
      <c r="R1654" s="383"/>
      <c r="S1654" s="25">
        <f t="shared" si="270"/>
        <v>0</v>
      </c>
      <c r="T1654" s="383"/>
      <c r="U1654" s="383"/>
      <c r="V1654" s="381">
        <f t="shared" si="271"/>
        <v>0</v>
      </c>
      <c r="W1654" s="383"/>
      <c r="X1654" s="383"/>
      <c r="Y1654" s="381">
        <f t="shared" si="272"/>
        <v>0</v>
      </c>
    </row>
    <row r="1655" spans="2:25" x14ac:dyDescent="0.2">
      <c r="B1655" s="383"/>
      <c r="C1655" s="32"/>
      <c r="D1655" s="381">
        <f t="shared" si="265"/>
        <v>0</v>
      </c>
      <c r="E1655" s="383"/>
      <c r="F1655" s="382"/>
      <c r="G1655" s="381">
        <f t="shared" si="266"/>
        <v>0</v>
      </c>
      <c r="H1655" s="383"/>
      <c r="I1655" s="383"/>
      <c r="J1655" s="381">
        <f t="shared" si="267"/>
        <v>0</v>
      </c>
      <c r="K1655" s="383"/>
      <c r="L1655" s="383"/>
      <c r="M1655" s="381">
        <f t="shared" si="268"/>
        <v>0</v>
      </c>
      <c r="N1655" s="383"/>
      <c r="O1655" s="383"/>
      <c r="P1655" s="381">
        <f t="shared" si="269"/>
        <v>0</v>
      </c>
      <c r="Q1655" s="383"/>
      <c r="R1655" s="383"/>
      <c r="S1655" s="25">
        <f t="shared" si="270"/>
        <v>0</v>
      </c>
      <c r="T1655" s="383"/>
      <c r="U1655" s="383"/>
      <c r="V1655" s="381">
        <f t="shared" si="271"/>
        <v>0</v>
      </c>
      <c r="W1655" s="383"/>
      <c r="X1655" s="383"/>
      <c r="Y1655" s="381">
        <f t="shared" si="272"/>
        <v>0</v>
      </c>
    </row>
    <row r="1656" spans="2:25" x14ac:dyDescent="0.2">
      <c r="B1656" s="383"/>
      <c r="C1656" s="32"/>
      <c r="D1656" s="381">
        <f t="shared" si="265"/>
        <v>0</v>
      </c>
      <c r="E1656" s="383"/>
      <c r="F1656" s="382"/>
      <c r="G1656" s="381">
        <f t="shared" si="266"/>
        <v>0</v>
      </c>
      <c r="H1656" s="383"/>
      <c r="I1656" s="383"/>
      <c r="J1656" s="381">
        <f t="shared" si="267"/>
        <v>0</v>
      </c>
      <c r="K1656" s="383"/>
      <c r="L1656" s="383"/>
      <c r="M1656" s="381">
        <f t="shared" si="268"/>
        <v>0</v>
      </c>
      <c r="N1656" s="383"/>
      <c r="O1656" s="383"/>
      <c r="P1656" s="381">
        <f t="shared" si="269"/>
        <v>0</v>
      </c>
      <c r="Q1656" s="383"/>
      <c r="R1656" s="383"/>
      <c r="S1656" s="25">
        <f t="shared" si="270"/>
        <v>0</v>
      </c>
      <c r="T1656" s="383"/>
      <c r="U1656" s="383"/>
      <c r="V1656" s="381">
        <f t="shared" si="271"/>
        <v>0</v>
      </c>
      <c r="W1656" s="383"/>
      <c r="X1656" s="383"/>
      <c r="Y1656" s="381">
        <f t="shared" si="272"/>
        <v>0</v>
      </c>
    </row>
    <row r="1657" spans="2:25" x14ac:dyDescent="0.2">
      <c r="B1657" s="383"/>
      <c r="C1657" s="32"/>
      <c r="D1657" s="381">
        <f t="shared" si="265"/>
        <v>0</v>
      </c>
      <c r="E1657" s="383"/>
      <c r="F1657" s="382"/>
      <c r="G1657" s="381">
        <f t="shared" si="266"/>
        <v>0</v>
      </c>
      <c r="H1657" s="383"/>
      <c r="I1657" s="383"/>
      <c r="J1657" s="381">
        <f t="shared" si="267"/>
        <v>0</v>
      </c>
      <c r="K1657" s="383"/>
      <c r="L1657" s="383"/>
      <c r="M1657" s="381">
        <f t="shared" si="268"/>
        <v>0</v>
      </c>
      <c r="N1657" s="383"/>
      <c r="O1657" s="383"/>
      <c r="P1657" s="381">
        <f t="shared" si="269"/>
        <v>0</v>
      </c>
      <c r="Q1657" s="383"/>
      <c r="R1657" s="383"/>
      <c r="S1657" s="25">
        <f t="shared" si="270"/>
        <v>0</v>
      </c>
      <c r="T1657" s="383"/>
      <c r="U1657" s="383"/>
      <c r="V1657" s="381">
        <f t="shared" si="271"/>
        <v>0</v>
      </c>
      <c r="W1657" s="383"/>
      <c r="X1657" s="383"/>
      <c r="Y1657" s="381">
        <f t="shared" si="272"/>
        <v>0</v>
      </c>
    </row>
    <row r="1658" spans="2:25" x14ac:dyDescent="0.2">
      <c r="B1658" s="383"/>
      <c r="C1658" s="32"/>
      <c r="D1658" s="381">
        <f t="shared" si="265"/>
        <v>0</v>
      </c>
      <c r="E1658" s="383"/>
      <c r="F1658" s="382"/>
      <c r="G1658" s="381">
        <f t="shared" si="266"/>
        <v>0</v>
      </c>
      <c r="H1658" s="383"/>
      <c r="I1658" s="383"/>
      <c r="J1658" s="381">
        <f t="shared" si="267"/>
        <v>0</v>
      </c>
      <c r="K1658" s="383"/>
      <c r="L1658" s="383"/>
      <c r="M1658" s="381">
        <f t="shared" si="268"/>
        <v>0</v>
      </c>
      <c r="N1658" s="383"/>
      <c r="O1658" s="383"/>
      <c r="P1658" s="381">
        <f t="shared" si="269"/>
        <v>0</v>
      </c>
      <c r="Q1658" s="383"/>
      <c r="R1658" s="383"/>
      <c r="S1658" s="25">
        <f t="shared" si="270"/>
        <v>0</v>
      </c>
      <c r="T1658" s="383"/>
      <c r="U1658" s="383"/>
      <c r="V1658" s="381">
        <f t="shared" si="271"/>
        <v>0</v>
      </c>
      <c r="W1658" s="383"/>
      <c r="X1658" s="383"/>
      <c r="Y1658" s="381">
        <f t="shared" si="272"/>
        <v>0</v>
      </c>
    </row>
    <row r="1659" spans="2:25" x14ac:dyDescent="0.2">
      <c r="B1659" s="383"/>
      <c r="C1659" s="32"/>
      <c r="D1659" s="381">
        <f t="shared" si="265"/>
        <v>0</v>
      </c>
      <c r="E1659" s="383"/>
      <c r="F1659" s="382"/>
      <c r="G1659" s="381">
        <f t="shared" si="266"/>
        <v>0</v>
      </c>
      <c r="H1659" s="383"/>
      <c r="I1659" s="383"/>
      <c r="J1659" s="381">
        <f t="shared" si="267"/>
        <v>0</v>
      </c>
      <c r="K1659" s="383"/>
      <c r="L1659" s="383"/>
      <c r="M1659" s="381">
        <f t="shared" si="268"/>
        <v>0</v>
      </c>
      <c r="N1659" s="383"/>
      <c r="O1659" s="383"/>
      <c r="P1659" s="381">
        <f t="shared" si="269"/>
        <v>0</v>
      </c>
      <c r="Q1659" s="383"/>
      <c r="R1659" s="383"/>
      <c r="S1659" s="25">
        <f t="shared" si="270"/>
        <v>0</v>
      </c>
      <c r="T1659" s="383"/>
      <c r="U1659" s="383"/>
      <c r="V1659" s="381">
        <f t="shared" si="271"/>
        <v>0</v>
      </c>
      <c r="W1659" s="383"/>
      <c r="X1659" s="383"/>
      <c r="Y1659" s="381">
        <f t="shared" si="272"/>
        <v>0</v>
      </c>
    </row>
    <row r="1660" spans="2:25" x14ac:dyDescent="0.2">
      <c r="B1660" s="383"/>
      <c r="C1660" s="32"/>
      <c r="D1660" s="381">
        <f t="shared" si="265"/>
        <v>0</v>
      </c>
      <c r="E1660" s="383"/>
      <c r="F1660" s="382"/>
      <c r="G1660" s="381">
        <f t="shared" si="266"/>
        <v>0</v>
      </c>
      <c r="H1660" s="383"/>
      <c r="I1660" s="383"/>
      <c r="J1660" s="381">
        <f t="shared" si="267"/>
        <v>0</v>
      </c>
      <c r="K1660" s="383"/>
      <c r="L1660" s="383"/>
      <c r="M1660" s="381">
        <f t="shared" si="268"/>
        <v>0</v>
      </c>
      <c r="N1660" s="383"/>
      <c r="O1660" s="383"/>
      <c r="P1660" s="381">
        <f t="shared" si="269"/>
        <v>0</v>
      </c>
      <c r="Q1660" s="383"/>
      <c r="R1660" s="383"/>
      <c r="S1660" s="25">
        <f t="shared" si="270"/>
        <v>0</v>
      </c>
      <c r="T1660" s="383"/>
      <c r="U1660" s="383"/>
      <c r="V1660" s="381">
        <f t="shared" si="271"/>
        <v>0</v>
      </c>
      <c r="W1660" s="383"/>
      <c r="X1660" s="383"/>
      <c r="Y1660" s="381">
        <f t="shared" si="272"/>
        <v>0</v>
      </c>
    </row>
    <row r="1661" spans="2:25" x14ac:dyDescent="0.2">
      <c r="B1661" s="383"/>
      <c r="C1661" s="32"/>
      <c r="D1661" s="381">
        <f t="shared" si="265"/>
        <v>0</v>
      </c>
      <c r="E1661" s="383"/>
      <c r="F1661" s="382"/>
      <c r="G1661" s="381">
        <f t="shared" si="266"/>
        <v>0</v>
      </c>
      <c r="H1661" s="383"/>
      <c r="I1661" s="383"/>
      <c r="J1661" s="381">
        <f t="shared" si="267"/>
        <v>0</v>
      </c>
      <c r="K1661" s="383"/>
      <c r="L1661" s="383"/>
      <c r="M1661" s="381">
        <f t="shared" si="268"/>
        <v>0</v>
      </c>
      <c r="N1661" s="383"/>
      <c r="O1661" s="383"/>
      <c r="P1661" s="381">
        <f t="shared" si="269"/>
        <v>0</v>
      </c>
      <c r="Q1661" s="383"/>
      <c r="R1661" s="383"/>
      <c r="S1661" s="25">
        <f t="shared" si="270"/>
        <v>0</v>
      </c>
      <c r="T1661" s="383"/>
      <c r="U1661" s="383"/>
      <c r="V1661" s="381">
        <f t="shared" si="271"/>
        <v>0</v>
      </c>
      <c r="W1661" s="383"/>
      <c r="X1661" s="383"/>
      <c r="Y1661" s="381">
        <f t="shared" si="272"/>
        <v>0</v>
      </c>
    </row>
    <row r="1662" spans="2:25" x14ac:dyDescent="0.2">
      <c r="B1662" s="383"/>
      <c r="C1662" s="32"/>
      <c r="D1662" s="381">
        <f t="shared" si="265"/>
        <v>0</v>
      </c>
      <c r="E1662" s="383"/>
      <c r="F1662" s="382"/>
      <c r="G1662" s="381">
        <f t="shared" si="266"/>
        <v>0</v>
      </c>
      <c r="H1662" s="383"/>
      <c r="I1662" s="383"/>
      <c r="J1662" s="381">
        <f t="shared" si="267"/>
        <v>0</v>
      </c>
      <c r="K1662" s="383"/>
      <c r="L1662" s="383"/>
      <c r="M1662" s="381">
        <f t="shared" si="268"/>
        <v>0</v>
      </c>
      <c r="N1662" s="383"/>
      <c r="O1662" s="383"/>
      <c r="P1662" s="381">
        <f t="shared" si="269"/>
        <v>0</v>
      </c>
      <c r="Q1662" s="383"/>
      <c r="R1662" s="383"/>
      <c r="S1662" s="25">
        <f t="shared" si="270"/>
        <v>0</v>
      </c>
      <c r="T1662" s="383"/>
      <c r="U1662" s="383"/>
      <c r="V1662" s="381">
        <f t="shared" si="271"/>
        <v>0</v>
      </c>
      <c r="W1662" s="383"/>
      <c r="X1662" s="383"/>
      <c r="Y1662" s="381">
        <f t="shared" si="272"/>
        <v>0</v>
      </c>
    </row>
    <row r="1663" spans="2:25" x14ac:dyDescent="0.2">
      <c r="B1663" s="383"/>
      <c r="C1663" s="32"/>
      <c r="D1663" s="381">
        <f t="shared" si="265"/>
        <v>0</v>
      </c>
      <c r="E1663" s="383"/>
      <c r="F1663" s="382"/>
      <c r="G1663" s="381">
        <f t="shared" si="266"/>
        <v>0</v>
      </c>
      <c r="H1663" s="383"/>
      <c r="I1663" s="383"/>
      <c r="J1663" s="381">
        <f t="shared" si="267"/>
        <v>0</v>
      </c>
      <c r="K1663" s="383"/>
      <c r="L1663" s="383"/>
      <c r="M1663" s="381">
        <f t="shared" si="268"/>
        <v>0</v>
      </c>
      <c r="N1663" s="383"/>
      <c r="O1663" s="383"/>
      <c r="P1663" s="381">
        <f t="shared" si="269"/>
        <v>0</v>
      </c>
      <c r="Q1663" s="383"/>
      <c r="R1663" s="383"/>
      <c r="S1663" s="25">
        <f t="shared" si="270"/>
        <v>0</v>
      </c>
      <c r="T1663" s="383"/>
      <c r="U1663" s="383"/>
      <c r="V1663" s="381">
        <f t="shared" si="271"/>
        <v>0</v>
      </c>
      <c r="W1663" s="383"/>
      <c r="X1663" s="383"/>
      <c r="Y1663" s="381">
        <f t="shared" si="272"/>
        <v>0</v>
      </c>
    </row>
    <row r="1664" spans="2:25" x14ac:dyDescent="0.2">
      <c r="B1664" s="383"/>
      <c r="C1664" s="32"/>
      <c r="D1664" s="381">
        <f t="shared" si="265"/>
        <v>0</v>
      </c>
      <c r="E1664" s="383"/>
      <c r="F1664" s="382"/>
      <c r="G1664" s="381">
        <f t="shared" si="266"/>
        <v>0</v>
      </c>
      <c r="H1664" s="383"/>
      <c r="I1664" s="383"/>
      <c r="J1664" s="381">
        <f t="shared" si="267"/>
        <v>0</v>
      </c>
      <c r="K1664" s="383"/>
      <c r="L1664" s="383"/>
      <c r="M1664" s="381">
        <f t="shared" si="268"/>
        <v>0</v>
      </c>
      <c r="N1664" s="383"/>
      <c r="O1664" s="383"/>
      <c r="P1664" s="381">
        <f t="shared" si="269"/>
        <v>0</v>
      </c>
      <c r="Q1664" s="383"/>
      <c r="R1664" s="383"/>
      <c r="S1664" s="25">
        <f t="shared" si="270"/>
        <v>0</v>
      </c>
      <c r="T1664" s="383"/>
      <c r="U1664" s="383"/>
      <c r="V1664" s="381">
        <f t="shared" si="271"/>
        <v>0</v>
      </c>
      <c r="W1664" s="383"/>
      <c r="X1664" s="383"/>
      <c r="Y1664" s="381">
        <f t="shared" si="272"/>
        <v>0</v>
      </c>
    </row>
    <row r="1665" spans="2:25" x14ac:dyDescent="0.2">
      <c r="B1665" s="383"/>
      <c r="C1665" s="32"/>
      <c r="D1665" s="381">
        <f t="shared" si="265"/>
        <v>0</v>
      </c>
      <c r="E1665" s="383"/>
      <c r="F1665" s="382"/>
      <c r="G1665" s="381">
        <f t="shared" si="266"/>
        <v>0</v>
      </c>
      <c r="H1665" s="383"/>
      <c r="I1665" s="383"/>
      <c r="J1665" s="381">
        <f t="shared" si="267"/>
        <v>0</v>
      </c>
      <c r="K1665" s="383"/>
      <c r="L1665" s="383"/>
      <c r="M1665" s="381">
        <f t="shared" si="268"/>
        <v>0</v>
      </c>
      <c r="N1665" s="383"/>
      <c r="O1665" s="383"/>
      <c r="P1665" s="381">
        <f t="shared" si="269"/>
        <v>0</v>
      </c>
      <c r="Q1665" s="383"/>
      <c r="R1665" s="383"/>
      <c r="S1665" s="25">
        <f t="shared" si="270"/>
        <v>0</v>
      </c>
      <c r="T1665" s="383"/>
      <c r="U1665" s="383"/>
      <c r="V1665" s="381">
        <f t="shared" si="271"/>
        <v>0</v>
      </c>
      <c r="W1665" s="383"/>
      <c r="X1665" s="383"/>
      <c r="Y1665" s="381">
        <f t="shared" si="272"/>
        <v>0</v>
      </c>
    </row>
    <row r="1666" spans="2:25" x14ac:dyDescent="0.2">
      <c r="B1666" s="383"/>
      <c r="C1666" s="32"/>
      <c r="D1666" s="381">
        <f t="shared" si="265"/>
        <v>0</v>
      </c>
      <c r="E1666" s="383"/>
      <c r="F1666" s="382"/>
      <c r="G1666" s="381">
        <f t="shared" si="266"/>
        <v>0</v>
      </c>
      <c r="H1666" s="383"/>
      <c r="I1666" s="383"/>
      <c r="J1666" s="381">
        <f t="shared" si="267"/>
        <v>0</v>
      </c>
      <c r="K1666" s="383"/>
      <c r="L1666" s="383"/>
      <c r="M1666" s="381">
        <f t="shared" si="268"/>
        <v>0</v>
      </c>
      <c r="N1666" s="383"/>
      <c r="O1666" s="383"/>
      <c r="P1666" s="381">
        <f t="shared" si="269"/>
        <v>0</v>
      </c>
      <c r="Q1666" s="383"/>
      <c r="R1666" s="383"/>
      <c r="S1666" s="25">
        <f t="shared" si="270"/>
        <v>0</v>
      </c>
      <c r="T1666" s="383"/>
      <c r="U1666" s="383"/>
      <c r="V1666" s="381">
        <f t="shared" si="271"/>
        <v>0</v>
      </c>
      <c r="W1666" s="383"/>
      <c r="X1666" s="383"/>
      <c r="Y1666" s="381">
        <f t="shared" si="272"/>
        <v>0</v>
      </c>
    </row>
    <row r="1667" spans="2:25" x14ac:dyDescent="0.2">
      <c r="B1667" s="383"/>
      <c r="C1667" s="32"/>
      <c r="D1667" s="381">
        <f t="shared" si="265"/>
        <v>0</v>
      </c>
      <c r="E1667" s="383"/>
      <c r="F1667" s="382"/>
      <c r="G1667" s="381">
        <f t="shared" si="266"/>
        <v>0</v>
      </c>
      <c r="H1667" s="383"/>
      <c r="I1667" s="383"/>
      <c r="J1667" s="381">
        <f t="shared" si="267"/>
        <v>0</v>
      </c>
      <c r="K1667" s="383"/>
      <c r="L1667" s="383"/>
      <c r="M1667" s="381">
        <f t="shared" si="268"/>
        <v>0</v>
      </c>
      <c r="N1667" s="383"/>
      <c r="O1667" s="383"/>
      <c r="P1667" s="381">
        <f t="shared" si="269"/>
        <v>0</v>
      </c>
      <c r="Q1667" s="383"/>
      <c r="R1667" s="383"/>
      <c r="S1667" s="25">
        <f t="shared" si="270"/>
        <v>0</v>
      </c>
      <c r="T1667" s="383"/>
      <c r="U1667" s="383"/>
      <c r="V1667" s="381">
        <f t="shared" si="271"/>
        <v>0</v>
      </c>
      <c r="W1667" s="383"/>
      <c r="X1667" s="383"/>
      <c r="Y1667" s="381">
        <f t="shared" si="272"/>
        <v>0</v>
      </c>
    </row>
    <row r="1668" spans="2:25" x14ac:dyDescent="0.2">
      <c r="B1668" s="383"/>
      <c r="C1668" s="32"/>
      <c r="D1668" s="381">
        <f t="shared" si="265"/>
        <v>0</v>
      </c>
      <c r="E1668" s="383"/>
      <c r="F1668" s="382"/>
      <c r="G1668" s="381">
        <f t="shared" si="266"/>
        <v>0</v>
      </c>
      <c r="H1668" s="383"/>
      <c r="I1668" s="383"/>
      <c r="J1668" s="381">
        <f t="shared" si="267"/>
        <v>0</v>
      </c>
      <c r="K1668" s="383"/>
      <c r="L1668" s="383"/>
      <c r="M1668" s="381">
        <f t="shared" si="268"/>
        <v>0</v>
      </c>
      <c r="N1668" s="383"/>
      <c r="O1668" s="383"/>
      <c r="P1668" s="381">
        <f t="shared" si="269"/>
        <v>0</v>
      </c>
      <c r="Q1668" s="383"/>
      <c r="R1668" s="383"/>
      <c r="S1668" s="25">
        <f t="shared" si="270"/>
        <v>0</v>
      </c>
      <c r="T1668" s="383"/>
      <c r="U1668" s="383"/>
      <c r="V1668" s="381">
        <f t="shared" si="271"/>
        <v>0</v>
      </c>
      <c r="W1668" s="383"/>
      <c r="X1668" s="383"/>
      <c r="Y1668" s="381">
        <f t="shared" si="272"/>
        <v>0</v>
      </c>
    </row>
    <row r="1669" spans="2:25" x14ac:dyDescent="0.2">
      <c r="B1669" s="383"/>
      <c r="C1669" s="32"/>
      <c r="D1669" s="381">
        <f t="shared" si="265"/>
        <v>0</v>
      </c>
      <c r="E1669" s="383"/>
      <c r="F1669" s="382"/>
      <c r="G1669" s="381">
        <f t="shared" si="266"/>
        <v>0</v>
      </c>
      <c r="H1669" s="383"/>
      <c r="I1669" s="383"/>
      <c r="J1669" s="381">
        <f t="shared" si="267"/>
        <v>0</v>
      </c>
      <c r="K1669" s="383"/>
      <c r="L1669" s="383"/>
      <c r="M1669" s="381">
        <f t="shared" si="268"/>
        <v>0</v>
      </c>
      <c r="N1669" s="383"/>
      <c r="O1669" s="383"/>
      <c r="P1669" s="381">
        <f t="shared" si="269"/>
        <v>0</v>
      </c>
      <c r="Q1669" s="383"/>
      <c r="R1669" s="383"/>
      <c r="S1669" s="25">
        <f t="shared" si="270"/>
        <v>0</v>
      </c>
      <c r="T1669" s="383"/>
      <c r="U1669" s="383"/>
      <c r="V1669" s="381">
        <f t="shared" si="271"/>
        <v>0</v>
      </c>
      <c r="W1669" s="383"/>
      <c r="X1669" s="383"/>
      <c r="Y1669" s="381">
        <f t="shared" si="272"/>
        <v>0</v>
      </c>
    </row>
    <row r="1670" spans="2:25" x14ac:dyDescent="0.2">
      <c r="B1670" s="383"/>
      <c r="C1670" s="32"/>
      <c r="D1670" s="381">
        <f t="shared" si="265"/>
        <v>0</v>
      </c>
      <c r="E1670" s="383"/>
      <c r="F1670" s="382"/>
      <c r="G1670" s="381">
        <f t="shared" si="266"/>
        <v>0</v>
      </c>
      <c r="H1670" s="383"/>
      <c r="I1670" s="383"/>
      <c r="J1670" s="381">
        <f t="shared" si="267"/>
        <v>0</v>
      </c>
      <c r="K1670" s="383"/>
      <c r="L1670" s="383"/>
      <c r="M1670" s="381">
        <f t="shared" si="268"/>
        <v>0</v>
      </c>
      <c r="N1670" s="383"/>
      <c r="O1670" s="383"/>
      <c r="P1670" s="381">
        <f t="shared" si="269"/>
        <v>0</v>
      </c>
      <c r="Q1670" s="383"/>
      <c r="R1670" s="383"/>
      <c r="S1670" s="25">
        <f t="shared" si="270"/>
        <v>0</v>
      </c>
      <c r="T1670" s="383"/>
      <c r="U1670" s="383"/>
      <c r="V1670" s="381">
        <f t="shared" si="271"/>
        <v>0</v>
      </c>
      <c r="W1670" s="383"/>
      <c r="X1670" s="383"/>
      <c r="Y1670" s="381">
        <f t="shared" si="272"/>
        <v>0</v>
      </c>
    </row>
    <row r="1671" spans="2:25" x14ac:dyDescent="0.2">
      <c r="B1671" s="383"/>
      <c r="C1671" s="32"/>
      <c r="D1671" s="381">
        <f t="shared" si="265"/>
        <v>0</v>
      </c>
      <c r="E1671" s="383"/>
      <c r="F1671" s="382"/>
      <c r="G1671" s="381">
        <f t="shared" si="266"/>
        <v>0</v>
      </c>
      <c r="H1671" s="383"/>
      <c r="I1671" s="383"/>
      <c r="J1671" s="381">
        <f t="shared" si="267"/>
        <v>0</v>
      </c>
      <c r="K1671" s="383"/>
      <c r="L1671" s="383"/>
      <c r="M1671" s="381">
        <f t="shared" si="268"/>
        <v>0</v>
      </c>
      <c r="N1671" s="383"/>
      <c r="O1671" s="383"/>
      <c r="P1671" s="381">
        <f t="shared" si="269"/>
        <v>0</v>
      </c>
      <c r="Q1671" s="383"/>
      <c r="R1671" s="383"/>
      <c r="S1671" s="25">
        <f t="shared" si="270"/>
        <v>0</v>
      </c>
      <c r="T1671" s="383"/>
      <c r="U1671" s="383"/>
      <c r="V1671" s="381">
        <f t="shared" si="271"/>
        <v>0</v>
      </c>
      <c r="W1671" s="383"/>
      <c r="X1671" s="383"/>
      <c r="Y1671" s="381">
        <f t="shared" si="272"/>
        <v>0</v>
      </c>
    </row>
    <row r="1672" spans="2:25" x14ac:dyDescent="0.2">
      <c r="B1672" s="383"/>
      <c r="C1672" s="32"/>
      <c r="D1672" s="381">
        <f t="shared" si="265"/>
        <v>0</v>
      </c>
      <c r="E1672" s="383"/>
      <c r="F1672" s="382"/>
      <c r="G1672" s="381">
        <f t="shared" si="266"/>
        <v>0</v>
      </c>
      <c r="H1672" s="383"/>
      <c r="I1672" s="383"/>
      <c r="J1672" s="381">
        <f t="shared" si="267"/>
        <v>0</v>
      </c>
      <c r="K1672" s="383"/>
      <c r="L1672" s="383"/>
      <c r="M1672" s="381">
        <f t="shared" si="268"/>
        <v>0</v>
      </c>
      <c r="N1672" s="383"/>
      <c r="O1672" s="383"/>
      <c r="P1672" s="381">
        <f t="shared" si="269"/>
        <v>0</v>
      </c>
      <c r="Q1672" s="383"/>
      <c r="R1672" s="383"/>
      <c r="S1672" s="25">
        <f t="shared" si="270"/>
        <v>0</v>
      </c>
      <c r="T1672" s="383"/>
      <c r="U1672" s="383"/>
      <c r="V1672" s="381">
        <f t="shared" si="271"/>
        <v>0</v>
      </c>
      <c r="W1672" s="383"/>
      <c r="X1672" s="383"/>
      <c r="Y1672" s="381">
        <f t="shared" si="272"/>
        <v>0</v>
      </c>
    </row>
    <row r="1673" spans="2:25" x14ac:dyDescent="0.2">
      <c r="B1673" s="383"/>
      <c r="C1673" s="32"/>
      <c r="D1673" s="381">
        <f t="shared" si="265"/>
        <v>0</v>
      </c>
      <c r="E1673" s="383"/>
      <c r="F1673" s="382"/>
      <c r="G1673" s="381">
        <f t="shared" si="266"/>
        <v>0</v>
      </c>
      <c r="H1673" s="383"/>
      <c r="I1673" s="383"/>
      <c r="J1673" s="381">
        <f t="shared" si="267"/>
        <v>0</v>
      </c>
      <c r="K1673" s="383"/>
      <c r="L1673" s="383"/>
      <c r="M1673" s="381">
        <f t="shared" si="268"/>
        <v>0</v>
      </c>
      <c r="N1673" s="383"/>
      <c r="O1673" s="383"/>
      <c r="P1673" s="381">
        <f t="shared" si="269"/>
        <v>0</v>
      </c>
      <c r="Q1673" s="383"/>
      <c r="R1673" s="383"/>
      <c r="S1673" s="25">
        <f t="shared" si="270"/>
        <v>0</v>
      </c>
      <c r="T1673" s="383"/>
      <c r="U1673" s="383"/>
      <c r="V1673" s="381">
        <f t="shared" si="271"/>
        <v>0</v>
      </c>
      <c r="W1673" s="383"/>
      <c r="X1673" s="383"/>
      <c r="Y1673" s="381">
        <f t="shared" si="272"/>
        <v>0</v>
      </c>
    </row>
    <row r="1674" spans="2:25" x14ac:dyDescent="0.2">
      <c r="B1674" s="383"/>
      <c r="C1674" s="32"/>
      <c r="D1674" s="381">
        <f t="shared" si="265"/>
        <v>0</v>
      </c>
      <c r="E1674" s="383"/>
      <c r="F1674" s="382"/>
      <c r="G1674" s="381">
        <f t="shared" si="266"/>
        <v>0</v>
      </c>
      <c r="H1674" s="383"/>
      <c r="I1674" s="383"/>
      <c r="J1674" s="381">
        <f t="shared" si="267"/>
        <v>0</v>
      </c>
      <c r="K1674" s="383"/>
      <c r="L1674" s="383"/>
      <c r="M1674" s="381">
        <f t="shared" si="268"/>
        <v>0</v>
      </c>
      <c r="N1674" s="383"/>
      <c r="O1674" s="383"/>
      <c r="P1674" s="381">
        <f t="shared" si="269"/>
        <v>0</v>
      </c>
      <c r="Q1674" s="383"/>
      <c r="R1674" s="383"/>
      <c r="S1674" s="25">
        <f t="shared" si="270"/>
        <v>0</v>
      </c>
      <c r="T1674" s="383"/>
      <c r="U1674" s="383"/>
      <c r="V1674" s="381">
        <f t="shared" si="271"/>
        <v>0</v>
      </c>
      <c r="W1674" s="383"/>
      <c r="X1674" s="383"/>
      <c r="Y1674" s="381">
        <f t="shared" si="272"/>
        <v>0</v>
      </c>
    </row>
    <row r="1675" spans="2:25" x14ac:dyDescent="0.2">
      <c r="B1675" s="383"/>
      <c r="C1675" s="32"/>
      <c r="D1675" s="381">
        <f t="shared" si="265"/>
        <v>0</v>
      </c>
      <c r="E1675" s="383"/>
      <c r="F1675" s="382"/>
      <c r="G1675" s="381">
        <f t="shared" si="266"/>
        <v>0</v>
      </c>
      <c r="H1675" s="383"/>
      <c r="I1675" s="383"/>
      <c r="J1675" s="381">
        <f t="shared" si="267"/>
        <v>0</v>
      </c>
      <c r="K1675" s="383"/>
      <c r="L1675" s="383"/>
      <c r="M1675" s="381">
        <f t="shared" si="268"/>
        <v>0</v>
      </c>
      <c r="N1675" s="383"/>
      <c r="O1675" s="383"/>
      <c r="P1675" s="381">
        <f t="shared" si="269"/>
        <v>0</v>
      </c>
      <c r="Q1675" s="383"/>
      <c r="R1675" s="383"/>
      <c r="S1675" s="25">
        <f t="shared" si="270"/>
        <v>0</v>
      </c>
      <c r="T1675" s="383"/>
      <c r="U1675" s="383"/>
      <c r="V1675" s="381">
        <f t="shared" si="271"/>
        <v>0</v>
      </c>
      <c r="W1675" s="383"/>
      <c r="X1675" s="383"/>
      <c r="Y1675" s="381">
        <f t="shared" si="272"/>
        <v>0</v>
      </c>
    </row>
    <row r="1676" spans="2:25" x14ac:dyDescent="0.2">
      <c r="B1676" s="383"/>
      <c r="C1676" s="32"/>
      <c r="D1676" s="381">
        <f t="shared" si="265"/>
        <v>0</v>
      </c>
      <c r="E1676" s="383"/>
      <c r="F1676" s="382"/>
      <c r="G1676" s="381">
        <f t="shared" si="266"/>
        <v>0</v>
      </c>
      <c r="H1676" s="383"/>
      <c r="I1676" s="383"/>
      <c r="J1676" s="381">
        <f t="shared" si="267"/>
        <v>0</v>
      </c>
      <c r="K1676" s="383"/>
      <c r="L1676" s="383"/>
      <c r="M1676" s="381">
        <f t="shared" si="268"/>
        <v>0</v>
      </c>
      <c r="N1676" s="383"/>
      <c r="O1676" s="383"/>
      <c r="P1676" s="381">
        <f t="shared" si="269"/>
        <v>0</v>
      </c>
      <c r="Q1676" s="383"/>
      <c r="R1676" s="383"/>
      <c r="S1676" s="25">
        <f t="shared" si="270"/>
        <v>0</v>
      </c>
      <c r="T1676" s="383"/>
      <c r="U1676" s="383"/>
      <c r="V1676" s="381">
        <f t="shared" si="271"/>
        <v>0</v>
      </c>
      <c r="W1676" s="383"/>
      <c r="X1676" s="383"/>
      <c r="Y1676" s="381">
        <f t="shared" si="272"/>
        <v>0</v>
      </c>
    </row>
    <row r="1677" spans="2:25" x14ac:dyDescent="0.2">
      <c r="B1677" s="383"/>
      <c r="C1677" s="32"/>
      <c r="D1677" s="381">
        <f t="shared" si="265"/>
        <v>0</v>
      </c>
      <c r="E1677" s="383"/>
      <c r="F1677" s="382"/>
      <c r="G1677" s="381">
        <f t="shared" si="266"/>
        <v>0</v>
      </c>
      <c r="H1677" s="383"/>
      <c r="I1677" s="383"/>
      <c r="J1677" s="381">
        <f t="shared" si="267"/>
        <v>0</v>
      </c>
      <c r="K1677" s="383"/>
      <c r="L1677" s="383"/>
      <c r="M1677" s="381">
        <f t="shared" si="268"/>
        <v>0</v>
      </c>
      <c r="N1677" s="383"/>
      <c r="O1677" s="383"/>
      <c r="P1677" s="381">
        <f t="shared" si="269"/>
        <v>0</v>
      </c>
      <c r="Q1677" s="383"/>
      <c r="R1677" s="383"/>
      <c r="S1677" s="25">
        <f t="shared" si="270"/>
        <v>0</v>
      </c>
      <c r="T1677" s="383"/>
      <c r="U1677" s="383"/>
      <c r="V1677" s="381">
        <f t="shared" si="271"/>
        <v>0</v>
      </c>
      <c r="W1677" s="383"/>
      <c r="X1677" s="383"/>
      <c r="Y1677" s="381">
        <f t="shared" si="272"/>
        <v>0</v>
      </c>
    </row>
    <row r="1678" spans="2:25" x14ac:dyDescent="0.2">
      <c r="B1678" s="383"/>
      <c r="C1678" s="32"/>
      <c r="D1678" s="381">
        <f t="shared" si="265"/>
        <v>0</v>
      </c>
      <c r="E1678" s="383"/>
      <c r="F1678" s="382"/>
      <c r="G1678" s="381">
        <f t="shared" si="266"/>
        <v>0</v>
      </c>
      <c r="H1678" s="383"/>
      <c r="I1678" s="383"/>
      <c r="J1678" s="381">
        <f t="shared" si="267"/>
        <v>0</v>
      </c>
      <c r="K1678" s="383"/>
      <c r="L1678" s="383"/>
      <c r="M1678" s="381">
        <f t="shared" si="268"/>
        <v>0</v>
      </c>
      <c r="N1678" s="383"/>
      <c r="O1678" s="383"/>
      <c r="P1678" s="381">
        <f t="shared" si="269"/>
        <v>0</v>
      </c>
      <c r="Q1678" s="383"/>
      <c r="R1678" s="383"/>
      <c r="S1678" s="25">
        <f t="shared" si="270"/>
        <v>0</v>
      </c>
      <c r="T1678" s="383"/>
      <c r="U1678" s="383"/>
      <c r="V1678" s="381">
        <f t="shared" si="271"/>
        <v>0</v>
      </c>
      <c r="W1678" s="383"/>
      <c r="X1678" s="383"/>
      <c r="Y1678" s="381">
        <f t="shared" si="272"/>
        <v>0</v>
      </c>
    </row>
    <row r="1679" spans="2:25" x14ac:dyDescent="0.2">
      <c r="B1679" s="383"/>
      <c r="C1679" s="32"/>
      <c r="D1679" s="381">
        <f t="shared" si="265"/>
        <v>0</v>
      </c>
      <c r="E1679" s="383"/>
      <c r="F1679" s="382"/>
      <c r="G1679" s="381">
        <f t="shared" si="266"/>
        <v>0</v>
      </c>
      <c r="H1679" s="383"/>
      <c r="I1679" s="383"/>
      <c r="J1679" s="381">
        <f t="shared" si="267"/>
        <v>0</v>
      </c>
      <c r="K1679" s="383"/>
      <c r="L1679" s="383"/>
      <c r="M1679" s="381">
        <f t="shared" si="268"/>
        <v>0</v>
      </c>
      <c r="N1679" s="383"/>
      <c r="O1679" s="383"/>
      <c r="P1679" s="381">
        <f t="shared" si="269"/>
        <v>0</v>
      </c>
      <c r="Q1679" s="383"/>
      <c r="R1679" s="383"/>
      <c r="S1679" s="25">
        <f t="shared" si="270"/>
        <v>0</v>
      </c>
      <c r="T1679" s="383"/>
      <c r="U1679" s="383"/>
      <c r="V1679" s="381">
        <f t="shared" si="271"/>
        <v>0</v>
      </c>
      <c r="W1679" s="383"/>
      <c r="X1679" s="383"/>
      <c r="Y1679" s="381">
        <f t="shared" si="272"/>
        <v>0</v>
      </c>
    </row>
    <row r="1680" spans="2:25" x14ac:dyDescent="0.2">
      <c r="B1680" s="383"/>
      <c r="C1680" s="32"/>
      <c r="D1680" s="381">
        <f t="shared" si="265"/>
        <v>0</v>
      </c>
      <c r="E1680" s="383"/>
      <c r="F1680" s="382"/>
      <c r="G1680" s="381">
        <f t="shared" si="266"/>
        <v>0</v>
      </c>
      <c r="H1680" s="383"/>
      <c r="I1680" s="383"/>
      <c r="J1680" s="381">
        <f t="shared" si="267"/>
        <v>0</v>
      </c>
      <c r="K1680" s="383"/>
      <c r="L1680" s="383"/>
      <c r="M1680" s="381">
        <f t="shared" si="268"/>
        <v>0</v>
      </c>
      <c r="N1680" s="383"/>
      <c r="O1680" s="383"/>
      <c r="P1680" s="381">
        <f t="shared" si="269"/>
        <v>0</v>
      </c>
      <c r="Q1680" s="383"/>
      <c r="R1680" s="383"/>
      <c r="S1680" s="25">
        <f t="shared" si="270"/>
        <v>0</v>
      </c>
      <c r="T1680" s="383"/>
      <c r="U1680" s="383"/>
      <c r="V1680" s="381">
        <f t="shared" si="271"/>
        <v>0</v>
      </c>
      <c r="W1680" s="383"/>
      <c r="X1680" s="383"/>
      <c r="Y1680" s="381">
        <f t="shared" si="272"/>
        <v>0</v>
      </c>
    </row>
    <row r="1681" spans="2:25" x14ac:dyDescent="0.2">
      <c r="B1681" s="383"/>
      <c r="C1681" s="32"/>
      <c r="D1681" s="381">
        <f t="shared" si="265"/>
        <v>0</v>
      </c>
      <c r="E1681" s="383"/>
      <c r="F1681" s="382"/>
      <c r="G1681" s="381">
        <f t="shared" si="266"/>
        <v>0</v>
      </c>
      <c r="H1681" s="383"/>
      <c r="I1681" s="383"/>
      <c r="J1681" s="381">
        <f t="shared" si="267"/>
        <v>0</v>
      </c>
      <c r="K1681" s="383"/>
      <c r="L1681" s="383"/>
      <c r="M1681" s="381">
        <f t="shared" si="268"/>
        <v>0</v>
      </c>
      <c r="N1681" s="383"/>
      <c r="O1681" s="383"/>
      <c r="P1681" s="381">
        <f t="shared" si="269"/>
        <v>0</v>
      </c>
      <c r="Q1681" s="383"/>
      <c r="R1681" s="383"/>
      <c r="S1681" s="25">
        <f t="shared" si="270"/>
        <v>0</v>
      </c>
      <c r="T1681" s="383"/>
      <c r="U1681" s="383"/>
      <c r="V1681" s="381">
        <f t="shared" si="271"/>
        <v>0</v>
      </c>
      <c r="W1681" s="383"/>
      <c r="X1681" s="383"/>
      <c r="Y1681" s="381">
        <f t="shared" si="272"/>
        <v>0</v>
      </c>
    </row>
    <row r="1682" spans="2:25" x14ac:dyDescent="0.2">
      <c r="B1682" s="383"/>
      <c r="C1682" s="32"/>
      <c r="D1682" s="381">
        <f t="shared" ref="D1682:D1745" si="273">C1682</f>
        <v>0</v>
      </c>
      <c r="E1682" s="383"/>
      <c r="F1682" s="382"/>
      <c r="G1682" s="381">
        <f t="shared" ref="G1682:G1745" si="274">F1682+$AB$2</f>
        <v>0</v>
      </c>
      <c r="H1682" s="383"/>
      <c r="I1682" s="383"/>
      <c r="J1682" s="381">
        <f t="shared" ref="J1682:J1745" si="275">I1682+$AB$3</f>
        <v>0</v>
      </c>
      <c r="K1682" s="383"/>
      <c r="L1682" s="383"/>
      <c r="M1682" s="381">
        <f t="shared" ref="M1682:M1745" si="276">L1682+$AB$4</f>
        <v>0</v>
      </c>
      <c r="N1682" s="383"/>
      <c r="O1682" s="383"/>
      <c r="P1682" s="381">
        <f t="shared" ref="P1682:P1745" si="277">O1682+$AB$5</f>
        <v>0</v>
      </c>
      <c r="Q1682" s="383"/>
      <c r="R1682" s="383"/>
      <c r="S1682" s="25">
        <f t="shared" ref="S1682:S1745" si="278">R1682+$AB$6</f>
        <v>0</v>
      </c>
      <c r="T1682" s="383"/>
      <c r="U1682" s="383"/>
      <c r="V1682" s="381">
        <f t="shared" ref="V1682:V1745" si="279">U1682+$AB$7</f>
        <v>0</v>
      </c>
      <c r="W1682" s="383"/>
      <c r="X1682" s="383"/>
      <c r="Y1682" s="381">
        <f t="shared" ref="Y1682:Y1745" si="280">X1682+$AB$8</f>
        <v>0</v>
      </c>
    </row>
    <row r="1683" spans="2:25" x14ac:dyDescent="0.2">
      <c r="B1683" s="383"/>
      <c r="C1683" s="32"/>
      <c r="D1683" s="381">
        <f t="shared" si="273"/>
        <v>0</v>
      </c>
      <c r="E1683" s="383"/>
      <c r="F1683" s="382"/>
      <c r="G1683" s="381">
        <f t="shared" si="274"/>
        <v>0</v>
      </c>
      <c r="H1683" s="383"/>
      <c r="I1683" s="383"/>
      <c r="J1683" s="381">
        <f t="shared" si="275"/>
        <v>0</v>
      </c>
      <c r="K1683" s="383"/>
      <c r="L1683" s="383"/>
      <c r="M1683" s="381">
        <f t="shared" si="276"/>
        <v>0</v>
      </c>
      <c r="N1683" s="383"/>
      <c r="O1683" s="383"/>
      <c r="P1683" s="381">
        <f t="shared" si="277"/>
        <v>0</v>
      </c>
      <c r="Q1683" s="383"/>
      <c r="R1683" s="383"/>
      <c r="S1683" s="25">
        <f t="shared" si="278"/>
        <v>0</v>
      </c>
      <c r="T1683" s="383"/>
      <c r="U1683" s="383"/>
      <c r="V1683" s="381">
        <f t="shared" si="279"/>
        <v>0</v>
      </c>
      <c r="W1683" s="383"/>
      <c r="X1683" s="383"/>
      <c r="Y1683" s="381">
        <f t="shared" si="280"/>
        <v>0</v>
      </c>
    </row>
    <row r="1684" spans="2:25" x14ac:dyDescent="0.2">
      <c r="B1684" s="383"/>
      <c r="C1684" s="32"/>
      <c r="D1684" s="381">
        <f t="shared" si="273"/>
        <v>0</v>
      </c>
      <c r="E1684" s="383"/>
      <c r="F1684" s="382"/>
      <c r="G1684" s="381">
        <f t="shared" si="274"/>
        <v>0</v>
      </c>
      <c r="H1684" s="383"/>
      <c r="I1684" s="383"/>
      <c r="J1684" s="381">
        <f t="shared" si="275"/>
        <v>0</v>
      </c>
      <c r="K1684" s="383"/>
      <c r="L1684" s="383"/>
      <c r="M1684" s="381">
        <f t="shared" si="276"/>
        <v>0</v>
      </c>
      <c r="N1684" s="383"/>
      <c r="O1684" s="383"/>
      <c r="P1684" s="381">
        <f t="shared" si="277"/>
        <v>0</v>
      </c>
      <c r="Q1684" s="383"/>
      <c r="R1684" s="383"/>
      <c r="S1684" s="25">
        <f t="shared" si="278"/>
        <v>0</v>
      </c>
      <c r="T1684" s="383"/>
      <c r="U1684" s="383"/>
      <c r="V1684" s="381">
        <f t="shared" si="279"/>
        <v>0</v>
      </c>
      <c r="W1684" s="383"/>
      <c r="X1684" s="383"/>
      <c r="Y1684" s="381">
        <f t="shared" si="280"/>
        <v>0</v>
      </c>
    </row>
    <row r="1685" spans="2:25" x14ac:dyDescent="0.2">
      <c r="B1685" s="383"/>
      <c r="C1685" s="32"/>
      <c r="D1685" s="381">
        <f t="shared" si="273"/>
        <v>0</v>
      </c>
      <c r="E1685" s="383"/>
      <c r="F1685" s="382"/>
      <c r="G1685" s="381">
        <f t="shared" si="274"/>
        <v>0</v>
      </c>
      <c r="H1685" s="383"/>
      <c r="I1685" s="383"/>
      <c r="J1685" s="381">
        <f t="shared" si="275"/>
        <v>0</v>
      </c>
      <c r="K1685" s="383"/>
      <c r="L1685" s="383"/>
      <c r="M1685" s="381">
        <f t="shared" si="276"/>
        <v>0</v>
      </c>
      <c r="N1685" s="383"/>
      <c r="O1685" s="383"/>
      <c r="P1685" s="381">
        <f t="shared" si="277"/>
        <v>0</v>
      </c>
      <c r="Q1685" s="383"/>
      <c r="R1685" s="383"/>
      <c r="S1685" s="25">
        <f t="shared" si="278"/>
        <v>0</v>
      </c>
      <c r="T1685" s="383"/>
      <c r="U1685" s="383"/>
      <c r="V1685" s="381">
        <f t="shared" si="279"/>
        <v>0</v>
      </c>
      <c r="W1685" s="383"/>
      <c r="X1685" s="383"/>
      <c r="Y1685" s="381">
        <f t="shared" si="280"/>
        <v>0</v>
      </c>
    </row>
    <row r="1686" spans="2:25" x14ac:dyDescent="0.2">
      <c r="B1686" s="383"/>
      <c r="C1686" s="32"/>
      <c r="D1686" s="381">
        <f t="shared" si="273"/>
        <v>0</v>
      </c>
      <c r="E1686" s="383"/>
      <c r="F1686" s="382"/>
      <c r="G1686" s="381">
        <f t="shared" si="274"/>
        <v>0</v>
      </c>
      <c r="H1686" s="383"/>
      <c r="I1686" s="383"/>
      <c r="J1686" s="381">
        <f t="shared" si="275"/>
        <v>0</v>
      </c>
      <c r="K1686" s="383"/>
      <c r="L1686" s="383"/>
      <c r="M1686" s="381">
        <f t="shared" si="276"/>
        <v>0</v>
      </c>
      <c r="N1686" s="383"/>
      <c r="O1686" s="383"/>
      <c r="P1686" s="381">
        <f t="shared" si="277"/>
        <v>0</v>
      </c>
      <c r="Q1686" s="383"/>
      <c r="R1686" s="383"/>
      <c r="S1686" s="25">
        <f t="shared" si="278"/>
        <v>0</v>
      </c>
      <c r="T1686" s="383"/>
      <c r="U1686" s="383"/>
      <c r="V1686" s="381">
        <f t="shared" si="279"/>
        <v>0</v>
      </c>
      <c r="W1686" s="383"/>
      <c r="X1686" s="383"/>
      <c r="Y1686" s="381">
        <f t="shared" si="280"/>
        <v>0</v>
      </c>
    </row>
    <row r="1687" spans="2:25" x14ac:dyDescent="0.2">
      <c r="B1687" s="383"/>
      <c r="C1687" s="32"/>
      <c r="D1687" s="381">
        <f t="shared" si="273"/>
        <v>0</v>
      </c>
      <c r="E1687" s="383"/>
      <c r="F1687" s="382"/>
      <c r="G1687" s="381">
        <f t="shared" si="274"/>
        <v>0</v>
      </c>
      <c r="H1687" s="383"/>
      <c r="I1687" s="383"/>
      <c r="J1687" s="381">
        <f t="shared" si="275"/>
        <v>0</v>
      </c>
      <c r="K1687" s="383"/>
      <c r="L1687" s="383"/>
      <c r="M1687" s="381">
        <f t="shared" si="276"/>
        <v>0</v>
      </c>
      <c r="N1687" s="383"/>
      <c r="O1687" s="383"/>
      <c r="P1687" s="381">
        <f t="shared" si="277"/>
        <v>0</v>
      </c>
      <c r="Q1687" s="383"/>
      <c r="R1687" s="383"/>
      <c r="S1687" s="25">
        <f t="shared" si="278"/>
        <v>0</v>
      </c>
      <c r="T1687" s="383"/>
      <c r="U1687" s="383"/>
      <c r="V1687" s="381">
        <f t="shared" si="279"/>
        <v>0</v>
      </c>
      <c r="W1687" s="383"/>
      <c r="X1687" s="383"/>
      <c r="Y1687" s="381">
        <f t="shared" si="280"/>
        <v>0</v>
      </c>
    </row>
    <row r="1688" spans="2:25" x14ac:dyDescent="0.2">
      <c r="B1688" s="383"/>
      <c r="C1688" s="32"/>
      <c r="D1688" s="381">
        <f t="shared" si="273"/>
        <v>0</v>
      </c>
      <c r="E1688" s="383"/>
      <c r="F1688" s="382"/>
      <c r="G1688" s="381">
        <f t="shared" si="274"/>
        <v>0</v>
      </c>
      <c r="H1688" s="383"/>
      <c r="I1688" s="383"/>
      <c r="J1688" s="381">
        <f t="shared" si="275"/>
        <v>0</v>
      </c>
      <c r="K1688" s="383"/>
      <c r="L1688" s="383"/>
      <c r="M1688" s="381">
        <f t="shared" si="276"/>
        <v>0</v>
      </c>
      <c r="N1688" s="383"/>
      <c r="O1688" s="383"/>
      <c r="P1688" s="381">
        <f t="shared" si="277"/>
        <v>0</v>
      </c>
      <c r="Q1688" s="383"/>
      <c r="R1688" s="383"/>
      <c r="S1688" s="25">
        <f t="shared" si="278"/>
        <v>0</v>
      </c>
      <c r="T1688" s="383"/>
      <c r="U1688" s="383"/>
      <c r="V1688" s="381">
        <f t="shared" si="279"/>
        <v>0</v>
      </c>
      <c r="W1688" s="383"/>
      <c r="X1688" s="383"/>
      <c r="Y1688" s="381">
        <f t="shared" si="280"/>
        <v>0</v>
      </c>
    </row>
    <row r="1689" spans="2:25" x14ac:dyDescent="0.2">
      <c r="B1689" s="383"/>
      <c r="C1689" s="32"/>
      <c r="D1689" s="381">
        <f t="shared" si="273"/>
        <v>0</v>
      </c>
      <c r="E1689" s="383"/>
      <c r="F1689" s="382"/>
      <c r="G1689" s="381">
        <f t="shared" si="274"/>
        <v>0</v>
      </c>
      <c r="H1689" s="383"/>
      <c r="I1689" s="383"/>
      <c r="J1689" s="381">
        <f t="shared" si="275"/>
        <v>0</v>
      </c>
      <c r="K1689" s="383"/>
      <c r="L1689" s="383"/>
      <c r="M1689" s="381">
        <f t="shared" si="276"/>
        <v>0</v>
      </c>
      <c r="N1689" s="383"/>
      <c r="O1689" s="383"/>
      <c r="P1689" s="381">
        <f t="shared" si="277"/>
        <v>0</v>
      </c>
      <c r="Q1689" s="383"/>
      <c r="R1689" s="383"/>
      <c r="S1689" s="25">
        <f t="shared" si="278"/>
        <v>0</v>
      </c>
      <c r="T1689" s="383"/>
      <c r="U1689" s="383"/>
      <c r="V1689" s="381">
        <f t="shared" si="279"/>
        <v>0</v>
      </c>
      <c r="W1689" s="383"/>
      <c r="X1689" s="383"/>
      <c r="Y1689" s="381">
        <f t="shared" si="280"/>
        <v>0</v>
      </c>
    </row>
    <row r="1690" spans="2:25" x14ac:dyDescent="0.2">
      <c r="B1690" s="383"/>
      <c r="C1690" s="32"/>
      <c r="D1690" s="381">
        <f t="shared" si="273"/>
        <v>0</v>
      </c>
      <c r="E1690" s="383"/>
      <c r="F1690" s="382"/>
      <c r="G1690" s="381">
        <f t="shared" si="274"/>
        <v>0</v>
      </c>
      <c r="H1690" s="383"/>
      <c r="I1690" s="383"/>
      <c r="J1690" s="381">
        <f t="shared" si="275"/>
        <v>0</v>
      </c>
      <c r="K1690" s="383"/>
      <c r="L1690" s="383"/>
      <c r="M1690" s="381">
        <f t="shared" si="276"/>
        <v>0</v>
      </c>
      <c r="N1690" s="383"/>
      <c r="O1690" s="383"/>
      <c r="P1690" s="381">
        <f t="shared" si="277"/>
        <v>0</v>
      </c>
      <c r="Q1690" s="383"/>
      <c r="R1690" s="383"/>
      <c r="S1690" s="25">
        <f t="shared" si="278"/>
        <v>0</v>
      </c>
      <c r="T1690" s="383"/>
      <c r="U1690" s="383"/>
      <c r="V1690" s="381">
        <f t="shared" si="279"/>
        <v>0</v>
      </c>
      <c r="W1690" s="383"/>
      <c r="X1690" s="383"/>
      <c r="Y1690" s="381">
        <f t="shared" si="280"/>
        <v>0</v>
      </c>
    </row>
    <row r="1691" spans="2:25" x14ac:dyDescent="0.2">
      <c r="B1691" s="383"/>
      <c r="C1691" s="32"/>
      <c r="D1691" s="381">
        <f t="shared" si="273"/>
        <v>0</v>
      </c>
      <c r="E1691" s="383"/>
      <c r="F1691" s="382"/>
      <c r="G1691" s="381">
        <f t="shared" si="274"/>
        <v>0</v>
      </c>
      <c r="H1691" s="383"/>
      <c r="I1691" s="383"/>
      <c r="J1691" s="381">
        <f t="shared" si="275"/>
        <v>0</v>
      </c>
      <c r="K1691" s="383"/>
      <c r="L1691" s="383"/>
      <c r="M1691" s="381">
        <f t="shared" si="276"/>
        <v>0</v>
      </c>
      <c r="N1691" s="383"/>
      <c r="O1691" s="383"/>
      <c r="P1691" s="381">
        <f t="shared" si="277"/>
        <v>0</v>
      </c>
      <c r="Q1691" s="383"/>
      <c r="R1691" s="383"/>
      <c r="S1691" s="25">
        <f t="shared" si="278"/>
        <v>0</v>
      </c>
      <c r="T1691" s="383"/>
      <c r="U1691" s="383"/>
      <c r="V1691" s="381">
        <f t="shared" si="279"/>
        <v>0</v>
      </c>
      <c r="W1691" s="383"/>
      <c r="X1691" s="383"/>
      <c r="Y1691" s="381">
        <f t="shared" si="280"/>
        <v>0</v>
      </c>
    </row>
    <row r="1692" spans="2:25" x14ac:dyDescent="0.2">
      <c r="B1692" s="383"/>
      <c r="C1692" s="32"/>
      <c r="D1692" s="381">
        <f t="shared" si="273"/>
        <v>0</v>
      </c>
      <c r="E1692" s="383"/>
      <c r="F1692" s="382"/>
      <c r="G1692" s="381">
        <f t="shared" si="274"/>
        <v>0</v>
      </c>
      <c r="H1692" s="383"/>
      <c r="I1692" s="383"/>
      <c r="J1692" s="381">
        <f t="shared" si="275"/>
        <v>0</v>
      </c>
      <c r="K1692" s="383"/>
      <c r="L1692" s="383"/>
      <c r="M1692" s="381">
        <f t="shared" si="276"/>
        <v>0</v>
      </c>
      <c r="N1692" s="383"/>
      <c r="O1692" s="383"/>
      <c r="P1692" s="381">
        <f t="shared" si="277"/>
        <v>0</v>
      </c>
      <c r="Q1692" s="383"/>
      <c r="R1692" s="383"/>
      <c r="S1692" s="25">
        <f t="shared" si="278"/>
        <v>0</v>
      </c>
      <c r="T1692" s="383"/>
      <c r="U1692" s="383"/>
      <c r="V1692" s="381">
        <f t="shared" si="279"/>
        <v>0</v>
      </c>
      <c r="W1692" s="383"/>
      <c r="X1692" s="383"/>
      <c r="Y1692" s="381">
        <f t="shared" si="280"/>
        <v>0</v>
      </c>
    </row>
    <row r="1693" spans="2:25" x14ac:dyDescent="0.2">
      <c r="B1693" s="383"/>
      <c r="C1693" s="32"/>
      <c r="D1693" s="381">
        <f t="shared" si="273"/>
        <v>0</v>
      </c>
      <c r="E1693" s="383"/>
      <c r="F1693" s="382"/>
      <c r="G1693" s="381">
        <f t="shared" si="274"/>
        <v>0</v>
      </c>
      <c r="H1693" s="383"/>
      <c r="I1693" s="383"/>
      <c r="J1693" s="381">
        <f t="shared" si="275"/>
        <v>0</v>
      </c>
      <c r="K1693" s="383"/>
      <c r="L1693" s="383"/>
      <c r="M1693" s="381">
        <f t="shared" si="276"/>
        <v>0</v>
      </c>
      <c r="N1693" s="383"/>
      <c r="O1693" s="383"/>
      <c r="P1693" s="381">
        <f t="shared" si="277"/>
        <v>0</v>
      </c>
      <c r="Q1693" s="383"/>
      <c r="R1693" s="383"/>
      <c r="S1693" s="25">
        <f t="shared" si="278"/>
        <v>0</v>
      </c>
      <c r="T1693" s="383"/>
      <c r="U1693" s="383"/>
      <c r="V1693" s="381">
        <f t="shared" si="279"/>
        <v>0</v>
      </c>
      <c r="W1693" s="383"/>
      <c r="X1693" s="383"/>
      <c r="Y1693" s="381">
        <f t="shared" si="280"/>
        <v>0</v>
      </c>
    </row>
    <row r="1694" spans="2:25" x14ac:dyDescent="0.2">
      <c r="B1694" s="383"/>
      <c r="C1694" s="32"/>
      <c r="D1694" s="381">
        <f t="shared" si="273"/>
        <v>0</v>
      </c>
      <c r="E1694" s="383"/>
      <c r="F1694" s="382"/>
      <c r="G1694" s="381">
        <f t="shared" si="274"/>
        <v>0</v>
      </c>
      <c r="H1694" s="383"/>
      <c r="I1694" s="383"/>
      <c r="J1694" s="381">
        <f t="shared" si="275"/>
        <v>0</v>
      </c>
      <c r="K1694" s="383"/>
      <c r="L1694" s="383"/>
      <c r="M1694" s="381">
        <f t="shared" si="276"/>
        <v>0</v>
      </c>
      <c r="N1694" s="383"/>
      <c r="O1694" s="383"/>
      <c r="P1694" s="381">
        <f t="shared" si="277"/>
        <v>0</v>
      </c>
      <c r="Q1694" s="383"/>
      <c r="R1694" s="383"/>
      <c r="S1694" s="25">
        <f t="shared" si="278"/>
        <v>0</v>
      </c>
      <c r="T1694" s="383"/>
      <c r="U1694" s="383"/>
      <c r="V1694" s="381">
        <f t="shared" si="279"/>
        <v>0</v>
      </c>
      <c r="W1694" s="383"/>
      <c r="X1694" s="383"/>
      <c r="Y1694" s="381">
        <f t="shared" si="280"/>
        <v>0</v>
      </c>
    </row>
    <row r="1695" spans="2:25" x14ac:dyDescent="0.2">
      <c r="B1695" s="383"/>
      <c r="C1695" s="32"/>
      <c r="D1695" s="381">
        <f t="shared" si="273"/>
        <v>0</v>
      </c>
      <c r="E1695" s="383"/>
      <c r="F1695" s="382"/>
      <c r="G1695" s="381">
        <f t="shared" si="274"/>
        <v>0</v>
      </c>
      <c r="H1695" s="383"/>
      <c r="I1695" s="383"/>
      <c r="J1695" s="381">
        <f t="shared" si="275"/>
        <v>0</v>
      </c>
      <c r="K1695" s="383"/>
      <c r="L1695" s="383"/>
      <c r="M1695" s="381">
        <f t="shared" si="276"/>
        <v>0</v>
      </c>
      <c r="N1695" s="383"/>
      <c r="O1695" s="383"/>
      <c r="P1695" s="381">
        <f t="shared" si="277"/>
        <v>0</v>
      </c>
      <c r="Q1695" s="383"/>
      <c r="R1695" s="383"/>
      <c r="S1695" s="25">
        <f t="shared" si="278"/>
        <v>0</v>
      </c>
      <c r="T1695" s="383"/>
      <c r="U1695" s="383"/>
      <c r="V1695" s="381">
        <f t="shared" si="279"/>
        <v>0</v>
      </c>
      <c r="W1695" s="383"/>
      <c r="X1695" s="383"/>
      <c r="Y1695" s="381">
        <f t="shared" si="280"/>
        <v>0</v>
      </c>
    </row>
    <row r="1696" spans="2:25" x14ac:dyDescent="0.2">
      <c r="B1696" s="383"/>
      <c r="C1696" s="32"/>
      <c r="D1696" s="381">
        <f t="shared" si="273"/>
        <v>0</v>
      </c>
      <c r="E1696" s="383"/>
      <c r="F1696" s="382"/>
      <c r="G1696" s="381">
        <f t="shared" si="274"/>
        <v>0</v>
      </c>
      <c r="H1696" s="383"/>
      <c r="I1696" s="383"/>
      <c r="J1696" s="381">
        <f t="shared" si="275"/>
        <v>0</v>
      </c>
      <c r="K1696" s="383"/>
      <c r="L1696" s="383"/>
      <c r="M1696" s="381">
        <f t="shared" si="276"/>
        <v>0</v>
      </c>
      <c r="N1696" s="383"/>
      <c r="O1696" s="383"/>
      <c r="P1696" s="381">
        <f t="shared" si="277"/>
        <v>0</v>
      </c>
      <c r="Q1696" s="383"/>
      <c r="R1696" s="383"/>
      <c r="S1696" s="25">
        <f t="shared" si="278"/>
        <v>0</v>
      </c>
      <c r="T1696" s="383"/>
      <c r="U1696" s="383"/>
      <c r="V1696" s="381">
        <f t="shared" si="279"/>
        <v>0</v>
      </c>
      <c r="W1696" s="383"/>
      <c r="X1696" s="383"/>
      <c r="Y1696" s="381">
        <f t="shared" si="280"/>
        <v>0</v>
      </c>
    </row>
    <row r="1697" spans="2:25" x14ac:dyDescent="0.2">
      <c r="B1697" s="383"/>
      <c r="C1697" s="32"/>
      <c r="D1697" s="381">
        <f t="shared" si="273"/>
        <v>0</v>
      </c>
      <c r="E1697" s="383"/>
      <c r="F1697" s="382"/>
      <c r="G1697" s="381">
        <f t="shared" si="274"/>
        <v>0</v>
      </c>
      <c r="H1697" s="383"/>
      <c r="I1697" s="383"/>
      <c r="J1697" s="381">
        <f t="shared" si="275"/>
        <v>0</v>
      </c>
      <c r="K1697" s="383"/>
      <c r="L1697" s="383"/>
      <c r="M1697" s="381">
        <f t="shared" si="276"/>
        <v>0</v>
      </c>
      <c r="N1697" s="383"/>
      <c r="O1697" s="383"/>
      <c r="P1697" s="381">
        <f t="shared" si="277"/>
        <v>0</v>
      </c>
      <c r="Q1697" s="383"/>
      <c r="R1697" s="383"/>
      <c r="S1697" s="25">
        <f t="shared" si="278"/>
        <v>0</v>
      </c>
      <c r="T1697" s="383"/>
      <c r="U1697" s="383"/>
      <c r="V1697" s="381">
        <f t="shared" si="279"/>
        <v>0</v>
      </c>
      <c r="W1697" s="383"/>
      <c r="X1697" s="383"/>
      <c r="Y1697" s="381">
        <f t="shared" si="280"/>
        <v>0</v>
      </c>
    </row>
    <row r="1698" spans="2:25" x14ac:dyDescent="0.2">
      <c r="B1698" s="383"/>
      <c r="C1698" s="32"/>
      <c r="D1698" s="381">
        <f t="shared" si="273"/>
        <v>0</v>
      </c>
      <c r="E1698" s="383"/>
      <c r="F1698" s="382"/>
      <c r="G1698" s="381">
        <f t="shared" si="274"/>
        <v>0</v>
      </c>
      <c r="H1698" s="383"/>
      <c r="I1698" s="383"/>
      <c r="J1698" s="381">
        <f t="shared" si="275"/>
        <v>0</v>
      </c>
      <c r="K1698" s="383"/>
      <c r="L1698" s="383"/>
      <c r="M1698" s="381">
        <f t="shared" si="276"/>
        <v>0</v>
      </c>
      <c r="N1698" s="383"/>
      <c r="O1698" s="383"/>
      <c r="P1698" s="381">
        <f t="shared" si="277"/>
        <v>0</v>
      </c>
      <c r="Q1698" s="383"/>
      <c r="R1698" s="383"/>
      <c r="S1698" s="25">
        <f t="shared" si="278"/>
        <v>0</v>
      </c>
      <c r="T1698" s="383"/>
      <c r="U1698" s="383"/>
      <c r="V1698" s="381">
        <f t="shared" si="279"/>
        <v>0</v>
      </c>
      <c r="W1698" s="383"/>
      <c r="X1698" s="383"/>
      <c r="Y1698" s="381">
        <f t="shared" si="280"/>
        <v>0</v>
      </c>
    </row>
    <row r="1699" spans="2:25" x14ac:dyDescent="0.2">
      <c r="B1699" s="383"/>
      <c r="C1699" s="32"/>
      <c r="D1699" s="381">
        <f t="shared" si="273"/>
        <v>0</v>
      </c>
      <c r="E1699" s="383"/>
      <c r="F1699" s="382"/>
      <c r="G1699" s="381">
        <f t="shared" si="274"/>
        <v>0</v>
      </c>
      <c r="H1699" s="383"/>
      <c r="I1699" s="383"/>
      <c r="J1699" s="381">
        <f t="shared" si="275"/>
        <v>0</v>
      </c>
      <c r="K1699" s="383"/>
      <c r="L1699" s="383"/>
      <c r="M1699" s="381">
        <f t="shared" si="276"/>
        <v>0</v>
      </c>
      <c r="N1699" s="383"/>
      <c r="O1699" s="383"/>
      <c r="P1699" s="381">
        <f t="shared" si="277"/>
        <v>0</v>
      </c>
      <c r="Q1699" s="383"/>
      <c r="R1699" s="383"/>
      <c r="S1699" s="25">
        <f t="shared" si="278"/>
        <v>0</v>
      </c>
      <c r="T1699" s="383"/>
      <c r="U1699" s="383"/>
      <c r="V1699" s="381">
        <f t="shared" si="279"/>
        <v>0</v>
      </c>
      <c r="W1699" s="383"/>
      <c r="X1699" s="383"/>
      <c r="Y1699" s="381">
        <f t="shared" si="280"/>
        <v>0</v>
      </c>
    </row>
    <row r="1700" spans="2:25" x14ac:dyDescent="0.2">
      <c r="B1700" s="383"/>
      <c r="C1700" s="32"/>
      <c r="D1700" s="381">
        <f t="shared" si="273"/>
        <v>0</v>
      </c>
      <c r="E1700" s="383"/>
      <c r="F1700" s="382"/>
      <c r="G1700" s="381">
        <f t="shared" si="274"/>
        <v>0</v>
      </c>
      <c r="H1700" s="383"/>
      <c r="I1700" s="383"/>
      <c r="J1700" s="381">
        <f t="shared" si="275"/>
        <v>0</v>
      </c>
      <c r="K1700" s="383"/>
      <c r="L1700" s="383"/>
      <c r="M1700" s="381">
        <f t="shared" si="276"/>
        <v>0</v>
      </c>
      <c r="N1700" s="383"/>
      <c r="O1700" s="383"/>
      <c r="P1700" s="381">
        <f t="shared" si="277"/>
        <v>0</v>
      </c>
      <c r="Q1700" s="383"/>
      <c r="R1700" s="383"/>
      <c r="S1700" s="25">
        <f t="shared" si="278"/>
        <v>0</v>
      </c>
      <c r="T1700" s="383"/>
      <c r="U1700" s="383"/>
      <c r="V1700" s="381">
        <f t="shared" si="279"/>
        <v>0</v>
      </c>
      <c r="W1700" s="383"/>
      <c r="X1700" s="383"/>
      <c r="Y1700" s="381">
        <f t="shared" si="280"/>
        <v>0</v>
      </c>
    </row>
    <row r="1701" spans="2:25" x14ac:dyDescent="0.2">
      <c r="B1701" s="383"/>
      <c r="C1701" s="32"/>
      <c r="D1701" s="381">
        <f t="shared" si="273"/>
        <v>0</v>
      </c>
      <c r="E1701" s="383"/>
      <c r="F1701" s="382"/>
      <c r="G1701" s="381">
        <f t="shared" si="274"/>
        <v>0</v>
      </c>
      <c r="H1701" s="383"/>
      <c r="I1701" s="383"/>
      <c r="J1701" s="381">
        <f t="shared" si="275"/>
        <v>0</v>
      </c>
      <c r="K1701" s="383"/>
      <c r="L1701" s="383"/>
      <c r="M1701" s="381">
        <f t="shared" si="276"/>
        <v>0</v>
      </c>
      <c r="N1701" s="383"/>
      <c r="O1701" s="383"/>
      <c r="P1701" s="381">
        <f t="shared" si="277"/>
        <v>0</v>
      </c>
      <c r="Q1701" s="383"/>
      <c r="R1701" s="383"/>
      <c r="S1701" s="25">
        <f t="shared" si="278"/>
        <v>0</v>
      </c>
      <c r="T1701" s="383"/>
      <c r="U1701" s="383"/>
      <c r="V1701" s="381">
        <f t="shared" si="279"/>
        <v>0</v>
      </c>
      <c r="W1701" s="383"/>
      <c r="X1701" s="383"/>
      <c r="Y1701" s="381">
        <f t="shared" si="280"/>
        <v>0</v>
      </c>
    </row>
    <row r="1702" spans="2:25" x14ac:dyDescent="0.2">
      <c r="B1702" s="383"/>
      <c r="C1702" s="32"/>
      <c r="D1702" s="381">
        <f t="shared" si="273"/>
        <v>0</v>
      </c>
      <c r="E1702" s="383"/>
      <c r="F1702" s="382"/>
      <c r="G1702" s="381">
        <f t="shared" si="274"/>
        <v>0</v>
      </c>
      <c r="H1702" s="383"/>
      <c r="I1702" s="383"/>
      <c r="J1702" s="381">
        <f t="shared" si="275"/>
        <v>0</v>
      </c>
      <c r="K1702" s="383"/>
      <c r="L1702" s="383"/>
      <c r="M1702" s="381">
        <f t="shared" si="276"/>
        <v>0</v>
      </c>
      <c r="N1702" s="383"/>
      <c r="O1702" s="383"/>
      <c r="P1702" s="381">
        <f t="shared" si="277"/>
        <v>0</v>
      </c>
      <c r="Q1702" s="383"/>
      <c r="R1702" s="383"/>
      <c r="S1702" s="25">
        <f t="shared" si="278"/>
        <v>0</v>
      </c>
      <c r="T1702" s="383"/>
      <c r="U1702" s="383"/>
      <c r="V1702" s="381">
        <f t="shared" si="279"/>
        <v>0</v>
      </c>
      <c r="W1702" s="383"/>
      <c r="X1702" s="383"/>
      <c r="Y1702" s="381">
        <f t="shared" si="280"/>
        <v>0</v>
      </c>
    </row>
    <row r="1703" spans="2:25" x14ac:dyDescent="0.2">
      <c r="B1703" s="383"/>
      <c r="C1703" s="32"/>
      <c r="D1703" s="381">
        <f t="shared" si="273"/>
        <v>0</v>
      </c>
      <c r="E1703" s="383"/>
      <c r="F1703" s="382"/>
      <c r="G1703" s="381">
        <f t="shared" si="274"/>
        <v>0</v>
      </c>
      <c r="H1703" s="383"/>
      <c r="I1703" s="383"/>
      <c r="J1703" s="381">
        <f t="shared" si="275"/>
        <v>0</v>
      </c>
      <c r="K1703" s="383"/>
      <c r="L1703" s="383"/>
      <c r="M1703" s="381">
        <f t="shared" si="276"/>
        <v>0</v>
      </c>
      <c r="N1703" s="383"/>
      <c r="O1703" s="383"/>
      <c r="P1703" s="381">
        <f t="shared" si="277"/>
        <v>0</v>
      </c>
      <c r="Q1703" s="383"/>
      <c r="R1703" s="383"/>
      <c r="S1703" s="25">
        <f t="shared" si="278"/>
        <v>0</v>
      </c>
      <c r="T1703" s="383"/>
      <c r="U1703" s="383"/>
      <c r="V1703" s="381">
        <f t="shared" si="279"/>
        <v>0</v>
      </c>
      <c r="W1703" s="383"/>
      <c r="X1703" s="383"/>
      <c r="Y1703" s="381">
        <f t="shared" si="280"/>
        <v>0</v>
      </c>
    </row>
    <row r="1704" spans="2:25" x14ac:dyDescent="0.2">
      <c r="B1704" s="383"/>
      <c r="C1704" s="32"/>
      <c r="D1704" s="381">
        <f t="shared" si="273"/>
        <v>0</v>
      </c>
      <c r="E1704" s="383"/>
      <c r="F1704" s="382"/>
      <c r="G1704" s="381">
        <f t="shared" si="274"/>
        <v>0</v>
      </c>
      <c r="H1704" s="383"/>
      <c r="I1704" s="383"/>
      <c r="J1704" s="381">
        <f t="shared" si="275"/>
        <v>0</v>
      </c>
      <c r="K1704" s="383"/>
      <c r="L1704" s="383"/>
      <c r="M1704" s="381">
        <f t="shared" si="276"/>
        <v>0</v>
      </c>
      <c r="N1704" s="383"/>
      <c r="O1704" s="383"/>
      <c r="P1704" s="381">
        <f t="shared" si="277"/>
        <v>0</v>
      </c>
      <c r="Q1704" s="383"/>
      <c r="R1704" s="383"/>
      <c r="S1704" s="25">
        <f t="shared" si="278"/>
        <v>0</v>
      </c>
      <c r="T1704" s="383"/>
      <c r="U1704" s="383"/>
      <c r="V1704" s="381">
        <f t="shared" si="279"/>
        <v>0</v>
      </c>
      <c r="W1704" s="383"/>
      <c r="X1704" s="383"/>
      <c r="Y1704" s="381">
        <f t="shared" si="280"/>
        <v>0</v>
      </c>
    </row>
    <row r="1705" spans="2:25" x14ac:dyDescent="0.2">
      <c r="B1705" s="383"/>
      <c r="C1705" s="32"/>
      <c r="D1705" s="381">
        <f t="shared" si="273"/>
        <v>0</v>
      </c>
      <c r="E1705" s="383"/>
      <c r="F1705" s="382"/>
      <c r="G1705" s="381">
        <f t="shared" si="274"/>
        <v>0</v>
      </c>
      <c r="H1705" s="383"/>
      <c r="I1705" s="383"/>
      <c r="J1705" s="381">
        <f t="shared" si="275"/>
        <v>0</v>
      </c>
      <c r="K1705" s="383"/>
      <c r="L1705" s="383"/>
      <c r="M1705" s="381">
        <f t="shared" si="276"/>
        <v>0</v>
      </c>
      <c r="N1705" s="383"/>
      <c r="O1705" s="383"/>
      <c r="P1705" s="381">
        <f t="shared" si="277"/>
        <v>0</v>
      </c>
      <c r="Q1705" s="383"/>
      <c r="R1705" s="383"/>
      <c r="S1705" s="25">
        <f t="shared" si="278"/>
        <v>0</v>
      </c>
      <c r="T1705" s="383"/>
      <c r="U1705" s="383"/>
      <c r="V1705" s="381">
        <f t="shared" si="279"/>
        <v>0</v>
      </c>
      <c r="W1705" s="383"/>
      <c r="X1705" s="383"/>
      <c r="Y1705" s="381">
        <f t="shared" si="280"/>
        <v>0</v>
      </c>
    </row>
    <row r="1706" spans="2:25" x14ac:dyDescent="0.2">
      <c r="B1706" s="383"/>
      <c r="C1706" s="32"/>
      <c r="D1706" s="381">
        <f t="shared" si="273"/>
        <v>0</v>
      </c>
      <c r="E1706" s="383"/>
      <c r="F1706" s="382"/>
      <c r="G1706" s="381">
        <f t="shared" si="274"/>
        <v>0</v>
      </c>
      <c r="H1706" s="383"/>
      <c r="I1706" s="383"/>
      <c r="J1706" s="381">
        <f t="shared" si="275"/>
        <v>0</v>
      </c>
      <c r="K1706" s="383"/>
      <c r="L1706" s="383"/>
      <c r="M1706" s="381">
        <f t="shared" si="276"/>
        <v>0</v>
      </c>
      <c r="N1706" s="383"/>
      <c r="O1706" s="383"/>
      <c r="P1706" s="381">
        <f t="shared" si="277"/>
        <v>0</v>
      </c>
      <c r="Q1706" s="383"/>
      <c r="R1706" s="383"/>
      <c r="S1706" s="25">
        <f t="shared" si="278"/>
        <v>0</v>
      </c>
      <c r="T1706" s="383"/>
      <c r="U1706" s="383"/>
      <c r="V1706" s="381">
        <f t="shared" si="279"/>
        <v>0</v>
      </c>
      <c r="W1706" s="383"/>
      <c r="X1706" s="383"/>
      <c r="Y1706" s="381">
        <f t="shared" si="280"/>
        <v>0</v>
      </c>
    </row>
    <row r="1707" spans="2:25" x14ac:dyDescent="0.2">
      <c r="B1707" s="383"/>
      <c r="C1707" s="32"/>
      <c r="D1707" s="381">
        <f t="shared" si="273"/>
        <v>0</v>
      </c>
      <c r="E1707" s="383"/>
      <c r="F1707" s="382"/>
      <c r="G1707" s="381">
        <f t="shared" si="274"/>
        <v>0</v>
      </c>
      <c r="H1707" s="383"/>
      <c r="I1707" s="383"/>
      <c r="J1707" s="381">
        <f t="shared" si="275"/>
        <v>0</v>
      </c>
      <c r="K1707" s="383"/>
      <c r="L1707" s="383"/>
      <c r="M1707" s="381">
        <f t="shared" si="276"/>
        <v>0</v>
      </c>
      <c r="N1707" s="383"/>
      <c r="O1707" s="383"/>
      <c r="P1707" s="381">
        <f t="shared" si="277"/>
        <v>0</v>
      </c>
      <c r="Q1707" s="383"/>
      <c r="R1707" s="383"/>
      <c r="S1707" s="25">
        <f t="shared" si="278"/>
        <v>0</v>
      </c>
      <c r="T1707" s="383"/>
      <c r="U1707" s="383"/>
      <c r="V1707" s="381">
        <f t="shared" si="279"/>
        <v>0</v>
      </c>
      <c r="W1707" s="383"/>
      <c r="X1707" s="383"/>
      <c r="Y1707" s="381">
        <f t="shared" si="280"/>
        <v>0</v>
      </c>
    </row>
    <row r="1708" spans="2:25" x14ac:dyDescent="0.2">
      <c r="B1708" s="383"/>
      <c r="C1708" s="32"/>
      <c r="D1708" s="381">
        <f t="shared" si="273"/>
        <v>0</v>
      </c>
      <c r="E1708" s="383"/>
      <c r="F1708" s="382"/>
      <c r="G1708" s="381">
        <f t="shared" si="274"/>
        <v>0</v>
      </c>
      <c r="H1708" s="383"/>
      <c r="I1708" s="383"/>
      <c r="J1708" s="381">
        <f t="shared" si="275"/>
        <v>0</v>
      </c>
      <c r="K1708" s="383"/>
      <c r="L1708" s="383"/>
      <c r="M1708" s="381">
        <f t="shared" si="276"/>
        <v>0</v>
      </c>
      <c r="N1708" s="383"/>
      <c r="O1708" s="383"/>
      <c r="P1708" s="381">
        <f t="shared" si="277"/>
        <v>0</v>
      </c>
      <c r="Q1708" s="383"/>
      <c r="R1708" s="383"/>
      <c r="S1708" s="25">
        <f t="shared" si="278"/>
        <v>0</v>
      </c>
      <c r="T1708" s="383"/>
      <c r="U1708" s="383"/>
      <c r="V1708" s="381">
        <f t="shared" si="279"/>
        <v>0</v>
      </c>
      <c r="W1708" s="383"/>
      <c r="X1708" s="383"/>
      <c r="Y1708" s="381">
        <f t="shared" si="280"/>
        <v>0</v>
      </c>
    </row>
    <row r="1709" spans="2:25" x14ac:dyDescent="0.2">
      <c r="B1709" s="383"/>
      <c r="C1709" s="32"/>
      <c r="D1709" s="381">
        <f t="shared" si="273"/>
        <v>0</v>
      </c>
      <c r="E1709" s="383"/>
      <c r="F1709" s="382"/>
      <c r="G1709" s="381">
        <f t="shared" si="274"/>
        <v>0</v>
      </c>
      <c r="H1709" s="383"/>
      <c r="I1709" s="383"/>
      <c r="J1709" s="381">
        <f t="shared" si="275"/>
        <v>0</v>
      </c>
      <c r="K1709" s="383"/>
      <c r="L1709" s="383"/>
      <c r="M1709" s="381">
        <f t="shared" si="276"/>
        <v>0</v>
      </c>
      <c r="N1709" s="383"/>
      <c r="O1709" s="383"/>
      <c r="P1709" s="381">
        <f t="shared" si="277"/>
        <v>0</v>
      </c>
      <c r="Q1709" s="383"/>
      <c r="R1709" s="383"/>
      <c r="S1709" s="25">
        <f t="shared" si="278"/>
        <v>0</v>
      </c>
      <c r="T1709" s="383"/>
      <c r="U1709" s="383"/>
      <c r="V1709" s="381">
        <f t="shared" si="279"/>
        <v>0</v>
      </c>
      <c r="W1709" s="383"/>
      <c r="X1709" s="383"/>
      <c r="Y1709" s="381">
        <f t="shared" si="280"/>
        <v>0</v>
      </c>
    </row>
    <row r="1710" spans="2:25" x14ac:dyDescent="0.2">
      <c r="B1710" s="383"/>
      <c r="C1710" s="32"/>
      <c r="D1710" s="381">
        <f t="shared" si="273"/>
        <v>0</v>
      </c>
      <c r="E1710" s="383"/>
      <c r="F1710" s="382"/>
      <c r="G1710" s="381">
        <f t="shared" si="274"/>
        <v>0</v>
      </c>
      <c r="H1710" s="383"/>
      <c r="I1710" s="383"/>
      <c r="J1710" s="381">
        <f t="shared" si="275"/>
        <v>0</v>
      </c>
      <c r="K1710" s="383"/>
      <c r="L1710" s="383"/>
      <c r="M1710" s="381">
        <f t="shared" si="276"/>
        <v>0</v>
      </c>
      <c r="N1710" s="383"/>
      <c r="O1710" s="383"/>
      <c r="P1710" s="381">
        <f t="shared" si="277"/>
        <v>0</v>
      </c>
      <c r="Q1710" s="383"/>
      <c r="R1710" s="383"/>
      <c r="S1710" s="25">
        <f t="shared" si="278"/>
        <v>0</v>
      </c>
      <c r="T1710" s="383"/>
      <c r="U1710" s="383"/>
      <c r="V1710" s="381">
        <f t="shared" si="279"/>
        <v>0</v>
      </c>
      <c r="W1710" s="383"/>
      <c r="X1710" s="383"/>
      <c r="Y1710" s="381">
        <f t="shared" si="280"/>
        <v>0</v>
      </c>
    </row>
    <row r="1711" spans="2:25" x14ac:dyDescent="0.2">
      <c r="B1711" s="383"/>
      <c r="C1711" s="32"/>
      <c r="D1711" s="381">
        <f t="shared" si="273"/>
        <v>0</v>
      </c>
      <c r="E1711" s="383"/>
      <c r="F1711" s="382"/>
      <c r="G1711" s="381">
        <f t="shared" si="274"/>
        <v>0</v>
      </c>
      <c r="H1711" s="383"/>
      <c r="I1711" s="383"/>
      <c r="J1711" s="381">
        <f t="shared" si="275"/>
        <v>0</v>
      </c>
      <c r="K1711" s="383"/>
      <c r="L1711" s="383"/>
      <c r="M1711" s="381">
        <f t="shared" si="276"/>
        <v>0</v>
      </c>
      <c r="N1711" s="383"/>
      <c r="O1711" s="383"/>
      <c r="P1711" s="381">
        <f t="shared" si="277"/>
        <v>0</v>
      </c>
      <c r="Q1711" s="383"/>
      <c r="R1711" s="383"/>
      <c r="S1711" s="25">
        <f t="shared" si="278"/>
        <v>0</v>
      </c>
      <c r="T1711" s="383"/>
      <c r="U1711" s="383"/>
      <c r="V1711" s="381">
        <f t="shared" si="279"/>
        <v>0</v>
      </c>
      <c r="W1711" s="383"/>
      <c r="X1711" s="383"/>
      <c r="Y1711" s="381">
        <f t="shared" si="280"/>
        <v>0</v>
      </c>
    </row>
    <row r="1712" spans="2:25" x14ac:dyDescent="0.2">
      <c r="B1712" s="383"/>
      <c r="C1712" s="32"/>
      <c r="D1712" s="381">
        <f t="shared" si="273"/>
        <v>0</v>
      </c>
      <c r="E1712" s="383"/>
      <c r="F1712" s="382"/>
      <c r="G1712" s="381">
        <f t="shared" si="274"/>
        <v>0</v>
      </c>
      <c r="H1712" s="383"/>
      <c r="I1712" s="383"/>
      <c r="J1712" s="381">
        <f t="shared" si="275"/>
        <v>0</v>
      </c>
      <c r="K1712" s="383"/>
      <c r="L1712" s="383"/>
      <c r="M1712" s="381">
        <f t="shared" si="276"/>
        <v>0</v>
      </c>
      <c r="N1712" s="383"/>
      <c r="O1712" s="383"/>
      <c r="P1712" s="381">
        <f t="shared" si="277"/>
        <v>0</v>
      </c>
      <c r="Q1712" s="383"/>
      <c r="R1712" s="383"/>
      <c r="S1712" s="25">
        <f t="shared" si="278"/>
        <v>0</v>
      </c>
      <c r="T1712" s="383"/>
      <c r="U1712" s="383"/>
      <c r="V1712" s="381">
        <f t="shared" si="279"/>
        <v>0</v>
      </c>
      <c r="W1712" s="383"/>
      <c r="X1712" s="383"/>
      <c r="Y1712" s="381">
        <f t="shared" si="280"/>
        <v>0</v>
      </c>
    </row>
    <row r="1713" spans="2:25" x14ac:dyDescent="0.2">
      <c r="B1713" s="383"/>
      <c r="C1713" s="32"/>
      <c r="D1713" s="381">
        <f t="shared" si="273"/>
        <v>0</v>
      </c>
      <c r="E1713" s="383"/>
      <c r="F1713" s="382"/>
      <c r="G1713" s="381">
        <f t="shared" si="274"/>
        <v>0</v>
      </c>
      <c r="H1713" s="383"/>
      <c r="I1713" s="383"/>
      <c r="J1713" s="381">
        <f t="shared" si="275"/>
        <v>0</v>
      </c>
      <c r="K1713" s="383"/>
      <c r="L1713" s="383"/>
      <c r="M1713" s="381">
        <f t="shared" si="276"/>
        <v>0</v>
      </c>
      <c r="N1713" s="383"/>
      <c r="O1713" s="383"/>
      <c r="P1713" s="381">
        <f t="shared" si="277"/>
        <v>0</v>
      </c>
      <c r="Q1713" s="383"/>
      <c r="R1713" s="383"/>
      <c r="S1713" s="25">
        <f t="shared" si="278"/>
        <v>0</v>
      </c>
      <c r="T1713" s="383"/>
      <c r="U1713" s="383"/>
      <c r="V1713" s="381">
        <f t="shared" si="279"/>
        <v>0</v>
      </c>
      <c r="W1713" s="383"/>
      <c r="X1713" s="383"/>
      <c r="Y1713" s="381">
        <f t="shared" si="280"/>
        <v>0</v>
      </c>
    </row>
    <row r="1714" spans="2:25" x14ac:dyDescent="0.2">
      <c r="B1714" s="383"/>
      <c r="C1714" s="32"/>
      <c r="D1714" s="381">
        <f t="shared" si="273"/>
        <v>0</v>
      </c>
      <c r="E1714" s="383"/>
      <c r="F1714" s="382"/>
      <c r="G1714" s="381">
        <f t="shared" si="274"/>
        <v>0</v>
      </c>
      <c r="H1714" s="383"/>
      <c r="I1714" s="383"/>
      <c r="J1714" s="381">
        <f t="shared" si="275"/>
        <v>0</v>
      </c>
      <c r="K1714" s="383"/>
      <c r="L1714" s="383"/>
      <c r="M1714" s="381">
        <f t="shared" si="276"/>
        <v>0</v>
      </c>
      <c r="N1714" s="383"/>
      <c r="O1714" s="383"/>
      <c r="P1714" s="381">
        <f t="shared" si="277"/>
        <v>0</v>
      </c>
      <c r="Q1714" s="383"/>
      <c r="R1714" s="383"/>
      <c r="S1714" s="25">
        <f t="shared" si="278"/>
        <v>0</v>
      </c>
      <c r="T1714" s="383"/>
      <c r="U1714" s="383"/>
      <c r="V1714" s="381">
        <f t="shared" si="279"/>
        <v>0</v>
      </c>
      <c r="W1714" s="383"/>
      <c r="X1714" s="383"/>
      <c r="Y1714" s="381">
        <f t="shared" si="280"/>
        <v>0</v>
      </c>
    </row>
    <row r="1715" spans="2:25" x14ac:dyDescent="0.2">
      <c r="B1715" s="383"/>
      <c r="C1715" s="32"/>
      <c r="D1715" s="381">
        <f t="shared" si="273"/>
        <v>0</v>
      </c>
      <c r="E1715" s="383"/>
      <c r="F1715" s="382"/>
      <c r="G1715" s="381">
        <f t="shared" si="274"/>
        <v>0</v>
      </c>
      <c r="H1715" s="383"/>
      <c r="I1715" s="383"/>
      <c r="J1715" s="381">
        <f t="shared" si="275"/>
        <v>0</v>
      </c>
      <c r="K1715" s="383"/>
      <c r="L1715" s="383"/>
      <c r="M1715" s="381">
        <f t="shared" si="276"/>
        <v>0</v>
      </c>
      <c r="N1715" s="383"/>
      <c r="O1715" s="383"/>
      <c r="P1715" s="381">
        <f t="shared" si="277"/>
        <v>0</v>
      </c>
      <c r="Q1715" s="383"/>
      <c r="R1715" s="383"/>
      <c r="S1715" s="25">
        <f t="shared" si="278"/>
        <v>0</v>
      </c>
      <c r="T1715" s="383"/>
      <c r="U1715" s="383"/>
      <c r="V1715" s="381">
        <f t="shared" si="279"/>
        <v>0</v>
      </c>
      <c r="W1715" s="383"/>
      <c r="X1715" s="383"/>
      <c r="Y1715" s="381">
        <f t="shared" si="280"/>
        <v>0</v>
      </c>
    </row>
    <row r="1716" spans="2:25" x14ac:dyDescent="0.2">
      <c r="B1716" s="383"/>
      <c r="C1716" s="32"/>
      <c r="D1716" s="381">
        <f t="shared" si="273"/>
        <v>0</v>
      </c>
      <c r="E1716" s="383"/>
      <c r="F1716" s="382"/>
      <c r="G1716" s="381">
        <f t="shared" si="274"/>
        <v>0</v>
      </c>
      <c r="H1716" s="383"/>
      <c r="I1716" s="383"/>
      <c r="J1716" s="381">
        <f t="shared" si="275"/>
        <v>0</v>
      </c>
      <c r="K1716" s="383"/>
      <c r="L1716" s="383"/>
      <c r="M1716" s="381">
        <f t="shared" si="276"/>
        <v>0</v>
      </c>
      <c r="N1716" s="383"/>
      <c r="O1716" s="383"/>
      <c r="P1716" s="381">
        <f t="shared" si="277"/>
        <v>0</v>
      </c>
      <c r="Q1716" s="383"/>
      <c r="R1716" s="383"/>
      <c r="S1716" s="25">
        <f t="shared" si="278"/>
        <v>0</v>
      </c>
      <c r="T1716" s="383"/>
      <c r="U1716" s="383"/>
      <c r="V1716" s="381">
        <f t="shared" si="279"/>
        <v>0</v>
      </c>
      <c r="W1716" s="383"/>
      <c r="X1716" s="383"/>
      <c r="Y1716" s="381">
        <f t="shared" si="280"/>
        <v>0</v>
      </c>
    </row>
    <row r="1717" spans="2:25" x14ac:dyDescent="0.2">
      <c r="B1717" s="383"/>
      <c r="C1717" s="32"/>
      <c r="D1717" s="381">
        <f t="shared" si="273"/>
        <v>0</v>
      </c>
      <c r="E1717" s="383"/>
      <c r="F1717" s="382"/>
      <c r="G1717" s="381">
        <f t="shared" si="274"/>
        <v>0</v>
      </c>
      <c r="H1717" s="383"/>
      <c r="I1717" s="383"/>
      <c r="J1717" s="381">
        <f t="shared" si="275"/>
        <v>0</v>
      </c>
      <c r="K1717" s="383"/>
      <c r="L1717" s="383"/>
      <c r="M1717" s="381">
        <f t="shared" si="276"/>
        <v>0</v>
      </c>
      <c r="N1717" s="383"/>
      <c r="O1717" s="383"/>
      <c r="P1717" s="381">
        <f t="shared" si="277"/>
        <v>0</v>
      </c>
      <c r="Q1717" s="383"/>
      <c r="R1717" s="383"/>
      <c r="S1717" s="25">
        <f t="shared" si="278"/>
        <v>0</v>
      </c>
      <c r="T1717" s="383"/>
      <c r="U1717" s="383"/>
      <c r="V1717" s="381">
        <f t="shared" si="279"/>
        <v>0</v>
      </c>
      <c r="W1717" s="383"/>
      <c r="X1717" s="383"/>
      <c r="Y1717" s="381">
        <f t="shared" si="280"/>
        <v>0</v>
      </c>
    </row>
    <row r="1718" spans="2:25" x14ac:dyDescent="0.2">
      <c r="B1718" s="383"/>
      <c r="C1718" s="32"/>
      <c r="D1718" s="381">
        <f t="shared" si="273"/>
        <v>0</v>
      </c>
      <c r="E1718" s="383"/>
      <c r="F1718" s="382"/>
      <c r="G1718" s="381">
        <f t="shared" si="274"/>
        <v>0</v>
      </c>
      <c r="H1718" s="383"/>
      <c r="I1718" s="383"/>
      <c r="J1718" s="381">
        <f t="shared" si="275"/>
        <v>0</v>
      </c>
      <c r="K1718" s="383"/>
      <c r="L1718" s="383"/>
      <c r="M1718" s="381">
        <f t="shared" si="276"/>
        <v>0</v>
      </c>
      <c r="N1718" s="383"/>
      <c r="O1718" s="383"/>
      <c r="P1718" s="381">
        <f t="shared" si="277"/>
        <v>0</v>
      </c>
      <c r="Q1718" s="383"/>
      <c r="R1718" s="383"/>
      <c r="S1718" s="25">
        <f t="shared" si="278"/>
        <v>0</v>
      </c>
      <c r="T1718" s="383"/>
      <c r="U1718" s="383"/>
      <c r="V1718" s="381">
        <f t="shared" si="279"/>
        <v>0</v>
      </c>
      <c r="W1718" s="383"/>
      <c r="X1718" s="383"/>
      <c r="Y1718" s="381">
        <f t="shared" si="280"/>
        <v>0</v>
      </c>
    </row>
    <row r="1719" spans="2:25" x14ac:dyDescent="0.2">
      <c r="B1719" s="383"/>
      <c r="C1719" s="32"/>
      <c r="D1719" s="381">
        <f t="shared" si="273"/>
        <v>0</v>
      </c>
      <c r="E1719" s="383"/>
      <c r="F1719" s="382"/>
      <c r="G1719" s="381">
        <f t="shared" si="274"/>
        <v>0</v>
      </c>
      <c r="H1719" s="383"/>
      <c r="I1719" s="383"/>
      <c r="J1719" s="381">
        <f t="shared" si="275"/>
        <v>0</v>
      </c>
      <c r="K1719" s="383"/>
      <c r="L1719" s="383"/>
      <c r="M1719" s="381">
        <f t="shared" si="276"/>
        <v>0</v>
      </c>
      <c r="N1719" s="383"/>
      <c r="O1719" s="383"/>
      <c r="P1719" s="381">
        <f t="shared" si="277"/>
        <v>0</v>
      </c>
      <c r="Q1719" s="383"/>
      <c r="R1719" s="383"/>
      <c r="S1719" s="25">
        <f t="shared" si="278"/>
        <v>0</v>
      </c>
      <c r="T1719" s="383"/>
      <c r="U1719" s="383"/>
      <c r="V1719" s="381">
        <f t="shared" si="279"/>
        <v>0</v>
      </c>
      <c r="W1719" s="383"/>
      <c r="X1719" s="383"/>
      <c r="Y1719" s="381">
        <f t="shared" si="280"/>
        <v>0</v>
      </c>
    </row>
    <row r="1720" spans="2:25" x14ac:dyDescent="0.2">
      <c r="B1720" s="383"/>
      <c r="C1720" s="32"/>
      <c r="D1720" s="381">
        <f t="shared" si="273"/>
        <v>0</v>
      </c>
      <c r="E1720" s="383"/>
      <c r="F1720" s="382"/>
      <c r="G1720" s="381">
        <f t="shared" si="274"/>
        <v>0</v>
      </c>
      <c r="H1720" s="383"/>
      <c r="I1720" s="383"/>
      <c r="J1720" s="381">
        <f t="shared" si="275"/>
        <v>0</v>
      </c>
      <c r="K1720" s="383"/>
      <c r="L1720" s="383"/>
      <c r="M1720" s="381">
        <f t="shared" si="276"/>
        <v>0</v>
      </c>
      <c r="N1720" s="383"/>
      <c r="O1720" s="383"/>
      <c r="P1720" s="381">
        <f t="shared" si="277"/>
        <v>0</v>
      </c>
      <c r="Q1720" s="383"/>
      <c r="R1720" s="383"/>
      <c r="S1720" s="25">
        <f t="shared" si="278"/>
        <v>0</v>
      </c>
      <c r="T1720" s="383"/>
      <c r="U1720" s="383"/>
      <c r="V1720" s="381">
        <f t="shared" si="279"/>
        <v>0</v>
      </c>
      <c r="W1720" s="383"/>
      <c r="X1720" s="383"/>
      <c r="Y1720" s="381">
        <f t="shared" si="280"/>
        <v>0</v>
      </c>
    </row>
    <row r="1721" spans="2:25" x14ac:dyDescent="0.2">
      <c r="B1721" s="383"/>
      <c r="C1721" s="32"/>
      <c r="D1721" s="381">
        <f t="shared" si="273"/>
        <v>0</v>
      </c>
      <c r="E1721" s="383"/>
      <c r="F1721" s="382"/>
      <c r="G1721" s="381">
        <f t="shared" si="274"/>
        <v>0</v>
      </c>
      <c r="H1721" s="383"/>
      <c r="I1721" s="383"/>
      <c r="J1721" s="381">
        <f t="shared" si="275"/>
        <v>0</v>
      </c>
      <c r="K1721" s="383"/>
      <c r="L1721" s="383"/>
      <c r="M1721" s="381">
        <f t="shared" si="276"/>
        <v>0</v>
      </c>
      <c r="N1721" s="383"/>
      <c r="O1721" s="383"/>
      <c r="P1721" s="381">
        <f t="shared" si="277"/>
        <v>0</v>
      </c>
      <c r="Q1721" s="383"/>
      <c r="R1721" s="383"/>
      <c r="S1721" s="25">
        <f t="shared" si="278"/>
        <v>0</v>
      </c>
      <c r="T1721" s="383"/>
      <c r="U1721" s="383"/>
      <c r="V1721" s="381">
        <f t="shared" si="279"/>
        <v>0</v>
      </c>
      <c r="W1721" s="383"/>
      <c r="X1721" s="383"/>
      <c r="Y1721" s="381">
        <f t="shared" si="280"/>
        <v>0</v>
      </c>
    </row>
    <row r="1722" spans="2:25" x14ac:dyDescent="0.2">
      <c r="B1722" s="383"/>
      <c r="C1722" s="32"/>
      <c r="D1722" s="381">
        <f t="shared" si="273"/>
        <v>0</v>
      </c>
      <c r="E1722" s="383"/>
      <c r="F1722" s="382"/>
      <c r="G1722" s="381">
        <f t="shared" si="274"/>
        <v>0</v>
      </c>
      <c r="H1722" s="383"/>
      <c r="I1722" s="383"/>
      <c r="J1722" s="381">
        <f t="shared" si="275"/>
        <v>0</v>
      </c>
      <c r="K1722" s="383"/>
      <c r="L1722" s="383"/>
      <c r="M1722" s="381">
        <f t="shared" si="276"/>
        <v>0</v>
      </c>
      <c r="N1722" s="383"/>
      <c r="O1722" s="383"/>
      <c r="P1722" s="381">
        <f t="shared" si="277"/>
        <v>0</v>
      </c>
      <c r="Q1722" s="383"/>
      <c r="R1722" s="383"/>
      <c r="S1722" s="25">
        <f t="shared" si="278"/>
        <v>0</v>
      </c>
      <c r="T1722" s="383"/>
      <c r="U1722" s="383"/>
      <c r="V1722" s="381">
        <f t="shared" si="279"/>
        <v>0</v>
      </c>
      <c r="W1722" s="383"/>
      <c r="X1722" s="383"/>
      <c r="Y1722" s="381">
        <f t="shared" si="280"/>
        <v>0</v>
      </c>
    </row>
    <row r="1723" spans="2:25" x14ac:dyDescent="0.2">
      <c r="B1723" s="383"/>
      <c r="C1723" s="32"/>
      <c r="D1723" s="381">
        <f t="shared" si="273"/>
        <v>0</v>
      </c>
      <c r="E1723" s="383"/>
      <c r="F1723" s="382"/>
      <c r="G1723" s="381">
        <f t="shared" si="274"/>
        <v>0</v>
      </c>
      <c r="H1723" s="383"/>
      <c r="I1723" s="383"/>
      <c r="J1723" s="381">
        <f t="shared" si="275"/>
        <v>0</v>
      </c>
      <c r="K1723" s="383"/>
      <c r="L1723" s="383"/>
      <c r="M1723" s="381">
        <f t="shared" si="276"/>
        <v>0</v>
      </c>
      <c r="N1723" s="383"/>
      <c r="O1723" s="383"/>
      <c r="P1723" s="381">
        <f t="shared" si="277"/>
        <v>0</v>
      </c>
      <c r="Q1723" s="383"/>
      <c r="R1723" s="383"/>
      <c r="S1723" s="25">
        <f t="shared" si="278"/>
        <v>0</v>
      </c>
      <c r="T1723" s="383"/>
      <c r="U1723" s="383"/>
      <c r="V1723" s="381">
        <f t="shared" si="279"/>
        <v>0</v>
      </c>
      <c r="W1723" s="383"/>
      <c r="X1723" s="383"/>
      <c r="Y1723" s="381">
        <f t="shared" si="280"/>
        <v>0</v>
      </c>
    </row>
    <row r="1724" spans="2:25" x14ac:dyDescent="0.2">
      <c r="B1724" s="383"/>
      <c r="C1724" s="32"/>
      <c r="D1724" s="381">
        <f t="shared" si="273"/>
        <v>0</v>
      </c>
      <c r="E1724" s="383"/>
      <c r="F1724" s="382"/>
      <c r="G1724" s="381">
        <f t="shared" si="274"/>
        <v>0</v>
      </c>
      <c r="H1724" s="383"/>
      <c r="I1724" s="383"/>
      <c r="J1724" s="381">
        <f t="shared" si="275"/>
        <v>0</v>
      </c>
      <c r="K1724" s="383"/>
      <c r="L1724" s="383"/>
      <c r="M1724" s="381">
        <f t="shared" si="276"/>
        <v>0</v>
      </c>
      <c r="N1724" s="383"/>
      <c r="O1724" s="383"/>
      <c r="P1724" s="381">
        <f t="shared" si="277"/>
        <v>0</v>
      </c>
      <c r="Q1724" s="383"/>
      <c r="R1724" s="383"/>
      <c r="S1724" s="25">
        <f t="shared" si="278"/>
        <v>0</v>
      </c>
      <c r="T1724" s="383"/>
      <c r="U1724" s="383"/>
      <c r="V1724" s="381">
        <f t="shared" si="279"/>
        <v>0</v>
      </c>
      <c r="W1724" s="383"/>
      <c r="X1724" s="383"/>
      <c r="Y1724" s="381">
        <f t="shared" si="280"/>
        <v>0</v>
      </c>
    </row>
    <row r="1725" spans="2:25" x14ac:dyDescent="0.2">
      <c r="B1725" s="383"/>
      <c r="C1725" s="32"/>
      <c r="D1725" s="381">
        <f t="shared" si="273"/>
        <v>0</v>
      </c>
      <c r="E1725" s="383"/>
      <c r="F1725" s="382"/>
      <c r="G1725" s="381">
        <f t="shared" si="274"/>
        <v>0</v>
      </c>
      <c r="H1725" s="383"/>
      <c r="I1725" s="383"/>
      <c r="J1725" s="381">
        <f t="shared" si="275"/>
        <v>0</v>
      </c>
      <c r="K1725" s="383"/>
      <c r="L1725" s="383"/>
      <c r="M1725" s="381">
        <f t="shared" si="276"/>
        <v>0</v>
      </c>
      <c r="N1725" s="383"/>
      <c r="O1725" s="383"/>
      <c r="P1725" s="381">
        <f t="shared" si="277"/>
        <v>0</v>
      </c>
      <c r="Q1725" s="383"/>
      <c r="R1725" s="383"/>
      <c r="S1725" s="25">
        <f t="shared" si="278"/>
        <v>0</v>
      </c>
      <c r="T1725" s="383"/>
      <c r="U1725" s="383"/>
      <c r="V1725" s="381">
        <f t="shared" si="279"/>
        <v>0</v>
      </c>
      <c r="W1725" s="383"/>
      <c r="X1725" s="383"/>
      <c r="Y1725" s="381">
        <f t="shared" si="280"/>
        <v>0</v>
      </c>
    </row>
    <row r="1726" spans="2:25" x14ac:dyDescent="0.2">
      <c r="B1726" s="383"/>
      <c r="C1726" s="32"/>
      <c r="D1726" s="381">
        <f t="shared" si="273"/>
        <v>0</v>
      </c>
      <c r="E1726" s="383"/>
      <c r="F1726" s="382"/>
      <c r="G1726" s="381">
        <f t="shared" si="274"/>
        <v>0</v>
      </c>
      <c r="H1726" s="383"/>
      <c r="I1726" s="383"/>
      <c r="J1726" s="381">
        <f t="shared" si="275"/>
        <v>0</v>
      </c>
      <c r="K1726" s="383"/>
      <c r="L1726" s="383"/>
      <c r="M1726" s="381">
        <f t="shared" si="276"/>
        <v>0</v>
      </c>
      <c r="N1726" s="383"/>
      <c r="O1726" s="383"/>
      <c r="P1726" s="381">
        <f t="shared" si="277"/>
        <v>0</v>
      </c>
      <c r="Q1726" s="383"/>
      <c r="R1726" s="383"/>
      <c r="S1726" s="25">
        <f t="shared" si="278"/>
        <v>0</v>
      </c>
      <c r="T1726" s="383"/>
      <c r="U1726" s="383"/>
      <c r="V1726" s="381">
        <f t="shared" si="279"/>
        <v>0</v>
      </c>
      <c r="W1726" s="383"/>
      <c r="X1726" s="383"/>
      <c r="Y1726" s="381">
        <f t="shared" si="280"/>
        <v>0</v>
      </c>
    </row>
    <row r="1727" spans="2:25" x14ac:dyDescent="0.2">
      <c r="B1727" s="383"/>
      <c r="C1727" s="32"/>
      <c r="D1727" s="381">
        <f t="shared" si="273"/>
        <v>0</v>
      </c>
      <c r="E1727" s="383"/>
      <c r="F1727" s="382"/>
      <c r="G1727" s="381">
        <f t="shared" si="274"/>
        <v>0</v>
      </c>
      <c r="H1727" s="383"/>
      <c r="I1727" s="383"/>
      <c r="J1727" s="381">
        <f t="shared" si="275"/>
        <v>0</v>
      </c>
      <c r="K1727" s="383"/>
      <c r="L1727" s="383"/>
      <c r="M1727" s="381">
        <f t="shared" si="276"/>
        <v>0</v>
      </c>
      <c r="N1727" s="383"/>
      <c r="O1727" s="383"/>
      <c r="P1727" s="381">
        <f t="shared" si="277"/>
        <v>0</v>
      </c>
      <c r="Q1727" s="383"/>
      <c r="R1727" s="383"/>
      <c r="S1727" s="25">
        <f t="shared" si="278"/>
        <v>0</v>
      </c>
      <c r="T1727" s="383"/>
      <c r="U1727" s="383"/>
      <c r="V1727" s="381">
        <f t="shared" si="279"/>
        <v>0</v>
      </c>
      <c r="W1727" s="383"/>
      <c r="X1727" s="383"/>
      <c r="Y1727" s="381">
        <f t="shared" si="280"/>
        <v>0</v>
      </c>
    </row>
    <row r="1728" spans="2:25" x14ac:dyDescent="0.2">
      <c r="B1728" s="383"/>
      <c r="C1728" s="32"/>
      <c r="D1728" s="381">
        <f t="shared" si="273"/>
        <v>0</v>
      </c>
      <c r="E1728" s="383"/>
      <c r="F1728" s="382"/>
      <c r="G1728" s="381">
        <f t="shared" si="274"/>
        <v>0</v>
      </c>
      <c r="H1728" s="383"/>
      <c r="I1728" s="383"/>
      <c r="J1728" s="381">
        <f t="shared" si="275"/>
        <v>0</v>
      </c>
      <c r="K1728" s="383"/>
      <c r="L1728" s="383"/>
      <c r="M1728" s="381">
        <f t="shared" si="276"/>
        <v>0</v>
      </c>
      <c r="N1728" s="383"/>
      <c r="O1728" s="383"/>
      <c r="P1728" s="381">
        <f t="shared" si="277"/>
        <v>0</v>
      </c>
      <c r="Q1728" s="383"/>
      <c r="R1728" s="383"/>
      <c r="S1728" s="25">
        <f t="shared" si="278"/>
        <v>0</v>
      </c>
      <c r="T1728" s="383"/>
      <c r="U1728" s="383"/>
      <c r="V1728" s="381">
        <f t="shared" si="279"/>
        <v>0</v>
      </c>
      <c r="W1728" s="383"/>
      <c r="X1728" s="383"/>
      <c r="Y1728" s="381">
        <f t="shared" si="280"/>
        <v>0</v>
      </c>
    </row>
    <row r="1729" spans="2:25" x14ac:dyDescent="0.2">
      <c r="B1729" s="383"/>
      <c r="C1729" s="32"/>
      <c r="D1729" s="381">
        <f t="shared" si="273"/>
        <v>0</v>
      </c>
      <c r="E1729" s="383"/>
      <c r="F1729" s="382"/>
      <c r="G1729" s="381">
        <f t="shared" si="274"/>
        <v>0</v>
      </c>
      <c r="H1729" s="383"/>
      <c r="I1729" s="383"/>
      <c r="J1729" s="381">
        <f t="shared" si="275"/>
        <v>0</v>
      </c>
      <c r="K1729" s="383"/>
      <c r="L1729" s="383"/>
      <c r="M1729" s="381">
        <f t="shared" si="276"/>
        <v>0</v>
      </c>
      <c r="N1729" s="383"/>
      <c r="O1729" s="383"/>
      <c r="P1729" s="381">
        <f t="shared" si="277"/>
        <v>0</v>
      </c>
      <c r="Q1729" s="383"/>
      <c r="R1729" s="383"/>
      <c r="S1729" s="25">
        <f t="shared" si="278"/>
        <v>0</v>
      </c>
      <c r="T1729" s="383"/>
      <c r="U1729" s="383"/>
      <c r="V1729" s="381">
        <f t="shared" si="279"/>
        <v>0</v>
      </c>
      <c r="W1729" s="383"/>
      <c r="X1729" s="383"/>
      <c r="Y1729" s="381">
        <f t="shared" si="280"/>
        <v>0</v>
      </c>
    </row>
    <row r="1730" spans="2:25" x14ac:dyDescent="0.2">
      <c r="B1730" s="383"/>
      <c r="C1730" s="32"/>
      <c r="D1730" s="381">
        <f t="shared" si="273"/>
        <v>0</v>
      </c>
      <c r="E1730" s="383"/>
      <c r="F1730" s="382"/>
      <c r="G1730" s="381">
        <f t="shared" si="274"/>
        <v>0</v>
      </c>
      <c r="H1730" s="383"/>
      <c r="I1730" s="383"/>
      <c r="J1730" s="381">
        <f t="shared" si="275"/>
        <v>0</v>
      </c>
      <c r="K1730" s="383"/>
      <c r="L1730" s="383"/>
      <c r="M1730" s="381">
        <f t="shared" si="276"/>
        <v>0</v>
      </c>
      <c r="N1730" s="383"/>
      <c r="O1730" s="383"/>
      <c r="P1730" s="381">
        <f t="shared" si="277"/>
        <v>0</v>
      </c>
      <c r="Q1730" s="383"/>
      <c r="R1730" s="383"/>
      <c r="S1730" s="25">
        <f t="shared" si="278"/>
        <v>0</v>
      </c>
      <c r="T1730" s="383"/>
      <c r="U1730" s="383"/>
      <c r="V1730" s="381">
        <f t="shared" si="279"/>
        <v>0</v>
      </c>
      <c r="W1730" s="383"/>
      <c r="X1730" s="383"/>
      <c r="Y1730" s="381">
        <f t="shared" si="280"/>
        <v>0</v>
      </c>
    </row>
    <row r="1731" spans="2:25" x14ac:dyDescent="0.2">
      <c r="B1731" s="383"/>
      <c r="C1731" s="32"/>
      <c r="D1731" s="381">
        <f t="shared" si="273"/>
        <v>0</v>
      </c>
      <c r="E1731" s="383"/>
      <c r="F1731" s="382"/>
      <c r="G1731" s="381">
        <f t="shared" si="274"/>
        <v>0</v>
      </c>
      <c r="H1731" s="383"/>
      <c r="I1731" s="383"/>
      <c r="J1731" s="381">
        <f t="shared" si="275"/>
        <v>0</v>
      </c>
      <c r="K1731" s="383"/>
      <c r="L1731" s="383"/>
      <c r="M1731" s="381">
        <f t="shared" si="276"/>
        <v>0</v>
      </c>
      <c r="N1731" s="383"/>
      <c r="O1731" s="383"/>
      <c r="P1731" s="381">
        <f t="shared" si="277"/>
        <v>0</v>
      </c>
      <c r="Q1731" s="383"/>
      <c r="R1731" s="383"/>
      <c r="S1731" s="25">
        <f t="shared" si="278"/>
        <v>0</v>
      </c>
      <c r="T1731" s="383"/>
      <c r="U1731" s="383"/>
      <c r="V1731" s="381">
        <f t="shared" si="279"/>
        <v>0</v>
      </c>
      <c r="W1731" s="383"/>
      <c r="X1731" s="383"/>
      <c r="Y1731" s="381">
        <f t="shared" si="280"/>
        <v>0</v>
      </c>
    </row>
    <row r="1732" spans="2:25" x14ac:dyDescent="0.2">
      <c r="B1732" s="383"/>
      <c r="C1732" s="32"/>
      <c r="D1732" s="381">
        <f t="shared" si="273"/>
        <v>0</v>
      </c>
      <c r="E1732" s="383"/>
      <c r="F1732" s="382"/>
      <c r="G1732" s="381">
        <f t="shared" si="274"/>
        <v>0</v>
      </c>
      <c r="H1732" s="383"/>
      <c r="I1732" s="383"/>
      <c r="J1732" s="381">
        <f t="shared" si="275"/>
        <v>0</v>
      </c>
      <c r="K1732" s="383"/>
      <c r="L1732" s="383"/>
      <c r="M1732" s="381">
        <f t="shared" si="276"/>
        <v>0</v>
      </c>
      <c r="N1732" s="383"/>
      <c r="O1732" s="383"/>
      <c r="P1732" s="381">
        <f t="shared" si="277"/>
        <v>0</v>
      </c>
      <c r="Q1732" s="383"/>
      <c r="R1732" s="383"/>
      <c r="S1732" s="25">
        <f t="shared" si="278"/>
        <v>0</v>
      </c>
      <c r="T1732" s="383"/>
      <c r="U1732" s="383"/>
      <c r="V1732" s="381">
        <f t="shared" si="279"/>
        <v>0</v>
      </c>
      <c r="W1732" s="383"/>
      <c r="X1732" s="383"/>
      <c r="Y1732" s="381">
        <f t="shared" si="280"/>
        <v>0</v>
      </c>
    </row>
    <row r="1733" spans="2:25" x14ac:dyDescent="0.2">
      <c r="B1733" s="383"/>
      <c r="C1733" s="32"/>
      <c r="D1733" s="381">
        <f t="shared" si="273"/>
        <v>0</v>
      </c>
      <c r="E1733" s="383"/>
      <c r="F1733" s="382"/>
      <c r="G1733" s="381">
        <f t="shared" si="274"/>
        <v>0</v>
      </c>
      <c r="H1733" s="383"/>
      <c r="I1733" s="383"/>
      <c r="J1733" s="381">
        <f t="shared" si="275"/>
        <v>0</v>
      </c>
      <c r="K1733" s="383"/>
      <c r="L1733" s="383"/>
      <c r="M1733" s="381">
        <f t="shared" si="276"/>
        <v>0</v>
      </c>
      <c r="N1733" s="383"/>
      <c r="O1733" s="383"/>
      <c r="P1733" s="381">
        <f t="shared" si="277"/>
        <v>0</v>
      </c>
      <c r="Q1733" s="383"/>
      <c r="R1733" s="383"/>
      <c r="S1733" s="25">
        <f t="shared" si="278"/>
        <v>0</v>
      </c>
      <c r="T1733" s="383"/>
      <c r="U1733" s="383"/>
      <c r="V1733" s="381">
        <f t="shared" si="279"/>
        <v>0</v>
      </c>
      <c r="W1733" s="383"/>
      <c r="X1733" s="383"/>
      <c r="Y1733" s="381">
        <f t="shared" si="280"/>
        <v>0</v>
      </c>
    </row>
    <row r="1734" spans="2:25" x14ac:dyDescent="0.2">
      <c r="B1734" s="383"/>
      <c r="C1734" s="32"/>
      <c r="D1734" s="381">
        <f t="shared" si="273"/>
        <v>0</v>
      </c>
      <c r="E1734" s="383"/>
      <c r="F1734" s="382"/>
      <c r="G1734" s="381">
        <f t="shared" si="274"/>
        <v>0</v>
      </c>
      <c r="H1734" s="383"/>
      <c r="I1734" s="383"/>
      <c r="J1734" s="381">
        <f t="shared" si="275"/>
        <v>0</v>
      </c>
      <c r="K1734" s="383"/>
      <c r="L1734" s="383"/>
      <c r="M1734" s="381">
        <f t="shared" si="276"/>
        <v>0</v>
      </c>
      <c r="N1734" s="383"/>
      <c r="O1734" s="383"/>
      <c r="P1734" s="381">
        <f t="shared" si="277"/>
        <v>0</v>
      </c>
      <c r="Q1734" s="383"/>
      <c r="R1734" s="383"/>
      <c r="S1734" s="25">
        <f t="shared" si="278"/>
        <v>0</v>
      </c>
      <c r="T1734" s="383"/>
      <c r="U1734" s="383"/>
      <c r="V1734" s="381">
        <f t="shared" si="279"/>
        <v>0</v>
      </c>
      <c r="W1734" s="383"/>
      <c r="X1734" s="383"/>
      <c r="Y1734" s="381">
        <f t="shared" si="280"/>
        <v>0</v>
      </c>
    </row>
    <row r="1735" spans="2:25" x14ac:dyDescent="0.2">
      <c r="B1735" s="383"/>
      <c r="C1735" s="32"/>
      <c r="D1735" s="381">
        <f t="shared" si="273"/>
        <v>0</v>
      </c>
      <c r="E1735" s="383"/>
      <c r="F1735" s="382"/>
      <c r="G1735" s="381">
        <f t="shared" si="274"/>
        <v>0</v>
      </c>
      <c r="H1735" s="383"/>
      <c r="I1735" s="383"/>
      <c r="J1735" s="381">
        <f t="shared" si="275"/>
        <v>0</v>
      </c>
      <c r="K1735" s="383"/>
      <c r="L1735" s="383"/>
      <c r="M1735" s="381">
        <f t="shared" si="276"/>
        <v>0</v>
      </c>
      <c r="N1735" s="383"/>
      <c r="O1735" s="383"/>
      <c r="P1735" s="381">
        <f t="shared" si="277"/>
        <v>0</v>
      </c>
      <c r="Q1735" s="383"/>
      <c r="R1735" s="383"/>
      <c r="S1735" s="25">
        <f t="shared" si="278"/>
        <v>0</v>
      </c>
      <c r="T1735" s="383"/>
      <c r="U1735" s="383"/>
      <c r="V1735" s="381">
        <f t="shared" si="279"/>
        <v>0</v>
      </c>
      <c r="W1735" s="383"/>
      <c r="X1735" s="383"/>
      <c r="Y1735" s="381">
        <f t="shared" si="280"/>
        <v>0</v>
      </c>
    </row>
    <row r="1736" spans="2:25" x14ac:dyDescent="0.2">
      <c r="B1736" s="383"/>
      <c r="C1736" s="32"/>
      <c r="D1736" s="381">
        <f t="shared" si="273"/>
        <v>0</v>
      </c>
      <c r="E1736" s="383"/>
      <c r="F1736" s="382"/>
      <c r="G1736" s="381">
        <f t="shared" si="274"/>
        <v>0</v>
      </c>
      <c r="H1736" s="383"/>
      <c r="I1736" s="383"/>
      <c r="J1736" s="381">
        <f t="shared" si="275"/>
        <v>0</v>
      </c>
      <c r="K1736" s="383"/>
      <c r="L1736" s="383"/>
      <c r="M1736" s="381">
        <f t="shared" si="276"/>
        <v>0</v>
      </c>
      <c r="N1736" s="383"/>
      <c r="O1736" s="383"/>
      <c r="P1736" s="381">
        <f t="shared" si="277"/>
        <v>0</v>
      </c>
      <c r="Q1736" s="383"/>
      <c r="R1736" s="383"/>
      <c r="S1736" s="25">
        <f t="shared" si="278"/>
        <v>0</v>
      </c>
      <c r="T1736" s="383"/>
      <c r="U1736" s="383"/>
      <c r="V1736" s="381">
        <f t="shared" si="279"/>
        <v>0</v>
      </c>
      <c r="W1736" s="383"/>
      <c r="X1736" s="383"/>
      <c r="Y1736" s="381">
        <f t="shared" si="280"/>
        <v>0</v>
      </c>
    </row>
    <row r="1737" spans="2:25" x14ac:dyDescent="0.2">
      <c r="B1737" s="383"/>
      <c r="C1737" s="32"/>
      <c r="D1737" s="381">
        <f t="shared" si="273"/>
        <v>0</v>
      </c>
      <c r="E1737" s="383"/>
      <c r="F1737" s="382"/>
      <c r="G1737" s="381">
        <f t="shared" si="274"/>
        <v>0</v>
      </c>
      <c r="H1737" s="383"/>
      <c r="I1737" s="383"/>
      <c r="J1737" s="381">
        <f t="shared" si="275"/>
        <v>0</v>
      </c>
      <c r="K1737" s="383"/>
      <c r="L1737" s="383"/>
      <c r="M1737" s="381">
        <f t="shared" si="276"/>
        <v>0</v>
      </c>
      <c r="N1737" s="383"/>
      <c r="O1737" s="383"/>
      <c r="P1737" s="381">
        <f t="shared" si="277"/>
        <v>0</v>
      </c>
      <c r="Q1737" s="383"/>
      <c r="R1737" s="383"/>
      <c r="S1737" s="25">
        <f t="shared" si="278"/>
        <v>0</v>
      </c>
      <c r="T1737" s="383"/>
      <c r="U1737" s="383"/>
      <c r="V1737" s="381">
        <f t="shared" si="279"/>
        <v>0</v>
      </c>
      <c r="W1737" s="383"/>
      <c r="X1737" s="383"/>
      <c r="Y1737" s="381">
        <f t="shared" si="280"/>
        <v>0</v>
      </c>
    </row>
    <row r="1738" spans="2:25" x14ac:dyDescent="0.2">
      <c r="B1738" s="383"/>
      <c r="C1738" s="32"/>
      <c r="D1738" s="381">
        <f t="shared" si="273"/>
        <v>0</v>
      </c>
      <c r="E1738" s="383"/>
      <c r="F1738" s="382"/>
      <c r="G1738" s="381">
        <f t="shared" si="274"/>
        <v>0</v>
      </c>
      <c r="H1738" s="383"/>
      <c r="I1738" s="383"/>
      <c r="J1738" s="381">
        <f t="shared" si="275"/>
        <v>0</v>
      </c>
      <c r="K1738" s="383"/>
      <c r="L1738" s="383"/>
      <c r="M1738" s="381">
        <f t="shared" si="276"/>
        <v>0</v>
      </c>
      <c r="N1738" s="383"/>
      <c r="O1738" s="383"/>
      <c r="P1738" s="381">
        <f t="shared" si="277"/>
        <v>0</v>
      </c>
      <c r="Q1738" s="383"/>
      <c r="R1738" s="383"/>
      <c r="S1738" s="25">
        <f t="shared" si="278"/>
        <v>0</v>
      </c>
      <c r="T1738" s="383"/>
      <c r="U1738" s="383"/>
      <c r="V1738" s="381">
        <f t="shared" si="279"/>
        <v>0</v>
      </c>
      <c r="W1738" s="383"/>
      <c r="X1738" s="383"/>
      <c r="Y1738" s="381">
        <f t="shared" si="280"/>
        <v>0</v>
      </c>
    </row>
    <row r="1739" spans="2:25" x14ac:dyDescent="0.2">
      <c r="B1739" s="383"/>
      <c r="C1739" s="32"/>
      <c r="D1739" s="381">
        <f t="shared" si="273"/>
        <v>0</v>
      </c>
      <c r="E1739" s="383"/>
      <c r="F1739" s="382"/>
      <c r="G1739" s="381">
        <f t="shared" si="274"/>
        <v>0</v>
      </c>
      <c r="H1739" s="383"/>
      <c r="I1739" s="383"/>
      <c r="J1739" s="381">
        <f t="shared" si="275"/>
        <v>0</v>
      </c>
      <c r="K1739" s="383"/>
      <c r="L1739" s="383"/>
      <c r="M1739" s="381">
        <f t="shared" si="276"/>
        <v>0</v>
      </c>
      <c r="N1739" s="383"/>
      <c r="O1739" s="383"/>
      <c r="P1739" s="381">
        <f t="shared" si="277"/>
        <v>0</v>
      </c>
      <c r="Q1739" s="383"/>
      <c r="R1739" s="383"/>
      <c r="S1739" s="25">
        <f t="shared" si="278"/>
        <v>0</v>
      </c>
      <c r="T1739" s="383"/>
      <c r="U1739" s="383"/>
      <c r="V1739" s="381">
        <f t="shared" si="279"/>
        <v>0</v>
      </c>
      <c r="W1739" s="383"/>
      <c r="X1739" s="383"/>
      <c r="Y1739" s="381">
        <f t="shared" si="280"/>
        <v>0</v>
      </c>
    </row>
    <row r="1740" spans="2:25" x14ac:dyDescent="0.2">
      <c r="B1740" s="383"/>
      <c r="C1740" s="383"/>
      <c r="D1740" s="381">
        <f t="shared" si="273"/>
        <v>0</v>
      </c>
      <c r="E1740" s="383"/>
      <c r="F1740" s="382"/>
      <c r="G1740" s="381">
        <f t="shared" si="274"/>
        <v>0</v>
      </c>
      <c r="H1740" s="383"/>
      <c r="I1740" s="383"/>
      <c r="J1740" s="381">
        <f t="shared" si="275"/>
        <v>0</v>
      </c>
      <c r="K1740" s="383"/>
      <c r="L1740" s="383"/>
      <c r="M1740" s="381">
        <f t="shared" si="276"/>
        <v>0</v>
      </c>
      <c r="N1740" s="383"/>
      <c r="O1740" s="383"/>
      <c r="P1740" s="381">
        <f t="shared" si="277"/>
        <v>0</v>
      </c>
      <c r="Q1740" s="383"/>
      <c r="R1740" s="383"/>
      <c r="S1740" s="25">
        <f t="shared" si="278"/>
        <v>0</v>
      </c>
      <c r="T1740" s="383"/>
      <c r="U1740" s="383"/>
      <c r="V1740" s="381">
        <f t="shared" si="279"/>
        <v>0</v>
      </c>
      <c r="W1740" s="383"/>
      <c r="X1740" s="383"/>
      <c r="Y1740" s="381">
        <f t="shared" si="280"/>
        <v>0</v>
      </c>
    </row>
    <row r="1741" spans="2:25" x14ac:dyDescent="0.2">
      <c r="B1741" s="383"/>
      <c r="C1741" s="383"/>
      <c r="D1741" s="381">
        <f t="shared" si="273"/>
        <v>0</v>
      </c>
      <c r="E1741" s="383"/>
      <c r="F1741" s="382"/>
      <c r="G1741" s="381">
        <f t="shared" si="274"/>
        <v>0</v>
      </c>
      <c r="H1741" s="383"/>
      <c r="I1741" s="383"/>
      <c r="J1741" s="381">
        <f t="shared" si="275"/>
        <v>0</v>
      </c>
      <c r="K1741" s="383"/>
      <c r="L1741" s="383"/>
      <c r="M1741" s="381">
        <f t="shared" si="276"/>
        <v>0</v>
      </c>
      <c r="N1741" s="383"/>
      <c r="O1741" s="383"/>
      <c r="P1741" s="381">
        <f t="shared" si="277"/>
        <v>0</v>
      </c>
      <c r="Q1741" s="383"/>
      <c r="R1741" s="383"/>
      <c r="S1741" s="25">
        <f t="shared" si="278"/>
        <v>0</v>
      </c>
      <c r="T1741" s="383"/>
      <c r="U1741" s="383"/>
      <c r="V1741" s="381">
        <f t="shared" si="279"/>
        <v>0</v>
      </c>
      <c r="W1741" s="383"/>
      <c r="X1741" s="383"/>
      <c r="Y1741" s="381">
        <f t="shared" si="280"/>
        <v>0</v>
      </c>
    </row>
    <row r="1742" spans="2:25" x14ac:dyDescent="0.2">
      <c r="B1742" s="383"/>
      <c r="C1742" s="383"/>
      <c r="D1742" s="381">
        <f t="shared" si="273"/>
        <v>0</v>
      </c>
      <c r="E1742" s="383"/>
      <c r="F1742" s="382"/>
      <c r="G1742" s="381">
        <f t="shared" si="274"/>
        <v>0</v>
      </c>
      <c r="H1742" s="383"/>
      <c r="I1742" s="383"/>
      <c r="J1742" s="381">
        <f t="shared" si="275"/>
        <v>0</v>
      </c>
      <c r="K1742" s="383"/>
      <c r="L1742" s="383"/>
      <c r="M1742" s="381">
        <f t="shared" si="276"/>
        <v>0</v>
      </c>
      <c r="N1742" s="383"/>
      <c r="O1742" s="383"/>
      <c r="P1742" s="381">
        <f t="shared" si="277"/>
        <v>0</v>
      </c>
      <c r="Q1742" s="383"/>
      <c r="R1742" s="383"/>
      <c r="S1742" s="25">
        <f t="shared" si="278"/>
        <v>0</v>
      </c>
      <c r="T1742" s="383"/>
      <c r="U1742" s="383"/>
      <c r="V1742" s="381">
        <f t="shared" si="279"/>
        <v>0</v>
      </c>
      <c r="W1742" s="383"/>
      <c r="X1742" s="383"/>
      <c r="Y1742" s="381">
        <f t="shared" si="280"/>
        <v>0</v>
      </c>
    </row>
    <row r="1743" spans="2:25" x14ac:dyDescent="0.2">
      <c r="B1743" s="383"/>
      <c r="C1743" s="383"/>
      <c r="D1743" s="381">
        <f t="shared" si="273"/>
        <v>0</v>
      </c>
      <c r="E1743" s="383"/>
      <c r="F1743" s="382"/>
      <c r="G1743" s="381">
        <f t="shared" si="274"/>
        <v>0</v>
      </c>
      <c r="H1743" s="383"/>
      <c r="I1743" s="383"/>
      <c r="J1743" s="381">
        <f t="shared" si="275"/>
        <v>0</v>
      </c>
      <c r="K1743" s="383"/>
      <c r="L1743" s="383"/>
      <c r="M1743" s="381">
        <f t="shared" si="276"/>
        <v>0</v>
      </c>
      <c r="N1743" s="383"/>
      <c r="O1743" s="383"/>
      <c r="P1743" s="381">
        <f t="shared" si="277"/>
        <v>0</v>
      </c>
      <c r="Q1743" s="383"/>
      <c r="R1743" s="383"/>
      <c r="S1743" s="25">
        <f t="shared" si="278"/>
        <v>0</v>
      </c>
      <c r="T1743" s="383"/>
      <c r="U1743" s="383"/>
      <c r="V1743" s="381">
        <f t="shared" si="279"/>
        <v>0</v>
      </c>
      <c r="W1743" s="383"/>
      <c r="X1743" s="383"/>
      <c r="Y1743" s="381">
        <f t="shared" si="280"/>
        <v>0</v>
      </c>
    </row>
    <row r="1744" spans="2:25" x14ac:dyDescent="0.2">
      <c r="B1744" s="383"/>
      <c r="C1744" s="383"/>
      <c r="D1744" s="381">
        <f t="shared" si="273"/>
        <v>0</v>
      </c>
      <c r="E1744" s="383"/>
      <c r="F1744" s="382"/>
      <c r="G1744" s="381">
        <f t="shared" si="274"/>
        <v>0</v>
      </c>
      <c r="H1744" s="383"/>
      <c r="I1744" s="383"/>
      <c r="J1744" s="381">
        <f t="shared" si="275"/>
        <v>0</v>
      </c>
      <c r="K1744" s="383"/>
      <c r="L1744" s="383"/>
      <c r="M1744" s="381">
        <f t="shared" si="276"/>
        <v>0</v>
      </c>
      <c r="N1744" s="383"/>
      <c r="O1744" s="383"/>
      <c r="P1744" s="381">
        <f t="shared" si="277"/>
        <v>0</v>
      </c>
      <c r="Q1744" s="383"/>
      <c r="R1744" s="383"/>
      <c r="S1744" s="25">
        <f t="shared" si="278"/>
        <v>0</v>
      </c>
      <c r="T1744" s="383"/>
      <c r="U1744" s="383"/>
      <c r="V1744" s="381">
        <f t="shared" si="279"/>
        <v>0</v>
      </c>
      <c r="W1744" s="383"/>
      <c r="X1744" s="383"/>
      <c r="Y1744" s="381">
        <f t="shared" si="280"/>
        <v>0</v>
      </c>
    </row>
    <row r="1745" spans="2:25" x14ac:dyDescent="0.2">
      <c r="B1745" s="383"/>
      <c r="C1745" s="383"/>
      <c r="D1745" s="381">
        <f t="shared" si="273"/>
        <v>0</v>
      </c>
      <c r="E1745" s="383"/>
      <c r="F1745" s="382"/>
      <c r="G1745" s="381">
        <f t="shared" si="274"/>
        <v>0</v>
      </c>
      <c r="H1745" s="383"/>
      <c r="I1745" s="383"/>
      <c r="J1745" s="381">
        <f t="shared" si="275"/>
        <v>0</v>
      </c>
      <c r="K1745" s="383"/>
      <c r="L1745" s="383"/>
      <c r="M1745" s="381">
        <f t="shared" si="276"/>
        <v>0</v>
      </c>
      <c r="N1745" s="383"/>
      <c r="O1745" s="383"/>
      <c r="P1745" s="381">
        <f t="shared" si="277"/>
        <v>0</v>
      </c>
      <c r="Q1745" s="383"/>
      <c r="R1745" s="383"/>
      <c r="S1745" s="25">
        <f t="shared" si="278"/>
        <v>0</v>
      </c>
      <c r="T1745" s="383"/>
      <c r="U1745" s="383"/>
      <c r="V1745" s="381">
        <f t="shared" si="279"/>
        <v>0</v>
      </c>
      <c r="W1745" s="383"/>
      <c r="X1745" s="383"/>
      <c r="Y1745" s="381">
        <f t="shared" si="280"/>
        <v>0</v>
      </c>
    </row>
    <row r="1746" spans="2:25" x14ac:dyDescent="0.2">
      <c r="B1746" s="383"/>
      <c r="C1746" s="383"/>
      <c r="D1746" s="381">
        <f t="shared" ref="D1746:D1809" si="281">C1746</f>
        <v>0</v>
      </c>
      <c r="E1746" s="383"/>
      <c r="F1746" s="382"/>
      <c r="G1746" s="381">
        <f t="shared" ref="G1746:G1809" si="282">F1746+$AB$2</f>
        <v>0</v>
      </c>
      <c r="H1746" s="383"/>
      <c r="I1746" s="383"/>
      <c r="J1746" s="381">
        <f t="shared" ref="J1746:J1809" si="283">I1746+$AB$3</f>
        <v>0</v>
      </c>
      <c r="K1746" s="383"/>
      <c r="L1746" s="383"/>
      <c r="M1746" s="381">
        <f t="shared" ref="M1746:M1809" si="284">L1746+$AB$4</f>
        <v>0</v>
      </c>
      <c r="N1746" s="383"/>
      <c r="O1746" s="383"/>
      <c r="P1746" s="381">
        <f t="shared" ref="P1746:P1809" si="285">O1746+$AB$5</f>
        <v>0</v>
      </c>
      <c r="Q1746" s="383"/>
      <c r="R1746" s="383"/>
      <c r="S1746" s="25">
        <f t="shared" ref="S1746:S1809" si="286">R1746+$AB$6</f>
        <v>0</v>
      </c>
      <c r="T1746" s="383"/>
      <c r="U1746" s="383"/>
      <c r="V1746" s="381">
        <f t="shared" ref="V1746:V1809" si="287">U1746+$AB$7</f>
        <v>0</v>
      </c>
      <c r="W1746" s="383"/>
      <c r="X1746" s="383"/>
      <c r="Y1746" s="381">
        <f t="shared" ref="Y1746:Y1809" si="288">X1746+$AB$8</f>
        <v>0</v>
      </c>
    </row>
    <row r="1747" spans="2:25" x14ac:dyDescent="0.2">
      <c r="B1747" s="383"/>
      <c r="C1747" s="383"/>
      <c r="D1747" s="381">
        <f t="shared" si="281"/>
        <v>0</v>
      </c>
      <c r="E1747" s="383"/>
      <c r="F1747" s="382"/>
      <c r="G1747" s="381">
        <f t="shared" si="282"/>
        <v>0</v>
      </c>
      <c r="H1747" s="383"/>
      <c r="I1747" s="383"/>
      <c r="J1747" s="381">
        <f t="shared" si="283"/>
        <v>0</v>
      </c>
      <c r="K1747" s="383"/>
      <c r="L1747" s="383"/>
      <c r="M1747" s="381">
        <f t="shared" si="284"/>
        <v>0</v>
      </c>
      <c r="N1747" s="383"/>
      <c r="O1747" s="383"/>
      <c r="P1747" s="381">
        <f t="shared" si="285"/>
        <v>0</v>
      </c>
      <c r="Q1747" s="383"/>
      <c r="R1747" s="383"/>
      <c r="S1747" s="25">
        <f t="shared" si="286"/>
        <v>0</v>
      </c>
      <c r="T1747" s="383"/>
      <c r="U1747" s="383"/>
      <c r="V1747" s="381">
        <f t="shared" si="287"/>
        <v>0</v>
      </c>
      <c r="W1747" s="383"/>
      <c r="X1747" s="383"/>
      <c r="Y1747" s="381">
        <f t="shared" si="288"/>
        <v>0</v>
      </c>
    </row>
    <row r="1748" spans="2:25" x14ac:dyDescent="0.2">
      <c r="B1748" s="383"/>
      <c r="C1748" s="383"/>
      <c r="D1748" s="381">
        <f t="shared" si="281"/>
        <v>0</v>
      </c>
      <c r="E1748" s="383"/>
      <c r="F1748" s="382"/>
      <c r="G1748" s="381">
        <f t="shared" si="282"/>
        <v>0</v>
      </c>
      <c r="H1748" s="383"/>
      <c r="I1748" s="383"/>
      <c r="J1748" s="381">
        <f t="shared" si="283"/>
        <v>0</v>
      </c>
      <c r="K1748" s="383"/>
      <c r="L1748" s="383"/>
      <c r="M1748" s="381">
        <f t="shared" si="284"/>
        <v>0</v>
      </c>
      <c r="N1748" s="383"/>
      <c r="O1748" s="383"/>
      <c r="P1748" s="381">
        <f t="shared" si="285"/>
        <v>0</v>
      </c>
      <c r="Q1748" s="383"/>
      <c r="R1748" s="383"/>
      <c r="S1748" s="25">
        <f t="shared" si="286"/>
        <v>0</v>
      </c>
      <c r="T1748" s="383"/>
      <c r="U1748" s="383"/>
      <c r="V1748" s="381">
        <f t="shared" si="287"/>
        <v>0</v>
      </c>
      <c r="W1748" s="383"/>
      <c r="X1748" s="383"/>
      <c r="Y1748" s="381">
        <f t="shared" si="288"/>
        <v>0</v>
      </c>
    </row>
    <row r="1749" spans="2:25" x14ac:dyDescent="0.2">
      <c r="B1749" s="383"/>
      <c r="C1749" s="383"/>
      <c r="D1749" s="381">
        <f t="shared" si="281"/>
        <v>0</v>
      </c>
      <c r="E1749" s="383"/>
      <c r="F1749" s="382"/>
      <c r="G1749" s="381">
        <f t="shared" si="282"/>
        <v>0</v>
      </c>
      <c r="H1749" s="383"/>
      <c r="I1749" s="383"/>
      <c r="J1749" s="381">
        <f t="shared" si="283"/>
        <v>0</v>
      </c>
      <c r="K1749" s="383"/>
      <c r="L1749" s="383"/>
      <c r="M1749" s="381">
        <f t="shared" si="284"/>
        <v>0</v>
      </c>
      <c r="N1749" s="383"/>
      <c r="O1749" s="383"/>
      <c r="P1749" s="381">
        <f t="shared" si="285"/>
        <v>0</v>
      </c>
      <c r="Q1749" s="383"/>
      <c r="R1749" s="383"/>
      <c r="S1749" s="25">
        <f t="shared" si="286"/>
        <v>0</v>
      </c>
      <c r="T1749" s="383"/>
      <c r="U1749" s="383"/>
      <c r="V1749" s="381">
        <f t="shared" si="287"/>
        <v>0</v>
      </c>
      <c r="W1749" s="383"/>
      <c r="X1749" s="383"/>
      <c r="Y1749" s="381">
        <f t="shared" si="288"/>
        <v>0</v>
      </c>
    </row>
    <row r="1750" spans="2:25" x14ac:dyDescent="0.2">
      <c r="B1750" s="383"/>
      <c r="C1750" s="383"/>
      <c r="D1750" s="381">
        <f t="shared" si="281"/>
        <v>0</v>
      </c>
      <c r="E1750" s="383"/>
      <c r="F1750" s="382"/>
      <c r="G1750" s="381">
        <f t="shared" si="282"/>
        <v>0</v>
      </c>
      <c r="H1750" s="383"/>
      <c r="I1750" s="383"/>
      <c r="J1750" s="381">
        <f t="shared" si="283"/>
        <v>0</v>
      </c>
      <c r="K1750" s="383"/>
      <c r="L1750" s="383"/>
      <c r="M1750" s="381">
        <f t="shared" si="284"/>
        <v>0</v>
      </c>
      <c r="N1750" s="383"/>
      <c r="O1750" s="383"/>
      <c r="P1750" s="381">
        <f t="shared" si="285"/>
        <v>0</v>
      </c>
      <c r="Q1750" s="383"/>
      <c r="R1750" s="383"/>
      <c r="S1750" s="25">
        <f t="shared" si="286"/>
        <v>0</v>
      </c>
      <c r="T1750" s="383"/>
      <c r="U1750" s="383"/>
      <c r="V1750" s="381">
        <f t="shared" si="287"/>
        <v>0</v>
      </c>
      <c r="W1750" s="383"/>
      <c r="X1750" s="383"/>
      <c r="Y1750" s="381">
        <f t="shared" si="288"/>
        <v>0</v>
      </c>
    </row>
    <row r="1751" spans="2:25" x14ac:dyDescent="0.2">
      <c r="B1751" s="383"/>
      <c r="C1751" s="383"/>
      <c r="D1751" s="381">
        <f t="shared" si="281"/>
        <v>0</v>
      </c>
      <c r="E1751" s="383"/>
      <c r="F1751" s="382"/>
      <c r="G1751" s="381">
        <f t="shared" si="282"/>
        <v>0</v>
      </c>
      <c r="H1751" s="383"/>
      <c r="I1751" s="383"/>
      <c r="J1751" s="381">
        <f t="shared" si="283"/>
        <v>0</v>
      </c>
      <c r="K1751" s="383"/>
      <c r="L1751" s="383"/>
      <c r="M1751" s="381">
        <f t="shared" si="284"/>
        <v>0</v>
      </c>
      <c r="N1751" s="383"/>
      <c r="O1751" s="383"/>
      <c r="P1751" s="381">
        <f t="shared" si="285"/>
        <v>0</v>
      </c>
      <c r="Q1751" s="383"/>
      <c r="R1751" s="383"/>
      <c r="S1751" s="25">
        <f t="shared" si="286"/>
        <v>0</v>
      </c>
      <c r="T1751" s="383"/>
      <c r="U1751" s="383"/>
      <c r="V1751" s="381">
        <f t="shared" si="287"/>
        <v>0</v>
      </c>
      <c r="W1751" s="383"/>
      <c r="X1751" s="383"/>
      <c r="Y1751" s="381">
        <f t="shared" si="288"/>
        <v>0</v>
      </c>
    </row>
    <row r="1752" spans="2:25" x14ac:dyDescent="0.2">
      <c r="B1752" s="383"/>
      <c r="C1752" s="383"/>
      <c r="D1752" s="381">
        <f t="shared" si="281"/>
        <v>0</v>
      </c>
      <c r="E1752" s="383"/>
      <c r="F1752" s="382"/>
      <c r="G1752" s="381">
        <f t="shared" si="282"/>
        <v>0</v>
      </c>
      <c r="H1752" s="383"/>
      <c r="I1752" s="383"/>
      <c r="J1752" s="381">
        <f t="shared" si="283"/>
        <v>0</v>
      </c>
      <c r="K1752" s="383"/>
      <c r="L1752" s="383"/>
      <c r="M1752" s="381">
        <f t="shared" si="284"/>
        <v>0</v>
      </c>
      <c r="N1752" s="383"/>
      <c r="O1752" s="383"/>
      <c r="P1752" s="381">
        <f t="shared" si="285"/>
        <v>0</v>
      </c>
      <c r="Q1752" s="383"/>
      <c r="R1752" s="383"/>
      <c r="S1752" s="25">
        <f t="shared" si="286"/>
        <v>0</v>
      </c>
      <c r="T1752" s="383"/>
      <c r="U1752" s="383"/>
      <c r="V1752" s="381">
        <f t="shared" si="287"/>
        <v>0</v>
      </c>
      <c r="W1752" s="383"/>
      <c r="X1752" s="383"/>
      <c r="Y1752" s="381">
        <f t="shared" si="288"/>
        <v>0</v>
      </c>
    </row>
    <row r="1753" spans="2:25" x14ac:dyDescent="0.2">
      <c r="B1753" s="383"/>
      <c r="C1753" s="383"/>
      <c r="D1753" s="381">
        <f t="shared" si="281"/>
        <v>0</v>
      </c>
      <c r="E1753" s="383"/>
      <c r="F1753" s="382"/>
      <c r="G1753" s="381">
        <f t="shared" si="282"/>
        <v>0</v>
      </c>
      <c r="H1753" s="383"/>
      <c r="I1753" s="383"/>
      <c r="J1753" s="381">
        <f t="shared" si="283"/>
        <v>0</v>
      </c>
      <c r="K1753" s="383"/>
      <c r="L1753" s="383"/>
      <c r="M1753" s="381">
        <f t="shared" si="284"/>
        <v>0</v>
      </c>
      <c r="N1753" s="383"/>
      <c r="O1753" s="383"/>
      <c r="P1753" s="381">
        <f t="shared" si="285"/>
        <v>0</v>
      </c>
      <c r="Q1753" s="383"/>
      <c r="R1753" s="383"/>
      <c r="S1753" s="25">
        <f t="shared" si="286"/>
        <v>0</v>
      </c>
      <c r="T1753" s="383"/>
      <c r="U1753" s="383"/>
      <c r="V1753" s="381">
        <f t="shared" si="287"/>
        <v>0</v>
      </c>
      <c r="W1753" s="383"/>
      <c r="X1753" s="383"/>
      <c r="Y1753" s="381">
        <f t="shared" si="288"/>
        <v>0</v>
      </c>
    </row>
    <row r="1754" spans="2:25" x14ac:dyDescent="0.2">
      <c r="B1754" s="383"/>
      <c r="C1754" s="383"/>
      <c r="D1754" s="381">
        <f t="shared" si="281"/>
        <v>0</v>
      </c>
      <c r="E1754" s="383"/>
      <c r="F1754" s="382"/>
      <c r="G1754" s="381">
        <f t="shared" si="282"/>
        <v>0</v>
      </c>
      <c r="H1754" s="383"/>
      <c r="I1754" s="383"/>
      <c r="J1754" s="381">
        <f t="shared" si="283"/>
        <v>0</v>
      </c>
      <c r="K1754" s="383"/>
      <c r="L1754" s="383"/>
      <c r="M1754" s="381">
        <f t="shared" si="284"/>
        <v>0</v>
      </c>
      <c r="N1754" s="383"/>
      <c r="O1754" s="383"/>
      <c r="P1754" s="381">
        <f t="shared" si="285"/>
        <v>0</v>
      </c>
      <c r="Q1754" s="383"/>
      <c r="R1754" s="383"/>
      <c r="S1754" s="25">
        <f t="shared" si="286"/>
        <v>0</v>
      </c>
      <c r="T1754" s="383"/>
      <c r="U1754" s="383"/>
      <c r="V1754" s="381">
        <f t="shared" si="287"/>
        <v>0</v>
      </c>
      <c r="W1754" s="383"/>
      <c r="X1754" s="383"/>
      <c r="Y1754" s="381">
        <f t="shared" si="288"/>
        <v>0</v>
      </c>
    </row>
    <row r="1755" spans="2:25" x14ac:dyDescent="0.2">
      <c r="B1755" s="383"/>
      <c r="C1755" s="383"/>
      <c r="D1755" s="381">
        <f t="shared" si="281"/>
        <v>0</v>
      </c>
      <c r="E1755" s="383"/>
      <c r="F1755" s="382"/>
      <c r="G1755" s="381">
        <f t="shared" si="282"/>
        <v>0</v>
      </c>
      <c r="H1755" s="383"/>
      <c r="I1755" s="383"/>
      <c r="J1755" s="381">
        <f t="shared" si="283"/>
        <v>0</v>
      </c>
      <c r="K1755" s="383"/>
      <c r="L1755" s="383"/>
      <c r="M1755" s="381">
        <f t="shared" si="284"/>
        <v>0</v>
      </c>
      <c r="N1755" s="383"/>
      <c r="O1755" s="383"/>
      <c r="P1755" s="381">
        <f t="shared" si="285"/>
        <v>0</v>
      </c>
      <c r="Q1755" s="383"/>
      <c r="R1755" s="383"/>
      <c r="S1755" s="25">
        <f t="shared" si="286"/>
        <v>0</v>
      </c>
      <c r="T1755" s="383"/>
      <c r="U1755" s="383"/>
      <c r="V1755" s="381">
        <f t="shared" si="287"/>
        <v>0</v>
      </c>
      <c r="W1755" s="383"/>
      <c r="X1755" s="383"/>
      <c r="Y1755" s="381">
        <f t="shared" si="288"/>
        <v>0</v>
      </c>
    </row>
    <row r="1756" spans="2:25" x14ac:dyDescent="0.2">
      <c r="B1756" s="383"/>
      <c r="C1756" s="383"/>
      <c r="D1756" s="381">
        <f t="shared" si="281"/>
        <v>0</v>
      </c>
      <c r="E1756" s="383"/>
      <c r="F1756" s="382"/>
      <c r="G1756" s="381">
        <f t="shared" si="282"/>
        <v>0</v>
      </c>
      <c r="H1756" s="383"/>
      <c r="I1756" s="383"/>
      <c r="J1756" s="381">
        <f t="shared" si="283"/>
        <v>0</v>
      </c>
      <c r="K1756" s="383"/>
      <c r="L1756" s="383"/>
      <c r="M1756" s="381">
        <f t="shared" si="284"/>
        <v>0</v>
      </c>
      <c r="N1756" s="383"/>
      <c r="O1756" s="383"/>
      <c r="P1756" s="381">
        <f t="shared" si="285"/>
        <v>0</v>
      </c>
      <c r="Q1756" s="383"/>
      <c r="R1756" s="383"/>
      <c r="S1756" s="25">
        <f t="shared" si="286"/>
        <v>0</v>
      </c>
      <c r="T1756" s="383"/>
      <c r="U1756" s="383"/>
      <c r="V1756" s="381">
        <f t="shared" si="287"/>
        <v>0</v>
      </c>
      <c r="W1756" s="383"/>
      <c r="X1756" s="383"/>
      <c r="Y1756" s="381">
        <f t="shared" si="288"/>
        <v>0</v>
      </c>
    </row>
    <row r="1757" spans="2:25" x14ac:dyDescent="0.2">
      <c r="B1757" s="383"/>
      <c r="C1757" s="383"/>
      <c r="D1757" s="381">
        <f t="shared" si="281"/>
        <v>0</v>
      </c>
      <c r="E1757" s="383"/>
      <c r="F1757" s="382"/>
      <c r="G1757" s="381">
        <f t="shared" si="282"/>
        <v>0</v>
      </c>
      <c r="H1757" s="383"/>
      <c r="I1757" s="383"/>
      <c r="J1757" s="381">
        <f t="shared" si="283"/>
        <v>0</v>
      </c>
      <c r="K1757" s="383"/>
      <c r="L1757" s="383"/>
      <c r="M1757" s="381">
        <f t="shared" si="284"/>
        <v>0</v>
      </c>
      <c r="N1757" s="383"/>
      <c r="O1757" s="383"/>
      <c r="P1757" s="381">
        <f t="shared" si="285"/>
        <v>0</v>
      </c>
      <c r="Q1757" s="383"/>
      <c r="R1757" s="383"/>
      <c r="S1757" s="25">
        <f t="shared" si="286"/>
        <v>0</v>
      </c>
      <c r="T1757" s="383"/>
      <c r="U1757" s="383"/>
      <c r="V1757" s="381">
        <f t="shared" si="287"/>
        <v>0</v>
      </c>
      <c r="W1757" s="383"/>
      <c r="X1757" s="383"/>
      <c r="Y1757" s="381">
        <f t="shared" si="288"/>
        <v>0</v>
      </c>
    </row>
    <row r="1758" spans="2:25" x14ac:dyDescent="0.2">
      <c r="B1758" s="383"/>
      <c r="C1758" s="383"/>
      <c r="D1758" s="381">
        <f t="shared" si="281"/>
        <v>0</v>
      </c>
      <c r="E1758" s="383"/>
      <c r="F1758" s="382"/>
      <c r="G1758" s="381">
        <f t="shared" si="282"/>
        <v>0</v>
      </c>
      <c r="H1758" s="383"/>
      <c r="I1758" s="383"/>
      <c r="J1758" s="381">
        <f t="shared" si="283"/>
        <v>0</v>
      </c>
      <c r="K1758" s="383"/>
      <c r="L1758" s="383"/>
      <c r="M1758" s="381">
        <f t="shared" si="284"/>
        <v>0</v>
      </c>
      <c r="N1758" s="383"/>
      <c r="O1758" s="383"/>
      <c r="P1758" s="381">
        <f t="shared" si="285"/>
        <v>0</v>
      </c>
      <c r="Q1758" s="383"/>
      <c r="R1758" s="383"/>
      <c r="S1758" s="25">
        <f t="shared" si="286"/>
        <v>0</v>
      </c>
      <c r="T1758" s="383"/>
      <c r="U1758" s="383"/>
      <c r="V1758" s="381">
        <f t="shared" si="287"/>
        <v>0</v>
      </c>
      <c r="W1758" s="383"/>
      <c r="X1758" s="383"/>
      <c r="Y1758" s="381">
        <f t="shared" si="288"/>
        <v>0</v>
      </c>
    </row>
    <row r="1759" spans="2:25" x14ac:dyDescent="0.2">
      <c r="B1759" s="383"/>
      <c r="C1759" s="383"/>
      <c r="D1759" s="381">
        <f t="shared" si="281"/>
        <v>0</v>
      </c>
      <c r="E1759" s="383"/>
      <c r="F1759" s="382"/>
      <c r="G1759" s="381">
        <f t="shared" si="282"/>
        <v>0</v>
      </c>
      <c r="H1759" s="383"/>
      <c r="I1759" s="383"/>
      <c r="J1759" s="381">
        <f t="shared" si="283"/>
        <v>0</v>
      </c>
      <c r="K1759" s="383"/>
      <c r="L1759" s="383"/>
      <c r="M1759" s="381">
        <f t="shared" si="284"/>
        <v>0</v>
      </c>
      <c r="N1759" s="383"/>
      <c r="O1759" s="383"/>
      <c r="P1759" s="381">
        <f t="shared" si="285"/>
        <v>0</v>
      </c>
      <c r="Q1759" s="383"/>
      <c r="R1759" s="383"/>
      <c r="S1759" s="25">
        <f t="shared" si="286"/>
        <v>0</v>
      </c>
      <c r="T1759" s="383"/>
      <c r="U1759" s="383"/>
      <c r="V1759" s="381">
        <f t="shared" si="287"/>
        <v>0</v>
      </c>
      <c r="W1759" s="383"/>
      <c r="X1759" s="383"/>
      <c r="Y1759" s="381">
        <f t="shared" si="288"/>
        <v>0</v>
      </c>
    </row>
    <row r="1760" spans="2:25" x14ac:dyDescent="0.2">
      <c r="B1760" s="383"/>
      <c r="C1760" s="383"/>
      <c r="D1760" s="381">
        <f t="shared" si="281"/>
        <v>0</v>
      </c>
      <c r="E1760" s="383"/>
      <c r="F1760" s="382"/>
      <c r="G1760" s="381">
        <f t="shared" si="282"/>
        <v>0</v>
      </c>
      <c r="H1760" s="383"/>
      <c r="I1760" s="383"/>
      <c r="J1760" s="381">
        <f t="shared" si="283"/>
        <v>0</v>
      </c>
      <c r="K1760" s="383"/>
      <c r="L1760" s="383"/>
      <c r="M1760" s="381">
        <f t="shared" si="284"/>
        <v>0</v>
      </c>
      <c r="N1760" s="383"/>
      <c r="O1760" s="383"/>
      <c r="P1760" s="381">
        <f t="shared" si="285"/>
        <v>0</v>
      </c>
      <c r="Q1760" s="383"/>
      <c r="R1760" s="383"/>
      <c r="S1760" s="25">
        <f t="shared" si="286"/>
        <v>0</v>
      </c>
      <c r="T1760" s="383"/>
      <c r="U1760" s="383"/>
      <c r="V1760" s="381">
        <f t="shared" si="287"/>
        <v>0</v>
      </c>
      <c r="W1760" s="383"/>
      <c r="X1760" s="383"/>
      <c r="Y1760" s="381">
        <f t="shared" si="288"/>
        <v>0</v>
      </c>
    </row>
    <row r="1761" spans="2:25" x14ac:dyDescent="0.2">
      <c r="B1761" s="383"/>
      <c r="C1761" s="383"/>
      <c r="D1761" s="381">
        <f t="shared" si="281"/>
        <v>0</v>
      </c>
      <c r="E1761" s="383"/>
      <c r="F1761" s="382"/>
      <c r="G1761" s="381">
        <f t="shared" si="282"/>
        <v>0</v>
      </c>
      <c r="H1761" s="383"/>
      <c r="I1761" s="383"/>
      <c r="J1761" s="381">
        <f t="shared" si="283"/>
        <v>0</v>
      </c>
      <c r="K1761" s="383"/>
      <c r="L1761" s="383"/>
      <c r="M1761" s="381">
        <f t="shared" si="284"/>
        <v>0</v>
      </c>
      <c r="N1761" s="383"/>
      <c r="O1761" s="383"/>
      <c r="P1761" s="381">
        <f t="shared" si="285"/>
        <v>0</v>
      </c>
      <c r="Q1761" s="383"/>
      <c r="R1761" s="383"/>
      <c r="S1761" s="25">
        <f t="shared" si="286"/>
        <v>0</v>
      </c>
      <c r="T1761" s="383"/>
      <c r="U1761" s="383"/>
      <c r="V1761" s="381">
        <f t="shared" si="287"/>
        <v>0</v>
      </c>
      <c r="W1761" s="383"/>
      <c r="X1761" s="383"/>
      <c r="Y1761" s="381">
        <f t="shared" si="288"/>
        <v>0</v>
      </c>
    </row>
    <row r="1762" spans="2:25" x14ac:dyDescent="0.2">
      <c r="B1762" s="383"/>
      <c r="C1762" s="383"/>
      <c r="D1762" s="381">
        <f t="shared" si="281"/>
        <v>0</v>
      </c>
      <c r="E1762" s="383"/>
      <c r="F1762" s="382"/>
      <c r="G1762" s="381">
        <f t="shared" si="282"/>
        <v>0</v>
      </c>
      <c r="H1762" s="383"/>
      <c r="I1762" s="383"/>
      <c r="J1762" s="381">
        <f t="shared" si="283"/>
        <v>0</v>
      </c>
      <c r="K1762" s="383"/>
      <c r="L1762" s="383"/>
      <c r="M1762" s="381">
        <f t="shared" si="284"/>
        <v>0</v>
      </c>
      <c r="N1762" s="383"/>
      <c r="O1762" s="383"/>
      <c r="P1762" s="381">
        <f t="shared" si="285"/>
        <v>0</v>
      </c>
      <c r="Q1762" s="383"/>
      <c r="R1762" s="383"/>
      <c r="S1762" s="25">
        <f t="shared" si="286"/>
        <v>0</v>
      </c>
      <c r="T1762" s="383"/>
      <c r="U1762" s="383"/>
      <c r="V1762" s="381">
        <f t="shared" si="287"/>
        <v>0</v>
      </c>
      <c r="W1762" s="383"/>
      <c r="X1762" s="383"/>
      <c r="Y1762" s="381">
        <f t="shared" si="288"/>
        <v>0</v>
      </c>
    </row>
    <row r="1763" spans="2:25" x14ac:dyDescent="0.2">
      <c r="B1763" s="383"/>
      <c r="C1763" s="383"/>
      <c r="D1763" s="381">
        <f t="shared" si="281"/>
        <v>0</v>
      </c>
      <c r="E1763" s="383"/>
      <c r="F1763" s="382"/>
      <c r="G1763" s="381">
        <f t="shared" si="282"/>
        <v>0</v>
      </c>
      <c r="H1763" s="383"/>
      <c r="I1763" s="383"/>
      <c r="J1763" s="381">
        <f t="shared" si="283"/>
        <v>0</v>
      </c>
      <c r="K1763" s="383"/>
      <c r="L1763" s="383"/>
      <c r="M1763" s="381">
        <f t="shared" si="284"/>
        <v>0</v>
      </c>
      <c r="N1763" s="383"/>
      <c r="O1763" s="383"/>
      <c r="P1763" s="381">
        <f t="shared" si="285"/>
        <v>0</v>
      </c>
      <c r="Q1763" s="383"/>
      <c r="R1763" s="383"/>
      <c r="S1763" s="25">
        <f t="shared" si="286"/>
        <v>0</v>
      </c>
      <c r="T1763" s="383"/>
      <c r="U1763" s="383"/>
      <c r="V1763" s="381">
        <f t="shared" si="287"/>
        <v>0</v>
      </c>
      <c r="W1763" s="383"/>
      <c r="X1763" s="383"/>
      <c r="Y1763" s="381">
        <f t="shared" si="288"/>
        <v>0</v>
      </c>
    </row>
    <row r="1764" spans="2:25" x14ac:dyDescent="0.2">
      <c r="B1764" s="383"/>
      <c r="C1764" s="383"/>
      <c r="D1764" s="381">
        <f t="shared" si="281"/>
        <v>0</v>
      </c>
      <c r="E1764" s="383"/>
      <c r="F1764" s="382"/>
      <c r="G1764" s="381">
        <f t="shared" si="282"/>
        <v>0</v>
      </c>
      <c r="H1764" s="383"/>
      <c r="I1764" s="383"/>
      <c r="J1764" s="381">
        <f t="shared" si="283"/>
        <v>0</v>
      </c>
      <c r="K1764" s="383"/>
      <c r="L1764" s="383"/>
      <c r="M1764" s="381">
        <f t="shared" si="284"/>
        <v>0</v>
      </c>
      <c r="N1764" s="383"/>
      <c r="O1764" s="383"/>
      <c r="P1764" s="381">
        <f t="shared" si="285"/>
        <v>0</v>
      </c>
      <c r="Q1764" s="383"/>
      <c r="R1764" s="383"/>
      <c r="S1764" s="25">
        <f t="shared" si="286"/>
        <v>0</v>
      </c>
      <c r="T1764" s="383"/>
      <c r="U1764" s="383"/>
      <c r="V1764" s="381">
        <f t="shared" si="287"/>
        <v>0</v>
      </c>
      <c r="W1764" s="383"/>
      <c r="X1764" s="383"/>
      <c r="Y1764" s="381">
        <f t="shared" si="288"/>
        <v>0</v>
      </c>
    </row>
    <row r="1765" spans="2:25" x14ac:dyDescent="0.2">
      <c r="B1765" s="383"/>
      <c r="C1765" s="383"/>
      <c r="D1765" s="381">
        <f t="shared" si="281"/>
        <v>0</v>
      </c>
      <c r="E1765" s="383"/>
      <c r="F1765" s="382"/>
      <c r="G1765" s="381">
        <f t="shared" si="282"/>
        <v>0</v>
      </c>
      <c r="H1765" s="383"/>
      <c r="I1765" s="383"/>
      <c r="J1765" s="381">
        <f t="shared" si="283"/>
        <v>0</v>
      </c>
      <c r="K1765" s="383"/>
      <c r="L1765" s="383"/>
      <c r="M1765" s="381">
        <f t="shared" si="284"/>
        <v>0</v>
      </c>
      <c r="N1765" s="383"/>
      <c r="O1765" s="383"/>
      <c r="P1765" s="381">
        <f t="shared" si="285"/>
        <v>0</v>
      </c>
      <c r="Q1765" s="383"/>
      <c r="R1765" s="383"/>
      <c r="S1765" s="25">
        <f t="shared" si="286"/>
        <v>0</v>
      </c>
      <c r="T1765" s="383"/>
      <c r="U1765" s="383"/>
      <c r="V1765" s="381">
        <f t="shared" si="287"/>
        <v>0</v>
      </c>
      <c r="W1765" s="383"/>
      <c r="X1765" s="383"/>
      <c r="Y1765" s="381">
        <f t="shared" si="288"/>
        <v>0</v>
      </c>
    </row>
    <row r="1766" spans="2:25" x14ac:dyDescent="0.2">
      <c r="B1766" s="383"/>
      <c r="C1766" s="383"/>
      <c r="D1766" s="381">
        <f t="shared" si="281"/>
        <v>0</v>
      </c>
      <c r="E1766" s="383"/>
      <c r="F1766" s="382"/>
      <c r="G1766" s="381">
        <f t="shared" si="282"/>
        <v>0</v>
      </c>
      <c r="H1766" s="383"/>
      <c r="I1766" s="383"/>
      <c r="J1766" s="381">
        <f t="shared" si="283"/>
        <v>0</v>
      </c>
      <c r="K1766" s="383"/>
      <c r="L1766" s="383"/>
      <c r="M1766" s="381">
        <f t="shared" si="284"/>
        <v>0</v>
      </c>
      <c r="N1766" s="383"/>
      <c r="O1766" s="383"/>
      <c r="P1766" s="381">
        <f t="shared" si="285"/>
        <v>0</v>
      </c>
      <c r="Q1766" s="383"/>
      <c r="R1766" s="383"/>
      <c r="S1766" s="25">
        <f t="shared" si="286"/>
        <v>0</v>
      </c>
      <c r="T1766" s="383"/>
      <c r="U1766" s="383"/>
      <c r="V1766" s="381">
        <f t="shared" si="287"/>
        <v>0</v>
      </c>
      <c r="W1766" s="383"/>
      <c r="X1766" s="383"/>
      <c r="Y1766" s="381">
        <f t="shared" si="288"/>
        <v>0</v>
      </c>
    </row>
    <row r="1767" spans="2:25" x14ac:dyDescent="0.2">
      <c r="B1767" s="383"/>
      <c r="C1767" s="383"/>
      <c r="D1767" s="381">
        <f t="shared" si="281"/>
        <v>0</v>
      </c>
      <c r="E1767" s="383"/>
      <c r="F1767" s="382"/>
      <c r="G1767" s="381">
        <f t="shared" si="282"/>
        <v>0</v>
      </c>
      <c r="H1767" s="383"/>
      <c r="I1767" s="383"/>
      <c r="J1767" s="381">
        <f t="shared" si="283"/>
        <v>0</v>
      </c>
      <c r="K1767" s="383"/>
      <c r="L1767" s="383"/>
      <c r="M1767" s="381">
        <f t="shared" si="284"/>
        <v>0</v>
      </c>
      <c r="N1767" s="383"/>
      <c r="O1767" s="383"/>
      <c r="P1767" s="381">
        <f t="shared" si="285"/>
        <v>0</v>
      </c>
      <c r="Q1767" s="383"/>
      <c r="R1767" s="383"/>
      <c r="S1767" s="25">
        <f t="shared" si="286"/>
        <v>0</v>
      </c>
      <c r="T1767" s="383"/>
      <c r="U1767" s="383"/>
      <c r="V1767" s="381">
        <f t="shared" si="287"/>
        <v>0</v>
      </c>
      <c r="W1767" s="383"/>
      <c r="X1767" s="383"/>
      <c r="Y1767" s="381">
        <f t="shared" si="288"/>
        <v>0</v>
      </c>
    </row>
    <row r="1768" spans="2:25" x14ac:dyDescent="0.2">
      <c r="B1768" s="383"/>
      <c r="C1768" s="383"/>
      <c r="D1768" s="381">
        <f t="shared" si="281"/>
        <v>0</v>
      </c>
      <c r="E1768" s="383"/>
      <c r="F1768" s="382"/>
      <c r="G1768" s="381">
        <f t="shared" si="282"/>
        <v>0</v>
      </c>
      <c r="H1768" s="383"/>
      <c r="I1768" s="383"/>
      <c r="J1768" s="381">
        <f t="shared" si="283"/>
        <v>0</v>
      </c>
      <c r="K1768" s="383"/>
      <c r="L1768" s="383"/>
      <c r="M1768" s="381">
        <f t="shared" si="284"/>
        <v>0</v>
      </c>
      <c r="N1768" s="383"/>
      <c r="O1768" s="383"/>
      <c r="P1768" s="381">
        <f t="shared" si="285"/>
        <v>0</v>
      </c>
      <c r="Q1768" s="383"/>
      <c r="R1768" s="383"/>
      <c r="S1768" s="25">
        <f t="shared" si="286"/>
        <v>0</v>
      </c>
      <c r="T1768" s="383"/>
      <c r="U1768" s="383"/>
      <c r="V1768" s="381">
        <f t="shared" si="287"/>
        <v>0</v>
      </c>
      <c r="W1768" s="383"/>
      <c r="X1768" s="383"/>
      <c r="Y1768" s="381">
        <f t="shared" si="288"/>
        <v>0</v>
      </c>
    </row>
    <row r="1769" spans="2:25" x14ac:dyDescent="0.2">
      <c r="B1769" s="383"/>
      <c r="C1769" s="383"/>
      <c r="D1769" s="381">
        <f t="shared" si="281"/>
        <v>0</v>
      </c>
      <c r="E1769" s="383"/>
      <c r="F1769" s="382"/>
      <c r="G1769" s="381">
        <f t="shared" si="282"/>
        <v>0</v>
      </c>
      <c r="H1769" s="383"/>
      <c r="I1769" s="383"/>
      <c r="J1769" s="381">
        <f t="shared" si="283"/>
        <v>0</v>
      </c>
      <c r="K1769" s="383"/>
      <c r="L1769" s="383"/>
      <c r="M1769" s="381">
        <f t="shared" si="284"/>
        <v>0</v>
      </c>
      <c r="N1769" s="383"/>
      <c r="O1769" s="383"/>
      <c r="P1769" s="381">
        <f t="shared" si="285"/>
        <v>0</v>
      </c>
      <c r="Q1769" s="383"/>
      <c r="R1769" s="383"/>
      <c r="S1769" s="25">
        <f t="shared" si="286"/>
        <v>0</v>
      </c>
      <c r="T1769" s="383"/>
      <c r="U1769" s="383"/>
      <c r="V1769" s="381">
        <f t="shared" si="287"/>
        <v>0</v>
      </c>
      <c r="W1769" s="383"/>
      <c r="X1769" s="383"/>
      <c r="Y1769" s="381">
        <f t="shared" si="288"/>
        <v>0</v>
      </c>
    </row>
    <row r="1770" spans="2:25" x14ac:dyDescent="0.2">
      <c r="B1770" s="383"/>
      <c r="C1770" s="383"/>
      <c r="D1770" s="381">
        <f t="shared" si="281"/>
        <v>0</v>
      </c>
      <c r="E1770" s="383"/>
      <c r="F1770" s="382"/>
      <c r="G1770" s="381">
        <f t="shared" si="282"/>
        <v>0</v>
      </c>
      <c r="H1770" s="383"/>
      <c r="I1770" s="383"/>
      <c r="J1770" s="381">
        <f t="shared" si="283"/>
        <v>0</v>
      </c>
      <c r="K1770" s="383"/>
      <c r="L1770" s="383"/>
      <c r="M1770" s="381">
        <f t="shared" si="284"/>
        <v>0</v>
      </c>
      <c r="N1770" s="383"/>
      <c r="O1770" s="383"/>
      <c r="P1770" s="381">
        <f t="shared" si="285"/>
        <v>0</v>
      </c>
      <c r="Q1770" s="383"/>
      <c r="R1770" s="383"/>
      <c r="S1770" s="25">
        <f t="shared" si="286"/>
        <v>0</v>
      </c>
      <c r="T1770" s="383"/>
      <c r="U1770" s="383"/>
      <c r="V1770" s="381">
        <f t="shared" si="287"/>
        <v>0</v>
      </c>
      <c r="W1770" s="383"/>
      <c r="X1770" s="383"/>
      <c r="Y1770" s="381">
        <f t="shared" si="288"/>
        <v>0</v>
      </c>
    </row>
    <row r="1771" spans="2:25" x14ac:dyDescent="0.2">
      <c r="B1771" s="383"/>
      <c r="C1771" s="383"/>
      <c r="D1771" s="381">
        <f t="shared" si="281"/>
        <v>0</v>
      </c>
      <c r="E1771" s="383"/>
      <c r="F1771" s="382"/>
      <c r="G1771" s="381">
        <f t="shared" si="282"/>
        <v>0</v>
      </c>
      <c r="H1771" s="383"/>
      <c r="I1771" s="383"/>
      <c r="J1771" s="381">
        <f t="shared" si="283"/>
        <v>0</v>
      </c>
      <c r="K1771" s="383"/>
      <c r="L1771" s="383"/>
      <c r="M1771" s="381">
        <f t="shared" si="284"/>
        <v>0</v>
      </c>
      <c r="N1771" s="383"/>
      <c r="O1771" s="383"/>
      <c r="P1771" s="381">
        <f t="shared" si="285"/>
        <v>0</v>
      </c>
      <c r="Q1771" s="383"/>
      <c r="R1771" s="383"/>
      <c r="S1771" s="25">
        <f t="shared" si="286"/>
        <v>0</v>
      </c>
      <c r="T1771" s="383"/>
      <c r="U1771" s="383"/>
      <c r="V1771" s="381">
        <f t="shared" si="287"/>
        <v>0</v>
      </c>
      <c r="W1771" s="383"/>
      <c r="X1771" s="383"/>
      <c r="Y1771" s="381">
        <f t="shared" si="288"/>
        <v>0</v>
      </c>
    </row>
    <row r="1772" spans="2:25" x14ac:dyDescent="0.2">
      <c r="B1772" s="383"/>
      <c r="C1772" s="383"/>
      <c r="D1772" s="381">
        <f t="shared" si="281"/>
        <v>0</v>
      </c>
      <c r="E1772" s="383"/>
      <c r="F1772" s="382"/>
      <c r="G1772" s="381">
        <f t="shared" si="282"/>
        <v>0</v>
      </c>
      <c r="H1772" s="383"/>
      <c r="I1772" s="383"/>
      <c r="J1772" s="381">
        <f t="shared" si="283"/>
        <v>0</v>
      </c>
      <c r="K1772" s="383"/>
      <c r="L1772" s="383"/>
      <c r="M1772" s="381">
        <f t="shared" si="284"/>
        <v>0</v>
      </c>
      <c r="N1772" s="383"/>
      <c r="O1772" s="383"/>
      <c r="P1772" s="381">
        <f t="shared" si="285"/>
        <v>0</v>
      </c>
      <c r="Q1772" s="383"/>
      <c r="R1772" s="383"/>
      <c r="S1772" s="25">
        <f t="shared" si="286"/>
        <v>0</v>
      </c>
      <c r="T1772" s="383"/>
      <c r="U1772" s="383"/>
      <c r="V1772" s="381">
        <f t="shared" si="287"/>
        <v>0</v>
      </c>
      <c r="W1772" s="383"/>
      <c r="X1772" s="383"/>
      <c r="Y1772" s="381">
        <f t="shared" si="288"/>
        <v>0</v>
      </c>
    </row>
    <row r="1773" spans="2:25" x14ac:dyDescent="0.2">
      <c r="B1773" s="383"/>
      <c r="C1773" s="383"/>
      <c r="D1773" s="381">
        <f t="shared" si="281"/>
        <v>0</v>
      </c>
      <c r="E1773" s="383"/>
      <c r="F1773" s="382"/>
      <c r="G1773" s="381">
        <f t="shared" si="282"/>
        <v>0</v>
      </c>
      <c r="H1773" s="383"/>
      <c r="I1773" s="383"/>
      <c r="J1773" s="381">
        <f t="shared" si="283"/>
        <v>0</v>
      </c>
      <c r="K1773" s="383"/>
      <c r="L1773" s="383"/>
      <c r="M1773" s="381">
        <f t="shared" si="284"/>
        <v>0</v>
      </c>
      <c r="N1773" s="383"/>
      <c r="O1773" s="383"/>
      <c r="P1773" s="381">
        <f t="shared" si="285"/>
        <v>0</v>
      </c>
      <c r="Q1773" s="383"/>
      <c r="R1773" s="383"/>
      <c r="S1773" s="25">
        <f t="shared" si="286"/>
        <v>0</v>
      </c>
      <c r="T1773" s="383"/>
      <c r="U1773" s="383"/>
      <c r="V1773" s="381">
        <f t="shared" si="287"/>
        <v>0</v>
      </c>
      <c r="W1773" s="383"/>
      <c r="X1773" s="383"/>
      <c r="Y1773" s="381">
        <f t="shared" si="288"/>
        <v>0</v>
      </c>
    </row>
    <row r="1774" spans="2:25" x14ac:dyDescent="0.2">
      <c r="B1774" s="383"/>
      <c r="C1774" s="383"/>
      <c r="D1774" s="381">
        <f t="shared" si="281"/>
        <v>0</v>
      </c>
      <c r="E1774" s="383"/>
      <c r="F1774" s="382"/>
      <c r="G1774" s="381">
        <f t="shared" si="282"/>
        <v>0</v>
      </c>
      <c r="H1774" s="383"/>
      <c r="I1774" s="383"/>
      <c r="J1774" s="381">
        <f t="shared" si="283"/>
        <v>0</v>
      </c>
      <c r="K1774" s="383"/>
      <c r="L1774" s="383"/>
      <c r="M1774" s="381">
        <f t="shared" si="284"/>
        <v>0</v>
      </c>
      <c r="N1774" s="383"/>
      <c r="O1774" s="383"/>
      <c r="P1774" s="381">
        <f t="shared" si="285"/>
        <v>0</v>
      </c>
      <c r="Q1774" s="383"/>
      <c r="R1774" s="383"/>
      <c r="S1774" s="25">
        <f t="shared" si="286"/>
        <v>0</v>
      </c>
      <c r="T1774" s="383"/>
      <c r="U1774" s="383"/>
      <c r="V1774" s="381">
        <f t="shared" si="287"/>
        <v>0</v>
      </c>
      <c r="W1774" s="383"/>
      <c r="X1774" s="383"/>
      <c r="Y1774" s="381">
        <f t="shared" si="288"/>
        <v>0</v>
      </c>
    </row>
    <row r="1775" spans="2:25" x14ac:dyDescent="0.2">
      <c r="B1775" s="383"/>
      <c r="C1775" s="383"/>
      <c r="D1775" s="381">
        <f t="shared" si="281"/>
        <v>0</v>
      </c>
      <c r="E1775" s="383"/>
      <c r="F1775" s="382"/>
      <c r="G1775" s="381">
        <f t="shared" si="282"/>
        <v>0</v>
      </c>
      <c r="H1775" s="383"/>
      <c r="I1775" s="383"/>
      <c r="J1775" s="381">
        <f t="shared" si="283"/>
        <v>0</v>
      </c>
      <c r="K1775" s="383"/>
      <c r="L1775" s="383"/>
      <c r="M1775" s="381">
        <f t="shared" si="284"/>
        <v>0</v>
      </c>
      <c r="N1775" s="383"/>
      <c r="O1775" s="383"/>
      <c r="P1775" s="381">
        <f t="shared" si="285"/>
        <v>0</v>
      </c>
      <c r="Q1775" s="383"/>
      <c r="R1775" s="383"/>
      <c r="S1775" s="25">
        <f t="shared" si="286"/>
        <v>0</v>
      </c>
      <c r="T1775" s="383"/>
      <c r="U1775" s="383"/>
      <c r="V1775" s="381">
        <f t="shared" si="287"/>
        <v>0</v>
      </c>
      <c r="W1775" s="383"/>
      <c r="X1775" s="383"/>
      <c r="Y1775" s="381">
        <f t="shared" si="288"/>
        <v>0</v>
      </c>
    </row>
    <row r="1776" spans="2:25" x14ac:dyDescent="0.2">
      <c r="B1776" s="383"/>
      <c r="C1776" s="383"/>
      <c r="D1776" s="381">
        <f t="shared" si="281"/>
        <v>0</v>
      </c>
      <c r="E1776" s="383"/>
      <c r="F1776" s="382"/>
      <c r="G1776" s="381">
        <f t="shared" si="282"/>
        <v>0</v>
      </c>
      <c r="H1776" s="383"/>
      <c r="I1776" s="383"/>
      <c r="J1776" s="381">
        <f t="shared" si="283"/>
        <v>0</v>
      </c>
      <c r="K1776" s="383"/>
      <c r="L1776" s="383"/>
      <c r="M1776" s="381">
        <f t="shared" si="284"/>
        <v>0</v>
      </c>
      <c r="N1776" s="383"/>
      <c r="O1776" s="383"/>
      <c r="P1776" s="381">
        <f t="shared" si="285"/>
        <v>0</v>
      </c>
      <c r="Q1776" s="383"/>
      <c r="R1776" s="383"/>
      <c r="S1776" s="25">
        <f t="shared" si="286"/>
        <v>0</v>
      </c>
      <c r="T1776" s="383"/>
      <c r="U1776" s="383"/>
      <c r="V1776" s="381">
        <f t="shared" si="287"/>
        <v>0</v>
      </c>
      <c r="W1776" s="383"/>
      <c r="X1776" s="383"/>
      <c r="Y1776" s="381">
        <f t="shared" si="288"/>
        <v>0</v>
      </c>
    </row>
    <row r="1777" spans="2:25" x14ac:dyDescent="0.2">
      <c r="B1777" s="383"/>
      <c r="C1777" s="383"/>
      <c r="D1777" s="381">
        <f t="shared" si="281"/>
        <v>0</v>
      </c>
      <c r="E1777" s="383"/>
      <c r="F1777" s="382"/>
      <c r="G1777" s="381">
        <f t="shared" si="282"/>
        <v>0</v>
      </c>
      <c r="H1777" s="383"/>
      <c r="I1777" s="383"/>
      <c r="J1777" s="381">
        <f t="shared" si="283"/>
        <v>0</v>
      </c>
      <c r="K1777" s="383"/>
      <c r="L1777" s="383"/>
      <c r="M1777" s="381">
        <f t="shared" si="284"/>
        <v>0</v>
      </c>
      <c r="N1777" s="383"/>
      <c r="O1777" s="383"/>
      <c r="P1777" s="381">
        <f t="shared" si="285"/>
        <v>0</v>
      </c>
      <c r="Q1777" s="383"/>
      <c r="R1777" s="383"/>
      <c r="S1777" s="25">
        <f t="shared" si="286"/>
        <v>0</v>
      </c>
      <c r="T1777" s="383"/>
      <c r="U1777" s="383"/>
      <c r="V1777" s="381">
        <f t="shared" si="287"/>
        <v>0</v>
      </c>
      <c r="W1777" s="383"/>
      <c r="X1777" s="383"/>
      <c r="Y1777" s="381">
        <f t="shared" si="288"/>
        <v>0</v>
      </c>
    </row>
    <row r="1778" spans="2:25" x14ac:dyDescent="0.2">
      <c r="B1778" s="383"/>
      <c r="C1778" s="383"/>
      <c r="D1778" s="381">
        <f t="shared" si="281"/>
        <v>0</v>
      </c>
      <c r="E1778" s="383"/>
      <c r="F1778" s="382"/>
      <c r="G1778" s="381">
        <f t="shared" si="282"/>
        <v>0</v>
      </c>
      <c r="H1778" s="383"/>
      <c r="I1778" s="383"/>
      <c r="J1778" s="381">
        <f t="shared" si="283"/>
        <v>0</v>
      </c>
      <c r="K1778" s="383"/>
      <c r="L1778" s="383"/>
      <c r="M1778" s="381">
        <f t="shared" si="284"/>
        <v>0</v>
      </c>
      <c r="N1778" s="383"/>
      <c r="O1778" s="383"/>
      <c r="P1778" s="381">
        <f t="shared" si="285"/>
        <v>0</v>
      </c>
      <c r="Q1778" s="383"/>
      <c r="R1778" s="383"/>
      <c r="S1778" s="25">
        <f t="shared" si="286"/>
        <v>0</v>
      </c>
      <c r="T1778" s="383"/>
      <c r="U1778" s="383"/>
      <c r="V1778" s="381">
        <f t="shared" si="287"/>
        <v>0</v>
      </c>
      <c r="W1778" s="383"/>
      <c r="X1778" s="383"/>
      <c r="Y1778" s="381">
        <f t="shared" si="288"/>
        <v>0</v>
      </c>
    </row>
    <row r="1779" spans="2:25" x14ac:dyDescent="0.2">
      <c r="B1779" s="383"/>
      <c r="C1779" s="383"/>
      <c r="D1779" s="381">
        <f t="shared" si="281"/>
        <v>0</v>
      </c>
      <c r="E1779" s="383"/>
      <c r="F1779" s="382"/>
      <c r="G1779" s="381">
        <f t="shared" si="282"/>
        <v>0</v>
      </c>
      <c r="H1779" s="383"/>
      <c r="I1779" s="383"/>
      <c r="J1779" s="381">
        <f t="shared" si="283"/>
        <v>0</v>
      </c>
      <c r="K1779" s="383"/>
      <c r="L1779" s="383"/>
      <c r="M1779" s="381">
        <f t="shared" si="284"/>
        <v>0</v>
      </c>
      <c r="N1779" s="383"/>
      <c r="O1779" s="383"/>
      <c r="P1779" s="381">
        <f t="shared" si="285"/>
        <v>0</v>
      </c>
      <c r="Q1779" s="383"/>
      <c r="R1779" s="383"/>
      <c r="S1779" s="25">
        <f t="shared" si="286"/>
        <v>0</v>
      </c>
      <c r="T1779" s="383"/>
      <c r="U1779" s="383"/>
      <c r="V1779" s="381">
        <f t="shared" si="287"/>
        <v>0</v>
      </c>
      <c r="W1779" s="383"/>
      <c r="X1779" s="383"/>
      <c r="Y1779" s="381">
        <f t="shared" si="288"/>
        <v>0</v>
      </c>
    </row>
    <row r="1780" spans="2:25" x14ac:dyDescent="0.2">
      <c r="B1780" s="383"/>
      <c r="C1780" s="383"/>
      <c r="D1780" s="381">
        <f t="shared" si="281"/>
        <v>0</v>
      </c>
      <c r="E1780" s="383"/>
      <c r="F1780" s="382"/>
      <c r="G1780" s="381">
        <f t="shared" si="282"/>
        <v>0</v>
      </c>
      <c r="H1780" s="383"/>
      <c r="I1780" s="383"/>
      <c r="J1780" s="381">
        <f t="shared" si="283"/>
        <v>0</v>
      </c>
      <c r="K1780" s="383"/>
      <c r="L1780" s="383"/>
      <c r="M1780" s="381">
        <f t="shared" si="284"/>
        <v>0</v>
      </c>
      <c r="N1780" s="383"/>
      <c r="O1780" s="383"/>
      <c r="P1780" s="381">
        <f t="shared" si="285"/>
        <v>0</v>
      </c>
      <c r="Q1780" s="383"/>
      <c r="R1780" s="383"/>
      <c r="S1780" s="25">
        <f t="shared" si="286"/>
        <v>0</v>
      </c>
      <c r="T1780" s="383"/>
      <c r="U1780" s="383"/>
      <c r="V1780" s="381">
        <f t="shared" si="287"/>
        <v>0</v>
      </c>
      <c r="W1780" s="383"/>
      <c r="X1780" s="383"/>
      <c r="Y1780" s="381">
        <f t="shared" si="288"/>
        <v>0</v>
      </c>
    </row>
    <row r="1781" spans="2:25" x14ac:dyDescent="0.2">
      <c r="B1781" s="383"/>
      <c r="C1781" s="383"/>
      <c r="D1781" s="381">
        <f t="shared" si="281"/>
        <v>0</v>
      </c>
      <c r="E1781" s="383"/>
      <c r="F1781" s="382"/>
      <c r="G1781" s="381">
        <f t="shared" si="282"/>
        <v>0</v>
      </c>
      <c r="H1781" s="383"/>
      <c r="I1781" s="383"/>
      <c r="J1781" s="381">
        <f t="shared" si="283"/>
        <v>0</v>
      </c>
      <c r="K1781" s="383"/>
      <c r="L1781" s="383"/>
      <c r="M1781" s="381">
        <f t="shared" si="284"/>
        <v>0</v>
      </c>
      <c r="N1781" s="383"/>
      <c r="O1781" s="383"/>
      <c r="P1781" s="381">
        <f t="shared" si="285"/>
        <v>0</v>
      </c>
      <c r="Q1781" s="383"/>
      <c r="R1781" s="383"/>
      <c r="S1781" s="25">
        <f t="shared" si="286"/>
        <v>0</v>
      </c>
      <c r="T1781" s="383"/>
      <c r="U1781" s="383"/>
      <c r="V1781" s="381">
        <f t="shared" si="287"/>
        <v>0</v>
      </c>
      <c r="W1781" s="383"/>
      <c r="X1781" s="383"/>
      <c r="Y1781" s="381">
        <f t="shared" si="288"/>
        <v>0</v>
      </c>
    </row>
    <row r="1782" spans="2:25" x14ac:dyDescent="0.2">
      <c r="B1782" s="383"/>
      <c r="C1782" s="383"/>
      <c r="D1782" s="381">
        <f t="shared" si="281"/>
        <v>0</v>
      </c>
      <c r="E1782" s="383"/>
      <c r="F1782" s="382"/>
      <c r="G1782" s="381">
        <f t="shared" si="282"/>
        <v>0</v>
      </c>
      <c r="H1782" s="383"/>
      <c r="I1782" s="383"/>
      <c r="J1782" s="381">
        <f t="shared" si="283"/>
        <v>0</v>
      </c>
      <c r="K1782" s="383"/>
      <c r="L1782" s="383"/>
      <c r="M1782" s="381">
        <f t="shared" si="284"/>
        <v>0</v>
      </c>
      <c r="N1782" s="383"/>
      <c r="O1782" s="383"/>
      <c r="P1782" s="381">
        <f t="shared" si="285"/>
        <v>0</v>
      </c>
      <c r="Q1782" s="383"/>
      <c r="R1782" s="383"/>
      <c r="S1782" s="25">
        <f t="shared" si="286"/>
        <v>0</v>
      </c>
      <c r="T1782" s="383"/>
      <c r="U1782" s="383"/>
      <c r="V1782" s="381">
        <f t="shared" si="287"/>
        <v>0</v>
      </c>
      <c r="W1782" s="383"/>
      <c r="X1782" s="383"/>
      <c r="Y1782" s="381">
        <f t="shared" si="288"/>
        <v>0</v>
      </c>
    </row>
    <row r="1783" spans="2:25" x14ac:dyDescent="0.2">
      <c r="B1783" s="383"/>
      <c r="C1783" s="383"/>
      <c r="D1783" s="381">
        <f t="shared" si="281"/>
        <v>0</v>
      </c>
      <c r="E1783" s="383"/>
      <c r="F1783" s="382"/>
      <c r="G1783" s="381">
        <f t="shared" si="282"/>
        <v>0</v>
      </c>
      <c r="H1783" s="383"/>
      <c r="I1783" s="383"/>
      <c r="J1783" s="381">
        <f t="shared" si="283"/>
        <v>0</v>
      </c>
      <c r="K1783" s="383"/>
      <c r="L1783" s="383"/>
      <c r="M1783" s="381">
        <f t="shared" si="284"/>
        <v>0</v>
      </c>
      <c r="N1783" s="383"/>
      <c r="O1783" s="383"/>
      <c r="P1783" s="381">
        <f t="shared" si="285"/>
        <v>0</v>
      </c>
      <c r="Q1783" s="383"/>
      <c r="R1783" s="383"/>
      <c r="S1783" s="25">
        <f t="shared" si="286"/>
        <v>0</v>
      </c>
      <c r="T1783" s="383"/>
      <c r="U1783" s="383"/>
      <c r="V1783" s="381">
        <f t="shared" si="287"/>
        <v>0</v>
      </c>
      <c r="W1783" s="383"/>
      <c r="X1783" s="383"/>
      <c r="Y1783" s="381">
        <f t="shared" si="288"/>
        <v>0</v>
      </c>
    </row>
    <row r="1784" spans="2:25" x14ac:dyDescent="0.2">
      <c r="B1784" s="383"/>
      <c r="C1784" s="383"/>
      <c r="D1784" s="381">
        <f t="shared" si="281"/>
        <v>0</v>
      </c>
      <c r="E1784" s="383"/>
      <c r="F1784" s="382"/>
      <c r="G1784" s="381">
        <f t="shared" si="282"/>
        <v>0</v>
      </c>
      <c r="H1784" s="383"/>
      <c r="I1784" s="383"/>
      <c r="J1784" s="381">
        <f t="shared" si="283"/>
        <v>0</v>
      </c>
      <c r="K1784" s="383"/>
      <c r="L1784" s="383"/>
      <c r="M1784" s="381">
        <f t="shared" si="284"/>
        <v>0</v>
      </c>
      <c r="N1784" s="383"/>
      <c r="O1784" s="383"/>
      <c r="P1784" s="381">
        <f t="shared" si="285"/>
        <v>0</v>
      </c>
      <c r="Q1784" s="383"/>
      <c r="R1784" s="383"/>
      <c r="S1784" s="25">
        <f t="shared" si="286"/>
        <v>0</v>
      </c>
      <c r="T1784" s="383"/>
      <c r="U1784" s="383"/>
      <c r="V1784" s="381">
        <f t="shared" si="287"/>
        <v>0</v>
      </c>
      <c r="W1784" s="383"/>
      <c r="X1784" s="383"/>
      <c r="Y1784" s="381">
        <f t="shared" si="288"/>
        <v>0</v>
      </c>
    </row>
    <row r="1785" spans="2:25" x14ac:dyDescent="0.2">
      <c r="B1785" s="383"/>
      <c r="C1785" s="383"/>
      <c r="D1785" s="381">
        <f t="shared" si="281"/>
        <v>0</v>
      </c>
      <c r="E1785" s="383"/>
      <c r="F1785" s="382"/>
      <c r="G1785" s="381">
        <f t="shared" si="282"/>
        <v>0</v>
      </c>
      <c r="H1785" s="383"/>
      <c r="I1785" s="383"/>
      <c r="J1785" s="381">
        <f t="shared" si="283"/>
        <v>0</v>
      </c>
      <c r="K1785" s="383"/>
      <c r="L1785" s="383"/>
      <c r="M1785" s="381">
        <f t="shared" si="284"/>
        <v>0</v>
      </c>
      <c r="N1785" s="383"/>
      <c r="O1785" s="383"/>
      <c r="P1785" s="381">
        <f t="shared" si="285"/>
        <v>0</v>
      </c>
      <c r="Q1785" s="383"/>
      <c r="R1785" s="383"/>
      <c r="S1785" s="25">
        <f t="shared" si="286"/>
        <v>0</v>
      </c>
      <c r="T1785" s="383"/>
      <c r="U1785" s="383"/>
      <c r="V1785" s="381">
        <f t="shared" si="287"/>
        <v>0</v>
      </c>
      <c r="W1785" s="383"/>
      <c r="X1785" s="383"/>
      <c r="Y1785" s="381">
        <f t="shared" si="288"/>
        <v>0</v>
      </c>
    </row>
    <row r="1786" spans="2:25" x14ac:dyDescent="0.2">
      <c r="B1786" s="383"/>
      <c r="C1786" s="383"/>
      <c r="D1786" s="381">
        <f t="shared" si="281"/>
        <v>0</v>
      </c>
      <c r="E1786" s="383"/>
      <c r="F1786" s="382"/>
      <c r="G1786" s="381">
        <f t="shared" si="282"/>
        <v>0</v>
      </c>
      <c r="H1786" s="383"/>
      <c r="I1786" s="383"/>
      <c r="J1786" s="381">
        <f t="shared" si="283"/>
        <v>0</v>
      </c>
      <c r="K1786" s="383"/>
      <c r="L1786" s="383"/>
      <c r="M1786" s="381">
        <f t="shared" si="284"/>
        <v>0</v>
      </c>
      <c r="N1786" s="383"/>
      <c r="O1786" s="383"/>
      <c r="P1786" s="381">
        <f t="shared" si="285"/>
        <v>0</v>
      </c>
      <c r="Q1786" s="383"/>
      <c r="R1786" s="383"/>
      <c r="S1786" s="25">
        <f t="shared" si="286"/>
        <v>0</v>
      </c>
      <c r="T1786" s="383"/>
      <c r="U1786" s="383"/>
      <c r="V1786" s="381">
        <f t="shared" si="287"/>
        <v>0</v>
      </c>
      <c r="W1786" s="383"/>
      <c r="X1786" s="383"/>
      <c r="Y1786" s="381">
        <f t="shared" si="288"/>
        <v>0</v>
      </c>
    </row>
    <row r="1787" spans="2:25" x14ac:dyDescent="0.2">
      <c r="B1787" s="383"/>
      <c r="C1787" s="383"/>
      <c r="D1787" s="381">
        <f t="shared" si="281"/>
        <v>0</v>
      </c>
      <c r="E1787" s="383"/>
      <c r="F1787" s="382"/>
      <c r="G1787" s="381">
        <f t="shared" si="282"/>
        <v>0</v>
      </c>
      <c r="H1787" s="383"/>
      <c r="I1787" s="383"/>
      <c r="J1787" s="381">
        <f t="shared" si="283"/>
        <v>0</v>
      </c>
      <c r="K1787" s="383"/>
      <c r="L1787" s="383"/>
      <c r="M1787" s="381">
        <f t="shared" si="284"/>
        <v>0</v>
      </c>
      <c r="N1787" s="383"/>
      <c r="O1787" s="383"/>
      <c r="P1787" s="381">
        <f t="shared" si="285"/>
        <v>0</v>
      </c>
      <c r="Q1787" s="383"/>
      <c r="R1787" s="383"/>
      <c r="S1787" s="25">
        <f t="shared" si="286"/>
        <v>0</v>
      </c>
      <c r="T1787" s="383"/>
      <c r="U1787" s="383"/>
      <c r="V1787" s="381">
        <f t="shared" si="287"/>
        <v>0</v>
      </c>
      <c r="W1787" s="383"/>
      <c r="X1787" s="383"/>
      <c r="Y1787" s="381">
        <f t="shared" si="288"/>
        <v>0</v>
      </c>
    </row>
    <row r="1788" spans="2:25" x14ac:dyDescent="0.2">
      <c r="B1788" s="383"/>
      <c r="C1788" s="383"/>
      <c r="D1788" s="381">
        <f t="shared" si="281"/>
        <v>0</v>
      </c>
      <c r="E1788" s="383"/>
      <c r="F1788" s="382"/>
      <c r="G1788" s="381">
        <f t="shared" si="282"/>
        <v>0</v>
      </c>
      <c r="H1788" s="383"/>
      <c r="I1788" s="383"/>
      <c r="J1788" s="381">
        <f t="shared" si="283"/>
        <v>0</v>
      </c>
      <c r="K1788" s="383"/>
      <c r="L1788" s="383"/>
      <c r="M1788" s="381">
        <f t="shared" si="284"/>
        <v>0</v>
      </c>
      <c r="N1788" s="383"/>
      <c r="O1788" s="383"/>
      <c r="P1788" s="381">
        <f t="shared" si="285"/>
        <v>0</v>
      </c>
      <c r="Q1788" s="383"/>
      <c r="R1788" s="383"/>
      <c r="S1788" s="25">
        <f t="shared" si="286"/>
        <v>0</v>
      </c>
      <c r="T1788" s="383"/>
      <c r="U1788" s="383"/>
      <c r="V1788" s="381">
        <f t="shared" si="287"/>
        <v>0</v>
      </c>
      <c r="W1788" s="383"/>
      <c r="X1788" s="383"/>
      <c r="Y1788" s="381">
        <f t="shared" si="288"/>
        <v>0</v>
      </c>
    </row>
    <row r="1789" spans="2:25" x14ac:dyDescent="0.2">
      <c r="B1789" s="383"/>
      <c r="C1789" s="383"/>
      <c r="D1789" s="381">
        <f t="shared" si="281"/>
        <v>0</v>
      </c>
      <c r="E1789" s="383"/>
      <c r="F1789" s="382"/>
      <c r="G1789" s="381">
        <f t="shared" si="282"/>
        <v>0</v>
      </c>
      <c r="H1789" s="383"/>
      <c r="I1789" s="383"/>
      <c r="J1789" s="381">
        <f t="shared" si="283"/>
        <v>0</v>
      </c>
      <c r="K1789" s="383"/>
      <c r="L1789" s="383"/>
      <c r="M1789" s="381">
        <f t="shared" si="284"/>
        <v>0</v>
      </c>
      <c r="N1789" s="383"/>
      <c r="O1789" s="383"/>
      <c r="P1789" s="381">
        <f t="shared" si="285"/>
        <v>0</v>
      </c>
      <c r="Q1789" s="383"/>
      <c r="R1789" s="383"/>
      <c r="S1789" s="25">
        <f t="shared" si="286"/>
        <v>0</v>
      </c>
      <c r="T1789" s="383"/>
      <c r="U1789" s="383"/>
      <c r="V1789" s="381">
        <f t="shared" si="287"/>
        <v>0</v>
      </c>
      <c r="W1789" s="383"/>
      <c r="X1789" s="383"/>
      <c r="Y1789" s="381">
        <f t="shared" si="288"/>
        <v>0</v>
      </c>
    </row>
    <row r="1790" spans="2:25" x14ac:dyDescent="0.2">
      <c r="B1790" s="383"/>
      <c r="C1790" s="383"/>
      <c r="D1790" s="381">
        <f t="shared" si="281"/>
        <v>0</v>
      </c>
      <c r="E1790" s="383"/>
      <c r="F1790" s="382"/>
      <c r="G1790" s="381">
        <f t="shared" si="282"/>
        <v>0</v>
      </c>
      <c r="H1790" s="383"/>
      <c r="I1790" s="383"/>
      <c r="J1790" s="381">
        <f t="shared" si="283"/>
        <v>0</v>
      </c>
      <c r="K1790" s="383"/>
      <c r="L1790" s="383"/>
      <c r="M1790" s="381">
        <f t="shared" si="284"/>
        <v>0</v>
      </c>
      <c r="N1790" s="383"/>
      <c r="O1790" s="383"/>
      <c r="P1790" s="381">
        <f t="shared" si="285"/>
        <v>0</v>
      </c>
      <c r="Q1790" s="383"/>
      <c r="R1790" s="383"/>
      <c r="S1790" s="25">
        <f t="shared" si="286"/>
        <v>0</v>
      </c>
      <c r="T1790" s="383"/>
      <c r="U1790" s="383"/>
      <c r="V1790" s="381">
        <f t="shared" si="287"/>
        <v>0</v>
      </c>
      <c r="W1790" s="383"/>
      <c r="X1790" s="383"/>
      <c r="Y1790" s="381">
        <f t="shared" si="288"/>
        <v>0</v>
      </c>
    </row>
    <row r="1791" spans="2:25" x14ac:dyDescent="0.2">
      <c r="B1791" s="383"/>
      <c r="C1791" s="383"/>
      <c r="D1791" s="381">
        <f t="shared" si="281"/>
        <v>0</v>
      </c>
      <c r="E1791" s="383"/>
      <c r="F1791" s="382"/>
      <c r="G1791" s="381">
        <f t="shared" si="282"/>
        <v>0</v>
      </c>
      <c r="H1791" s="383"/>
      <c r="I1791" s="383"/>
      <c r="J1791" s="381">
        <f t="shared" si="283"/>
        <v>0</v>
      </c>
      <c r="K1791" s="383"/>
      <c r="L1791" s="383"/>
      <c r="M1791" s="381">
        <f t="shared" si="284"/>
        <v>0</v>
      </c>
      <c r="N1791" s="383"/>
      <c r="O1791" s="383"/>
      <c r="P1791" s="381">
        <f t="shared" si="285"/>
        <v>0</v>
      </c>
      <c r="Q1791" s="383"/>
      <c r="R1791" s="383"/>
      <c r="S1791" s="25">
        <f t="shared" si="286"/>
        <v>0</v>
      </c>
      <c r="T1791" s="383"/>
      <c r="U1791" s="383"/>
      <c r="V1791" s="381">
        <f t="shared" si="287"/>
        <v>0</v>
      </c>
      <c r="W1791" s="383"/>
      <c r="X1791" s="383"/>
      <c r="Y1791" s="381">
        <f t="shared" si="288"/>
        <v>0</v>
      </c>
    </row>
    <row r="1792" spans="2:25" x14ac:dyDescent="0.2">
      <c r="B1792" s="383"/>
      <c r="C1792" s="383"/>
      <c r="D1792" s="381">
        <f t="shared" si="281"/>
        <v>0</v>
      </c>
      <c r="E1792" s="383"/>
      <c r="F1792" s="382"/>
      <c r="G1792" s="381">
        <f t="shared" si="282"/>
        <v>0</v>
      </c>
      <c r="H1792" s="383"/>
      <c r="I1792" s="383"/>
      <c r="J1792" s="381">
        <f t="shared" si="283"/>
        <v>0</v>
      </c>
      <c r="K1792" s="383"/>
      <c r="L1792" s="383"/>
      <c r="M1792" s="381">
        <f t="shared" si="284"/>
        <v>0</v>
      </c>
      <c r="N1792" s="383"/>
      <c r="O1792" s="383"/>
      <c r="P1792" s="381">
        <f t="shared" si="285"/>
        <v>0</v>
      </c>
      <c r="Q1792" s="383"/>
      <c r="R1792" s="383"/>
      <c r="S1792" s="25">
        <f t="shared" si="286"/>
        <v>0</v>
      </c>
      <c r="T1792" s="383"/>
      <c r="U1792" s="383"/>
      <c r="V1792" s="381">
        <f t="shared" si="287"/>
        <v>0</v>
      </c>
      <c r="W1792" s="383"/>
      <c r="X1792" s="383"/>
      <c r="Y1792" s="381">
        <f t="shared" si="288"/>
        <v>0</v>
      </c>
    </row>
    <row r="1793" spans="2:25" x14ac:dyDescent="0.2">
      <c r="B1793" s="383"/>
      <c r="C1793" s="383"/>
      <c r="D1793" s="381">
        <f t="shared" si="281"/>
        <v>0</v>
      </c>
      <c r="E1793" s="383"/>
      <c r="F1793" s="382"/>
      <c r="G1793" s="381">
        <f t="shared" si="282"/>
        <v>0</v>
      </c>
      <c r="H1793" s="383"/>
      <c r="I1793" s="383"/>
      <c r="J1793" s="381">
        <f t="shared" si="283"/>
        <v>0</v>
      </c>
      <c r="K1793" s="383"/>
      <c r="L1793" s="383"/>
      <c r="M1793" s="381">
        <f t="shared" si="284"/>
        <v>0</v>
      </c>
      <c r="N1793" s="383"/>
      <c r="O1793" s="383"/>
      <c r="P1793" s="381">
        <f t="shared" si="285"/>
        <v>0</v>
      </c>
      <c r="Q1793" s="383"/>
      <c r="R1793" s="383"/>
      <c r="S1793" s="25">
        <f t="shared" si="286"/>
        <v>0</v>
      </c>
      <c r="T1793" s="383"/>
      <c r="U1793" s="383"/>
      <c r="V1793" s="381">
        <f t="shared" si="287"/>
        <v>0</v>
      </c>
      <c r="W1793" s="383"/>
      <c r="X1793" s="383"/>
      <c r="Y1793" s="381">
        <f t="shared" si="288"/>
        <v>0</v>
      </c>
    </row>
    <row r="1794" spans="2:25" x14ac:dyDescent="0.2">
      <c r="B1794" s="383"/>
      <c r="C1794" s="383"/>
      <c r="D1794" s="381">
        <f t="shared" si="281"/>
        <v>0</v>
      </c>
      <c r="E1794" s="383"/>
      <c r="F1794" s="382"/>
      <c r="G1794" s="381">
        <f t="shared" si="282"/>
        <v>0</v>
      </c>
      <c r="H1794" s="383"/>
      <c r="I1794" s="383"/>
      <c r="J1794" s="381">
        <f t="shared" si="283"/>
        <v>0</v>
      </c>
      <c r="K1794" s="383"/>
      <c r="L1794" s="383"/>
      <c r="M1794" s="381">
        <f t="shared" si="284"/>
        <v>0</v>
      </c>
      <c r="N1794" s="383"/>
      <c r="O1794" s="383"/>
      <c r="P1794" s="381">
        <f t="shared" si="285"/>
        <v>0</v>
      </c>
      <c r="Q1794" s="383"/>
      <c r="R1794" s="383"/>
      <c r="S1794" s="25">
        <f t="shared" si="286"/>
        <v>0</v>
      </c>
      <c r="T1794" s="383"/>
      <c r="U1794" s="383"/>
      <c r="V1794" s="381">
        <f t="shared" si="287"/>
        <v>0</v>
      </c>
      <c r="W1794" s="383"/>
      <c r="X1794" s="383"/>
      <c r="Y1794" s="381">
        <f t="shared" si="288"/>
        <v>0</v>
      </c>
    </row>
    <row r="1795" spans="2:25" x14ac:dyDescent="0.2">
      <c r="B1795" s="383"/>
      <c r="C1795" s="383"/>
      <c r="D1795" s="381">
        <f t="shared" si="281"/>
        <v>0</v>
      </c>
      <c r="E1795" s="383"/>
      <c r="F1795" s="382"/>
      <c r="G1795" s="381">
        <f t="shared" si="282"/>
        <v>0</v>
      </c>
      <c r="H1795" s="383"/>
      <c r="I1795" s="383"/>
      <c r="J1795" s="381">
        <f t="shared" si="283"/>
        <v>0</v>
      </c>
      <c r="K1795" s="383"/>
      <c r="L1795" s="383"/>
      <c r="M1795" s="381">
        <f t="shared" si="284"/>
        <v>0</v>
      </c>
      <c r="N1795" s="383"/>
      <c r="O1795" s="383"/>
      <c r="P1795" s="381">
        <f t="shared" si="285"/>
        <v>0</v>
      </c>
      <c r="Q1795" s="383"/>
      <c r="R1795" s="383"/>
      <c r="S1795" s="25">
        <f t="shared" si="286"/>
        <v>0</v>
      </c>
      <c r="T1795" s="383"/>
      <c r="U1795" s="383"/>
      <c r="V1795" s="381">
        <f t="shared" si="287"/>
        <v>0</v>
      </c>
      <c r="W1795" s="383"/>
      <c r="X1795" s="383"/>
      <c r="Y1795" s="381">
        <f t="shared" si="288"/>
        <v>0</v>
      </c>
    </row>
    <row r="1796" spans="2:25" x14ac:dyDescent="0.2">
      <c r="B1796" s="383"/>
      <c r="C1796" s="383"/>
      <c r="D1796" s="381">
        <f t="shared" si="281"/>
        <v>0</v>
      </c>
      <c r="E1796" s="383"/>
      <c r="F1796" s="382"/>
      <c r="G1796" s="381">
        <f t="shared" si="282"/>
        <v>0</v>
      </c>
      <c r="H1796" s="383"/>
      <c r="I1796" s="383"/>
      <c r="J1796" s="381">
        <f t="shared" si="283"/>
        <v>0</v>
      </c>
      <c r="K1796" s="383"/>
      <c r="L1796" s="383"/>
      <c r="M1796" s="381">
        <f t="shared" si="284"/>
        <v>0</v>
      </c>
      <c r="N1796" s="383"/>
      <c r="O1796" s="383"/>
      <c r="P1796" s="381">
        <f t="shared" si="285"/>
        <v>0</v>
      </c>
      <c r="Q1796" s="383"/>
      <c r="R1796" s="383"/>
      <c r="S1796" s="25">
        <f t="shared" si="286"/>
        <v>0</v>
      </c>
      <c r="T1796" s="383"/>
      <c r="U1796" s="383"/>
      <c r="V1796" s="381">
        <f t="shared" si="287"/>
        <v>0</v>
      </c>
      <c r="W1796" s="383"/>
      <c r="X1796" s="383"/>
      <c r="Y1796" s="381">
        <f t="shared" si="288"/>
        <v>0</v>
      </c>
    </row>
    <row r="1797" spans="2:25" x14ac:dyDescent="0.2">
      <c r="B1797" s="383"/>
      <c r="C1797" s="383"/>
      <c r="D1797" s="381">
        <f t="shared" si="281"/>
        <v>0</v>
      </c>
      <c r="E1797" s="383"/>
      <c r="F1797" s="382"/>
      <c r="G1797" s="381">
        <f t="shared" si="282"/>
        <v>0</v>
      </c>
      <c r="H1797" s="383"/>
      <c r="I1797" s="383"/>
      <c r="J1797" s="381">
        <f t="shared" si="283"/>
        <v>0</v>
      </c>
      <c r="K1797" s="383"/>
      <c r="L1797" s="383"/>
      <c r="M1797" s="381">
        <f t="shared" si="284"/>
        <v>0</v>
      </c>
      <c r="N1797" s="383"/>
      <c r="O1797" s="383"/>
      <c r="P1797" s="381">
        <f t="shared" si="285"/>
        <v>0</v>
      </c>
      <c r="Q1797" s="383"/>
      <c r="R1797" s="383"/>
      <c r="S1797" s="25">
        <f t="shared" si="286"/>
        <v>0</v>
      </c>
      <c r="T1797" s="383"/>
      <c r="U1797" s="383"/>
      <c r="V1797" s="381">
        <f t="shared" si="287"/>
        <v>0</v>
      </c>
      <c r="W1797" s="383"/>
      <c r="X1797" s="383"/>
      <c r="Y1797" s="381">
        <f t="shared" si="288"/>
        <v>0</v>
      </c>
    </row>
    <row r="1798" spans="2:25" x14ac:dyDescent="0.2">
      <c r="B1798" s="383"/>
      <c r="C1798" s="383"/>
      <c r="D1798" s="381">
        <f t="shared" si="281"/>
        <v>0</v>
      </c>
      <c r="E1798" s="383"/>
      <c r="F1798" s="382"/>
      <c r="G1798" s="381">
        <f t="shared" si="282"/>
        <v>0</v>
      </c>
      <c r="H1798" s="383"/>
      <c r="I1798" s="383"/>
      <c r="J1798" s="381">
        <f t="shared" si="283"/>
        <v>0</v>
      </c>
      <c r="K1798" s="383"/>
      <c r="L1798" s="383"/>
      <c r="M1798" s="381">
        <f t="shared" si="284"/>
        <v>0</v>
      </c>
      <c r="N1798" s="383"/>
      <c r="O1798" s="383"/>
      <c r="P1798" s="381">
        <f t="shared" si="285"/>
        <v>0</v>
      </c>
      <c r="Q1798" s="383"/>
      <c r="R1798" s="383"/>
      <c r="S1798" s="25">
        <f t="shared" si="286"/>
        <v>0</v>
      </c>
      <c r="T1798" s="383"/>
      <c r="U1798" s="383"/>
      <c r="V1798" s="381">
        <f t="shared" si="287"/>
        <v>0</v>
      </c>
      <c r="W1798" s="383"/>
      <c r="X1798" s="383"/>
      <c r="Y1798" s="381">
        <f t="shared" si="288"/>
        <v>0</v>
      </c>
    </row>
    <row r="1799" spans="2:25" x14ac:dyDescent="0.2">
      <c r="B1799" s="383"/>
      <c r="C1799" s="383"/>
      <c r="D1799" s="381">
        <f t="shared" si="281"/>
        <v>0</v>
      </c>
      <c r="E1799" s="383"/>
      <c r="F1799" s="382"/>
      <c r="G1799" s="381">
        <f t="shared" si="282"/>
        <v>0</v>
      </c>
      <c r="H1799" s="383"/>
      <c r="I1799" s="383"/>
      <c r="J1799" s="381">
        <f t="shared" si="283"/>
        <v>0</v>
      </c>
      <c r="K1799" s="383"/>
      <c r="L1799" s="383"/>
      <c r="M1799" s="381">
        <f t="shared" si="284"/>
        <v>0</v>
      </c>
      <c r="N1799" s="383"/>
      <c r="O1799" s="383"/>
      <c r="P1799" s="381">
        <f t="shared" si="285"/>
        <v>0</v>
      </c>
      <c r="Q1799" s="383"/>
      <c r="R1799" s="383"/>
      <c r="S1799" s="25">
        <f t="shared" si="286"/>
        <v>0</v>
      </c>
      <c r="T1799" s="383"/>
      <c r="U1799" s="383"/>
      <c r="V1799" s="381">
        <f t="shared" si="287"/>
        <v>0</v>
      </c>
      <c r="W1799" s="383"/>
      <c r="X1799" s="383"/>
      <c r="Y1799" s="381">
        <f t="shared" si="288"/>
        <v>0</v>
      </c>
    </row>
    <row r="1800" spans="2:25" x14ac:dyDescent="0.2">
      <c r="B1800" s="383"/>
      <c r="C1800" s="383"/>
      <c r="D1800" s="381">
        <f t="shared" si="281"/>
        <v>0</v>
      </c>
      <c r="E1800" s="383"/>
      <c r="F1800" s="382"/>
      <c r="G1800" s="381">
        <f t="shared" si="282"/>
        <v>0</v>
      </c>
      <c r="H1800" s="383"/>
      <c r="I1800" s="383"/>
      <c r="J1800" s="381">
        <f t="shared" si="283"/>
        <v>0</v>
      </c>
      <c r="K1800" s="383"/>
      <c r="L1800" s="383"/>
      <c r="M1800" s="381">
        <f t="shared" si="284"/>
        <v>0</v>
      </c>
      <c r="N1800" s="383"/>
      <c r="O1800" s="383"/>
      <c r="P1800" s="381">
        <f t="shared" si="285"/>
        <v>0</v>
      </c>
      <c r="Q1800" s="383"/>
      <c r="R1800" s="383"/>
      <c r="S1800" s="25">
        <f t="shared" si="286"/>
        <v>0</v>
      </c>
      <c r="T1800" s="383"/>
      <c r="U1800" s="383"/>
      <c r="V1800" s="381">
        <f t="shared" si="287"/>
        <v>0</v>
      </c>
      <c r="W1800" s="383"/>
      <c r="X1800" s="383"/>
      <c r="Y1800" s="381">
        <f t="shared" si="288"/>
        <v>0</v>
      </c>
    </row>
    <row r="1801" spans="2:25" x14ac:dyDescent="0.2">
      <c r="B1801" s="383"/>
      <c r="C1801" s="383"/>
      <c r="D1801" s="381">
        <f t="shared" si="281"/>
        <v>0</v>
      </c>
      <c r="E1801" s="383"/>
      <c r="F1801" s="382"/>
      <c r="G1801" s="381">
        <f t="shared" si="282"/>
        <v>0</v>
      </c>
      <c r="H1801" s="383"/>
      <c r="I1801" s="383"/>
      <c r="J1801" s="381">
        <f t="shared" si="283"/>
        <v>0</v>
      </c>
      <c r="K1801" s="383"/>
      <c r="L1801" s="383"/>
      <c r="M1801" s="381">
        <f t="shared" si="284"/>
        <v>0</v>
      </c>
      <c r="N1801" s="383"/>
      <c r="O1801" s="383"/>
      <c r="P1801" s="381">
        <f t="shared" si="285"/>
        <v>0</v>
      </c>
      <c r="Q1801" s="383"/>
      <c r="R1801" s="383"/>
      <c r="S1801" s="25">
        <f t="shared" si="286"/>
        <v>0</v>
      </c>
      <c r="T1801" s="383"/>
      <c r="U1801" s="383"/>
      <c r="V1801" s="381">
        <f t="shared" si="287"/>
        <v>0</v>
      </c>
      <c r="W1801" s="383"/>
      <c r="X1801" s="383"/>
      <c r="Y1801" s="381">
        <f t="shared" si="288"/>
        <v>0</v>
      </c>
    </row>
    <row r="1802" spans="2:25" x14ac:dyDescent="0.2">
      <c r="B1802" s="383"/>
      <c r="C1802" s="383"/>
      <c r="D1802" s="381">
        <f t="shared" si="281"/>
        <v>0</v>
      </c>
      <c r="E1802" s="383"/>
      <c r="F1802" s="382"/>
      <c r="G1802" s="381">
        <f t="shared" si="282"/>
        <v>0</v>
      </c>
      <c r="H1802" s="383"/>
      <c r="I1802" s="383"/>
      <c r="J1802" s="381">
        <f t="shared" si="283"/>
        <v>0</v>
      </c>
      <c r="K1802" s="383"/>
      <c r="L1802" s="383"/>
      <c r="M1802" s="381">
        <f t="shared" si="284"/>
        <v>0</v>
      </c>
      <c r="N1802" s="383"/>
      <c r="O1802" s="383"/>
      <c r="P1802" s="381">
        <f t="shared" si="285"/>
        <v>0</v>
      </c>
      <c r="Q1802" s="383"/>
      <c r="R1802" s="383"/>
      <c r="S1802" s="25">
        <f t="shared" si="286"/>
        <v>0</v>
      </c>
      <c r="T1802" s="383"/>
      <c r="U1802" s="383"/>
      <c r="V1802" s="381">
        <f t="shared" si="287"/>
        <v>0</v>
      </c>
      <c r="W1802" s="383"/>
      <c r="X1802" s="383"/>
      <c r="Y1802" s="381">
        <f t="shared" si="288"/>
        <v>0</v>
      </c>
    </row>
    <row r="1803" spans="2:25" x14ac:dyDescent="0.2">
      <c r="B1803" s="383"/>
      <c r="C1803" s="383"/>
      <c r="D1803" s="381">
        <f t="shared" si="281"/>
        <v>0</v>
      </c>
      <c r="E1803" s="383"/>
      <c r="F1803" s="382"/>
      <c r="G1803" s="381">
        <f t="shared" si="282"/>
        <v>0</v>
      </c>
      <c r="H1803" s="383"/>
      <c r="I1803" s="383"/>
      <c r="J1803" s="381">
        <f t="shared" si="283"/>
        <v>0</v>
      </c>
      <c r="K1803" s="383"/>
      <c r="L1803" s="383"/>
      <c r="M1803" s="381">
        <f t="shared" si="284"/>
        <v>0</v>
      </c>
      <c r="N1803" s="383"/>
      <c r="O1803" s="383"/>
      <c r="P1803" s="381">
        <f t="shared" si="285"/>
        <v>0</v>
      </c>
      <c r="Q1803" s="383"/>
      <c r="R1803" s="383"/>
      <c r="S1803" s="25">
        <f t="shared" si="286"/>
        <v>0</v>
      </c>
      <c r="T1803" s="383"/>
      <c r="U1803" s="383"/>
      <c r="V1803" s="381">
        <f t="shared" si="287"/>
        <v>0</v>
      </c>
      <c r="W1803" s="383"/>
      <c r="X1803" s="383"/>
      <c r="Y1803" s="381">
        <f t="shared" si="288"/>
        <v>0</v>
      </c>
    </row>
    <row r="1804" spans="2:25" x14ac:dyDescent="0.2">
      <c r="B1804" s="383"/>
      <c r="C1804" s="383"/>
      <c r="D1804" s="381">
        <f t="shared" si="281"/>
        <v>0</v>
      </c>
      <c r="E1804" s="383"/>
      <c r="F1804" s="382"/>
      <c r="G1804" s="381">
        <f t="shared" si="282"/>
        <v>0</v>
      </c>
      <c r="H1804" s="383"/>
      <c r="I1804" s="383"/>
      <c r="J1804" s="381">
        <f t="shared" si="283"/>
        <v>0</v>
      </c>
      <c r="K1804" s="383"/>
      <c r="L1804" s="383"/>
      <c r="M1804" s="381">
        <f t="shared" si="284"/>
        <v>0</v>
      </c>
      <c r="N1804" s="383"/>
      <c r="O1804" s="383"/>
      <c r="P1804" s="381">
        <f t="shared" si="285"/>
        <v>0</v>
      </c>
      <c r="Q1804" s="383"/>
      <c r="R1804" s="383"/>
      <c r="S1804" s="25">
        <f t="shared" si="286"/>
        <v>0</v>
      </c>
      <c r="T1804" s="383"/>
      <c r="U1804" s="383"/>
      <c r="V1804" s="381">
        <f t="shared" si="287"/>
        <v>0</v>
      </c>
      <c r="W1804" s="383"/>
      <c r="X1804" s="383"/>
      <c r="Y1804" s="381">
        <f t="shared" si="288"/>
        <v>0</v>
      </c>
    </row>
    <row r="1805" spans="2:25" x14ac:dyDescent="0.2">
      <c r="B1805" s="383"/>
      <c r="C1805" s="383"/>
      <c r="D1805" s="381">
        <f t="shared" si="281"/>
        <v>0</v>
      </c>
      <c r="E1805" s="383"/>
      <c r="F1805" s="382"/>
      <c r="G1805" s="381">
        <f t="shared" si="282"/>
        <v>0</v>
      </c>
      <c r="H1805" s="383"/>
      <c r="I1805" s="383"/>
      <c r="J1805" s="381">
        <f t="shared" si="283"/>
        <v>0</v>
      </c>
      <c r="K1805" s="383"/>
      <c r="L1805" s="383"/>
      <c r="M1805" s="381">
        <f t="shared" si="284"/>
        <v>0</v>
      </c>
      <c r="N1805" s="383"/>
      <c r="O1805" s="383"/>
      <c r="P1805" s="381">
        <f t="shared" si="285"/>
        <v>0</v>
      </c>
      <c r="Q1805" s="383"/>
      <c r="R1805" s="383"/>
      <c r="S1805" s="25">
        <f t="shared" si="286"/>
        <v>0</v>
      </c>
      <c r="T1805" s="383"/>
      <c r="U1805" s="383"/>
      <c r="V1805" s="381">
        <f t="shared" si="287"/>
        <v>0</v>
      </c>
      <c r="W1805" s="383"/>
      <c r="X1805" s="383"/>
      <c r="Y1805" s="381">
        <f t="shared" si="288"/>
        <v>0</v>
      </c>
    </row>
    <row r="1806" spans="2:25" x14ac:dyDescent="0.2">
      <c r="B1806" s="383"/>
      <c r="C1806" s="383"/>
      <c r="D1806" s="381">
        <f t="shared" si="281"/>
        <v>0</v>
      </c>
      <c r="E1806" s="383"/>
      <c r="F1806" s="382"/>
      <c r="G1806" s="381">
        <f t="shared" si="282"/>
        <v>0</v>
      </c>
      <c r="H1806" s="383"/>
      <c r="I1806" s="383"/>
      <c r="J1806" s="381">
        <f t="shared" si="283"/>
        <v>0</v>
      </c>
      <c r="K1806" s="383"/>
      <c r="L1806" s="383"/>
      <c r="M1806" s="381">
        <f t="shared" si="284"/>
        <v>0</v>
      </c>
      <c r="N1806" s="383"/>
      <c r="O1806" s="383"/>
      <c r="P1806" s="381">
        <f t="shared" si="285"/>
        <v>0</v>
      </c>
      <c r="Q1806" s="383"/>
      <c r="R1806" s="383"/>
      <c r="S1806" s="25">
        <f t="shared" si="286"/>
        <v>0</v>
      </c>
      <c r="T1806" s="383"/>
      <c r="U1806" s="383"/>
      <c r="V1806" s="381">
        <f t="shared" si="287"/>
        <v>0</v>
      </c>
      <c r="W1806" s="383"/>
      <c r="X1806" s="383"/>
      <c r="Y1806" s="381">
        <f t="shared" si="288"/>
        <v>0</v>
      </c>
    </row>
    <row r="1807" spans="2:25" x14ac:dyDescent="0.2">
      <c r="B1807" s="383"/>
      <c r="C1807" s="383"/>
      <c r="D1807" s="381">
        <f t="shared" si="281"/>
        <v>0</v>
      </c>
      <c r="E1807" s="383"/>
      <c r="F1807" s="382"/>
      <c r="G1807" s="381">
        <f t="shared" si="282"/>
        <v>0</v>
      </c>
      <c r="H1807" s="383"/>
      <c r="I1807" s="383"/>
      <c r="J1807" s="381">
        <f t="shared" si="283"/>
        <v>0</v>
      </c>
      <c r="K1807" s="383"/>
      <c r="L1807" s="383"/>
      <c r="M1807" s="381">
        <f t="shared" si="284"/>
        <v>0</v>
      </c>
      <c r="N1807" s="383"/>
      <c r="O1807" s="383"/>
      <c r="P1807" s="381">
        <f t="shared" si="285"/>
        <v>0</v>
      </c>
      <c r="Q1807" s="383"/>
      <c r="R1807" s="383"/>
      <c r="S1807" s="25">
        <f t="shared" si="286"/>
        <v>0</v>
      </c>
      <c r="T1807" s="383"/>
      <c r="U1807" s="383"/>
      <c r="V1807" s="381">
        <f t="shared" si="287"/>
        <v>0</v>
      </c>
      <c r="W1807" s="383"/>
      <c r="X1807" s="383"/>
      <c r="Y1807" s="381">
        <f t="shared" si="288"/>
        <v>0</v>
      </c>
    </row>
    <row r="1808" spans="2:25" x14ac:dyDescent="0.2">
      <c r="B1808" s="383"/>
      <c r="C1808" s="383"/>
      <c r="D1808" s="381">
        <f t="shared" si="281"/>
        <v>0</v>
      </c>
      <c r="E1808" s="383"/>
      <c r="F1808" s="382"/>
      <c r="G1808" s="381">
        <f t="shared" si="282"/>
        <v>0</v>
      </c>
      <c r="H1808" s="383"/>
      <c r="I1808" s="383"/>
      <c r="J1808" s="381">
        <f t="shared" si="283"/>
        <v>0</v>
      </c>
      <c r="K1808" s="383"/>
      <c r="L1808" s="383"/>
      <c r="M1808" s="381">
        <f t="shared" si="284"/>
        <v>0</v>
      </c>
      <c r="N1808" s="383"/>
      <c r="O1808" s="383"/>
      <c r="P1808" s="381">
        <f t="shared" si="285"/>
        <v>0</v>
      </c>
      <c r="Q1808" s="383"/>
      <c r="R1808" s="383"/>
      <c r="S1808" s="25">
        <f t="shared" si="286"/>
        <v>0</v>
      </c>
      <c r="T1808" s="383"/>
      <c r="U1808" s="383"/>
      <c r="V1808" s="381">
        <f t="shared" si="287"/>
        <v>0</v>
      </c>
      <c r="W1808" s="383"/>
      <c r="X1808" s="383"/>
      <c r="Y1808" s="381">
        <f t="shared" si="288"/>
        <v>0</v>
      </c>
    </row>
    <row r="1809" spans="2:25" x14ac:dyDescent="0.2">
      <c r="B1809" s="383"/>
      <c r="C1809" s="383"/>
      <c r="D1809" s="381">
        <f t="shared" si="281"/>
        <v>0</v>
      </c>
      <c r="E1809" s="383"/>
      <c r="F1809" s="382"/>
      <c r="G1809" s="381">
        <f t="shared" si="282"/>
        <v>0</v>
      </c>
      <c r="H1809" s="383"/>
      <c r="I1809" s="383"/>
      <c r="J1809" s="381">
        <f t="shared" si="283"/>
        <v>0</v>
      </c>
      <c r="K1809" s="383"/>
      <c r="L1809" s="383"/>
      <c r="M1809" s="381">
        <f t="shared" si="284"/>
        <v>0</v>
      </c>
      <c r="N1809" s="383"/>
      <c r="O1809" s="383"/>
      <c r="P1809" s="381">
        <f t="shared" si="285"/>
        <v>0</v>
      </c>
      <c r="Q1809" s="383"/>
      <c r="R1809" s="383"/>
      <c r="S1809" s="25">
        <f t="shared" si="286"/>
        <v>0</v>
      </c>
      <c r="T1809" s="383"/>
      <c r="U1809" s="383"/>
      <c r="V1809" s="381">
        <f t="shared" si="287"/>
        <v>0</v>
      </c>
      <c r="W1809" s="383"/>
      <c r="X1809" s="383"/>
      <c r="Y1809" s="381">
        <f t="shared" si="288"/>
        <v>0</v>
      </c>
    </row>
    <row r="1810" spans="2:25" x14ac:dyDescent="0.2">
      <c r="B1810" s="383"/>
      <c r="C1810" s="383"/>
      <c r="D1810" s="381">
        <f t="shared" ref="D1810:D1873" si="289">C1810</f>
        <v>0</v>
      </c>
      <c r="E1810" s="383"/>
      <c r="F1810" s="382"/>
      <c r="G1810" s="381">
        <f t="shared" ref="G1810:G1873" si="290">F1810+$AB$2</f>
        <v>0</v>
      </c>
      <c r="H1810" s="383"/>
      <c r="I1810" s="383"/>
      <c r="J1810" s="381">
        <f t="shared" ref="J1810:J1873" si="291">I1810+$AB$3</f>
        <v>0</v>
      </c>
      <c r="K1810" s="383"/>
      <c r="L1810" s="383"/>
      <c r="M1810" s="381">
        <f t="shared" ref="M1810:M1873" si="292">L1810+$AB$4</f>
        <v>0</v>
      </c>
      <c r="N1810" s="383"/>
      <c r="O1810" s="383"/>
      <c r="P1810" s="381">
        <f t="shared" ref="P1810:P1873" si="293">O1810+$AB$5</f>
        <v>0</v>
      </c>
      <c r="Q1810" s="383"/>
      <c r="R1810" s="383"/>
      <c r="S1810" s="25">
        <f t="shared" ref="S1810:S1873" si="294">R1810+$AB$6</f>
        <v>0</v>
      </c>
      <c r="T1810" s="383"/>
      <c r="U1810" s="383"/>
      <c r="V1810" s="381">
        <f t="shared" ref="V1810:V1873" si="295">U1810+$AB$7</f>
        <v>0</v>
      </c>
      <c r="W1810" s="383"/>
      <c r="X1810" s="383"/>
      <c r="Y1810" s="381">
        <f t="shared" ref="Y1810:Y1873" si="296">X1810+$AB$8</f>
        <v>0</v>
      </c>
    </row>
    <row r="1811" spans="2:25" x14ac:dyDescent="0.2">
      <c r="B1811" s="383"/>
      <c r="C1811" s="383"/>
      <c r="D1811" s="381">
        <f t="shared" si="289"/>
        <v>0</v>
      </c>
      <c r="E1811" s="383"/>
      <c r="F1811" s="382"/>
      <c r="G1811" s="381">
        <f t="shared" si="290"/>
        <v>0</v>
      </c>
      <c r="H1811" s="383"/>
      <c r="I1811" s="383"/>
      <c r="J1811" s="381">
        <f t="shared" si="291"/>
        <v>0</v>
      </c>
      <c r="K1811" s="383"/>
      <c r="L1811" s="383"/>
      <c r="M1811" s="381">
        <f t="shared" si="292"/>
        <v>0</v>
      </c>
      <c r="N1811" s="383"/>
      <c r="O1811" s="383"/>
      <c r="P1811" s="381">
        <f t="shared" si="293"/>
        <v>0</v>
      </c>
      <c r="Q1811" s="383"/>
      <c r="R1811" s="383"/>
      <c r="S1811" s="25">
        <f t="shared" si="294"/>
        <v>0</v>
      </c>
      <c r="T1811" s="383"/>
      <c r="U1811" s="383"/>
      <c r="V1811" s="381">
        <f t="shared" si="295"/>
        <v>0</v>
      </c>
      <c r="W1811" s="383"/>
      <c r="X1811" s="383"/>
      <c r="Y1811" s="381">
        <f t="shared" si="296"/>
        <v>0</v>
      </c>
    </row>
    <row r="1812" spans="2:25" x14ac:dyDescent="0.2">
      <c r="B1812" s="383"/>
      <c r="C1812" s="383"/>
      <c r="D1812" s="381">
        <f t="shared" si="289"/>
        <v>0</v>
      </c>
      <c r="E1812" s="383"/>
      <c r="F1812" s="382"/>
      <c r="G1812" s="381">
        <f t="shared" si="290"/>
        <v>0</v>
      </c>
      <c r="H1812" s="383"/>
      <c r="I1812" s="383"/>
      <c r="J1812" s="381">
        <f t="shared" si="291"/>
        <v>0</v>
      </c>
      <c r="K1812" s="383"/>
      <c r="L1812" s="383"/>
      <c r="M1812" s="381">
        <f t="shared" si="292"/>
        <v>0</v>
      </c>
      <c r="N1812" s="383"/>
      <c r="O1812" s="383"/>
      <c r="P1812" s="381">
        <f t="shared" si="293"/>
        <v>0</v>
      </c>
      <c r="Q1812" s="383"/>
      <c r="R1812" s="383"/>
      <c r="S1812" s="25">
        <f t="shared" si="294"/>
        <v>0</v>
      </c>
      <c r="T1812" s="383"/>
      <c r="U1812" s="383"/>
      <c r="V1812" s="381">
        <f t="shared" si="295"/>
        <v>0</v>
      </c>
      <c r="W1812" s="383"/>
      <c r="X1812" s="383"/>
      <c r="Y1812" s="381">
        <f t="shared" si="296"/>
        <v>0</v>
      </c>
    </row>
    <row r="1813" spans="2:25" x14ac:dyDescent="0.2">
      <c r="B1813" s="383"/>
      <c r="C1813" s="383"/>
      <c r="D1813" s="381">
        <f t="shared" si="289"/>
        <v>0</v>
      </c>
      <c r="E1813" s="383"/>
      <c r="F1813" s="382"/>
      <c r="G1813" s="381">
        <f t="shared" si="290"/>
        <v>0</v>
      </c>
      <c r="H1813" s="383"/>
      <c r="I1813" s="383"/>
      <c r="J1813" s="381">
        <f t="shared" si="291"/>
        <v>0</v>
      </c>
      <c r="K1813" s="383"/>
      <c r="L1813" s="383"/>
      <c r="M1813" s="381">
        <f t="shared" si="292"/>
        <v>0</v>
      </c>
      <c r="N1813" s="383"/>
      <c r="O1813" s="383"/>
      <c r="P1813" s="381">
        <f t="shared" si="293"/>
        <v>0</v>
      </c>
      <c r="Q1813" s="383"/>
      <c r="R1813" s="383"/>
      <c r="S1813" s="25">
        <f t="shared" si="294"/>
        <v>0</v>
      </c>
      <c r="T1813" s="383"/>
      <c r="U1813" s="383"/>
      <c r="V1813" s="381">
        <f t="shared" si="295"/>
        <v>0</v>
      </c>
      <c r="W1813" s="383"/>
      <c r="X1813" s="383"/>
      <c r="Y1813" s="381">
        <f t="shared" si="296"/>
        <v>0</v>
      </c>
    </row>
    <row r="1814" spans="2:25" x14ac:dyDescent="0.2">
      <c r="B1814" s="383"/>
      <c r="C1814" s="383"/>
      <c r="D1814" s="381">
        <f t="shared" si="289"/>
        <v>0</v>
      </c>
      <c r="E1814" s="383"/>
      <c r="F1814" s="382"/>
      <c r="G1814" s="381">
        <f t="shared" si="290"/>
        <v>0</v>
      </c>
      <c r="H1814" s="383"/>
      <c r="I1814" s="383"/>
      <c r="J1814" s="381">
        <f t="shared" si="291"/>
        <v>0</v>
      </c>
      <c r="K1814" s="383"/>
      <c r="L1814" s="383"/>
      <c r="M1814" s="381">
        <f t="shared" si="292"/>
        <v>0</v>
      </c>
      <c r="N1814" s="383"/>
      <c r="O1814" s="383"/>
      <c r="P1814" s="381">
        <f t="shared" si="293"/>
        <v>0</v>
      </c>
      <c r="Q1814" s="383"/>
      <c r="R1814" s="383"/>
      <c r="S1814" s="25">
        <f t="shared" si="294"/>
        <v>0</v>
      </c>
      <c r="T1814" s="383"/>
      <c r="U1814" s="383"/>
      <c r="V1814" s="381">
        <f t="shared" si="295"/>
        <v>0</v>
      </c>
      <c r="W1814" s="383"/>
      <c r="X1814" s="383"/>
      <c r="Y1814" s="381">
        <f t="shared" si="296"/>
        <v>0</v>
      </c>
    </row>
    <row r="1815" spans="2:25" x14ac:dyDescent="0.2">
      <c r="B1815" s="383"/>
      <c r="C1815" s="383"/>
      <c r="D1815" s="381">
        <f t="shared" si="289"/>
        <v>0</v>
      </c>
      <c r="E1815" s="383"/>
      <c r="F1815" s="382"/>
      <c r="G1815" s="381">
        <f t="shared" si="290"/>
        <v>0</v>
      </c>
      <c r="H1815" s="383"/>
      <c r="I1815" s="383"/>
      <c r="J1815" s="381">
        <f t="shared" si="291"/>
        <v>0</v>
      </c>
      <c r="K1815" s="383"/>
      <c r="L1815" s="383"/>
      <c r="M1815" s="381">
        <f t="shared" si="292"/>
        <v>0</v>
      </c>
      <c r="N1815" s="383"/>
      <c r="O1815" s="383"/>
      <c r="P1815" s="381">
        <f t="shared" si="293"/>
        <v>0</v>
      </c>
      <c r="Q1815" s="383"/>
      <c r="R1815" s="383"/>
      <c r="S1815" s="25">
        <f t="shared" si="294"/>
        <v>0</v>
      </c>
      <c r="T1815" s="383"/>
      <c r="U1815" s="383"/>
      <c r="V1815" s="381">
        <f t="shared" si="295"/>
        <v>0</v>
      </c>
      <c r="W1815" s="383"/>
      <c r="X1815" s="383"/>
      <c r="Y1815" s="381">
        <f t="shared" si="296"/>
        <v>0</v>
      </c>
    </row>
    <row r="1816" spans="2:25" x14ac:dyDescent="0.2">
      <c r="B1816" s="383"/>
      <c r="C1816" s="383"/>
      <c r="D1816" s="381">
        <f t="shared" si="289"/>
        <v>0</v>
      </c>
      <c r="E1816" s="383"/>
      <c r="F1816" s="382"/>
      <c r="G1816" s="381">
        <f t="shared" si="290"/>
        <v>0</v>
      </c>
      <c r="H1816" s="383"/>
      <c r="I1816" s="383"/>
      <c r="J1816" s="381">
        <f t="shared" si="291"/>
        <v>0</v>
      </c>
      <c r="K1816" s="383"/>
      <c r="L1816" s="383"/>
      <c r="M1816" s="381">
        <f t="shared" si="292"/>
        <v>0</v>
      </c>
      <c r="N1816" s="383"/>
      <c r="O1816" s="383"/>
      <c r="P1816" s="381">
        <f t="shared" si="293"/>
        <v>0</v>
      </c>
      <c r="Q1816" s="383"/>
      <c r="R1816" s="383"/>
      <c r="S1816" s="25">
        <f t="shared" si="294"/>
        <v>0</v>
      </c>
      <c r="T1816" s="383"/>
      <c r="U1816" s="383"/>
      <c r="V1816" s="381">
        <f t="shared" si="295"/>
        <v>0</v>
      </c>
      <c r="W1816" s="383"/>
      <c r="X1816" s="383"/>
      <c r="Y1816" s="381">
        <f t="shared" si="296"/>
        <v>0</v>
      </c>
    </row>
    <row r="1817" spans="2:25" x14ac:dyDescent="0.2">
      <c r="B1817" s="383"/>
      <c r="C1817" s="383"/>
      <c r="D1817" s="381">
        <f t="shared" si="289"/>
        <v>0</v>
      </c>
      <c r="E1817" s="383"/>
      <c r="F1817" s="382"/>
      <c r="G1817" s="381">
        <f t="shared" si="290"/>
        <v>0</v>
      </c>
      <c r="H1817" s="383"/>
      <c r="I1817" s="383"/>
      <c r="J1817" s="381">
        <f t="shared" si="291"/>
        <v>0</v>
      </c>
      <c r="K1817" s="383"/>
      <c r="L1817" s="383"/>
      <c r="M1817" s="381">
        <f t="shared" si="292"/>
        <v>0</v>
      </c>
      <c r="N1817" s="383"/>
      <c r="O1817" s="383"/>
      <c r="P1817" s="381">
        <f t="shared" si="293"/>
        <v>0</v>
      </c>
      <c r="Q1817" s="383"/>
      <c r="R1817" s="383"/>
      <c r="S1817" s="25">
        <f t="shared" si="294"/>
        <v>0</v>
      </c>
      <c r="T1817" s="383"/>
      <c r="U1817" s="383"/>
      <c r="V1817" s="381">
        <f t="shared" si="295"/>
        <v>0</v>
      </c>
      <c r="W1817" s="383"/>
      <c r="X1817" s="383"/>
      <c r="Y1817" s="381">
        <f t="shared" si="296"/>
        <v>0</v>
      </c>
    </row>
    <row r="1818" spans="2:25" x14ac:dyDescent="0.2">
      <c r="B1818" s="383"/>
      <c r="C1818" s="383"/>
      <c r="D1818" s="381">
        <f t="shared" si="289"/>
        <v>0</v>
      </c>
      <c r="E1818" s="383"/>
      <c r="F1818" s="382"/>
      <c r="G1818" s="381">
        <f t="shared" si="290"/>
        <v>0</v>
      </c>
      <c r="H1818" s="383"/>
      <c r="I1818" s="383"/>
      <c r="J1818" s="381">
        <f t="shared" si="291"/>
        <v>0</v>
      </c>
      <c r="K1818" s="383"/>
      <c r="L1818" s="383"/>
      <c r="M1818" s="381">
        <f t="shared" si="292"/>
        <v>0</v>
      </c>
      <c r="N1818" s="383"/>
      <c r="O1818" s="383"/>
      <c r="P1818" s="381">
        <f t="shared" si="293"/>
        <v>0</v>
      </c>
      <c r="Q1818" s="383"/>
      <c r="R1818" s="383"/>
      <c r="S1818" s="25">
        <f t="shared" si="294"/>
        <v>0</v>
      </c>
      <c r="T1818" s="383"/>
      <c r="U1818" s="383"/>
      <c r="V1818" s="381">
        <f t="shared" si="295"/>
        <v>0</v>
      </c>
      <c r="W1818" s="383"/>
      <c r="X1818" s="383"/>
      <c r="Y1818" s="381">
        <f t="shared" si="296"/>
        <v>0</v>
      </c>
    </row>
    <row r="1819" spans="2:25" x14ac:dyDescent="0.2">
      <c r="B1819" s="383"/>
      <c r="C1819" s="383"/>
      <c r="D1819" s="381">
        <f t="shared" si="289"/>
        <v>0</v>
      </c>
      <c r="E1819" s="383"/>
      <c r="F1819" s="382"/>
      <c r="G1819" s="381">
        <f t="shared" si="290"/>
        <v>0</v>
      </c>
      <c r="H1819" s="383"/>
      <c r="I1819" s="383"/>
      <c r="J1819" s="381">
        <f t="shared" si="291"/>
        <v>0</v>
      </c>
      <c r="K1819" s="383"/>
      <c r="L1819" s="383"/>
      <c r="M1819" s="381">
        <f t="shared" si="292"/>
        <v>0</v>
      </c>
      <c r="N1819" s="383"/>
      <c r="O1819" s="383"/>
      <c r="P1819" s="381">
        <f t="shared" si="293"/>
        <v>0</v>
      </c>
      <c r="Q1819" s="383"/>
      <c r="R1819" s="383"/>
      <c r="S1819" s="25">
        <f t="shared" si="294"/>
        <v>0</v>
      </c>
      <c r="T1819" s="383"/>
      <c r="U1819" s="383"/>
      <c r="V1819" s="381">
        <f t="shared" si="295"/>
        <v>0</v>
      </c>
      <c r="W1819" s="383"/>
      <c r="X1819" s="383"/>
      <c r="Y1819" s="381">
        <f t="shared" si="296"/>
        <v>0</v>
      </c>
    </row>
    <row r="1820" spans="2:25" x14ac:dyDescent="0.2">
      <c r="B1820" s="383"/>
      <c r="C1820" s="383"/>
      <c r="D1820" s="381">
        <f t="shared" si="289"/>
        <v>0</v>
      </c>
      <c r="E1820" s="383"/>
      <c r="F1820" s="382"/>
      <c r="G1820" s="381">
        <f t="shared" si="290"/>
        <v>0</v>
      </c>
      <c r="H1820" s="383"/>
      <c r="I1820" s="383"/>
      <c r="J1820" s="381">
        <f t="shared" si="291"/>
        <v>0</v>
      </c>
      <c r="K1820" s="383"/>
      <c r="L1820" s="383"/>
      <c r="M1820" s="381">
        <f t="shared" si="292"/>
        <v>0</v>
      </c>
      <c r="N1820" s="383"/>
      <c r="O1820" s="383"/>
      <c r="P1820" s="381">
        <f t="shared" si="293"/>
        <v>0</v>
      </c>
      <c r="Q1820" s="383"/>
      <c r="R1820" s="383"/>
      <c r="S1820" s="25">
        <f t="shared" si="294"/>
        <v>0</v>
      </c>
      <c r="T1820" s="383"/>
      <c r="U1820" s="383"/>
      <c r="V1820" s="381">
        <f t="shared" si="295"/>
        <v>0</v>
      </c>
      <c r="W1820" s="383"/>
      <c r="X1820" s="383"/>
      <c r="Y1820" s="381">
        <f t="shared" si="296"/>
        <v>0</v>
      </c>
    </row>
    <row r="1821" spans="2:25" x14ac:dyDescent="0.2">
      <c r="B1821" s="383"/>
      <c r="C1821" s="383"/>
      <c r="D1821" s="381">
        <f t="shared" si="289"/>
        <v>0</v>
      </c>
      <c r="E1821" s="383"/>
      <c r="F1821" s="382"/>
      <c r="G1821" s="381">
        <f t="shared" si="290"/>
        <v>0</v>
      </c>
      <c r="H1821" s="383"/>
      <c r="I1821" s="383"/>
      <c r="J1821" s="381">
        <f t="shared" si="291"/>
        <v>0</v>
      </c>
      <c r="K1821" s="383"/>
      <c r="L1821" s="383"/>
      <c r="M1821" s="381">
        <f t="shared" si="292"/>
        <v>0</v>
      </c>
      <c r="N1821" s="383"/>
      <c r="O1821" s="383"/>
      <c r="P1821" s="381">
        <f t="shared" si="293"/>
        <v>0</v>
      </c>
      <c r="Q1821" s="383"/>
      <c r="R1821" s="383"/>
      <c r="S1821" s="25">
        <f t="shared" si="294"/>
        <v>0</v>
      </c>
      <c r="T1821" s="383"/>
      <c r="U1821" s="383"/>
      <c r="V1821" s="381">
        <f t="shared" si="295"/>
        <v>0</v>
      </c>
      <c r="W1821" s="383"/>
      <c r="X1821" s="383"/>
      <c r="Y1821" s="381">
        <f t="shared" si="296"/>
        <v>0</v>
      </c>
    </row>
    <row r="1822" spans="2:25" x14ac:dyDescent="0.2">
      <c r="B1822" s="383"/>
      <c r="C1822" s="383"/>
      <c r="D1822" s="381">
        <f t="shared" si="289"/>
        <v>0</v>
      </c>
      <c r="E1822" s="383"/>
      <c r="F1822" s="382"/>
      <c r="G1822" s="381">
        <f t="shared" si="290"/>
        <v>0</v>
      </c>
      <c r="H1822" s="383"/>
      <c r="I1822" s="383"/>
      <c r="J1822" s="381">
        <f t="shared" si="291"/>
        <v>0</v>
      </c>
      <c r="K1822" s="383"/>
      <c r="L1822" s="383"/>
      <c r="M1822" s="381">
        <f t="shared" si="292"/>
        <v>0</v>
      </c>
      <c r="N1822" s="383"/>
      <c r="O1822" s="383"/>
      <c r="P1822" s="381">
        <f t="shared" si="293"/>
        <v>0</v>
      </c>
      <c r="Q1822" s="383"/>
      <c r="R1822" s="383"/>
      <c r="S1822" s="25">
        <f t="shared" si="294"/>
        <v>0</v>
      </c>
      <c r="T1822" s="383"/>
      <c r="U1822" s="383"/>
      <c r="V1822" s="381">
        <f t="shared" si="295"/>
        <v>0</v>
      </c>
      <c r="W1822" s="383"/>
      <c r="X1822" s="383"/>
      <c r="Y1822" s="381">
        <f t="shared" si="296"/>
        <v>0</v>
      </c>
    </row>
    <row r="1823" spans="2:25" x14ac:dyDescent="0.2">
      <c r="B1823" s="383"/>
      <c r="C1823" s="383"/>
      <c r="D1823" s="381">
        <f t="shared" si="289"/>
        <v>0</v>
      </c>
      <c r="E1823" s="383"/>
      <c r="F1823" s="382"/>
      <c r="G1823" s="381">
        <f t="shared" si="290"/>
        <v>0</v>
      </c>
      <c r="H1823" s="383"/>
      <c r="I1823" s="383"/>
      <c r="J1823" s="381">
        <f t="shared" si="291"/>
        <v>0</v>
      </c>
      <c r="K1823" s="383"/>
      <c r="L1823" s="383"/>
      <c r="M1823" s="381">
        <f t="shared" si="292"/>
        <v>0</v>
      </c>
      <c r="N1823" s="383"/>
      <c r="O1823" s="383"/>
      <c r="P1823" s="381">
        <f t="shared" si="293"/>
        <v>0</v>
      </c>
      <c r="Q1823" s="383"/>
      <c r="R1823" s="383"/>
      <c r="S1823" s="25">
        <f t="shared" si="294"/>
        <v>0</v>
      </c>
      <c r="T1823" s="383"/>
      <c r="U1823" s="383"/>
      <c r="V1823" s="381">
        <f t="shared" si="295"/>
        <v>0</v>
      </c>
      <c r="W1823" s="383"/>
      <c r="X1823" s="383"/>
      <c r="Y1823" s="381">
        <f t="shared" si="296"/>
        <v>0</v>
      </c>
    </row>
    <row r="1824" spans="2:25" x14ac:dyDescent="0.2">
      <c r="B1824" s="383"/>
      <c r="C1824" s="383"/>
      <c r="D1824" s="381">
        <f t="shared" si="289"/>
        <v>0</v>
      </c>
      <c r="E1824" s="383"/>
      <c r="F1824" s="382"/>
      <c r="G1824" s="381">
        <f t="shared" si="290"/>
        <v>0</v>
      </c>
      <c r="H1824" s="383"/>
      <c r="I1824" s="383"/>
      <c r="J1824" s="381">
        <f t="shared" si="291"/>
        <v>0</v>
      </c>
      <c r="K1824" s="383"/>
      <c r="L1824" s="383"/>
      <c r="M1824" s="381">
        <f t="shared" si="292"/>
        <v>0</v>
      </c>
      <c r="N1824" s="383"/>
      <c r="O1824" s="383"/>
      <c r="P1824" s="381">
        <f t="shared" si="293"/>
        <v>0</v>
      </c>
      <c r="Q1824" s="383"/>
      <c r="R1824" s="383"/>
      <c r="S1824" s="25">
        <f t="shared" si="294"/>
        <v>0</v>
      </c>
      <c r="T1824" s="383"/>
      <c r="U1824" s="383"/>
      <c r="V1824" s="381">
        <f t="shared" si="295"/>
        <v>0</v>
      </c>
      <c r="W1824" s="383"/>
      <c r="X1824" s="383"/>
      <c r="Y1824" s="381">
        <f t="shared" si="296"/>
        <v>0</v>
      </c>
    </row>
    <row r="1825" spans="2:25" x14ac:dyDescent="0.2">
      <c r="B1825" s="383"/>
      <c r="C1825" s="383"/>
      <c r="D1825" s="381">
        <f t="shared" si="289"/>
        <v>0</v>
      </c>
      <c r="E1825" s="383"/>
      <c r="F1825" s="382"/>
      <c r="G1825" s="381">
        <f t="shared" si="290"/>
        <v>0</v>
      </c>
      <c r="H1825" s="383"/>
      <c r="I1825" s="383"/>
      <c r="J1825" s="381">
        <f t="shared" si="291"/>
        <v>0</v>
      </c>
      <c r="K1825" s="383"/>
      <c r="L1825" s="383"/>
      <c r="M1825" s="381">
        <f t="shared" si="292"/>
        <v>0</v>
      </c>
      <c r="N1825" s="383"/>
      <c r="O1825" s="383"/>
      <c r="P1825" s="381">
        <f t="shared" si="293"/>
        <v>0</v>
      </c>
      <c r="Q1825" s="383"/>
      <c r="R1825" s="383"/>
      <c r="S1825" s="25">
        <f t="shared" si="294"/>
        <v>0</v>
      </c>
      <c r="T1825" s="383"/>
      <c r="U1825" s="383"/>
      <c r="V1825" s="381">
        <f t="shared" si="295"/>
        <v>0</v>
      </c>
      <c r="W1825" s="383"/>
      <c r="X1825" s="383"/>
      <c r="Y1825" s="381">
        <f t="shared" si="296"/>
        <v>0</v>
      </c>
    </row>
    <row r="1826" spans="2:25" x14ac:dyDescent="0.2">
      <c r="B1826" s="383"/>
      <c r="C1826" s="383"/>
      <c r="D1826" s="381">
        <f t="shared" si="289"/>
        <v>0</v>
      </c>
      <c r="E1826" s="383"/>
      <c r="F1826" s="382"/>
      <c r="G1826" s="381">
        <f t="shared" si="290"/>
        <v>0</v>
      </c>
      <c r="H1826" s="383"/>
      <c r="I1826" s="383"/>
      <c r="J1826" s="381">
        <f t="shared" si="291"/>
        <v>0</v>
      </c>
      <c r="K1826" s="383"/>
      <c r="L1826" s="383"/>
      <c r="M1826" s="381">
        <f t="shared" si="292"/>
        <v>0</v>
      </c>
      <c r="N1826" s="383"/>
      <c r="O1826" s="383"/>
      <c r="P1826" s="381">
        <f t="shared" si="293"/>
        <v>0</v>
      </c>
      <c r="Q1826" s="383"/>
      <c r="R1826" s="383"/>
      <c r="S1826" s="25">
        <f t="shared" si="294"/>
        <v>0</v>
      </c>
      <c r="T1826" s="383"/>
      <c r="U1826" s="383"/>
      <c r="V1826" s="381">
        <f t="shared" si="295"/>
        <v>0</v>
      </c>
      <c r="W1826" s="383"/>
      <c r="X1826" s="383"/>
      <c r="Y1826" s="381">
        <f t="shared" si="296"/>
        <v>0</v>
      </c>
    </row>
    <row r="1827" spans="2:25" x14ac:dyDescent="0.2">
      <c r="B1827" s="383"/>
      <c r="C1827" s="383"/>
      <c r="D1827" s="381">
        <f t="shared" si="289"/>
        <v>0</v>
      </c>
      <c r="E1827" s="383"/>
      <c r="F1827" s="382"/>
      <c r="G1827" s="381">
        <f t="shared" si="290"/>
        <v>0</v>
      </c>
      <c r="H1827" s="383"/>
      <c r="I1827" s="383"/>
      <c r="J1827" s="381">
        <f t="shared" si="291"/>
        <v>0</v>
      </c>
      <c r="K1827" s="383"/>
      <c r="L1827" s="383"/>
      <c r="M1827" s="381">
        <f t="shared" si="292"/>
        <v>0</v>
      </c>
      <c r="N1827" s="383"/>
      <c r="O1827" s="383"/>
      <c r="P1827" s="381">
        <f t="shared" si="293"/>
        <v>0</v>
      </c>
      <c r="Q1827" s="383"/>
      <c r="R1827" s="383"/>
      <c r="S1827" s="25">
        <f t="shared" si="294"/>
        <v>0</v>
      </c>
      <c r="T1827" s="383"/>
      <c r="U1827" s="383"/>
      <c r="V1827" s="381">
        <f t="shared" si="295"/>
        <v>0</v>
      </c>
      <c r="W1827" s="383"/>
      <c r="X1827" s="383"/>
      <c r="Y1827" s="381">
        <f t="shared" si="296"/>
        <v>0</v>
      </c>
    </row>
    <row r="1828" spans="2:25" x14ac:dyDescent="0.2">
      <c r="B1828" s="383"/>
      <c r="C1828" s="383"/>
      <c r="D1828" s="381">
        <f t="shared" si="289"/>
        <v>0</v>
      </c>
      <c r="E1828" s="383"/>
      <c r="F1828" s="382"/>
      <c r="G1828" s="381">
        <f t="shared" si="290"/>
        <v>0</v>
      </c>
      <c r="H1828" s="383"/>
      <c r="I1828" s="383"/>
      <c r="J1828" s="381">
        <f t="shared" si="291"/>
        <v>0</v>
      </c>
      <c r="K1828" s="383"/>
      <c r="L1828" s="383"/>
      <c r="M1828" s="381">
        <f t="shared" si="292"/>
        <v>0</v>
      </c>
      <c r="N1828" s="383"/>
      <c r="O1828" s="383"/>
      <c r="P1828" s="381">
        <f t="shared" si="293"/>
        <v>0</v>
      </c>
      <c r="Q1828" s="383"/>
      <c r="R1828" s="383"/>
      <c r="S1828" s="25">
        <f t="shared" si="294"/>
        <v>0</v>
      </c>
      <c r="T1828" s="383"/>
      <c r="U1828" s="383"/>
      <c r="V1828" s="381">
        <f t="shared" si="295"/>
        <v>0</v>
      </c>
      <c r="W1828" s="383"/>
      <c r="X1828" s="383"/>
      <c r="Y1828" s="381">
        <f t="shared" si="296"/>
        <v>0</v>
      </c>
    </row>
    <row r="1829" spans="2:25" x14ac:dyDescent="0.2">
      <c r="B1829" s="383"/>
      <c r="C1829" s="383"/>
      <c r="D1829" s="381">
        <f t="shared" si="289"/>
        <v>0</v>
      </c>
      <c r="E1829" s="383"/>
      <c r="F1829" s="382"/>
      <c r="G1829" s="381">
        <f t="shared" si="290"/>
        <v>0</v>
      </c>
      <c r="H1829" s="383"/>
      <c r="I1829" s="383"/>
      <c r="J1829" s="381">
        <f t="shared" si="291"/>
        <v>0</v>
      </c>
      <c r="K1829" s="383"/>
      <c r="L1829" s="383"/>
      <c r="M1829" s="381">
        <f t="shared" si="292"/>
        <v>0</v>
      </c>
      <c r="N1829" s="383"/>
      <c r="O1829" s="383"/>
      <c r="P1829" s="381">
        <f t="shared" si="293"/>
        <v>0</v>
      </c>
      <c r="Q1829" s="383"/>
      <c r="R1829" s="383"/>
      <c r="S1829" s="25">
        <f t="shared" si="294"/>
        <v>0</v>
      </c>
      <c r="T1829" s="383"/>
      <c r="U1829" s="383"/>
      <c r="V1829" s="381">
        <f t="shared" si="295"/>
        <v>0</v>
      </c>
      <c r="W1829" s="383"/>
      <c r="X1829" s="383"/>
      <c r="Y1829" s="381">
        <f t="shared" si="296"/>
        <v>0</v>
      </c>
    </row>
    <row r="1830" spans="2:25" x14ac:dyDescent="0.2">
      <c r="B1830" s="383"/>
      <c r="C1830" s="383"/>
      <c r="D1830" s="381">
        <f t="shared" si="289"/>
        <v>0</v>
      </c>
      <c r="E1830" s="383"/>
      <c r="F1830" s="382"/>
      <c r="G1830" s="381">
        <f t="shared" si="290"/>
        <v>0</v>
      </c>
      <c r="H1830" s="383"/>
      <c r="I1830" s="383"/>
      <c r="J1830" s="381">
        <f t="shared" si="291"/>
        <v>0</v>
      </c>
      <c r="K1830" s="383"/>
      <c r="L1830" s="383"/>
      <c r="M1830" s="381">
        <f t="shared" si="292"/>
        <v>0</v>
      </c>
      <c r="N1830" s="383"/>
      <c r="O1830" s="383"/>
      <c r="P1830" s="381">
        <f t="shared" si="293"/>
        <v>0</v>
      </c>
      <c r="Q1830" s="383"/>
      <c r="R1830" s="383"/>
      <c r="S1830" s="25">
        <f t="shared" si="294"/>
        <v>0</v>
      </c>
      <c r="T1830" s="383"/>
      <c r="U1830" s="383"/>
      <c r="V1830" s="381">
        <f t="shared" si="295"/>
        <v>0</v>
      </c>
      <c r="W1830" s="383"/>
      <c r="X1830" s="383"/>
      <c r="Y1830" s="381">
        <f t="shared" si="296"/>
        <v>0</v>
      </c>
    </row>
    <row r="1831" spans="2:25" x14ac:dyDescent="0.2">
      <c r="B1831" s="383"/>
      <c r="C1831" s="383"/>
      <c r="D1831" s="381">
        <f t="shared" si="289"/>
        <v>0</v>
      </c>
      <c r="E1831" s="383"/>
      <c r="F1831" s="382"/>
      <c r="G1831" s="381">
        <f t="shared" si="290"/>
        <v>0</v>
      </c>
      <c r="H1831" s="383"/>
      <c r="I1831" s="383"/>
      <c r="J1831" s="381">
        <f t="shared" si="291"/>
        <v>0</v>
      </c>
      <c r="K1831" s="383"/>
      <c r="L1831" s="383"/>
      <c r="M1831" s="381">
        <f t="shared" si="292"/>
        <v>0</v>
      </c>
      <c r="N1831" s="383"/>
      <c r="O1831" s="383"/>
      <c r="P1831" s="381">
        <f t="shared" si="293"/>
        <v>0</v>
      </c>
      <c r="Q1831" s="383"/>
      <c r="R1831" s="383"/>
      <c r="S1831" s="25">
        <f t="shared" si="294"/>
        <v>0</v>
      </c>
      <c r="T1831" s="383"/>
      <c r="U1831" s="383"/>
      <c r="V1831" s="381">
        <f t="shared" si="295"/>
        <v>0</v>
      </c>
      <c r="W1831" s="383"/>
      <c r="X1831" s="383"/>
      <c r="Y1831" s="381">
        <f t="shared" si="296"/>
        <v>0</v>
      </c>
    </row>
    <row r="1832" spans="2:25" x14ac:dyDescent="0.2">
      <c r="B1832" s="383"/>
      <c r="C1832" s="383"/>
      <c r="D1832" s="381">
        <f t="shared" si="289"/>
        <v>0</v>
      </c>
      <c r="E1832" s="383"/>
      <c r="F1832" s="382"/>
      <c r="G1832" s="381">
        <f t="shared" si="290"/>
        <v>0</v>
      </c>
      <c r="H1832" s="383"/>
      <c r="I1832" s="383"/>
      <c r="J1832" s="381">
        <f t="shared" si="291"/>
        <v>0</v>
      </c>
      <c r="K1832" s="383"/>
      <c r="L1832" s="383"/>
      <c r="M1832" s="381">
        <f t="shared" si="292"/>
        <v>0</v>
      </c>
      <c r="N1832" s="383"/>
      <c r="O1832" s="383"/>
      <c r="P1832" s="381">
        <f t="shared" si="293"/>
        <v>0</v>
      </c>
      <c r="Q1832" s="383"/>
      <c r="R1832" s="383"/>
      <c r="S1832" s="25">
        <f t="shared" si="294"/>
        <v>0</v>
      </c>
      <c r="T1832" s="383"/>
      <c r="U1832" s="383"/>
      <c r="V1832" s="381">
        <f t="shared" si="295"/>
        <v>0</v>
      </c>
      <c r="W1832" s="383"/>
      <c r="X1832" s="383"/>
      <c r="Y1832" s="381">
        <f t="shared" si="296"/>
        <v>0</v>
      </c>
    </row>
    <row r="1833" spans="2:25" x14ac:dyDescent="0.2">
      <c r="B1833" s="383"/>
      <c r="C1833" s="383"/>
      <c r="D1833" s="381">
        <f t="shared" si="289"/>
        <v>0</v>
      </c>
      <c r="E1833" s="383"/>
      <c r="F1833" s="382"/>
      <c r="G1833" s="381">
        <f t="shared" si="290"/>
        <v>0</v>
      </c>
      <c r="H1833" s="383"/>
      <c r="I1833" s="383"/>
      <c r="J1833" s="381">
        <f t="shared" si="291"/>
        <v>0</v>
      </c>
      <c r="K1833" s="383"/>
      <c r="L1833" s="383"/>
      <c r="M1833" s="381">
        <f t="shared" si="292"/>
        <v>0</v>
      </c>
      <c r="N1833" s="383"/>
      <c r="O1833" s="383"/>
      <c r="P1833" s="381">
        <f t="shared" si="293"/>
        <v>0</v>
      </c>
      <c r="Q1833" s="383"/>
      <c r="R1833" s="383"/>
      <c r="S1833" s="25">
        <f t="shared" si="294"/>
        <v>0</v>
      </c>
      <c r="T1833" s="383"/>
      <c r="U1833" s="383"/>
      <c r="V1833" s="381">
        <f t="shared" si="295"/>
        <v>0</v>
      </c>
      <c r="W1833" s="383"/>
      <c r="X1833" s="383"/>
      <c r="Y1833" s="381">
        <f t="shared" si="296"/>
        <v>0</v>
      </c>
    </row>
    <row r="1834" spans="2:25" x14ac:dyDescent="0.2">
      <c r="B1834" s="383"/>
      <c r="C1834" s="383"/>
      <c r="D1834" s="381">
        <f t="shared" si="289"/>
        <v>0</v>
      </c>
      <c r="E1834" s="383"/>
      <c r="F1834" s="382"/>
      <c r="G1834" s="381">
        <f t="shared" si="290"/>
        <v>0</v>
      </c>
      <c r="H1834" s="383"/>
      <c r="I1834" s="383"/>
      <c r="J1834" s="381">
        <f t="shared" si="291"/>
        <v>0</v>
      </c>
      <c r="K1834" s="383"/>
      <c r="L1834" s="383"/>
      <c r="M1834" s="381">
        <f t="shared" si="292"/>
        <v>0</v>
      </c>
      <c r="N1834" s="383"/>
      <c r="O1834" s="383"/>
      <c r="P1834" s="381">
        <f t="shared" si="293"/>
        <v>0</v>
      </c>
      <c r="Q1834" s="383"/>
      <c r="R1834" s="383"/>
      <c r="S1834" s="25">
        <f t="shared" si="294"/>
        <v>0</v>
      </c>
      <c r="T1834" s="383"/>
      <c r="U1834" s="383"/>
      <c r="V1834" s="381">
        <f t="shared" si="295"/>
        <v>0</v>
      </c>
      <c r="W1834" s="383"/>
      <c r="X1834" s="383"/>
      <c r="Y1834" s="381">
        <f t="shared" si="296"/>
        <v>0</v>
      </c>
    </row>
    <row r="1835" spans="2:25" x14ac:dyDescent="0.2">
      <c r="B1835" s="383"/>
      <c r="C1835" s="383"/>
      <c r="D1835" s="381">
        <f t="shared" si="289"/>
        <v>0</v>
      </c>
      <c r="E1835" s="383"/>
      <c r="F1835" s="382"/>
      <c r="G1835" s="381">
        <f t="shared" si="290"/>
        <v>0</v>
      </c>
      <c r="H1835" s="383"/>
      <c r="I1835" s="383"/>
      <c r="J1835" s="381">
        <f t="shared" si="291"/>
        <v>0</v>
      </c>
      <c r="K1835" s="383"/>
      <c r="L1835" s="383"/>
      <c r="M1835" s="381">
        <f t="shared" si="292"/>
        <v>0</v>
      </c>
      <c r="N1835" s="383"/>
      <c r="O1835" s="383"/>
      <c r="P1835" s="381">
        <f t="shared" si="293"/>
        <v>0</v>
      </c>
      <c r="Q1835" s="383"/>
      <c r="R1835" s="383"/>
      <c r="S1835" s="25">
        <f t="shared" si="294"/>
        <v>0</v>
      </c>
      <c r="T1835" s="383"/>
      <c r="U1835" s="383"/>
      <c r="V1835" s="381">
        <f t="shared" si="295"/>
        <v>0</v>
      </c>
      <c r="W1835" s="383"/>
      <c r="X1835" s="383"/>
      <c r="Y1835" s="381">
        <f t="shared" si="296"/>
        <v>0</v>
      </c>
    </row>
    <row r="1836" spans="2:25" x14ac:dyDescent="0.2">
      <c r="B1836" s="383"/>
      <c r="C1836" s="383"/>
      <c r="D1836" s="381">
        <f t="shared" si="289"/>
        <v>0</v>
      </c>
      <c r="E1836" s="383"/>
      <c r="F1836" s="382"/>
      <c r="G1836" s="381">
        <f t="shared" si="290"/>
        <v>0</v>
      </c>
      <c r="H1836" s="383"/>
      <c r="I1836" s="383"/>
      <c r="J1836" s="381">
        <f t="shared" si="291"/>
        <v>0</v>
      </c>
      <c r="K1836" s="383"/>
      <c r="L1836" s="383"/>
      <c r="M1836" s="381">
        <f t="shared" si="292"/>
        <v>0</v>
      </c>
      <c r="N1836" s="383"/>
      <c r="O1836" s="383"/>
      <c r="P1836" s="381">
        <f t="shared" si="293"/>
        <v>0</v>
      </c>
      <c r="Q1836" s="383"/>
      <c r="R1836" s="383"/>
      <c r="S1836" s="25">
        <f t="shared" si="294"/>
        <v>0</v>
      </c>
      <c r="T1836" s="383"/>
      <c r="U1836" s="383"/>
      <c r="V1836" s="381">
        <f t="shared" si="295"/>
        <v>0</v>
      </c>
      <c r="W1836" s="383"/>
      <c r="X1836" s="383"/>
      <c r="Y1836" s="381">
        <f t="shared" si="296"/>
        <v>0</v>
      </c>
    </row>
    <row r="1837" spans="2:25" x14ac:dyDescent="0.2">
      <c r="B1837" s="383"/>
      <c r="C1837" s="383"/>
      <c r="D1837" s="381">
        <f t="shared" si="289"/>
        <v>0</v>
      </c>
      <c r="E1837" s="383"/>
      <c r="F1837" s="382"/>
      <c r="G1837" s="381">
        <f t="shared" si="290"/>
        <v>0</v>
      </c>
      <c r="H1837" s="383"/>
      <c r="I1837" s="383"/>
      <c r="J1837" s="381">
        <f t="shared" si="291"/>
        <v>0</v>
      </c>
      <c r="K1837" s="383"/>
      <c r="L1837" s="383"/>
      <c r="M1837" s="381">
        <f t="shared" si="292"/>
        <v>0</v>
      </c>
      <c r="N1837" s="383"/>
      <c r="O1837" s="383"/>
      <c r="P1837" s="381">
        <f t="shared" si="293"/>
        <v>0</v>
      </c>
      <c r="Q1837" s="383"/>
      <c r="R1837" s="383"/>
      <c r="S1837" s="25">
        <f t="shared" si="294"/>
        <v>0</v>
      </c>
      <c r="T1837" s="383"/>
      <c r="U1837" s="383"/>
      <c r="V1837" s="381">
        <f t="shared" si="295"/>
        <v>0</v>
      </c>
      <c r="W1837" s="383"/>
      <c r="X1837" s="383"/>
      <c r="Y1837" s="381">
        <f t="shared" si="296"/>
        <v>0</v>
      </c>
    </row>
    <row r="1838" spans="2:25" x14ac:dyDescent="0.2">
      <c r="B1838" s="383"/>
      <c r="C1838" s="383"/>
      <c r="D1838" s="381">
        <f t="shared" si="289"/>
        <v>0</v>
      </c>
      <c r="E1838" s="383"/>
      <c r="F1838" s="382"/>
      <c r="G1838" s="381">
        <f t="shared" si="290"/>
        <v>0</v>
      </c>
      <c r="H1838" s="383"/>
      <c r="I1838" s="383"/>
      <c r="J1838" s="381">
        <f t="shared" si="291"/>
        <v>0</v>
      </c>
      <c r="K1838" s="383"/>
      <c r="L1838" s="383"/>
      <c r="M1838" s="381">
        <f t="shared" si="292"/>
        <v>0</v>
      </c>
      <c r="N1838" s="383"/>
      <c r="O1838" s="383"/>
      <c r="P1838" s="381">
        <f t="shared" si="293"/>
        <v>0</v>
      </c>
      <c r="Q1838" s="383"/>
      <c r="R1838" s="383"/>
      <c r="S1838" s="25">
        <f t="shared" si="294"/>
        <v>0</v>
      </c>
      <c r="T1838" s="383"/>
      <c r="U1838" s="383"/>
      <c r="V1838" s="381">
        <f t="shared" si="295"/>
        <v>0</v>
      </c>
      <c r="W1838" s="383"/>
      <c r="X1838" s="383"/>
      <c r="Y1838" s="381">
        <f t="shared" si="296"/>
        <v>0</v>
      </c>
    </row>
    <row r="1839" spans="2:25" x14ac:dyDescent="0.2">
      <c r="B1839" s="383"/>
      <c r="C1839" s="383"/>
      <c r="D1839" s="381">
        <f t="shared" si="289"/>
        <v>0</v>
      </c>
      <c r="E1839" s="383"/>
      <c r="F1839" s="382"/>
      <c r="G1839" s="381">
        <f t="shared" si="290"/>
        <v>0</v>
      </c>
      <c r="H1839" s="383"/>
      <c r="I1839" s="383"/>
      <c r="J1839" s="381">
        <f t="shared" si="291"/>
        <v>0</v>
      </c>
      <c r="K1839" s="383"/>
      <c r="L1839" s="383"/>
      <c r="M1839" s="381">
        <f t="shared" si="292"/>
        <v>0</v>
      </c>
      <c r="N1839" s="383"/>
      <c r="O1839" s="383"/>
      <c r="P1839" s="381">
        <f t="shared" si="293"/>
        <v>0</v>
      </c>
      <c r="Q1839" s="383"/>
      <c r="R1839" s="383"/>
      <c r="S1839" s="25">
        <f t="shared" si="294"/>
        <v>0</v>
      </c>
      <c r="T1839" s="383"/>
      <c r="U1839" s="383"/>
      <c r="V1839" s="381">
        <f t="shared" si="295"/>
        <v>0</v>
      </c>
      <c r="W1839" s="383"/>
      <c r="X1839" s="383"/>
      <c r="Y1839" s="381">
        <f t="shared" si="296"/>
        <v>0</v>
      </c>
    </row>
    <row r="1840" spans="2:25" x14ac:dyDescent="0.2">
      <c r="B1840" s="383"/>
      <c r="C1840" s="383"/>
      <c r="D1840" s="381">
        <f t="shared" si="289"/>
        <v>0</v>
      </c>
      <c r="E1840" s="383"/>
      <c r="F1840" s="382"/>
      <c r="G1840" s="381">
        <f t="shared" si="290"/>
        <v>0</v>
      </c>
      <c r="H1840" s="383"/>
      <c r="I1840" s="383"/>
      <c r="J1840" s="381">
        <f t="shared" si="291"/>
        <v>0</v>
      </c>
      <c r="K1840" s="383"/>
      <c r="L1840" s="383"/>
      <c r="M1840" s="381">
        <f t="shared" si="292"/>
        <v>0</v>
      </c>
      <c r="N1840" s="383"/>
      <c r="O1840" s="383"/>
      <c r="P1840" s="381">
        <f t="shared" si="293"/>
        <v>0</v>
      </c>
      <c r="Q1840" s="383"/>
      <c r="R1840" s="383"/>
      <c r="S1840" s="25">
        <f t="shared" si="294"/>
        <v>0</v>
      </c>
      <c r="T1840" s="383"/>
      <c r="U1840" s="383"/>
      <c r="V1840" s="381">
        <f t="shared" si="295"/>
        <v>0</v>
      </c>
      <c r="W1840" s="383"/>
      <c r="X1840" s="383"/>
      <c r="Y1840" s="381">
        <f t="shared" si="296"/>
        <v>0</v>
      </c>
    </row>
    <row r="1841" spans="2:25" x14ac:dyDescent="0.2">
      <c r="B1841" s="383"/>
      <c r="C1841" s="383"/>
      <c r="D1841" s="381">
        <f t="shared" si="289"/>
        <v>0</v>
      </c>
      <c r="E1841" s="383"/>
      <c r="F1841" s="382"/>
      <c r="G1841" s="381">
        <f t="shared" si="290"/>
        <v>0</v>
      </c>
      <c r="H1841" s="383"/>
      <c r="I1841" s="383"/>
      <c r="J1841" s="381">
        <f t="shared" si="291"/>
        <v>0</v>
      </c>
      <c r="K1841" s="383"/>
      <c r="L1841" s="383"/>
      <c r="M1841" s="381">
        <f t="shared" si="292"/>
        <v>0</v>
      </c>
      <c r="N1841" s="383"/>
      <c r="O1841" s="383"/>
      <c r="P1841" s="381">
        <f t="shared" si="293"/>
        <v>0</v>
      </c>
      <c r="Q1841" s="383"/>
      <c r="R1841" s="383"/>
      <c r="S1841" s="25">
        <f t="shared" si="294"/>
        <v>0</v>
      </c>
      <c r="T1841" s="383"/>
      <c r="U1841" s="383"/>
      <c r="V1841" s="381">
        <f t="shared" si="295"/>
        <v>0</v>
      </c>
      <c r="W1841" s="383"/>
      <c r="X1841" s="383"/>
      <c r="Y1841" s="381">
        <f t="shared" si="296"/>
        <v>0</v>
      </c>
    </row>
    <row r="1842" spans="2:25" x14ac:dyDescent="0.2">
      <c r="B1842" s="383"/>
      <c r="C1842" s="383"/>
      <c r="D1842" s="381">
        <f t="shared" si="289"/>
        <v>0</v>
      </c>
      <c r="E1842" s="383"/>
      <c r="F1842" s="382"/>
      <c r="G1842" s="381">
        <f t="shared" si="290"/>
        <v>0</v>
      </c>
      <c r="H1842" s="383"/>
      <c r="I1842" s="383"/>
      <c r="J1842" s="381">
        <f t="shared" si="291"/>
        <v>0</v>
      </c>
      <c r="K1842" s="383"/>
      <c r="L1842" s="383"/>
      <c r="M1842" s="381">
        <f t="shared" si="292"/>
        <v>0</v>
      </c>
      <c r="N1842" s="383"/>
      <c r="O1842" s="383"/>
      <c r="P1842" s="381">
        <f t="shared" si="293"/>
        <v>0</v>
      </c>
      <c r="Q1842" s="383"/>
      <c r="R1842" s="383"/>
      <c r="S1842" s="25">
        <f t="shared" si="294"/>
        <v>0</v>
      </c>
      <c r="T1842" s="383"/>
      <c r="U1842" s="383"/>
      <c r="V1842" s="381">
        <f t="shared" si="295"/>
        <v>0</v>
      </c>
      <c r="W1842" s="383"/>
      <c r="X1842" s="383"/>
      <c r="Y1842" s="381">
        <f t="shared" si="296"/>
        <v>0</v>
      </c>
    </row>
    <row r="1843" spans="2:25" x14ac:dyDescent="0.2">
      <c r="B1843" s="383"/>
      <c r="C1843" s="383"/>
      <c r="D1843" s="381">
        <f t="shared" si="289"/>
        <v>0</v>
      </c>
      <c r="E1843" s="383"/>
      <c r="F1843" s="382"/>
      <c r="G1843" s="381">
        <f t="shared" si="290"/>
        <v>0</v>
      </c>
      <c r="H1843" s="383"/>
      <c r="I1843" s="383"/>
      <c r="J1843" s="381">
        <f t="shared" si="291"/>
        <v>0</v>
      </c>
      <c r="K1843" s="383"/>
      <c r="L1843" s="383"/>
      <c r="M1843" s="381">
        <f t="shared" si="292"/>
        <v>0</v>
      </c>
      <c r="N1843" s="383"/>
      <c r="O1843" s="383"/>
      <c r="P1843" s="381">
        <f t="shared" si="293"/>
        <v>0</v>
      </c>
      <c r="Q1843" s="383"/>
      <c r="R1843" s="383"/>
      <c r="S1843" s="25">
        <f t="shared" si="294"/>
        <v>0</v>
      </c>
      <c r="T1843" s="383"/>
      <c r="U1843" s="383"/>
      <c r="V1843" s="381">
        <f t="shared" si="295"/>
        <v>0</v>
      </c>
      <c r="W1843" s="383"/>
      <c r="X1843" s="383"/>
      <c r="Y1843" s="381">
        <f t="shared" si="296"/>
        <v>0</v>
      </c>
    </row>
    <row r="1844" spans="2:25" x14ac:dyDescent="0.2">
      <c r="B1844" s="383"/>
      <c r="C1844" s="383"/>
      <c r="D1844" s="381">
        <f t="shared" si="289"/>
        <v>0</v>
      </c>
      <c r="E1844" s="383"/>
      <c r="F1844" s="382"/>
      <c r="G1844" s="381">
        <f t="shared" si="290"/>
        <v>0</v>
      </c>
      <c r="H1844" s="383"/>
      <c r="I1844" s="383"/>
      <c r="J1844" s="381">
        <f t="shared" si="291"/>
        <v>0</v>
      </c>
      <c r="K1844" s="383"/>
      <c r="L1844" s="383"/>
      <c r="M1844" s="381">
        <f t="shared" si="292"/>
        <v>0</v>
      </c>
      <c r="N1844" s="383"/>
      <c r="O1844" s="383"/>
      <c r="P1844" s="381">
        <f t="shared" si="293"/>
        <v>0</v>
      </c>
      <c r="Q1844" s="383"/>
      <c r="R1844" s="383"/>
      <c r="S1844" s="25">
        <f t="shared" si="294"/>
        <v>0</v>
      </c>
      <c r="T1844" s="383"/>
      <c r="U1844" s="383"/>
      <c r="V1844" s="381">
        <f t="shared" si="295"/>
        <v>0</v>
      </c>
      <c r="W1844" s="383"/>
      <c r="X1844" s="383"/>
      <c r="Y1844" s="381">
        <f t="shared" si="296"/>
        <v>0</v>
      </c>
    </row>
    <row r="1845" spans="2:25" x14ac:dyDescent="0.2">
      <c r="B1845" s="383"/>
      <c r="C1845" s="383"/>
      <c r="D1845" s="381">
        <f t="shared" si="289"/>
        <v>0</v>
      </c>
      <c r="E1845" s="383"/>
      <c r="F1845" s="382"/>
      <c r="G1845" s="381">
        <f t="shared" si="290"/>
        <v>0</v>
      </c>
      <c r="H1845" s="383"/>
      <c r="I1845" s="383"/>
      <c r="J1845" s="381">
        <f t="shared" si="291"/>
        <v>0</v>
      </c>
      <c r="K1845" s="383"/>
      <c r="L1845" s="383"/>
      <c r="M1845" s="381">
        <f t="shared" si="292"/>
        <v>0</v>
      </c>
      <c r="N1845" s="383"/>
      <c r="O1845" s="383"/>
      <c r="P1845" s="381">
        <f t="shared" si="293"/>
        <v>0</v>
      </c>
      <c r="Q1845" s="383"/>
      <c r="R1845" s="383"/>
      <c r="S1845" s="25">
        <f t="shared" si="294"/>
        <v>0</v>
      </c>
      <c r="T1845" s="383"/>
      <c r="U1845" s="383"/>
      <c r="V1845" s="381">
        <f t="shared" si="295"/>
        <v>0</v>
      </c>
      <c r="W1845" s="383"/>
      <c r="X1845" s="383"/>
      <c r="Y1845" s="381">
        <f t="shared" si="296"/>
        <v>0</v>
      </c>
    </row>
    <row r="1846" spans="2:25" x14ac:dyDescent="0.2">
      <c r="B1846" s="383"/>
      <c r="C1846" s="383"/>
      <c r="D1846" s="381">
        <f t="shared" si="289"/>
        <v>0</v>
      </c>
      <c r="E1846" s="383"/>
      <c r="F1846" s="382"/>
      <c r="G1846" s="381">
        <f t="shared" si="290"/>
        <v>0</v>
      </c>
      <c r="H1846" s="383"/>
      <c r="I1846" s="383"/>
      <c r="J1846" s="381">
        <f t="shared" si="291"/>
        <v>0</v>
      </c>
      <c r="K1846" s="383"/>
      <c r="L1846" s="383"/>
      <c r="M1846" s="381">
        <f t="shared" si="292"/>
        <v>0</v>
      </c>
      <c r="N1846" s="383"/>
      <c r="O1846" s="383"/>
      <c r="P1846" s="381">
        <f t="shared" si="293"/>
        <v>0</v>
      </c>
      <c r="Q1846" s="383"/>
      <c r="R1846" s="383"/>
      <c r="S1846" s="25">
        <f t="shared" si="294"/>
        <v>0</v>
      </c>
      <c r="T1846" s="383"/>
      <c r="U1846" s="383"/>
      <c r="V1846" s="381">
        <f t="shared" si="295"/>
        <v>0</v>
      </c>
      <c r="W1846" s="383"/>
      <c r="X1846" s="383"/>
      <c r="Y1846" s="381">
        <f t="shared" si="296"/>
        <v>0</v>
      </c>
    </row>
    <row r="1847" spans="2:25" x14ac:dyDescent="0.2">
      <c r="B1847" s="383"/>
      <c r="C1847" s="383"/>
      <c r="D1847" s="381">
        <f t="shared" si="289"/>
        <v>0</v>
      </c>
      <c r="E1847" s="383"/>
      <c r="F1847" s="382"/>
      <c r="G1847" s="381">
        <f t="shared" si="290"/>
        <v>0</v>
      </c>
      <c r="H1847" s="383"/>
      <c r="I1847" s="383"/>
      <c r="J1847" s="381">
        <f t="shared" si="291"/>
        <v>0</v>
      </c>
      <c r="K1847" s="383"/>
      <c r="L1847" s="383"/>
      <c r="M1847" s="381">
        <f t="shared" si="292"/>
        <v>0</v>
      </c>
      <c r="N1847" s="383"/>
      <c r="O1847" s="383"/>
      <c r="P1847" s="381">
        <f t="shared" si="293"/>
        <v>0</v>
      </c>
      <c r="Q1847" s="383"/>
      <c r="R1847" s="383"/>
      <c r="S1847" s="25">
        <f t="shared" si="294"/>
        <v>0</v>
      </c>
      <c r="T1847" s="383"/>
      <c r="U1847" s="383"/>
      <c r="V1847" s="381">
        <f t="shared" si="295"/>
        <v>0</v>
      </c>
      <c r="W1847" s="383"/>
      <c r="X1847" s="383"/>
      <c r="Y1847" s="381">
        <f t="shared" si="296"/>
        <v>0</v>
      </c>
    </row>
    <row r="1848" spans="2:25" x14ac:dyDescent="0.2">
      <c r="B1848" s="383"/>
      <c r="C1848" s="383"/>
      <c r="D1848" s="381">
        <f t="shared" si="289"/>
        <v>0</v>
      </c>
      <c r="E1848" s="383"/>
      <c r="F1848" s="382"/>
      <c r="G1848" s="381">
        <f t="shared" si="290"/>
        <v>0</v>
      </c>
      <c r="H1848" s="383"/>
      <c r="I1848" s="383"/>
      <c r="J1848" s="381">
        <f t="shared" si="291"/>
        <v>0</v>
      </c>
      <c r="K1848" s="383"/>
      <c r="L1848" s="383"/>
      <c r="M1848" s="381">
        <f t="shared" si="292"/>
        <v>0</v>
      </c>
      <c r="N1848" s="383"/>
      <c r="O1848" s="383"/>
      <c r="P1848" s="381">
        <f t="shared" si="293"/>
        <v>0</v>
      </c>
      <c r="Q1848" s="383"/>
      <c r="R1848" s="383"/>
      <c r="S1848" s="25">
        <f t="shared" si="294"/>
        <v>0</v>
      </c>
      <c r="T1848" s="383"/>
      <c r="U1848" s="383"/>
      <c r="V1848" s="381">
        <f t="shared" si="295"/>
        <v>0</v>
      </c>
      <c r="W1848" s="383"/>
      <c r="X1848" s="383"/>
      <c r="Y1848" s="381">
        <f t="shared" si="296"/>
        <v>0</v>
      </c>
    </row>
    <row r="1849" spans="2:25" x14ac:dyDescent="0.2">
      <c r="B1849" s="383"/>
      <c r="C1849" s="383"/>
      <c r="D1849" s="381">
        <f t="shared" si="289"/>
        <v>0</v>
      </c>
      <c r="E1849" s="383"/>
      <c r="F1849" s="382"/>
      <c r="G1849" s="381">
        <f t="shared" si="290"/>
        <v>0</v>
      </c>
      <c r="H1849" s="383"/>
      <c r="I1849" s="383"/>
      <c r="J1849" s="381">
        <f t="shared" si="291"/>
        <v>0</v>
      </c>
      <c r="K1849" s="383"/>
      <c r="L1849" s="383"/>
      <c r="M1849" s="381">
        <f t="shared" si="292"/>
        <v>0</v>
      </c>
      <c r="N1849" s="383"/>
      <c r="O1849" s="383"/>
      <c r="P1849" s="381">
        <f t="shared" si="293"/>
        <v>0</v>
      </c>
      <c r="Q1849" s="383"/>
      <c r="R1849" s="383"/>
      <c r="S1849" s="25">
        <f t="shared" si="294"/>
        <v>0</v>
      </c>
      <c r="T1849" s="383"/>
      <c r="U1849" s="383"/>
      <c r="V1849" s="381">
        <f t="shared" si="295"/>
        <v>0</v>
      </c>
      <c r="W1849" s="383"/>
      <c r="X1849" s="383"/>
      <c r="Y1849" s="381">
        <f t="shared" si="296"/>
        <v>0</v>
      </c>
    </row>
    <row r="1850" spans="2:25" x14ac:dyDescent="0.2">
      <c r="B1850" s="383"/>
      <c r="C1850" s="383"/>
      <c r="D1850" s="381">
        <f t="shared" si="289"/>
        <v>0</v>
      </c>
      <c r="E1850" s="383"/>
      <c r="F1850" s="382"/>
      <c r="G1850" s="381">
        <f t="shared" si="290"/>
        <v>0</v>
      </c>
      <c r="H1850" s="383"/>
      <c r="I1850" s="383"/>
      <c r="J1850" s="381">
        <f t="shared" si="291"/>
        <v>0</v>
      </c>
      <c r="K1850" s="383"/>
      <c r="L1850" s="383"/>
      <c r="M1850" s="381">
        <f t="shared" si="292"/>
        <v>0</v>
      </c>
      <c r="N1850" s="383"/>
      <c r="O1850" s="383"/>
      <c r="P1850" s="381">
        <f t="shared" si="293"/>
        <v>0</v>
      </c>
      <c r="Q1850" s="383"/>
      <c r="R1850" s="383"/>
      <c r="S1850" s="25">
        <f t="shared" si="294"/>
        <v>0</v>
      </c>
      <c r="T1850" s="383"/>
      <c r="U1850" s="383"/>
      <c r="V1850" s="381">
        <f t="shared" si="295"/>
        <v>0</v>
      </c>
      <c r="W1850" s="383"/>
      <c r="X1850" s="383"/>
      <c r="Y1850" s="381">
        <f t="shared" si="296"/>
        <v>0</v>
      </c>
    </row>
    <row r="1851" spans="2:25" x14ac:dyDescent="0.2">
      <c r="B1851" s="383"/>
      <c r="C1851" s="383"/>
      <c r="D1851" s="381">
        <f t="shared" si="289"/>
        <v>0</v>
      </c>
      <c r="E1851" s="383"/>
      <c r="F1851" s="382"/>
      <c r="G1851" s="381">
        <f t="shared" si="290"/>
        <v>0</v>
      </c>
      <c r="H1851" s="383"/>
      <c r="I1851" s="383"/>
      <c r="J1851" s="381">
        <f t="shared" si="291"/>
        <v>0</v>
      </c>
      <c r="K1851" s="383"/>
      <c r="L1851" s="383"/>
      <c r="M1851" s="381">
        <f t="shared" si="292"/>
        <v>0</v>
      </c>
      <c r="N1851" s="383"/>
      <c r="O1851" s="383"/>
      <c r="P1851" s="381">
        <f t="shared" si="293"/>
        <v>0</v>
      </c>
      <c r="Q1851" s="383"/>
      <c r="R1851" s="383"/>
      <c r="S1851" s="25">
        <f t="shared" si="294"/>
        <v>0</v>
      </c>
      <c r="T1851" s="383"/>
      <c r="U1851" s="383"/>
      <c r="V1851" s="381">
        <f t="shared" si="295"/>
        <v>0</v>
      </c>
      <c r="W1851" s="383"/>
      <c r="X1851" s="383"/>
      <c r="Y1851" s="381">
        <f t="shared" si="296"/>
        <v>0</v>
      </c>
    </row>
    <row r="1852" spans="2:25" x14ac:dyDescent="0.2">
      <c r="B1852" s="383"/>
      <c r="C1852" s="383"/>
      <c r="D1852" s="381">
        <f t="shared" si="289"/>
        <v>0</v>
      </c>
      <c r="E1852" s="383"/>
      <c r="F1852" s="382"/>
      <c r="G1852" s="381">
        <f t="shared" si="290"/>
        <v>0</v>
      </c>
      <c r="H1852" s="383"/>
      <c r="I1852" s="383"/>
      <c r="J1852" s="381">
        <f t="shared" si="291"/>
        <v>0</v>
      </c>
      <c r="K1852" s="383"/>
      <c r="L1852" s="383"/>
      <c r="M1852" s="381">
        <f t="shared" si="292"/>
        <v>0</v>
      </c>
      <c r="N1852" s="383"/>
      <c r="O1852" s="383"/>
      <c r="P1852" s="381">
        <f t="shared" si="293"/>
        <v>0</v>
      </c>
      <c r="Q1852" s="383"/>
      <c r="R1852" s="383"/>
      <c r="S1852" s="25">
        <f t="shared" si="294"/>
        <v>0</v>
      </c>
      <c r="T1852" s="383"/>
      <c r="U1852" s="383"/>
      <c r="V1852" s="381">
        <f t="shared" si="295"/>
        <v>0</v>
      </c>
      <c r="W1852" s="383"/>
      <c r="X1852" s="383"/>
      <c r="Y1852" s="381">
        <f t="shared" si="296"/>
        <v>0</v>
      </c>
    </row>
    <row r="1853" spans="2:25" x14ac:dyDescent="0.2">
      <c r="B1853" s="383"/>
      <c r="C1853" s="383"/>
      <c r="D1853" s="381">
        <f t="shared" si="289"/>
        <v>0</v>
      </c>
      <c r="E1853" s="383"/>
      <c r="F1853" s="382"/>
      <c r="G1853" s="381">
        <f t="shared" si="290"/>
        <v>0</v>
      </c>
      <c r="H1853" s="383"/>
      <c r="I1853" s="383"/>
      <c r="J1853" s="381">
        <f t="shared" si="291"/>
        <v>0</v>
      </c>
      <c r="K1853" s="383"/>
      <c r="L1853" s="383"/>
      <c r="M1853" s="381">
        <f t="shared" si="292"/>
        <v>0</v>
      </c>
      <c r="N1853" s="383"/>
      <c r="O1853" s="383"/>
      <c r="P1853" s="381">
        <f t="shared" si="293"/>
        <v>0</v>
      </c>
      <c r="Q1853" s="383"/>
      <c r="R1853" s="383"/>
      <c r="S1853" s="25">
        <f t="shared" si="294"/>
        <v>0</v>
      </c>
      <c r="T1853" s="383"/>
      <c r="U1853" s="383"/>
      <c r="V1853" s="381">
        <f t="shared" si="295"/>
        <v>0</v>
      </c>
      <c r="W1853" s="383"/>
      <c r="X1853" s="383"/>
      <c r="Y1853" s="381">
        <f t="shared" si="296"/>
        <v>0</v>
      </c>
    </row>
    <row r="1854" spans="2:25" x14ac:dyDescent="0.2">
      <c r="B1854" s="383"/>
      <c r="C1854" s="383"/>
      <c r="D1854" s="381">
        <f t="shared" si="289"/>
        <v>0</v>
      </c>
      <c r="E1854" s="383"/>
      <c r="F1854" s="382"/>
      <c r="G1854" s="381">
        <f t="shared" si="290"/>
        <v>0</v>
      </c>
      <c r="H1854" s="383"/>
      <c r="I1854" s="383"/>
      <c r="J1854" s="381">
        <f t="shared" si="291"/>
        <v>0</v>
      </c>
      <c r="K1854" s="383"/>
      <c r="L1854" s="383"/>
      <c r="M1854" s="381">
        <f t="shared" si="292"/>
        <v>0</v>
      </c>
      <c r="N1854" s="383"/>
      <c r="O1854" s="383"/>
      <c r="P1854" s="381">
        <f t="shared" si="293"/>
        <v>0</v>
      </c>
      <c r="Q1854" s="383"/>
      <c r="R1854" s="383"/>
      <c r="S1854" s="25">
        <f t="shared" si="294"/>
        <v>0</v>
      </c>
      <c r="T1854" s="383"/>
      <c r="U1854" s="383"/>
      <c r="V1854" s="381">
        <f t="shared" si="295"/>
        <v>0</v>
      </c>
      <c r="W1854" s="383"/>
      <c r="X1854" s="383"/>
      <c r="Y1854" s="381">
        <f t="shared" si="296"/>
        <v>0</v>
      </c>
    </row>
    <row r="1855" spans="2:25" x14ac:dyDescent="0.2">
      <c r="B1855" s="383"/>
      <c r="C1855" s="383"/>
      <c r="D1855" s="381">
        <f t="shared" si="289"/>
        <v>0</v>
      </c>
      <c r="E1855" s="383"/>
      <c r="F1855" s="382"/>
      <c r="G1855" s="381">
        <f t="shared" si="290"/>
        <v>0</v>
      </c>
      <c r="H1855" s="383"/>
      <c r="I1855" s="383"/>
      <c r="J1855" s="381">
        <f t="shared" si="291"/>
        <v>0</v>
      </c>
      <c r="K1855" s="383"/>
      <c r="L1855" s="383"/>
      <c r="M1855" s="381">
        <f t="shared" si="292"/>
        <v>0</v>
      </c>
      <c r="N1855" s="383"/>
      <c r="O1855" s="383"/>
      <c r="P1855" s="381">
        <f t="shared" si="293"/>
        <v>0</v>
      </c>
      <c r="Q1855" s="383"/>
      <c r="R1855" s="383"/>
      <c r="S1855" s="25">
        <f t="shared" si="294"/>
        <v>0</v>
      </c>
      <c r="T1855" s="383"/>
      <c r="U1855" s="383"/>
      <c r="V1855" s="381">
        <f t="shared" si="295"/>
        <v>0</v>
      </c>
      <c r="W1855" s="383"/>
      <c r="X1855" s="383"/>
      <c r="Y1855" s="381">
        <f t="shared" si="296"/>
        <v>0</v>
      </c>
    </row>
    <row r="1856" spans="2:25" x14ac:dyDescent="0.2">
      <c r="B1856" s="383"/>
      <c r="C1856" s="383"/>
      <c r="D1856" s="381">
        <f t="shared" si="289"/>
        <v>0</v>
      </c>
      <c r="E1856" s="383"/>
      <c r="F1856" s="382"/>
      <c r="G1856" s="381">
        <f t="shared" si="290"/>
        <v>0</v>
      </c>
      <c r="H1856" s="383"/>
      <c r="I1856" s="383"/>
      <c r="J1856" s="381">
        <f t="shared" si="291"/>
        <v>0</v>
      </c>
      <c r="K1856" s="383"/>
      <c r="L1856" s="383"/>
      <c r="M1856" s="381">
        <f t="shared" si="292"/>
        <v>0</v>
      </c>
      <c r="N1856" s="383"/>
      <c r="O1856" s="383"/>
      <c r="P1856" s="381">
        <f t="shared" si="293"/>
        <v>0</v>
      </c>
      <c r="Q1856" s="383"/>
      <c r="R1856" s="383"/>
      <c r="S1856" s="25">
        <f t="shared" si="294"/>
        <v>0</v>
      </c>
      <c r="T1856" s="383"/>
      <c r="U1856" s="383"/>
      <c r="V1856" s="381">
        <f t="shared" si="295"/>
        <v>0</v>
      </c>
      <c r="W1856" s="383"/>
      <c r="X1856" s="383"/>
      <c r="Y1856" s="381">
        <f t="shared" si="296"/>
        <v>0</v>
      </c>
    </row>
    <row r="1857" spans="2:25" x14ac:dyDescent="0.2">
      <c r="B1857" s="383"/>
      <c r="C1857" s="383"/>
      <c r="D1857" s="381">
        <f t="shared" si="289"/>
        <v>0</v>
      </c>
      <c r="E1857" s="383"/>
      <c r="F1857" s="382"/>
      <c r="G1857" s="381">
        <f t="shared" si="290"/>
        <v>0</v>
      </c>
      <c r="H1857" s="383"/>
      <c r="I1857" s="383"/>
      <c r="J1857" s="381">
        <f t="shared" si="291"/>
        <v>0</v>
      </c>
      <c r="K1857" s="383"/>
      <c r="L1857" s="383"/>
      <c r="M1857" s="381">
        <f t="shared" si="292"/>
        <v>0</v>
      </c>
      <c r="N1857" s="383"/>
      <c r="O1857" s="383"/>
      <c r="P1857" s="381">
        <f t="shared" si="293"/>
        <v>0</v>
      </c>
      <c r="Q1857" s="383"/>
      <c r="R1857" s="383"/>
      <c r="S1857" s="25">
        <f t="shared" si="294"/>
        <v>0</v>
      </c>
      <c r="T1857" s="383"/>
      <c r="U1857" s="383"/>
      <c r="V1857" s="381">
        <f t="shared" si="295"/>
        <v>0</v>
      </c>
      <c r="W1857" s="383"/>
      <c r="X1857" s="383"/>
      <c r="Y1857" s="381">
        <f t="shared" si="296"/>
        <v>0</v>
      </c>
    </row>
    <row r="1858" spans="2:25" x14ac:dyDescent="0.2">
      <c r="B1858" s="383"/>
      <c r="C1858" s="383"/>
      <c r="D1858" s="381">
        <f t="shared" si="289"/>
        <v>0</v>
      </c>
      <c r="E1858" s="383"/>
      <c r="F1858" s="382"/>
      <c r="G1858" s="381">
        <f t="shared" si="290"/>
        <v>0</v>
      </c>
      <c r="H1858" s="383"/>
      <c r="I1858" s="383"/>
      <c r="J1858" s="381">
        <f t="shared" si="291"/>
        <v>0</v>
      </c>
      <c r="K1858" s="383"/>
      <c r="L1858" s="383"/>
      <c r="M1858" s="381">
        <f t="shared" si="292"/>
        <v>0</v>
      </c>
      <c r="N1858" s="383"/>
      <c r="O1858" s="383"/>
      <c r="P1858" s="381">
        <f t="shared" si="293"/>
        <v>0</v>
      </c>
      <c r="Q1858" s="383"/>
      <c r="R1858" s="383"/>
      <c r="S1858" s="25">
        <f t="shared" si="294"/>
        <v>0</v>
      </c>
      <c r="T1858" s="383"/>
      <c r="U1858" s="383"/>
      <c r="V1858" s="381">
        <f t="shared" si="295"/>
        <v>0</v>
      </c>
      <c r="W1858" s="383"/>
      <c r="X1858" s="383"/>
      <c r="Y1858" s="381">
        <f t="shared" si="296"/>
        <v>0</v>
      </c>
    </row>
    <row r="1859" spans="2:25" x14ac:dyDescent="0.2">
      <c r="B1859" s="383"/>
      <c r="C1859" s="383"/>
      <c r="D1859" s="381">
        <f t="shared" si="289"/>
        <v>0</v>
      </c>
      <c r="E1859" s="383"/>
      <c r="F1859" s="382"/>
      <c r="G1859" s="381">
        <f t="shared" si="290"/>
        <v>0</v>
      </c>
      <c r="H1859" s="383"/>
      <c r="I1859" s="383"/>
      <c r="J1859" s="381">
        <f t="shared" si="291"/>
        <v>0</v>
      </c>
      <c r="K1859" s="383"/>
      <c r="L1859" s="383"/>
      <c r="M1859" s="381">
        <f t="shared" si="292"/>
        <v>0</v>
      </c>
      <c r="N1859" s="383"/>
      <c r="O1859" s="383"/>
      <c r="P1859" s="381">
        <f t="shared" si="293"/>
        <v>0</v>
      </c>
      <c r="Q1859" s="383"/>
      <c r="R1859" s="383"/>
      <c r="S1859" s="25">
        <f t="shared" si="294"/>
        <v>0</v>
      </c>
      <c r="T1859" s="383"/>
      <c r="U1859" s="383"/>
      <c r="V1859" s="381">
        <f t="shared" si="295"/>
        <v>0</v>
      </c>
      <c r="W1859" s="383"/>
      <c r="X1859" s="383"/>
      <c r="Y1859" s="381">
        <f t="shared" si="296"/>
        <v>0</v>
      </c>
    </row>
    <row r="1860" spans="2:25" x14ac:dyDescent="0.2">
      <c r="B1860" s="383"/>
      <c r="C1860" s="383"/>
      <c r="D1860" s="381">
        <f t="shared" si="289"/>
        <v>0</v>
      </c>
      <c r="E1860" s="383"/>
      <c r="F1860" s="382"/>
      <c r="G1860" s="381">
        <f t="shared" si="290"/>
        <v>0</v>
      </c>
      <c r="H1860" s="383"/>
      <c r="I1860" s="383"/>
      <c r="J1860" s="381">
        <f t="shared" si="291"/>
        <v>0</v>
      </c>
      <c r="K1860" s="383"/>
      <c r="L1860" s="383"/>
      <c r="M1860" s="381">
        <f t="shared" si="292"/>
        <v>0</v>
      </c>
      <c r="N1860" s="383"/>
      <c r="O1860" s="383"/>
      <c r="P1860" s="381">
        <f t="shared" si="293"/>
        <v>0</v>
      </c>
      <c r="Q1860" s="383"/>
      <c r="R1860" s="383"/>
      <c r="S1860" s="25">
        <f t="shared" si="294"/>
        <v>0</v>
      </c>
      <c r="T1860" s="383"/>
      <c r="U1860" s="383"/>
      <c r="V1860" s="381">
        <f t="shared" si="295"/>
        <v>0</v>
      </c>
      <c r="W1860" s="383"/>
      <c r="X1860" s="383"/>
      <c r="Y1860" s="381">
        <f t="shared" si="296"/>
        <v>0</v>
      </c>
    </row>
    <row r="1861" spans="2:25" x14ac:dyDescent="0.2">
      <c r="B1861" s="383"/>
      <c r="C1861" s="383"/>
      <c r="D1861" s="381">
        <f t="shared" si="289"/>
        <v>0</v>
      </c>
      <c r="E1861" s="383"/>
      <c r="F1861" s="382"/>
      <c r="G1861" s="381">
        <f t="shared" si="290"/>
        <v>0</v>
      </c>
      <c r="H1861" s="383"/>
      <c r="I1861" s="383"/>
      <c r="J1861" s="381">
        <f t="shared" si="291"/>
        <v>0</v>
      </c>
      <c r="K1861" s="383"/>
      <c r="L1861" s="383"/>
      <c r="M1861" s="381">
        <f t="shared" si="292"/>
        <v>0</v>
      </c>
      <c r="N1861" s="383"/>
      <c r="O1861" s="383"/>
      <c r="P1861" s="381">
        <f t="shared" si="293"/>
        <v>0</v>
      </c>
      <c r="Q1861" s="383"/>
      <c r="R1861" s="383"/>
      <c r="S1861" s="25">
        <f t="shared" si="294"/>
        <v>0</v>
      </c>
      <c r="T1861" s="383"/>
      <c r="U1861" s="383"/>
      <c r="V1861" s="381">
        <f t="shared" si="295"/>
        <v>0</v>
      </c>
      <c r="W1861" s="383"/>
      <c r="X1861" s="383"/>
      <c r="Y1861" s="381">
        <f t="shared" si="296"/>
        <v>0</v>
      </c>
    </row>
    <row r="1862" spans="2:25" x14ac:dyDescent="0.2">
      <c r="B1862" s="383"/>
      <c r="C1862" s="383"/>
      <c r="D1862" s="381">
        <f t="shared" si="289"/>
        <v>0</v>
      </c>
      <c r="E1862" s="383"/>
      <c r="F1862" s="382"/>
      <c r="G1862" s="381">
        <f t="shared" si="290"/>
        <v>0</v>
      </c>
      <c r="H1862" s="383"/>
      <c r="I1862" s="383"/>
      <c r="J1862" s="381">
        <f t="shared" si="291"/>
        <v>0</v>
      </c>
      <c r="K1862" s="383"/>
      <c r="L1862" s="383"/>
      <c r="M1862" s="381">
        <f t="shared" si="292"/>
        <v>0</v>
      </c>
      <c r="N1862" s="383"/>
      <c r="O1862" s="383"/>
      <c r="P1862" s="381">
        <f t="shared" si="293"/>
        <v>0</v>
      </c>
      <c r="Q1862" s="383"/>
      <c r="R1862" s="383"/>
      <c r="S1862" s="25">
        <f t="shared" si="294"/>
        <v>0</v>
      </c>
      <c r="T1862" s="383"/>
      <c r="U1862" s="383"/>
      <c r="V1862" s="381">
        <f t="shared" si="295"/>
        <v>0</v>
      </c>
      <c r="W1862" s="383"/>
      <c r="X1862" s="383"/>
      <c r="Y1862" s="381">
        <f t="shared" si="296"/>
        <v>0</v>
      </c>
    </row>
    <row r="1863" spans="2:25" x14ac:dyDescent="0.2">
      <c r="B1863" s="383"/>
      <c r="C1863" s="383"/>
      <c r="D1863" s="381">
        <f t="shared" si="289"/>
        <v>0</v>
      </c>
      <c r="E1863" s="383"/>
      <c r="F1863" s="382"/>
      <c r="G1863" s="381">
        <f t="shared" si="290"/>
        <v>0</v>
      </c>
      <c r="H1863" s="383"/>
      <c r="I1863" s="383"/>
      <c r="J1863" s="381">
        <f t="shared" si="291"/>
        <v>0</v>
      </c>
      <c r="K1863" s="383"/>
      <c r="L1863" s="383"/>
      <c r="M1863" s="381">
        <f t="shared" si="292"/>
        <v>0</v>
      </c>
      <c r="N1863" s="383"/>
      <c r="O1863" s="383"/>
      <c r="P1863" s="381">
        <f t="shared" si="293"/>
        <v>0</v>
      </c>
      <c r="Q1863" s="383"/>
      <c r="R1863" s="383"/>
      <c r="S1863" s="25">
        <f t="shared" si="294"/>
        <v>0</v>
      </c>
      <c r="T1863" s="383"/>
      <c r="U1863" s="383"/>
      <c r="V1863" s="381">
        <f t="shared" si="295"/>
        <v>0</v>
      </c>
      <c r="W1863" s="383"/>
      <c r="X1863" s="383"/>
      <c r="Y1863" s="381">
        <f t="shared" si="296"/>
        <v>0</v>
      </c>
    </row>
    <row r="1864" spans="2:25" x14ac:dyDescent="0.2">
      <c r="B1864" s="383"/>
      <c r="C1864" s="383"/>
      <c r="D1864" s="381">
        <f t="shared" si="289"/>
        <v>0</v>
      </c>
      <c r="E1864" s="383"/>
      <c r="F1864" s="382"/>
      <c r="G1864" s="381">
        <f t="shared" si="290"/>
        <v>0</v>
      </c>
      <c r="H1864" s="383"/>
      <c r="I1864" s="383"/>
      <c r="J1864" s="381">
        <f t="shared" si="291"/>
        <v>0</v>
      </c>
      <c r="K1864" s="383"/>
      <c r="L1864" s="383"/>
      <c r="M1864" s="381">
        <f t="shared" si="292"/>
        <v>0</v>
      </c>
      <c r="N1864" s="383"/>
      <c r="O1864" s="383"/>
      <c r="P1864" s="381">
        <f t="shared" si="293"/>
        <v>0</v>
      </c>
      <c r="Q1864" s="383"/>
      <c r="R1864" s="383"/>
      <c r="S1864" s="25">
        <f t="shared" si="294"/>
        <v>0</v>
      </c>
      <c r="T1864" s="383"/>
      <c r="U1864" s="383"/>
      <c r="V1864" s="381">
        <f t="shared" si="295"/>
        <v>0</v>
      </c>
      <c r="W1864" s="383"/>
      <c r="X1864" s="383"/>
      <c r="Y1864" s="381">
        <f t="shared" si="296"/>
        <v>0</v>
      </c>
    </row>
    <row r="1865" spans="2:25" x14ac:dyDescent="0.2">
      <c r="B1865" s="383"/>
      <c r="C1865" s="383"/>
      <c r="D1865" s="381">
        <f t="shared" si="289"/>
        <v>0</v>
      </c>
      <c r="E1865" s="383"/>
      <c r="F1865" s="382"/>
      <c r="G1865" s="381">
        <f t="shared" si="290"/>
        <v>0</v>
      </c>
      <c r="H1865" s="383"/>
      <c r="I1865" s="383"/>
      <c r="J1865" s="381">
        <f t="shared" si="291"/>
        <v>0</v>
      </c>
      <c r="K1865" s="383"/>
      <c r="L1865" s="383"/>
      <c r="M1865" s="381">
        <f t="shared" si="292"/>
        <v>0</v>
      </c>
      <c r="N1865" s="383"/>
      <c r="O1865" s="383"/>
      <c r="P1865" s="381">
        <f t="shared" si="293"/>
        <v>0</v>
      </c>
      <c r="Q1865" s="383"/>
      <c r="R1865" s="383"/>
      <c r="S1865" s="25">
        <f t="shared" si="294"/>
        <v>0</v>
      </c>
      <c r="T1865" s="383"/>
      <c r="U1865" s="383"/>
      <c r="V1865" s="381">
        <f t="shared" si="295"/>
        <v>0</v>
      </c>
      <c r="W1865" s="383"/>
      <c r="X1865" s="383"/>
      <c r="Y1865" s="381">
        <f t="shared" si="296"/>
        <v>0</v>
      </c>
    </row>
    <row r="1866" spans="2:25" x14ac:dyDescent="0.2">
      <c r="B1866" s="383"/>
      <c r="C1866" s="383"/>
      <c r="D1866" s="381">
        <f t="shared" si="289"/>
        <v>0</v>
      </c>
      <c r="E1866" s="383"/>
      <c r="F1866" s="382"/>
      <c r="G1866" s="381">
        <f t="shared" si="290"/>
        <v>0</v>
      </c>
      <c r="H1866" s="383"/>
      <c r="I1866" s="383"/>
      <c r="J1866" s="381">
        <f t="shared" si="291"/>
        <v>0</v>
      </c>
      <c r="K1866" s="383"/>
      <c r="L1866" s="383"/>
      <c r="M1866" s="381">
        <f t="shared" si="292"/>
        <v>0</v>
      </c>
      <c r="N1866" s="383"/>
      <c r="O1866" s="383"/>
      <c r="P1866" s="381">
        <f t="shared" si="293"/>
        <v>0</v>
      </c>
      <c r="Q1866" s="383"/>
      <c r="R1866" s="383"/>
      <c r="S1866" s="25">
        <f t="shared" si="294"/>
        <v>0</v>
      </c>
      <c r="T1866" s="383"/>
      <c r="U1866" s="383"/>
      <c r="V1866" s="381">
        <f t="shared" si="295"/>
        <v>0</v>
      </c>
      <c r="W1866" s="383"/>
      <c r="X1866" s="383"/>
      <c r="Y1866" s="381">
        <f t="shared" si="296"/>
        <v>0</v>
      </c>
    </row>
    <row r="1867" spans="2:25" x14ac:dyDescent="0.2">
      <c r="B1867" s="383"/>
      <c r="C1867" s="383"/>
      <c r="D1867" s="381">
        <f t="shared" si="289"/>
        <v>0</v>
      </c>
      <c r="E1867" s="383"/>
      <c r="F1867" s="382"/>
      <c r="G1867" s="381">
        <f t="shared" si="290"/>
        <v>0</v>
      </c>
      <c r="H1867" s="383"/>
      <c r="I1867" s="383"/>
      <c r="J1867" s="381">
        <f t="shared" si="291"/>
        <v>0</v>
      </c>
      <c r="K1867" s="383"/>
      <c r="L1867" s="383"/>
      <c r="M1867" s="381">
        <f t="shared" si="292"/>
        <v>0</v>
      </c>
      <c r="N1867" s="383"/>
      <c r="O1867" s="383"/>
      <c r="P1867" s="381">
        <f t="shared" si="293"/>
        <v>0</v>
      </c>
      <c r="Q1867" s="383"/>
      <c r="R1867" s="383"/>
      <c r="S1867" s="25">
        <f t="shared" si="294"/>
        <v>0</v>
      </c>
      <c r="T1867" s="383"/>
      <c r="U1867" s="383"/>
      <c r="V1867" s="381">
        <f t="shared" si="295"/>
        <v>0</v>
      </c>
      <c r="W1867" s="383"/>
      <c r="X1867" s="383"/>
      <c r="Y1867" s="381">
        <f t="shared" si="296"/>
        <v>0</v>
      </c>
    </row>
    <row r="1868" spans="2:25" x14ac:dyDescent="0.2">
      <c r="B1868" s="383"/>
      <c r="C1868" s="383"/>
      <c r="D1868" s="381">
        <f t="shared" si="289"/>
        <v>0</v>
      </c>
      <c r="E1868" s="383"/>
      <c r="F1868" s="382"/>
      <c r="G1868" s="381">
        <f t="shared" si="290"/>
        <v>0</v>
      </c>
      <c r="H1868" s="383"/>
      <c r="I1868" s="383"/>
      <c r="J1868" s="381">
        <f t="shared" si="291"/>
        <v>0</v>
      </c>
      <c r="K1868" s="383"/>
      <c r="L1868" s="383"/>
      <c r="M1868" s="381">
        <f t="shared" si="292"/>
        <v>0</v>
      </c>
      <c r="N1868" s="383"/>
      <c r="O1868" s="383"/>
      <c r="P1868" s="381">
        <f t="shared" si="293"/>
        <v>0</v>
      </c>
      <c r="Q1868" s="383"/>
      <c r="R1868" s="383"/>
      <c r="S1868" s="25">
        <f t="shared" si="294"/>
        <v>0</v>
      </c>
      <c r="T1868" s="383"/>
      <c r="U1868" s="383"/>
      <c r="V1868" s="381">
        <f t="shared" si="295"/>
        <v>0</v>
      </c>
      <c r="W1868" s="383"/>
      <c r="X1868" s="383"/>
      <c r="Y1868" s="381">
        <f t="shared" si="296"/>
        <v>0</v>
      </c>
    </row>
    <row r="1869" spans="2:25" x14ac:dyDescent="0.2">
      <c r="B1869" s="383"/>
      <c r="C1869" s="383"/>
      <c r="D1869" s="381">
        <f t="shared" si="289"/>
        <v>0</v>
      </c>
      <c r="E1869" s="383"/>
      <c r="F1869" s="382"/>
      <c r="G1869" s="381">
        <f t="shared" si="290"/>
        <v>0</v>
      </c>
      <c r="H1869" s="383"/>
      <c r="I1869" s="383"/>
      <c r="J1869" s="381">
        <f t="shared" si="291"/>
        <v>0</v>
      </c>
      <c r="K1869" s="383"/>
      <c r="L1869" s="383"/>
      <c r="M1869" s="381">
        <f t="shared" si="292"/>
        <v>0</v>
      </c>
      <c r="N1869" s="383"/>
      <c r="O1869" s="383"/>
      <c r="P1869" s="381">
        <f t="shared" si="293"/>
        <v>0</v>
      </c>
      <c r="Q1869" s="383"/>
      <c r="R1869" s="383"/>
      <c r="S1869" s="25">
        <f t="shared" si="294"/>
        <v>0</v>
      </c>
      <c r="T1869" s="383"/>
      <c r="U1869" s="383"/>
      <c r="V1869" s="381">
        <f t="shared" si="295"/>
        <v>0</v>
      </c>
      <c r="W1869" s="383"/>
      <c r="X1869" s="383"/>
      <c r="Y1869" s="381">
        <f t="shared" si="296"/>
        <v>0</v>
      </c>
    </row>
    <row r="1870" spans="2:25" x14ac:dyDescent="0.2">
      <c r="B1870" s="383"/>
      <c r="C1870" s="383"/>
      <c r="D1870" s="381">
        <f t="shared" si="289"/>
        <v>0</v>
      </c>
      <c r="E1870" s="383"/>
      <c r="F1870" s="382"/>
      <c r="G1870" s="381">
        <f t="shared" si="290"/>
        <v>0</v>
      </c>
      <c r="H1870" s="383"/>
      <c r="I1870" s="383"/>
      <c r="J1870" s="381">
        <f t="shared" si="291"/>
        <v>0</v>
      </c>
      <c r="K1870" s="383"/>
      <c r="L1870" s="383"/>
      <c r="M1870" s="381">
        <f t="shared" si="292"/>
        <v>0</v>
      </c>
      <c r="N1870" s="383"/>
      <c r="O1870" s="383"/>
      <c r="P1870" s="381">
        <f t="shared" si="293"/>
        <v>0</v>
      </c>
      <c r="Q1870" s="383"/>
      <c r="R1870" s="383"/>
      <c r="S1870" s="25">
        <f t="shared" si="294"/>
        <v>0</v>
      </c>
      <c r="T1870" s="383"/>
      <c r="U1870" s="383"/>
      <c r="V1870" s="381">
        <f t="shared" si="295"/>
        <v>0</v>
      </c>
      <c r="W1870" s="383"/>
      <c r="X1870" s="383"/>
      <c r="Y1870" s="381">
        <f t="shared" si="296"/>
        <v>0</v>
      </c>
    </row>
    <row r="1871" spans="2:25" x14ac:dyDescent="0.2">
      <c r="B1871" s="383"/>
      <c r="C1871" s="383"/>
      <c r="D1871" s="381">
        <f t="shared" si="289"/>
        <v>0</v>
      </c>
      <c r="E1871" s="383"/>
      <c r="F1871" s="382"/>
      <c r="G1871" s="381">
        <f t="shared" si="290"/>
        <v>0</v>
      </c>
      <c r="H1871" s="383"/>
      <c r="I1871" s="383"/>
      <c r="J1871" s="381">
        <f t="shared" si="291"/>
        <v>0</v>
      </c>
      <c r="K1871" s="383"/>
      <c r="L1871" s="383"/>
      <c r="M1871" s="381">
        <f t="shared" si="292"/>
        <v>0</v>
      </c>
      <c r="N1871" s="383"/>
      <c r="O1871" s="383"/>
      <c r="P1871" s="381">
        <f t="shared" si="293"/>
        <v>0</v>
      </c>
      <c r="Q1871" s="383"/>
      <c r="R1871" s="383"/>
      <c r="S1871" s="25">
        <f t="shared" si="294"/>
        <v>0</v>
      </c>
      <c r="T1871" s="383"/>
      <c r="U1871" s="383"/>
      <c r="V1871" s="381">
        <f t="shared" si="295"/>
        <v>0</v>
      </c>
      <c r="W1871" s="383"/>
      <c r="X1871" s="383"/>
      <c r="Y1871" s="381">
        <f t="shared" si="296"/>
        <v>0</v>
      </c>
    </row>
    <row r="1872" spans="2:25" x14ac:dyDescent="0.2">
      <c r="B1872" s="383"/>
      <c r="C1872" s="383"/>
      <c r="D1872" s="381">
        <f t="shared" si="289"/>
        <v>0</v>
      </c>
      <c r="E1872" s="383"/>
      <c r="F1872" s="382"/>
      <c r="G1872" s="381">
        <f t="shared" si="290"/>
        <v>0</v>
      </c>
      <c r="H1872" s="383"/>
      <c r="I1872" s="383"/>
      <c r="J1872" s="381">
        <f t="shared" si="291"/>
        <v>0</v>
      </c>
      <c r="K1872" s="383"/>
      <c r="L1872" s="383"/>
      <c r="M1872" s="381">
        <f t="shared" si="292"/>
        <v>0</v>
      </c>
      <c r="N1872" s="383"/>
      <c r="O1872" s="383"/>
      <c r="P1872" s="381">
        <f t="shared" si="293"/>
        <v>0</v>
      </c>
      <c r="Q1872" s="383"/>
      <c r="R1872" s="383"/>
      <c r="S1872" s="25">
        <f t="shared" si="294"/>
        <v>0</v>
      </c>
      <c r="T1872" s="383"/>
      <c r="U1872" s="383"/>
      <c r="V1872" s="381">
        <f t="shared" si="295"/>
        <v>0</v>
      </c>
      <c r="W1872" s="383"/>
      <c r="X1872" s="383"/>
      <c r="Y1872" s="381">
        <f t="shared" si="296"/>
        <v>0</v>
      </c>
    </row>
    <row r="1873" spans="2:25" x14ac:dyDescent="0.2">
      <c r="B1873" s="383"/>
      <c r="C1873" s="383"/>
      <c r="D1873" s="381">
        <f t="shared" si="289"/>
        <v>0</v>
      </c>
      <c r="E1873" s="383"/>
      <c r="F1873" s="382"/>
      <c r="G1873" s="381">
        <f t="shared" si="290"/>
        <v>0</v>
      </c>
      <c r="H1873" s="383"/>
      <c r="I1873" s="383"/>
      <c r="J1873" s="381">
        <f t="shared" si="291"/>
        <v>0</v>
      </c>
      <c r="K1873" s="383"/>
      <c r="L1873" s="383"/>
      <c r="M1873" s="381">
        <f t="shared" si="292"/>
        <v>0</v>
      </c>
      <c r="N1873" s="383"/>
      <c r="O1873" s="383"/>
      <c r="P1873" s="381">
        <f t="shared" si="293"/>
        <v>0</v>
      </c>
      <c r="Q1873" s="383"/>
      <c r="R1873" s="383"/>
      <c r="S1873" s="25">
        <f t="shared" si="294"/>
        <v>0</v>
      </c>
      <c r="T1873" s="383"/>
      <c r="U1873" s="383"/>
      <c r="V1873" s="381">
        <f t="shared" si="295"/>
        <v>0</v>
      </c>
      <c r="W1873" s="383"/>
      <c r="X1873" s="383"/>
      <c r="Y1873" s="381">
        <f t="shared" si="296"/>
        <v>0</v>
      </c>
    </row>
    <row r="1874" spans="2:25" x14ac:dyDescent="0.2">
      <c r="B1874" s="383"/>
      <c r="C1874" s="383"/>
      <c r="D1874" s="381">
        <f t="shared" ref="D1874:D1937" si="297">C1874</f>
        <v>0</v>
      </c>
      <c r="E1874" s="383"/>
      <c r="F1874" s="382"/>
      <c r="G1874" s="381">
        <f t="shared" ref="G1874:G1937" si="298">F1874+$AB$2</f>
        <v>0</v>
      </c>
      <c r="H1874" s="383"/>
      <c r="I1874" s="383"/>
      <c r="J1874" s="381">
        <f t="shared" ref="J1874:J1937" si="299">I1874+$AB$3</f>
        <v>0</v>
      </c>
      <c r="K1874" s="383"/>
      <c r="L1874" s="383"/>
      <c r="M1874" s="381">
        <f t="shared" ref="M1874:M1937" si="300">L1874+$AB$4</f>
        <v>0</v>
      </c>
      <c r="N1874" s="383"/>
      <c r="O1874" s="383"/>
      <c r="P1874" s="381">
        <f t="shared" ref="P1874:P1937" si="301">O1874+$AB$5</f>
        <v>0</v>
      </c>
      <c r="Q1874" s="383"/>
      <c r="R1874" s="383"/>
      <c r="S1874" s="25">
        <f t="shared" ref="S1874:S1937" si="302">R1874+$AB$6</f>
        <v>0</v>
      </c>
      <c r="T1874" s="383"/>
      <c r="U1874" s="383"/>
      <c r="V1874" s="381">
        <f t="shared" ref="V1874:V1937" si="303">U1874+$AB$7</f>
        <v>0</v>
      </c>
      <c r="W1874" s="383"/>
      <c r="X1874" s="383"/>
      <c r="Y1874" s="381">
        <f t="shared" ref="Y1874:Y1937" si="304">X1874+$AB$8</f>
        <v>0</v>
      </c>
    </row>
    <row r="1875" spans="2:25" x14ac:dyDescent="0.2">
      <c r="B1875" s="383"/>
      <c r="C1875" s="383"/>
      <c r="D1875" s="381">
        <f t="shared" si="297"/>
        <v>0</v>
      </c>
      <c r="E1875" s="383"/>
      <c r="F1875" s="382"/>
      <c r="G1875" s="381">
        <f t="shared" si="298"/>
        <v>0</v>
      </c>
      <c r="H1875" s="383"/>
      <c r="I1875" s="383"/>
      <c r="J1875" s="381">
        <f t="shared" si="299"/>
        <v>0</v>
      </c>
      <c r="K1875" s="383"/>
      <c r="L1875" s="383"/>
      <c r="M1875" s="381">
        <f t="shared" si="300"/>
        <v>0</v>
      </c>
      <c r="N1875" s="383"/>
      <c r="O1875" s="383"/>
      <c r="P1875" s="381">
        <f t="shared" si="301"/>
        <v>0</v>
      </c>
      <c r="Q1875" s="383"/>
      <c r="R1875" s="383"/>
      <c r="S1875" s="25">
        <f t="shared" si="302"/>
        <v>0</v>
      </c>
      <c r="T1875" s="383"/>
      <c r="U1875" s="383"/>
      <c r="V1875" s="381">
        <f t="shared" si="303"/>
        <v>0</v>
      </c>
      <c r="W1875" s="383"/>
      <c r="X1875" s="383"/>
      <c r="Y1875" s="381">
        <f t="shared" si="304"/>
        <v>0</v>
      </c>
    </row>
    <row r="1876" spans="2:25" x14ac:dyDescent="0.2">
      <c r="B1876" s="383"/>
      <c r="C1876" s="383"/>
      <c r="D1876" s="381">
        <f t="shared" si="297"/>
        <v>0</v>
      </c>
      <c r="E1876" s="383"/>
      <c r="F1876" s="382"/>
      <c r="G1876" s="381">
        <f t="shared" si="298"/>
        <v>0</v>
      </c>
      <c r="H1876" s="383"/>
      <c r="I1876" s="383"/>
      <c r="J1876" s="381">
        <f t="shared" si="299"/>
        <v>0</v>
      </c>
      <c r="K1876" s="383"/>
      <c r="L1876" s="383"/>
      <c r="M1876" s="381">
        <f t="shared" si="300"/>
        <v>0</v>
      </c>
      <c r="N1876" s="383"/>
      <c r="O1876" s="383"/>
      <c r="P1876" s="381">
        <f t="shared" si="301"/>
        <v>0</v>
      </c>
      <c r="Q1876" s="383"/>
      <c r="R1876" s="383"/>
      <c r="S1876" s="25">
        <f t="shared" si="302"/>
        <v>0</v>
      </c>
      <c r="T1876" s="383"/>
      <c r="U1876" s="383"/>
      <c r="V1876" s="381">
        <f t="shared" si="303"/>
        <v>0</v>
      </c>
      <c r="W1876" s="383"/>
      <c r="X1876" s="383"/>
      <c r="Y1876" s="381">
        <f t="shared" si="304"/>
        <v>0</v>
      </c>
    </row>
    <row r="1877" spans="2:25" x14ac:dyDescent="0.2">
      <c r="B1877" s="383"/>
      <c r="C1877" s="383"/>
      <c r="D1877" s="381">
        <f t="shared" si="297"/>
        <v>0</v>
      </c>
      <c r="E1877" s="383"/>
      <c r="F1877" s="382"/>
      <c r="G1877" s="381">
        <f t="shared" si="298"/>
        <v>0</v>
      </c>
      <c r="H1877" s="383"/>
      <c r="I1877" s="383"/>
      <c r="J1877" s="381">
        <f t="shared" si="299"/>
        <v>0</v>
      </c>
      <c r="K1877" s="383"/>
      <c r="L1877" s="383"/>
      <c r="M1877" s="381">
        <f t="shared" si="300"/>
        <v>0</v>
      </c>
      <c r="N1877" s="383"/>
      <c r="O1877" s="383"/>
      <c r="P1877" s="381">
        <f t="shared" si="301"/>
        <v>0</v>
      </c>
      <c r="Q1877" s="383"/>
      <c r="R1877" s="383"/>
      <c r="S1877" s="25">
        <f t="shared" si="302"/>
        <v>0</v>
      </c>
      <c r="T1877" s="383"/>
      <c r="U1877" s="383"/>
      <c r="V1877" s="381">
        <f t="shared" si="303"/>
        <v>0</v>
      </c>
      <c r="W1877" s="383"/>
      <c r="X1877" s="383"/>
      <c r="Y1877" s="381">
        <f t="shared" si="304"/>
        <v>0</v>
      </c>
    </row>
    <row r="1878" spans="2:25" x14ac:dyDescent="0.2">
      <c r="B1878" s="383"/>
      <c r="C1878" s="383"/>
      <c r="D1878" s="381">
        <f t="shared" si="297"/>
        <v>0</v>
      </c>
      <c r="E1878" s="383"/>
      <c r="F1878" s="382"/>
      <c r="G1878" s="381">
        <f t="shared" si="298"/>
        <v>0</v>
      </c>
      <c r="H1878" s="383"/>
      <c r="I1878" s="383"/>
      <c r="J1878" s="381">
        <f t="shared" si="299"/>
        <v>0</v>
      </c>
      <c r="K1878" s="383"/>
      <c r="L1878" s="383"/>
      <c r="M1878" s="381">
        <f t="shared" si="300"/>
        <v>0</v>
      </c>
      <c r="N1878" s="383"/>
      <c r="O1878" s="383"/>
      <c r="P1878" s="381">
        <f t="shared" si="301"/>
        <v>0</v>
      </c>
      <c r="Q1878" s="383"/>
      <c r="R1878" s="383"/>
      <c r="S1878" s="25">
        <f t="shared" si="302"/>
        <v>0</v>
      </c>
      <c r="T1878" s="383"/>
      <c r="U1878" s="383"/>
      <c r="V1878" s="381">
        <f t="shared" si="303"/>
        <v>0</v>
      </c>
      <c r="W1878" s="383"/>
      <c r="X1878" s="383"/>
      <c r="Y1878" s="381">
        <f t="shared" si="304"/>
        <v>0</v>
      </c>
    </row>
    <row r="1879" spans="2:25" x14ac:dyDescent="0.2">
      <c r="B1879" s="383"/>
      <c r="C1879" s="383"/>
      <c r="D1879" s="381">
        <f t="shared" si="297"/>
        <v>0</v>
      </c>
      <c r="E1879" s="383"/>
      <c r="F1879" s="382"/>
      <c r="G1879" s="381">
        <f t="shared" si="298"/>
        <v>0</v>
      </c>
      <c r="H1879" s="383"/>
      <c r="I1879" s="383"/>
      <c r="J1879" s="381">
        <f t="shared" si="299"/>
        <v>0</v>
      </c>
      <c r="K1879" s="383"/>
      <c r="L1879" s="383"/>
      <c r="M1879" s="381">
        <f t="shared" si="300"/>
        <v>0</v>
      </c>
      <c r="N1879" s="383"/>
      <c r="O1879" s="383"/>
      <c r="P1879" s="381">
        <f t="shared" si="301"/>
        <v>0</v>
      </c>
      <c r="Q1879" s="383"/>
      <c r="R1879" s="383"/>
      <c r="S1879" s="25">
        <f t="shared" si="302"/>
        <v>0</v>
      </c>
      <c r="T1879" s="383"/>
      <c r="U1879" s="383"/>
      <c r="V1879" s="381">
        <f t="shared" si="303"/>
        <v>0</v>
      </c>
      <c r="W1879" s="383"/>
      <c r="X1879" s="383"/>
      <c r="Y1879" s="381">
        <f t="shared" si="304"/>
        <v>0</v>
      </c>
    </row>
    <row r="1880" spans="2:25" x14ac:dyDescent="0.2">
      <c r="B1880" s="383"/>
      <c r="C1880" s="383"/>
      <c r="D1880" s="381">
        <f t="shared" si="297"/>
        <v>0</v>
      </c>
      <c r="E1880" s="383"/>
      <c r="F1880" s="382"/>
      <c r="G1880" s="381">
        <f t="shared" si="298"/>
        <v>0</v>
      </c>
      <c r="H1880" s="383"/>
      <c r="I1880" s="383"/>
      <c r="J1880" s="381">
        <f t="shared" si="299"/>
        <v>0</v>
      </c>
      <c r="K1880" s="383"/>
      <c r="L1880" s="383"/>
      <c r="M1880" s="381">
        <f t="shared" si="300"/>
        <v>0</v>
      </c>
      <c r="N1880" s="383"/>
      <c r="O1880" s="383"/>
      <c r="P1880" s="381">
        <f t="shared" si="301"/>
        <v>0</v>
      </c>
      <c r="Q1880" s="383"/>
      <c r="R1880" s="383"/>
      <c r="S1880" s="25">
        <f t="shared" si="302"/>
        <v>0</v>
      </c>
      <c r="T1880" s="383"/>
      <c r="U1880" s="383"/>
      <c r="V1880" s="381">
        <f t="shared" si="303"/>
        <v>0</v>
      </c>
      <c r="W1880" s="383"/>
      <c r="X1880" s="383"/>
      <c r="Y1880" s="381">
        <f t="shared" si="304"/>
        <v>0</v>
      </c>
    </row>
    <row r="1881" spans="2:25" x14ac:dyDescent="0.2">
      <c r="B1881" s="383"/>
      <c r="C1881" s="383"/>
      <c r="D1881" s="381">
        <f t="shared" si="297"/>
        <v>0</v>
      </c>
      <c r="E1881" s="383"/>
      <c r="F1881" s="382"/>
      <c r="G1881" s="381">
        <f t="shared" si="298"/>
        <v>0</v>
      </c>
      <c r="H1881" s="383"/>
      <c r="I1881" s="383"/>
      <c r="J1881" s="381">
        <f t="shared" si="299"/>
        <v>0</v>
      </c>
      <c r="K1881" s="383"/>
      <c r="L1881" s="383"/>
      <c r="M1881" s="381">
        <f t="shared" si="300"/>
        <v>0</v>
      </c>
      <c r="N1881" s="383"/>
      <c r="O1881" s="383"/>
      <c r="P1881" s="381">
        <f t="shared" si="301"/>
        <v>0</v>
      </c>
      <c r="Q1881" s="383"/>
      <c r="R1881" s="383"/>
      <c r="S1881" s="25">
        <f t="shared" si="302"/>
        <v>0</v>
      </c>
      <c r="T1881" s="383"/>
      <c r="U1881" s="383"/>
      <c r="V1881" s="381">
        <f t="shared" si="303"/>
        <v>0</v>
      </c>
      <c r="W1881" s="383"/>
      <c r="X1881" s="383"/>
      <c r="Y1881" s="381">
        <f t="shared" si="304"/>
        <v>0</v>
      </c>
    </row>
    <row r="1882" spans="2:25" x14ac:dyDescent="0.2">
      <c r="B1882" s="383"/>
      <c r="C1882" s="383"/>
      <c r="D1882" s="381">
        <f t="shared" si="297"/>
        <v>0</v>
      </c>
      <c r="E1882" s="383"/>
      <c r="F1882" s="382"/>
      <c r="G1882" s="381">
        <f t="shared" si="298"/>
        <v>0</v>
      </c>
      <c r="H1882" s="383"/>
      <c r="I1882" s="383"/>
      <c r="J1882" s="381">
        <f t="shared" si="299"/>
        <v>0</v>
      </c>
      <c r="K1882" s="383"/>
      <c r="L1882" s="383"/>
      <c r="M1882" s="381">
        <f t="shared" si="300"/>
        <v>0</v>
      </c>
      <c r="N1882" s="383"/>
      <c r="O1882" s="383"/>
      <c r="P1882" s="381">
        <f t="shared" si="301"/>
        <v>0</v>
      </c>
      <c r="Q1882" s="383"/>
      <c r="R1882" s="383"/>
      <c r="S1882" s="25">
        <f t="shared" si="302"/>
        <v>0</v>
      </c>
      <c r="T1882" s="383"/>
      <c r="U1882" s="383"/>
      <c r="V1882" s="381">
        <f t="shared" si="303"/>
        <v>0</v>
      </c>
      <c r="W1882" s="383"/>
      <c r="X1882" s="383"/>
      <c r="Y1882" s="381">
        <f t="shared" si="304"/>
        <v>0</v>
      </c>
    </row>
    <row r="1883" spans="2:25" x14ac:dyDescent="0.2">
      <c r="B1883" s="383"/>
      <c r="C1883" s="383"/>
      <c r="D1883" s="381">
        <f t="shared" si="297"/>
        <v>0</v>
      </c>
      <c r="E1883" s="383"/>
      <c r="F1883" s="382"/>
      <c r="G1883" s="381">
        <f t="shared" si="298"/>
        <v>0</v>
      </c>
      <c r="H1883" s="383"/>
      <c r="I1883" s="383"/>
      <c r="J1883" s="381">
        <f t="shared" si="299"/>
        <v>0</v>
      </c>
      <c r="K1883" s="383"/>
      <c r="L1883" s="383"/>
      <c r="M1883" s="381">
        <f t="shared" si="300"/>
        <v>0</v>
      </c>
      <c r="N1883" s="383"/>
      <c r="O1883" s="383"/>
      <c r="P1883" s="381">
        <f t="shared" si="301"/>
        <v>0</v>
      </c>
      <c r="Q1883" s="383"/>
      <c r="R1883" s="383"/>
      <c r="S1883" s="25">
        <f t="shared" si="302"/>
        <v>0</v>
      </c>
      <c r="T1883" s="383"/>
      <c r="U1883" s="383"/>
      <c r="V1883" s="381">
        <f t="shared" si="303"/>
        <v>0</v>
      </c>
      <c r="W1883" s="383"/>
      <c r="X1883" s="383"/>
      <c r="Y1883" s="381">
        <f t="shared" si="304"/>
        <v>0</v>
      </c>
    </row>
    <row r="1884" spans="2:25" x14ac:dyDescent="0.2">
      <c r="B1884" s="383"/>
      <c r="C1884" s="383"/>
      <c r="D1884" s="381">
        <f t="shared" si="297"/>
        <v>0</v>
      </c>
      <c r="E1884" s="383"/>
      <c r="F1884" s="382"/>
      <c r="G1884" s="381">
        <f t="shared" si="298"/>
        <v>0</v>
      </c>
      <c r="H1884" s="383"/>
      <c r="I1884" s="383"/>
      <c r="J1884" s="381">
        <f t="shared" si="299"/>
        <v>0</v>
      </c>
      <c r="K1884" s="383"/>
      <c r="L1884" s="383"/>
      <c r="M1884" s="381">
        <f t="shared" si="300"/>
        <v>0</v>
      </c>
      <c r="N1884" s="383"/>
      <c r="O1884" s="383"/>
      <c r="P1884" s="381">
        <f t="shared" si="301"/>
        <v>0</v>
      </c>
      <c r="Q1884" s="383"/>
      <c r="R1884" s="383"/>
      <c r="S1884" s="25">
        <f t="shared" si="302"/>
        <v>0</v>
      </c>
      <c r="T1884" s="383"/>
      <c r="U1884" s="383"/>
      <c r="V1884" s="381">
        <f t="shared" si="303"/>
        <v>0</v>
      </c>
      <c r="W1884" s="383"/>
      <c r="X1884" s="383"/>
      <c r="Y1884" s="381">
        <f t="shared" si="304"/>
        <v>0</v>
      </c>
    </row>
    <row r="1885" spans="2:25" x14ac:dyDescent="0.2">
      <c r="B1885" s="383"/>
      <c r="C1885" s="383"/>
      <c r="D1885" s="381">
        <f t="shared" si="297"/>
        <v>0</v>
      </c>
      <c r="E1885" s="383"/>
      <c r="F1885" s="382"/>
      <c r="G1885" s="381">
        <f t="shared" si="298"/>
        <v>0</v>
      </c>
      <c r="H1885" s="383"/>
      <c r="I1885" s="383"/>
      <c r="J1885" s="381">
        <f t="shared" si="299"/>
        <v>0</v>
      </c>
      <c r="K1885" s="383"/>
      <c r="L1885" s="383"/>
      <c r="M1885" s="381">
        <f t="shared" si="300"/>
        <v>0</v>
      </c>
      <c r="N1885" s="383"/>
      <c r="O1885" s="383"/>
      <c r="P1885" s="381">
        <f t="shared" si="301"/>
        <v>0</v>
      </c>
      <c r="Q1885" s="383"/>
      <c r="R1885" s="383"/>
      <c r="S1885" s="25">
        <f t="shared" si="302"/>
        <v>0</v>
      </c>
      <c r="T1885" s="383"/>
      <c r="U1885" s="383"/>
      <c r="V1885" s="381">
        <f t="shared" si="303"/>
        <v>0</v>
      </c>
      <c r="W1885" s="383"/>
      <c r="X1885" s="383"/>
      <c r="Y1885" s="381">
        <f t="shared" si="304"/>
        <v>0</v>
      </c>
    </row>
    <row r="1886" spans="2:25" x14ac:dyDescent="0.2">
      <c r="B1886" s="383"/>
      <c r="C1886" s="383"/>
      <c r="D1886" s="381">
        <f t="shared" si="297"/>
        <v>0</v>
      </c>
      <c r="E1886" s="383"/>
      <c r="F1886" s="382"/>
      <c r="G1886" s="381">
        <f t="shared" si="298"/>
        <v>0</v>
      </c>
      <c r="H1886" s="383"/>
      <c r="I1886" s="383"/>
      <c r="J1886" s="381">
        <f t="shared" si="299"/>
        <v>0</v>
      </c>
      <c r="K1886" s="383"/>
      <c r="L1886" s="383"/>
      <c r="M1886" s="381">
        <f t="shared" si="300"/>
        <v>0</v>
      </c>
      <c r="N1886" s="383"/>
      <c r="O1886" s="383"/>
      <c r="P1886" s="381">
        <f t="shared" si="301"/>
        <v>0</v>
      </c>
      <c r="Q1886" s="383"/>
      <c r="R1886" s="383"/>
      <c r="S1886" s="25">
        <f t="shared" si="302"/>
        <v>0</v>
      </c>
      <c r="T1886" s="383"/>
      <c r="U1886" s="383"/>
      <c r="V1886" s="381">
        <f t="shared" si="303"/>
        <v>0</v>
      </c>
      <c r="W1886" s="383"/>
      <c r="X1886" s="383"/>
      <c r="Y1886" s="381">
        <f t="shared" si="304"/>
        <v>0</v>
      </c>
    </row>
    <row r="1887" spans="2:25" x14ac:dyDescent="0.2">
      <c r="B1887" s="383"/>
      <c r="C1887" s="383"/>
      <c r="D1887" s="381">
        <f t="shared" si="297"/>
        <v>0</v>
      </c>
      <c r="E1887" s="383"/>
      <c r="F1887" s="382"/>
      <c r="G1887" s="381">
        <f t="shared" si="298"/>
        <v>0</v>
      </c>
      <c r="H1887" s="383"/>
      <c r="I1887" s="383"/>
      <c r="J1887" s="381">
        <f t="shared" si="299"/>
        <v>0</v>
      </c>
      <c r="K1887" s="383"/>
      <c r="L1887" s="383"/>
      <c r="M1887" s="381">
        <f t="shared" si="300"/>
        <v>0</v>
      </c>
      <c r="N1887" s="383"/>
      <c r="O1887" s="383"/>
      <c r="P1887" s="381">
        <f t="shared" si="301"/>
        <v>0</v>
      </c>
      <c r="Q1887" s="383"/>
      <c r="R1887" s="383"/>
      <c r="S1887" s="25">
        <f t="shared" si="302"/>
        <v>0</v>
      </c>
      <c r="T1887" s="383"/>
      <c r="U1887" s="383"/>
      <c r="V1887" s="381">
        <f t="shared" si="303"/>
        <v>0</v>
      </c>
      <c r="W1887" s="383"/>
      <c r="X1887" s="383"/>
      <c r="Y1887" s="381">
        <f t="shared" si="304"/>
        <v>0</v>
      </c>
    </row>
    <row r="1888" spans="2:25" x14ac:dyDescent="0.2">
      <c r="B1888" s="383"/>
      <c r="C1888" s="383"/>
      <c r="D1888" s="381">
        <f t="shared" si="297"/>
        <v>0</v>
      </c>
      <c r="E1888" s="383"/>
      <c r="F1888" s="382"/>
      <c r="G1888" s="381">
        <f t="shared" si="298"/>
        <v>0</v>
      </c>
      <c r="H1888" s="383"/>
      <c r="I1888" s="383"/>
      <c r="J1888" s="381">
        <f t="shared" si="299"/>
        <v>0</v>
      </c>
      <c r="K1888" s="383"/>
      <c r="L1888" s="383"/>
      <c r="M1888" s="381">
        <f t="shared" si="300"/>
        <v>0</v>
      </c>
      <c r="N1888" s="383"/>
      <c r="O1888" s="383"/>
      <c r="P1888" s="381">
        <f t="shared" si="301"/>
        <v>0</v>
      </c>
      <c r="Q1888" s="383"/>
      <c r="R1888" s="383"/>
      <c r="S1888" s="25">
        <f t="shared" si="302"/>
        <v>0</v>
      </c>
      <c r="T1888" s="383"/>
      <c r="U1888" s="383"/>
      <c r="V1888" s="381">
        <f t="shared" si="303"/>
        <v>0</v>
      </c>
      <c r="W1888" s="383"/>
      <c r="X1888" s="383"/>
      <c r="Y1888" s="381">
        <f t="shared" si="304"/>
        <v>0</v>
      </c>
    </row>
    <row r="1889" spans="2:25" x14ac:dyDescent="0.2">
      <c r="B1889" s="383"/>
      <c r="C1889" s="383"/>
      <c r="D1889" s="381">
        <f t="shared" si="297"/>
        <v>0</v>
      </c>
      <c r="E1889" s="383"/>
      <c r="F1889" s="382"/>
      <c r="G1889" s="381">
        <f t="shared" si="298"/>
        <v>0</v>
      </c>
      <c r="H1889" s="383"/>
      <c r="I1889" s="383"/>
      <c r="J1889" s="381">
        <f t="shared" si="299"/>
        <v>0</v>
      </c>
      <c r="K1889" s="383"/>
      <c r="L1889" s="383"/>
      <c r="M1889" s="381">
        <f t="shared" si="300"/>
        <v>0</v>
      </c>
      <c r="N1889" s="383"/>
      <c r="O1889" s="383"/>
      <c r="P1889" s="381">
        <f t="shared" si="301"/>
        <v>0</v>
      </c>
      <c r="Q1889" s="383"/>
      <c r="R1889" s="383"/>
      <c r="S1889" s="25">
        <f t="shared" si="302"/>
        <v>0</v>
      </c>
      <c r="T1889" s="383"/>
      <c r="U1889" s="383"/>
      <c r="V1889" s="381">
        <f t="shared" si="303"/>
        <v>0</v>
      </c>
      <c r="W1889" s="383"/>
      <c r="X1889" s="383"/>
      <c r="Y1889" s="381">
        <f t="shared" si="304"/>
        <v>0</v>
      </c>
    </row>
    <row r="1890" spans="2:25" x14ac:dyDescent="0.2">
      <c r="B1890" s="383"/>
      <c r="C1890" s="383"/>
      <c r="D1890" s="381">
        <f t="shared" si="297"/>
        <v>0</v>
      </c>
      <c r="E1890" s="383"/>
      <c r="F1890" s="382"/>
      <c r="G1890" s="381">
        <f t="shared" si="298"/>
        <v>0</v>
      </c>
      <c r="H1890" s="383"/>
      <c r="I1890" s="383"/>
      <c r="J1890" s="381">
        <f t="shared" si="299"/>
        <v>0</v>
      </c>
      <c r="K1890" s="383"/>
      <c r="L1890" s="383"/>
      <c r="M1890" s="381">
        <f t="shared" si="300"/>
        <v>0</v>
      </c>
      <c r="N1890" s="383"/>
      <c r="O1890" s="383"/>
      <c r="P1890" s="381">
        <f t="shared" si="301"/>
        <v>0</v>
      </c>
      <c r="Q1890" s="383"/>
      <c r="R1890" s="383"/>
      <c r="S1890" s="25">
        <f t="shared" si="302"/>
        <v>0</v>
      </c>
      <c r="T1890" s="383"/>
      <c r="U1890" s="383"/>
      <c r="V1890" s="381">
        <f t="shared" si="303"/>
        <v>0</v>
      </c>
      <c r="W1890" s="383"/>
      <c r="X1890" s="383"/>
      <c r="Y1890" s="381">
        <f t="shared" si="304"/>
        <v>0</v>
      </c>
    </row>
    <row r="1891" spans="2:25" x14ac:dyDescent="0.2">
      <c r="B1891" s="383"/>
      <c r="C1891" s="383"/>
      <c r="D1891" s="381">
        <f t="shared" si="297"/>
        <v>0</v>
      </c>
      <c r="E1891" s="383"/>
      <c r="F1891" s="382"/>
      <c r="G1891" s="381">
        <f t="shared" si="298"/>
        <v>0</v>
      </c>
      <c r="H1891" s="383"/>
      <c r="I1891" s="383"/>
      <c r="J1891" s="381">
        <f t="shared" si="299"/>
        <v>0</v>
      </c>
      <c r="K1891" s="383"/>
      <c r="L1891" s="383"/>
      <c r="M1891" s="381">
        <f t="shared" si="300"/>
        <v>0</v>
      </c>
      <c r="N1891" s="383"/>
      <c r="O1891" s="383"/>
      <c r="P1891" s="381">
        <f t="shared" si="301"/>
        <v>0</v>
      </c>
      <c r="Q1891" s="383"/>
      <c r="R1891" s="383"/>
      <c r="S1891" s="25">
        <f t="shared" si="302"/>
        <v>0</v>
      </c>
      <c r="T1891" s="383"/>
      <c r="U1891" s="383"/>
      <c r="V1891" s="381">
        <f t="shared" si="303"/>
        <v>0</v>
      </c>
      <c r="W1891" s="383"/>
      <c r="X1891" s="383"/>
      <c r="Y1891" s="381">
        <f t="shared" si="304"/>
        <v>0</v>
      </c>
    </row>
    <row r="1892" spans="2:25" x14ac:dyDescent="0.2">
      <c r="B1892" s="383"/>
      <c r="C1892" s="383"/>
      <c r="D1892" s="381">
        <f t="shared" si="297"/>
        <v>0</v>
      </c>
      <c r="E1892" s="383"/>
      <c r="F1892" s="382"/>
      <c r="G1892" s="381">
        <f t="shared" si="298"/>
        <v>0</v>
      </c>
      <c r="H1892" s="383"/>
      <c r="I1892" s="383"/>
      <c r="J1892" s="381">
        <f t="shared" si="299"/>
        <v>0</v>
      </c>
      <c r="K1892" s="383"/>
      <c r="L1892" s="383"/>
      <c r="M1892" s="381">
        <f t="shared" si="300"/>
        <v>0</v>
      </c>
      <c r="N1892" s="383"/>
      <c r="O1892" s="383"/>
      <c r="P1892" s="381">
        <f t="shared" si="301"/>
        <v>0</v>
      </c>
      <c r="Q1892" s="383"/>
      <c r="R1892" s="383"/>
      <c r="S1892" s="25">
        <f t="shared" si="302"/>
        <v>0</v>
      </c>
      <c r="T1892" s="383"/>
      <c r="U1892" s="383"/>
      <c r="V1892" s="381">
        <f t="shared" si="303"/>
        <v>0</v>
      </c>
      <c r="W1892" s="383"/>
      <c r="X1892" s="383"/>
      <c r="Y1892" s="381">
        <f t="shared" si="304"/>
        <v>0</v>
      </c>
    </row>
    <row r="1893" spans="2:25" x14ac:dyDescent="0.2">
      <c r="B1893" s="383"/>
      <c r="C1893" s="383"/>
      <c r="D1893" s="381">
        <f t="shared" si="297"/>
        <v>0</v>
      </c>
      <c r="E1893" s="383"/>
      <c r="F1893" s="382"/>
      <c r="G1893" s="381">
        <f t="shared" si="298"/>
        <v>0</v>
      </c>
      <c r="H1893" s="383"/>
      <c r="I1893" s="383"/>
      <c r="J1893" s="381">
        <f t="shared" si="299"/>
        <v>0</v>
      </c>
      <c r="K1893" s="383"/>
      <c r="L1893" s="383"/>
      <c r="M1893" s="381">
        <f t="shared" si="300"/>
        <v>0</v>
      </c>
      <c r="N1893" s="383"/>
      <c r="O1893" s="383"/>
      <c r="P1893" s="381">
        <f t="shared" si="301"/>
        <v>0</v>
      </c>
      <c r="Q1893" s="383"/>
      <c r="R1893" s="383"/>
      <c r="S1893" s="25">
        <f t="shared" si="302"/>
        <v>0</v>
      </c>
      <c r="T1893" s="383"/>
      <c r="U1893" s="383"/>
      <c r="V1893" s="381">
        <f t="shared" si="303"/>
        <v>0</v>
      </c>
      <c r="W1893" s="383"/>
      <c r="X1893" s="383"/>
      <c r="Y1893" s="381">
        <f t="shared" si="304"/>
        <v>0</v>
      </c>
    </row>
    <row r="1894" spans="2:25" x14ac:dyDescent="0.2">
      <c r="B1894" s="383"/>
      <c r="C1894" s="383"/>
      <c r="D1894" s="381">
        <f t="shared" si="297"/>
        <v>0</v>
      </c>
      <c r="E1894" s="383"/>
      <c r="F1894" s="382"/>
      <c r="G1894" s="381">
        <f t="shared" si="298"/>
        <v>0</v>
      </c>
      <c r="H1894" s="383"/>
      <c r="I1894" s="383"/>
      <c r="J1894" s="381">
        <f t="shared" si="299"/>
        <v>0</v>
      </c>
      <c r="K1894" s="383"/>
      <c r="L1894" s="383"/>
      <c r="M1894" s="381">
        <f t="shared" si="300"/>
        <v>0</v>
      </c>
      <c r="N1894" s="383"/>
      <c r="O1894" s="383"/>
      <c r="P1894" s="381">
        <f t="shared" si="301"/>
        <v>0</v>
      </c>
      <c r="Q1894" s="383"/>
      <c r="R1894" s="383"/>
      <c r="S1894" s="25">
        <f t="shared" si="302"/>
        <v>0</v>
      </c>
      <c r="T1894" s="383"/>
      <c r="U1894" s="383"/>
      <c r="V1894" s="381">
        <f t="shared" si="303"/>
        <v>0</v>
      </c>
      <c r="W1894" s="383"/>
      <c r="X1894" s="383"/>
      <c r="Y1894" s="381">
        <f t="shared" si="304"/>
        <v>0</v>
      </c>
    </row>
    <row r="1895" spans="2:25" x14ac:dyDescent="0.2">
      <c r="B1895" s="383"/>
      <c r="C1895" s="383"/>
      <c r="D1895" s="381">
        <f t="shared" si="297"/>
        <v>0</v>
      </c>
      <c r="E1895" s="383"/>
      <c r="F1895" s="382"/>
      <c r="G1895" s="381">
        <f t="shared" si="298"/>
        <v>0</v>
      </c>
      <c r="H1895" s="383"/>
      <c r="I1895" s="383"/>
      <c r="J1895" s="381">
        <f t="shared" si="299"/>
        <v>0</v>
      </c>
      <c r="K1895" s="383"/>
      <c r="L1895" s="383"/>
      <c r="M1895" s="381">
        <f t="shared" si="300"/>
        <v>0</v>
      </c>
      <c r="N1895" s="383"/>
      <c r="O1895" s="383"/>
      <c r="P1895" s="381">
        <f t="shared" si="301"/>
        <v>0</v>
      </c>
      <c r="Q1895" s="383"/>
      <c r="R1895" s="383"/>
      <c r="S1895" s="25">
        <f t="shared" si="302"/>
        <v>0</v>
      </c>
      <c r="T1895" s="383"/>
      <c r="U1895" s="383"/>
      <c r="V1895" s="381">
        <f t="shared" si="303"/>
        <v>0</v>
      </c>
      <c r="W1895" s="383"/>
      <c r="X1895" s="383"/>
      <c r="Y1895" s="381">
        <f t="shared" si="304"/>
        <v>0</v>
      </c>
    </row>
    <row r="1896" spans="2:25" x14ac:dyDescent="0.2">
      <c r="B1896" s="383"/>
      <c r="C1896" s="383"/>
      <c r="D1896" s="381">
        <f t="shared" si="297"/>
        <v>0</v>
      </c>
      <c r="E1896" s="383"/>
      <c r="F1896" s="382"/>
      <c r="G1896" s="381">
        <f t="shared" si="298"/>
        <v>0</v>
      </c>
      <c r="H1896" s="383"/>
      <c r="I1896" s="383"/>
      <c r="J1896" s="381">
        <f t="shared" si="299"/>
        <v>0</v>
      </c>
      <c r="K1896" s="383"/>
      <c r="L1896" s="383"/>
      <c r="M1896" s="381">
        <f t="shared" si="300"/>
        <v>0</v>
      </c>
      <c r="N1896" s="383"/>
      <c r="O1896" s="383"/>
      <c r="P1896" s="381">
        <f t="shared" si="301"/>
        <v>0</v>
      </c>
      <c r="Q1896" s="383"/>
      <c r="R1896" s="383"/>
      <c r="S1896" s="25">
        <f t="shared" si="302"/>
        <v>0</v>
      </c>
      <c r="T1896" s="383"/>
      <c r="U1896" s="383"/>
      <c r="V1896" s="381">
        <f t="shared" si="303"/>
        <v>0</v>
      </c>
      <c r="W1896" s="383"/>
      <c r="X1896" s="383"/>
      <c r="Y1896" s="381">
        <f t="shared" si="304"/>
        <v>0</v>
      </c>
    </row>
    <row r="1897" spans="2:25" x14ac:dyDescent="0.2">
      <c r="B1897" s="383"/>
      <c r="C1897" s="383"/>
      <c r="D1897" s="381">
        <f t="shared" si="297"/>
        <v>0</v>
      </c>
      <c r="E1897" s="383"/>
      <c r="F1897" s="382"/>
      <c r="G1897" s="381">
        <f t="shared" si="298"/>
        <v>0</v>
      </c>
      <c r="H1897" s="383"/>
      <c r="I1897" s="383"/>
      <c r="J1897" s="381">
        <f t="shared" si="299"/>
        <v>0</v>
      </c>
      <c r="K1897" s="383"/>
      <c r="L1897" s="383"/>
      <c r="M1897" s="381">
        <f t="shared" si="300"/>
        <v>0</v>
      </c>
      <c r="N1897" s="383"/>
      <c r="O1897" s="383"/>
      <c r="P1897" s="381">
        <f t="shared" si="301"/>
        <v>0</v>
      </c>
      <c r="Q1897" s="383"/>
      <c r="R1897" s="383"/>
      <c r="S1897" s="25">
        <f t="shared" si="302"/>
        <v>0</v>
      </c>
      <c r="T1897" s="383"/>
      <c r="U1897" s="383"/>
      <c r="V1897" s="381">
        <f t="shared" si="303"/>
        <v>0</v>
      </c>
      <c r="W1897" s="383"/>
      <c r="X1897" s="383"/>
      <c r="Y1897" s="381">
        <f t="shared" si="304"/>
        <v>0</v>
      </c>
    </row>
    <row r="1898" spans="2:25" x14ac:dyDescent="0.2">
      <c r="B1898" s="383"/>
      <c r="C1898" s="383"/>
      <c r="D1898" s="381">
        <f t="shared" si="297"/>
        <v>0</v>
      </c>
      <c r="E1898" s="383"/>
      <c r="F1898" s="382"/>
      <c r="G1898" s="381">
        <f t="shared" si="298"/>
        <v>0</v>
      </c>
      <c r="H1898" s="383"/>
      <c r="I1898" s="383"/>
      <c r="J1898" s="381">
        <f t="shared" si="299"/>
        <v>0</v>
      </c>
      <c r="K1898" s="383"/>
      <c r="L1898" s="383"/>
      <c r="M1898" s="381">
        <f t="shared" si="300"/>
        <v>0</v>
      </c>
      <c r="N1898" s="383"/>
      <c r="O1898" s="383"/>
      <c r="P1898" s="381">
        <f t="shared" si="301"/>
        <v>0</v>
      </c>
      <c r="Q1898" s="383"/>
      <c r="R1898" s="383"/>
      <c r="S1898" s="25">
        <f t="shared" si="302"/>
        <v>0</v>
      </c>
      <c r="T1898" s="383"/>
      <c r="U1898" s="383"/>
      <c r="V1898" s="381">
        <f t="shared" si="303"/>
        <v>0</v>
      </c>
      <c r="W1898" s="383"/>
      <c r="X1898" s="383"/>
      <c r="Y1898" s="381">
        <f t="shared" si="304"/>
        <v>0</v>
      </c>
    </row>
    <row r="1899" spans="2:25" x14ac:dyDescent="0.2">
      <c r="B1899" s="383"/>
      <c r="C1899" s="383"/>
      <c r="D1899" s="381">
        <f t="shared" si="297"/>
        <v>0</v>
      </c>
      <c r="E1899" s="383"/>
      <c r="F1899" s="382"/>
      <c r="G1899" s="381">
        <f t="shared" si="298"/>
        <v>0</v>
      </c>
      <c r="H1899" s="383"/>
      <c r="I1899" s="383"/>
      <c r="J1899" s="381">
        <f t="shared" si="299"/>
        <v>0</v>
      </c>
      <c r="K1899" s="383"/>
      <c r="L1899" s="383"/>
      <c r="M1899" s="381">
        <f t="shared" si="300"/>
        <v>0</v>
      </c>
      <c r="N1899" s="383"/>
      <c r="O1899" s="383"/>
      <c r="P1899" s="381">
        <f t="shared" si="301"/>
        <v>0</v>
      </c>
      <c r="Q1899" s="383"/>
      <c r="R1899" s="383"/>
      <c r="S1899" s="25">
        <f t="shared" si="302"/>
        <v>0</v>
      </c>
      <c r="T1899" s="383"/>
      <c r="U1899" s="383"/>
      <c r="V1899" s="381">
        <f t="shared" si="303"/>
        <v>0</v>
      </c>
      <c r="W1899" s="383"/>
      <c r="X1899" s="383"/>
      <c r="Y1899" s="381">
        <f t="shared" si="304"/>
        <v>0</v>
      </c>
    </row>
    <row r="1900" spans="2:25" x14ac:dyDescent="0.2">
      <c r="B1900" s="383"/>
      <c r="C1900" s="383"/>
      <c r="D1900" s="381">
        <f t="shared" si="297"/>
        <v>0</v>
      </c>
      <c r="E1900" s="383"/>
      <c r="F1900" s="382"/>
      <c r="G1900" s="381">
        <f t="shared" si="298"/>
        <v>0</v>
      </c>
      <c r="H1900" s="383"/>
      <c r="I1900" s="383"/>
      <c r="J1900" s="381">
        <f t="shared" si="299"/>
        <v>0</v>
      </c>
      <c r="K1900" s="383"/>
      <c r="L1900" s="383"/>
      <c r="M1900" s="381">
        <f t="shared" si="300"/>
        <v>0</v>
      </c>
      <c r="N1900" s="383"/>
      <c r="O1900" s="383"/>
      <c r="P1900" s="381">
        <f t="shared" si="301"/>
        <v>0</v>
      </c>
      <c r="Q1900" s="383"/>
      <c r="R1900" s="383"/>
      <c r="S1900" s="25">
        <f t="shared" si="302"/>
        <v>0</v>
      </c>
      <c r="T1900" s="383"/>
      <c r="U1900" s="383"/>
      <c r="V1900" s="381">
        <f t="shared" si="303"/>
        <v>0</v>
      </c>
      <c r="W1900" s="383"/>
      <c r="X1900" s="383"/>
      <c r="Y1900" s="381">
        <f t="shared" si="304"/>
        <v>0</v>
      </c>
    </row>
    <row r="1901" spans="2:25" x14ac:dyDescent="0.2">
      <c r="B1901" s="383"/>
      <c r="C1901" s="383"/>
      <c r="D1901" s="381">
        <f t="shared" si="297"/>
        <v>0</v>
      </c>
      <c r="E1901" s="383"/>
      <c r="F1901" s="382"/>
      <c r="G1901" s="381">
        <f t="shared" si="298"/>
        <v>0</v>
      </c>
      <c r="H1901" s="383"/>
      <c r="I1901" s="383"/>
      <c r="J1901" s="381">
        <f t="shared" si="299"/>
        <v>0</v>
      </c>
      <c r="K1901" s="383"/>
      <c r="L1901" s="383"/>
      <c r="M1901" s="381">
        <f t="shared" si="300"/>
        <v>0</v>
      </c>
      <c r="N1901" s="383"/>
      <c r="O1901" s="383"/>
      <c r="P1901" s="381">
        <f t="shared" si="301"/>
        <v>0</v>
      </c>
      <c r="Q1901" s="383"/>
      <c r="R1901" s="383"/>
      <c r="S1901" s="25">
        <f t="shared" si="302"/>
        <v>0</v>
      </c>
      <c r="T1901" s="383"/>
      <c r="U1901" s="383"/>
      <c r="V1901" s="381">
        <f t="shared" si="303"/>
        <v>0</v>
      </c>
      <c r="W1901" s="383"/>
      <c r="X1901" s="383"/>
      <c r="Y1901" s="381">
        <f t="shared" si="304"/>
        <v>0</v>
      </c>
    </row>
    <row r="1902" spans="2:25" x14ac:dyDescent="0.2">
      <c r="B1902" s="383"/>
      <c r="C1902" s="383"/>
      <c r="D1902" s="381">
        <f t="shared" si="297"/>
        <v>0</v>
      </c>
      <c r="E1902" s="383"/>
      <c r="F1902" s="382"/>
      <c r="G1902" s="381">
        <f t="shared" si="298"/>
        <v>0</v>
      </c>
      <c r="H1902" s="383"/>
      <c r="I1902" s="383"/>
      <c r="J1902" s="381">
        <f t="shared" si="299"/>
        <v>0</v>
      </c>
      <c r="K1902" s="383"/>
      <c r="L1902" s="383"/>
      <c r="M1902" s="381">
        <f t="shared" si="300"/>
        <v>0</v>
      </c>
      <c r="N1902" s="383"/>
      <c r="O1902" s="383"/>
      <c r="P1902" s="381">
        <f t="shared" si="301"/>
        <v>0</v>
      </c>
      <c r="Q1902" s="383"/>
      <c r="R1902" s="383"/>
      <c r="S1902" s="25">
        <f t="shared" si="302"/>
        <v>0</v>
      </c>
      <c r="T1902" s="383"/>
      <c r="U1902" s="383"/>
      <c r="V1902" s="381">
        <f t="shared" si="303"/>
        <v>0</v>
      </c>
      <c r="W1902" s="383"/>
      <c r="X1902" s="383"/>
      <c r="Y1902" s="381">
        <f t="shared" si="304"/>
        <v>0</v>
      </c>
    </row>
    <row r="1903" spans="2:25" x14ac:dyDescent="0.2">
      <c r="B1903" s="383"/>
      <c r="C1903" s="383"/>
      <c r="D1903" s="381">
        <f t="shared" si="297"/>
        <v>0</v>
      </c>
      <c r="E1903" s="383"/>
      <c r="F1903" s="382"/>
      <c r="G1903" s="381">
        <f t="shared" si="298"/>
        <v>0</v>
      </c>
      <c r="H1903" s="383"/>
      <c r="I1903" s="383"/>
      <c r="J1903" s="381">
        <f t="shared" si="299"/>
        <v>0</v>
      </c>
      <c r="K1903" s="383"/>
      <c r="L1903" s="383"/>
      <c r="M1903" s="381">
        <f t="shared" si="300"/>
        <v>0</v>
      </c>
      <c r="N1903" s="383"/>
      <c r="O1903" s="383"/>
      <c r="P1903" s="381">
        <f t="shared" si="301"/>
        <v>0</v>
      </c>
      <c r="Q1903" s="383"/>
      <c r="R1903" s="383"/>
      <c r="S1903" s="25">
        <f t="shared" si="302"/>
        <v>0</v>
      </c>
      <c r="T1903" s="383"/>
      <c r="U1903" s="383"/>
      <c r="V1903" s="381">
        <f t="shared" si="303"/>
        <v>0</v>
      </c>
      <c r="W1903" s="383"/>
      <c r="X1903" s="383"/>
      <c r="Y1903" s="381">
        <f t="shared" si="304"/>
        <v>0</v>
      </c>
    </row>
    <row r="1904" spans="2:25" x14ac:dyDescent="0.2">
      <c r="B1904" s="383"/>
      <c r="C1904" s="383"/>
      <c r="D1904" s="381">
        <f t="shared" si="297"/>
        <v>0</v>
      </c>
      <c r="E1904" s="383"/>
      <c r="F1904" s="382"/>
      <c r="G1904" s="381">
        <f t="shared" si="298"/>
        <v>0</v>
      </c>
      <c r="H1904" s="383"/>
      <c r="I1904" s="383"/>
      <c r="J1904" s="381">
        <f t="shared" si="299"/>
        <v>0</v>
      </c>
      <c r="K1904" s="383"/>
      <c r="L1904" s="383"/>
      <c r="M1904" s="381">
        <f t="shared" si="300"/>
        <v>0</v>
      </c>
      <c r="N1904" s="383"/>
      <c r="O1904" s="383"/>
      <c r="P1904" s="381">
        <f t="shared" si="301"/>
        <v>0</v>
      </c>
      <c r="Q1904" s="383"/>
      <c r="R1904" s="383"/>
      <c r="S1904" s="25">
        <f t="shared" si="302"/>
        <v>0</v>
      </c>
      <c r="T1904" s="383"/>
      <c r="U1904" s="383"/>
      <c r="V1904" s="381">
        <f t="shared" si="303"/>
        <v>0</v>
      </c>
      <c r="W1904" s="383"/>
      <c r="X1904" s="383"/>
      <c r="Y1904" s="381">
        <f t="shared" si="304"/>
        <v>0</v>
      </c>
    </row>
    <row r="1905" spans="2:25" x14ac:dyDescent="0.2">
      <c r="B1905" s="383"/>
      <c r="C1905" s="383"/>
      <c r="D1905" s="381">
        <f t="shared" si="297"/>
        <v>0</v>
      </c>
      <c r="E1905" s="383"/>
      <c r="F1905" s="382"/>
      <c r="G1905" s="381">
        <f t="shared" si="298"/>
        <v>0</v>
      </c>
      <c r="H1905" s="383"/>
      <c r="I1905" s="383"/>
      <c r="J1905" s="381">
        <f t="shared" si="299"/>
        <v>0</v>
      </c>
      <c r="K1905" s="383"/>
      <c r="L1905" s="383"/>
      <c r="M1905" s="381">
        <f t="shared" si="300"/>
        <v>0</v>
      </c>
      <c r="N1905" s="383"/>
      <c r="O1905" s="383"/>
      <c r="P1905" s="381">
        <f t="shared" si="301"/>
        <v>0</v>
      </c>
      <c r="Q1905" s="383"/>
      <c r="R1905" s="383"/>
      <c r="S1905" s="25">
        <f t="shared" si="302"/>
        <v>0</v>
      </c>
      <c r="T1905" s="383"/>
      <c r="U1905" s="383"/>
      <c r="V1905" s="381">
        <f t="shared" si="303"/>
        <v>0</v>
      </c>
      <c r="W1905" s="383"/>
      <c r="X1905" s="383"/>
      <c r="Y1905" s="381">
        <f t="shared" si="304"/>
        <v>0</v>
      </c>
    </row>
    <row r="1906" spans="2:25" x14ac:dyDescent="0.2">
      <c r="B1906" s="383"/>
      <c r="C1906" s="383"/>
      <c r="D1906" s="381">
        <f t="shared" si="297"/>
        <v>0</v>
      </c>
      <c r="E1906" s="383"/>
      <c r="F1906" s="382"/>
      <c r="G1906" s="381">
        <f t="shared" si="298"/>
        <v>0</v>
      </c>
      <c r="H1906" s="383"/>
      <c r="I1906" s="383"/>
      <c r="J1906" s="381">
        <f t="shared" si="299"/>
        <v>0</v>
      </c>
      <c r="K1906" s="383"/>
      <c r="L1906" s="383"/>
      <c r="M1906" s="381">
        <f t="shared" si="300"/>
        <v>0</v>
      </c>
      <c r="N1906" s="383"/>
      <c r="O1906" s="383"/>
      <c r="P1906" s="381">
        <f t="shared" si="301"/>
        <v>0</v>
      </c>
      <c r="Q1906" s="383"/>
      <c r="R1906" s="383"/>
      <c r="S1906" s="25">
        <f t="shared" si="302"/>
        <v>0</v>
      </c>
      <c r="T1906" s="383"/>
      <c r="U1906" s="383"/>
      <c r="V1906" s="381">
        <f t="shared" si="303"/>
        <v>0</v>
      </c>
      <c r="W1906" s="383"/>
      <c r="X1906" s="383"/>
      <c r="Y1906" s="381">
        <f t="shared" si="304"/>
        <v>0</v>
      </c>
    </row>
    <row r="1907" spans="2:25" x14ac:dyDescent="0.2">
      <c r="B1907" s="383"/>
      <c r="C1907" s="383"/>
      <c r="D1907" s="381">
        <f t="shared" si="297"/>
        <v>0</v>
      </c>
      <c r="E1907" s="383"/>
      <c r="F1907" s="382"/>
      <c r="G1907" s="381">
        <f t="shared" si="298"/>
        <v>0</v>
      </c>
      <c r="H1907" s="383"/>
      <c r="I1907" s="383"/>
      <c r="J1907" s="381">
        <f t="shared" si="299"/>
        <v>0</v>
      </c>
      <c r="K1907" s="383"/>
      <c r="L1907" s="383"/>
      <c r="M1907" s="381">
        <f t="shared" si="300"/>
        <v>0</v>
      </c>
      <c r="N1907" s="383"/>
      <c r="O1907" s="383"/>
      <c r="P1907" s="381">
        <f t="shared" si="301"/>
        <v>0</v>
      </c>
      <c r="Q1907" s="383"/>
      <c r="R1907" s="383"/>
      <c r="S1907" s="25">
        <f t="shared" si="302"/>
        <v>0</v>
      </c>
      <c r="T1907" s="383"/>
      <c r="U1907" s="383"/>
      <c r="V1907" s="381">
        <f t="shared" si="303"/>
        <v>0</v>
      </c>
      <c r="W1907" s="383"/>
      <c r="X1907" s="383"/>
      <c r="Y1907" s="381">
        <f t="shared" si="304"/>
        <v>0</v>
      </c>
    </row>
    <row r="1908" spans="2:25" x14ac:dyDescent="0.2">
      <c r="B1908" s="383"/>
      <c r="C1908" s="383"/>
      <c r="D1908" s="381">
        <f t="shared" si="297"/>
        <v>0</v>
      </c>
      <c r="E1908" s="383"/>
      <c r="F1908" s="382"/>
      <c r="G1908" s="381">
        <f t="shared" si="298"/>
        <v>0</v>
      </c>
      <c r="H1908" s="383"/>
      <c r="I1908" s="383"/>
      <c r="J1908" s="381">
        <f t="shared" si="299"/>
        <v>0</v>
      </c>
      <c r="K1908" s="383"/>
      <c r="L1908" s="383"/>
      <c r="M1908" s="381">
        <f t="shared" si="300"/>
        <v>0</v>
      </c>
      <c r="N1908" s="383"/>
      <c r="O1908" s="383"/>
      <c r="P1908" s="381">
        <f t="shared" si="301"/>
        <v>0</v>
      </c>
      <c r="Q1908" s="383"/>
      <c r="R1908" s="383"/>
      <c r="S1908" s="25">
        <f t="shared" si="302"/>
        <v>0</v>
      </c>
      <c r="T1908" s="383"/>
      <c r="U1908" s="383"/>
      <c r="V1908" s="381">
        <f t="shared" si="303"/>
        <v>0</v>
      </c>
      <c r="W1908" s="383"/>
      <c r="X1908" s="383"/>
      <c r="Y1908" s="381">
        <f t="shared" si="304"/>
        <v>0</v>
      </c>
    </row>
    <row r="1909" spans="2:25" x14ac:dyDescent="0.2">
      <c r="B1909" s="383"/>
      <c r="C1909" s="383"/>
      <c r="D1909" s="381">
        <f t="shared" si="297"/>
        <v>0</v>
      </c>
      <c r="E1909" s="383"/>
      <c r="F1909" s="382"/>
      <c r="G1909" s="381">
        <f t="shared" si="298"/>
        <v>0</v>
      </c>
      <c r="H1909" s="383"/>
      <c r="I1909" s="383"/>
      <c r="J1909" s="381">
        <f t="shared" si="299"/>
        <v>0</v>
      </c>
      <c r="K1909" s="383"/>
      <c r="L1909" s="383"/>
      <c r="M1909" s="381">
        <f t="shared" si="300"/>
        <v>0</v>
      </c>
      <c r="N1909" s="383"/>
      <c r="O1909" s="383"/>
      <c r="P1909" s="381">
        <f t="shared" si="301"/>
        <v>0</v>
      </c>
      <c r="Q1909" s="383"/>
      <c r="R1909" s="383"/>
      <c r="S1909" s="25">
        <f t="shared" si="302"/>
        <v>0</v>
      </c>
      <c r="T1909" s="383"/>
      <c r="U1909" s="383"/>
      <c r="V1909" s="381">
        <f t="shared" si="303"/>
        <v>0</v>
      </c>
      <c r="W1909" s="383"/>
      <c r="X1909" s="383"/>
      <c r="Y1909" s="381">
        <f t="shared" si="304"/>
        <v>0</v>
      </c>
    </row>
    <row r="1910" spans="2:25" x14ac:dyDescent="0.2">
      <c r="B1910" s="383"/>
      <c r="C1910" s="383"/>
      <c r="D1910" s="381">
        <f t="shared" si="297"/>
        <v>0</v>
      </c>
      <c r="E1910" s="383"/>
      <c r="F1910" s="382"/>
      <c r="G1910" s="381">
        <f t="shared" si="298"/>
        <v>0</v>
      </c>
      <c r="H1910" s="383"/>
      <c r="I1910" s="383"/>
      <c r="J1910" s="381">
        <f t="shared" si="299"/>
        <v>0</v>
      </c>
      <c r="K1910" s="383"/>
      <c r="L1910" s="383"/>
      <c r="M1910" s="381">
        <f t="shared" si="300"/>
        <v>0</v>
      </c>
      <c r="N1910" s="383"/>
      <c r="O1910" s="383"/>
      <c r="P1910" s="381">
        <f t="shared" si="301"/>
        <v>0</v>
      </c>
      <c r="Q1910" s="383"/>
      <c r="R1910" s="383"/>
      <c r="S1910" s="25">
        <f t="shared" si="302"/>
        <v>0</v>
      </c>
      <c r="T1910" s="383"/>
      <c r="U1910" s="383"/>
      <c r="V1910" s="381">
        <f t="shared" si="303"/>
        <v>0</v>
      </c>
      <c r="W1910" s="383"/>
      <c r="X1910" s="383"/>
      <c r="Y1910" s="381">
        <f t="shared" si="304"/>
        <v>0</v>
      </c>
    </row>
    <row r="1911" spans="2:25" x14ac:dyDescent="0.2">
      <c r="B1911" s="383"/>
      <c r="C1911" s="383"/>
      <c r="D1911" s="381">
        <f t="shared" si="297"/>
        <v>0</v>
      </c>
      <c r="E1911" s="383"/>
      <c r="F1911" s="382"/>
      <c r="G1911" s="381">
        <f t="shared" si="298"/>
        <v>0</v>
      </c>
      <c r="H1911" s="383"/>
      <c r="I1911" s="383"/>
      <c r="J1911" s="381">
        <f t="shared" si="299"/>
        <v>0</v>
      </c>
      <c r="K1911" s="383"/>
      <c r="L1911" s="383"/>
      <c r="M1911" s="381">
        <f t="shared" si="300"/>
        <v>0</v>
      </c>
      <c r="N1911" s="383"/>
      <c r="O1911" s="383"/>
      <c r="P1911" s="381">
        <f t="shared" si="301"/>
        <v>0</v>
      </c>
      <c r="Q1911" s="383"/>
      <c r="R1911" s="383"/>
      <c r="S1911" s="25">
        <f t="shared" si="302"/>
        <v>0</v>
      </c>
      <c r="T1911" s="383"/>
      <c r="U1911" s="383"/>
      <c r="V1911" s="381">
        <f t="shared" si="303"/>
        <v>0</v>
      </c>
      <c r="W1911" s="383"/>
      <c r="X1911" s="383"/>
      <c r="Y1911" s="381">
        <f t="shared" si="304"/>
        <v>0</v>
      </c>
    </row>
    <row r="1912" spans="2:25" x14ac:dyDescent="0.2">
      <c r="B1912" s="383"/>
      <c r="C1912" s="383"/>
      <c r="D1912" s="381">
        <f t="shared" si="297"/>
        <v>0</v>
      </c>
      <c r="E1912" s="383"/>
      <c r="F1912" s="382"/>
      <c r="G1912" s="381">
        <f t="shared" si="298"/>
        <v>0</v>
      </c>
      <c r="H1912" s="383"/>
      <c r="I1912" s="383"/>
      <c r="J1912" s="381">
        <f t="shared" si="299"/>
        <v>0</v>
      </c>
      <c r="K1912" s="383"/>
      <c r="L1912" s="383"/>
      <c r="M1912" s="381">
        <f t="shared" si="300"/>
        <v>0</v>
      </c>
      <c r="N1912" s="383"/>
      <c r="O1912" s="383"/>
      <c r="P1912" s="381">
        <f t="shared" si="301"/>
        <v>0</v>
      </c>
      <c r="Q1912" s="383"/>
      <c r="R1912" s="383"/>
      <c r="S1912" s="25">
        <f t="shared" si="302"/>
        <v>0</v>
      </c>
      <c r="T1912" s="383"/>
      <c r="U1912" s="383"/>
      <c r="V1912" s="381">
        <f t="shared" si="303"/>
        <v>0</v>
      </c>
      <c r="W1912" s="383"/>
      <c r="X1912" s="383"/>
      <c r="Y1912" s="381">
        <f t="shared" si="304"/>
        <v>0</v>
      </c>
    </row>
    <row r="1913" spans="2:25" x14ac:dyDescent="0.2">
      <c r="B1913" s="383"/>
      <c r="C1913" s="383"/>
      <c r="D1913" s="381">
        <f t="shared" si="297"/>
        <v>0</v>
      </c>
      <c r="E1913" s="383"/>
      <c r="F1913" s="382"/>
      <c r="G1913" s="381">
        <f t="shared" si="298"/>
        <v>0</v>
      </c>
      <c r="H1913" s="383"/>
      <c r="I1913" s="383"/>
      <c r="J1913" s="381">
        <f t="shared" si="299"/>
        <v>0</v>
      </c>
      <c r="K1913" s="383"/>
      <c r="L1913" s="383"/>
      <c r="M1913" s="381">
        <f t="shared" si="300"/>
        <v>0</v>
      </c>
      <c r="N1913" s="383"/>
      <c r="O1913" s="383"/>
      <c r="P1913" s="381">
        <f t="shared" si="301"/>
        <v>0</v>
      </c>
      <c r="Q1913" s="383"/>
      <c r="R1913" s="383"/>
      <c r="S1913" s="25">
        <f t="shared" si="302"/>
        <v>0</v>
      </c>
      <c r="T1913" s="383"/>
      <c r="U1913" s="383"/>
      <c r="V1913" s="381">
        <f t="shared" si="303"/>
        <v>0</v>
      </c>
      <c r="W1913" s="383"/>
      <c r="X1913" s="383"/>
      <c r="Y1913" s="381">
        <f t="shared" si="304"/>
        <v>0</v>
      </c>
    </row>
    <row r="1914" spans="2:25" x14ac:dyDescent="0.2">
      <c r="B1914" s="383"/>
      <c r="C1914" s="383"/>
      <c r="D1914" s="381">
        <f t="shared" si="297"/>
        <v>0</v>
      </c>
      <c r="E1914" s="383"/>
      <c r="F1914" s="382"/>
      <c r="G1914" s="381">
        <f t="shared" si="298"/>
        <v>0</v>
      </c>
      <c r="H1914" s="383"/>
      <c r="I1914" s="383"/>
      <c r="J1914" s="381">
        <f t="shared" si="299"/>
        <v>0</v>
      </c>
      <c r="K1914" s="383"/>
      <c r="L1914" s="383"/>
      <c r="M1914" s="381">
        <f t="shared" si="300"/>
        <v>0</v>
      </c>
      <c r="N1914" s="383"/>
      <c r="O1914" s="383"/>
      <c r="P1914" s="381">
        <f t="shared" si="301"/>
        <v>0</v>
      </c>
      <c r="Q1914" s="383"/>
      <c r="R1914" s="383"/>
      <c r="S1914" s="25">
        <f t="shared" si="302"/>
        <v>0</v>
      </c>
      <c r="T1914" s="383"/>
      <c r="U1914" s="383"/>
      <c r="V1914" s="381">
        <f t="shared" si="303"/>
        <v>0</v>
      </c>
      <c r="W1914" s="383"/>
      <c r="X1914" s="383"/>
      <c r="Y1914" s="381">
        <f t="shared" si="304"/>
        <v>0</v>
      </c>
    </row>
    <row r="1915" spans="2:25" x14ac:dyDescent="0.2">
      <c r="B1915" s="383"/>
      <c r="C1915" s="383"/>
      <c r="D1915" s="381">
        <f t="shared" si="297"/>
        <v>0</v>
      </c>
      <c r="E1915" s="383"/>
      <c r="F1915" s="382"/>
      <c r="G1915" s="381">
        <f t="shared" si="298"/>
        <v>0</v>
      </c>
      <c r="H1915" s="383"/>
      <c r="I1915" s="383"/>
      <c r="J1915" s="381">
        <f t="shared" si="299"/>
        <v>0</v>
      </c>
      <c r="K1915" s="383"/>
      <c r="L1915" s="383"/>
      <c r="M1915" s="381">
        <f t="shared" si="300"/>
        <v>0</v>
      </c>
      <c r="N1915" s="383"/>
      <c r="O1915" s="383"/>
      <c r="P1915" s="381">
        <f t="shared" si="301"/>
        <v>0</v>
      </c>
      <c r="Q1915" s="383"/>
      <c r="R1915" s="383"/>
      <c r="S1915" s="25">
        <f t="shared" si="302"/>
        <v>0</v>
      </c>
      <c r="T1915" s="383"/>
      <c r="U1915" s="383"/>
      <c r="V1915" s="381">
        <f t="shared" si="303"/>
        <v>0</v>
      </c>
      <c r="W1915" s="383"/>
      <c r="X1915" s="383"/>
      <c r="Y1915" s="381">
        <f t="shared" si="304"/>
        <v>0</v>
      </c>
    </row>
    <row r="1916" spans="2:25" x14ac:dyDescent="0.2">
      <c r="B1916" s="383"/>
      <c r="C1916" s="383"/>
      <c r="D1916" s="381">
        <f t="shared" si="297"/>
        <v>0</v>
      </c>
      <c r="E1916" s="383"/>
      <c r="F1916" s="382"/>
      <c r="G1916" s="381">
        <f t="shared" si="298"/>
        <v>0</v>
      </c>
      <c r="H1916" s="383"/>
      <c r="I1916" s="383"/>
      <c r="J1916" s="381">
        <f t="shared" si="299"/>
        <v>0</v>
      </c>
      <c r="K1916" s="383"/>
      <c r="L1916" s="383"/>
      <c r="M1916" s="381">
        <f t="shared" si="300"/>
        <v>0</v>
      </c>
      <c r="N1916" s="383"/>
      <c r="O1916" s="383"/>
      <c r="P1916" s="381">
        <f t="shared" si="301"/>
        <v>0</v>
      </c>
      <c r="Q1916" s="383"/>
      <c r="R1916" s="383"/>
      <c r="S1916" s="25">
        <f t="shared" si="302"/>
        <v>0</v>
      </c>
      <c r="T1916" s="383"/>
      <c r="U1916" s="383"/>
      <c r="V1916" s="381">
        <f t="shared" si="303"/>
        <v>0</v>
      </c>
      <c r="W1916" s="383"/>
      <c r="X1916" s="383"/>
      <c r="Y1916" s="381">
        <f t="shared" si="304"/>
        <v>0</v>
      </c>
    </row>
    <row r="1917" spans="2:25" x14ac:dyDescent="0.2">
      <c r="B1917" s="383"/>
      <c r="C1917" s="383"/>
      <c r="D1917" s="381">
        <f t="shared" si="297"/>
        <v>0</v>
      </c>
      <c r="E1917" s="383"/>
      <c r="F1917" s="382"/>
      <c r="G1917" s="381">
        <f t="shared" si="298"/>
        <v>0</v>
      </c>
      <c r="H1917" s="383"/>
      <c r="I1917" s="383"/>
      <c r="J1917" s="381">
        <f t="shared" si="299"/>
        <v>0</v>
      </c>
      <c r="K1917" s="383"/>
      <c r="L1917" s="383"/>
      <c r="M1917" s="381">
        <f t="shared" si="300"/>
        <v>0</v>
      </c>
      <c r="N1917" s="383"/>
      <c r="O1917" s="383"/>
      <c r="P1917" s="381">
        <f t="shared" si="301"/>
        <v>0</v>
      </c>
      <c r="Q1917" s="383"/>
      <c r="R1917" s="383"/>
      <c r="S1917" s="25">
        <f t="shared" si="302"/>
        <v>0</v>
      </c>
      <c r="T1917" s="383"/>
      <c r="U1917" s="383"/>
      <c r="V1917" s="381">
        <f t="shared" si="303"/>
        <v>0</v>
      </c>
      <c r="W1917" s="383"/>
      <c r="X1917" s="383"/>
      <c r="Y1917" s="381">
        <f t="shared" si="304"/>
        <v>0</v>
      </c>
    </row>
    <row r="1918" spans="2:25" x14ac:dyDescent="0.2">
      <c r="B1918" s="383"/>
      <c r="C1918" s="383"/>
      <c r="D1918" s="381">
        <f t="shared" si="297"/>
        <v>0</v>
      </c>
      <c r="E1918" s="383"/>
      <c r="F1918" s="382"/>
      <c r="G1918" s="381">
        <f t="shared" si="298"/>
        <v>0</v>
      </c>
      <c r="H1918" s="383"/>
      <c r="I1918" s="383"/>
      <c r="J1918" s="381">
        <f t="shared" si="299"/>
        <v>0</v>
      </c>
      <c r="K1918" s="383"/>
      <c r="L1918" s="383"/>
      <c r="M1918" s="381">
        <f t="shared" si="300"/>
        <v>0</v>
      </c>
      <c r="N1918" s="383"/>
      <c r="O1918" s="383"/>
      <c r="P1918" s="381">
        <f t="shared" si="301"/>
        <v>0</v>
      </c>
      <c r="Q1918" s="383"/>
      <c r="R1918" s="383"/>
      <c r="S1918" s="25">
        <f t="shared" si="302"/>
        <v>0</v>
      </c>
      <c r="T1918" s="383"/>
      <c r="U1918" s="383"/>
      <c r="V1918" s="381">
        <f t="shared" si="303"/>
        <v>0</v>
      </c>
      <c r="W1918" s="383"/>
      <c r="X1918" s="383"/>
      <c r="Y1918" s="381">
        <f t="shared" si="304"/>
        <v>0</v>
      </c>
    </row>
    <row r="1919" spans="2:25" x14ac:dyDescent="0.2">
      <c r="B1919" s="383"/>
      <c r="C1919" s="383"/>
      <c r="D1919" s="381">
        <f t="shared" si="297"/>
        <v>0</v>
      </c>
      <c r="E1919" s="383"/>
      <c r="F1919" s="382"/>
      <c r="G1919" s="381">
        <f t="shared" si="298"/>
        <v>0</v>
      </c>
      <c r="H1919" s="383"/>
      <c r="I1919" s="383"/>
      <c r="J1919" s="381">
        <f t="shared" si="299"/>
        <v>0</v>
      </c>
      <c r="K1919" s="383"/>
      <c r="L1919" s="383"/>
      <c r="M1919" s="381">
        <f t="shared" si="300"/>
        <v>0</v>
      </c>
      <c r="N1919" s="383"/>
      <c r="O1919" s="383"/>
      <c r="P1919" s="381">
        <f t="shared" si="301"/>
        <v>0</v>
      </c>
      <c r="Q1919" s="383"/>
      <c r="R1919" s="383"/>
      <c r="S1919" s="25">
        <f t="shared" si="302"/>
        <v>0</v>
      </c>
      <c r="T1919" s="383"/>
      <c r="U1919" s="383"/>
      <c r="V1919" s="381">
        <f t="shared" si="303"/>
        <v>0</v>
      </c>
      <c r="W1919" s="383"/>
      <c r="X1919" s="383"/>
      <c r="Y1919" s="381">
        <f t="shared" si="304"/>
        <v>0</v>
      </c>
    </row>
    <row r="1920" spans="2:25" x14ac:dyDescent="0.2">
      <c r="B1920" s="383"/>
      <c r="C1920" s="383"/>
      <c r="D1920" s="381">
        <f t="shared" si="297"/>
        <v>0</v>
      </c>
      <c r="E1920" s="383"/>
      <c r="F1920" s="382"/>
      <c r="G1920" s="381">
        <f t="shared" si="298"/>
        <v>0</v>
      </c>
      <c r="H1920" s="383"/>
      <c r="I1920" s="383"/>
      <c r="J1920" s="381">
        <f t="shared" si="299"/>
        <v>0</v>
      </c>
      <c r="K1920" s="383"/>
      <c r="L1920" s="383"/>
      <c r="M1920" s="381">
        <f t="shared" si="300"/>
        <v>0</v>
      </c>
      <c r="N1920" s="383"/>
      <c r="O1920" s="383"/>
      <c r="P1920" s="381">
        <f t="shared" si="301"/>
        <v>0</v>
      </c>
      <c r="Q1920" s="383"/>
      <c r="R1920" s="383"/>
      <c r="S1920" s="25">
        <f t="shared" si="302"/>
        <v>0</v>
      </c>
      <c r="T1920" s="383"/>
      <c r="U1920" s="383"/>
      <c r="V1920" s="381">
        <f t="shared" si="303"/>
        <v>0</v>
      </c>
      <c r="W1920" s="383"/>
      <c r="X1920" s="383"/>
      <c r="Y1920" s="381">
        <f t="shared" si="304"/>
        <v>0</v>
      </c>
    </row>
    <row r="1921" spans="2:25" x14ac:dyDescent="0.2">
      <c r="B1921" s="383"/>
      <c r="C1921" s="383"/>
      <c r="D1921" s="381">
        <f t="shared" si="297"/>
        <v>0</v>
      </c>
      <c r="E1921" s="383"/>
      <c r="F1921" s="382"/>
      <c r="G1921" s="381">
        <f t="shared" si="298"/>
        <v>0</v>
      </c>
      <c r="H1921" s="383"/>
      <c r="I1921" s="383"/>
      <c r="J1921" s="381">
        <f t="shared" si="299"/>
        <v>0</v>
      </c>
      <c r="K1921" s="383"/>
      <c r="L1921" s="383"/>
      <c r="M1921" s="381">
        <f t="shared" si="300"/>
        <v>0</v>
      </c>
      <c r="N1921" s="383"/>
      <c r="O1921" s="383"/>
      <c r="P1921" s="381">
        <f t="shared" si="301"/>
        <v>0</v>
      </c>
      <c r="Q1921" s="383"/>
      <c r="R1921" s="383"/>
      <c r="S1921" s="25">
        <f t="shared" si="302"/>
        <v>0</v>
      </c>
      <c r="T1921" s="383"/>
      <c r="U1921" s="383"/>
      <c r="V1921" s="381">
        <f t="shared" si="303"/>
        <v>0</v>
      </c>
      <c r="W1921" s="383"/>
      <c r="X1921" s="383"/>
      <c r="Y1921" s="381">
        <f t="shared" si="304"/>
        <v>0</v>
      </c>
    </row>
    <row r="1922" spans="2:25" x14ac:dyDescent="0.2">
      <c r="B1922" s="383"/>
      <c r="C1922" s="383"/>
      <c r="D1922" s="381">
        <f t="shared" si="297"/>
        <v>0</v>
      </c>
      <c r="E1922" s="383"/>
      <c r="F1922" s="382"/>
      <c r="G1922" s="381">
        <f t="shared" si="298"/>
        <v>0</v>
      </c>
      <c r="H1922" s="383"/>
      <c r="I1922" s="383"/>
      <c r="J1922" s="381">
        <f t="shared" si="299"/>
        <v>0</v>
      </c>
      <c r="K1922" s="383"/>
      <c r="L1922" s="383"/>
      <c r="M1922" s="381">
        <f t="shared" si="300"/>
        <v>0</v>
      </c>
      <c r="N1922" s="383"/>
      <c r="O1922" s="383"/>
      <c r="P1922" s="381">
        <f t="shared" si="301"/>
        <v>0</v>
      </c>
      <c r="Q1922" s="383"/>
      <c r="R1922" s="383"/>
      <c r="S1922" s="25">
        <f t="shared" si="302"/>
        <v>0</v>
      </c>
      <c r="T1922" s="383"/>
      <c r="U1922" s="383"/>
      <c r="V1922" s="381">
        <f t="shared" si="303"/>
        <v>0</v>
      </c>
      <c r="W1922" s="383"/>
      <c r="X1922" s="383"/>
      <c r="Y1922" s="381">
        <f t="shared" si="304"/>
        <v>0</v>
      </c>
    </row>
    <row r="1923" spans="2:25" x14ac:dyDescent="0.2">
      <c r="B1923" s="383"/>
      <c r="C1923" s="383"/>
      <c r="D1923" s="381">
        <f t="shared" si="297"/>
        <v>0</v>
      </c>
      <c r="E1923" s="383"/>
      <c r="F1923" s="382"/>
      <c r="G1923" s="381">
        <f t="shared" si="298"/>
        <v>0</v>
      </c>
      <c r="H1923" s="383"/>
      <c r="I1923" s="383"/>
      <c r="J1923" s="381">
        <f t="shared" si="299"/>
        <v>0</v>
      </c>
      <c r="K1923" s="383"/>
      <c r="L1923" s="383"/>
      <c r="M1923" s="381">
        <f t="shared" si="300"/>
        <v>0</v>
      </c>
      <c r="N1923" s="383"/>
      <c r="O1923" s="383"/>
      <c r="P1923" s="381">
        <f t="shared" si="301"/>
        <v>0</v>
      </c>
      <c r="Q1923" s="383"/>
      <c r="R1923" s="383"/>
      <c r="S1923" s="25">
        <f t="shared" si="302"/>
        <v>0</v>
      </c>
      <c r="T1923" s="383"/>
      <c r="U1923" s="383"/>
      <c r="V1923" s="381">
        <f t="shared" si="303"/>
        <v>0</v>
      </c>
      <c r="W1923" s="383"/>
      <c r="X1923" s="383"/>
      <c r="Y1923" s="381">
        <f t="shared" si="304"/>
        <v>0</v>
      </c>
    </row>
    <row r="1924" spans="2:25" x14ac:dyDescent="0.2">
      <c r="B1924" s="383"/>
      <c r="C1924" s="383"/>
      <c r="D1924" s="381">
        <f t="shared" si="297"/>
        <v>0</v>
      </c>
      <c r="E1924" s="383"/>
      <c r="F1924" s="382"/>
      <c r="G1924" s="381">
        <f t="shared" si="298"/>
        <v>0</v>
      </c>
      <c r="H1924" s="383"/>
      <c r="I1924" s="383"/>
      <c r="J1924" s="381">
        <f t="shared" si="299"/>
        <v>0</v>
      </c>
      <c r="K1924" s="383"/>
      <c r="L1924" s="383"/>
      <c r="M1924" s="381">
        <f t="shared" si="300"/>
        <v>0</v>
      </c>
      <c r="N1924" s="383"/>
      <c r="O1924" s="383"/>
      <c r="P1924" s="381">
        <f t="shared" si="301"/>
        <v>0</v>
      </c>
      <c r="Q1924" s="383"/>
      <c r="R1924" s="383"/>
      <c r="S1924" s="25">
        <f t="shared" si="302"/>
        <v>0</v>
      </c>
      <c r="T1924" s="383"/>
      <c r="U1924" s="383"/>
      <c r="V1924" s="381">
        <f t="shared" si="303"/>
        <v>0</v>
      </c>
      <c r="W1924" s="383"/>
      <c r="X1924" s="383"/>
      <c r="Y1924" s="381">
        <f t="shared" si="304"/>
        <v>0</v>
      </c>
    </row>
    <row r="1925" spans="2:25" x14ac:dyDescent="0.2">
      <c r="B1925" s="383"/>
      <c r="C1925" s="383"/>
      <c r="D1925" s="381">
        <f t="shared" si="297"/>
        <v>0</v>
      </c>
      <c r="E1925" s="383"/>
      <c r="F1925" s="382"/>
      <c r="G1925" s="381">
        <f t="shared" si="298"/>
        <v>0</v>
      </c>
      <c r="H1925" s="383"/>
      <c r="I1925" s="383"/>
      <c r="J1925" s="381">
        <f t="shared" si="299"/>
        <v>0</v>
      </c>
      <c r="K1925" s="383"/>
      <c r="L1925" s="383"/>
      <c r="M1925" s="381">
        <f t="shared" si="300"/>
        <v>0</v>
      </c>
      <c r="N1925" s="383"/>
      <c r="O1925" s="383"/>
      <c r="P1925" s="381">
        <f t="shared" si="301"/>
        <v>0</v>
      </c>
      <c r="Q1925" s="383"/>
      <c r="R1925" s="383"/>
      <c r="S1925" s="25">
        <f t="shared" si="302"/>
        <v>0</v>
      </c>
      <c r="T1925" s="383"/>
      <c r="U1925" s="383"/>
      <c r="V1925" s="381">
        <f t="shared" si="303"/>
        <v>0</v>
      </c>
      <c r="W1925" s="383"/>
      <c r="X1925" s="383"/>
      <c r="Y1925" s="381">
        <f t="shared" si="304"/>
        <v>0</v>
      </c>
    </row>
    <row r="1926" spans="2:25" x14ac:dyDescent="0.2">
      <c r="B1926" s="383"/>
      <c r="C1926" s="383"/>
      <c r="D1926" s="381">
        <f t="shared" si="297"/>
        <v>0</v>
      </c>
      <c r="E1926" s="383"/>
      <c r="F1926" s="382"/>
      <c r="G1926" s="381">
        <f t="shared" si="298"/>
        <v>0</v>
      </c>
      <c r="H1926" s="383"/>
      <c r="I1926" s="383"/>
      <c r="J1926" s="381">
        <f t="shared" si="299"/>
        <v>0</v>
      </c>
      <c r="K1926" s="383"/>
      <c r="L1926" s="383"/>
      <c r="M1926" s="381">
        <f t="shared" si="300"/>
        <v>0</v>
      </c>
      <c r="N1926" s="383"/>
      <c r="O1926" s="383"/>
      <c r="P1926" s="381">
        <f t="shared" si="301"/>
        <v>0</v>
      </c>
      <c r="Q1926" s="383"/>
      <c r="R1926" s="383"/>
      <c r="S1926" s="25">
        <f t="shared" si="302"/>
        <v>0</v>
      </c>
      <c r="T1926" s="383"/>
      <c r="U1926" s="383"/>
      <c r="V1926" s="381">
        <f t="shared" si="303"/>
        <v>0</v>
      </c>
      <c r="W1926" s="383"/>
      <c r="X1926" s="383"/>
      <c r="Y1926" s="381">
        <f t="shared" si="304"/>
        <v>0</v>
      </c>
    </row>
    <row r="1927" spans="2:25" x14ac:dyDescent="0.2">
      <c r="B1927" s="383"/>
      <c r="C1927" s="383"/>
      <c r="D1927" s="381">
        <f t="shared" si="297"/>
        <v>0</v>
      </c>
      <c r="E1927" s="383"/>
      <c r="F1927" s="382"/>
      <c r="G1927" s="381">
        <f t="shared" si="298"/>
        <v>0</v>
      </c>
      <c r="H1927" s="383"/>
      <c r="I1927" s="383"/>
      <c r="J1927" s="381">
        <f t="shared" si="299"/>
        <v>0</v>
      </c>
      <c r="K1927" s="383"/>
      <c r="L1927" s="383"/>
      <c r="M1927" s="381">
        <f t="shared" si="300"/>
        <v>0</v>
      </c>
      <c r="N1927" s="383"/>
      <c r="O1927" s="383"/>
      <c r="P1927" s="381">
        <f t="shared" si="301"/>
        <v>0</v>
      </c>
      <c r="Q1927" s="383"/>
      <c r="R1927" s="383"/>
      <c r="S1927" s="25">
        <f t="shared" si="302"/>
        <v>0</v>
      </c>
      <c r="T1927" s="383"/>
      <c r="U1927" s="383"/>
      <c r="V1927" s="381">
        <f t="shared" si="303"/>
        <v>0</v>
      </c>
      <c r="W1927" s="383"/>
      <c r="X1927" s="383"/>
      <c r="Y1927" s="381">
        <f t="shared" si="304"/>
        <v>0</v>
      </c>
    </row>
    <row r="1928" spans="2:25" x14ac:dyDescent="0.2">
      <c r="B1928" s="383"/>
      <c r="C1928" s="383"/>
      <c r="D1928" s="381">
        <f t="shared" si="297"/>
        <v>0</v>
      </c>
      <c r="E1928" s="383"/>
      <c r="F1928" s="382"/>
      <c r="G1928" s="381">
        <f t="shared" si="298"/>
        <v>0</v>
      </c>
      <c r="H1928" s="383"/>
      <c r="I1928" s="383"/>
      <c r="J1928" s="381">
        <f t="shared" si="299"/>
        <v>0</v>
      </c>
      <c r="K1928" s="383"/>
      <c r="L1928" s="383"/>
      <c r="M1928" s="381">
        <f t="shared" si="300"/>
        <v>0</v>
      </c>
      <c r="N1928" s="383"/>
      <c r="O1928" s="383"/>
      <c r="P1928" s="381">
        <f t="shared" si="301"/>
        <v>0</v>
      </c>
      <c r="Q1928" s="383"/>
      <c r="R1928" s="383"/>
      <c r="S1928" s="25">
        <f t="shared" si="302"/>
        <v>0</v>
      </c>
      <c r="T1928" s="383"/>
      <c r="U1928" s="383"/>
      <c r="V1928" s="381">
        <f t="shared" si="303"/>
        <v>0</v>
      </c>
      <c r="W1928" s="383"/>
      <c r="X1928" s="383"/>
      <c r="Y1928" s="381">
        <f t="shared" si="304"/>
        <v>0</v>
      </c>
    </row>
    <row r="1929" spans="2:25" x14ac:dyDescent="0.2">
      <c r="B1929" s="383"/>
      <c r="C1929" s="383"/>
      <c r="D1929" s="381">
        <f t="shared" si="297"/>
        <v>0</v>
      </c>
      <c r="E1929" s="383"/>
      <c r="F1929" s="382"/>
      <c r="G1929" s="381">
        <f t="shared" si="298"/>
        <v>0</v>
      </c>
      <c r="H1929" s="383"/>
      <c r="I1929" s="383"/>
      <c r="J1929" s="381">
        <f t="shared" si="299"/>
        <v>0</v>
      </c>
      <c r="K1929" s="383"/>
      <c r="L1929" s="383"/>
      <c r="M1929" s="381">
        <f t="shared" si="300"/>
        <v>0</v>
      </c>
      <c r="N1929" s="383"/>
      <c r="O1929" s="383"/>
      <c r="P1929" s="381">
        <f t="shared" si="301"/>
        <v>0</v>
      </c>
      <c r="Q1929" s="383"/>
      <c r="R1929" s="383"/>
      <c r="S1929" s="25">
        <f t="shared" si="302"/>
        <v>0</v>
      </c>
      <c r="T1929" s="383"/>
      <c r="U1929" s="383"/>
      <c r="V1929" s="381">
        <f t="shared" si="303"/>
        <v>0</v>
      </c>
      <c r="W1929" s="383"/>
      <c r="X1929" s="383"/>
      <c r="Y1929" s="381">
        <f t="shared" si="304"/>
        <v>0</v>
      </c>
    </row>
    <row r="1930" spans="2:25" x14ac:dyDescent="0.2">
      <c r="B1930" s="383"/>
      <c r="C1930" s="383"/>
      <c r="D1930" s="381">
        <f t="shared" si="297"/>
        <v>0</v>
      </c>
      <c r="E1930" s="383"/>
      <c r="F1930" s="382"/>
      <c r="G1930" s="381">
        <f t="shared" si="298"/>
        <v>0</v>
      </c>
      <c r="H1930" s="383"/>
      <c r="I1930" s="383"/>
      <c r="J1930" s="381">
        <f t="shared" si="299"/>
        <v>0</v>
      </c>
      <c r="K1930" s="383"/>
      <c r="L1930" s="383"/>
      <c r="M1930" s="381">
        <f t="shared" si="300"/>
        <v>0</v>
      </c>
      <c r="N1930" s="383"/>
      <c r="O1930" s="383"/>
      <c r="P1930" s="381">
        <f t="shared" si="301"/>
        <v>0</v>
      </c>
      <c r="Q1930" s="383"/>
      <c r="R1930" s="383"/>
      <c r="S1930" s="25">
        <f t="shared" si="302"/>
        <v>0</v>
      </c>
      <c r="T1930" s="383"/>
      <c r="U1930" s="383"/>
      <c r="V1930" s="381">
        <f t="shared" si="303"/>
        <v>0</v>
      </c>
      <c r="W1930" s="383"/>
      <c r="X1930" s="383"/>
      <c r="Y1930" s="381">
        <f t="shared" si="304"/>
        <v>0</v>
      </c>
    </row>
    <row r="1931" spans="2:25" x14ac:dyDescent="0.2">
      <c r="B1931" s="383"/>
      <c r="C1931" s="383"/>
      <c r="D1931" s="381">
        <f t="shared" si="297"/>
        <v>0</v>
      </c>
      <c r="E1931" s="383"/>
      <c r="F1931" s="382"/>
      <c r="G1931" s="381">
        <f t="shared" si="298"/>
        <v>0</v>
      </c>
      <c r="H1931" s="383"/>
      <c r="I1931" s="383"/>
      <c r="J1931" s="381">
        <f t="shared" si="299"/>
        <v>0</v>
      </c>
      <c r="K1931" s="383"/>
      <c r="L1931" s="383"/>
      <c r="M1931" s="381">
        <f t="shared" si="300"/>
        <v>0</v>
      </c>
      <c r="N1931" s="383"/>
      <c r="O1931" s="383"/>
      <c r="P1931" s="381">
        <f t="shared" si="301"/>
        <v>0</v>
      </c>
      <c r="Q1931" s="383"/>
      <c r="R1931" s="383"/>
      <c r="S1931" s="25">
        <f t="shared" si="302"/>
        <v>0</v>
      </c>
      <c r="T1931" s="383"/>
      <c r="U1931" s="383"/>
      <c r="V1931" s="381">
        <f t="shared" si="303"/>
        <v>0</v>
      </c>
      <c r="W1931" s="383"/>
      <c r="X1931" s="383"/>
      <c r="Y1931" s="381">
        <f t="shared" si="304"/>
        <v>0</v>
      </c>
    </row>
    <row r="1932" spans="2:25" x14ac:dyDescent="0.2">
      <c r="B1932" s="383"/>
      <c r="C1932" s="383"/>
      <c r="D1932" s="381">
        <f t="shared" si="297"/>
        <v>0</v>
      </c>
      <c r="E1932" s="383"/>
      <c r="F1932" s="382"/>
      <c r="G1932" s="381">
        <f t="shared" si="298"/>
        <v>0</v>
      </c>
      <c r="H1932" s="383"/>
      <c r="I1932" s="383"/>
      <c r="J1932" s="381">
        <f t="shared" si="299"/>
        <v>0</v>
      </c>
      <c r="K1932" s="383"/>
      <c r="L1932" s="383"/>
      <c r="M1932" s="381">
        <f t="shared" si="300"/>
        <v>0</v>
      </c>
      <c r="N1932" s="383"/>
      <c r="O1932" s="383"/>
      <c r="P1932" s="381">
        <f t="shared" si="301"/>
        <v>0</v>
      </c>
      <c r="Q1932" s="383"/>
      <c r="R1932" s="383"/>
      <c r="S1932" s="25">
        <f t="shared" si="302"/>
        <v>0</v>
      </c>
      <c r="T1932" s="383"/>
      <c r="U1932" s="383"/>
      <c r="V1932" s="381">
        <f t="shared" si="303"/>
        <v>0</v>
      </c>
      <c r="W1932" s="383"/>
      <c r="X1932" s="383"/>
      <c r="Y1932" s="381">
        <f t="shared" si="304"/>
        <v>0</v>
      </c>
    </row>
    <row r="1933" spans="2:25" x14ac:dyDescent="0.2">
      <c r="B1933" s="383"/>
      <c r="C1933" s="383"/>
      <c r="D1933" s="381">
        <f t="shared" si="297"/>
        <v>0</v>
      </c>
      <c r="E1933" s="383"/>
      <c r="F1933" s="382"/>
      <c r="G1933" s="381">
        <f t="shared" si="298"/>
        <v>0</v>
      </c>
      <c r="H1933" s="383"/>
      <c r="I1933" s="383"/>
      <c r="J1933" s="381">
        <f t="shared" si="299"/>
        <v>0</v>
      </c>
      <c r="K1933" s="383"/>
      <c r="L1933" s="383"/>
      <c r="M1933" s="381">
        <f t="shared" si="300"/>
        <v>0</v>
      </c>
      <c r="N1933" s="383"/>
      <c r="O1933" s="383"/>
      <c r="P1933" s="381">
        <f t="shared" si="301"/>
        <v>0</v>
      </c>
      <c r="Q1933" s="383"/>
      <c r="R1933" s="383"/>
      <c r="S1933" s="25">
        <f t="shared" si="302"/>
        <v>0</v>
      </c>
      <c r="T1933" s="383"/>
      <c r="U1933" s="383"/>
      <c r="V1933" s="381">
        <f t="shared" si="303"/>
        <v>0</v>
      </c>
      <c r="W1933" s="383"/>
      <c r="X1933" s="383"/>
      <c r="Y1933" s="381">
        <f t="shared" si="304"/>
        <v>0</v>
      </c>
    </row>
    <row r="1934" spans="2:25" x14ac:dyDescent="0.2">
      <c r="B1934" s="383"/>
      <c r="C1934" s="383"/>
      <c r="D1934" s="381">
        <f t="shared" si="297"/>
        <v>0</v>
      </c>
      <c r="E1934" s="383"/>
      <c r="F1934" s="382"/>
      <c r="G1934" s="381">
        <f t="shared" si="298"/>
        <v>0</v>
      </c>
      <c r="H1934" s="383"/>
      <c r="I1934" s="383"/>
      <c r="J1934" s="381">
        <f t="shared" si="299"/>
        <v>0</v>
      </c>
      <c r="K1934" s="383"/>
      <c r="L1934" s="383"/>
      <c r="M1934" s="381">
        <f t="shared" si="300"/>
        <v>0</v>
      </c>
      <c r="N1934" s="383"/>
      <c r="O1934" s="383"/>
      <c r="P1934" s="381">
        <f t="shared" si="301"/>
        <v>0</v>
      </c>
      <c r="Q1934" s="383"/>
      <c r="R1934" s="383"/>
      <c r="S1934" s="25">
        <f t="shared" si="302"/>
        <v>0</v>
      </c>
      <c r="T1934" s="383"/>
      <c r="U1934" s="383"/>
      <c r="V1934" s="381">
        <f t="shared" si="303"/>
        <v>0</v>
      </c>
      <c r="W1934" s="383"/>
      <c r="X1934" s="383"/>
      <c r="Y1934" s="381">
        <f t="shared" si="304"/>
        <v>0</v>
      </c>
    </row>
    <row r="1935" spans="2:25" x14ac:dyDescent="0.2">
      <c r="B1935" s="383"/>
      <c r="C1935" s="383"/>
      <c r="D1935" s="381">
        <f t="shared" si="297"/>
        <v>0</v>
      </c>
      <c r="E1935" s="383"/>
      <c r="F1935" s="382"/>
      <c r="G1935" s="381">
        <f t="shared" si="298"/>
        <v>0</v>
      </c>
      <c r="H1935" s="383"/>
      <c r="I1935" s="383"/>
      <c r="J1935" s="381">
        <f t="shared" si="299"/>
        <v>0</v>
      </c>
      <c r="K1935" s="383"/>
      <c r="L1935" s="383"/>
      <c r="M1935" s="381">
        <f t="shared" si="300"/>
        <v>0</v>
      </c>
      <c r="N1935" s="383"/>
      <c r="O1935" s="383"/>
      <c r="P1935" s="381">
        <f t="shared" si="301"/>
        <v>0</v>
      </c>
      <c r="Q1935" s="383"/>
      <c r="R1935" s="383"/>
      <c r="S1935" s="25">
        <f t="shared" si="302"/>
        <v>0</v>
      </c>
      <c r="T1935" s="383"/>
      <c r="U1935" s="383"/>
      <c r="V1935" s="381">
        <f t="shared" si="303"/>
        <v>0</v>
      </c>
      <c r="W1935" s="383"/>
      <c r="X1935" s="383"/>
      <c r="Y1935" s="381">
        <f t="shared" si="304"/>
        <v>0</v>
      </c>
    </row>
    <row r="1936" spans="2:25" x14ac:dyDescent="0.2">
      <c r="B1936" s="383"/>
      <c r="C1936" s="383"/>
      <c r="D1936" s="381">
        <f t="shared" si="297"/>
        <v>0</v>
      </c>
      <c r="E1936" s="383"/>
      <c r="F1936" s="382"/>
      <c r="G1936" s="381">
        <f t="shared" si="298"/>
        <v>0</v>
      </c>
      <c r="H1936" s="383"/>
      <c r="I1936" s="383"/>
      <c r="J1936" s="381">
        <f t="shared" si="299"/>
        <v>0</v>
      </c>
      <c r="K1936" s="383"/>
      <c r="L1936" s="383"/>
      <c r="M1936" s="381">
        <f t="shared" si="300"/>
        <v>0</v>
      </c>
      <c r="N1936" s="383"/>
      <c r="O1936" s="383"/>
      <c r="P1936" s="381">
        <f t="shared" si="301"/>
        <v>0</v>
      </c>
      <c r="Q1936" s="383"/>
      <c r="R1936" s="383"/>
      <c r="S1936" s="25">
        <f t="shared" si="302"/>
        <v>0</v>
      </c>
      <c r="T1936" s="383"/>
      <c r="U1936" s="383"/>
      <c r="V1936" s="381">
        <f t="shared" si="303"/>
        <v>0</v>
      </c>
      <c r="W1936" s="383"/>
      <c r="X1936" s="383"/>
      <c r="Y1936" s="381">
        <f t="shared" si="304"/>
        <v>0</v>
      </c>
    </row>
    <row r="1937" spans="2:25" x14ac:dyDescent="0.2">
      <c r="B1937" s="383"/>
      <c r="C1937" s="383"/>
      <c r="D1937" s="381">
        <f t="shared" si="297"/>
        <v>0</v>
      </c>
      <c r="E1937" s="383"/>
      <c r="F1937" s="382"/>
      <c r="G1937" s="381">
        <f t="shared" si="298"/>
        <v>0</v>
      </c>
      <c r="H1937" s="383"/>
      <c r="I1937" s="383"/>
      <c r="J1937" s="381">
        <f t="shared" si="299"/>
        <v>0</v>
      </c>
      <c r="K1937" s="383"/>
      <c r="L1937" s="383"/>
      <c r="M1937" s="381">
        <f t="shared" si="300"/>
        <v>0</v>
      </c>
      <c r="N1937" s="383"/>
      <c r="O1937" s="383"/>
      <c r="P1937" s="381">
        <f t="shared" si="301"/>
        <v>0</v>
      </c>
      <c r="Q1937" s="383"/>
      <c r="R1937" s="383"/>
      <c r="S1937" s="25">
        <f t="shared" si="302"/>
        <v>0</v>
      </c>
      <c r="T1937" s="383"/>
      <c r="U1937" s="383"/>
      <c r="V1937" s="381">
        <f t="shared" si="303"/>
        <v>0</v>
      </c>
      <c r="W1937" s="383"/>
      <c r="X1937" s="383"/>
      <c r="Y1937" s="381">
        <f t="shared" si="304"/>
        <v>0</v>
      </c>
    </row>
    <row r="1938" spans="2:25" x14ac:dyDescent="0.2">
      <c r="B1938" s="383"/>
      <c r="C1938" s="383"/>
      <c r="D1938" s="381">
        <f t="shared" ref="D1938:D2001" si="305">C1938</f>
        <v>0</v>
      </c>
      <c r="E1938" s="383"/>
      <c r="F1938" s="382"/>
      <c r="G1938" s="381">
        <f t="shared" ref="G1938:G2001" si="306">F1938+$AB$2</f>
        <v>0</v>
      </c>
      <c r="H1938" s="383"/>
      <c r="I1938" s="383"/>
      <c r="J1938" s="381">
        <f t="shared" ref="J1938:J2001" si="307">I1938+$AB$3</f>
        <v>0</v>
      </c>
      <c r="K1938" s="383"/>
      <c r="L1938" s="383"/>
      <c r="M1938" s="381">
        <f t="shared" ref="M1938:M2001" si="308">L1938+$AB$4</f>
        <v>0</v>
      </c>
      <c r="N1938" s="383"/>
      <c r="O1938" s="383"/>
      <c r="P1938" s="381">
        <f t="shared" ref="P1938:P2001" si="309">O1938+$AB$5</f>
        <v>0</v>
      </c>
      <c r="Q1938" s="383"/>
      <c r="R1938" s="383"/>
      <c r="S1938" s="25">
        <f t="shared" ref="S1938:S2001" si="310">R1938+$AB$6</f>
        <v>0</v>
      </c>
      <c r="T1938" s="383"/>
      <c r="U1938" s="383"/>
      <c r="V1938" s="381">
        <f t="shared" ref="V1938:V2001" si="311">U1938+$AB$7</f>
        <v>0</v>
      </c>
      <c r="W1938" s="383"/>
      <c r="X1938" s="383"/>
      <c r="Y1938" s="381">
        <f t="shared" ref="Y1938:Y2001" si="312">X1938+$AB$8</f>
        <v>0</v>
      </c>
    </row>
    <row r="1939" spans="2:25" x14ac:dyDescent="0.2">
      <c r="B1939" s="383"/>
      <c r="C1939" s="383"/>
      <c r="D1939" s="381">
        <f t="shared" si="305"/>
        <v>0</v>
      </c>
      <c r="E1939" s="383"/>
      <c r="F1939" s="382"/>
      <c r="G1939" s="381">
        <f t="shared" si="306"/>
        <v>0</v>
      </c>
      <c r="H1939" s="383"/>
      <c r="I1939" s="383"/>
      <c r="J1939" s="381">
        <f t="shared" si="307"/>
        <v>0</v>
      </c>
      <c r="K1939" s="383"/>
      <c r="L1939" s="383"/>
      <c r="M1939" s="381">
        <f t="shared" si="308"/>
        <v>0</v>
      </c>
      <c r="N1939" s="383"/>
      <c r="O1939" s="383"/>
      <c r="P1939" s="381">
        <f t="shared" si="309"/>
        <v>0</v>
      </c>
      <c r="Q1939" s="383"/>
      <c r="R1939" s="383"/>
      <c r="S1939" s="25">
        <f t="shared" si="310"/>
        <v>0</v>
      </c>
      <c r="T1939" s="383"/>
      <c r="U1939" s="383"/>
      <c r="V1939" s="381">
        <f t="shared" si="311"/>
        <v>0</v>
      </c>
      <c r="W1939" s="383"/>
      <c r="X1939" s="383"/>
      <c r="Y1939" s="381">
        <f t="shared" si="312"/>
        <v>0</v>
      </c>
    </row>
    <row r="1940" spans="2:25" x14ac:dyDescent="0.2">
      <c r="B1940" s="383"/>
      <c r="C1940" s="383"/>
      <c r="D1940" s="381">
        <f t="shared" si="305"/>
        <v>0</v>
      </c>
      <c r="E1940" s="383"/>
      <c r="F1940" s="382"/>
      <c r="G1940" s="381">
        <f t="shared" si="306"/>
        <v>0</v>
      </c>
      <c r="H1940" s="383"/>
      <c r="I1940" s="383"/>
      <c r="J1940" s="381">
        <f t="shared" si="307"/>
        <v>0</v>
      </c>
      <c r="K1940" s="383"/>
      <c r="L1940" s="383"/>
      <c r="M1940" s="381">
        <f t="shared" si="308"/>
        <v>0</v>
      </c>
      <c r="N1940" s="383"/>
      <c r="O1940" s="383"/>
      <c r="P1940" s="381">
        <f t="shared" si="309"/>
        <v>0</v>
      </c>
      <c r="Q1940" s="383"/>
      <c r="R1940" s="383"/>
      <c r="S1940" s="25">
        <f t="shared" si="310"/>
        <v>0</v>
      </c>
      <c r="T1940" s="383"/>
      <c r="U1940" s="383"/>
      <c r="V1940" s="381">
        <f t="shared" si="311"/>
        <v>0</v>
      </c>
      <c r="W1940" s="383"/>
      <c r="X1940" s="383"/>
      <c r="Y1940" s="381">
        <f t="shared" si="312"/>
        <v>0</v>
      </c>
    </row>
    <row r="1941" spans="2:25" x14ac:dyDescent="0.2">
      <c r="B1941" s="383"/>
      <c r="C1941" s="383"/>
      <c r="D1941" s="381">
        <f t="shared" si="305"/>
        <v>0</v>
      </c>
      <c r="E1941" s="383"/>
      <c r="F1941" s="382"/>
      <c r="G1941" s="381">
        <f t="shared" si="306"/>
        <v>0</v>
      </c>
      <c r="H1941" s="383"/>
      <c r="I1941" s="383"/>
      <c r="J1941" s="381">
        <f t="shared" si="307"/>
        <v>0</v>
      </c>
      <c r="K1941" s="383"/>
      <c r="L1941" s="383"/>
      <c r="M1941" s="381">
        <f t="shared" si="308"/>
        <v>0</v>
      </c>
      <c r="N1941" s="383"/>
      <c r="O1941" s="383"/>
      <c r="P1941" s="381">
        <f t="shared" si="309"/>
        <v>0</v>
      </c>
      <c r="Q1941" s="383"/>
      <c r="R1941" s="383"/>
      <c r="S1941" s="25">
        <f t="shared" si="310"/>
        <v>0</v>
      </c>
      <c r="T1941" s="383"/>
      <c r="U1941" s="383"/>
      <c r="V1941" s="381">
        <f t="shared" si="311"/>
        <v>0</v>
      </c>
      <c r="W1941" s="383"/>
      <c r="X1941" s="383"/>
      <c r="Y1941" s="381">
        <f t="shared" si="312"/>
        <v>0</v>
      </c>
    </row>
    <row r="1942" spans="2:25" x14ac:dyDescent="0.2">
      <c r="B1942" s="383"/>
      <c r="C1942" s="383"/>
      <c r="D1942" s="381">
        <f t="shared" si="305"/>
        <v>0</v>
      </c>
      <c r="E1942" s="383"/>
      <c r="F1942" s="382"/>
      <c r="G1942" s="381">
        <f t="shared" si="306"/>
        <v>0</v>
      </c>
      <c r="H1942" s="383"/>
      <c r="I1942" s="383"/>
      <c r="J1942" s="381">
        <f t="shared" si="307"/>
        <v>0</v>
      </c>
      <c r="K1942" s="383"/>
      <c r="L1942" s="383"/>
      <c r="M1942" s="381">
        <f t="shared" si="308"/>
        <v>0</v>
      </c>
      <c r="N1942" s="383"/>
      <c r="O1942" s="383"/>
      <c r="P1942" s="381">
        <f t="shared" si="309"/>
        <v>0</v>
      </c>
      <c r="Q1942" s="383"/>
      <c r="R1942" s="383"/>
      <c r="S1942" s="25">
        <f t="shared" si="310"/>
        <v>0</v>
      </c>
      <c r="T1942" s="383"/>
      <c r="U1942" s="383"/>
      <c r="V1942" s="381">
        <f t="shared" si="311"/>
        <v>0</v>
      </c>
      <c r="W1942" s="383"/>
      <c r="X1942" s="383"/>
      <c r="Y1942" s="381">
        <f t="shared" si="312"/>
        <v>0</v>
      </c>
    </row>
    <row r="1943" spans="2:25" x14ac:dyDescent="0.2">
      <c r="B1943" s="383"/>
      <c r="C1943" s="383"/>
      <c r="D1943" s="381">
        <f t="shared" si="305"/>
        <v>0</v>
      </c>
      <c r="E1943" s="383"/>
      <c r="F1943" s="382"/>
      <c r="G1943" s="381">
        <f t="shared" si="306"/>
        <v>0</v>
      </c>
      <c r="H1943" s="383"/>
      <c r="I1943" s="383"/>
      <c r="J1943" s="381">
        <f t="shared" si="307"/>
        <v>0</v>
      </c>
      <c r="K1943" s="383"/>
      <c r="L1943" s="383"/>
      <c r="M1943" s="381">
        <f t="shared" si="308"/>
        <v>0</v>
      </c>
      <c r="N1943" s="383"/>
      <c r="O1943" s="383"/>
      <c r="P1943" s="381">
        <f t="shared" si="309"/>
        <v>0</v>
      </c>
      <c r="Q1943" s="383"/>
      <c r="R1943" s="383"/>
      <c r="S1943" s="25">
        <f t="shared" si="310"/>
        <v>0</v>
      </c>
      <c r="T1943" s="383"/>
      <c r="U1943" s="383"/>
      <c r="V1943" s="381">
        <f t="shared" si="311"/>
        <v>0</v>
      </c>
      <c r="W1943" s="383"/>
      <c r="X1943" s="383"/>
      <c r="Y1943" s="381">
        <f t="shared" si="312"/>
        <v>0</v>
      </c>
    </row>
    <row r="1944" spans="2:25" x14ac:dyDescent="0.2">
      <c r="B1944" s="383"/>
      <c r="C1944" s="383"/>
      <c r="D1944" s="381">
        <f t="shared" si="305"/>
        <v>0</v>
      </c>
      <c r="E1944" s="383"/>
      <c r="F1944" s="382"/>
      <c r="G1944" s="381">
        <f t="shared" si="306"/>
        <v>0</v>
      </c>
      <c r="H1944" s="383"/>
      <c r="I1944" s="383"/>
      <c r="J1944" s="381">
        <f t="shared" si="307"/>
        <v>0</v>
      </c>
      <c r="K1944" s="383"/>
      <c r="L1944" s="383"/>
      <c r="M1944" s="381">
        <f t="shared" si="308"/>
        <v>0</v>
      </c>
      <c r="N1944" s="383"/>
      <c r="O1944" s="383"/>
      <c r="P1944" s="381">
        <f t="shared" si="309"/>
        <v>0</v>
      </c>
      <c r="Q1944" s="383"/>
      <c r="R1944" s="383"/>
      <c r="S1944" s="25">
        <f t="shared" si="310"/>
        <v>0</v>
      </c>
      <c r="T1944" s="383"/>
      <c r="U1944" s="383"/>
      <c r="V1944" s="381">
        <f t="shared" si="311"/>
        <v>0</v>
      </c>
      <c r="W1944" s="383"/>
      <c r="X1944" s="383"/>
      <c r="Y1944" s="381">
        <f t="shared" si="312"/>
        <v>0</v>
      </c>
    </row>
    <row r="1945" spans="2:25" x14ac:dyDescent="0.2">
      <c r="B1945" s="383"/>
      <c r="C1945" s="383"/>
      <c r="D1945" s="381">
        <f t="shared" si="305"/>
        <v>0</v>
      </c>
      <c r="E1945" s="383"/>
      <c r="F1945" s="382"/>
      <c r="G1945" s="381">
        <f t="shared" si="306"/>
        <v>0</v>
      </c>
      <c r="H1945" s="383"/>
      <c r="I1945" s="383"/>
      <c r="J1945" s="381">
        <f t="shared" si="307"/>
        <v>0</v>
      </c>
      <c r="K1945" s="383"/>
      <c r="L1945" s="383"/>
      <c r="M1945" s="381">
        <f t="shared" si="308"/>
        <v>0</v>
      </c>
      <c r="N1945" s="383"/>
      <c r="O1945" s="383"/>
      <c r="P1945" s="381">
        <f t="shared" si="309"/>
        <v>0</v>
      </c>
      <c r="Q1945" s="383"/>
      <c r="R1945" s="383"/>
      <c r="S1945" s="25">
        <f t="shared" si="310"/>
        <v>0</v>
      </c>
      <c r="T1945" s="383"/>
      <c r="U1945" s="383"/>
      <c r="V1945" s="381">
        <f t="shared" si="311"/>
        <v>0</v>
      </c>
      <c r="W1945" s="383"/>
      <c r="X1945" s="383"/>
      <c r="Y1945" s="381">
        <f t="shared" si="312"/>
        <v>0</v>
      </c>
    </row>
    <row r="1946" spans="2:25" x14ac:dyDescent="0.2">
      <c r="B1946" s="383"/>
      <c r="C1946" s="383"/>
      <c r="D1946" s="381">
        <f t="shared" si="305"/>
        <v>0</v>
      </c>
      <c r="E1946" s="383"/>
      <c r="F1946" s="382"/>
      <c r="G1946" s="381">
        <f t="shared" si="306"/>
        <v>0</v>
      </c>
      <c r="H1946" s="383"/>
      <c r="I1946" s="383"/>
      <c r="J1946" s="381">
        <f t="shared" si="307"/>
        <v>0</v>
      </c>
      <c r="K1946" s="383"/>
      <c r="L1946" s="383"/>
      <c r="M1946" s="381">
        <f t="shared" si="308"/>
        <v>0</v>
      </c>
      <c r="N1946" s="383"/>
      <c r="O1946" s="383"/>
      <c r="P1946" s="381">
        <f t="shared" si="309"/>
        <v>0</v>
      </c>
      <c r="Q1946" s="383"/>
      <c r="R1946" s="383"/>
      <c r="S1946" s="25">
        <f t="shared" si="310"/>
        <v>0</v>
      </c>
      <c r="T1946" s="383"/>
      <c r="U1946" s="383"/>
      <c r="V1946" s="381">
        <f t="shared" si="311"/>
        <v>0</v>
      </c>
      <c r="W1946" s="383"/>
      <c r="X1946" s="383"/>
      <c r="Y1946" s="381">
        <f t="shared" si="312"/>
        <v>0</v>
      </c>
    </row>
    <row r="1947" spans="2:25" x14ac:dyDescent="0.2">
      <c r="B1947" s="383"/>
      <c r="C1947" s="383"/>
      <c r="D1947" s="381">
        <f t="shared" si="305"/>
        <v>0</v>
      </c>
      <c r="E1947" s="383"/>
      <c r="F1947" s="382"/>
      <c r="G1947" s="381">
        <f t="shared" si="306"/>
        <v>0</v>
      </c>
      <c r="H1947" s="383"/>
      <c r="I1947" s="383"/>
      <c r="J1947" s="381">
        <f t="shared" si="307"/>
        <v>0</v>
      </c>
      <c r="K1947" s="383"/>
      <c r="L1947" s="383"/>
      <c r="M1947" s="381">
        <f t="shared" si="308"/>
        <v>0</v>
      </c>
      <c r="N1947" s="383"/>
      <c r="O1947" s="383"/>
      <c r="P1947" s="381">
        <f t="shared" si="309"/>
        <v>0</v>
      </c>
      <c r="Q1947" s="383"/>
      <c r="R1947" s="383"/>
      <c r="S1947" s="25">
        <f t="shared" si="310"/>
        <v>0</v>
      </c>
      <c r="T1947" s="383"/>
      <c r="U1947" s="383"/>
      <c r="V1947" s="381">
        <f t="shared" si="311"/>
        <v>0</v>
      </c>
      <c r="W1947" s="383"/>
      <c r="X1947" s="383"/>
      <c r="Y1947" s="381">
        <f t="shared" si="312"/>
        <v>0</v>
      </c>
    </row>
    <row r="1948" spans="2:25" x14ac:dyDescent="0.2">
      <c r="B1948" s="383"/>
      <c r="C1948" s="383"/>
      <c r="D1948" s="381">
        <f t="shared" si="305"/>
        <v>0</v>
      </c>
      <c r="E1948" s="383"/>
      <c r="F1948" s="382"/>
      <c r="G1948" s="381">
        <f t="shared" si="306"/>
        <v>0</v>
      </c>
      <c r="H1948" s="383"/>
      <c r="I1948" s="383"/>
      <c r="J1948" s="381">
        <f t="shared" si="307"/>
        <v>0</v>
      </c>
      <c r="K1948" s="383"/>
      <c r="L1948" s="383"/>
      <c r="M1948" s="381">
        <f t="shared" si="308"/>
        <v>0</v>
      </c>
      <c r="N1948" s="383"/>
      <c r="O1948" s="383"/>
      <c r="P1948" s="381">
        <f t="shared" si="309"/>
        <v>0</v>
      </c>
      <c r="Q1948" s="383"/>
      <c r="R1948" s="383"/>
      <c r="S1948" s="25">
        <f t="shared" si="310"/>
        <v>0</v>
      </c>
      <c r="T1948" s="383"/>
      <c r="U1948" s="383"/>
      <c r="V1948" s="381">
        <f t="shared" si="311"/>
        <v>0</v>
      </c>
      <c r="W1948" s="383"/>
      <c r="X1948" s="383"/>
      <c r="Y1948" s="381">
        <f t="shared" si="312"/>
        <v>0</v>
      </c>
    </row>
    <row r="1949" spans="2:25" x14ac:dyDescent="0.2">
      <c r="B1949" s="383"/>
      <c r="C1949" s="383"/>
      <c r="D1949" s="381">
        <f t="shared" si="305"/>
        <v>0</v>
      </c>
      <c r="E1949" s="383"/>
      <c r="F1949" s="382"/>
      <c r="G1949" s="381">
        <f t="shared" si="306"/>
        <v>0</v>
      </c>
      <c r="H1949" s="383"/>
      <c r="I1949" s="383"/>
      <c r="J1949" s="381">
        <f t="shared" si="307"/>
        <v>0</v>
      </c>
      <c r="K1949" s="383"/>
      <c r="L1949" s="383"/>
      <c r="M1949" s="381">
        <f t="shared" si="308"/>
        <v>0</v>
      </c>
      <c r="N1949" s="383"/>
      <c r="O1949" s="383"/>
      <c r="P1949" s="381">
        <f t="shared" si="309"/>
        <v>0</v>
      </c>
      <c r="Q1949" s="383"/>
      <c r="R1949" s="383"/>
      <c r="S1949" s="25">
        <f t="shared" si="310"/>
        <v>0</v>
      </c>
      <c r="T1949" s="383"/>
      <c r="U1949" s="383"/>
      <c r="V1949" s="381">
        <f t="shared" si="311"/>
        <v>0</v>
      </c>
      <c r="W1949" s="383"/>
      <c r="X1949" s="383"/>
      <c r="Y1949" s="381">
        <f t="shared" si="312"/>
        <v>0</v>
      </c>
    </row>
    <row r="1950" spans="2:25" x14ac:dyDescent="0.2">
      <c r="B1950" s="383"/>
      <c r="C1950" s="383"/>
      <c r="D1950" s="381">
        <f t="shared" si="305"/>
        <v>0</v>
      </c>
      <c r="E1950" s="383"/>
      <c r="F1950" s="382"/>
      <c r="G1950" s="381">
        <f t="shared" si="306"/>
        <v>0</v>
      </c>
      <c r="H1950" s="383"/>
      <c r="I1950" s="383"/>
      <c r="J1950" s="381">
        <f t="shared" si="307"/>
        <v>0</v>
      </c>
      <c r="K1950" s="383"/>
      <c r="L1950" s="383"/>
      <c r="M1950" s="381">
        <f t="shared" si="308"/>
        <v>0</v>
      </c>
      <c r="N1950" s="383"/>
      <c r="O1950" s="383"/>
      <c r="P1950" s="381">
        <f t="shared" si="309"/>
        <v>0</v>
      </c>
      <c r="Q1950" s="383"/>
      <c r="R1950" s="383"/>
      <c r="S1950" s="25">
        <f t="shared" si="310"/>
        <v>0</v>
      </c>
      <c r="T1950" s="383"/>
      <c r="U1950" s="383"/>
      <c r="V1950" s="381">
        <f t="shared" si="311"/>
        <v>0</v>
      </c>
      <c r="W1950" s="383"/>
      <c r="X1950" s="383"/>
      <c r="Y1950" s="381">
        <f t="shared" si="312"/>
        <v>0</v>
      </c>
    </row>
    <row r="1951" spans="2:25" x14ac:dyDescent="0.2">
      <c r="B1951" s="383"/>
      <c r="C1951" s="383"/>
      <c r="D1951" s="381">
        <f t="shared" si="305"/>
        <v>0</v>
      </c>
      <c r="E1951" s="383"/>
      <c r="F1951" s="382"/>
      <c r="G1951" s="381">
        <f t="shared" si="306"/>
        <v>0</v>
      </c>
      <c r="H1951" s="383"/>
      <c r="I1951" s="383"/>
      <c r="J1951" s="381">
        <f t="shared" si="307"/>
        <v>0</v>
      </c>
      <c r="K1951" s="383"/>
      <c r="L1951" s="383"/>
      <c r="M1951" s="381">
        <f t="shared" si="308"/>
        <v>0</v>
      </c>
      <c r="N1951" s="383"/>
      <c r="O1951" s="383"/>
      <c r="P1951" s="381">
        <f t="shared" si="309"/>
        <v>0</v>
      </c>
      <c r="Q1951" s="383"/>
      <c r="R1951" s="383"/>
      <c r="S1951" s="25">
        <f t="shared" si="310"/>
        <v>0</v>
      </c>
      <c r="T1951" s="383"/>
      <c r="U1951" s="383"/>
      <c r="V1951" s="381">
        <f t="shared" si="311"/>
        <v>0</v>
      </c>
      <c r="W1951" s="383"/>
      <c r="X1951" s="383"/>
      <c r="Y1951" s="381">
        <f t="shared" si="312"/>
        <v>0</v>
      </c>
    </row>
    <row r="1952" spans="2:25" x14ac:dyDescent="0.2">
      <c r="B1952" s="383"/>
      <c r="C1952" s="383"/>
      <c r="D1952" s="381">
        <f t="shared" si="305"/>
        <v>0</v>
      </c>
      <c r="E1952" s="383"/>
      <c r="F1952" s="382"/>
      <c r="G1952" s="381">
        <f t="shared" si="306"/>
        <v>0</v>
      </c>
      <c r="H1952" s="383"/>
      <c r="I1952" s="383"/>
      <c r="J1952" s="381">
        <f t="shared" si="307"/>
        <v>0</v>
      </c>
      <c r="K1952" s="383"/>
      <c r="L1952" s="383"/>
      <c r="M1952" s="381">
        <f t="shared" si="308"/>
        <v>0</v>
      </c>
      <c r="N1952" s="383"/>
      <c r="O1952" s="383"/>
      <c r="P1952" s="381">
        <f t="shared" si="309"/>
        <v>0</v>
      </c>
      <c r="Q1952" s="383"/>
      <c r="R1952" s="383"/>
      <c r="S1952" s="25">
        <f t="shared" si="310"/>
        <v>0</v>
      </c>
      <c r="T1952" s="383"/>
      <c r="U1952" s="383"/>
      <c r="V1952" s="381">
        <f t="shared" si="311"/>
        <v>0</v>
      </c>
      <c r="W1952" s="383"/>
      <c r="X1952" s="383"/>
      <c r="Y1952" s="381">
        <f t="shared" si="312"/>
        <v>0</v>
      </c>
    </row>
    <row r="1953" spans="2:25" x14ac:dyDescent="0.2">
      <c r="B1953" s="383"/>
      <c r="C1953" s="383"/>
      <c r="D1953" s="381">
        <f t="shared" si="305"/>
        <v>0</v>
      </c>
      <c r="E1953" s="383"/>
      <c r="F1953" s="382"/>
      <c r="G1953" s="381">
        <f t="shared" si="306"/>
        <v>0</v>
      </c>
      <c r="H1953" s="383"/>
      <c r="I1953" s="383"/>
      <c r="J1953" s="381">
        <f t="shared" si="307"/>
        <v>0</v>
      </c>
      <c r="K1953" s="383"/>
      <c r="L1953" s="383"/>
      <c r="M1953" s="381">
        <f t="shared" si="308"/>
        <v>0</v>
      </c>
      <c r="N1953" s="383"/>
      <c r="O1953" s="383"/>
      <c r="P1953" s="381">
        <f t="shared" si="309"/>
        <v>0</v>
      </c>
      <c r="Q1953" s="383"/>
      <c r="R1953" s="383"/>
      <c r="S1953" s="25">
        <f t="shared" si="310"/>
        <v>0</v>
      </c>
      <c r="T1953" s="383"/>
      <c r="U1953" s="383"/>
      <c r="V1953" s="381">
        <f t="shared" si="311"/>
        <v>0</v>
      </c>
      <c r="W1953" s="383"/>
      <c r="X1953" s="383"/>
      <c r="Y1953" s="381">
        <f t="shared" si="312"/>
        <v>0</v>
      </c>
    </row>
    <row r="1954" spans="2:25" x14ac:dyDescent="0.2">
      <c r="B1954" s="383"/>
      <c r="C1954" s="383"/>
      <c r="D1954" s="381">
        <f t="shared" si="305"/>
        <v>0</v>
      </c>
      <c r="E1954" s="383"/>
      <c r="F1954" s="382"/>
      <c r="G1954" s="381">
        <f t="shared" si="306"/>
        <v>0</v>
      </c>
      <c r="H1954" s="383"/>
      <c r="I1954" s="383"/>
      <c r="J1954" s="381">
        <f t="shared" si="307"/>
        <v>0</v>
      </c>
      <c r="K1954" s="383"/>
      <c r="L1954" s="383"/>
      <c r="M1954" s="381">
        <f t="shared" si="308"/>
        <v>0</v>
      </c>
      <c r="N1954" s="383"/>
      <c r="O1954" s="383"/>
      <c r="P1954" s="381">
        <f t="shared" si="309"/>
        <v>0</v>
      </c>
      <c r="Q1954" s="383"/>
      <c r="R1954" s="383"/>
      <c r="S1954" s="25">
        <f t="shared" si="310"/>
        <v>0</v>
      </c>
      <c r="T1954" s="383"/>
      <c r="U1954" s="383"/>
      <c r="V1954" s="381">
        <f t="shared" si="311"/>
        <v>0</v>
      </c>
      <c r="W1954" s="383"/>
      <c r="X1954" s="383"/>
      <c r="Y1954" s="381">
        <f t="shared" si="312"/>
        <v>0</v>
      </c>
    </row>
    <row r="1955" spans="2:25" x14ac:dyDescent="0.2">
      <c r="B1955" s="383"/>
      <c r="C1955" s="383"/>
      <c r="D1955" s="381">
        <f t="shared" si="305"/>
        <v>0</v>
      </c>
      <c r="E1955" s="383"/>
      <c r="F1955" s="382"/>
      <c r="G1955" s="381">
        <f t="shared" si="306"/>
        <v>0</v>
      </c>
      <c r="H1955" s="383"/>
      <c r="I1955" s="383"/>
      <c r="J1955" s="381">
        <f t="shared" si="307"/>
        <v>0</v>
      </c>
      <c r="K1955" s="383"/>
      <c r="L1955" s="383"/>
      <c r="M1955" s="381">
        <f t="shared" si="308"/>
        <v>0</v>
      </c>
      <c r="N1955" s="383"/>
      <c r="O1955" s="383"/>
      <c r="P1955" s="381">
        <f t="shared" si="309"/>
        <v>0</v>
      </c>
      <c r="Q1955" s="383"/>
      <c r="R1955" s="383"/>
      <c r="S1955" s="25">
        <f t="shared" si="310"/>
        <v>0</v>
      </c>
      <c r="T1955" s="383"/>
      <c r="U1955" s="383"/>
      <c r="V1955" s="381">
        <f t="shared" si="311"/>
        <v>0</v>
      </c>
      <c r="W1955" s="383"/>
      <c r="X1955" s="383"/>
      <c r="Y1955" s="381">
        <f t="shared" si="312"/>
        <v>0</v>
      </c>
    </row>
    <row r="1956" spans="2:25" x14ac:dyDescent="0.2">
      <c r="B1956" s="383"/>
      <c r="C1956" s="383"/>
      <c r="D1956" s="381">
        <f t="shared" si="305"/>
        <v>0</v>
      </c>
      <c r="E1956" s="383"/>
      <c r="F1956" s="382"/>
      <c r="G1956" s="381">
        <f t="shared" si="306"/>
        <v>0</v>
      </c>
      <c r="H1956" s="383"/>
      <c r="I1956" s="383"/>
      <c r="J1956" s="381">
        <f t="shared" si="307"/>
        <v>0</v>
      </c>
      <c r="K1956" s="383"/>
      <c r="L1956" s="383"/>
      <c r="M1956" s="381">
        <f t="shared" si="308"/>
        <v>0</v>
      </c>
      <c r="N1956" s="383"/>
      <c r="O1956" s="383"/>
      <c r="P1956" s="381">
        <f t="shared" si="309"/>
        <v>0</v>
      </c>
      <c r="Q1956" s="383"/>
      <c r="R1956" s="383"/>
      <c r="S1956" s="25">
        <f t="shared" si="310"/>
        <v>0</v>
      </c>
      <c r="T1956" s="383"/>
      <c r="U1956" s="383"/>
      <c r="V1956" s="381">
        <f t="shared" si="311"/>
        <v>0</v>
      </c>
      <c r="W1956" s="383"/>
      <c r="X1956" s="383"/>
      <c r="Y1956" s="381">
        <f t="shared" si="312"/>
        <v>0</v>
      </c>
    </row>
    <row r="1957" spans="2:25" x14ac:dyDescent="0.2">
      <c r="B1957" s="383"/>
      <c r="C1957" s="383"/>
      <c r="D1957" s="381">
        <f t="shared" si="305"/>
        <v>0</v>
      </c>
      <c r="E1957" s="383"/>
      <c r="F1957" s="382"/>
      <c r="G1957" s="381">
        <f t="shared" si="306"/>
        <v>0</v>
      </c>
      <c r="H1957" s="383"/>
      <c r="I1957" s="383"/>
      <c r="J1957" s="381">
        <f t="shared" si="307"/>
        <v>0</v>
      </c>
      <c r="K1957" s="383"/>
      <c r="L1957" s="383"/>
      <c r="M1957" s="381">
        <f t="shared" si="308"/>
        <v>0</v>
      </c>
      <c r="N1957" s="383"/>
      <c r="O1957" s="383"/>
      <c r="P1957" s="381">
        <f t="shared" si="309"/>
        <v>0</v>
      </c>
      <c r="Q1957" s="383"/>
      <c r="R1957" s="383"/>
      <c r="S1957" s="25">
        <f t="shared" si="310"/>
        <v>0</v>
      </c>
      <c r="T1957" s="383"/>
      <c r="U1957" s="383"/>
      <c r="V1957" s="381">
        <f t="shared" si="311"/>
        <v>0</v>
      </c>
      <c r="W1957" s="383"/>
      <c r="X1957" s="383"/>
      <c r="Y1957" s="381">
        <f t="shared" si="312"/>
        <v>0</v>
      </c>
    </row>
    <row r="1958" spans="2:25" x14ac:dyDescent="0.2">
      <c r="B1958" s="383"/>
      <c r="C1958" s="383"/>
      <c r="D1958" s="381">
        <f t="shared" si="305"/>
        <v>0</v>
      </c>
      <c r="E1958" s="383"/>
      <c r="F1958" s="382"/>
      <c r="G1958" s="381">
        <f t="shared" si="306"/>
        <v>0</v>
      </c>
      <c r="H1958" s="383"/>
      <c r="I1958" s="383"/>
      <c r="J1958" s="381">
        <f t="shared" si="307"/>
        <v>0</v>
      </c>
      <c r="K1958" s="383"/>
      <c r="L1958" s="383"/>
      <c r="M1958" s="381">
        <f t="shared" si="308"/>
        <v>0</v>
      </c>
      <c r="N1958" s="383"/>
      <c r="O1958" s="383"/>
      <c r="P1958" s="381">
        <f t="shared" si="309"/>
        <v>0</v>
      </c>
      <c r="Q1958" s="383"/>
      <c r="R1958" s="383"/>
      <c r="S1958" s="25">
        <f t="shared" si="310"/>
        <v>0</v>
      </c>
      <c r="T1958" s="383"/>
      <c r="U1958" s="383"/>
      <c r="V1958" s="381">
        <f t="shared" si="311"/>
        <v>0</v>
      </c>
      <c r="W1958" s="383"/>
      <c r="X1958" s="383"/>
      <c r="Y1958" s="381">
        <f t="shared" si="312"/>
        <v>0</v>
      </c>
    </row>
    <row r="1959" spans="2:25" x14ac:dyDescent="0.2">
      <c r="B1959" s="383"/>
      <c r="C1959" s="383"/>
      <c r="D1959" s="381">
        <f t="shared" si="305"/>
        <v>0</v>
      </c>
      <c r="E1959" s="383"/>
      <c r="F1959" s="382"/>
      <c r="G1959" s="381">
        <f t="shared" si="306"/>
        <v>0</v>
      </c>
      <c r="H1959" s="383"/>
      <c r="I1959" s="383"/>
      <c r="J1959" s="381">
        <f t="shared" si="307"/>
        <v>0</v>
      </c>
      <c r="K1959" s="383"/>
      <c r="L1959" s="383"/>
      <c r="M1959" s="381">
        <f t="shared" si="308"/>
        <v>0</v>
      </c>
      <c r="N1959" s="383"/>
      <c r="O1959" s="383"/>
      <c r="P1959" s="381">
        <f t="shared" si="309"/>
        <v>0</v>
      </c>
      <c r="Q1959" s="383"/>
      <c r="R1959" s="383"/>
      <c r="S1959" s="25">
        <f t="shared" si="310"/>
        <v>0</v>
      </c>
      <c r="T1959" s="383"/>
      <c r="U1959" s="383"/>
      <c r="V1959" s="381">
        <f t="shared" si="311"/>
        <v>0</v>
      </c>
      <c r="W1959" s="383"/>
      <c r="X1959" s="383"/>
      <c r="Y1959" s="381">
        <f t="shared" si="312"/>
        <v>0</v>
      </c>
    </row>
    <row r="1960" spans="2:25" x14ac:dyDescent="0.2">
      <c r="B1960" s="383"/>
      <c r="C1960" s="383"/>
      <c r="D1960" s="381">
        <f t="shared" si="305"/>
        <v>0</v>
      </c>
      <c r="E1960" s="383"/>
      <c r="F1960" s="382"/>
      <c r="G1960" s="381">
        <f t="shared" si="306"/>
        <v>0</v>
      </c>
      <c r="H1960" s="383"/>
      <c r="I1960" s="383"/>
      <c r="J1960" s="381">
        <f t="shared" si="307"/>
        <v>0</v>
      </c>
      <c r="K1960" s="383"/>
      <c r="L1960" s="383"/>
      <c r="M1960" s="381">
        <f t="shared" si="308"/>
        <v>0</v>
      </c>
      <c r="N1960" s="383"/>
      <c r="O1960" s="383"/>
      <c r="P1960" s="381">
        <f t="shared" si="309"/>
        <v>0</v>
      </c>
      <c r="Q1960" s="383"/>
      <c r="R1960" s="383"/>
      <c r="S1960" s="25">
        <f t="shared" si="310"/>
        <v>0</v>
      </c>
      <c r="T1960" s="383"/>
      <c r="U1960" s="383"/>
      <c r="V1960" s="381">
        <f t="shared" si="311"/>
        <v>0</v>
      </c>
      <c r="W1960" s="383"/>
      <c r="X1960" s="383"/>
      <c r="Y1960" s="381">
        <f t="shared" si="312"/>
        <v>0</v>
      </c>
    </row>
    <row r="1961" spans="2:25" x14ac:dyDescent="0.2">
      <c r="B1961" s="383"/>
      <c r="C1961" s="383"/>
      <c r="D1961" s="381">
        <f t="shared" si="305"/>
        <v>0</v>
      </c>
      <c r="E1961" s="383"/>
      <c r="F1961" s="382"/>
      <c r="G1961" s="381">
        <f t="shared" si="306"/>
        <v>0</v>
      </c>
      <c r="H1961" s="383"/>
      <c r="I1961" s="383"/>
      <c r="J1961" s="381">
        <f t="shared" si="307"/>
        <v>0</v>
      </c>
      <c r="K1961" s="383"/>
      <c r="L1961" s="383"/>
      <c r="M1961" s="381">
        <f t="shared" si="308"/>
        <v>0</v>
      </c>
      <c r="N1961" s="383"/>
      <c r="O1961" s="383"/>
      <c r="P1961" s="381">
        <f t="shared" si="309"/>
        <v>0</v>
      </c>
      <c r="Q1961" s="383"/>
      <c r="R1961" s="383"/>
      <c r="S1961" s="25">
        <f t="shared" si="310"/>
        <v>0</v>
      </c>
      <c r="T1961" s="383"/>
      <c r="U1961" s="383"/>
      <c r="V1961" s="381">
        <f t="shared" si="311"/>
        <v>0</v>
      </c>
      <c r="W1961" s="383"/>
      <c r="X1961" s="383"/>
      <c r="Y1961" s="381">
        <f t="shared" si="312"/>
        <v>0</v>
      </c>
    </row>
    <row r="1962" spans="2:25" x14ac:dyDescent="0.2">
      <c r="B1962" s="383"/>
      <c r="C1962" s="383"/>
      <c r="D1962" s="381">
        <f t="shared" si="305"/>
        <v>0</v>
      </c>
      <c r="E1962" s="383"/>
      <c r="F1962" s="382"/>
      <c r="G1962" s="381">
        <f t="shared" si="306"/>
        <v>0</v>
      </c>
      <c r="H1962" s="383"/>
      <c r="I1962" s="383"/>
      <c r="J1962" s="381">
        <f t="shared" si="307"/>
        <v>0</v>
      </c>
      <c r="K1962" s="383"/>
      <c r="L1962" s="383"/>
      <c r="M1962" s="381">
        <f t="shared" si="308"/>
        <v>0</v>
      </c>
      <c r="N1962" s="383"/>
      <c r="O1962" s="383"/>
      <c r="P1962" s="381">
        <f t="shared" si="309"/>
        <v>0</v>
      </c>
      <c r="Q1962" s="383"/>
      <c r="R1962" s="383"/>
      <c r="S1962" s="25">
        <f t="shared" si="310"/>
        <v>0</v>
      </c>
      <c r="T1962" s="383"/>
      <c r="U1962" s="383"/>
      <c r="V1962" s="381">
        <f t="shared" si="311"/>
        <v>0</v>
      </c>
      <c r="W1962" s="383"/>
      <c r="X1962" s="383"/>
      <c r="Y1962" s="381">
        <f t="shared" si="312"/>
        <v>0</v>
      </c>
    </row>
    <row r="1963" spans="2:25" x14ac:dyDescent="0.2">
      <c r="B1963" s="383"/>
      <c r="C1963" s="383"/>
      <c r="D1963" s="381">
        <f t="shared" si="305"/>
        <v>0</v>
      </c>
      <c r="E1963" s="383"/>
      <c r="F1963" s="382"/>
      <c r="G1963" s="381">
        <f t="shared" si="306"/>
        <v>0</v>
      </c>
      <c r="H1963" s="383"/>
      <c r="I1963" s="383"/>
      <c r="J1963" s="381">
        <f t="shared" si="307"/>
        <v>0</v>
      </c>
      <c r="K1963" s="383"/>
      <c r="L1963" s="383"/>
      <c r="M1963" s="381">
        <f t="shared" si="308"/>
        <v>0</v>
      </c>
      <c r="N1963" s="383"/>
      <c r="O1963" s="383"/>
      <c r="P1963" s="381">
        <f t="shared" si="309"/>
        <v>0</v>
      </c>
      <c r="Q1963" s="383"/>
      <c r="R1963" s="383"/>
      <c r="S1963" s="25">
        <f t="shared" si="310"/>
        <v>0</v>
      </c>
      <c r="T1963" s="383"/>
      <c r="U1963" s="383"/>
      <c r="V1963" s="381">
        <f t="shared" si="311"/>
        <v>0</v>
      </c>
      <c r="W1963" s="383"/>
      <c r="X1963" s="383"/>
      <c r="Y1963" s="381">
        <f t="shared" si="312"/>
        <v>0</v>
      </c>
    </row>
    <row r="1964" spans="2:25" x14ac:dyDescent="0.2">
      <c r="B1964" s="383"/>
      <c r="C1964" s="383"/>
      <c r="D1964" s="381">
        <f t="shared" si="305"/>
        <v>0</v>
      </c>
      <c r="E1964" s="383"/>
      <c r="F1964" s="382"/>
      <c r="G1964" s="381">
        <f t="shared" si="306"/>
        <v>0</v>
      </c>
      <c r="H1964" s="383"/>
      <c r="I1964" s="383"/>
      <c r="J1964" s="381">
        <f t="shared" si="307"/>
        <v>0</v>
      </c>
      <c r="K1964" s="383"/>
      <c r="L1964" s="383"/>
      <c r="M1964" s="381">
        <f t="shared" si="308"/>
        <v>0</v>
      </c>
      <c r="N1964" s="383"/>
      <c r="O1964" s="383"/>
      <c r="P1964" s="381">
        <f t="shared" si="309"/>
        <v>0</v>
      </c>
      <c r="Q1964" s="383"/>
      <c r="R1964" s="383"/>
      <c r="S1964" s="25">
        <f t="shared" si="310"/>
        <v>0</v>
      </c>
      <c r="T1964" s="383"/>
      <c r="U1964" s="383"/>
      <c r="V1964" s="381">
        <f t="shared" si="311"/>
        <v>0</v>
      </c>
      <c r="W1964" s="383"/>
      <c r="X1964" s="383"/>
      <c r="Y1964" s="381">
        <f t="shared" si="312"/>
        <v>0</v>
      </c>
    </row>
    <row r="1965" spans="2:25" x14ac:dyDescent="0.2">
      <c r="B1965" s="383"/>
      <c r="C1965" s="383"/>
      <c r="D1965" s="381">
        <f t="shared" si="305"/>
        <v>0</v>
      </c>
      <c r="E1965" s="383"/>
      <c r="F1965" s="382"/>
      <c r="G1965" s="381">
        <f t="shared" si="306"/>
        <v>0</v>
      </c>
      <c r="H1965" s="383"/>
      <c r="I1965" s="383"/>
      <c r="J1965" s="381">
        <f t="shared" si="307"/>
        <v>0</v>
      </c>
      <c r="K1965" s="383"/>
      <c r="L1965" s="383"/>
      <c r="M1965" s="381">
        <f t="shared" si="308"/>
        <v>0</v>
      </c>
      <c r="N1965" s="383"/>
      <c r="O1965" s="383"/>
      <c r="P1965" s="381">
        <f t="shared" si="309"/>
        <v>0</v>
      </c>
      <c r="Q1965" s="383"/>
      <c r="R1965" s="383"/>
      <c r="S1965" s="25">
        <f t="shared" si="310"/>
        <v>0</v>
      </c>
      <c r="T1965" s="383"/>
      <c r="U1965" s="383"/>
      <c r="V1965" s="381">
        <f t="shared" si="311"/>
        <v>0</v>
      </c>
      <c r="W1965" s="383"/>
      <c r="X1965" s="383"/>
      <c r="Y1965" s="381">
        <f t="shared" si="312"/>
        <v>0</v>
      </c>
    </row>
    <row r="1966" spans="2:25" x14ac:dyDescent="0.2">
      <c r="B1966" s="383"/>
      <c r="C1966" s="383"/>
      <c r="D1966" s="381">
        <f t="shared" si="305"/>
        <v>0</v>
      </c>
      <c r="E1966" s="383"/>
      <c r="F1966" s="382"/>
      <c r="G1966" s="381">
        <f t="shared" si="306"/>
        <v>0</v>
      </c>
      <c r="H1966" s="383"/>
      <c r="I1966" s="383"/>
      <c r="J1966" s="381">
        <f t="shared" si="307"/>
        <v>0</v>
      </c>
      <c r="K1966" s="383"/>
      <c r="L1966" s="383"/>
      <c r="M1966" s="381">
        <f t="shared" si="308"/>
        <v>0</v>
      </c>
      <c r="N1966" s="383"/>
      <c r="O1966" s="383"/>
      <c r="P1966" s="381">
        <f t="shared" si="309"/>
        <v>0</v>
      </c>
      <c r="Q1966" s="383"/>
      <c r="R1966" s="383"/>
      <c r="S1966" s="25">
        <f t="shared" si="310"/>
        <v>0</v>
      </c>
      <c r="T1966" s="383"/>
      <c r="U1966" s="383"/>
      <c r="V1966" s="381">
        <f t="shared" si="311"/>
        <v>0</v>
      </c>
      <c r="W1966" s="383"/>
      <c r="X1966" s="383"/>
      <c r="Y1966" s="381">
        <f t="shared" si="312"/>
        <v>0</v>
      </c>
    </row>
    <row r="1967" spans="2:25" x14ac:dyDescent="0.2">
      <c r="B1967" s="383"/>
      <c r="C1967" s="383"/>
      <c r="D1967" s="381">
        <f t="shared" si="305"/>
        <v>0</v>
      </c>
      <c r="E1967" s="383"/>
      <c r="F1967" s="382"/>
      <c r="G1967" s="381">
        <f t="shared" si="306"/>
        <v>0</v>
      </c>
      <c r="H1967" s="383"/>
      <c r="I1967" s="383"/>
      <c r="J1967" s="381">
        <f t="shared" si="307"/>
        <v>0</v>
      </c>
      <c r="K1967" s="383"/>
      <c r="L1967" s="383"/>
      <c r="M1967" s="381">
        <f t="shared" si="308"/>
        <v>0</v>
      </c>
      <c r="N1967" s="383"/>
      <c r="O1967" s="383"/>
      <c r="P1967" s="381">
        <f t="shared" si="309"/>
        <v>0</v>
      </c>
      <c r="Q1967" s="383"/>
      <c r="R1967" s="383"/>
      <c r="S1967" s="25">
        <f t="shared" si="310"/>
        <v>0</v>
      </c>
      <c r="T1967" s="383"/>
      <c r="U1967" s="383"/>
      <c r="V1967" s="381">
        <f t="shared" si="311"/>
        <v>0</v>
      </c>
      <c r="W1967" s="383"/>
      <c r="X1967" s="383"/>
      <c r="Y1967" s="381">
        <f t="shared" si="312"/>
        <v>0</v>
      </c>
    </row>
    <row r="1968" spans="2:25" x14ac:dyDescent="0.2">
      <c r="B1968" s="383"/>
      <c r="C1968" s="383"/>
      <c r="D1968" s="381">
        <f t="shared" si="305"/>
        <v>0</v>
      </c>
      <c r="E1968" s="383"/>
      <c r="F1968" s="382"/>
      <c r="G1968" s="381">
        <f t="shared" si="306"/>
        <v>0</v>
      </c>
      <c r="H1968" s="383"/>
      <c r="I1968" s="383"/>
      <c r="J1968" s="381">
        <f t="shared" si="307"/>
        <v>0</v>
      </c>
      <c r="K1968" s="383"/>
      <c r="L1968" s="383"/>
      <c r="M1968" s="381">
        <f t="shared" si="308"/>
        <v>0</v>
      </c>
      <c r="N1968" s="383"/>
      <c r="O1968" s="383"/>
      <c r="P1968" s="381">
        <f t="shared" si="309"/>
        <v>0</v>
      </c>
      <c r="Q1968" s="383"/>
      <c r="R1968" s="383"/>
      <c r="S1968" s="25">
        <f t="shared" si="310"/>
        <v>0</v>
      </c>
      <c r="T1968" s="383"/>
      <c r="U1968" s="383"/>
      <c r="V1968" s="381">
        <f t="shared" si="311"/>
        <v>0</v>
      </c>
      <c r="W1968" s="383"/>
      <c r="X1968" s="383"/>
      <c r="Y1968" s="381">
        <f t="shared" si="312"/>
        <v>0</v>
      </c>
    </row>
    <row r="1969" spans="2:25" x14ac:dyDescent="0.2">
      <c r="B1969" s="383"/>
      <c r="C1969" s="383"/>
      <c r="D1969" s="381">
        <f t="shared" si="305"/>
        <v>0</v>
      </c>
      <c r="E1969" s="383"/>
      <c r="F1969" s="382"/>
      <c r="G1969" s="381">
        <f t="shared" si="306"/>
        <v>0</v>
      </c>
      <c r="H1969" s="383"/>
      <c r="I1969" s="383"/>
      <c r="J1969" s="381">
        <f t="shared" si="307"/>
        <v>0</v>
      </c>
      <c r="K1969" s="383"/>
      <c r="L1969" s="383"/>
      <c r="M1969" s="381">
        <f t="shared" si="308"/>
        <v>0</v>
      </c>
      <c r="N1969" s="383"/>
      <c r="O1969" s="383"/>
      <c r="P1969" s="381">
        <f t="shared" si="309"/>
        <v>0</v>
      </c>
      <c r="Q1969" s="383"/>
      <c r="R1969" s="383"/>
      <c r="S1969" s="25">
        <f t="shared" si="310"/>
        <v>0</v>
      </c>
      <c r="T1969" s="383"/>
      <c r="U1969" s="383"/>
      <c r="V1969" s="381">
        <f t="shared" si="311"/>
        <v>0</v>
      </c>
      <c r="W1969" s="383"/>
      <c r="X1969" s="383"/>
      <c r="Y1969" s="381">
        <f t="shared" si="312"/>
        <v>0</v>
      </c>
    </row>
    <row r="1970" spans="2:25" x14ac:dyDescent="0.2">
      <c r="B1970" s="383"/>
      <c r="C1970" s="383"/>
      <c r="D1970" s="381">
        <f t="shared" si="305"/>
        <v>0</v>
      </c>
      <c r="E1970" s="383"/>
      <c r="F1970" s="382"/>
      <c r="G1970" s="381">
        <f t="shared" si="306"/>
        <v>0</v>
      </c>
      <c r="H1970" s="383"/>
      <c r="I1970" s="383"/>
      <c r="J1970" s="381">
        <f t="shared" si="307"/>
        <v>0</v>
      </c>
      <c r="K1970" s="383"/>
      <c r="L1970" s="383"/>
      <c r="M1970" s="381">
        <f t="shared" si="308"/>
        <v>0</v>
      </c>
      <c r="N1970" s="383"/>
      <c r="O1970" s="383"/>
      <c r="P1970" s="381">
        <f t="shared" si="309"/>
        <v>0</v>
      </c>
      <c r="Q1970" s="383"/>
      <c r="R1970" s="383"/>
      <c r="S1970" s="25">
        <f t="shared" si="310"/>
        <v>0</v>
      </c>
      <c r="T1970" s="383"/>
      <c r="U1970" s="383"/>
      <c r="V1970" s="381">
        <f t="shared" si="311"/>
        <v>0</v>
      </c>
      <c r="W1970" s="383"/>
      <c r="X1970" s="383"/>
      <c r="Y1970" s="381">
        <f t="shared" si="312"/>
        <v>0</v>
      </c>
    </row>
    <row r="1971" spans="2:25" x14ac:dyDescent="0.2">
      <c r="B1971" s="383"/>
      <c r="C1971" s="383"/>
      <c r="D1971" s="381">
        <f t="shared" si="305"/>
        <v>0</v>
      </c>
      <c r="E1971" s="383"/>
      <c r="F1971" s="382"/>
      <c r="G1971" s="381">
        <f t="shared" si="306"/>
        <v>0</v>
      </c>
      <c r="H1971" s="383"/>
      <c r="I1971" s="383"/>
      <c r="J1971" s="381">
        <f t="shared" si="307"/>
        <v>0</v>
      </c>
      <c r="K1971" s="383"/>
      <c r="L1971" s="383"/>
      <c r="M1971" s="381">
        <f t="shared" si="308"/>
        <v>0</v>
      </c>
      <c r="N1971" s="383"/>
      <c r="O1971" s="383"/>
      <c r="P1971" s="381">
        <f t="shared" si="309"/>
        <v>0</v>
      </c>
      <c r="Q1971" s="383"/>
      <c r="R1971" s="383"/>
      <c r="S1971" s="25">
        <f t="shared" si="310"/>
        <v>0</v>
      </c>
      <c r="T1971" s="383"/>
      <c r="U1971" s="383"/>
      <c r="V1971" s="381">
        <f t="shared" si="311"/>
        <v>0</v>
      </c>
      <c r="W1971" s="383"/>
      <c r="X1971" s="383"/>
      <c r="Y1971" s="381">
        <f t="shared" si="312"/>
        <v>0</v>
      </c>
    </row>
    <row r="1972" spans="2:25" x14ac:dyDescent="0.2">
      <c r="B1972" s="383"/>
      <c r="C1972" s="383"/>
      <c r="D1972" s="381">
        <f t="shared" si="305"/>
        <v>0</v>
      </c>
      <c r="E1972" s="383"/>
      <c r="F1972" s="382"/>
      <c r="G1972" s="381">
        <f t="shared" si="306"/>
        <v>0</v>
      </c>
      <c r="H1972" s="383"/>
      <c r="I1972" s="383"/>
      <c r="J1972" s="381">
        <f t="shared" si="307"/>
        <v>0</v>
      </c>
      <c r="K1972" s="383"/>
      <c r="L1972" s="383"/>
      <c r="M1972" s="381">
        <f t="shared" si="308"/>
        <v>0</v>
      </c>
      <c r="N1972" s="383"/>
      <c r="O1972" s="383"/>
      <c r="P1972" s="381">
        <f t="shared" si="309"/>
        <v>0</v>
      </c>
      <c r="Q1972" s="383"/>
      <c r="R1972" s="383"/>
      <c r="S1972" s="25">
        <f t="shared" si="310"/>
        <v>0</v>
      </c>
      <c r="T1972" s="383"/>
      <c r="U1972" s="383"/>
      <c r="V1972" s="381">
        <f t="shared" si="311"/>
        <v>0</v>
      </c>
      <c r="W1972" s="383"/>
      <c r="X1972" s="383"/>
      <c r="Y1972" s="381">
        <f t="shared" si="312"/>
        <v>0</v>
      </c>
    </row>
    <row r="1973" spans="2:25" x14ac:dyDescent="0.2">
      <c r="B1973" s="383"/>
      <c r="C1973" s="383"/>
      <c r="D1973" s="381">
        <f t="shared" si="305"/>
        <v>0</v>
      </c>
      <c r="E1973" s="383"/>
      <c r="F1973" s="382"/>
      <c r="G1973" s="381">
        <f t="shared" si="306"/>
        <v>0</v>
      </c>
      <c r="H1973" s="383"/>
      <c r="I1973" s="383"/>
      <c r="J1973" s="381">
        <f t="shared" si="307"/>
        <v>0</v>
      </c>
      <c r="K1973" s="383"/>
      <c r="L1973" s="383"/>
      <c r="M1973" s="381">
        <f t="shared" si="308"/>
        <v>0</v>
      </c>
      <c r="N1973" s="383"/>
      <c r="O1973" s="383"/>
      <c r="P1973" s="381">
        <f t="shared" si="309"/>
        <v>0</v>
      </c>
      <c r="Q1973" s="383"/>
      <c r="R1973" s="383"/>
      <c r="S1973" s="25">
        <f t="shared" si="310"/>
        <v>0</v>
      </c>
      <c r="T1973" s="383"/>
      <c r="U1973" s="383"/>
      <c r="V1973" s="381">
        <f t="shared" si="311"/>
        <v>0</v>
      </c>
      <c r="W1973" s="383"/>
      <c r="X1973" s="383"/>
      <c r="Y1973" s="381">
        <f t="shared" si="312"/>
        <v>0</v>
      </c>
    </row>
    <row r="1974" spans="2:25" x14ac:dyDescent="0.2">
      <c r="B1974" s="383"/>
      <c r="C1974" s="383"/>
      <c r="D1974" s="381">
        <f t="shared" si="305"/>
        <v>0</v>
      </c>
      <c r="E1974" s="383"/>
      <c r="F1974" s="382"/>
      <c r="G1974" s="381">
        <f t="shared" si="306"/>
        <v>0</v>
      </c>
      <c r="H1974" s="383"/>
      <c r="I1974" s="383"/>
      <c r="J1974" s="381">
        <f t="shared" si="307"/>
        <v>0</v>
      </c>
      <c r="K1974" s="383"/>
      <c r="L1974" s="383"/>
      <c r="M1974" s="381">
        <f t="shared" si="308"/>
        <v>0</v>
      </c>
      <c r="N1974" s="383"/>
      <c r="O1974" s="383"/>
      <c r="P1974" s="381">
        <f t="shared" si="309"/>
        <v>0</v>
      </c>
      <c r="Q1974" s="383"/>
      <c r="R1974" s="383"/>
      <c r="S1974" s="25">
        <f t="shared" si="310"/>
        <v>0</v>
      </c>
      <c r="T1974" s="383"/>
      <c r="U1974" s="383"/>
      <c r="V1974" s="381">
        <f t="shared" si="311"/>
        <v>0</v>
      </c>
      <c r="W1974" s="383"/>
      <c r="X1974" s="383"/>
      <c r="Y1974" s="381">
        <f t="shared" si="312"/>
        <v>0</v>
      </c>
    </row>
    <row r="1975" spans="2:25" x14ac:dyDescent="0.2">
      <c r="B1975" s="383"/>
      <c r="C1975" s="383"/>
      <c r="D1975" s="381">
        <f t="shared" si="305"/>
        <v>0</v>
      </c>
      <c r="E1975" s="383"/>
      <c r="F1975" s="382"/>
      <c r="G1975" s="381">
        <f t="shared" si="306"/>
        <v>0</v>
      </c>
      <c r="H1975" s="383"/>
      <c r="I1975" s="383"/>
      <c r="J1975" s="381">
        <f t="shared" si="307"/>
        <v>0</v>
      </c>
      <c r="K1975" s="383"/>
      <c r="L1975" s="383"/>
      <c r="M1975" s="381">
        <f t="shared" si="308"/>
        <v>0</v>
      </c>
      <c r="N1975" s="383"/>
      <c r="O1975" s="383"/>
      <c r="P1975" s="381">
        <f t="shared" si="309"/>
        <v>0</v>
      </c>
      <c r="Q1975" s="383"/>
      <c r="R1975" s="383"/>
      <c r="S1975" s="25">
        <f t="shared" si="310"/>
        <v>0</v>
      </c>
      <c r="T1975" s="383"/>
      <c r="U1975" s="383"/>
      <c r="V1975" s="381">
        <f t="shared" si="311"/>
        <v>0</v>
      </c>
      <c r="W1975" s="383"/>
      <c r="X1975" s="383"/>
      <c r="Y1975" s="381">
        <f t="shared" si="312"/>
        <v>0</v>
      </c>
    </row>
    <row r="1976" spans="2:25" x14ac:dyDescent="0.2">
      <c r="B1976" s="383"/>
      <c r="C1976" s="383"/>
      <c r="D1976" s="381">
        <f t="shared" si="305"/>
        <v>0</v>
      </c>
      <c r="E1976" s="383"/>
      <c r="F1976" s="382"/>
      <c r="G1976" s="381">
        <f t="shared" si="306"/>
        <v>0</v>
      </c>
      <c r="H1976" s="383"/>
      <c r="I1976" s="383"/>
      <c r="J1976" s="381">
        <f t="shared" si="307"/>
        <v>0</v>
      </c>
      <c r="K1976" s="383"/>
      <c r="L1976" s="383"/>
      <c r="M1976" s="381">
        <f t="shared" si="308"/>
        <v>0</v>
      </c>
      <c r="N1976" s="383"/>
      <c r="O1976" s="383"/>
      <c r="P1976" s="381">
        <f t="shared" si="309"/>
        <v>0</v>
      </c>
      <c r="Q1976" s="383"/>
      <c r="R1976" s="383"/>
      <c r="S1976" s="25">
        <f t="shared" si="310"/>
        <v>0</v>
      </c>
      <c r="T1976" s="383"/>
      <c r="U1976" s="383"/>
      <c r="V1976" s="381">
        <f t="shared" si="311"/>
        <v>0</v>
      </c>
      <c r="W1976" s="383"/>
      <c r="X1976" s="383"/>
      <c r="Y1976" s="381">
        <f t="shared" si="312"/>
        <v>0</v>
      </c>
    </row>
    <row r="1977" spans="2:25" x14ac:dyDescent="0.2">
      <c r="B1977" s="383"/>
      <c r="C1977" s="383"/>
      <c r="D1977" s="381">
        <f t="shared" si="305"/>
        <v>0</v>
      </c>
      <c r="E1977" s="383"/>
      <c r="F1977" s="382"/>
      <c r="G1977" s="381">
        <f t="shared" si="306"/>
        <v>0</v>
      </c>
      <c r="H1977" s="383"/>
      <c r="I1977" s="383"/>
      <c r="J1977" s="381">
        <f t="shared" si="307"/>
        <v>0</v>
      </c>
      <c r="K1977" s="383"/>
      <c r="L1977" s="383"/>
      <c r="M1977" s="381">
        <f t="shared" si="308"/>
        <v>0</v>
      </c>
      <c r="N1977" s="383"/>
      <c r="O1977" s="383"/>
      <c r="P1977" s="381">
        <f t="shared" si="309"/>
        <v>0</v>
      </c>
      <c r="Q1977" s="383"/>
      <c r="R1977" s="383"/>
      <c r="S1977" s="25">
        <f t="shared" si="310"/>
        <v>0</v>
      </c>
      <c r="T1977" s="383"/>
      <c r="U1977" s="383"/>
      <c r="V1977" s="381">
        <f t="shared" si="311"/>
        <v>0</v>
      </c>
      <c r="W1977" s="383"/>
      <c r="X1977" s="383"/>
      <c r="Y1977" s="381">
        <f t="shared" si="312"/>
        <v>0</v>
      </c>
    </row>
    <row r="1978" spans="2:25" x14ac:dyDescent="0.2">
      <c r="B1978" s="383"/>
      <c r="C1978" s="383"/>
      <c r="D1978" s="381">
        <f t="shared" si="305"/>
        <v>0</v>
      </c>
      <c r="E1978" s="383"/>
      <c r="F1978" s="382"/>
      <c r="G1978" s="381">
        <f t="shared" si="306"/>
        <v>0</v>
      </c>
      <c r="H1978" s="383"/>
      <c r="I1978" s="383"/>
      <c r="J1978" s="381">
        <f t="shared" si="307"/>
        <v>0</v>
      </c>
      <c r="K1978" s="383"/>
      <c r="L1978" s="383"/>
      <c r="M1978" s="381">
        <f t="shared" si="308"/>
        <v>0</v>
      </c>
      <c r="N1978" s="383"/>
      <c r="O1978" s="383"/>
      <c r="P1978" s="381">
        <f t="shared" si="309"/>
        <v>0</v>
      </c>
      <c r="Q1978" s="383"/>
      <c r="R1978" s="383"/>
      <c r="S1978" s="25">
        <f t="shared" si="310"/>
        <v>0</v>
      </c>
      <c r="T1978" s="383"/>
      <c r="U1978" s="383"/>
      <c r="V1978" s="381">
        <f t="shared" si="311"/>
        <v>0</v>
      </c>
      <c r="W1978" s="383"/>
      <c r="X1978" s="383"/>
      <c r="Y1978" s="381">
        <f t="shared" si="312"/>
        <v>0</v>
      </c>
    </row>
    <row r="1979" spans="2:25" x14ac:dyDescent="0.2">
      <c r="B1979" s="383"/>
      <c r="C1979" s="383"/>
      <c r="D1979" s="381">
        <f t="shared" si="305"/>
        <v>0</v>
      </c>
      <c r="E1979" s="383"/>
      <c r="F1979" s="382"/>
      <c r="G1979" s="381">
        <f t="shared" si="306"/>
        <v>0</v>
      </c>
      <c r="H1979" s="383"/>
      <c r="I1979" s="383"/>
      <c r="J1979" s="381">
        <f t="shared" si="307"/>
        <v>0</v>
      </c>
      <c r="K1979" s="383"/>
      <c r="L1979" s="383"/>
      <c r="M1979" s="381">
        <f t="shared" si="308"/>
        <v>0</v>
      </c>
      <c r="N1979" s="383"/>
      <c r="O1979" s="383"/>
      <c r="P1979" s="381">
        <f t="shared" si="309"/>
        <v>0</v>
      </c>
      <c r="Q1979" s="383"/>
      <c r="R1979" s="383"/>
      <c r="S1979" s="25">
        <f t="shared" si="310"/>
        <v>0</v>
      </c>
      <c r="T1979" s="383"/>
      <c r="U1979" s="383"/>
      <c r="V1979" s="381">
        <f t="shared" si="311"/>
        <v>0</v>
      </c>
      <c r="W1979" s="383"/>
      <c r="X1979" s="383"/>
      <c r="Y1979" s="381">
        <f t="shared" si="312"/>
        <v>0</v>
      </c>
    </row>
    <row r="1980" spans="2:25" x14ac:dyDescent="0.2">
      <c r="B1980" s="383"/>
      <c r="C1980" s="383"/>
      <c r="D1980" s="381">
        <f t="shared" si="305"/>
        <v>0</v>
      </c>
      <c r="E1980" s="383"/>
      <c r="F1980" s="382"/>
      <c r="G1980" s="381">
        <f t="shared" si="306"/>
        <v>0</v>
      </c>
      <c r="H1980" s="383"/>
      <c r="I1980" s="383"/>
      <c r="J1980" s="381">
        <f t="shared" si="307"/>
        <v>0</v>
      </c>
      <c r="K1980" s="383"/>
      <c r="L1980" s="383"/>
      <c r="M1980" s="381">
        <f t="shared" si="308"/>
        <v>0</v>
      </c>
      <c r="N1980" s="383"/>
      <c r="O1980" s="383"/>
      <c r="P1980" s="381">
        <f t="shared" si="309"/>
        <v>0</v>
      </c>
      <c r="Q1980" s="383"/>
      <c r="R1980" s="383"/>
      <c r="S1980" s="25">
        <f t="shared" si="310"/>
        <v>0</v>
      </c>
      <c r="T1980" s="383"/>
      <c r="U1980" s="383"/>
      <c r="V1980" s="381">
        <f t="shared" si="311"/>
        <v>0</v>
      </c>
      <c r="W1980" s="383"/>
      <c r="X1980" s="383"/>
      <c r="Y1980" s="381">
        <f t="shared" si="312"/>
        <v>0</v>
      </c>
    </row>
    <row r="1981" spans="2:25" x14ac:dyDescent="0.2">
      <c r="B1981" s="383"/>
      <c r="C1981" s="383"/>
      <c r="D1981" s="381">
        <f t="shared" si="305"/>
        <v>0</v>
      </c>
      <c r="E1981" s="383"/>
      <c r="F1981" s="382"/>
      <c r="G1981" s="381">
        <f t="shared" si="306"/>
        <v>0</v>
      </c>
      <c r="H1981" s="383"/>
      <c r="I1981" s="383"/>
      <c r="J1981" s="381">
        <f t="shared" si="307"/>
        <v>0</v>
      </c>
      <c r="K1981" s="383"/>
      <c r="L1981" s="383"/>
      <c r="M1981" s="381">
        <f t="shared" si="308"/>
        <v>0</v>
      </c>
      <c r="N1981" s="383"/>
      <c r="O1981" s="383"/>
      <c r="P1981" s="381">
        <f t="shared" si="309"/>
        <v>0</v>
      </c>
      <c r="Q1981" s="383"/>
      <c r="R1981" s="383"/>
      <c r="S1981" s="25">
        <f t="shared" si="310"/>
        <v>0</v>
      </c>
      <c r="T1981" s="383"/>
      <c r="U1981" s="383"/>
      <c r="V1981" s="381">
        <f t="shared" si="311"/>
        <v>0</v>
      </c>
      <c r="W1981" s="383"/>
      <c r="X1981" s="383"/>
      <c r="Y1981" s="381">
        <f t="shared" si="312"/>
        <v>0</v>
      </c>
    </row>
    <row r="1982" spans="2:25" x14ac:dyDescent="0.2">
      <c r="B1982" s="383"/>
      <c r="C1982" s="383"/>
      <c r="D1982" s="381">
        <f t="shared" si="305"/>
        <v>0</v>
      </c>
      <c r="E1982" s="383"/>
      <c r="F1982" s="382"/>
      <c r="G1982" s="381">
        <f t="shared" si="306"/>
        <v>0</v>
      </c>
      <c r="H1982" s="383"/>
      <c r="I1982" s="383"/>
      <c r="J1982" s="381">
        <f t="shared" si="307"/>
        <v>0</v>
      </c>
      <c r="K1982" s="383"/>
      <c r="L1982" s="383"/>
      <c r="M1982" s="381">
        <f t="shared" si="308"/>
        <v>0</v>
      </c>
      <c r="N1982" s="383"/>
      <c r="O1982" s="383"/>
      <c r="P1982" s="381">
        <f t="shared" si="309"/>
        <v>0</v>
      </c>
      <c r="Q1982" s="383"/>
      <c r="R1982" s="383"/>
      <c r="S1982" s="25">
        <f t="shared" si="310"/>
        <v>0</v>
      </c>
      <c r="T1982" s="383"/>
      <c r="U1982" s="383"/>
      <c r="V1982" s="381">
        <f t="shared" si="311"/>
        <v>0</v>
      </c>
      <c r="W1982" s="383"/>
      <c r="X1982" s="383"/>
      <c r="Y1982" s="381">
        <f t="shared" si="312"/>
        <v>0</v>
      </c>
    </row>
    <row r="1983" spans="2:25" x14ac:dyDescent="0.2">
      <c r="B1983" s="383"/>
      <c r="C1983" s="383"/>
      <c r="D1983" s="381">
        <f t="shared" si="305"/>
        <v>0</v>
      </c>
      <c r="E1983" s="383"/>
      <c r="F1983" s="382"/>
      <c r="G1983" s="381">
        <f t="shared" si="306"/>
        <v>0</v>
      </c>
      <c r="H1983" s="383"/>
      <c r="I1983" s="383"/>
      <c r="J1983" s="381">
        <f t="shared" si="307"/>
        <v>0</v>
      </c>
      <c r="K1983" s="383"/>
      <c r="L1983" s="383"/>
      <c r="M1983" s="381">
        <f t="shared" si="308"/>
        <v>0</v>
      </c>
      <c r="N1983" s="383"/>
      <c r="O1983" s="383"/>
      <c r="P1983" s="381">
        <f t="shared" si="309"/>
        <v>0</v>
      </c>
      <c r="Q1983" s="383"/>
      <c r="R1983" s="383"/>
      <c r="S1983" s="25">
        <f t="shared" si="310"/>
        <v>0</v>
      </c>
      <c r="T1983" s="383"/>
      <c r="U1983" s="383"/>
      <c r="V1983" s="381">
        <f t="shared" si="311"/>
        <v>0</v>
      </c>
      <c r="W1983" s="383"/>
      <c r="X1983" s="383"/>
      <c r="Y1983" s="381">
        <f t="shared" si="312"/>
        <v>0</v>
      </c>
    </row>
    <row r="1984" spans="2:25" x14ac:dyDescent="0.2">
      <c r="B1984" s="383"/>
      <c r="C1984" s="383"/>
      <c r="D1984" s="381">
        <f t="shared" si="305"/>
        <v>0</v>
      </c>
      <c r="E1984" s="383"/>
      <c r="F1984" s="382"/>
      <c r="G1984" s="381">
        <f t="shared" si="306"/>
        <v>0</v>
      </c>
      <c r="H1984" s="383"/>
      <c r="I1984" s="383"/>
      <c r="J1984" s="381">
        <f t="shared" si="307"/>
        <v>0</v>
      </c>
      <c r="K1984" s="383"/>
      <c r="L1984" s="383"/>
      <c r="M1984" s="381">
        <f t="shared" si="308"/>
        <v>0</v>
      </c>
      <c r="N1984" s="383"/>
      <c r="O1984" s="383"/>
      <c r="P1984" s="381">
        <f t="shared" si="309"/>
        <v>0</v>
      </c>
      <c r="Q1984" s="383"/>
      <c r="R1984" s="383"/>
      <c r="S1984" s="25">
        <f t="shared" si="310"/>
        <v>0</v>
      </c>
      <c r="T1984" s="383"/>
      <c r="U1984" s="383"/>
      <c r="V1984" s="381">
        <f t="shared" si="311"/>
        <v>0</v>
      </c>
      <c r="W1984" s="383"/>
      <c r="X1984" s="383"/>
      <c r="Y1984" s="381">
        <f t="shared" si="312"/>
        <v>0</v>
      </c>
    </row>
    <row r="1985" spans="2:25" x14ac:dyDescent="0.2">
      <c r="B1985" s="383"/>
      <c r="C1985" s="383"/>
      <c r="D1985" s="381">
        <f t="shared" si="305"/>
        <v>0</v>
      </c>
      <c r="E1985" s="383"/>
      <c r="F1985" s="382"/>
      <c r="G1985" s="381">
        <f t="shared" si="306"/>
        <v>0</v>
      </c>
      <c r="H1985" s="383"/>
      <c r="I1985" s="383"/>
      <c r="J1985" s="381">
        <f t="shared" si="307"/>
        <v>0</v>
      </c>
      <c r="K1985" s="383"/>
      <c r="L1985" s="383"/>
      <c r="M1985" s="381">
        <f t="shared" si="308"/>
        <v>0</v>
      </c>
      <c r="N1985" s="383"/>
      <c r="O1985" s="383"/>
      <c r="P1985" s="381">
        <f t="shared" si="309"/>
        <v>0</v>
      </c>
      <c r="Q1985" s="383"/>
      <c r="R1985" s="383"/>
      <c r="S1985" s="25">
        <f t="shared" si="310"/>
        <v>0</v>
      </c>
      <c r="T1985" s="383"/>
      <c r="U1985" s="383"/>
      <c r="V1985" s="381">
        <f t="shared" si="311"/>
        <v>0</v>
      </c>
      <c r="W1985" s="383"/>
      <c r="X1985" s="383"/>
      <c r="Y1985" s="381">
        <f t="shared" si="312"/>
        <v>0</v>
      </c>
    </row>
    <row r="1986" spans="2:25" x14ac:dyDescent="0.2">
      <c r="B1986" s="383"/>
      <c r="C1986" s="383"/>
      <c r="D1986" s="381">
        <f t="shared" si="305"/>
        <v>0</v>
      </c>
      <c r="E1986" s="383"/>
      <c r="F1986" s="382"/>
      <c r="G1986" s="381">
        <f t="shared" si="306"/>
        <v>0</v>
      </c>
      <c r="H1986" s="383"/>
      <c r="I1986" s="383"/>
      <c r="J1986" s="381">
        <f t="shared" si="307"/>
        <v>0</v>
      </c>
      <c r="K1986" s="383"/>
      <c r="L1986" s="383"/>
      <c r="M1986" s="381">
        <f t="shared" si="308"/>
        <v>0</v>
      </c>
      <c r="N1986" s="383"/>
      <c r="O1986" s="383"/>
      <c r="P1986" s="381">
        <f t="shared" si="309"/>
        <v>0</v>
      </c>
      <c r="Q1986" s="383"/>
      <c r="R1986" s="383"/>
      <c r="S1986" s="25">
        <f t="shared" si="310"/>
        <v>0</v>
      </c>
      <c r="T1986" s="383"/>
      <c r="U1986" s="383"/>
      <c r="V1986" s="381">
        <f t="shared" si="311"/>
        <v>0</v>
      </c>
      <c r="W1986" s="383"/>
      <c r="X1986" s="383"/>
      <c r="Y1986" s="381">
        <f t="shared" si="312"/>
        <v>0</v>
      </c>
    </row>
    <row r="1987" spans="2:25" x14ac:dyDescent="0.2">
      <c r="B1987" s="383"/>
      <c r="C1987" s="383"/>
      <c r="D1987" s="381">
        <f t="shared" si="305"/>
        <v>0</v>
      </c>
      <c r="E1987" s="383"/>
      <c r="F1987" s="382"/>
      <c r="G1987" s="381">
        <f t="shared" si="306"/>
        <v>0</v>
      </c>
      <c r="H1987" s="383"/>
      <c r="I1987" s="383"/>
      <c r="J1987" s="381">
        <f t="shared" si="307"/>
        <v>0</v>
      </c>
      <c r="K1987" s="383"/>
      <c r="L1987" s="383"/>
      <c r="M1987" s="381">
        <f t="shared" si="308"/>
        <v>0</v>
      </c>
      <c r="N1987" s="383"/>
      <c r="O1987" s="383"/>
      <c r="P1987" s="381">
        <f t="shared" si="309"/>
        <v>0</v>
      </c>
      <c r="Q1987" s="383"/>
      <c r="R1987" s="383"/>
      <c r="S1987" s="25">
        <f t="shared" si="310"/>
        <v>0</v>
      </c>
      <c r="T1987" s="383"/>
      <c r="U1987" s="383"/>
      <c r="V1987" s="381">
        <f t="shared" si="311"/>
        <v>0</v>
      </c>
      <c r="W1987" s="383"/>
      <c r="X1987" s="383"/>
      <c r="Y1987" s="381">
        <f t="shared" si="312"/>
        <v>0</v>
      </c>
    </row>
    <row r="1988" spans="2:25" x14ac:dyDescent="0.2">
      <c r="B1988" s="383"/>
      <c r="C1988" s="383"/>
      <c r="D1988" s="381">
        <f t="shared" si="305"/>
        <v>0</v>
      </c>
      <c r="E1988" s="383"/>
      <c r="F1988" s="382"/>
      <c r="G1988" s="381">
        <f t="shared" si="306"/>
        <v>0</v>
      </c>
      <c r="H1988" s="383"/>
      <c r="I1988" s="383"/>
      <c r="J1988" s="381">
        <f t="shared" si="307"/>
        <v>0</v>
      </c>
      <c r="K1988" s="383"/>
      <c r="L1988" s="383"/>
      <c r="M1988" s="381">
        <f t="shared" si="308"/>
        <v>0</v>
      </c>
      <c r="N1988" s="383"/>
      <c r="O1988" s="383"/>
      <c r="P1988" s="381">
        <f t="shared" si="309"/>
        <v>0</v>
      </c>
      <c r="Q1988" s="383"/>
      <c r="R1988" s="383"/>
      <c r="S1988" s="25">
        <f t="shared" si="310"/>
        <v>0</v>
      </c>
      <c r="T1988" s="383"/>
      <c r="U1988" s="383"/>
      <c r="V1988" s="381">
        <f t="shared" si="311"/>
        <v>0</v>
      </c>
      <c r="W1988" s="383"/>
      <c r="X1988" s="383"/>
      <c r="Y1988" s="381">
        <f t="shared" si="312"/>
        <v>0</v>
      </c>
    </row>
    <row r="1989" spans="2:25" x14ac:dyDescent="0.2">
      <c r="B1989" s="383"/>
      <c r="C1989" s="383"/>
      <c r="D1989" s="381">
        <f t="shared" si="305"/>
        <v>0</v>
      </c>
      <c r="E1989" s="383"/>
      <c r="F1989" s="382"/>
      <c r="G1989" s="381">
        <f t="shared" si="306"/>
        <v>0</v>
      </c>
      <c r="H1989" s="383"/>
      <c r="I1989" s="383"/>
      <c r="J1989" s="381">
        <f t="shared" si="307"/>
        <v>0</v>
      </c>
      <c r="K1989" s="383"/>
      <c r="L1989" s="383"/>
      <c r="M1989" s="381">
        <f t="shared" si="308"/>
        <v>0</v>
      </c>
      <c r="N1989" s="383"/>
      <c r="O1989" s="383"/>
      <c r="P1989" s="381">
        <f t="shared" si="309"/>
        <v>0</v>
      </c>
      <c r="Q1989" s="383"/>
      <c r="R1989" s="383"/>
      <c r="S1989" s="25">
        <f t="shared" si="310"/>
        <v>0</v>
      </c>
      <c r="T1989" s="383"/>
      <c r="U1989" s="383"/>
      <c r="V1989" s="381">
        <f t="shared" si="311"/>
        <v>0</v>
      </c>
      <c r="W1989" s="383"/>
      <c r="X1989" s="383"/>
      <c r="Y1989" s="381">
        <f t="shared" si="312"/>
        <v>0</v>
      </c>
    </row>
    <row r="1990" spans="2:25" x14ac:dyDescent="0.2">
      <c r="B1990" s="383"/>
      <c r="C1990" s="383"/>
      <c r="D1990" s="381">
        <f t="shared" si="305"/>
        <v>0</v>
      </c>
      <c r="E1990" s="383"/>
      <c r="F1990" s="382"/>
      <c r="G1990" s="381">
        <f t="shared" si="306"/>
        <v>0</v>
      </c>
      <c r="H1990" s="383"/>
      <c r="I1990" s="383"/>
      <c r="J1990" s="381">
        <f t="shared" si="307"/>
        <v>0</v>
      </c>
      <c r="K1990" s="383"/>
      <c r="L1990" s="383"/>
      <c r="M1990" s="381">
        <f t="shared" si="308"/>
        <v>0</v>
      </c>
      <c r="N1990" s="383"/>
      <c r="O1990" s="383"/>
      <c r="P1990" s="381">
        <f t="shared" si="309"/>
        <v>0</v>
      </c>
      <c r="Q1990" s="383"/>
      <c r="R1990" s="383"/>
      <c r="S1990" s="25">
        <f t="shared" si="310"/>
        <v>0</v>
      </c>
      <c r="T1990" s="383"/>
      <c r="U1990" s="383"/>
      <c r="V1990" s="381">
        <f t="shared" si="311"/>
        <v>0</v>
      </c>
      <c r="W1990" s="383"/>
      <c r="X1990" s="383"/>
      <c r="Y1990" s="381">
        <f t="shared" si="312"/>
        <v>0</v>
      </c>
    </row>
    <row r="1991" spans="2:25" x14ac:dyDescent="0.2">
      <c r="B1991" s="383"/>
      <c r="C1991" s="383"/>
      <c r="D1991" s="381">
        <f t="shared" si="305"/>
        <v>0</v>
      </c>
      <c r="E1991" s="383"/>
      <c r="F1991" s="382"/>
      <c r="G1991" s="381">
        <f t="shared" si="306"/>
        <v>0</v>
      </c>
      <c r="H1991" s="383"/>
      <c r="I1991" s="383"/>
      <c r="J1991" s="381">
        <f t="shared" si="307"/>
        <v>0</v>
      </c>
      <c r="K1991" s="383"/>
      <c r="L1991" s="383"/>
      <c r="M1991" s="381">
        <f t="shared" si="308"/>
        <v>0</v>
      </c>
      <c r="N1991" s="383"/>
      <c r="O1991" s="383"/>
      <c r="P1991" s="381">
        <f t="shared" si="309"/>
        <v>0</v>
      </c>
      <c r="Q1991" s="383"/>
      <c r="R1991" s="383"/>
      <c r="S1991" s="25">
        <f t="shared" si="310"/>
        <v>0</v>
      </c>
      <c r="T1991" s="383"/>
      <c r="U1991" s="383"/>
      <c r="V1991" s="381">
        <f t="shared" si="311"/>
        <v>0</v>
      </c>
      <c r="W1991" s="383"/>
      <c r="X1991" s="383"/>
      <c r="Y1991" s="381">
        <f t="shared" si="312"/>
        <v>0</v>
      </c>
    </row>
    <row r="1992" spans="2:25" x14ac:dyDescent="0.2">
      <c r="B1992" s="383"/>
      <c r="C1992" s="383"/>
      <c r="D1992" s="381">
        <f t="shared" si="305"/>
        <v>0</v>
      </c>
      <c r="E1992" s="383"/>
      <c r="F1992" s="382"/>
      <c r="G1992" s="381">
        <f t="shared" si="306"/>
        <v>0</v>
      </c>
      <c r="H1992" s="383"/>
      <c r="I1992" s="383"/>
      <c r="J1992" s="381">
        <f t="shared" si="307"/>
        <v>0</v>
      </c>
      <c r="K1992" s="383"/>
      <c r="L1992" s="383"/>
      <c r="M1992" s="381">
        <f t="shared" si="308"/>
        <v>0</v>
      </c>
      <c r="N1992" s="383"/>
      <c r="O1992" s="383"/>
      <c r="P1992" s="381">
        <f t="shared" si="309"/>
        <v>0</v>
      </c>
      <c r="Q1992" s="383"/>
      <c r="R1992" s="383"/>
      <c r="S1992" s="25">
        <f t="shared" si="310"/>
        <v>0</v>
      </c>
      <c r="T1992" s="383"/>
      <c r="U1992" s="383"/>
      <c r="V1992" s="381">
        <f t="shared" si="311"/>
        <v>0</v>
      </c>
      <c r="W1992" s="383"/>
      <c r="X1992" s="383"/>
      <c r="Y1992" s="381">
        <f t="shared" si="312"/>
        <v>0</v>
      </c>
    </row>
    <row r="1993" spans="2:25" x14ac:dyDescent="0.2">
      <c r="B1993" s="383"/>
      <c r="C1993" s="383"/>
      <c r="D1993" s="381">
        <f t="shared" si="305"/>
        <v>0</v>
      </c>
      <c r="E1993" s="383"/>
      <c r="F1993" s="382"/>
      <c r="G1993" s="381">
        <f t="shared" si="306"/>
        <v>0</v>
      </c>
      <c r="H1993" s="383"/>
      <c r="I1993" s="383"/>
      <c r="J1993" s="381">
        <f t="shared" si="307"/>
        <v>0</v>
      </c>
      <c r="K1993" s="383"/>
      <c r="L1993" s="383"/>
      <c r="M1993" s="381">
        <f t="shared" si="308"/>
        <v>0</v>
      </c>
      <c r="N1993" s="383"/>
      <c r="O1993" s="383"/>
      <c r="P1993" s="381">
        <f t="shared" si="309"/>
        <v>0</v>
      </c>
      <c r="Q1993" s="383"/>
      <c r="R1993" s="383"/>
      <c r="S1993" s="25">
        <f t="shared" si="310"/>
        <v>0</v>
      </c>
      <c r="T1993" s="383"/>
      <c r="U1993" s="383"/>
      <c r="V1993" s="381">
        <f t="shared" si="311"/>
        <v>0</v>
      </c>
      <c r="W1993" s="383"/>
      <c r="X1993" s="383"/>
      <c r="Y1993" s="381">
        <f t="shared" si="312"/>
        <v>0</v>
      </c>
    </row>
    <row r="1994" spans="2:25" x14ac:dyDescent="0.2">
      <c r="B1994" s="383"/>
      <c r="C1994" s="383"/>
      <c r="D1994" s="381">
        <f t="shared" si="305"/>
        <v>0</v>
      </c>
      <c r="E1994" s="383"/>
      <c r="F1994" s="382"/>
      <c r="G1994" s="381">
        <f t="shared" si="306"/>
        <v>0</v>
      </c>
      <c r="H1994" s="383"/>
      <c r="I1994" s="383"/>
      <c r="J1994" s="381">
        <f t="shared" si="307"/>
        <v>0</v>
      </c>
      <c r="K1994" s="383"/>
      <c r="L1994" s="383"/>
      <c r="M1994" s="381">
        <f t="shared" si="308"/>
        <v>0</v>
      </c>
      <c r="N1994" s="383"/>
      <c r="O1994" s="383"/>
      <c r="P1994" s="381">
        <f t="shared" si="309"/>
        <v>0</v>
      </c>
      <c r="Q1994" s="383"/>
      <c r="R1994" s="383"/>
      <c r="S1994" s="25">
        <f t="shared" si="310"/>
        <v>0</v>
      </c>
      <c r="T1994" s="383"/>
      <c r="U1994" s="383"/>
      <c r="V1994" s="381">
        <f t="shared" si="311"/>
        <v>0</v>
      </c>
      <c r="W1994" s="383"/>
      <c r="X1994" s="383"/>
      <c r="Y1994" s="381">
        <f t="shared" si="312"/>
        <v>0</v>
      </c>
    </row>
    <row r="1995" spans="2:25" x14ac:dyDescent="0.2">
      <c r="B1995" s="383"/>
      <c r="C1995" s="383"/>
      <c r="D1995" s="381">
        <f t="shared" si="305"/>
        <v>0</v>
      </c>
      <c r="E1995" s="383"/>
      <c r="F1995" s="382"/>
      <c r="G1995" s="381">
        <f t="shared" si="306"/>
        <v>0</v>
      </c>
      <c r="H1995" s="383"/>
      <c r="I1995" s="383"/>
      <c r="J1995" s="381">
        <f t="shared" si="307"/>
        <v>0</v>
      </c>
      <c r="K1995" s="383"/>
      <c r="L1995" s="383"/>
      <c r="M1995" s="381">
        <f t="shared" si="308"/>
        <v>0</v>
      </c>
      <c r="N1995" s="383"/>
      <c r="O1995" s="383"/>
      <c r="P1995" s="381">
        <f t="shared" si="309"/>
        <v>0</v>
      </c>
      <c r="Q1995" s="383"/>
      <c r="R1995" s="383"/>
      <c r="S1995" s="25">
        <f t="shared" si="310"/>
        <v>0</v>
      </c>
      <c r="T1995" s="383"/>
      <c r="U1995" s="383"/>
      <c r="V1995" s="381">
        <f t="shared" si="311"/>
        <v>0</v>
      </c>
      <c r="W1995" s="383"/>
      <c r="X1995" s="383"/>
      <c r="Y1995" s="381">
        <f t="shared" si="312"/>
        <v>0</v>
      </c>
    </row>
    <row r="1996" spans="2:25" x14ac:dyDescent="0.2">
      <c r="B1996" s="383"/>
      <c r="C1996" s="383"/>
      <c r="D1996" s="381">
        <f t="shared" si="305"/>
        <v>0</v>
      </c>
      <c r="E1996" s="383"/>
      <c r="F1996" s="382"/>
      <c r="G1996" s="381">
        <f t="shared" si="306"/>
        <v>0</v>
      </c>
      <c r="H1996" s="383"/>
      <c r="I1996" s="383"/>
      <c r="J1996" s="381">
        <f t="shared" si="307"/>
        <v>0</v>
      </c>
      <c r="K1996" s="383"/>
      <c r="L1996" s="383"/>
      <c r="M1996" s="381">
        <f t="shared" si="308"/>
        <v>0</v>
      </c>
      <c r="N1996" s="383"/>
      <c r="O1996" s="383"/>
      <c r="P1996" s="381">
        <f t="shared" si="309"/>
        <v>0</v>
      </c>
      <c r="Q1996" s="383"/>
      <c r="R1996" s="383"/>
      <c r="S1996" s="25">
        <f t="shared" si="310"/>
        <v>0</v>
      </c>
      <c r="T1996" s="383"/>
      <c r="U1996" s="383"/>
      <c r="V1996" s="381">
        <f t="shared" si="311"/>
        <v>0</v>
      </c>
      <c r="W1996" s="383"/>
      <c r="X1996" s="383"/>
      <c r="Y1996" s="381">
        <f t="shared" si="312"/>
        <v>0</v>
      </c>
    </row>
    <row r="1997" spans="2:25" x14ac:dyDescent="0.2">
      <c r="B1997" s="383"/>
      <c r="C1997" s="383"/>
      <c r="D1997" s="381">
        <f t="shared" si="305"/>
        <v>0</v>
      </c>
      <c r="E1997" s="383"/>
      <c r="F1997" s="382"/>
      <c r="G1997" s="381">
        <f t="shared" si="306"/>
        <v>0</v>
      </c>
      <c r="H1997" s="383"/>
      <c r="I1997" s="383"/>
      <c r="J1997" s="381">
        <f t="shared" si="307"/>
        <v>0</v>
      </c>
      <c r="K1997" s="383"/>
      <c r="L1997" s="383"/>
      <c r="M1997" s="381">
        <f t="shared" si="308"/>
        <v>0</v>
      </c>
      <c r="N1997" s="383"/>
      <c r="O1997" s="383"/>
      <c r="P1997" s="381">
        <f t="shared" si="309"/>
        <v>0</v>
      </c>
      <c r="Q1997" s="383"/>
      <c r="R1997" s="383"/>
      <c r="S1997" s="25">
        <f t="shared" si="310"/>
        <v>0</v>
      </c>
      <c r="T1997" s="383"/>
      <c r="U1997" s="383"/>
      <c r="V1997" s="381">
        <f t="shared" si="311"/>
        <v>0</v>
      </c>
      <c r="W1997" s="383"/>
      <c r="X1997" s="383"/>
      <c r="Y1997" s="381">
        <f t="shared" si="312"/>
        <v>0</v>
      </c>
    </row>
    <row r="1998" spans="2:25" x14ac:dyDescent="0.2">
      <c r="B1998" s="383"/>
      <c r="C1998" s="383"/>
      <c r="D1998" s="381">
        <f t="shared" si="305"/>
        <v>0</v>
      </c>
      <c r="E1998" s="383"/>
      <c r="F1998" s="382"/>
      <c r="G1998" s="381">
        <f t="shared" si="306"/>
        <v>0</v>
      </c>
      <c r="H1998" s="383"/>
      <c r="I1998" s="383"/>
      <c r="J1998" s="381">
        <f t="shared" si="307"/>
        <v>0</v>
      </c>
      <c r="K1998" s="383"/>
      <c r="L1998" s="383"/>
      <c r="M1998" s="381">
        <f t="shared" si="308"/>
        <v>0</v>
      </c>
      <c r="N1998" s="383"/>
      <c r="O1998" s="383"/>
      <c r="P1998" s="381">
        <f t="shared" si="309"/>
        <v>0</v>
      </c>
      <c r="Q1998" s="383"/>
      <c r="R1998" s="383"/>
      <c r="S1998" s="25">
        <f t="shared" si="310"/>
        <v>0</v>
      </c>
      <c r="T1998" s="383"/>
      <c r="U1998" s="383"/>
      <c r="V1998" s="381">
        <f t="shared" si="311"/>
        <v>0</v>
      </c>
      <c r="W1998" s="383"/>
      <c r="X1998" s="383"/>
      <c r="Y1998" s="381">
        <f t="shared" si="312"/>
        <v>0</v>
      </c>
    </row>
    <row r="1999" spans="2:25" x14ac:dyDescent="0.2">
      <c r="B1999" s="383"/>
      <c r="C1999" s="383"/>
      <c r="D1999" s="381">
        <f t="shared" si="305"/>
        <v>0</v>
      </c>
      <c r="E1999" s="383"/>
      <c r="F1999" s="382"/>
      <c r="G1999" s="381">
        <f t="shared" si="306"/>
        <v>0</v>
      </c>
      <c r="H1999" s="383"/>
      <c r="I1999" s="383"/>
      <c r="J1999" s="381">
        <f t="shared" si="307"/>
        <v>0</v>
      </c>
      <c r="K1999" s="383"/>
      <c r="L1999" s="383"/>
      <c r="M1999" s="381">
        <f t="shared" si="308"/>
        <v>0</v>
      </c>
      <c r="N1999" s="383"/>
      <c r="O1999" s="383"/>
      <c r="P1999" s="381">
        <f t="shared" si="309"/>
        <v>0</v>
      </c>
      <c r="Q1999" s="383"/>
      <c r="R1999" s="383"/>
      <c r="S1999" s="25">
        <f t="shared" si="310"/>
        <v>0</v>
      </c>
      <c r="T1999" s="383"/>
      <c r="U1999" s="383"/>
      <c r="V1999" s="381">
        <f t="shared" si="311"/>
        <v>0</v>
      </c>
      <c r="W1999" s="383"/>
      <c r="X1999" s="383"/>
      <c r="Y1999" s="381">
        <f t="shared" si="312"/>
        <v>0</v>
      </c>
    </row>
    <row r="2000" spans="2:25" x14ac:dyDescent="0.2">
      <c r="B2000" s="383"/>
      <c r="C2000" s="383"/>
      <c r="D2000" s="381">
        <f t="shared" si="305"/>
        <v>0</v>
      </c>
      <c r="E2000" s="383"/>
      <c r="F2000" s="382"/>
      <c r="G2000" s="381">
        <f t="shared" si="306"/>
        <v>0</v>
      </c>
      <c r="H2000" s="383"/>
      <c r="I2000" s="383"/>
      <c r="J2000" s="381">
        <f t="shared" si="307"/>
        <v>0</v>
      </c>
      <c r="K2000" s="383"/>
      <c r="L2000" s="383"/>
      <c r="M2000" s="381">
        <f t="shared" si="308"/>
        <v>0</v>
      </c>
      <c r="N2000" s="383"/>
      <c r="O2000" s="383"/>
      <c r="P2000" s="381">
        <f t="shared" si="309"/>
        <v>0</v>
      </c>
      <c r="Q2000" s="383"/>
      <c r="R2000" s="383"/>
      <c r="S2000" s="25">
        <f t="shared" si="310"/>
        <v>0</v>
      </c>
      <c r="T2000" s="383"/>
      <c r="U2000" s="383"/>
      <c r="V2000" s="381">
        <f t="shared" si="311"/>
        <v>0</v>
      </c>
      <c r="W2000" s="383"/>
      <c r="X2000" s="383"/>
      <c r="Y2000" s="381">
        <f t="shared" si="312"/>
        <v>0</v>
      </c>
    </row>
    <row r="2001" spans="2:25" x14ac:dyDescent="0.2">
      <c r="B2001" s="383"/>
      <c r="C2001" s="383"/>
      <c r="D2001" s="381">
        <f t="shared" si="305"/>
        <v>0</v>
      </c>
      <c r="E2001" s="383"/>
      <c r="F2001" s="382"/>
      <c r="G2001" s="381">
        <f t="shared" si="306"/>
        <v>0</v>
      </c>
      <c r="H2001" s="383"/>
      <c r="I2001" s="383"/>
      <c r="J2001" s="381">
        <f t="shared" si="307"/>
        <v>0</v>
      </c>
      <c r="K2001" s="383"/>
      <c r="L2001" s="383"/>
      <c r="M2001" s="381">
        <f t="shared" si="308"/>
        <v>0</v>
      </c>
      <c r="N2001" s="383"/>
      <c r="O2001" s="383"/>
      <c r="P2001" s="381">
        <f t="shared" si="309"/>
        <v>0</v>
      </c>
      <c r="Q2001" s="383"/>
      <c r="R2001" s="383"/>
      <c r="S2001" s="25">
        <f t="shared" si="310"/>
        <v>0</v>
      </c>
      <c r="T2001" s="383"/>
      <c r="U2001" s="383"/>
      <c r="V2001" s="381">
        <f t="shared" si="311"/>
        <v>0</v>
      </c>
      <c r="W2001" s="383"/>
      <c r="X2001" s="383"/>
      <c r="Y2001" s="381">
        <f t="shared" si="312"/>
        <v>0</v>
      </c>
    </row>
    <row r="2002" spans="2:25" x14ac:dyDescent="0.2">
      <c r="B2002" s="383"/>
      <c r="C2002" s="383"/>
      <c r="D2002" s="381">
        <f t="shared" ref="D2002:D2065" si="313">C2002</f>
        <v>0</v>
      </c>
      <c r="E2002" s="383"/>
      <c r="F2002" s="382"/>
      <c r="G2002" s="381">
        <f t="shared" ref="G2002:G2065" si="314">F2002+$AB$2</f>
        <v>0</v>
      </c>
      <c r="H2002" s="383"/>
      <c r="I2002" s="383"/>
      <c r="J2002" s="381">
        <f t="shared" ref="J2002:J2065" si="315">I2002+$AB$3</f>
        <v>0</v>
      </c>
      <c r="K2002" s="383"/>
      <c r="L2002" s="383"/>
      <c r="M2002" s="381">
        <f t="shared" ref="M2002:M2065" si="316">L2002+$AB$4</f>
        <v>0</v>
      </c>
      <c r="N2002" s="383"/>
      <c r="O2002" s="383"/>
      <c r="P2002" s="381">
        <f t="shared" ref="P2002:P2065" si="317">O2002+$AB$5</f>
        <v>0</v>
      </c>
      <c r="Q2002" s="383"/>
      <c r="R2002" s="383"/>
      <c r="S2002" s="25">
        <f t="shared" ref="S2002:S2065" si="318">R2002+$AB$6</f>
        <v>0</v>
      </c>
      <c r="T2002" s="383"/>
      <c r="U2002" s="383"/>
      <c r="V2002" s="381">
        <f t="shared" ref="V2002:V2065" si="319">U2002+$AB$7</f>
        <v>0</v>
      </c>
      <c r="W2002" s="383"/>
      <c r="X2002" s="383"/>
      <c r="Y2002" s="381">
        <f t="shared" ref="Y2002:Y2065" si="320">X2002+$AB$8</f>
        <v>0</v>
      </c>
    </row>
    <row r="2003" spans="2:25" x14ac:dyDescent="0.2">
      <c r="B2003" s="383"/>
      <c r="C2003" s="383"/>
      <c r="D2003" s="381">
        <f t="shared" si="313"/>
        <v>0</v>
      </c>
      <c r="E2003" s="383"/>
      <c r="F2003" s="382"/>
      <c r="G2003" s="381">
        <f t="shared" si="314"/>
        <v>0</v>
      </c>
      <c r="H2003" s="383"/>
      <c r="I2003" s="383"/>
      <c r="J2003" s="381">
        <f t="shared" si="315"/>
        <v>0</v>
      </c>
      <c r="K2003" s="383"/>
      <c r="L2003" s="383"/>
      <c r="M2003" s="381">
        <f t="shared" si="316"/>
        <v>0</v>
      </c>
      <c r="N2003" s="383"/>
      <c r="O2003" s="383"/>
      <c r="P2003" s="381">
        <f t="shared" si="317"/>
        <v>0</v>
      </c>
      <c r="Q2003" s="383"/>
      <c r="R2003" s="383"/>
      <c r="S2003" s="25">
        <f t="shared" si="318"/>
        <v>0</v>
      </c>
      <c r="T2003" s="383"/>
      <c r="U2003" s="383"/>
      <c r="V2003" s="381">
        <f t="shared" si="319"/>
        <v>0</v>
      </c>
      <c r="W2003" s="383"/>
      <c r="X2003" s="383"/>
      <c r="Y2003" s="381">
        <f t="shared" si="320"/>
        <v>0</v>
      </c>
    </row>
    <row r="2004" spans="2:25" x14ac:dyDescent="0.2">
      <c r="B2004" s="383"/>
      <c r="C2004" s="383"/>
      <c r="D2004" s="381">
        <f t="shared" si="313"/>
        <v>0</v>
      </c>
      <c r="E2004" s="383"/>
      <c r="F2004" s="382"/>
      <c r="G2004" s="381">
        <f t="shared" si="314"/>
        <v>0</v>
      </c>
      <c r="H2004" s="383"/>
      <c r="I2004" s="383"/>
      <c r="J2004" s="381">
        <f t="shared" si="315"/>
        <v>0</v>
      </c>
      <c r="K2004" s="383"/>
      <c r="L2004" s="383"/>
      <c r="M2004" s="381">
        <f t="shared" si="316"/>
        <v>0</v>
      </c>
      <c r="N2004" s="383"/>
      <c r="O2004" s="383"/>
      <c r="P2004" s="381">
        <f t="shared" si="317"/>
        <v>0</v>
      </c>
      <c r="Q2004" s="383"/>
      <c r="R2004" s="383"/>
      <c r="S2004" s="25">
        <f t="shared" si="318"/>
        <v>0</v>
      </c>
      <c r="T2004" s="383"/>
      <c r="U2004" s="383"/>
      <c r="V2004" s="381">
        <f t="shared" si="319"/>
        <v>0</v>
      </c>
      <c r="W2004" s="383"/>
      <c r="X2004" s="383"/>
      <c r="Y2004" s="381">
        <f t="shared" si="320"/>
        <v>0</v>
      </c>
    </row>
    <row r="2005" spans="2:25" x14ac:dyDescent="0.2">
      <c r="B2005" s="383"/>
      <c r="C2005" s="383"/>
      <c r="D2005" s="381">
        <f t="shared" si="313"/>
        <v>0</v>
      </c>
      <c r="E2005" s="383"/>
      <c r="F2005" s="382"/>
      <c r="G2005" s="381">
        <f t="shared" si="314"/>
        <v>0</v>
      </c>
      <c r="H2005" s="383"/>
      <c r="I2005" s="383"/>
      <c r="J2005" s="381">
        <f t="shared" si="315"/>
        <v>0</v>
      </c>
      <c r="K2005" s="383"/>
      <c r="L2005" s="383"/>
      <c r="M2005" s="381">
        <f t="shared" si="316"/>
        <v>0</v>
      </c>
      <c r="N2005" s="383"/>
      <c r="O2005" s="383"/>
      <c r="P2005" s="381">
        <f t="shared" si="317"/>
        <v>0</v>
      </c>
      <c r="Q2005" s="383"/>
      <c r="R2005" s="383"/>
      <c r="S2005" s="25">
        <f t="shared" si="318"/>
        <v>0</v>
      </c>
      <c r="T2005" s="383"/>
      <c r="U2005" s="383"/>
      <c r="V2005" s="381">
        <f t="shared" si="319"/>
        <v>0</v>
      </c>
      <c r="W2005" s="383"/>
      <c r="X2005" s="383"/>
      <c r="Y2005" s="381">
        <f t="shared" si="320"/>
        <v>0</v>
      </c>
    </row>
    <row r="2006" spans="2:25" x14ac:dyDescent="0.2">
      <c r="B2006" s="383"/>
      <c r="C2006" s="383"/>
      <c r="D2006" s="381">
        <f t="shared" si="313"/>
        <v>0</v>
      </c>
      <c r="E2006" s="383"/>
      <c r="F2006" s="382"/>
      <c r="G2006" s="381">
        <f t="shared" si="314"/>
        <v>0</v>
      </c>
      <c r="H2006" s="383"/>
      <c r="I2006" s="383"/>
      <c r="J2006" s="381">
        <f t="shared" si="315"/>
        <v>0</v>
      </c>
      <c r="K2006" s="383"/>
      <c r="L2006" s="383"/>
      <c r="M2006" s="381">
        <f t="shared" si="316"/>
        <v>0</v>
      </c>
      <c r="N2006" s="383"/>
      <c r="O2006" s="383"/>
      <c r="P2006" s="381">
        <f t="shared" si="317"/>
        <v>0</v>
      </c>
      <c r="Q2006" s="383"/>
      <c r="R2006" s="383"/>
      <c r="S2006" s="25">
        <f t="shared" si="318"/>
        <v>0</v>
      </c>
      <c r="T2006" s="383"/>
      <c r="U2006" s="383"/>
      <c r="V2006" s="381">
        <f t="shared" si="319"/>
        <v>0</v>
      </c>
      <c r="W2006" s="383"/>
      <c r="X2006" s="383"/>
      <c r="Y2006" s="381">
        <f t="shared" si="320"/>
        <v>0</v>
      </c>
    </row>
    <row r="2007" spans="2:25" x14ac:dyDescent="0.2">
      <c r="B2007" s="383"/>
      <c r="C2007" s="383"/>
      <c r="D2007" s="381">
        <f t="shared" si="313"/>
        <v>0</v>
      </c>
      <c r="E2007" s="383"/>
      <c r="F2007" s="382"/>
      <c r="G2007" s="381">
        <f t="shared" si="314"/>
        <v>0</v>
      </c>
      <c r="H2007" s="383"/>
      <c r="I2007" s="383"/>
      <c r="J2007" s="381">
        <f t="shared" si="315"/>
        <v>0</v>
      </c>
      <c r="K2007" s="383"/>
      <c r="L2007" s="383"/>
      <c r="M2007" s="381">
        <f t="shared" si="316"/>
        <v>0</v>
      </c>
      <c r="N2007" s="383"/>
      <c r="O2007" s="383"/>
      <c r="P2007" s="381">
        <f t="shared" si="317"/>
        <v>0</v>
      </c>
      <c r="Q2007" s="383"/>
      <c r="R2007" s="383"/>
      <c r="S2007" s="25">
        <f t="shared" si="318"/>
        <v>0</v>
      </c>
      <c r="T2007" s="383"/>
      <c r="U2007" s="383"/>
      <c r="V2007" s="381">
        <f t="shared" si="319"/>
        <v>0</v>
      </c>
      <c r="W2007" s="383"/>
      <c r="X2007" s="383"/>
      <c r="Y2007" s="381">
        <f t="shared" si="320"/>
        <v>0</v>
      </c>
    </row>
    <row r="2008" spans="2:25" x14ac:dyDescent="0.2">
      <c r="B2008" s="383"/>
      <c r="C2008" s="383"/>
      <c r="D2008" s="381">
        <f t="shared" si="313"/>
        <v>0</v>
      </c>
      <c r="E2008" s="383"/>
      <c r="F2008" s="382"/>
      <c r="G2008" s="381">
        <f t="shared" si="314"/>
        <v>0</v>
      </c>
      <c r="H2008" s="383"/>
      <c r="I2008" s="383"/>
      <c r="J2008" s="381">
        <f t="shared" si="315"/>
        <v>0</v>
      </c>
      <c r="K2008" s="383"/>
      <c r="L2008" s="383"/>
      <c r="M2008" s="381">
        <f t="shared" si="316"/>
        <v>0</v>
      </c>
      <c r="N2008" s="383"/>
      <c r="O2008" s="383"/>
      <c r="P2008" s="381">
        <f t="shared" si="317"/>
        <v>0</v>
      </c>
      <c r="Q2008" s="383"/>
      <c r="R2008" s="383"/>
      <c r="S2008" s="25">
        <f t="shared" si="318"/>
        <v>0</v>
      </c>
      <c r="T2008" s="383"/>
      <c r="U2008" s="383"/>
      <c r="V2008" s="381">
        <f t="shared" si="319"/>
        <v>0</v>
      </c>
      <c r="W2008" s="383"/>
      <c r="X2008" s="383"/>
      <c r="Y2008" s="381">
        <f t="shared" si="320"/>
        <v>0</v>
      </c>
    </row>
    <row r="2009" spans="2:25" x14ac:dyDescent="0.2">
      <c r="B2009" s="383"/>
      <c r="C2009" s="383"/>
      <c r="D2009" s="381">
        <f t="shared" si="313"/>
        <v>0</v>
      </c>
      <c r="E2009" s="383"/>
      <c r="F2009" s="382"/>
      <c r="G2009" s="381">
        <f t="shared" si="314"/>
        <v>0</v>
      </c>
      <c r="H2009" s="383"/>
      <c r="I2009" s="383"/>
      <c r="J2009" s="381">
        <f t="shared" si="315"/>
        <v>0</v>
      </c>
      <c r="K2009" s="383"/>
      <c r="L2009" s="383"/>
      <c r="M2009" s="381">
        <f t="shared" si="316"/>
        <v>0</v>
      </c>
      <c r="N2009" s="383"/>
      <c r="O2009" s="383"/>
      <c r="P2009" s="381">
        <f t="shared" si="317"/>
        <v>0</v>
      </c>
      <c r="Q2009" s="383"/>
      <c r="R2009" s="383"/>
      <c r="S2009" s="25">
        <f t="shared" si="318"/>
        <v>0</v>
      </c>
      <c r="T2009" s="383"/>
      <c r="U2009" s="383"/>
      <c r="V2009" s="381">
        <f t="shared" si="319"/>
        <v>0</v>
      </c>
      <c r="W2009" s="383"/>
      <c r="X2009" s="383"/>
      <c r="Y2009" s="381">
        <f t="shared" si="320"/>
        <v>0</v>
      </c>
    </row>
    <row r="2010" spans="2:25" x14ac:dyDescent="0.2">
      <c r="B2010" s="383"/>
      <c r="C2010" s="383"/>
      <c r="D2010" s="381">
        <f t="shared" si="313"/>
        <v>0</v>
      </c>
      <c r="E2010" s="383"/>
      <c r="F2010" s="382"/>
      <c r="G2010" s="381">
        <f t="shared" si="314"/>
        <v>0</v>
      </c>
      <c r="H2010" s="383"/>
      <c r="I2010" s="383"/>
      <c r="J2010" s="381">
        <f t="shared" si="315"/>
        <v>0</v>
      </c>
      <c r="K2010" s="383"/>
      <c r="L2010" s="383"/>
      <c r="M2010" s="381">
        <f t="shared" si="316"/>
        <v>0</v>
      </c>
      <c r="N2010" s="383"/>
      <c r="O2010" s="383"/>
      <c r="P2010" s="381">
        <f t="shared" si="317"/>
        <v>0</v>
      </c>
      <c r="Q2010" s="383"/>
      <c r="R2010" s="383"/>
      <c r="S2010" s="25">
        <f t="shared" si="318"/>
        <v>0</v>
      </c>
      <c r="T2010" s="383"/>
      <c r="U2010" s="383"/>
      <c r="V2010" s="381">
        <f t="shared" si="319"/>
        <v>0</v>
      </c>
      <c r="W2010" s="383"/>
      <c r="X2010" s="383"/>
      <c r="Y2010" s="381">
        <f t="shared" si="320"/>
        <v>0</v>
      </c>
    </row>
    <row r="2011" spans="2:25" x14ac:dyDescent="0.2">
      <c r="B2011" s="383"/>
      <c r="C2011" s="383"/>
      <c r="D2011" s="381">
        <f t="shared" si="313"/>
        <v>0</v>
      </c>
      <c r="E2011" s="383"/>
      <c r="F2011" s="382"/>
      <c r="G2011" s="381">
        <f t="shared" si="314"/>
        <v>0</v>
      </c>
      <c r="H2011" s="383"/>
      <c r="I2011" s="383"/>
      <c r="J2011" s="381">
        <f t="shared" si="315"/>
        <v>0</v>
      </c>
      <c r="K2011" s="383"/>
      <c r="L2011" s="383"/>
      <c r="M2011" s="381">
        <f t="shared" si="316"/>
        <v>0</v>
      </c>
      <c r="N2011" s="383"/>
      <c r="O2011" s="383"/>
      <c r="P2011" s="381">
        <f t="shared" si="317"/>
        <v>0</v>
      </c>
      <c r="Q2011" s="383"/>
      <c r="R2011" s="383"/>
      <c r="S2011" s="25">
        <f t="shared" si="318"/>
        <v>0</v>
      </c>
      <c r="T2011" s="383"/>
      <c r="U2011" s="383"/>
      <c r="V2011" s="381">
        <f t="shared" si="319"/>
        <v>0</v>
      </c>
      <c r="W2011" s="383"/>
      <c r="X2011" s="383"/>
      <c r="Y2011" s="381">
        <f t="shared" si="320"/>
        <v>0</v>
      </c>
    </row>
    <row r="2012" spans="2:25" x14ac:dyDescent="0.2">
      <c r="B2012" s="383"/>
      <c r="C2012" s="383"/>
      <c r="D2012" s="381">
        <f t="shared" si="313"/>
        <v>0</v>
      </c>
      <c r="E2012" s="383"/>
      <c r="F2012" s="382"/>
      <c r="G2012" s="381">
        <f t="shared" si="314"/>
        <v>0</v>
      </c>
      <c r="H2012" s="383"/>
      <c r="I2012" s="383"/>
      <c r="J2012" s="381">
        <f t="shared" si="315"/>
        <v>0</v>
      </c>
      <c r="K2012" s="383"/>
      <c r="L2012" s="383"/>
      <c r="M2012" s="381">
        <f t="shared" si="316"/>
        <v>0</v>
      </c>
      <c r="N2012" s="383"/>
      <c r="O2012" s="383"/>
      <c r="P2012" s="381">
        <f t="shared" si="317"/>
        <v>0</v>
      </c>
      <c r="Q2012" s="383"/>
      <c r="R2012" s="383"/>
      <c r="S2012" s="25">
        <f t="shared" si="318"/>
        <v>0</v>
      </c>
      <c r="T2012" s="383"/>
      <c r="U2012" s="383"/>
      <c r="V2012" s="381">
        <f t="shared" si="319"/>
        <v>0</v>
      </c>
      <c r="W2012" s="383"/>
      <c r="X2012" s="383"/>
      <c r="Y2012" s="381">
        <f t="shared" si="320"/>
        <v>0</v>
      </c>
    </row>
    <row r="2013" spans="2:25" x14ac:dyDescent="0.2">
      <c r="B2013" s="383"/>
      <c r="C2013" s="383"/>
      <c r="D2013" s="381">
        <f t="shared" si="313"/>
        <v>0</v>
      </c>
      <c r="E2013" s="383"/>
      <c r="F2013" s="382"/>
      <c r="G2013" s="381">
        <f t="shared" si="314"/>
        <v>0</v>
      </c>
      <c r="H2013" s="383"/>
      <c r="I2013" s="383"/>
      <c r="J2013" s="381">
        <f t="shared" si="315"/>
        <v>0</v>
      </c>
      <c r="K2013" s="383"/>
      <c r="L2013" s="383"/>
      <c r="M2013" s="381">
        <f t="shared" si="316"/>
        <v>0</v>
      </c>
      <c r="N2013" s="383"/>
      <c r="O2013" s="383"/>
      <c r="P2013" s="381">
        <f t="shared" si="317"/>
        <v>0</v>
      </c>
      <c r="Q2013" s="383"/>
      <c r="R2013" s="383"/>
      <c r="S2013" s="25">
        <f t="shared" si="318"/>
        <v>0</v>
      </c>
      <c r="T2013" s="383"/>
      <c r="U2013" s="383"/>
      <c r="V2013" s="381">
        <f t="shared" si="319"/>
        <v>0</v>
      </c>
      <c r="W2013" s="383"/>
      <c r="X2013" s="383"/>
      <c r="Y2013" s="381">
        <f t="shared" si="320"/>
        <v>0</v>
      </c>
    </row>
    <row r="2014" spans="2:25" x14ac:dyDescent="0.2">
      <c r="B2014" s="383"/>
      <c r="C2014" s="383"/>
      <c r="D2014" s="381">
        <f t="shared" si="313"/>
        <v>0</v>
      </c>
      <c r="E2014" s="383"/>
      <c r="F2014" s="382"/>
      <c r="G2014" s="381">
        <f t="shared" si="314"/>
        <v>0</v>
      </c>
      <c r="H2014" s="383"/>
      <c r="I2014" s="383"/>
      <c r="J2014" s="381">
        <f t="shared" si="315"/>
        <v>0</v>
      </c>
      <c r="K2014" s="383"/>
      <c r="L2014" s="383"/>
      <c r="M2014" s="381">
        <f t="shared" si="316"/>
        <v>0</v>
      </c>
      <c r="N2014" s="383"/>
      <c r="O2014" s="383"/>
      <c r="P2014" s="381">
        <f t="shared" si="317"/>
        <v>0</v>
      </c>
      <c r="Q2014" s="383"/>
      <c r="R2014" s="383"/>
      <c r="S2014" s="25">
        <f t="shared" si="318"/>
        <v>0</v>
      </c>
      <c r="T2014" s="383"/>
      <c r="U2014" s="383"/>
      <c r="V2014" s="381">
        <f t="shared" si="319"/>
        <v>0</v>
      </c>
      <c r="W2014" s="383"/>
      <c r="X2014" s="383"/>
      <c r="Y2014" s="381">
        <f t="shared" si="320"/>
        <v>0</v>
      </c>
    </row>
    <row r="2015" spans="2:25" x14ac:dyDescent="0.2">
      <c r="B2015" s="383"/>
      <c r="C2015" s="383"/>
      <c r="D2015" s="381">
        <f t="shared" si="313"/>
        <v>0</v>
      </c>
      <c r="E2015" s="383"/>
      <c r="F2015" s="382"/>
      <c r="G2015" s="381">
        <f t="shared" si="314"/>
        <v>0</v>
      </c>
      <c r="H2015" s="383"/>
      <c r="I2015" s="383"/>
      <c r="J2015" s="381">
        <f t="shared" si="315"/>
        <v>0</v>
      </c>
      <c r="K2015" s="383"/>
      <c r="L2015" s="383"/>
      <c r="M2015" s="381">
        <f t="shared" si="316"/>
        <v>0</v>
      </c>
      <c r="N2015" s="383"/>
      <c r="O2015" s="383"/>
      <c r="P2015" s="381">
        <f t="shared" si="317"/>
        <v>0</v>
      </c>
      <c r="Q2015" s="383"/>
      <c r="R2015" s="383"/>
      <c r="S2015" s="25">
        <f t="shared" si="318"/>
        <v>0</v>
      </c>
      <c r="T2015" s="383"/>
      <c r="U2015" s="383"/>
      <c r="V2015" s="381">
        <f t="shared" si="319"/>
        <v>0</v>
      </c>
      <c r="W2015" s="383"/>
      <c r="X2015" s="383"/>
      <c r="Y2015" s="381">
        <f t="shared" si="320"/>
        <v>0</v>
      </c>
    </row>
    <row r="2016" spans="2:25" x14ac:dyDescent="0.2">
      <c r="B2016" s="383"/>
      <c r="C2016" s="383"/>
      <c r="D2016" s="381">
        <f t="shared" si="313"/>
        <v>0</v>
      </c>
      <c r="E2016" s="383"/>
      <c r="F2016" s="382"/>
      <c r="G2016" s="381">
        <f t="shared" si="314"/>
        <v>0</v>
      </c>
      <c r="H2016" s="383"/>
      <c r="I2016" s="383"/>
      <c r="J2016" s="381">
        <f t="shared" si="315"/>
        <v>0</v>
      </c>
      <c r="K2016" s="383"/>
      <c r="L2016" s="383"/>
      <c r="M2016" s="381">
        <f t="shared" si="316"/>
        <v>0</v>
      </c>
      <c r="N2016" s="383"/>
      <c r="O2016" s="383"/>
      <c r="P2016" s="381">
        <f t="shared" si="317"/>
        <v>0</v>
      </c>
      <c r="Q2016" s="383"/>
      <c r="R2016" s="383"/>
      <c r="S2016" s="25">
        <f t="shared" si="318"/>
        <v>0</v>
      </c>
      <c r="T2016" s="383"/>
      <c r="U2016" s="383"/>
      <c r="V2016" s="381">
        <f t="shared" si="319"/>
        <v>0</v>
      </c>
      <c r="W2016" s="383"/>
      <c r="X2016" s="383"/>
      <c r="Y2016" s="381">
        <f t="shared" si="320"/>
        <v>0</v>
      </c>
    </row>
    <row r="2017" spans="2:25" x14ac:dyDescent="0.2">
      <c r="B2017" s="383"/>
      <c r="C2017" s="383"/>
      <c r="D2017" s="381">
        <f t="shared" si="313"/>
        <v>0</v>
      </c>
      <c r="E2017" s="383"/>
      <c r="F2017" s="382"/>
      <c r="G2017" s="381">
        <f t="shared" si="314"/>
        <v>0</v>
      </c>
      <c r="H2017" s="383"/>
      <c r="I2017" s="383"/>
      <c r="J2017" s="381">
        <f t="shared" si="315"/>
        <v>0</v>
      </c>
      <c r="K2017" s="383"/>
      <c r="L2017" s="383"/>
      <c r="M2017" s="381">
        <f t="shared" si="316"/>
        <v>0</v>
      </c>
      <c r="N2017" s="383"/>
      <c r="O2017" s="383"/>
      <c r="P2017" s="381">
        <f t="shared" si="317"/>
        <v>0</v>
      </c>
      <c r="Q2017" s="383"/>
      <c r="R2017" s="383"/>
      <c r="S2017" s="25">
        <f t="shared" si="318"/>
        <v>0</v>
      </c>
      <c r="T2017" s="383"/>
      <c r="U2017" s="383"/>
      <c r="V2017" s="381">
        <f t="shared" si="319"/>
        <v>0</v>
      </c>
      <c r="W2017" s="383"/>
      <c r="X2017" s="383"/>
      <c r="Y2017" s="381">
        <f t="shared" si="320"/>
        <v>0</v>
      </c>
    </row>
    <row r="2018" spans="2:25" x14ac:dyDescent="0.2">
      <c r="B2018" s="383"/>
      <c r="C2018" s="383"/>
      <c r="D2018" s="381">
        <f t="shared" si="313"/>
        <v>0</v>
      </c>
      <c r="E2018" s="383"/>
      <c r="F2018" s="382"/>
      <c r="G2018" s="381">
        <f t="shared" si="314"/>
        <v>0</v>
      </c>
      <c r="H2018" s="383"/>
      <c r="I2018" s="383"/>
      <c r="J2018" s="381">
        <f t="shared" si="315"/>
        <v>0</v>
      </c>
      <c r="K2018" s="383"/>
      <c r="L2018" s="383"/>
      <c r="M2018" s="381">
        <f t="shared" si="316"/>
        <v>0</v>
      </c>
      <c r="N2018" s="383"/>
      <c r="O2018" s="383"/>
      <c r="P2018" s="381">
        <f t="shared" si="317"/>
        <v>0</v>
      </c>
      <c r="Q2018" s="383"/>
      <c r="R2018" s="383"/>
      <c r="S2018" s="25">
        <f t="shared" si="318"/>
        <v>0</v>
      </c>
      <c r="T2018" s="383"/>
      <c r="U2018" s="383"/>
      <c r="V2018" s="381">
        <f t="shared" si="319"/>
        <v>0</v>
      </c>
      <c r="W2018" s="383"/>
      <c r="X2018" s="383"/>
      <c r="Y2018" s="381">
        <f t="shared" si="320"/>
        <v>0</v>
      </c>
    </row>
    <row r="2019" spans="2:25" x14ac:dyDescent="0.2">
      <c r="B2019" s="383"/>
      <c r="C2019" s="383"/>
      <c r="D2019" s="381">
        <f t="shared" si="313"/>
        <v>0</v>
      </c>
      <c r="E2019" s="383"/>
      <c r="F2019" s="382"/>
      <c r="G2019" s="381">
        <f t="shared" si="314"/>
        <v>0</v>
      </c>
      <c r="H2019" s="383"/>
      <c r="I2019" s="383"/>
      <c r="J2019" s="381">
        <f t="shared" si="315"/>
        <v>0</v>
      </c>
      <c r="K2019" s="383"/>
      <c r="L2019" s="383"/>
      <c r="M2019" s="381">
        <f t="shared" si="316"/>
        <v>0</v>
      </c>
      <c r="N2019" s="383"/>
      <c r="O2019" s="383"/>
      <c r="P2019" s="381">
        <f t="shared" si="317"/>
        <v>0</v>
      </c>
      <c r="Q2019" s="383"/>
      <c r="R2019" s="383"/>
      <c r="S2019" s="25">
        <f t="shared" si="318"/>
        <v>0</v>
      </c>
      <c r="T2019" s="383"/>
      <c r="U2019" s="383"/>
      <c r="V2019" s="381">
        <f t="shared" si="319"/>
        <v>0</v>
      </c>
      <c r="W2019" s="383"/>
      <c r="X2019" s="383"/>
      <c r="Y2019" s="381">
        <f t="shared" si="320"/>
        <v>0</v>
      </c>
    </row>
    <row r="2020" spans="2:25" x14ac:dyDescent="0.2">
      <c r="B2020" s="383"/>
      <c r="C2020" s="383"/>
      <c r="D2020" s="381">
        <f t="shared" si="313"/>
        <v>0</v>
      </c>
      <c r="E2020" s="383"/>
      <c r="F2020" s="382"/>
      <c r="G2020" s="381">
        <f t="shared" si="314"/>
        <v>0</v>
      </c>
      <c r="H2020" s="383"/>
      <c r="I2020" s="383"/>
      <c r="J2020" s="381">
        <f t="shared" si="315"/>
        <v>0</v>
      </c>
      <c r="K2020" s="383"/>
      <c r="L2020" s="383"/>
      <c r="M2020" s="381">
        <f t="shared" si="316"/>
        <v>0</v>
      </c>
      <c r="N2020" s="383"/>
      <c r="O2020" s="383"/>
      <c r="P2020" s="381">
        <f t="shared" si="317"/>
        <v>0</v>
      </c>
      <c r="Q2020" s="383"/>
      <c r="R2020" s="383"/>
      <c r="S2020" s="25">
        <f t="shared" si="318"/>
        <v>0</v>
      </c>
      <c r="T2020" s="383"/>
      <c r="U2020" s="383"/>
      <c r="V2020" s="381">
        <f t="shared" si="319"/>
        <v>0</v>
      </c>
      <c r="W2020" s="383"/>
      <c r="X2020" s="383"/>
      <c r="Y2020" s="381">
        <f t="shared" si="320"/>
        <v>0</v>
      </c>
    </row>
    <row r="2021" spans="2:25" x14ac:dyDescent="0.2">
      <c r="B2021" s="383"/>
      <c r="C2021" s="383"/>
      <c r="D2021" s="381">
        <f t="shared" si="313"/>
        <v>0</v>
      </c>
      <c r="E2021" s="383"/>
      <c r="F2021" s="382"/>
      <c r="G2021" s="381">
        <f t="shared" si="314"/>
        <v>0</v>
      </c>
      <c r="H2021" s="383"/>
      <c r="I2021" s="383"/>
      <c r="J2021" s="381">
        <f t="shared" si="315"/>
        <v>0</v>
      </c>
      <c r="K2021" s="383"/>
      <c r="L2021" s="383"/>
      <c r="M2021" s="381">
        <f t="shared" si="316"/>
        <v>0</v>
      </c>
      <c r="N2021" s="383"/>
      <c r="O2021" s="383"/>
      <c r="P2021" s="381">
        <f t="shared" si="317"/>
        <v>0</v>
      </c>
      <c r="Q2021" s="383"/>
      <c r="R2021" s="383"/>
      <c r="S2021" s="25">
        <f t="shared" si="318"/>
        <v>0</v>
      </c>
      <c r="T2021" s="383"/>
      <c r="U2021" s="383"/>
      <c r="V2021" s="381">
        <f t="shared" si="319"/>
        <v>0</v>
      </c>
      <c r="W2021" s="383"/>
      <c r="X2021" s="383"/>
      <c r="Y2021" s="381">
        <f t="shared" si="320"/>
        <v>0</v>
      </c>
    </row>
    <row r="2022" spans="2:25" x14ac:dyDescent="0.2">
      <c r="B2022" s="383"/>
      <c r="C2022" s="383"/>
      <c r="D2022" s="381">
        <f t="shared" si="313"/>
        <v>0</v>
      </c>
      <c r="E2022" s="383"/>
      <c r="F2022" s="382"/>
      <c r="G2022" s="381">
        <f t="shared" si="314"/>
        <v>0</v>
      </c>
      <c r="H2022" s="383"/>
      <c r="I2022" s="383"/>
      <c r="J2022" s="381">
        <f t="shared" si="315"/>
        <v>0</v>
      </c>
      <c r="K2022" s="383"/>
      <c r="L2022" s="383"/>
      <c r="M2022" s="381">
        <f t="shared" si="316"/>
        <v>0</v>
      </c>
      <c r="N2022" s="383"/>
      <c r="O2022" s="383"/>
      <c r="P2022" s="381">
        <f t="shared" si="317"/>
        <v>0</v>
      </c>
      <c r="Q2022" s="383"/>
      <c r="R2022" s="383"/>
      <c r="S2022" s="25">
        <f t="shared" si="318"/>
        <v>0</v>
      </c>
      <c r="T2022" s="383"/>
      <c r="U2022" s="383"/>
      <c r="V2022" s="381">
        <f t="shared" si="319"/>
        <v>0</v>
      </c>
      <c r="W2022" s="383"/>
      <c r="X2022" s="383"/>
      <c r="Y2022" s="381">
        <f t="shared" si="320"/>
        <v>0</v>
      </c>
    </row>
    <row r="2023" spans="2:25" x14ac:dyDescent="0.2">
      <c r="B2023" s="383"/>
      <c r="C2023" s="383"/>
      <c r="D2023" s="381">
        <f t="shared" si="313"/>
        <v>0</v>
      </c>
      <c r="E2023" s="383"/>
      <c r="F2023" s="382"/>
      <c r="G2023" s="381">
        <f t="shared" si="314"/>
        <v>0</v>
      </c>
      <c r="H2023" s="383"/>
      <c r="I2023" s="383"/>
      <c r="J2023" s="381">
        <f t="shared" si="315"/>
        <v>0</v>
      </c>
      <c r="K2023" s="383"/>
      <c r="L2023" s="383"/>
      <c r="M2023" s="381">
        <f t="shared" si="316"/>
        <v>0</v>
      </c>
      <c r="N2023" s="383"/>
      <c r="O2023" s="383"/>
      <c r="P2023" s="381">
        <f t="shared" si="317"/>
        <v>0</v>
      </c>
      <c r="Q2023" s="383"/>
      <c r="R2023" s="383"/>
      <c r="S2023" s="25">
        <f t="shared" si="318"/>
        <v>0</v>
      </c>
      <c r="T2023" s="383"/>
      <c r="U2023" s="383"/>
      <c r="V2023" s="381">
        <f t="shared" si="319"/>
        <v>0</v>
      </c>
      <c r="W2023" s="383"/>
      <c r="X2023" s="383"/>
      <c r="Y2023" s="381">
        <f t="shared" si="320"/>
        <v>0</v>
      </c>
    </row>
    <row r="2024" spans="2:25" x14ac:dyDescent="0.2">
      <c r="B2024" s="383"/>
      <c r="C2024" s="383"/>
      <c r="D2024" s="381">
        <f t="shared" si="313"/>
        <v>0</v>
      </c>
      <c r="E2024" s="383"/>
      <c r="F2024" s="382"/>
      <c r="G2024" s="381">
        <f t="shared" si="314"/>
        <v>0</v>
      </c>
      <c r="H2024" s="383"/>
      <c r="I2024" s="383"/>
      <c r="J2024" s="381">
        <f t="shared" si="315"/>
        <v>0</v>
      </c>
      <c r="K2024" s="383"/>
      <c r="L2024" s="383"/>
      <c r="M2024" s="381">
        <f t="shared" si="316"/>
        <v>0</v>
      </c>
      <c r="N2024" s="383"/>
      <c r="O2024" s="383"/>
      <c r="P2024" s="381">
        <f t="shared" si="317"/>
        <v>0</v>
      </c>
      <c r="Q2024" s="383"/>
      <c r="R2024" s="383"/>
      <c r="S2024" s="25">
        <f t="shared" si="318"/>
        <v>0</v>
      </c>
      <c r="T2024" s="383"/>
      <c r="U2024" s="383"/>
      <c r="V2024" s="381">
        <f t="shared" si="319"/>
        <v>0</v>
      </c>
      <c r="W2024" s="383"/>
      <c r="X2024" s="383"/>
      <c r="Y2024" s="381">
        <f t="shared" si="320"/>
        <v>0</v>
      </c>
    </row>
    <row r="2025" spans="2:25" x14ac:dyDescent="0.2">
      <c r="B2025" s="383"/>
      <c r="C2025" s="383"/>
      <c r="D2025" s="381">
        <f t="shared" si="313"/>
        <v>0</v>
      </c>
      <c r="E2025" s="383"/>
      <c r="F2025" s="382"/>
      <c r="G2025" s="381">
        <f t="shared" si="314"/>
        <v>0</v>
      </c>
      <c r="H2025" s="383"/>
      <c r="I2025" s="383"/>
      <c r="J2025" s="381">
        <f t="shared" si="315"/>
        <v>0</v>
      </c>
      <c r="K2025" s="383"/>
      <c r="L2025" s="383"/>
      <c r="M2025" s="381">
        <f t="shared" si="316"/>
        <v>0</v>
      </c>
      <c r="N2025" s="383"/>
      <c r="O2025" s="383"/>
      <c r="P2025" s="381">
        <f t="shared" si="317"/>
        <v>0</v>
      </c>
      <c r="Q2025" s="383"/>
      <c r="R2025" s="383"/>
      <c r="S2025" s="25">
        <f t="shared" si="318"/>
        <v>0</v>
      </c>
      <c r="T2025" s="383"/>
      <c r="U2025" s="383"/>
      <c r="V2025" s="381">
        <f t="shared" si="319"/>
        <v>0</v>
      </c>
      <c r="W2025" s="383"/>
      <c r="X2025" s="383"/>
      <c r="Y2025" s="381">
        <f t="shared" si="320"/>
        <v>0</v>
      </c>
    </row>
    <row r="2026" spans="2:25" x14ac:dyDescent="0.2">
      <c r="B2026" s="383"/>
      <c r="C2026" s="383"/>
      <c r="D2026" s="381">
        <f t="shared" si="313"/>
        <v>0</v>
      </c>
      <c r="E2026" s="383"/>
      <c r="F2026" s="382"/>
      <c r="G2026" s="381">
        <f t="shared" si="314"/>
        <v>0</v>
      </c>
      <c r="H2026" s="383"/>
      <c r="I2026" s="383"/>
      <c r="J2026" s="381">
        <f t="shared" si="315"/>
        <v>0</v>
      </c>
      <c r="K2026" s="383"/>
      <c r="L2026" s="383"/>
      <c r="M2026" s="381">
        <f t="shared" si="316"/>
        <v>0</v>
      </c>
      <c r="N2026" s="383"/>
      <c r="O2026" s="383"/>
      <c r="P2026" s="381">
        <f t="shared" si="317"/>
        <v>0</v>
      </c>
      <c r="Q2026" s="383"/>
      <c r="R2026" s="383"/>
      <c r="S2026" s="25">
        <f t="shared" si="318"/>
        <v>0</v>
      </c>
      <c r="T2026" s="383"/>
      <c r="U2026" s="383"/>
      <c r="V2026" s="381">
        <f t="shared" si="319"/>
        <v>0</v>
      </c>
      <c r="W2026" s="383"/>
      <c r="X2026" s="383"/>
      <c r="Y2026" s="381">
        <f t="shared" si="320"/>
        <v>0</v>
      </c>
    </row>
    <row r="2027" spans="2:25" x14ac:dyDescent="0.2">
      <c r="B2027" s="383"/>
      <c r="C2027" s="383"/>
      <c r="D2027" s="381">
        <f t="shared" si="313"/>
        <v>0</v>
      </c>
      <c r="E2027" s="383"/>
      <c r="F2027" s="382"/>
      <c r="G2027" s="381">
        <f t="shared" si="314"/>
        <v>0</v>
      </c>
      <c r="H2027" s="383"/>
      <c r="I2027" s="383"/>
      <c r="J2027" s="381">
        <f t="shared" si="315"/>
        <v>0</v>
      </c>
      <c r="K2027" s="383"/>
      <c r="L2027" s="383"/>
      <c r="M2027" s="381">
        <f t="shared" si="316"/>
        <v>0</v>
      </c>
      <c r="N2027" s="383"/>
      <c r="O2027" s="383"/>
      <c r="P2027" s="381">
        <f t="shared" si="317"/>
        <v>0</v>
      </c>
      <c r="Q2027" s="383"/>
      <c r="R2027" s="383"/>
      <c r="S2027" s="25">
        <f t="shared" si="318"/>
        <v>0</v>
      </c>
      <c r="T2027" s="383"/>
      <c r="U2027" s="383"/>
      <c r="V2027" s="381">
        <f t="shared" si="319"/>
        <v>0</v>
      </c>
      <c r="W2027" s="383"/>
      <c r="X2027" s="383"/>
      <c r="Y2027" s="381">
        <f t="shared" si="320"/>
        <v>0</v>
      </c>
    </row>
    <row r="2028" spans="2:25" x14ac:dyDescent="0.2">
      <c r="B2028" s="383"/>
      <c r="C2028" s="383"/>
      <c r="D2028" s="381">
        <f t="shared" si="313"/>
        <v>0</v>
      </c>
      <c r="E2028" s="383"/>
      <c r="F2028" s="382"/>
      <c r="G2028" s="381">
        <f t="shared" si="314"/>
        <v>0</v>
      </c>
      <c r="H2028" s="383"/>
      <c r="I2028" s="383"/>
      <c r="J2028" s="381">
        <f t="shared" si="315"/>
        <v>0</v>
      </c>
      <c r="K2028" s="383"/>
      <c r="L2028" s="383"/>
      <c r="M2028" s="381">
        <f t="shared" si="316"/>
        <v>0</v>
      </c>
      <c r="N2028" s="383"/>
      <c r="O2028" s="383"/>
      <c r="P2028" s="381">
        <f t="shared" si="317"/>
        <v>0</v>
      </c>
      <c r="Q2028" s="383"/>
      <c r="R2028" s="383"/>
      <c r="S2028" s="25">
        <f t="shared" si="318"/>
        <v>0</v>
      </c>
      <c r="T2028" s="383"/>
      <c r="U2028" s="383"/>
      <c r="V2028" s="381">
        <f t="shared" si="319"/>
        <v>0</v>
      </c>
      <c r="W2028" s="383"/>
      <c r="X2028" s="383"/>
      <c r="Y2028" s="381">
        <f t="shared" si="320"/>
        <v>0</v>
      </c>
    </row>
    <row r="2029" spans="2:25" x14ac:dyDescent="0.2">
      <c r="B2029" s="383"/>
      <c r="C2029" s="383"/>
      <c r="D2029" s="381">
        <f t="shared" si="313"/>
        <v>0</v>
      </c>
      <c r="E2029" s="383"/>
      <c r="F2029" s="382"/>
      <c r="G2029" s="381">
        <f t="shared" si="314"/>
        <v>0</v>
      </c>
      <c r="H2029" s="383"/>
      <c r="I2029" s="383"/>
      <c r="J2029" s="381">
        <f t="shared" si="315"/>
        <v>0</v>
      </c>
      <c r="K2029" s="383"/>
      <c r="L2029" s="383"/>
      <c r="M2029" s="381">
        <f t="shared" si="316"/>
        <v>0</v>
      </c>
      <c r="N2029" s="383"/>
      <c r="O2029" s="383"/>
      <c r="P2029" s="381">
        <f t="shared" si="317"/>
        <v>0</v>
      </c>
      <c r="Q2029" s="383"/>
      <c r="R2029" s="383"/>
      <c r="S2029" s="25">
        <f t="shared" si="318"/>
        <v>0</v>
      </c>
      <c r="T2029" s="383"/>
      <c r="U2029" s="383"/>
      <c r="V2029" s="381">
        <f t="shared" si="319"/>
        <v>0</v>
      </c>
      <c r="W2029" s="383"/>
      <c r="X2029" s="383"/>
      <c r="Y2029" s="381">
        <f t="shared" si="320"/>
        <v>0</v>
      </c>
    </row>
    <row r="2030" spans="2:25" x14ac:dyDescent="0.2">
      <c r="B2030" s="383"/>
      <c r="C2030" s="383"/>
      <c r="D2030" s="381">
        <f t="shared" si="313"/>
        <v>0</v>
      </c>
      <c r="E2030" s="383"/>
      <c r="F2030" s="382"/>
      <c r="G2030" s="381">
        <f t="shared" si="314"/>
        <v>0</v>
      </c>
      <c r="H2030" s="383"/>
      <c r="I2030" s="383"/>
      <c r="J2030" s="381">
        <f t="shared" si="315"/>
        <v>0</v>
      </c>
      <c r="K2030" s="383"/>
      <c r="L2030" s="383"/>
      <c r="M2030" s="381">
        <f t="shared" si="316"/>
        <v>0</v>
      </c>
      <c r="N2030" s="383"/>
      <c r="O2030" s="383"/>
      <c r="P2030" s="381">
        <f t="shared" si="317"/>
        <v>0</v>
      </c>
      <c r="Q2030" s="383"/>
      <c r="R2030" s="383"/>
      <c r="S2030" s="25">
        <f t="shared" si="318"/>
        <v>0</v>
      </c>
      <c r="T2030" s="383"/>
      <c r="U2030" s="383"/>
      <c r="V2030" s="381">
        <f t="shared" si="319"/>
        <v>0</v>
      </c>
      <c r="W2030" s="383"/>
      <c r="X2030" s="383"/>
      <c r="Y2030" s="381">
        <f t="shared" si="320"/>
        <v>0</v>
      </c>
    </row>
    <row r="2031" spans="2:25" x14ac:dyDescent="0.2">
      <c r="B2031" s="383"/>
      <c r="C2031" s="383"/>
      <c r="D2031" s="381">
        <f t="shared" si="313"/>
        <v>0</v>
      </c>
      <c r="E2031" s="383"/>
      <c r="F2031" s="382"/>
      <c r="G2031" s="381">
        <f t="shared" si="314"/>
        <v>0</v>
      </c>
      <c r="H2031" s="383"/>
      <c r="I2031" s="383"/>
      <c r="J2031" s="381">
        <f t="shared" si="315"/>
        <v>0</v>
      </c>
      <c r="K2031" s="383"/>
      <c r="L2031" s="383"/>
      <c r="M2031" s="381">
        <f t="shared" si="316"/>
        <v>0</v>
      </c>
      <c r="N2031" s="383"/>
      <c r="O2031" s="383"/>
      <c r="P2031" s="381">
        <f t="shared" si="317"/>
        <v>0</v>
      </c>
      <c r="Q2031" s="383"/>
      <c r="R2031" s="383"/>
      <c r="S2031" s="25">
        <f t="shared" si="318"/>
        <v>0</v>
      </c>
      <c r="T2031" s="383"/>
      <c r="U2031" s="383"/>
      <c r="V2031" s="381">
        <f t="shared" si="319"/>
        <v>0</v>
      </c>
      <c r="W2031" s="383"/>
      <c r="X2031" s="383"/>
      <c r="Y2031" s="381">
        <f t="shared" si="320"/>
        <v>0</v>
      </c>
    </row>
    <row r="2032" spans="2:25" x14ac:dyDescent="0.2">
      <c r="B2032" s="383"/>
      <c r="C2032" s="383"/>
      <c r="D2032" s="381">
        <f t="shared" si="313"/>
        <v>0</v>
      </c>
      <c r="E2032" s="383"/>
      <c r="F2032" s="382"/>
      <c r="G2032" s="381">
        <f t="shared" si="314"/>
        <v>0</v>
      </c>
      <c r="H2032" s="383"/>
      <c r="I2032" s="383"/>
      <c r="J2032" s="381">
        <f t="shared" si="315"/>
        <v>0</v>
      </c>
      <c r="K2032" s="383"/>
      <c r="L2032" s="383"/>
      <c r="M2032" s="381">
        <f t="shared" si="316"/>
        <v>0</v>
      </c>
      <c r="N2032" s="383"/>
      <c r="O2032" s="383"/>
      <c r="P2032" s="381">
        <f t="shared" si="317"/>
        <v>0</v>
      </c>
      <c r="Q2032" s="383"/>
      <c r="R2032" s="383"/>
      <c r="S2032" s="25">
        <f t="shared" si="318"/>
        <v>0</v>
      </c>
      <c r="T2032" s="383"/>
      <c r="U2032" s="383"/>
      <c r="V2032" s="381">
        <f t="shared" si="319"/>
        <v>0</v>
      </c>
      <c r="W2032" s="383"/>
      <c r="X2032" s="383"/>
      <c r="Y2032" s="381">
        <f t="shared" si="320"/>
        <v>0</v>
      </c>
    </row>
    <row r="2033" spans="2:25" x14ac:dyDescent="0.2">
      <c r="B2033" s="383"/>
      <c r="C2033" s="383"/>
      <c r="D2033" s="381">
        <f t="shared" si="313"/>
        <v>0</v>
      </c>
      <c r="E2033" s="383"/>
      <c r="F2033" s="382"/>
      <c r="G2033" s="381">
        <f t="shared" si="314"/>
        <v>0</v>
      </c>
      <c r="H2033" s="383"/>
      <c r="I2033" s="383"/>
      <c r="J2033" s="381">
        <f t="shared" si="315"/>
        <v>0</v>
      </c>
      <c r="K2033" s="383"/>
      <c r="L2033" s="383"/>
      <c r="M2033" s="381">
        <f t="shared" si="316"/>
        <v>0</v>
      </c>
      <c r="N2033" s="383"/>
      <c r="O2033" s="383"/>
      <c r="P2033" s="381">
        <f t="shared" si="317"/>
        <v>0</v>
      </c>
      <c r="Q2033" s="383"/>
      <c r="R2033" s="383"/>
      <c r="S2033" s="25">
        <f t="shared" si="318"/>
        <v>0</v>
      </c>
      <c r="T2033" s="383"/>
      <c r="U2033" s="383"/>
      <c r="V2033" s="381">
        <f t="shared" si="319"/>
        <v>0</v>
      </c>
      <c r="W2033" s="383"/>
      <c r="X2033" s="383"/>
      <c r="Y2033" s="381">
        <f t="shared" si="320"/>
        <v>0</v>
      </c>
    </row>
    <row r="2034" spans="2:25" x14ac:dyDescent="0.2">
      <c r="B2034" s="383"/>
      <c r="C2034" s="383"/>
      <c r="D2034" s="381">
        <f t="shared" si="313"/>
        <v>0</v>
      </c>
      <c r="E2034" s="383"/>
      <c r="F2034" s="382"/>
      <c r="G2034" s="381">
        <f t="shared" si="314"/>
        <v>0</v>
      </c>
      <c r="H2034" s="383"/>
      <c r="I2034" s="383"/>
      <c r="J2034" s="381">
        <f t="shared" si="315"/>
        <v>0</v>
      </c>
      <c r="K2034" s="383"/>
      <c r="L2034" s="383"/>
      <c r="M2034" s="381">
        <f t="shared" si="316"/>
        <v>0</v>
      </c>
      <c r="N2034" s="383"/>
      <c r="O2034" s="383"/>
      <c r="P2034" s="381">
        <f t="shared" si="317"/>
        <v>0</v>
      </c>
      <c r="Q2034" s="383"/>
      <c r="R2034" s="383"/>
      <c r="S2034" s="25">
        <f t="shared" si="318"/>
        <v>0</v>
      </c>
      <c r="T2034" s="383"/>
      <c r="U2034" s="383"/>
      <c r="V2034" s="381">
        <f t="shared" si="319"/>
        <v>0</v>
      </c>
      <c r="W2034" s="383"/>
      <c r="X2034" s="383"/>
      <c r="Y2034" s="381">
        <f t="shared" si="320"/>
        <v>0</v>
      </c>
    </row>
    <row r="2035" spans="2:25" x14ac:dyDescent="0.2">
      <c r="B2035" s="383"/>
      <c r="C2035" s="383"/>
      <c r="D2035" s="381">
        <f t="shared" si="313"/>
        <v>0</v>
      </c>
      <c r="E2035" s="383"/>
      <c r="F2035" s="382"/>
      <c r="G2035" s="381">
        <f t="shared" si="314"/>
        <v>0</v>
      </c>
      <c r="H2035" s="383"/>
      <c r="I2035" s="383"/>
      <c r="J2035" s="381">
        <f t="shared" si="315"/>
        <v>0</v>
      </c>
      <c r="K2035" s="383"/>
      <c r="L2035" s="383"/>
      <c r="M2035" s="381">
        <f t="shared" si="316"/>
        <v>0</v>
      </c>
      <c r="N2035" s="383"/>
      <c r="O2035" s="383"/>
      <c r="P2035" s="381">
        <f t="shared" si="317"/>
        <v>0</v>
      </c>
      <c r="Q2035" s="383"/>
      <c r="R2035" s="383"/>
      <c r="S2035" s="25">
        <f t="shared" si="318"/>
        <v>0</v>
      </c>
      <c r="T2035" s="383"/>
      <c r="U2035" s="383"/>
      <c r="V2035" s="381">
        <f t="shared" si="319"/>
        <v>0</v>
      </c>
      <c r="W2035" s="383"/>
      <c r="X2035" s="383"/>
      <c r="Y2035" s="381">
        <f t="shared" si="320"/>
        <v>0</v>
      </c>
    </row>
    <row r="2036" spans="2:25" x14ac:dyDescent="0.2">
      <c r="B2036" s="383"/>
      <c r="C2036" s="383"/>
      <c r="D2036" s="381">
        <f t="shared" si="313"/>
        <v>0</v>
      </c>
      <c r="E2036" s="383"/>
      <c r="F2036" s="382"/>
      <c r="G2036" s="381">
        <f t="shared" si="314"/>
        <v>0</v>
      </c>
      <c r="H2036" s="383"/>
      <c r="I2036" s="383"/>
      <c r="J2036" s="381">
        <f t="shared" si="315"/>
        <v>0</v>
      </c>
      <c r="K2036" s="383"/>
      <c r="L2036" s="383"/>
      <c r="M2036" s="381">
        <f t="shared" si="316"/>
        <v>0</v>
      </c>
      <c r="N2036" s="383"/>
      <c r="O2036" s="383"/>
      <c r="P2036" s="381">
        <f t="shared" si="317"/>
        <v>0</v>
      </c>
      <c r="Q2036" s="383"/>
      <c r="R2036" s="383"/>
      <c r="S2036" s="25">
        <f t="shared" si="318"/>
        <v>0</v>
      </c>
      <c r="T2036" s="383"/>
      <c r="U2036" s="383"/>
      <c r="V2036" s="381">
        <f t="shared" si="319"/>
        <v>0</v>
      </c>
      <c r="W2036" s="383"/>
      <c r="X2036" s="383"/>
      <c r="Y2036" s="381">
        <f t="shared" si="320"/>
        <v>0</v>
      </c>
    </row>
    <row r="2037" spans="2:25" x14ac:dyDescent="0.2">
      <c r="B2037" s="383"/>
      <c r="C2037" s="383"/>
      <c r="D2037" s="381">
        <f t="shared" si="313"/>
        <v>0</v>
      </c>
      <c r="E2037" s="383"/>
      <c r="F2037" s="382"/>
      <c r="G2037" s="381">
        <f t="shared" si="314"/>
        <v>0</v>
      </c>
      <c r="H2037" s="383"/>
      <c r="I2037" s="383"/>
      <c r="J2037" s="381">
        <f t="shared" si="315"/>
        <v>0</v>
      </c>
      <c r="K2037" s="383"/>
      <c r="L2037" s="383"/>
      <c r="M2037" s="381">
        <f t="shared" si="316"/>
        <v>0</v>
      </c>
      <c r="N2037" s="383"/>
      <c r="O2037" s="383"/>
      <c r="P2037" s="381">
        <f t="shared" si="317"/>
        <v>0</v>
      </c>
      <c r="Q2037" s="383"/>
      <c r="R2037" s="383"/>
      <c r="S2037" s="25">
        <f t="shared" si="318"/>
        <v>0</v>
      </c>
      <c r="T2037" s="383"/>
      <c r="U2037" s="383"/>
      <c r="V2037" s="381">
        <f t="shared" si="319"/>
        <v>0</v>
      </c>
      <c r="W2037" s="383"/>
      <c r="X2037" s="383"/>
      <c r="Y2037" s="381">
        <f t="shared" si="320"/>
        <v>0</v>
      </c>
    </row>
    <row r="2038" spans="2:25" x14ac:dyDescent="0.2">
      <c r="B2038" s="383"/>
      <c r="C2038" s="383"/>
      <c r="D2038" s="381">
        <f t="shared" si="313"/>
        <v>0</v>
      </c>
      <c r="E2038" s="383"/>
      <c r="F2038" s="382"/>
      <c r="G2038" s="381">
        <f t="shared" si="314"/>
        <v>0</v>
      </c>
      <c r="H2038" s="383"/>
      <c r="I2038" s="383"/>
      <c r="J2038" s="381">
        <f t="shared" si="315"/>
        <v>0</v>
      </c>
      <c r="K2038" s="383"/>
      <c r="L2038" s="383"/>
      <c r="M2038" s="381">
        <f t="shared" si="316"/>
        <v>0</v>
      </c>
      <c r="N2038" s="383"/>
      <c r="O2038" s="383"/>
      <c r="P2038" s="381">
        <f t="shared" si="317"/>
        <v>0</v>
      </c>
      <c r="Q2038" s="383"/>
      <c r="R2038" s="383"/>
      <c r="S2038" s="25">
        <f t="shared" si="318"/>
        <v>0</v>
      </c>
      <c r="T2038" s="383"/>
      <c r="U2038" s="383"/>
      <c r="V2038" s="381">
        <f t="shared" si="319"/>
        <v>0</v>
      </c>
      <c r="W2038" s="383"/>
      <c r="X2038" s="383"/>
      <c r="Y2038" s="381">
        <f t="shared" si="320"/>
        <v>0</v>
      </c>
    </row>
    <row r="2039" spans="2:25" x14ac:dyDescent="0.2">
      <c r="B2039" s="383"/>
      <c r="C2039" s="383"/>
      <c r="D2039" s="381">
        <f t="shared" si="313"/>
        <v>0</v>
      </c>
      <c r="E2039" s="383"/>
      <c r="F2039" s="382"/>
      <c r="G2039" s="381">
        <f t="shared" si="314"/>
        <v>0</v>
      </c>
      <c r="H2039" s="383"/>
      <c r="I2039" s="383"/>
      <c r="J2039" s="381">
        <f t="shared" si="315"/>
        <v>0</v>
      </c>
      <c r="K2039" s="383"/>
      <c r="L2039" s="383"/>
      <c r="M2039" s="381">
        <f t="shared" si="316"/>
        <v>0</v>
      </c>
      <c r="N2039" s="383"/>
      <c r="O2039" s="383"/>
      <c r="P2039" s="381">
        <f t="shared" si="317"/>
        <v>0</v>
      </c>
      <c r="Q2039" s="383"/>
      <c r="R2039" s="383"/>
      <c r="S2039" s="25">
        <f t="shared" si="318"/>
        <v>0</v>
      </c>
      <c r="T2039" s="383"/>
      <c r="U2039" s="383"/>
      <c r="V2039" s="381">
        <f t="shared" si="319"/>
        <v>0</v>
      </c>
      <c r="W2039" s="383"/>
      <c r="X2039" s="383"/>
      <c r="Y2039" s="381">
        <f t="shared" si="320"/>
        <v>0</v>
      </c>
    </row>
    <row r="2040" spans="2:25" x14ac:dyDescent="0.2">
      <c r="B2040" s="383"/>
      <c r="C2040" s="383"/>
      <c r="D2040" s="381">
        <f t="shared" si="313"/>
        <v>0</v>
      </c>
      <c r="E2040" s="383"/>
      <c r="F2040" s="382"/>
      <c r="G2040" s="381">
        <f t="shared" si="314"/>
        <v>0</v>
      </c>
      <c r="H2040" s="383"/>
      <c r="I2040" s="383"/>
      <c r="J2040" s="381">
        <f t="shared" si="315"/>
        <v>0</v>
      </c>
      <c r="K2040" s="383"/>
      <c r="L2040" s="383"/>
      <c r="M2040" s="381">
        <f t="shared" si="316"/>
        <v>0</v>
      </c>
      <c r="N2040" s="383"/>
      <c r="O2040" s="383"/>
      <c r="P2040" s="381">
        <f t="shared" si="317"/>
        <v>0</v>
      </c>
      <c r="Q2040" s="383"/>
      <c r="R2040" s="383"/>
      <c r="S2040" s="25">
        <f t="shared" si="318"/>
        <v>0</v>
      </c>
      <c r="T2040" s="383"/>
      <c r="U2040" s="383"/>
      <c r="V2040" s="381">
        <f t="shared" si="319"/>
        <v>0</v>
      </c>
      <c r="W2040" s="383"/>
      <c r="X2040" s="383"/>
      <c r="Y2040" s="381">
        <f t="shared" si="320"/>
        <v>0</v>
      </c>
    </row>
    <row r="2041" spans="2:25" x14ac:dyDescent="0.2">
      <c r="B2041" s="383"/>
      <c r="C2041" s="383"/>
      <c r="D2041" s="381">
        <f t="shared" si="313"/>
        <v>0</v>
      </c>
      <c r="E2041" s="383"/>
      <c r="F2041" s="382"/>
      <c r="G2041" s="381">
        <f t="shared" si="314"/>
        <v>0</v>
      </c>
      <c r="H2041" s="383"/>
      <c r="I2041" s="383"/>
      <c r="J2041" s="381">
        <f t="shared" si="315"/>
        <v>0</v>
      </c>
      <c r="K2041" s="383"/>
      <c r="L2041" s="383"/>
      <c r="M2041" s="381">
        <f t="shared" si="316"/>
        <v>0</v>
      </c>
      <c r="N2041" s="383"/>
      <c r="O2041" s="383"/>
      <c r="P2041" s="381">
        <f t="shared" si="317"/>
        <v>0</v>
      </c>
      <c r="Q2041" s="383"/>
      <c r="R2041" s="383"/>
      <c r="S2041" s="25">
        <f t="shared" si="318"/>
        <v>0</v>
      </c>
      <c r="T2041" s="383"/>
      <c r="U2041" s="383"/>
      <c r="V2041" s="381">
        <f t="shared" si="319"/>
        <v>0</v>
      </c>
      <c r="W2041" s="383"/>
      <c r="X2041" s="383"/>
      <c r="Y2041" s="381">
        <f t="shared" si="320"/>
        <v>0</v>
      </c>
    </row>
    <row r="2042" spans="2:25" x14ac:dyDescent="0.2">
      <c r="B2042" s="383"/>
      <c r="C2042" s="383"/>
      <c r="D2042" s="381">
        <f t="shared" si="313"/>
        <v>0</v>
      </c>
      <c r="E2042" s="383"/>
      <c r="F2042" s="382"/>
      <c r="G2042" s="381">
        <f t="shared" si="314"/>
        <v>0</v>
      </c>
      <c r="H2042" s="383"/>
      <c r="I2042" s="383"/>
      <c r="J2042" s="381">
        <f t="shared" si="315"/>
        <v>0</v>
      </c>
      <c r="K2042" s="383"/>
      <c r="L2042" s="383"/>
      <c r="M2042" s="381">
        <f t="shared" si="316"/>
        <v>0</v>
      </c>
      <c r="N2042" s="383"/>
      <c r="O2042" s="383"/>
      <c r="P2042" s="381">
        <f t="shared" si="317"/>
        <v>0</v>
      </c>
      <c r="Q2042" s="383"/>
      <c r="R2042" s="383"/>
      <c r="S2042" s="25">
        <f t="shared" si="318"/>
        <v>0</v>
      </c>
      <c r="T2042" s="383"/>
      <c r="U2042" s="383"/>
      <c r="V2042" s="381">
        <f t="shared" si="319"/>
        <v>0</v>
      </c>
      <c r="W2042" s="383"/>
      <c r="X2042" s="383"/>
      <c r="Y2042" s="381">
        <f t="shared" si="320"/>
        <v>0</v>
      </c>
    </row>
    <row r="2043" spans="2:25" x14ac:dyDescent="0.2">
      <c r="B2043" s="383"/>
      <c r="C2043" s="383"/>
      <c r="D2043" s="381">
        <f t="shared" si="313"/>
        <v>0</v>
      </c>
      <c r="E2043" s="383"/>
      <c r="F2043" s="382"/>
      <c r="G2043" s="381">
        <f t="shared" si="314"/>
        <v>0</v>
      </c>
      <c r="H2043" s="383"/>
      <c r="I2043" s="383"/>
      <c r="J2043" s="381">
        <f t="shared" si="315"/>
        <v>0</v>
      </c>
      <c r="K2043" s="383"/>
      <c r="L2043" s="383"/>
      <c r="M2043" s="381">
        <f t="shared" si="316"/>
        <v>0</v>
      </c>
      <c r="N2043" s="383"/>
      <c r="O2043" s="383"/>
      <c r="P2043" s="381">
        <f t="shared" si="317"/>
        <v>0</v>
      </c>
      <c r="Q2043" s="383"/>
      <c r="R2043" s="383"/>
      <c r="S2043" s="25">
        <f t="shared" si="318"/>
        <v>0</v>
      </c>
      <c r="T2043" s="383"/>
      <c r="U2043" s="383"/>
      <c r="V2043" s="381">
        <f t="shared" si="319"/>
        <v>0</v>
      </c>
      <c r="W2043" s="383"/>
      <c r="X2043" s="383"/>
      <c r="Y2043" s="381">
        <f t="shared" si="320"/>
        <v>0</v>
      </c>
    </row>
    <row r="2044" spans="2:25" x14ac:dyDescent="0.2">
      <c r="B2044" s="383"/>
      <c r="C2044" s="383"/>
      <c r="D2044" s="381">
        <f t="shared" si="313"/>
        <v>0</v>
      </c>
      <c r="E2044" s="383"/>
      <c r="F2044" s="382"/>
      <c r="G2044" s="381">
        <f t="shared" si="314"/>
        <v>0</v>
      </c>
      <c r="H2044" s="383"/>
      <c r="I2044" s="383"/>
      <c r="J2044" s="381">
        <f t="shared" si="315"/>
        <v>0</v>
      </c>
      <c r="K2044" s="383"/>
      <c r="L2044" s="383"/>
      <c r="M2044" s="381">
        <f t="shared" si="316"/>
        <v>0</v>
      </c>
      <c r="N2044" s="383"/>
      <c r="O2044" s="383"/>
      <c r="P2044" s="381">
        <f t="shared" si="317"/>
        <v>0</v>
      </c>
      <c r="Q2044" s="383"/>
      <c r="R2044" s="383"/>
      <c r="S2044" s="25">
        <f t="shared" si="318"/>
        <v>0</v>
      </c>
      <c r="T2044" s="383"/>
      <c r="U2044" s="383"/>
      <c r="V2044" s="381">
        <f t="shared" si="319"/>
        <v>0</v>
      </c>
      <c r="W2044" s="383"/>
      <c r="X2044" s="383"/>
      <c r="Y2044" s="381">
        <f t="shared" si="320"/>
        <v>0</v>
      </c>
    </row>
    <row r="2045" spans="2:25" x14ac:dyDescent="0.2">
      <c r="B2045" s="383"/>
      <c r="C2045" s="383"/>
      <c r="D2045" s="381">
        <f t="shared" si="313"/>
        <v>0</v>
      </c>
      <c r="E2045" s="383"/>
      <c r="F2045" s="382"/>
      <c r="G2045" s="381">
        <f t="shared" si="314"/>
        <v>0</v>
      </c>
      <c r="H2045" s="383"/>
      <c r="I2045" s="383"/>
      <c r="J2045" s="381">
        <f t="shared" si="315"/>
        <v>0</v>
      </c>
      <c r="K2045" s="383"/>
      <c r="L2045" s="383"/>
      <c r="M2045" s="381">
        <f t="shared" si="316"/>
        <v>0</v>
      </c>
      <c r="N2045" s="383"/>
      <c r="O2045" s="383"/>
      <c r="P2045" s="381">
        <f t="shared" si="317"/>
        <v>0</v>
      </c>
      <c r="Q2045" s="383"/>
      <c r="R2045" s="383"/>
      <c r="S2045" s="25">
        <f t="shared" si="318"/>
        <v>0</v>
      </c>
      <c r="T2045" s="383"/>
      <c r="U2045" s="383"/>
      <c r="V2045" s="381">
        <f t="shared" si="319"/>
        <v>0</v>
      </c>
      <c r="W2045" s="383"/>
      <c r="X2045" s="383"/>
      <c r="Y2045" s="381">
        <f t="shared" si="320"/>
        <v>0</v>
      </c>
    </row>
    <row r="2046" spans="2:25" x14ac:dyDescent="0.2">
      <c r="B2046" s="383"/>
      <c r="C2046" s="383"/>
      <c r="D2046" s="381">
        <f t="shared" si="313"/>
        <v>0</v>
      </c>
      <c r="E2046" s="383"/>
      <c r="F2046" s="382"/>
      <c r="G2046" s="381">
        <f t="shared" si="314"/>
        <v>0</v>
      </c>
      <c r="H2046" s="383"/>
      <c r="I2046" s="383"/>
      <c r="J2046" s="381">
        <f t="shared" si="315"/>
        <v>0</v>
      </c>
      <c r="K2046" s="383"/>
      <c r="L2046" s="383"/>
      <c r="M2046" s="381">
        <f t="shared" si="316"/>
        <v>0</v>
      </c>
      <c r="N2046" s="383"/>
      <c r="O2046" s="383"/>
      <c r="P2046" s="381">
        <f t="shared" si="317"/>
        <v>0</v>
      </c>
      <c r="Q2046" s="383"/>
      <c r="R2046" s="383"/>
      <c r="S2046" s="25">
        <f t="shared" si="318"/>
        <v>0</v>
      </c>
      <c r="T2046" s="383"/>
      <c r="U2046" s="383"/>
      <c r="V2046" s="381">
        <f t="shared" si="319"/>
        <v>0</v>
      </c>
      <c r="W2046" s="383"/>
      <c r="X2046" s="383"/>
      <c r="Y2046" s="381">
        <f t="shared" si="320"/>
        <v>0</v>
      </c>
    </row>
    <row r="2047" spans="2:25" x14ac:dyDescent="0.2">
      <c r="B2047" s="383"/>
      <c r="C2047" s="383"/>
      <c r="D2047" s="381">
        <f t="shared" si="313"/>
        <v>0</v>
      </c>
      <c r="E2047" s="383"/>
      <c r="F2047" s="382"/>
      <c r="G2047" s="381">
        <f t="shared" si="314"/>
        <v>0</v>
      </c>
      <c r="H2047" s="383"/>
      <c r="I2047" s="383"/>
      <c r="J2047" s="381">
        <f t="shared" si="315"/>
        <v>0</v>
      </c>
      <c r="K2047" s="383"/>
      <c r="L2047" s="383"/>
      <c r="M2047" s="381">
        <f t="shared" si="316"/>
        <v>0</v>
      </c>
      <c r="N2047" s="383"/>
      <c r="O2047" s="383"/>
      <c r="P2047" s="381">
        <f t="shared" si="317"/>
        <v>0</v>
      </c>
      <c r="Q2047" s="383"/>
      <c r="R2047" s="383"/>
      <c r="S2047" s="25">
        <f t="shared" si="318"/>
        <v>0</v>
      </c>
      <c r="T2047" s="383"/>
      <c r="U2047" s="383"/>
      <c r="V2047" s="381">
        <f t="shared" si="319"/>
        <v>0</v>
      </c>
      <c r="W2047" s="383"/>
      <c r="X2047" s="383"/>
      <c r="Y2047" s="381">
        <f t="shared" si="320"/>
        <v>0</v>
      </c>
    </row>
    <row r="2048" spans="2:25" x14ac:dyDescent="0.2">
      <c r="B2048" s="383"/>
      <c r="C2048" s="383"/>
      <c r="D2048" s="381">
        <f t="shared" si="313"/>
        <v>0</v>
      </c>
      <c r="E2048" s="383"/>
      <c r="F2048" s="382"/>
      <c r="G2048" s="381">
        <f t="shared" si="314"/>
        <v>0</v>
      </c>
      <c r="H2048" s="383"/>
      <c r="I2048" s="383"/>
      <c r="J2048" s="381">
        <f t="shared" si="315"/>
        <v>0</v>
      </c>
      <c r="K2048" s="383"/>
      <c r="L2048" s="383"/>
      <c r="M2048" s="381">
        <f t="shared" si="316"/>
        <v>0</v>
      </c>
      <c r="N2048" s="383"/>
      <c r="O2048" s="383"/>
      <c r="P2048" s="381">
        <f t="shared" si="317"/>
        <v>0</v>
      </c>
      <c r="Q2048" s="383"/>
      <c r="R2048" s="383"/>
      <c r="S2048" s="25">
        <f t="shared" si="318"/>
        <v>0</v>
      </c>
      <c r="T2048" s="383"/>
      <c r="U2048" s="383"/>
      <c r="V2048" s="381">
        <f t="shared" si="319"/>
        <v>0</v>
      </c>
      <c r="W2048" s="383"/>
      <c r="X2048" s="383"/>
      <c r="Y2048" s="381">
        <f t="shared" si="320"/>
        <v>0</v>
      </c>
    </row>
    <row r="2049" spans="2:25" x14ac:dyDescent="0.2">
      <c r="B2049" s="383"/>
      <c r="C2049" s="383"/>
      <c r="D2049" s="381">
        <f t="shared" si="313"/>
        <v>0</v>
      </c>
      <c r="E2049" s="383"/>
      <c r="F2049" s="382"/>
      <c r="G2049" s="381">
        <f t="shared" si="314"/>
        <v>0</v>
      </c>
      <c r="H2049" s="383"/>
      <c r="I2049" s="383"/>
      <c r="J2049" s="381">
        <f t="shared" si="315"/>
        <v>0</v>
      </c>
      <c r="K2049" s="383"/>
      <c r="L2049" s="383"/>
      <c r="M2049" s="381">
        <f t="shared" si="316"/>
        <v>0</v>
      </c>
      <c r="N2049" s="383"/>
      <c r="O2049" s="383"/>
      <c r="P2049" s="381">
        <f t="shared" si="317"/>
        <v>0</v>
      </c>
      <c r="Q2049" s="383"/>
      <c r="R2049" s="383"/>
      <c r="S2049" s="25">
        <f t="shared" si="318"/>
        <v>0</v>
      </c>
      <c r="T2049" s="383"/>
      <c r="U2049" s="383"/>
      <c r="V2049" s="381">
        <f t="shared" si="319"/>
        <v>0</v>
      </c>
      <c r="W2049" s="383"/>
      <c r="X2049" s="383"/>
      <c r="Y2049" s="381">
        <f t="shared" si="320"/>
        <v>0</v>
      </c>
    </row>
    <row r="2050" spans="2:25" x14ac:dyDescent="0.2">
      <c r="B2050" s="383"/>
      <c r="C2050" s="383"/>
      <c r="D2050" s="381">
        <f t="shared" si="313"/>
        <v>0</v>
      </c>
      <c r="E2050" s="383"/>
      <c r="F2050" s="382"/>
      <c r="G2050" s="381">
        <f t="shared" si="314"/>
        <v>0</v>
      </c>
      <c r="H2050" s="383"/>
      <c r="I2050" s="383"/>
      <c r="J2050" s="381">
        <f t="shared" si="315"/>
        <v>0</v>
      </c>
      <c r="K2050" s="383"/>
      <c r="L2050" s="383"/>
      <c r="M2050" s="381">
        <f t="shared" si="316"/>
        <v>0</v>
      </c>
      <c r="N2050" s="383"/>
      <c r="O2050" s="383"/>
      <c r="P2050" s="381">
        <f t="shared" si="317"/>
        <v>0</v>
      </c>
      <c r="Q2050" s="383"/>
      <c r="R2050" s="383"/>
      <c r="S2050" s="25">
        <f t="shared" si="318"/>
        <v>0</v>
      </c>
      <c r="T2050" s="383"/>
      <c r="U2050" s="383"/>
      <c r="V2050" s="381">
        <f t="shared" si="319"/>
        <v>0</v>
      </c>
      <c r="W2050" s="383"/>
      <c r="X2050" s="383"/>
      <c r="Y2050" s="381">
        <f t="shared" si="320"/>
        <v>0</v>
      </c>
    </row>
    <row r="2051" spans="2:25" x14ac:dyDescent="0.2">
      <c r="B2051" s="383"/>
      <c r="C2051" s="383"/>
      <c r="D2051" s="381">
        <f t="shared" si="313"/>
        <v>0</v>
      </c>
      <c r="E2051" s="383"/>
      <c r="F2051" s="382"/>
      <c r="G2051" s="381">
        <f t="shared" si="314"/>
        <v>0</v>
      </c>
      <c r="H2051" s="383"/>
      <c r="I2051" s="383"/>
      <c r="J2051" s="381">
        <f t="shared" si="315"/>
        <v>0</v>
      </c>
      <c r="K2051" s="383"/>
      <c r="L2051" s="383"/>
      <c r="M2051" s="381">
        <f t="shared" si="316"/>
        <v>0</v>
      </c>
      <c r="N2051" s="383"/>
      <c r="O2051" s="383"/>
      <c r="P2051" s="381">
        <f t="shared" si="317"/>
        <v>0</v>
      </c>
      <c r="Q2051" s="383"/>
      <c r="R2051" s="383"/>
      <c r="S2051" s="25">
        <f t="shared" si="318"/>
        <v>0</v>
      </c>
      <c r="T2051" s="383"/>
      <c r="U2051" s="383"/>
      <c r="V2051" s="381">
        <f t="shared" si="319"/>
        <v>0</v>
      </c>
      <c r="W2051" s="383"/>
      <c r="X2051" s="383"/>
      <c r="Y2051" s="381">
        <f t="shared" si="320"/>
        <v>0</v>
      </c>
    </row>
    <row r="2052" spans="2:25" x14ac:dyDescent="0.2">
      <c r="B2052" s="383"/>
      <c r="C2052" s="383"/>
      <c r="D2052" s="381">
        <f t="shared" si="313"/>
        <v>0</v>
      </c>
      <c r="E2052" s="383"/>
      <c r="F2052" s="382"/>
      <c r="G2052" s="381">
        <f t="shared" si="314"/>
        <v>0</v>
      </c>
      <c r="H2052" s="383"/>
      <c r="I2052" s="383"/>
      <c r="J2052" s="381">
        <f t="shared" si="315"/>
        <v>0</v>
      </c>
      <c r="K2052" s="383"/>
      <c r="L2052" s="383"/>
      <c r="M2052" s="381">
        <f t="shared" si="316"/>
        <v>0</v>
      </c>
      <c r="N2052" s="383"/>
      <c r="O2052" s="383"/>
      <c r="P2052" s="381">
        <f t="shared" si="317"/>
        <v>0</v>
      </c>
      <c r="Q2052" s="383"/>
      <c r="R2052" s="383"/>
      <c r="S2052" s="25">
        <f t="shared" si="318"/>
        <v>0</v>
      </c>
      <c r="T2052" s="383"/>
      <c r="U2052" s="383"/>
      <c r="V2052" s="381">
        <f t="shared" si="319"/>
        <v>0</v>
      </c>
      <c r="W2052" s="383"/>
      <c r="X2052" s="383"/>
      <c r="Y2052" s="381">
        <f t="shared" si="320"/>
        <v>0</v>
      </c>
    </row>
    <row r="2053" spans="2:25" x14ac:dyDescent="0.2">
      <c r="B2053" s="383"/>
      <c r="C2053" s="383"/>
      <c r="D2053" s="381">
        <f t="shared" si="313"/>
        <v>0</v>
      </c>
      <c r="E2053" s="383"/>
      <c r="F2053" s="382"/>
      <c r="G2053" s="381">
        <f t="shared" si="314"/>
        <v>0</v>
      </c>
      <c r="H2053" s="383"/>
      <c r="I2053" s="383"/>
      <c r="J2053" s="381">
        <f t="shared" si="315"/>
        <v>0</v>
      </c>
      <c r="K2053" s="383"/>
      <c r="L2053" s="383"/>
      <c r="M2053" s="381">
        <f t="shared" si="316"/>
        <v>0</v>
      </c>
      <c r="N2053" s="383"/>
      <c r="O2053" s="383"/>
      <c r="P2053" s="381">
        <f t="shared" si="317"/>
        <v>0</v>
      </c>
      <c r="Q2053" s="383"/>
      <c r="R2053" s="383"/>
      <c r="S2053" s="25">
        <f t="shared" si="318"/>
        <v>0</v>
      </c>
      <c r="T2053" s="383"/>
      <c r="U2053" s="383"/>
      <c r="V2053" s="381">
        <f t="shared" si="319"/>
        <v>0</v>
      </c>
      <c r="W2053" s="383"/>
      <c r="X2053" s="383"/>
      <c r="Y2053" s="381">
        <f t="shared" si="320"/>
        <v>0</v>
      </c>
    </row>
    <row r="2054" spans="2:25" x14ac:dyDescent="0.2">
      <c r="B2054" s="383"/>
      <c r="C2054" s="383"/>
      <c r="D2054" s="381">
        <f t="shared" si="313"/>
        <v>0</v>
      </c>
      <c r="E2054" s="383"/>
      <c r="F2054" s="382"/>
      <c r="G2054" s="381">
        <f t="shared" si="314"/>
        <v>0</v>
      </c>
      <c r="H2054" s="383"/>
      <c r="I2054" s="383"/>
      <c r="J2054" s="381">
        <f t="shared" si="315"/>
        <v>0</v>
      </c>
      <c r="K2054" s="383"/>
      <c r="L2054" s="383"/>
      <c r="M2054" s="381">
        <f t="shared" si="316"/>
        <v>0</v>
      </c>
      <c r="N2054" s="383"/>
      <c r="O2054" s="383"/>
      <c r="P2054" s="381">
        <f t="shared" si="317"/>
        <v>0</v>
      </c>
      <c r="Q2054" s="383"/>
      <c r="R2054" s="383"/>
      <c r="S2054" s="25">
        <f t="shared" si="318"/>
        <v>0</v>
      </c>
      <c r="T2054" s="383"/>
      <c r="U2054" s="383"/>
      <c r="V2054" s="381">
        <f t="shared" si="319"/>
        <v>0</v>
      </c>
      <c r="W2054" s="383"/>
      <c r="X2054" s="383"/>
      <c r="Y2054" s="381">
        <f t="shared" si="320"/>
        <v>0</v>
      </c>
    </row>
    <row r="2055" spans="2:25" x14ac:dyDescent="0.2">
      <c r="B2055" s="383"/>
      <c r="C2055" s="383"/>
      <c r="D2055" s="381">
        <f t="shared" si="313"/>
        <v>0</v>
      </c>
      <c r="E2055" s="383"/>
      <c r="F2055" s="382"/>
      <c r="G2055" s="381">
        <f t="shared" si="314"/>
        <v>0</v>
      </c>
      <c r="H2055" s="383"/>
      <c r="I2055" s="383"/>
      <c r="J2055" s="381">
        <f t="shared" si="315"/>
        <v>0</v>
      </c>
      <c r="K2055" s="383"/>
      <c r="L2055" s="383"/>
      <c r="M2055" s="381">
        <f t="shared" si="316"/>
        <v>0</v>
      </c>
      <c r="N2055" s="383"/>
      <c r="O2055" s="383"/>
      <c r="P2055" s="381">
        <f t="shared" si="317"/>
        <v>0</v>
      </c>
      <c r="Q2055" s="383"/>
      <c r="R2055" s="383"/>
      <c r="S2055" s="25">
        <f t="shared" si="318"/>
        <v>0</v>
      </c>
      <c r="T2055" s="383"/>
      <c r="U2055" s="383"/>
      <c r="V2055" s="381">
        <f t="shared" si="319"/>
        <v>0</v>
      </c>
      <c r="W2055" s="383"/>
      <c r="X2055" s="383"/>
      <c r="Y2055" s="381">
        <f t="shared" si="320"/>
        <v>0</v>
      </c>
    </row>
    <row r="2056" spans="2:25" x14ac:dyDescent="0.2">
      <c r="B2056" s="383"/>
      <c r="C2056" s="383"/>
      <c r="D2056" s="381">
        <f t="shared" si="313"/>
        <v>0</v>
      </c>
      <c r="E2056" s="383"/>
      <c r="F2056" s="382"/>
      <c r="G2056" s="381">
        <f t="shared" si="314"/>
        <v>0</v>
      </c>
      <c r="H2056" s="383"/>
      <c r="I2056" s="383"/>
      <c r="J2056" s="381">
        <f t="shared" si="315"/>
        <v>0</v>
      </c>
      <c r="K2056" s="383"/>
      <c r="L2056" s="383"/>
      <c r="M2056" s="381">
        <f t="shared" si="316"/>
        <v>0</v>
      </c>
      <c r="N2056" s="383"/>
      <c r="O2056" s="383"/>
      <c r="P2056" s="381">
        <f t="shared" si="317"/>
        <v>0</v>
      </c>
      <c r="Q2056" s="383"/>
      <c r="R2056" s="383"/>
      <c r="S2056" s="25">
        <f t="shared" si="318"/>
        <v>0</v>
      </c>
      <c r="T2056" s="383"/>
      <c r="U2056" s="383"/>
      <c r="V2056" s="381">
        <f t="shared" si="319"/>
        <v>0</v>
      </c>
      <c r="W2056" s="383"/>
      <c r="X2056" s="383"/>
      <c r="Y2056" s="381">
        <f t="shared" si="320"/>
        <v>0</v>
      </c>
    </row>
    <row r="2057" spans="2:25" x14ac:dyDescent="0.2">
      <c r="B2057" s="383"/>
      <c r="C2057" s="383"/>
      <c r="D2057" s="381">
        <f t="shared" si="313"/>
        <v>0</v>
      </c>
      <c r="E2057" s="383"/>
      <c r="F2057" s="382"/>
      <c r="G2057" s="381">
        <f t="shared" si="314"/>
        <v>0</v>
      </c>
      <c r="H2057" s="383"/>
      <c r="I2057" s="383"/>
      <c r="J2057" s="381">
        <f t="shared" si="315"/>
        <v>0</v>
      </c>
      <c r="K2057" s="383"/>
      <c r="L2057" s="383"/>
      <c r="M2057" s="381">
        <f t="shared" si="316"/>
        <v>0</v>
      </c>
      <c r="N2057" s="383"/>
      <c r="O2057" s="383"/>
      <c r="P2057" s="381">
        <f t="shared" si="317"/>
        <v>0</v>
      </c>
      <c r="Q2057" s="383"/>
      <c r="R2057" s="383"/>
      <c r="S2057" s="25">
        <f t="shared" si="318"/>
        <v>0</v>
      </c>
      <c r="T2057" s="383"/>
      <c r="U2057" s="383"/>
      <c r="V2057" s="381">
        <f t="shared" si="319"/>
        <v>0</v>
      </c>
      <c r="W2057" s="383"/>
      <c r="X2057" s="383"/>
      <c r="Y2057" s="381">
        <f t="shared" si="320"/>
        <v>0</v>
      </c>
    </row>
    <row r="2058" spans="2:25" x14ac:dyDescent="0.2">
      <c r="B2058" s="383"/>
      <c r="C2058" s="383"/>
      <c r="D2058" s="381">
        <f t="shared" si="313"/>
        <v>0</v>
      </c>
      <c r="E2058" s="383"/>
      <c r="F2058" s="382"/>
      <c r="G2058" s="381">
        <f t="shared" si="314"/>
        <v>0</v>
      </c>
      <c r="H2058" s="383"/>
      <c r="I2058" s="383"/>
      <c r="J2058" s="381">
        <f t="shared" si="315"/>
        <v>0</v>
      </c>
      <c r="K2058" s="383"/>
      <c r="L2058" s="383"/>
      <c r="M2058" s="381">
        <f t="shared" si="316"/>
        <v>0</v>
      </c>
      <c r="N2058" s="383"/>
      <c r="O2058" s="383"/>
      <c r="P2058" s="381">
        <f t="shared" si="317"/>
        <v>0</v>
      </c>
      <c r="Q2058" s="383"/>
      <c r="R2058" s="383"/>
      <c r="S2058" s="25">
        <f t="shared" si="318"/>
        <v>0</v>
      </c>
      <c r="T2058" s="383"/>
      <c r="U2058" s="383"/>
      <c r="V2058" s="381">
        <f t="shared" si="319"/>
        <v>0</v>
      </c>
      <c r="W2058" s="383"/>
      <c r="X2058" s="383"/>
      <c r="Y2058" s="381">
        <f t="shared" si="320"/>
        <v>0</v>
      </c>
    </row>
    <row r="2059" spans="2:25" x14ac:dyDescent="0.2">
      <c r="B2059" s="383"/>
      <c r="C2059" s="383"/>
      <c r="D2059" s="381">
        <f t="shared" si="313"/>
        <v>0</v>
      </c>
      <c r="E2059" s="383"/>
      <c r="F2059" s="382"/>
      <c r="G2059" s="381">
        <f t="shared" si="314"/>
        <v>0</v>
      </c>
      <c r="H2059" s="383"/>
      <c r="I2059" s="383"/>
      <c r="J2059" s="381">
        <f t="shared" si="315"/>
        <v>0</v>
      </c>
      <c r="K2059" s="383"/>
      <c r="L2059" s="383"/>
      <c r="M2059" s="381">
        <f t="shared" si="316"/>
        <v>0</v>
      </c>
      <c r="N2059" s="383"/>
      <c r="O2059" s="383"/>
      <c r="P2059" s="381">
        <f t="shared" si="317"/>
        <v>0</v>
      </c>
      <c r="Q2059" s="383"/>
      <c r="R2059" s="383"/>
      <c r="S2059" s="25">
        <f t="shared" si="318"/>
        <v>0</v>
      </c>
      <c r="T2059" s="383"/>
      <c r="U2059" s="383"/>
      <c r="V2059" s="381">
        <f t="shared" si="319"/>
        <v>0</v>
      </c>
      <c r="W2059" s="383"/>
      <c r="X2059" s="383"/>
      <c r="Y2059" s="381">
        <f t="shared" si="320"/>
        <v>0</v>
      </c>
    </row>
    <row r="2060" spans="2:25" x14ac:dyDescent="0.2">
      <c r="B2060" s="383"/>
      <c r="C2060" s="383"/>
      <c r="D2060" s="381">
        <f t="shared" si="313"/>
        <v>0</v>
      </c>
      <c r="E2060" s="383"/>
      <c r="F2060" s="382"/>
      <c r="G2060" s="381">
        <f t="shared" si="314"/>
        <v>0</v>
      </c>
      <c r="H2060" s="383"/>
      <c r="I2060" s="383"/>
      <c r="J2060" s="381">
        <f t="shared" si="315"/>
        <v>0</v>
      </c>
      <c r="K2060" s="383"/>
      <c r="L2060" s="383"/>
      <c r="M2060" s="381">
        <f t="shared" si="316"/>
        <v>0</v>
      </c>
      <c r="N2060" s="383"/>
      <c r="O2060" s="383"/>
      <c r="P2060" s="381">
        <f t="shared" si="317"/>
        <v>0</v>
      </c>
      <c r="Q2060" s="383"/>
      <c r="R2060" s="383"/>
      <c r="S2060" s="25">
        <f t="shared" si="318"/>
        <v>0</v>
      </c>
      <c r="T2060" s="383"/>
      <c r="U2060" s="383"/>
      <c r="V2060" s="381">
        <f t="shared" si="319"/>
        <v>0</v>
      </c>
      <c r="W2060" s="383"/>
      <c r="X2060" s="383"/>
      <c r="Y2060" s="381">
        <f t="shared" si="320"/>
        <v>0</v>
      </c>
    </row>
    <row r="2061" spans="2:25" x14ac:dyDescent="0.2">
      <c r="B2061" s="383"/>
      <c r="C2061" s="383"/>
      <c r="D2061" s="381">
        <f t="shared" si="313"/>
        <v>0</v>
      </c>
      <c r="E2061" s="383"/>
      <c r="F2061" s="382"/>
      <c r="G2061" s="381">
        <f t="shared" si="314"/>
        <v>0</v>
      </c>
      <c r="H2061" s="383"/>
      <c r="I2061" s="383"/>
      <c r="J2061" s="381">
        <f t="shared" si="315"/>
        <v>0</v>
      </c>
      <c r="K2061" s="383"/>
      <c r="L2061" s="383"/>
      <c r="M2061" s="381">
        <f t="shared" si="316"/>
        <v>0</v>
      </c>
      <c r="N2061" s="383"/>
      <c r="O2061" s="383"/>
      <c r="P2061" s="381">
        <f t="shared" si="317"/>
        <v>0</v>
      </c>
      <c r="Q2061" s="383"/>
      <c r="R2061" s="383"/>
      <c r="S2061" s="25">
        <f t="shared" si="318"/>
        <v>0</v>
      </c>
      <c r="T2061" s="383"/>
      <c r="U2061" s="383"/>
      <c r="V2061" s="381">
        <f t="shared" si="319"/>
        <v>0</v>
      </c>
      <c r="W2061" s="383"/>
      <c r="X2061" s="383"/>
      <c r="Y2061" s="381">
        <f t="shared" si="320"/>
        <v>0</v>
      </c>
    </row>
    <row r="2062" spans="2:25" x14ac:dyDescent="0.2">
      <c r="B2062" s="383"/>
      <c r="C2062" s="383"/>
      <c r="D2062" s="381">
        <f t="shared" si="313"/>
        <v>0</v>
      </c>
      <c r="E2062" s="383"/>
      <c r="F2062" s="382"/>
      <c r="G2062" s="381">
        <f t="shared" si="314"/>
        <v>0</v>
      </c>
      <c r="H2062" s="383"/>
      <c r="I2062" s="383"/>
      <c r="J2062" s="381">
        <f t="shared" si="315"/>
        <v>0</v>
      </c>
      <c r="K2062" s="383"/>
      <c r="L2062" s="383"/>
      <c r="M2062" s="381">
        <f t="shared" si="316"/>
        <v>0</v>
      </c>
      <c r="N2062" s="383"/>
      <c r="O2062" s="383"/>
      <c r="P2062" s="381">
        <f t="shared" si="317"/>
        <v>0</v>
      </c>
      <c r="Q2062" s="383"/>
      <c r="R2062" s="383"/>
      <c r="S2062" s="25">
        <f t="shared" si="318"/>
        <v>0</v>
      </c>
      <c r="T2062" s="383"/>
      <c r="U2062" s="383"/>
      <c r="V2062" s="381">
        <f t="shared" si="319"/>
        <v>0</v>
      </c>
      <c r="W2062" s="383"/>
      <c r="X2062" s="383"/>
      <c r="Y2062" s="381">
        <f t="shared" si="320"/>
        <v>0</v>
      </c>
    </row>
    <row r="2063" spans="2:25" x14ac:dyDescent="0.2">
      <c r="B2063" s="383"/>
      <c r="C2063" s="383"/>
      <c r="D2063" s="381">
        <f t="shared" si="313"/>
        <v>0</v>
      </c>
      <c r="E2063" s="383"/>
      <c r="F2063" s="382"/>
      <c r="G2063" s="381">
        <f t="shared" si="314"/>
        <v>0</v>
      </c>
      <c r="H2063" s="383"/>
      <c r="I2063" s="383"/>
      <c r="J2063" s="381">
        <f t="shared" si="315"/>
        <v>0</v>
      </c>
      <c r="K2063" s="383"/>
      <c r="L2063" s="383"/>
      <c r="M2063" s="381">
        <f t="shared" si="316"/>
        <v>0</v>
      </c>
      <c r="N2063" s="383"/>
      <c r="O2063" s="383"/>
      <c r="P2063" s="381">
        <f t="shared" si="317"/>
        <v>0</v>
      </c>
      <c r="Q2063" s="383"/>
      <c r="R2063" s="383"/>
      <c r="S2063" s="25">
        <f t="shared" si="318"/>
        <v>0</v>
      </c>
      <c r="T2063" s="383"/>
      <c r="U2063" s="383"/>
      <c r="V2063" s="381">
        <f t="shared" si="319"/>
        <v>0</v>
      </c>
      <c r="W2063" s="383"/>
      <c r="X2063" s="383"/>
      <c r="Y2063" s="381">
        <f t="shared" si="320"/>
        <v>0</v>
      </c>
    </row>
    <row r="2064" spans="2:25" x14ac:dyDescent="0.2">
      <c r="B2064" s="383"/>
      <c r="C2064" s="383"/>
      <c r="D2064" s="381">
        <f t="shared" si="313"/>
        <v>0</v>
      </c>
      <c r="E2064" s="383"/>
      <c r="F2064" s="382"/>
      <c r="G2064" s="381">
        <f t="shared" si="314"/>
        <v>0</v>
      </c>
      <c r="H2064" s="383"/>
      <c r="I2064" s="383"/>
      <c r="J2064" s="381">
        <f t="shared" si="315"/>
        <v>0</v>
      </c>
      <c r="K2064" s="383"/>
      <c r="L2064" s="383"/>
      <c r="M2064" s="381">
        <f t="shared" si="316"/>
        <v>0</v>
      </c>
      <c r="N2064" s="383"/>
      <c r="O2064" s="383"/>
      <c r="P2064" s="381">
        <f t="shared" si="317"/>
        <v>0</v>
      </c>
      <c r="Q2064" s="383"/>
      <c r="R2064" s="383"/>
      <c r="S2064" s="25">
        <f t="shared" si="318"/>
        <v>0</v>
      </c>
      <c r="T2064" s="383"/>
      <c r="U2064" s="383"/>
      <c r="V2064" s="381">
        <f t="shared" si="319"/>
        <v>0</v>
      </c>
      <c r="W2064" s="383"/>
      <c r="X2064" s="383"/>
      <c r="Y2064" s="381">
        <f t="shared" si="320"/>
        <v>0</v>
      </c>
    </row>
    <row r="2065" spans="2:25" x14ac:dyDescent="0.2">
      <c r="B2065" s="383"/>
      <c r="C2065" s="383"/>
      <c r="D2065" s="381">
        <f t="shared" si="313"/>
        <v>0</v>
      </c>
      <c r="E2065" s="383"/>
      <c r="F2065" s="382"/>
      <c r="G2065" s="381">
        <f t="shared" si="314"/>
        <v>0</v>
      </c>
      <c r="H2065" s="383"/>
      <c r="I2065" s="383"/>
      <c r="J2065" s="381">
        <f t="shared" si="315"/>
        <v>0</v>
      </c>
      <c r="K2065" s="383"/>
      <c r="L2065" s="383"/>
      <c r="M2065" s="381">
        <f t="shared" si="316"/>
        <v>0</v>
      </c>
      <c r="N2065" s="383"/>
      <c r="O2065" s="383"/>
      <c r="P2065" s="381">
        <f t="shared" si="317"/>
        <v>0</v>
      </c>
      <c r="Q2065" s="383"/>
      <c r="R2065" s="383"/>
      <c r="S2065" s="25">
        <f t="shared" si="318"/>
        <v>0</v>
      </c>
      <c r="T2065" s="383"/>
      <c r="U2065" s="383"/>
      <c r="V2065" s="381">
        <f t="shared" si="319"/>
        <v>0</v>
      </c>
      <c r="W2065" s="383"/>
      <c r="X2065" s="383"/>
      <c r="Y2065" s="381">
        <f t="shared" si="320"/>
        <v>0</v>
      </c>
    </row>
    <row r="2066" spans="2:25" x14ac:dyDescent="0.2">
      <c r="B2066" s="383"/>
      <c r="C2066" s="383"/>
      <c r="D2066" s="381">
        <f t="shared" ref="D2066:D2129" si="321">C2066</f>
        <v>0</v>
      </c>
      <c r="E2066" s="383"/>
      <c r="F2066" s="382"/>
      <c r="G2066" s="381">
        <f t="shared" ref="G2066:G2129" si="322">F2066+$AB$2</f>
        <v>0</v>
      </c>
      <c r="H2066" s="383"/>
      <c r="I2066" s="383"/>
      <c r="J2066" s="381">
        <f t="shared" ref="J2066:J2129" si="323">I2066+$AB$3</f>
        <v>0</v>
      </c>
      <c r="K2066" s="383"/>
      <c r="L2066" s="383"/>
      <c r="M2066" s="381">
        <f t="shared" ref="M2066:M2129" si="324">L2066+$AB$4</f>
        <v>0</v>
      </c>
      <c r="N2066" s="383"/>
      <c r="O2066" s="383"/>
      <c r="P2066" s="381">
        <f t="shared" ref="P2066:P2129" si="325">O2066+$AB$5</f>
        <v>0</v>
      </c>
      <c r="Q2066" s="383"/>
      <c r="R2066" s="383"/>
      <c r="S2066" s="25">
        <f t="shared" ref="S2066:S2129" si="326">R2066+$AB$6</f>
        <v>0</v>
      </c>
      <c r="T2066" s="383"/>
      <c r="U2066" s="383"/>
      <c r="V2066" s="381">
        <f t="shared" ref="V2066:V2129" si="327">U2066+$AB$7</f>
        <v>0</v>
      </c>
      <c r="W2066" s="383"/>
      <c r="X2066" s="383"/>
      <c r="Y2066" s="381">
        <f t="shared" ref="Y2066:Y2129" si="328">X2066+$AB$8</f>
        <v>0</v>
      </c>
    </row>
    <row r="2067" spans="2:25" x14ac:dyDescent="0.2">
      <c r="B2067" s="383"/>
      <c r="C2067" s="383"/>
      <c r="D2067" s="381">
        <f t="shared" si="321"/>
        <v>0</v>
      </c>
      <c r="E2067" s="383"/>
      <c r="F2067" s="382"/>
      <c r="G2067" s="381">
        <f t="shared" si="322"/>
        <v>0</v>
      </c>
      <c r="H2067" s="383"/>
      <c r="I2067" s="383"/>
      <c r="J2067" s="381">
        <f t="shared" si="323"/>
        <v>0</v>
      </c>
      <c r="K2067" s="383"/>
      <c r="L2067" s="383"/>
      <c r="M2067" s="381">
        <f t="shared" si="324"/>
        <v>0</v>
      </c>
      <c r="N2067" s="383"/>
      <c r="O2067" s="383"/>
      <c r="P2067" s="381">
        <f t="shared" si="325"/>
        <v>0</v>
      </c>
      <c r="Q2067" s="383"/>
      <c r="R2067" s="383"/>
      <c r="S2067" s="25">
        <f t="shared" si="326"/>
        <v>0</v>
      </c>
      <c r="T2067" s="383"/>
      <c r="U2067" s="383"/>
      <c r="V2067" s="381">
        <f t="shared" si="327"/>
        <v>0</v>
      </c>
      <c r="W2067" s="383"/>
      <c r="X2067" s="383"/>
      <c r="Y2067" s="381">
        <f t="shared" si="328"/>
        <v>0</v>
      </c>
    </row>
    <row r="2068" spans="2:25" x14ac:dyDescent="0.2">
      <c r="B2068" s="383"/>
      <c r="C2068" s="383"/>
      <c r="D2068" s="381">
        <f t="shared" si="321"/>
        <v>0</v>
      </c>
      <c r="E2068" s="383"/>
      <c r="F2068" s="382"/>
      <c r="G2068" s="381">
        <f t="shared" si="322"/>
        <v>0</v>
      </c>
      <c r="H2068" s="383"/>
      <c r="I2068" s="383"/>
      <c r="J2068" s="381">
        <f t="shared" si="323"/>
        <v>0</v>
      </c>
      <c r="K2068" s="383"/>
      <c r="L2068" s="383"/>
      <c r="M2068" s="381">
        <f t="shared" si="324"/>
        <v>0</v>
      </c>
      <c r="N2068" s="383"/>
      <c r="O2068" s="383"/>
      <c r="P2068" s="381">
        <f t="shared" si="325"/>
        <v>0</v>
      </c>
      <c r="Q2068" s="383"/>
      <c r="R2068" s="383"/>
      <c r="S2068" s="25">
        <f t="shared" si="326"/>
        <v>0</v>
      </c>
      <c r="T2068" s="383"/>
      <c r="U2068" s="383"/>
      <c r="V2068" s="381">
        <f t="shared" si="327"/>
        <v>0</v>
      </c>
      <c r="W2068" s="383"/>
      <c r="X2068" s="383"/>
      <c r="Y2068" s="381">
        <f t="shared" si="328"/>
        <v>0</v>
      </c>
    </row>
    <row r="2069" spans="2:25" x14ac:dyDescent="0.2">
      <c r="B2069" s="383"/>
      <c r="C2069" s="383"/>
      <c r="D2069" s="381">
        <f t="shared" si="321"/>
        <v>0</v>
      </c>
      <c r="E2069" s="383"/>
      <c r="F2069" s="382"/>
      <c r="G2069" s="381">
        <f t="shared" si="322"/>
        <v>0</v>
      </c>
      <c r="H2069" s="383"/>
      <c r="I2069" s="383"/>
      <c r="J2069" s="381">
        <f t="shared" si="323"/>
        <v>0</v>
      </c>
      <c r="K2069" s="383"/>
      <c r="L2069" s="383"/>
      <c r="M2069" s="381">
        <f t="shared" si="324"/>
        <v>0</v>
      </c>
      <c r="N2069" s="383"/>
      <c r="O2069" s="383"/>
      <c r="P2069" s="381">
        <f t="shared" si="325"/>
        <v>0</v>
      </c>
      <c r="Q2069" s="383"/>
      <c r="R2069" s="383"/>
      <c r="S2069" s="25">
        <f t="shared" si="326"/>
        <v>0</v>
      </c>
      <c r="T2069" s="383"/>
      <c r="U2069" s="383"/>
      <c r="V2069" s="381">
        <f t="shared" si="327"/>
        <v>0</v>
      </c>
      <c r="W2069" s="383"/>
      <c r="X2069" s="383"/>
      <c r="Y2069" s="381">
        <f t="shared" si="328"/>
        <v>0</v>
      </c>
    </row>
    <row r="2070" spans="2:25" x14ac:dyDescent="0.2">
      <c r="B2070" s="383"/>
      <c r="C2070" s="383"/>
      <c r="D2070" s="381">
        <f t="shared" si="321"/>
        <v>0</v>
      </c>
      <c r="E2070" s="383"/>
      <c r="F2070" s="382"/>
      <c r="G2070" s="381">
        <f t="shared" si="322"/>
        <v>0</v>
      </c>
      <c r="H2070" s="383"/>
      <c r="I2070" s="383"/>
      <c r="J2070" s="381">
        <f t="shared" si="323"/>
        <v>0</v>
      </c>
      <c r="K2070" s="383"/>
      <c r="L2070" s="383"/>
      <c r="M2070" s="381">
        <f t="shared" si="324"/>
        <v>0</v>
      </c>
      <c r="N2070" s="383"/>
      <c r="O2070" s="383"/>
      <c r="P2070" s="381">
        <f t="shared" si="325"/>
        <v>0</v>
      </c>
      <c r="Q2070" s="383"/>
      <c r="R2070" s="383"/>
      <c r="S2070" s="25">
        <f t="shared" si="326"/>
        <v>0</v>
      </c>
      <c r="T2070" s="383"/>
      <c r="U2070" s="383"/>
      <c r="V2070" s="381">
        <f t="shared" si="327"/>
        <v>0</v>
      </c>
      <c r="W2070" s="383"/>
      <c r="X2070" s="383"/>
      <c r="Y2070" s="381">
        <f t="shared" si="328"/>
        <v>0</v>
      </c>
    </row>
    <row r="2071" spans="2:25" x14ac:dyDescent="0.2">
      <c r="B2071" s="383"/>
      <c r="C2071" s="383"/>
      <c r="D2071" s="381">
        <f t="shared" si="321"/>
        <v>0</v>
      </c>
      <c r="E2071" s="383"/>
      <c r="F2071" s="382"/>
      <c r="G2071" s="381">
        <f t="shared" si="322"/>
        <v>0</v>
      </c>
      <c r="H2071" s="383"/>
      <c r="I2071" s="383"/>
      <c r="J2071" s="381">
        <f t="shared" si="323"/>
        <v>0</v>
      </c>
      <c r="K2071" s="383"/>
      <c r="L2071" s="383"/>
      <c r="M2071" s="381">
        <f t="shared" si="324"/>
        <v>0</v>
      </c>
      <c r="N2071" s="383"/>
      <c r="O2071" s="383"/>
      <c r="P2071" s="381">
        <f t="shared" si="325"/>
        <v>0</v>
      </c>
      <c r="Q2071" s="383"/>
      <c r="R2071" s="383"/>
      <c r="S2071" s="25">
        <f t="shared" si="326"/>
        <v>0</v>
      </c>
      <c r="T2071" s="383"/>
      <c r="U2071" s="383"/>
      <c r="V2071" s="381">
        <f t="shared" si="327"/>
        <v>0</v>
      </c>
      <c r="W2071" s="383"/>
      <c r="X2071" s="383"/>
      <c r="Y2071" s="381">
        <f t="shared" si="328"/>
        <v>0</v>
      </c>
    </row>
    <row r="2072" spans="2:25" x14ac:dyDescent="0.2">
      <c r="B2072" s="383"/>
      <c r="C2072" s="383"/>
      <c r="D2072" s="381">
        <f t="shared" si="321"/>
        <v>0</v>
      </c>
      <c r="E2072" s="383"/>
      <c r="F2072" s="382"/>
      <c r="G2072" s="381">
        <f t="shared" si="322"/>
        <v>0</v>
      </c>
      <c r="H2072" s="383"/>
      <c r="I2072" s="383"/>
      <c r="J2072" s="381">
        <f t="shared" si="323"/>
        <v>0</v>
      </c>
      <c r="K2072" s="383"/>
      <c r="L2072" s="383"/>
      <c r="M2072" s="381">
        <f t="shared" si="324"/>
        <v>0</v>
      </c>
      <c r="N2072" s="383"/>
      <c r="O2072" s="383"/>
      <c r="P2072" s="381">
        <f t="shared" si="325"/>
        <v>0</v>
      </c>
      <c r="Q2072" s="383"/>
      <c r="R2072" s="383"/>
      <c r="S2072" s="25">
        <f t="shared" si="326"/>
        <v>0</v>
      </c>
      <c r="T2072" s="383"/>
      <c r="U2072" s="383"/>
      <c r="V2072" s="381">
        <f t="shared" si="327"/>
        <v>0</v>
      </c>
      <c r="W2072" s="383"/>
      <c r="X2072" s="383"/>
      <c r="Y2072" s="381">
        <f t="shared" si="328"/>
        <v>0</v>
      </c>
    </row>
    <row r="2073" spans="2:25" x14ac:dyDescent="0.2">
      <c r="B2073" s="383"/>
      <c r="C2073" s="383"/>
      <c r="D2073" s="381">
        <f t="shared" si="321"/>
        <v>0</v>
      </c>
      <c r="E2073" s="383"/>
      <c r="F2073" s="382"/>
      <c r="G2073" s="381">
        <f t="shared" si="322"/>
        <v>0</v>
      </c>
      <c r="H2073" s="383"/>
      <c r="I2073" s="383"/>
      <c r="J2073" s="381">
        <f t="shared" si="323"/>
        <v>0</v>
      </c>
      <c r="K2073" s="383"/>
      <c r="L2073" s="383"/>
      <c r="M2073" s="381">
        <f t="shared" si="324"/>
        <v>0</v>
      </c>
      <c r="N2073" s="383"/>
      <c r="O2073" s="383"/>
      <c r="P2073" s="381">
        <f t="shared" si="325"/>
        <v>0</v>
      </c>
      <c r="Q2073" s="383"/>
      <c r="R2073" s="383"/>
      <c r="S2073" s="25">
        <f t="shared" si="326"/>
        <v>0</v>
      </c>
      <c r="T2073" s="383"/>
      <c r="U2073" s="383"/>
      <c r="V2073" s="381">
        <f t="shared" si="327"/>
        <v>0</v>
      </c>
      <c r="W2073" s="383"/>
      <c r="X2073" s="383"/>
      <c r="Y2073" s="381">
        <f t="shared" si="328"/>
        <v>0</v>
      </c>
    </row>
    <row r="2074" spans="2:25" x14ac:dyDescent="0.2">
      <c r="B2074" s="383"/>
      <c r="C2074" s="383"/>
      <c r="D2074" s="381">
        <f t="shared" si="321"/>
        <v>0</v>
      </c>
      <c r="E2074" s="383"/>
      <c r="F2074" s="382"/>
      <c r="G2074" s="381">
        <f t="shared" si="322"/>
        <v>0</v>
      </c>
      <c r="H2074" s="383"/>
      <c r="I2074" s="383"/>
      <c r="J2074" s="381">
        <f t="shared" si="323"/>
        <v>0</v>
      </c>
      <c r="K2074" s="383"/>
      <c r="L2074" s="383"/>
      <c r="M2074" s="381">
        <f t="shared" si="324"/>
        <v>0</v>
      </c>
      <c r="N2074" s="383"/>
      <c r="O2074" s="383"/>
      <c r="P2074" s="381">
        <f t="shared" si="325"/>
        <v>0</v>
      </c>
      <c r="Q2074" s="383"/>
      <c r="R2074" s="383"/>
      <c r="S2074" s="25">
        <f t="shared" si="326"/>
        <v>0</v>
      </c>
      <c r="T2074" s="383"/>
      <c r="U2074" s="383"/>
      <c r="V2074" s="381">
        <f t="shared" si="327"/>
        <v>0</v>
      </c>
      <c r="W2074" s="383"/>
      <c r="X2074" s="383"/>
      <c r="Y2074" s="381">
        <f t="shared" si="328"/>
        <v>0</v>
      </c>
    </row>
    <row r="2075" spans="2:25" x14ac:dyDescent="0.2">
      <c r="B2075" s="383"/>
      <c r="C2075" s="383"/>
      <c r="D2075" s="381">
        <f t="shared" si="321"/>
        <v>0</v>
      </c>
      <c r="E2075" s="383"/>
      <c r="F2075" s="382"/>
      <c r="G2075" s="381">
        <f t="shared" si="322"/>
        <v>0</v>
      </c>
      <c r="H2075" s="383"/>
      <c r="I2075" s="383"/>
      <c r="J2075" s="381">
        <f t="shared" si="323"/>
        <v>0</v>
      </c>
      <c r="K2075" s="383"/>
      <c r="L2075" s="383"/>
      <c r="M2075" s="381">
        <f t="shared" si="324"/>
        <v>0</v>
      </c>
      <c r="N2075" s="383"/>
      <c r="O2075" s="383"/>
      <c r="P2075" s="381">
        <f t="shared" si="325"/>
        <v>0</v>
      </c>
      <c r="Q2075" s="383"/>
      <c r="R2075" s="383"/>
      <c r="S2075" s="25">
        <f t="shared" si="326"/>
        <v>0</v>
      </c>
      <c r="T2075" s="383"/>
      <c r="U2075" s="383"/>
      <c r="V2075" s="381">
        <f t="shared" si="327"/>
        <v>0</v>
      </c>
      <c r="W2075" s="383"/>
      <c r="X2075" s="383"/>
      <c r="Y2075" s="381">
        <f t="shared" si="328"/>
        <v>0</v>
      </c>
    </row>
    <row r="2076" spans="2:25" x14ac:dyDescent="0.2">
      <c r="B2076" s="383"/>
      <c r="C2076" s="383"/>
      <c r="D2076" s="381">
        <f t="shared" si="321"/>
        <v>0</v>
      </c>
      <c r="E2076" s="383"/>
      <c r="F2076" s="382"/>
      <c r="G2076" s="381">
        <f t="shared" si="322"/>
        <v>0</v>
      </c>
      <c r="H2076" s="383"/>
      <c r="I2076" s="383"/>
      <c r="J2076" s="381">
        <f t="shared" si="323"/>
        <v>0</v>
      </c>
      <c r="K2076" s="383"/>
      <c r="L2076" s="383"/>
      <c r="M2076" s="381">
        <f t="shared" si="324"/>
        <v>0</v>
      </c>
      <c r="N2076" s="383"/>
      <c r="O2076" s="383"/>
      <c r="P2076" s="381">
        <f t="shared" si="325"/>
        <v>0</v>
      </c>
      <c r="Q2076" s="383"/>
      <c r="R2076" s="383"/>
      <c r="S2076" s="25">
        <f t="shared" si="326"/>
        <v>0</v>
      </c>
      <c r="T2076" s="383"/>
      <c r="U2076" s="383"/>
      <c r="V2076" s="381">
        <f t="shared" si="327"/>
        <v>0</v>
      </c>
      <c r="W2076" s="383"/>
      <c r="X2076" s="383"/>
      <c r="Y2076" s="381">
        <f t="shared" si="328"/>
        <v>0</v>
      </c>
    </row>
    <row r="2077" spans="2:25" x14ac:dyDescent="0.2">
      <c r="B2077" s="383"/>
      <c r="C2077" s="383"/>
      <c r="D2077" s="381">
        <f t="shared" si="321"/>
        <v>0</v>
      </c>
      <c r="E2077" s="383"/>
      <c r="F2077" s="382"/>
      <c r="G2077" s="381">
        <f t="shared" si="322"/>
        <v>0</v>
      </c>
      <c r="H2077" s="383"/>
      <c r="I2077" s="383"/>
      <c r="J2077" s="381">
        <f t="shared" si="323"/>
        <v>0</v>
      </c>
      <c r="K2077" s="383"/>
      <c r="L2077" s="383"/>
      <c r="M2077" s="381">
        <f t="shared" si="324"/>
        <v>0</v>
      </c>
      <c r="N2077" s="383"/>
      <c r="O2077" s="383"/>
      <c r="P2077" s="381">
        <f t="shared" si="325"/>
        <v>0</v>
      </c>
      <c r="Q2077" s="383"/>
      <c r="R2077" s="383"/>
      <c r="S2077" s="25">
        <f t="shared" si="326"/>
        <v>0</v>
      </c>
      <c r="T2077" s="383"/>
      <c r="U2077" s="383"/>
      <c r="V2077" s="381">
        <f t="shared" si="327"/>
        <v>0</v>
      </c>
      <c r="W2077" s="383"/>
      <c r="X2077" s="383"/>
      <c r="Y2077" s="381">
        <f t="shared" si="328"/>
        <v>0</v>
      </c>
    </row>
    <row r="2078" spans="2:25" x14ac:dyDescent="0.2">
      <c r="B2078" s="383"/>
      <c r="C2078" s="383"/>
      <c r="D2078" s="381">
        <f t="shared" si="321"/>
        <v>0</v>
      </c>
      <c r="E2078" s="383"/>
      <c r="F2078" s="382"/>
      <c r="G2078" s="381">
        <f t="shared" si="322"/>
        <v>0</v>
      </c>
      <c r="H2078" s="383"/>
      <c r="I2078" s="383"/>
      <c r="J2078" s="381">
        <f t="shared" si="323"/>
        <v>0</v>
      </c>
      <c r="K2078" s="383"/>
      <c r="L2078" s="383"/>
      <c r="M2078" s="381">
        <f t="shared" si="324"/>
        <v>0</v>
      </c>
      <c r="N2078" s="383"/>
      <c r="O2078" s="383"/>
      <c r="P2078" s="381">
        <f t="shared" si="325"/>
        <v>0</v>
      </c>
      <c r="Q2078" s="383"/>
      <c r="R2078" s="383"/>
      <c r="S2078" s="25">
        <f t="shared" si="326"/>
        <v>0</v>
      </c>
      <c r="T2078" s="383"/>
      <c r="U2078" s="383"/>
      <c r="V2078" s="381">
        <f t="shared" si="327"/>
        <v>0</v>
      </c>
      <c r="W2078" s="383"/>
      <c r="X2078" s="383"/>
      <c r="Y2078" s="381">
        <f t="shared" si="328"/>
        <v>0</v>
      </c>
    </row>
    <row r="2079" spans="2:25" x14ac:dyDescent="0.2">
      <c r="B2079" s="383"/>
      <c r="C2079" s="383"/>
      <c r="D2079" s="381">
        <f t="shared" si="321"/>
        <v>0</v>
      </c>
      <c r="E2079" s="383"/>
      <c r="F2079" s="382"/>
      <c r="G2079" s="381">
        <f t="shared" si="322"/>
        <v>0</v>
      </c>
      <c r="H2079" s="383"/>
      <c r="I2079" s="383"/>
      <c r="J2079" s="381">
        <f t="shared" si="323"/>
        <v>0</v>
      </c>
      <c r="K2079" s="383"/>
      <c r="L2079" s="383"/>
      <c r="M2079" s="381">
        <f t="shared" si="324"/>
        <v>0</v>
      </c>
      <c r="N2079" s="383"/>
      <c r="O2079" s="383"/>
      <c r="P2079" s="381">
        <f t="shared" si="325"/>
        <v>0</v>
      </c>
      <c r="Q2079" s="383"/>
      <c r="R2079" s="383"/>
      <c r="S2079" s="25">
        <f t="shared" si="326"/>
        <v>0</v>
      </c>
      <c r="T2079" s="383"/>
      <c r="U2079" s="383"/>
      <c r="V2079" s="381">
        <f t="shared" si="327"/>
        <v>0</v>
      </c>
      <c r="W2079" s="383"/>
      <c r="X2079" s="383"/>
      <c r="Y2079" s="381">
        <f t="shared" si="328"/>
        <v>0</v>
      </c>
    </row>
    <row r="2080" spans="2:25" x14ac:dyDescent="0.2">
      <c r="B2080" s="383"/>
      <c r="C2080" s="383"/>
      <c r="D2080" s="381">
        <f t="shared" si="321"/>
        <v>0</v>
      </c>
      <c r="E2080" s="383"/>
      <c r="F2080" s="382"/>
      <c r="G2080" s="381">
        <f t="shared" si="322"/>
        <v>0</v>
      </c>
      <c r="H2080" s="383"/>
      <c r="I2080" s="383"/>
      <c r="J2080" s="381">
        <f t="shared" si="323"/>
        <v>0</v>
      </c>
      <c r="K2080" s="383"/>
      <c r="L2080" s="383"/>
      <c r="M2080" s="381">
        <f t="shared" si="324"/>
        <v>0</v>
      </c>
      <c r="N2080" s="383"/>
      <c r="O2080" s="383"/>
      <c r="P2080" s="381">
        <f t="shared" si="325"/>
        <v>0</v>
      </c>
      <c r="Q2080" s="383"/>
      <c r="R2080" s="383"/>
      <c r="S2080" s="25">
        <f t="shared" si="326"/>
        <v>0</v>
      </c>
      <c r="T2080" s="383"/>
      <c r="U2080" s="383"/>
      <c r="V2080" s="381">
        <f t="shared" si="327"/>
        <v>0</v>
      </c>
      <c r="W2080" s="383"/>
      <c r="X2080" s="383"/>
      <c r="Y2080" s="381">
        <f t="shared" si="328"/>
        <v>0</v>
      </c>
    </row>
    <row r="2081" spans="2:25" x14ac:dyDescent="0.2">
      <c r="B2081" s="383"/>
      <c r="C2081" s="383"/>
      <c r="D2081" s="381">
        <f t="shared" si="321"/>
        <v>0</v>
      </c>
      <c r="E2081" s="383"/>
      <c r="F2081" s="382"/>
      <c r="G2081" s="381">
        <f t="shared" si="322"/>
        <v>0</v>
      </c>
      <c r="H2081" s="383"/>
      <c r="I2081" s="383"/>
      <c r="J2081" s="381">
        <f t="shared" si="323"/>
        <v>0</v>
      </c>
      <c r="K2081" s="383"/>
      <c r="L2081" s="383"/>
      <c r="M2081" s="381">
        <f t="shared" si="324"/>
        <v>0</v>
      </c>
      <c r="N2081" s="383"/>
      <c r="O2081" s="383"/>
      <c r="P2081" s="381">
        <f t="shared" si="325"/>
        <v>0</v>
      </c>
      <c r="Q2081" s="383"/>
      <c r="R2081" s="383"/>
      <c r="S2081" s="25">
        <f t="shared" si="326"/>
        <v>0</v>
      </c>
      <c r="T2081" s="383"/>
      <c r="U2081" s="383"/>
      <c r="V2081" s="381">
        <f t="shared" si="327"/>
        <v>0</v>
      </c>
      <c r="W2081" s="383"/>
      <c r="X2081" s="383"/>
      <c r="Y2081" s="381">
        <f t="shared" si="328"/>
        <v>0</v>
      </c>
    </row>
    <row r="2082" spans="2:25" x14ac:dyDescent="0.2">
      <c r="B2082" s="383"/>
      <c r="C2082" s="383"/>
      <c r="D2082" s="381">
        <f t="shared" si="321"/>
        <v>0</v>
      </c>
      <c r="E2082" s="383"/>
      <c r="F2082" s="382"/>
      <c r="G2082" s="381">
        <f t="shared" si="322"/>
        <v>0</v>
      </c>
      <c r="H2082" s="383"/>
      <c r="I2082" s="383"/>
      <c r="J2082" s="381">
        <f t="shared" si="323"/>
        <v>0</v>
      </c>
      <c r="K2082" s="383"/>
      <c r="L2082" s="383"/>
      <c r="M2082" s="381">
        <f t="shared" si="324"/>
        <v>0</v>
      </c>
      <c r="N2082" s="383"/>
      <c r="O2082" s="383"/>
      <c r="P2082" s="381">
        <f t="shared" si="325"/>
        <v>0</v>
      </c>
      <c r="Q2082" s="383"/>
      <c r="R2082" s="383"/>
      <c r="S2082" s="25">
        <f t="shared" si="326"/>
        <v>0</v>
      </c>
      <c r="T2082" s="383"/>
      <c r="U2082" s="383"/>
      <c r="V2082" s="381">
        <f t="shared" si="327"/>
        <v>0</v>
      </c>
      <c r="W2082" s="383"/>
      <c r="X2082" s="383"/>
      <c r="Y2082" s="381">
        <f t="shared" si="328"/>
        <v>0</v>
      </c>
    </row>
    <row r="2083" spans="2:25" x14ac:dyDescent="0.2">
      <c r="B2083" s="383"/>
      <c r="C2083" s="383"/>
      <c r="D2083" s="381">
        <f t="shared" si="321"/>
        <v>0</v>
      </c>
      <c r="E2083" s="383"/>
      <c r="F2083" s="382"/>
      <c r="G2083" s="381">
        <f t="shared" si="322"/>
        <v>0</v>
      </c>
      <c r="H2083" s="383"/>
      <c r="I2083" s="383"/>
      <c r="J2083" s="381">
        <f t="shared" si="323"/>
        <v>0</v>
      </c>
      <c r="K2083" s="383"/>
      <c r="L2083" s="383"/>
      <c r="M2083" s="381">
        <f t="shared" si="324"/>
        <v>0</v>
      </c>
      <c r="N2083" s="383"/>
      <c r="O2083" s="383"/>
      <c r="P2083" s="381">
        <f t="shared" si="325"/>
        <v>0</v>
      </c>
      <c r="Q2083" s="383"/>
      <c r="R2083" s="383"/>
      <c r="S2083" s="25">
        <f t="shared" si="326"/>
        <v>0</v>
      </c>
      <c r="T2083" s="383"/>
      <c r="U2083" s="383"/>
      <c r="V2083" s="381">
        <f t="shared" si="327"/>
        <v>0</v>
      </c>
      <c r="W2083" s="383"/>
      <c r="X2083" s="383"/>
      <c r="Y2083" s="381">
        <f t="shared" si="328"/>
        <v>0</v>
      </c>
    </row>
    <row r="2084" spans="2:25" x14ac:dyDescent="0.2">
      <c r="B2084" s="383"/>
      <c r="C2084" s="383"/>
      <c r="D2084" s="381">
        <f t="shared" si="321"/>
        <v>0</v>
      </c>
      <c r="E2084" s="383"/>
      <c r="F2084" s="382"/>
      <c r="G2084" s="381">
        <f t="shared" si="322"/>
        <v>0</v>
      </c>
      <c r="H2084" s="383"/>
      <c r="I2084" s="383"/>
      <c r="J2084" s="381">
        <f t="shared" si="323"/>
        <v>0</v>
      </c>
      <c r="K2084" s="383"/>
      <c r="L2084" s="383"/>
      <c r="M2084" s="381">
        <f t="shared" si="324"/>
        <v>0</v>
      </c>
      <c r="N2084" s="383"/>
      <c r="O2084" s="383"/>
      <c r="P2084" s="381">
        <f t="shared" si="325"/>
        <v>0</v>
      </c>
      <c r="Q2084" s="383"/>
      <c r="R2084" s="383"/>
      <c r="S2084" s="25">
        <f t="shared" si="326"/>
        <v>0</v>
      </c>
      <c r="T2084" s="383"/>
      <c r="U2084" s="383"/>
      <c r="V2084" s="381">
        <f t="shared" si="327"/>
        <v>0</v>
      </c>
      <c r="W2084" s="383"/>
      <c r="X2084" s="383"/>
      <c r="Y2084" s="381">
        <f t="shared" si="328"/>
        <v>0</v>
      </c>
    </row>
    <row r="2085" spans="2:25" x14ac:dyDescent="0.2">
      <c r="B2085" s="383"/>
      <c r="C2085" s="383"/>
      <c r="D2085" s="381">
        <f t="shared" si="321"/>
        <v>0</v>
      </c>
      <c r="E2085" s="383"/>
      <c r="F2085" s="382"/>
      <c r="G2085" s="381">
        <f t="shared" si="322"/>
        <v>0</v>
      </c>
      <c r="H2085" s="383"/>
      <c r="I2085" s="383"/>
      <c r="J2085" s="381">
        <f t="shared" si="323"/>
        <v>0</v>
      </c>
      <c r="K2085" s="383"/>
      <c r="L2085" s="383"/>
      <c r="M2085" s="381">
        <f t="shared" si="324"/>
        <v>0</v>
      </c>
      <c r="N2085" s="383"/>
      <c r="O2085" s="383"/>
      <c r="P2085" s="381">
        <f t="shared" si="325"/>
        <v>0</v>
      </c>
      <c r="Q2085" s="383"/>
      <c r="R2085" s="383"/>
      <c r="S2085" s="25">
        <f t="shared" si="326"/>
        <v>0</v>
      </c>
      <c r="T2085" s="383"/>
      <c r="U2085" s="383"/>
      <c r="V2085" s="381">
        <f t="shared" si="327"/>
        <v>0</v>
      </c>
      <c r="W2085" s="383"/>
      <c r="X2085" s="383"/>
      <c r="Y2085" s="381">
        <f t="shared" si="328"/>
        <v>0</v>
      </c>
    </row>
    <row r="2086" spans="2:25" x14ac:dyDescent="0.2">
      <c r="B2086" s="383"/>
      <c r="C2086" s="383"/>
      <c r="D2086" s="381">
        <f t="shared" si="321"/>
        <v>0</v>
      </c>
      <c r="E2086" s="383"/>
      <c r="F2086" s="382"/>
      <c r="G2086" s="381">
        <f t="shared" si="322"/>
        <v>0</v>
      </c>
      <c r="H2086" s="383"/>
      <c r="I2086" s="383"/>
      <c r="J2086" s="381">
        <f t="shared" si="323"/>
        <v>0</v>
      </c>
      <c r="K2086" s="383"/>
      <c r="L2086" s="383"/>
      <c r="M2086" s="381">
        <f t="shared" si="324"/>
        <v>0</v>
      </c>
      <c r="N2086" s="383"/>
      <c r="O2086" s="383"/>
      <c r="P2086" s="381">
        <f t="shared" si="325"/>
        <v>0</v>
      </c>
      <c r="Q2086" s="383"/>
      <c r="R2086" s="383"/>
      <c r="S2086" s="25">
        <f t="shared" si="326"/>
        <v>0</v>
      </c>
      <c r="T2086" s="383"/>
      <c r="U2086" s="383"/>
      <c r="V2086" s="381">
        <f t="shared" si="327"/>
        <v>0</v>
      </c>
      <c r="W2086" s="383"/>
      <c r="X2086" s="383"/>
      <c r="Y2086" s="381">
        <f t="shared" si="328"/>
        <v>0</v>
      </c>
    </row>
    <row r="2087" spans="2:25" x14ac:dyDescent="0.2">
      <c r="B2087" s="383"/>
      <c r="C2087" s="383"/>
      <c r="D2087" s="381">
        <f t="shared" si="321"/>
        <v>0</v>
      </c>
      <c r="E2087" s="383"/>
      <c r="F2087" s="382"/>
      <c r="G2087" s="381">
        <f t="shared" si="322"/>
        <v>0</v>
      </c>
      <c r="H2087" s="383"/>
      <c r="I2087" s="383"/>
      <c r="J2087" s="381">
        <f t="shared" si="323"/>
        <v>0</v>
      </c>
      <c r="K2087" s="383"/>
      <c r="L2087" s="383"/>
      <c r="M2087" s="381">
        <f t="shared" si="324"/>
        <v>0</v>
      </c>
      <c r="N2087" s="383"/>
      <c r="O2087" s="383"/>
      <c r="P2087" s="381">
        <f t="shared" si="325"/>
        <v>0</v>
      </c>
      <c r="Q2087" s="383"/>
      <c r="R2087" s="383"/>
      <c r="S2087" s="25">
        <f t="shared" si="326"/>
        <v>0</v>
      </c>
      <c r="T2087" s="383"/>
      <c r="U2087" s="383"/>
      <c r="V2087" s="381">
        <f t="shared" si="327"/>
        <v>0</v>
      </c>
      <c r="W2087" s="383"/>
      <c r="X2087" s="383"/>
      <c r="Y2087" s="381">
        <f t="shared" si="328"/>
        <v>0</v>
      </c>
    </row>
    <row r="2088" spans="2:25" x14ac:dyDescent="0.2">
      <c r="B2088" s="383"/>
      <c r="C2088" s="383"/>
      <c r="D2088" s="381">
        <f t="shared" si="321"/>
        <v>0</v>
      </c>
      <c r="E2088" s="383"/>
      <c r="F2088" s="382"/>
      <c r="G2088" s="381">
        <f t="shared" si="322"/>
        <v>0</v>
      </c>
      <c r="H2088" s="383"/>
      <c r="I2088" s="383"/>
      <c r="J2088" s="381">
        <f t="shared" si="323"/>
        <v>0</v>
      </c>
      <c r="K2088" s="383"/>
      <c r="L2088" s="383"/>
      <c r="M2088" s="381">
        <f t="shared" si="324"/>
        <v>0</v>
      </c>
      <c r="N2088" s="383"/>
      <c r="O2088" s="383"/>
      <c r="P2088" s="381">
        <f t="shared" si="325"/>
        <v>0</v>
      </c>
      <c r="Q2088" s="383"/>
      <c r="R2088" s="383"/>
      <c r="S2088" s="25">
        <f t="shared" si="326"/>
        <v>0</v>
      </c>
      <c r="T2088" s="383"/>
      <c r="U2088" s="383"/>
      <c r="V2088" s="381">
        <f t="shared" si="327"/>
        <v>0</v>
      </c>
      <c r="W2088" s="383"/>
      <c r="X2088" s="383"/>
      <c r="Y2088" s="381">
        <f t="shared" si="328"/>
        <v>0</v>
      </c>
    </row>
    <row r="2089" spans="2:25" x14ac:dyDescent="0.2">
      <c r="B2089" s="383"/>
      <c r="C2089" s="383"/>
      <c r="D2089" s="381">
        <f t="shared" si="321"/>
        <v>0</v>
      </c>
      <c r="E2089" s="383"/>
      <c r="F2089" s="382"/>
      <c r="G2089" s="381">
        <f t="shared" si="322"/>
        <v>0</v>
      </c>
      <c r="H2089" s="383"/>
      <c r="I2089" s="383"/>
      <c r="J2089" s="381">
        <f t="shared" si="323"/>
        <v>0</v>
      </c>
      <c r="K2089" s="383"/>
      <c r="L2089" s="383"/>
      <c r="M2089" s="381">
        <f t="shared" si="324"/>
        <v>0</v>
      </c>
      <c r="N2089" s="383"/>
      <c r="O2089" s="383"/>
      <c r="P2089" s="381">
        <f t="shared" si="325"/>
        <v>0</v>
      </c>
      <c r="Q2089" s="383"/>
      <c r="R2089" s="383"/>
      <c r="S2089" s="25">
        <f t="shared" si="326"/>
        <v>0</v>
      </c>
      <c r="T2089" s="383"/>
      <c r="U2089" s="383"/>
      <c r="V2089" s="381">
        <f t="shared" si="327"/>
        <v>0</v>
      </c>
      <c r="W2089" s="383"/>
      <c r="X2089" s="383"/>
      <c r="Y2089" s="381">
        <f t="shared" si="328"/>
        <v>0</v>
      </c>
    </row>
    <row r="2090" spans="2:25" x14ac:dyDescent="0.2">
      <c r="B2090" s="383"/>
      <c r="C2090" s="383"/>
      <c r="D2090" s="381">
        <f t="shared" si="321"/>
        <v>0</v>
      </c>
      <c r="E2090" s="383"/>
      <c r="F2090" s="382"/>
      <c r="G2090" s="381">
        <f t="shared" si="322"/>
        <v>0</v>
      </c>
      <c r="H2090" s="383"/>
      <c r="I2090" s="383"/>
      <c r="J2090" s="381">
        <f t="shared" si="323"/>
        <v>0</v>
      </c>
      <c r="K2090" s="383"/>
      <c r="L2090" s="383"/>
      <c r="M2090" s="381">
        <f t="shared" si="324"/>
        <v>0</v>
      </c>
      <c r="N2090" s="383"/>
      <c r="O2090" s="383"/>
      <c r="P2090" s="381">
        <f t="shared" si="325"/>
        <v>0</v>
      </c>
      <c r="Q2090" s="383"/>
      <c r="R2090" s="383"/>
      <c r="S2090" s="25">
        <f t="shared" si="326"/>
        <v>0</v>
      </c>
      <c r="T2090" s="383"/>
      <c r="U2090" s="383"/>
      <c r="V2090" s="381">
        <f t="shared" si="327"/>
        <v>0</v>
      </c>
      <c r="W2090" s="383"/>
      <c r="X2090" s="383"/>
      <c r="Y2090" s="381">
        <f t="shared" si="328"/>
        <v>0</v>
      </c>
    </row>
    <row r="2091" spans="2:25" x14ac:dyDescent="0.2">
      <c r="B2091" s="383"/>
      <c r="C2091" s="383"/>
      <c r="D2091" s="381">
        <f t="shared" si="321"/>
        <v>0</v>
      </c>
      <c r="E2091" s="383"/>
      <c r="F2091" s="382"/>
      <c r="G2091" s="381">
        <f t="shared" si="322"/>
        <v>0</v>
      </c>
      <c r="H2091" s="383"/>
      <c r="I2091" s="383"/>
      <c r="J2091" s="381">
        <f t="shared" si="323"/>
        <v>0</v>
      </c>
      <c r="K2091" s="383"/>
      <c r="L2091" s="383"/>
      <c r="M2091" s="381">
        <f t="shared" si="324"/>
        <v>0</v>
      </c>
      <c r="N2091" s="383"/>
      <c r="O2091" s="383"/>
      <c r="P2091" s="381">
        <f t="shared" si="325"/>
        <v>0</v>
      </c>
      <c r="Q2091" s="383"/>
      <c r="R2091" s="383"/>
      <c r="S2091" s="25">
        <f t="shared" si="326"/>
        <v>0</v>
      </c>
      <c r="T2091" s="383"/>
      <c r="U2091" s="383"/>
      <c r="V2091" s="381">
        <f t="shared" si="327"/>
        <v>0</v>
      </c>
      <c r="W2091" s="383"/>
      <c r="X2091" s="383"/>
      <c r="Y2091" s="381">
        <f t="shared" si="328"/>
        <v>0</v>
      </c>
    </row>
    <row r="2092" spans="2:25" x14ac:dyDescent="0.2">
      <c r="B2092" s="383"/>
      <c r="C2092" s="383"/>
      <c r="D2092" s="381">
        <f t="shared" si="321"/>
        <v>0</v>
      </c>
      <c r="E2092" s="383"/>
      <c r="F2092" s="382"/>
      <c r="G2092" s="381">
        <f t="shared" si="322"/>
        <v>0</v>
      </c>
      <c r="H2092" s="383"/>
      <c r="I2092" s="383"/>
      <c r="J2092" s="381">
        <f t="shared" si="323"/>
        <v>0</v>
      </c>
      <c r="K2092" s="383"/>
      <c r="L2092" s="383"/>
      <c r="M2092" s="381">
        <f t="shared" si="324"/>
        <v>0</v>
      </c>
      <c r="N2092" s="383"/>
      <c r="O2092" s="383"/>
      <c r="P2092" s="381">
        <f t="shared" si="325"/>
        <v>0</v>
      </c>
      <c r="Q2092" s="383"/>
      <c r="R2092" s="383"/>
      <c r="S2092" s="25">
        <f t="shared" si="326"/>
        <v>0</v>
      </c>
      <c r="T2092" s="383"/>
      <c r="U2092" s="383"/>
      <c r="V2092" s="381">
        <f t="shared" si="327"/>
        <v>0</v>
      </c>
      <c r="W2092" s="383"/>
      <c r="X2092" s="383"/>
      <c r="Y2092" s="381">
        <f t="shared" si="328"/>
        <v>0</v>
      </c>
    </row>
    <row r="2093" spans="2:25" x14ac:dyDescent="0.2">
      <c r="B2093" s="383"/>
      <c r="C2093" s="383"/>
      <c r="D2093" s="381">
        <f t="shared" si="321"/>
        <v>0</v>
      </c>
      <c r="E2093" s="383"/>
      <c r="F2093" s="382"/>
      <c r="G2093" s="381">
        <f t="shared" si="322"/>
        <v>0</v>
      </c>
      <c r="H2093" s="383"/>
      <c r="I2093" s="383"/>
      <c r="J2093" s="381">
        <f t="shared" si="323"/>
        <v>0</v>
      </c>
      <c r="K2093" s="383"/>
      <c r="L2093" s="383"/>
      <c r="M2093" s="381">
        <f t="shared" si="324"/>
        <v>0</v>
      </c>
      <c r="N2093" s="383"/>
      <c r="O2093" s="383"/>
      <c r="P2093" s="381">
        <f t="shared" si="325"/>
        <v>0</v>
      </c>
      <c r="Q2093" s="383"/>
      <c r="R2093" s="383"/>
      <c r="S2093" s="25">
        <f t="shared" si="326"/>
        <v>0</v>
      </c>
      <c r="T2093" s="383"/>
      <c r="U2093" s="383"/>
      <c r="V2093" s="381">
        <f t="shared" si="327"/>
        <v>0</v>
      </c>
      <c r="W2093" s="383"/>
      <c r="X2093" s="383"/>
      <c r="Y2093" s="381">
        <f t="shared" si="328"/>
        <v>0</v>
      </c>
    </row>
    <row r="2094" spans="2:25" x14ac:dyDescent="0.2">
      <c r="B2094" s="383"/>
      <c r="C2094" s="383"/>
      <c r="D2094" s="381">
        <f t="shared" si="321"/>
        <v>0</v>
      </c>
      <c r="E2094" s="383"/>
      <c r="F2094" s="382"/>
      <c r="G2094" s="381">
        <f t="shared" si="322"/>
        <v>0</v>
      </c>
      <c r="H2094" s="383"/>
      <c r="I2094" s="383"/>
      <c r="J2094" s="381">
        <f t="shared" si="323"/>
        <v>0</v>
      </c>
      <c r="K2094" s="383"/>
      <c r="L2094" s="383"/>
      <c r="M2094" s="381">
        <f t="shared" si="324"/>
        <v>0</v>
      </c>
      <c r="N2094" s="383"/>
      <c r="O2094" s="383"/>
      <c r="P2094" s="381">
        <f t="shared" si="325"/>
        <v>0</v>
      </c>
      <c r="Q2094" s="383"/>
      <c r="R2094" s="383"/>
      <c r="S2094" s="25">
        <f t="shared" si="326"/>
        <v>0</v>
      </c>
      <c r="T2094" s="383"/>
      <c r="U2094" s="383"/>
      <c r="V2094" s="381">
        <f t="shared" si="327"/>
        <v>0</v>
      </c>
      <c r="W2094" s="383"/>
      <c r="X2094" s="383"/>
      <c r="Y2094" s="381">
        <f t="shared" si="328"/>
        <v>0</v>
      </c>
    </row>
    <row r="2095" spans="2:25" x14ac:dyDescent="0.2">
      <c r="B2095" s="383"/>
      <c r="C2095" s="383"/>
      <c r="D2095" s="381">
        <f t="shared" si="321"/>
        <v>0</v>
      </c>
      <c r="E2095" s="383"/>
      <c r="F2095" s="382"/>
      <c r="G2095" s="381">
        <f t="shared" si="322"/>
        <v>0</v>
      </c>
      <c r="H2095" s="383"/>
      <c r="I2095" s="383"/>
      <c r="J2095" s="381">
        <f t="shared" si="323"/>
        <v>0</v>
      </c>
      <c r="K2095" s="383"/>
      <c r="L2095" s="383"/>
      <c r="M2095" s="381">
        <f t="shared" si="324"/>
        <v>0</v>
      </c>
      <c r="N2095" s="383"/>
      <c r="O2095" s="383"/>
      <c r="P2095" s="381">
        <f t="shared" si="325"/>
        <v>0</v>
      </c>
      <c r="Q2095" s="383"/>
      <c r="R2095" s="383"/>
      <c r="S2095" s="25">
        <f t="shared" si="326"/>
        <v>0</v>
      </c>
      <c r="T2095" s="383"/>
      <c r="U2095" s="383"/>
      <c r="V2095" s="381">
        <f t="shared" si="327"/>
        <v>0</v>
      </c>
      <c r="W2095" s="383"/>
      <c r="X2095" s="383"/>
      <c r="Y2095" s="381">
        <f t="shared" si="328"/>
        <v>0</v>
      </c>
    </row>
    <row r="2096" spans="2:25" x14ac:dyDescent="0.2">
      <c r="B2096" s="383"/>
      <c r="C2096" s="383"/>
      <c r="D2096" s="381">
        <f t="shared" si="321"/>
        <v>0</v>
      </c>
      <c r="E2096" s="383"/>
      <c r="F2096" s="382"/>
      <c r="G2096" s="381">
        <f t="shared" si="322"/>
        <v>0</v>
      </c>
      <c r="H2096" s="383"/>
      <c r="I2096" s="383"/>
      <c r="J2096" s="381">
        <f t="shared" si="323"/>
        <v>0</v>
      </c>
      <c r="K2096" s="383"/>
      <c r="L2096" s="383"/>
      <c r="M2096" s="381">
        <f t="shared" si="324"/>
        <v>0</v>
      </c>
      <c r="N2096" s="383"/>
      <c r="O2096" s="383"/>
      <c r="P2096" s="381">
        <f t="shared" si="325"/>
        <v>0</v>
      </c>
      <c r="Q2096" s="383"/>
      <c r="R2096" s="383"/>
      <c r="S2096" s="25">
        <f t="shared" si="326"/>
        <v>0</v>
      </c>
      <c r="T2096" s="383"/>
      <c r="U2096" s="383"/>
      <c r="V2096" s="381">
        <f t="shared" si="327"/>
        <v>0</v>
      </c>
      <c r="W2096" s="383"/>
      <c r="X2096" s="383"/>
      <c r="Y2096" s="381">
        <f t="shared" si="328"/>
        <v>0</v>
      </c>
    </row>
    <row r="2097" spans="2:25" x14ac:dyDescent="0.2">
      <c r="B2097" s="383"/>
      <c r="C2097" s="383"/>
      <c r="D2097" s="381">
        <f t="shared" si="321"/>
        <v>0</v>
      </c>
      <c r="E2097" s="383"/>
      <c r="F2097" s="382"/>
      <c r="G2097" s="381">
        <f t="shared" si="322"/>
        <v>0</v>
      </c>
      <c r="H2097" s="383"/>
      <c r="I2097" s="383"/>
      <c r="J2097" s="381">
        <f t="shared" si="323"/>
        <v>0</v>
      </c>
      <c r="K2097" s="383"/>
      <c r="L2097" s="383"/>
      <c r="M2097" s="381">
        <f t="shared" si="324"/>
        <v>0</v>
      </c>
      <c r="N2097" s="383"/>
      <c r="O2097" s="383"/>
      <c r="P2097" s="381">
        <f t="shared" si="325"/>
        <v>0</v>
      </c>
      <c r="Q2097" s="383"/>
      <c r="R2097" s="383"/>
      <c r="S2097" s="25">
        <f t="shared" si="326"/>
        <v>0</v>
      </c>
      <c r="T2097" s="383"/>
      <c r="U2097" s="383"/>
      <c r="V2097" s="381">
        <f t="shared" si="327"/>
        <v>0</v>
      </c>
      <c r="W2097" s="383"/>
      <c r="X2097" s="383"/>
      <c r="Y2097" s="381">
        <f t="shared" si="328"/>
        <v>0</v>
      </c>
    </row>
    <row r="2098" spans="2:25" x14ac:dyDescent="0.2">
      <c r="B2098" s="383"/>
      <c r="C2098" s="383"/>
      <c r="D2098" s="381">
        <f t="shared" si="321"/>
        <v>0</v>
      </c>
      <c r="E2098" s="383"/>
      <c r="F2098" s="382"/>
      <c r="G2098" s="381">
        <f t="shared" si="322"/>
        <v>0</v>
      </c>
      <c r="H2098" s="383"/>
      <c r="I2098" s="383"/>
      <c r="J2098" s="381">
        <f t="shared" si="323"/>
        <v>0</v>
      </c>
      <c r="K2098" s="383"/>
      <c r="L2098" s="383"/>
      <c r="M2098" s="381">
        <f t="shared" si="324"/>
        <v>0</v>
      </c>
      <c r="N2098" s="383"/>
      <c r="O2098" s="383"/>
      <c r="P2098" s="381">
        <f t="shared" si="325"/>
        <v>0</v>
      </c>
      <c r="Q2098" s="383"/>
      <c r="R2098" s="383"/>
      <c r="S2098" s="25">
        <f t="shared" si="326"/>
        <v>0</v>
      </c>
      <c r="T2098" s="383"/>
      <c r="U2098" s="383"/>
      <c r="V2098" s="381">
        <f t="shared" si="327"/>
        <v>0</v>
      </c>
      <c r="W2098" s="383"/>
      <c r="X2098" s="383"/>
      <c r="Y2098" s="381">
        <f t="shared" si="328"/>
        <v>0</v>
      </c>
    </row>
    <row r="2099" spans="2:25" x14ac:dyDescent="0.2">
      <c r="B2099" s="383"/>
      <c r="C2099" s="383"/>
      <c r="D2099" s="381">
        <f t="shared" si="321"/>
        <v>0</v>
      </c>
      <c r="E2099" s="383"/>
      <c r="F2099" s="382"/>
      <c r="G2099" s="381">
        <f t="shared" si="322"/>
        <v>0</v>
      </c>
      <c r="H2099" s="383"/>
      <c r="I2099" s="383"/>
      <c r="J2099" s="381">
        <f t="shared" si="323"/>
        <v>0</v>
      </c>
      <c r="K2099" s="383"/>
      <c r="L2099" s="383"/>
      <c r="M2099" s="381">
        <f t="shared" si="324"/>
        <v>0</v>
      </c>
      <c r="N2099" s="383"/>
      <c r="O2099" s="383"/>
      <c r="P2099" s="381">
        <f t="shared" si="325"/>
        <v>0</v>
      </c>
      <c r="Q2099" s="383"/>
      <c r="R2099" s="383"/>
      <c r="S2099" s="25">
        <f t="shared" si="326"/>
        <v>0</v>
      </c>
      <c r="T2099" s="383"/>
      <c r="U2099" s="383"/>
      <c r="V2099" s="381">
        <f t="shared" si="327"/>
        <v>0</v>
      </c>
      <c r="W2099" s="383"/>
      <c r="X2099" s="383"/>
      <c r="Y2099" s="381">
        <f t="shared" si="328"/>
        <v>0</v>
      </c>
    </row>
    <row r="2100" spans="2:25" x14ac:dyDescent="0.2">
      <c r="B2100" s="383"/>
      <c r="C2100" s="383"/>
      <c r="D2100" s="381">
        <f t="shared" si="321"/>
        <v>0</v>
      </c>
      <c r="E2100" s="383"/>
      <c r="F2100" s="382"/>
      <c r="G2100" s="381">
        <f t="shared" si="322"/>
        <v>0</v>
      </c>
      <c r="H2100" s="383"/>
      <c r="I2100" s="383"/>
      <c r="J2100" s="381">
        <f t="shared" si="323"/>
        <v>0</v>
      </c>
      <c r="K2100" s="383"/>
      <c r="L2100" s="383"/>
      <c r="M2100" s="381">
        <f t="shared" si="324"/>
        <v>0</v>
      </c>
      <c r="N2100" s="383"/>
      <c r="O2100" s="383"/>
      <c r="P2100" s="381">
        <f t="shared" si="325"/>
        <v>0</v>
      </c>
      <c r="Q2100" s="383"/>
      <c r="R2100" s="383"/>
      <c r="S2100" s="25">
        <f t="shared" si="326"/>
        <v>0</v>
      </c>
      <c r="T2100" s="383"/>
      <c r="U2100" s="383"/>
      <c r="V2100" s="381">
        <f t="shared" si="327"/>
        <v>0</v>
      </c>
      <c r="W2100" s="383"/>
      <c r="X2100" s="383"/>
      <c r="Y2100" s="381">
        <f t="shared" si="328"/>
        <v>0</v>
      </c>
    </row>
    <row r="2101" spans="2:25" x14ac:dyDescent="0.2">
      <c r="B2101" s="383"/>
      <c r="C2101" s="383"/>
      <c r="D2101" s="381">
        <f t="shared" si="321"/>
        <v>0</v>
      </c>
      <c r="E2101" s="383"/>
      <c r="F2101" s="382"/>
      <c r="G2101" s="381">
        <f t="shared" si="322"/>
        <v>0</v>
      </c>
      <c r="H2101" s="383"/>
      <c r="I2101" s="383"/>
      <c r="J2101" s="381">
        <f t="shared" si="323"/>
        <v>0</v>
      </c>
      <c r="K2101" s="383"/>
      <c r="L2101" s="383"/>
      <c r="M2101" s="381">
        <f t="shared" si="324"/>
        <v>0</v>
      </c>
      <c r="N2101" s="383"/>
      <c r="O2101" s="383"/>
      <c r="P2101" s="381">
        <f t="shared" si="325"/>
        <v>0</v>
      </c>
      <c r="Q2101" s="383"/>
      <c r="R2101" s="383"/>
      <c r="S2101" s="25">
        <f t="shared" si="326"/>
        <v>0</v>
      </c>
      <c r="T2101" s="383"/>
      <c r="U2101" s="383"/>
      <c r="V2101" s="381">
        <f t="shared" si="327"/>
        <v>0</v>
      </c>
      <c r="W2101" s="383"/>
      <c r="X2101" s="383"/>
      <c r="Y2101" s="381">
        <f t="shared" si="328"/>
        <v>0</v>
      </c>
    </row>
    <row r="2102" spans="2:25" x14ac:dyDescent="0.2">
      <c r="B2102" s="383"/>
      <c r="C2102" s="383"/>
      <c r="D2102" s="381">
        <f t="shared" si="321"/>
        <v>0</v>
      </c>
      <c r="E2102" s="383"/>
      <c r="F2102" s="382"/>
      <c r="G2102" s="381">
        <f t="shared" si="322"/>
        <v>0</v>
      </c>
      <c r="H2102" s="383"/>
      <c r="I2102" s="383"/>
      <c r="J2102" s="381">
        <f t="shared" si="323"/>
        <v>0</v>
      </c>
      <c r="K2102" s="383"/>
      <c r="L2102" s="383"/>
      <c r="M2102" s="381">
        <f t="shared" si="324"/>
        <v>0</v>
      </c>
      <c r="N2102" s="383"/>
      <c r="O2102" s="383"/>
      <c r="P2102" s="381">
        <f t="shared" si="325"/>
        <v>0</v>
      </c>
      <c r="Q2102" s="383"/>
      <c r="R2102" s="383"/>
      <c r="S2102" s="25">
        <f t="shared" si="326"/>
        <v>0</v>
      </c>
      <c r="T2102" s="383"/>
      <c r="U2102" s="383"/>
      <c r="V2102" s="381">
        <f t="shared" si="327"/>
        <v>0</v>
      </c>
      <c r="W2102" s="383"/>
      <c r="X2102" s="383"/>
      <c r="Y2102" s="381">
        <f t="shared" si="328"/>
        <v>0</v>
      </c>
    </row>
    <row r="2103" spans="2:25" x14ac:dyDescent="0.2">
      <c r="B2103" s="383"/>
      <c r="C2103" s="383"/>
      <c r="D2103" s="381">
        <f t="shared" si="321"/>
        <v>0</v>
      </c>
      <c r="E2103" s="383"/>
      <c r="F2103" s="382"/>
      <c r="G2103" s="381">
        <f t="shared" si="322"/>
        <v>0</v>
      </c>
      <c r="H2103" s="383"/>
      <c r="I2103" s="383"/>
      <c r="J2103" s="381">
        <f t="shared" si="323"/>
        <v>0</v>
      </c>
      <c r="K2103" s="383"/>
      <c r="L2103" s="383"/>
      <c r="M2103" s="381">
        <f t="shared" si="324"/>
        <v>0</v>
      </c>
      <c r="N2103" s="383"/>
      <c r="O2103" s="383"/>
      <c r="P2103" s="381">
        <f t="shared" si="325"/>
        <v>0</v>
      </c>
      <c r="Q2103" s="383"/>
      <c r="R2103" s="383"/>
      <c r="S2103" s="25">
        <f t="shared" si="326"/>
        <v>0</v>
      </c>
      <c r="T2103" s="383"/>
      <c r="U2103" s="383"/>
      <c r="V2103" s="381">
        <f t="shared" si="327"/>
        <v>0</v>
      </c>
      <c r="W2103" s="383"/>
      <c r="X2103" s="383"/>
      <c r="Y2103" s="381">
        <f t="shared" si="328"/>
        <v>0</v>
      </c>
    </row>
    <row r="2104" spans="2:25" x14ac:dyDescent="0.2">
      <c r="B2104" s="383"/>
      <c r="C2104" s="383"/>
      <c r="D2104" s="381">
        <f t="shared" si="321"/>
        <v>0</v>
      </c>
      <c r="E2104" s="383"/>
      <c r="F2104" s="382"/>
      <c r="G2104" s="381">
        <f t="shared" si="322"/>
        <v>0</v>
      </c>
      <c r="H2104" s="383"/>
      <c r="I2104" s="383"/>
      <c r="J2104" s="381">
        <f t="shared" si="323"/>
        <v>0</v>
      </c>
      <c r="K2104" s="383"/>
      <c r="L2104" s="383"/>
      <c r="M2104" s="381">
        <f t="shared" si="324"/>
        <v>0</v>
      </c>
      <c r="N2104" s="383"/>
      <c r="O2104" s="383"/>
      <c r="P2104" s="381">
        <f t="shared" si="325"/>
        <v>0</v>
      </c>
      <c r="Q2104" s="383"/>
      <c r="R2104" s="383"/>
      <c r="S2104" s="25">
        <f t="shared" si="326"/>
        <v>0</v>
      </c>
      <c r="T2104" s="383"/>
      <c r="U2104" s="383"/>
      <c r="V2104" s="381">
        <f t="shared" si="327"/>
        <v>0</v>
      </c>
      <c r="W2104" s="383"/>
      <c r="X2104" s="383"/>
      <c r="Y2104" s="381">
        <f t="shared" si="328"/>
        <v>0</v>
      </c>
    </row>
    <row r="2105" spans="2:25" x14ac:dyDescent="0.2">
      <c r="B2105" s="383"/>
      <c r="C2105" s="383"/>
      <c r="D2105" s="381">
        <f t="shared" si="321"/>
        <v>0</v>
      </c>
      <c r="E2105" s="383"/>
      <c r="F2105" s="382"/>
      <c r="G2105" s="381">
        <f t="shared" si="322"/>
        <v>0</v>
      </c>
      <c r="H2105" s="383"/>
      <c r="I2105" s="383"/>
      <c r="J2105" s="381">
        <f t="shared" si="323"/>
        <v>0</v>
      </c>
      <c r="K2105" s="383"/>
      <c r="L2105" s="383"/>
      <c r="M2105" s="381">
        <f t="shared" si="324"/>
        <v>0</v>
      </c>
      <c r="N2105" s="383"/>
      <c r="O2105" s="383"/>
      <c r="P2105" s="381">
        <f t="shared" si="325"/>
        <v>0</v>
      </c>
      <c r="Q2105" s="383"/>
      <c r="R2105" s="383"/>
      <c r="S2105" s="25">
        <f t="shared" si="326"/>
        <v>0</v>
      </c>
      <c r="T2105" s="383"/>
      <c r="U2105" s="383"/>
      <c r="V2105" s="381">
        <f t="shared" si="327"/>
        <v>0</v>
      </c>
      <c r="W2105" s="383"/>
      <c r="X2105" s="383"/>
      <c r="Y2105" s="381">
        <f t="shared" si="328"/>
        <v>0</v>
      </c>
    </row>
    <row r="2106" spans="2:25" x14ac:dyDescent="0.2">
      <c r="B2106" s="383"/>
      <c r="C2106" s="383"/>
      <c r="D2106" s="381">
        <f t="shared" si="321"/>
        <v>0</v>
      </c>
      <c r="E2106" s="383"/>
      <c r="F2106" s="382"/>
      <c r="G2106" s="381">
        <f t="shared" si="322"/>
        <v>0</v>
      </c>
      <c r="H2106" s="383"/>
      <c r="I2106" s="383"/>
      <c r="J2106" s="381">
        <f t="shared" si="323"/>
        <v>0</v>
      </c>
      <c r="K2106" s="383"/>
      <c r="L2106" s="383"/>
      <c r="M2106" s="381">
        <f t="shared" si="324"/>
        <v>0</v>
      </c>
      <c r="N2106" s="383"/>
      <c r="O2106" s="383"/>
      <c r="P2106" s="381">
        <f t="shared" si="325"/>
        <v>0</v>
      </c>
      <c r="Q2106" s="383"/>
      <c r="R2106" s="383"/>
      <c r="S2106" s="25">
        <f t="shared" si="326"/>
        <v>0</v>
      </c>
      <c r="T2106" s="383"/>
      <c r="U2106" s="383"/>
      <c r="V2106" s="381">
        <f t="shared" si="327"/>
        <v>0</v>
      </c>
      <c r="W2106" s="383"/>
      <c r="X2106" s="383"/>
      <c r="Y2106" s="381">
        <f t="shared" si="328"/>
        <v>0</v>
      </c>
    </row>
    <row r="2107" spans="2:25" x14ac:dyDescent="0.2">
      <c r="B2107" s="383"/>
      <c r="C2107" s="383"/>
      <c r="D2107" s="381">
        <f t="shared" si="321"/>
        <v>0</v>
      </c>
      <c r="E2107" s="383"/>
      <c r="F2107" s="382"/>
      <c r="G2107" s="381">
        <f t="shared" si="322"/>
        <v>0</v>
      </c>
      <c r="H2107" s="383"/>
      <c r="I2107" s="383"/>
      <c r="J2107" s="381">
        <f t="shared" si="323"/>
        <v>0</v>
      </c>
      <c r="K2107" s="383"/>
      <c r="L2107" s="383"/>
      <c r="M2107" s="381">
        <f t="shared" si="324"/>
        <v>0</v>
      </c>
      <c r="N2107" s="383"/>
      <c r="O2107" s="383"/>
      <c r="P2107" s="381">
        <f t="shared" si="325"/>
        <v>0</v>
      </c>
      <c r="Q2107" s="383"/>
      <c r="R2107" s="383"/>
      <c r="S2107" s="25">
        <f t="shared" si="326"/>
        <v>0</v>
      </c>
      <c r="T2107" s="383"/>
      <c r="U2107" s="383"/>
      <c r="V2107" s="381">
        <f t="shared" si="327"/>
        <v>0</v>
      </c>
      <c r="W2107" s="383"/>
      <c r="X2107" s="383"/>
      <c r="Y2107" s="381">
        <f t="shared" si="328"/>
        <v>0</v>
      </c>
    </row>
    <row r="2108" spans="2:25" x14ac:dyDescent="0.2">
      <c r="B2108" s="383"/>
      <c r="C2108" s="383"/>
      <c r="D2108" s="381">
        <f t="shared" si="321"/>
        <v>0</v>
      </c>
      <c r="E2108" s="383"/>
      <c r="F2108" s="382"/>
      <c r="G2108" s="381">
        <f t="shared" si="322"/>
        <v>0</v>
      </c>
      <c r="H2108" s="383"/>
      <c r="I2108" s="383"/>
      <c r="J2108" s="381">
        <f t="shared" si="323"/>
        <v>0</v>
      </c>
      <c r="K2108" s="383"/>
      <c r="L2108" s="383"/>
      <c r="M2108" s="381">
        <f t="shared" si="324"/>
        <v>0</v>
      </c>
      <c r="N2108" s="383"/>
      <c r="O2108" s="383"/>
      <c r="P2108" s="381">
        <f t="shared" si="325"/>
        <v>0</v>
      </c>
      <c r="Q2108" s="383"/>
      <c r="R2108" s="383"/>
      <c r="S2108" s="25">
        <f t="shared" si="326"/>
        <v>0</v>
      </c>
      <c r="T2108" s="383"/>
      <c r="U2108" s="383"/>
      <c r="V2108" s="381">
        <f t="shared" si="327"/>
        <v>0</v>
      </c>
      <c r="W2108" s="383"/>
      <c r="X2108" s="383"/>
      <c r="Y2108" s="381">
        <f t="shared" si="328"/>
        <v>0</v>
      </c>
    </row>
    <row r="2109" spans="2:25" x14ac:dyDescent="0.2">
      <c r="B2109" s="383"/>
      <c r="C2109" s="383"/>
      <c r="D2109" s="381">
        <f t="shared" si="321"/>
        <v>0</v>
      </c>
      <c r="E2109" s="383"/>
      <c r="F2109" s="382"/>
      <c r="G2109" s="381">
        <f t="shared" si="322"/>
        <v>0</v>
      </c>
      <c r="H2109" s="383"/>
      <c r="I2109" s="383"/>
      <c r="J2109" s="381">
        <f t="shared" si="323"/>
        <v>0</v>
      </c>
      <c r="K2109" s="383"/>
      <c r="L2109" s="383"/>
      <c r="M2109" s="381">
        <f t="shared" si="324"/>
        <v>0</v>
      </c>
      <c r="N2109" s="383"/>
      <c r="O2109" s="383"/>
      <c r="P2109" s="381">
        <f t="shared" si="325"/>
        <v>0</v>
      </c>
      <c r="Q2109" s="383"/>
      <c r="R2109" s="383"/>
      <c r="S2109" s="25">
        <f t="shared" si="326"/>
        <v>0</v>
      </c>
      <c r="T2109" s="383"/>
      <c r="U2109" s="383"/>
      <c r="V2109" s="381">
        <f t="shared" si="327"/>
        <v>0</v>
      </c>
      <c r="W2109" s="383"/>
      <c r="X2109" s="383"/>
      <c r="Y2109" s="381">
        <f t="shared" si="328"/>
        <v>0</v>
      </c>
    </row>
    <row r="2110" spans="2:25" x14ac:dyDescent="0.2">
      <c r="B2110" s="383"/>
      <c r="C2110" s="383"/>
      <c r="D2110" s="381">
        <f t="shared" si="321"/>
        <v>0</v>
      </c>
      <c r="E2110" s="383"/>
      <c r="F2110" s="382"/>
      <c r="G2110" s="381">
        <f t="shared" si="322"/>
        <v>0</v>
      </c>
      <c r="H2110" s="383"/>
      <c r="I2110" s="383"/>
      <c r="J2110" s="381">
        <f t="shared" si="323"/>
        <v>0</v>
      </c>
      <c r="K2110" s="383"/>
      <c r="L2110" s="383"/>
      <c r="M2110" s="381">
        <f t="shared" si="324"/>
        <v>0</v>
      </c>
      <c r="N2110" s="383"/>
      <c r="O2110" s="383"/>
      <c r="P2110" s="381">
        <f t="shared" si="325"/>
        <v>0</v>
      </c>
      <c r="Q2110" s="383"/>
      <c r="R2110" s="383"/>
      <c r="S2110" s="25">
        <f t="shared" si="326"/>
        <v>0</v>
      </c>
      <c r="T2110" s="383"/>
      <c r="U2110" s="383"/>
      <c r="V2110" s="381">
        <f t="shared" si="327"/>
        <v>0</v>
      </c>
      <c r="W2110" s="383"/>
      <c r="X2110" s="383"/>
      <c r="Y2110" s="381">
        <f t="shared" si="328"/>
        <v>0</v>
      </c>
    </row>
    <row r="2111" spans="2:25" x14ac:dyDescent="0.2">
      <c r="B2111" s="383"/>
      <c r="C2111" s="383"/>
      <c r="D2111" s="381">
        <f t="shared" si="321"/>
        <v>0</v>
      </c>
      <c r="E2111" s="383"/>
      <c r="F2111" s="382"/>
      <c r="G2111" s="381">
        <f t="shared" si="322"/>
        <v>0</v>
      </c>
      <c r="H2111" s="383"/>
      <c r="I2111" s="383"/>
      <c r="J2111" s="381">
        <f t="shared" si="323"/>
        <v>0</v>
      </c>
      <c r="K2111" s="383"/>
      <c r="L2111" s="383"/>
      <c r="M2111" s="381">
        <f t="shared" si="324"/>
        <v>0</v>
      </c>
      <c r="N2111" s="383"/>
      <c r="O2111" s="383"/>
      <c r="P2111" s="381">
        <f t="shared" si="325"/>
        <v>0</v>
      </c>
      <c r="Q2111" s="383"/>
      <c r="R2111" s="383"/>
      <c r="S2111" s="25">
        <f t="shared" si="326"/>
        <v>0</v>
      </c>
      <c r="T2111" s="383"/>
      <c r="U2111" s="383"/>
      <c r="V2111" s="381">
        <f t="shared" si="327"/>
        <v>0</v>
      </c>
      <c r="W2111" s="383"/>
      <c r="X2111" s="383"/>
      <c r="Y2111" s="381">
        <f t="shared" si="328"/>
        <v>0</v>
      </c>
    </row>
    <row r="2112" spans="2:25" x14ac:dyDescent="0.2">
      <c r="B2112" s="383"/>
      <c r="C2112" s="383"/>
      <c r="D2112" s="381">
        <f t="shared" si="321"/>
        <v>0</v>
      </c>
      <c r="E2112" s="383"/>
      <c r="F2112" s="382"/>
      <c r="G2112" s="381">
        <f t="shared" si="322"/>
        <v>0</v>
      </c>
      <c r="H2112" s="383"/>
      <c r="I2112" s="383"/>
      <c r="J2112" s="381">
        <f t="shared" si="323"/>
        <v>0</v>
      </c>
      <c r="K2112" s="383"/>
      <c r="L2112" s="383"/>
      <c r="M2112" s="381">
        <f t="shared" si="324"/>
        <v>0</v>
      </c>
      <c r="N2112" s="383"/>
      <c r="O2112" s="383"/>
      <c r="P2112" s="381">
        <f t="shared" si="325"/>
        <v>0</v>
      </c>
      <c r="Q2112" s="383"/>
      <c r="R2112" s="383"/>
      <c r="S2112" s="25">
        <f t="shared" si="326"/>
        <v>0</v>
      </c>
      <c r="T2112" s="383"/>
      <c r="U2112" s="383"/>
      <c r="V2112" s="381">
        <f t="shared" si="327"/>
        <v>0</v>
      </c>
      <c r="W2112" s="383"/>
      <c r="X2112" s="383"/>
      <c r="Y2112" s="381">
        <f t="shared" si="328"/>
        <v>0</v>
      </c>
    </row>
    <row r="2113" spans="2:25" x14ac:dyDescent="0.2">
      <c r="B2113" s="383"/>
      <c r="C2113" s="383"/>
      <c r="D2113" s="381">
        <f t="shared" si="321"/>
        <v>0</v>
      </c>
      <c r="E2113" s="383"/>
      <c r="F2113" s="382"/>
      <c r="G2113" s="381">
        <f t="shared" si="322"/>
        <v>0</v>
      </c>
      <c r="H2113" s="383"/>
      <c r="I2113" s="383"/>
      <c r="J2113" s="381">
        <f t="shared" si="323"/>
        <v>0</v>
      </c>
      <c r="K2113" s="383"/>
      <c r="L2113" s="383"/>
      <c r="M2113" s="381">
        <f t="shared" si="324"/>
        <v>0</v>
      </c>
      <c r="N2113" s="383"/>
      <c r="O2113" s="383"/>
      <c r="P2113" s="381">
        <f t="shared" si="325"/>
        <v>0</v>
      </c>
      <c r="Q2113" s="383"/>
      <c r="R2113" s="383"/>
      <c r="S2113" s="25">
        <f t="shared" si="326"/>
        <v>0</v>
      </c>
      <c r="T2113" s="383"/>
      <c r="U2113" s="383"/>
      <c r="V2113" s="381">
        <f t="shared" si="327"/>
        <v>0</v>
      </c>
      <c r="W2113" s="383"/>
      <c r="X2113" s="383"/>
      <c r="Y2113" s="381">
        <f t="shared" si="328"/>
        <v>0</v>
      </c>
    </row>
    <row r="2114" spans="2:25" x14ac:dyDescent="0.2">
      <c r="B2114" s="383"/>
      <c r="C2114" s="383"/>
      <c r="D2114" s="381">
        <f t="shared" si="321"/>
        <v>0</v>
      </c>
      <c r="E2114" s="383"/>
      <c r="F2114" s="382"/>
      <c r="G2114" s="381">
        <f t="shared" si="322"/>
        <v>0</v>
      </c>
      <c r="H2114" s="383"/>
      <c r="I2114" s="383"/>
      <c r="J2114" s="381">
        <f t="shared" si="323"/>
        <v>0</v>
      </c>
      <c r="K2114" s="383"/>
      <c r="L2114" s="383"/>
      <c r="M2114" s="381">
        <f t="shared" si="324"/>
        <v>0</v>
      </c>
      <c r="N2114" s="383"/>
      <c r="O2114" s="383"/>
      <c r="P2114" s="381">
        <f t="shared" si="325"/>
        <v>0</v>
      </c>
      <c r="Q2114" s="383"/>
      <c r="R2114" s="383"/>
      <c r="S2114" s="25">
        <f t="shared" si="326"/>
        <v>0</v>
      </c>
      <c r="T2114" s="383"/>
      <c r="U2114" s="383"/>
      <c r="V2114" s="381">
        <f t="shared" si="327"/>
        <v>0</v>
      </c>
      <c r="W2114" s="383"/>
      <c r="X2114" s="383"/>
      <c r="Y2114" s="381">
        <f t="shared" si="328"/>
        <v>0</v>
      </c>
    </row>
    <row r="2115" spans="2:25" x14ac:dyDescent="0.2">
      <c r="B2115" s="383"/>
      <c r="C2115" s="383"/>
      <c r="D2115" s="381">
        <f t="shared" si="321"/>
        <v>0</v>
      </c>
      <c r="E2115" s="383"/>
      <c r="F2115" s="382"/>
      <c r="G2115" s="381">
        <f t="shared" si="322"/>
        <v>0</v>
      </c>
      <c r="H2115" s="383"/>
      <c r="I2115" s="383"/>
      <c r="J2115" s="381">
        <f t="shared" si="323"/>
        <v>0</v>
      </c>
      <c r="K2115" s="383"/>
      <c r="L2115" s="383"/>
      <c r="M2115" s="381">
        <f t="shared" si="324"/>
        <v>0</v>
      </c>
      <c r="N2115" s="383"/>
      <c r="O2115" s="383"/>
      <c r="P2115" s="381">
        <f t="shared" si="325"/>
        <v>0</v>
      </c>
      <c r="Q2115" s="383"/>
      <c r="R2115" s="383"/>
      <c r="S2115" s="25">
        <f t="shared" si="326"/>
        <v>0</v>
      </c>
      <c r="T2115" s="383"/>
      <c r="U2115" s="383"/>
      <c r="V2115" s="381">
        <f t="shared" si="327"/>
        <v>0</v>
      </c>
      <c r="W2115" s="383"/>
      <c r="X2115" s="383"/>
      <c r="Y2115" s="381">
        <f t="shared" si="328"/>
        <v>0</v>
      </c>
    </row>
    <row r="2116" spans="2:25" x14ac:dyDescent="0.2">
      <c r="B2116" s="383"/>
      <c r="C2116" s="383"/>
      <c r="D2116" s="381">
        <f t="shared" si="321"/>
        <v>0</v>
      </c>
      <c r="E2116" s="383"/>
      <c r="F2116" s="382"/>
      <c r="G2116" s="381">
        <f t="shared" si="322"/>
        <v>0</v>
      </c>
      <c r="H2116" s="383"/>
      <c r="I2116" s="383"/>
      <c r="J2116" s="381">
        <f t="shared" si="323"/>
        <v>0</v>
      </c>
      <c r="K2116" s="383"/>
      <c r="L2116" s="383"/>
      <c r="M2116" s="381">
        <f t="shared" si="324"/>
        <v>0</v>
      </c>
      <c r="N2116" s="383"/>
      <c r="O2116" s="383"/>
      <c r="P2116" s="381">
        <f t="shared" si="325"/>
        <v>0</v>
      </c>
      <c r="Q2116" s="383"/>
      <c r="R2116" s="383"/>
      <c r="S2116" s="25">
        <f t="shared" si="326"/>
        <v>0</v>
      </c>
      <c r="T2116" s="383"/>
      <c r="U2116" s="383"/>
      <c r="V2116" s="381">
        <f t="shared" si="327"/>
        <v>0</v>
      </c>
      <c r="W2116" s="383"/>
      <c r="X2116" s="383"/>
      <c r="Y2116" s="381">
        <f t="shared" si="328"/>
        <v>0</v>
      </c>
    </row>
    <row r="2117" spans="2:25" x14ac:dyDescent="0.2">
      <c r="B2117" s="383"/>
      <c r="C2117" s="383"/>
      <c r="D2117" s="381">
        <f t="shared" si="321"/>
        <v>0</v>
      </c>
      <c r="E2117" s="383"/>
      <c r="F2117" s="382"/>
      <c r="G2117" s="381">
        <f t="shared" si="322"/>
        <v>0</v>
      </c>
      <c r="H2117" s="383"/>
      <c r="I2117" s="383"/>
      <c r="J2117" s="381">
        <f t="shared" si="323"/>
        <v>0</v>
      </c>
      <c r="K2117" s="383"/>
      <c r="L2117" s="383"/>
      <c r="M2117" s="381">
        <f t="shared" si="324"/>
        <v>0</v>
      </c>
      <c r="N2117" s="383"/>
      <c r="O2117" s="383"/>
      <c r="P2117" s="381">
        <f t="shared" si="325"/>
        <v>0</v>
      </c>
      <c r="Q2117" s="383"/>
      <c r="R2117" s="383"/>
      <c r="S2117" s="25">
        <f t="shared" si="326"/>
        <v>0</v>
      </c>
      <c r="T2117" s="383"/>
      <c r="U2117" s="383"/>
      <c r="V2117" s="381">
        <f t="shared" si="327"/>
        <v>0</v>
      </c>
      <c r="W2117" s="383"/>
      <c r="X2117" s="383"/>
      <c r="Y2117" s="381">
        <f t="shared" si="328"/>
        <v>0</v>
      </c>
    </row>
    <row r="2118" spans="2:25" x14ac:dyDescent="0.2">
      <c r="B2118" s="383"/>
      <c r="C2118" s="383"/>
      <c r="D2118" s="381">
        <f t="shared" si="321"/>
        <v>0</v>
      </c>
      <c r="E2118" s="383"/>
      <c r="F2118" s="382"/>
      <c r="G2118" s="381">
        <f t="shared" si="322"/>
        <v>0</v>
      </c>
      <c r="H2118" s="383"/>
      <c r="I2118" s="383"/>
      <c r="J2118" s="381">
        <f t="shared" si="323"/>
        <v>0</v>
      </c>
      <c r="K2118" s="383"/>
      <c r="L2118" s="383"/>
      <c r="M2118" s="381">
        <f t="shared" si="324"/>
        <v>0</v>
      </c>
      <c r="N2118" s="383"/>
      <c r="O2118" s="383"/>
      <c r="P2118" s="381">
        <f t="shared" si="325"/>
        <v>0</v>
      </c>
      <c r="Q2118" s="383"/>
      <c r="R2118" s="383"/>
      <c r="S2118" s="25">
        <f t="shared" si="326"/>
        <v>0</v>
      </c>
      <c r="T2118" s="383"/>
      <c r="U2118" s="383"/>
      <c r="V2118" s="381">
        <f t="shared" si="327"/>
        <v>0</v>
      </c>
      <c r="W2118" s="383"/>
      <c r="X2118" s="383"/>
      <c r="Y2118" s="381">
        <f t="shared" si="328"/>
        <v>0</v>
      </c>
    </row>
    <row r="2119" spans="2:25" x14ac:dyDescent="0.2">
      <c r="B2119" s="383"/>
      <c r="C2119" s="383"/>
      <c r="D2119" s="381">
        <f t="shared" si="321"/>
        <v>0</v>
      </c>
      <c r="E2119" s="383"/>
      <c r="F2119" s="382"/>
      <c r="G2119" s="381">
        <f t="shared" si="322"/>
        <v>0</v>
      </c>
      <c r="H2119" s="383"/>
      <c r="I2119" s="383"/>
      <c r="J2119" s="381">
        <f t="shared" si="323"/>
        <v>0</v>
      </c>
      <c r="K2119" s="383"/>
      <c r="L2119" s="383"/>
      <c r="M2119" s="381">
        <f t="shared" si="324"/>
        <v>0</v>
      </c>
      <c r="N2119" s="383"/>
      <c r="O2119" s="383"/>
      <c r="P2119" s="381">
        <f t="shared" si="325"/>
        <v>0</v>
      </c>
      <c r="Q2119" s="383"/>
      <c r="R2119" s="383"/>
      <c r="S2119" s="25">
        <f t="shared" si="326"/>
        <v>0</v>
      </c>
      <c r="T2119" s="383"/>
      <c r="U2119" s="383"/>
      <c r="V2119" s="381">
        <f t="shared" si="327"/>
        <v>0</v>
      </c>
      <c r="W2119" s="383"/>
      <c r="X2119" s="383"/>
      <c r="Y2119" s="381">
        <f t="shared" si="328"/>
        <v>0</v>
      </c>
    </row>
    <row r="2120" spans="2:25" x14ac:dyDescent="0.2">
      <c r="B2120" s="383"/>
      <c r="C2120" s="383"/>
      <c r="D2120" s="381">
        <f t="shared" si="321"/>
        <v>0</v>
      </c>
      <c r="E2120" s="383"/>
      <c r="F2120" s="382"/>
      <c r="G2120" s="381">
        <f t="shared" si="322"/>
        <v>0</v>
      </c>
      <c r="H2120" s="383"/>
      <c r="I2120" s="383"/>
      <c r="J2120" s="381">
        <f t="shared" si="323"/>
        <v>0</v>
      </c>
      <c r="K2120" s="383"/>
      <c r="L2120" s="383"/>
      <c r="M2120" s="381">
        <f t="shared" si="324"/>
        <v>0</v>
      </c>
      <c r="N2120" s="383"/>
      <c r="O2120" s="383"/>
      <c r="P2120" s="381">
        <f t="shared" si="325"/>
        <v>0</v>
      </c>
      <c r="Q2120" s="383"/>
      <c r="R2120" s="383"/>
      <c r="S2120" s="25">
        <f t="shared" si="326"/>
        <v>0</v>
      </c>
      <c r="T2120" s="383"/>
      <c r="U2120" s="383"/>
      <c r="V2120" s="381">
        <f t="shared" si="327"/>
        <v>0</v>
      </c>
      <c r="W2120" s="383"/>
      <c r="X2120" s="383"/>
      <c r="Y2120" s="381">
        <f t="shared" si="328"/>
        <v>0</v>
      </c>
    </row>
    <row r="2121" spans="2:25" x14ac:dyDescent="0.2">
      <c r="B2121" s="383"/>
      <c r="C2121" s="383"/>
      <c r="D2121" s="381">
        <f t="shared" si="321"/>
        <v>0</v>
      </c>
      <c r="E2121" s="383"/>
      <c r="F2121" s="382"/>
      <c r="G2121" s="381">
        <f t="shared" si="322"/>
        <v>0</v>
      </c>
      <c r="H2121" s="383"/>
      <c r="I2121" s="383"/>
      <c r="J2121" s="381">
        <f t="shared" si="323"/>
        <v>0</v>
      </c>
      <c r="K2121" s="383"/>
      <c r="L2121" s="383"/>
      <c r="M2121" s="381">
        <f t="shared" si="324"/>
        <v>0</v>
      </c>
      <c r="N2121" s="383"/>
      <c r="O2121" s="383"/>
      <c r="P2121" s="381">
        <f t="shared" si="325"/>
        <v>0</v>
      </c>
      <c r="Q2121" s="383"/>
      <c r="R2121" s="383"/>
      <c r="S2121" s="25">
        <f t="shared" si="326"/>
        <v>0</v>
      </c>
      <c r="T2121" s="383"/>
      <c r="U2121" s="383"/>
      <c r="V2121" s="381">
        <f t="shared" si="327"/>
        <v>0</v>
      </c>
      <c r="W2121" s="383"/>
      <c r="X2121" s="383"/>
      <c r="Y2121" s="381">
        <f t="shared" si="328"/>
        <v>0</v>
      </c>
    </row>
    <row r="2122" spans="2:25" x14ac:dyDescent="0.2">
      <c r="B2122" s="383"/>
      <c r="C2122" s="383"/>
      <c r="D2122" s="381">
        <f t="shared" si="321"/>
        <v>0</v>
      </c>
      <c r="E2122" s="383"/>
      <c r="F2122" s="382"/>
      <c r="G2122" s="381">
        <f t="shared" si="322"/>
        <v>0</v>
      </c>
      <c r="H2122" s="383"/>
      <c r="I2122" s="383"/>
      <c r="J2122" s="381">
        <f t="shared" si="323"/>
        <v>0</v>
      </c>
      <c r="K2122" s="383"/>
      <c r="L2122" s="383"/>
      <c r="M2122" s="381">
        <f t="shared" si="324"/>
        <v>0</v>
      </c>
      <c r="N2122" s="383"/>
      <c r="O2122" s="383"/>
      <c r="P2122" s="381">
        <f t="shared" si="325"/>
        <v>0</v>
      </c>
      <c r="Q2122" s="383"/>
      <c r="R2122" s="383"/>
      <c r="S2122" s="25">
        <f t="shared" si="326"/>
        <v>0</v>
      </c>
      <c r="T2122" s="383"/>
      <c r="U2122" s="383"/>
      <c r="V2122" s="381">
        <f t="shared" si="327"/>
        <v>0</v>
      </c>
      <c r="W2122" s="383"/>
      <c r="X2122" s="383"/>
      <c r="Y2122" s="381">
        <f t="shared" si="328"/>
        <v>0</v>
      </c>
    </row>
    <row r="2123" spans="2:25" x14ac:dyDescent="0.2">
      <c r="B2123" s="383"/>
      <c r="C2123" s="383"/>
      <c r="D2123" s="381">
        <f t="shared" si="321"/>
        <v>0</v>
      </c>
      <c r="E2123" s="383"/>
      <c r="F2123" s="382"/>
      <c r="G2123" s="381">
        <f t="shared" si="322"/>
        <v>0</v>
      </c>
      <c r="H2123" s="383"/>
      <c r="I2123" s="383"/>
      <c r="J2123" s="381">
        <f t="shared" si="323"/>
        <v>0</v>
      </c>
      <c r="K2123" s="383"/>
      <c r="L2123" s="383"/>
      <c r="M2123" s="381">
        <f t="shared" si="324"/>
        <v>0</v>
      </c>
      <c r="N2123" s="383"/>
      <c r="O2123" s="383"/>
      <c r="P2123" s="381">
        <f t="shared" si="325"/>
        <v>0</v>
      </c>
      <c r="Q2123" s="383"/>
      <c r="R2123" s="383"/>
      <c r="S2123" s="25">
        <f t="shared" si="326"/>
        <v>0</v>
      </c>
      <c r="T2123" s="383"/>
      <c r="U2123" s="383"/>
      <c r="V2123" s="381">
        <f t="shared" si="327"/>
        <v>0</v>
      </c>
      <c r="W2123" s="383"/>
      <c r="X2123" s="383"/>
      <c r="Y2123" s="381">
        <f t="shared" si="328"/>
        <v>0</v>
      </c>
    </row>
    <row r="2124" spans="2:25" x14ac:dyDescent="0.2">
      <c r="B2124" s="383"/>
      <c r="C2124" s="383"/>
      <c r="D2124" s="381">
        <f t="shared" si="321"/>
        <v>0</v>
      </c>
      <c r="E2124" s="383"/>
      <c r="F2124" s="382"/>
      <c r="G2124" s="381">
        <f t="shared" si="322"/>
        <v>0</v>
      </c>
      <c r="H2124" s="383"/>
      <c r="I2124" s="383"/>
      <c r="J2124" s="381">
        <f t="shared" si="323"/>
        <v>0</v>
      </c>
      <c r="K2124" s="383"/>
      <c r="L2124" s="383"/>
      <c r="M2124" s="381">
        <f t="shared" si="324"/>
        <v>0</v>
      </c>
      <c r="N2124" s="383"/>
      <c r="O2124" s="383"/>
      <c r="P2124" s="381">
        <f t="shared" si="325"/>
        <v>0</v>
      </c>
      <c r="Q2124" s="383"/>
      <c r="R2124" s="383"/>
      <c r="S2124" s="25">
        <f t="shared" si="326"/>
        <v>0</v>
      </c>
      <c r="T2124" s="383"/>
      <c r="U2124" s="383"/>
      <c r="V2124" s="381">
        <f t="shared" si="327"/>
        <v>0</v>
      </c>
      <c r="W2124" s="383"/>
      <c r="X2124" s="383"/>
      <c r="Y2124" s="381">
        <f t="shared" si="328"/>
        <v>0</v>
      </c>
    </row>
    <row r="2125" spans="2:25" x14ac:dyDescent="0.2">
      <c r="B2125" s="383"/>
      <c r="C2125" s="383"/>
      <c r="D2125" s="381">
        <f t="shared" si="321"/>
        <v>0</v>
      </c>
      <c r="E2125" s="383"/>
      <c r="F2125" s="382"/>
      <c r="G2125" s="381">
        <f t="shared" si="322"/>
        <v>0</v>
      </c>
      <c r="H2125" s="383"/>
      <c r="I2125" s="383"/>
      <c r="J2125" s="381">
        <f t="shared" si="323"/>
        <v>0</v>
      </c>
      <c r="K2125" s="383"/>
      <c r="L2125" s="383"/>
      <c r="M2125" s="381">
        <f t="shared" si="324"/>
        <v>0</v>
      </c>
      <c r="N2125" s="383"/>
      <c r="O2125" s="383"/>
      <c r="P2125" s="381">
        <f t="shared" si="325"/>
        <v>0</v>
      </c>
      <c r="Q2125" s="383"/>
      <c r="R2125" s="383"/>
      <c r="S2125" s="25">
        <f t="shared" si="326"/>
        <v>0</v>
      </c>
      <c r="T2125" s="383"/>
      <c r="U2125" s="383"/>
      <c r="V2125" s="381">
        <f t="shared" si="327"/>
        <v>0</v>
      </c>
      <c r="W2125" s="383"/>
      <c r="X2125" s="383"/>
      <c r="Y2125" s="381">
        <f t="shared" si="328"/>
        <v>0</v>
      </c>
    </row>
    <row r="2126" spans="2:25" x14ac:dyDescent="0.2">
      <c r="B2126" s="383"/>
      <c r="C2126" s="383"/>
      <c r="D2126" s="381">
        <f t="shared" si="321"/>
        <v>0</v>
      </c>
      <c r="E2126" s="383"/>
      <c r="F2126" s="382"/>
      <c r="G2126" s="381">
        <f t="shared" si="322"/>
        <v>0</v>
      </c>
      <c r="H2126" s="383"/>
      <c r="I2126" s="383"/>
      <c r="J2126" s="381">
        <f t="shared" si="323"/>
        <v>0</v>
      </c>
      <c r="K2126" s="383"/>
      <c r="L2126" s="383"/>
      <c r="M2126" s="381">
        <f t="shared" si="324"/>
        <v>0</v>
      </c>
      <c r="N2126" s="383"/>
      <c r="O2126" s="383"/>
      <c r="P2126" s="381">
        <f t="shared" si="325"/>
        <v>0</v>
      </c>
      <c r="Q2126" s="383"/>
      <c r="R2126" s="383"/>
      <c r="S2126" s="25">
        <f t="shared" si="326"/>
        <v>0</v>
      </c>
      <c r="T2126" s="383"/>
      <c r="U2126" s="383"/>
      <c r="V2126" s="381">
        <f t="shared" si="327"/>
        <v>0</v>
      </c>
      <c r="W2126" s="383"/>
      <c r="X2126" s="383"/>
      <c r="Y2126" s="381">
        <f t="shared" si="328"/>
        <v>0</v>
      </c>
    </row>
    <row r="2127" spans="2:25" x14ac:dyDescent="0.2">
      <c r="B2127" s="383"/>
      <c r="C2127" s="383"/>
      <c r="D2127" s="381">
        <f t="shared" si="321"/>
        <v>0</v>
      </c>
      <c r="E2127" s="383"/>
      <c r="F2127" s="382"/>
      <c r="G2127" s="381">
        <f t="shared" si="322"/>
        <v>0</v>
      </c>
      <c r="H2127" s="383"/>
      <c r="I2127" s="383"/>
      <c r="J2127" s="381">
        <f t="shared" si="323"/>
        <v>0</v>
      </c>
      <c r="K2127" s="383"/>
      <c r="L2127" s="383"/>
      <c r="M2127" s="381">
        <f t="shared" si="324"/>
        <v>0</v>
      </c>
      <c r="N2127" s="383"/>
      <c r="O2127" s="383"/>
      <c r="P2127" s="381">
        <f t="shared" si="325"/>
        <v>0</v>
      </c>
      <c r="Q2127" s="383"/>
      <c r="R2127" s="383"/>
      <c r="S2127" s="25">
        <f t="shared" si="326"/>
        <v>0</v>
      </c>
      <c r="T2127" s="383"/>
      <c r="U2127" s="383"/>
      <c r="V2127" s="381">
        <f t="shared" si="327"/>
        <v>0</v>
      </c>
      <c r="W2127" s="383"/>
      <c r="X2127" s="383"/>
      <c r="Y2127" s="381">
        <f t="shared" si="328"/>
        <v>0</v>
      </c>
    </row>
    <row r="2128" spans="2:25" x14ac:dyDescent="0.2">
      <c r="B2128" s="383"/>
      <c r="C2128" s="383"/>
      <c r="D2128" s="381">
        <f t="shared" si="321"/>
        <v>0</v>
      </c>
      <c r="E2128" s="383"/>
      <c r="F2128" s="382"/>
      <c r="G2128" s="381">
        <f t="shared" si="322"/>
        <v>0</v>
      </c>
      <c r="H2128" s="383"/>
      <c r="I2128" s="383"/>
      <c r="J2128" s="381">
        <f t="shared" si="323"/>
        <v>0</v>
      </c>
      <c r="K2128" s="383"/>
      <c r="L2128" s="383"/>
      <c r="M2128" s="381">
        <f t="shared" si="324"/>
        <v>0</v>
      </c>
      <c r="N2128" s="383"/>
      <c r="O2128" s="383"/>
      <c r="P2128" s="381">
        <f t="shared" si="325"/>
        <v>0</v>
      </c>
      <c r="Q2128" s="383"/>
      <c r="R2128" s="383"/>
      <c r="S2128" s="25">
        <f t="shared" si="326"/>
        <v>0</v>
      </c>
      <c r="T2128" s="383"/>
      <c r="U2128" s="383"/>
      <c r="V2128" s="381">
        <f t="shared" si="327"/>
        <v>0</v>
      </c>
      <c r="W2128" s="383"/>
      <c r="X2128" s="383"/>
      <c r="Y2128" s="381">
        <f t="shared" si="328"/>
        <v>0</v>
      </c>
    </row>
    <row r="2129" spans="2:25" x14ac:dyDescent="0.2">
      <c r="B2129" s="383"/>
      <c r="C2129" s="383"/>
      <c r="D2129" s="381">
        <f t="shared" si="321"/>
        <v>0</v>
      </c>
      <c r="E2129" s="383"/>
      <c r="F2129" s="382"/>
      <c r="G2129" s="381">
        <f t="shared" si="322"/>
        <v>0</v>
      </c>
      <c r="H2129" s="383"/>
      <c r="I2129" s="383"/>
      <c r="J2129" s="381">
        <f t="shared" si="323"/>
        <v>0</v>
      </c>
      <c r="K2129" s="383"/>
      <c r="L2129" s="383"/>
      <c r="M2129" s="381">
        <f t="shared" si="324"/>
        <v>0</v>
      </c>
      <c r="N2129" s="383"/>
      <c r="O2129" s="383"/>
      <c r="P2129" s="381">
        <f t="shared" si="325"/>
        <v>0</v>
      </c>
      <c r="Q2129" s="383"/>
      <c r="R2129" s="383"/>
      <c r="S2129" s="25">
        <f t="shared" si="326"/>
        <v>0</v>
      </c>
      <c r="T2129" s="383"/>
      <c r="U2129" s="383"/>
      <c r="V2129" s="381">
        <f t="shared" si="327"/>
        <v>0</v>
      </c>
      <c r="W2129" s="383"/>
      <c r="X2129" s="383"/>
      <c r="Y2129" s="381">
        <f t="shared" si="328"/>
        <v>0</v>
      </c>
    </row>
    <row r="2130" spans="2:25" x14ac:dyDescent="0.2">
      <c r="B2130" s="383"/>
      <c r="C2130" s="383"/>
      <c r="D2130" s="381">
        <f t="shared" ref="D2130:D2193" si="329">C2130</f>
        <v>0</v>
      </c>
      <c r="E2130" s="383"/>
      <c r="F2130" s="382"/>
      <c r="G2130" s="381">
        <f t="shared" ref="G2130:G2193" si="330">F2130+$AB$2</f>
        <v>0</v>
      </c>
      <c r="H2130" s="383"/>
      <c r="I2130" s="383"/>
      <c r="J2130" s="381">
        <f t="shared" ref="J2130:J2193" si="331">I2130+$AB$3</f>
        <v>0</v>
      </c>
      <c r="K2130" s="383"/>
      <c r="L2130" s="383"/>
      <c r="M2130" s="381">
        <f t="shared" ref="M2130:M2193" si="332">L2130+$AB$4</f>
        <v>0</v>
      </c>
      <c r="N2130" s="383"/>
      <c r="O2130" s="383"/>
      <c r="P2130" s="381">
        <f t="shared" ref="P2130:P2193" si="333">O2130+$AB$5</f>
        <v>0</v>
      </c>
      <c r="Q2130" s="383"/>
      <c r="R2130" s="383"/>
      <c r="S2130" s="25">
        <f t="shared" ref="S2130:S2193" si="334">R2130+$AB$6</f>
        <v>0</v>
      </c>
      <c r="T2130" s="383"/>
      <c r="U2130" s="383"/>
      <c r="V2130" s="381">
        <f t="shared" ref="V2130:V2193" si="335">U2130+$AB$7</f>
        <v>0</v>
      </c>
      <c r="W2130" s="383"/>
      <c r="X2130" s="383"/>
      <c r="Y2130" s="381">
        <f t="shared" ref="Y2130:Y2193" si="336">X2130+$AB$8</f>
        <v>0</v>
      </c>
    </row>
    <row r="2131" spans="2:25" x14ac:dyDescent="0.2">
      <c r="B2131" s="383"/>
      <c r="C2131" s="383"/>
      <c r="D2131" s="381">
        <f t="shared" si="329"/>
        <v>0</v>
      </c>
      <c r="E2131" s="383"/>
      <c r="F2131" s="382"/>
      <c r="G2131" s="381">
        <f t="shared" si="330"/>
        <v>0</v>
      </c>
      <c r="H2131" s="383"/>
      <c r="I2131" s="383"/>
      <c r="J2131" s="381">
        <f t="shared" si="331"/>
        <v>0</v>
      </c>
      <c r="K2131" s="383"/>
      <c r="L2131" s="383"/>
      <c r="M2131" s="381">
        <f t="shared" si="332"/>
        <v>0</v>
      </c>
      <c r="N2131" s="383"/>
      <c r="O2131" s="383"/>
      <c r="P2131" s="381">
        <f t="shared" si="333"/>
        <v>0</v>
      </c>
      <c r="Q2131" s="383"/>
      <c r="R2131" s="383"/>
      <c r="S2131" s="25">
        <f t="shared" si="334"/>
        <v>0</v>
      </c>
      <c r="T2131" s="383"/>
      <c r="U2131" s="383"/>
      <c r="V2131" s="381">
        <f t="shared" si="335"/>
        <v>0</v>
      </c>
      <c r="W2131" s="383"/>
      <c r="X2131" s="383"/>
      <c r="Y2131" s="381">
        <f t="shared" si="336"/>
        <v>0</v>
      </c>
    </row>
    <row r="2132" spans="2:25" x14ac:dyDescent="0.2">
      <c r="B2132" s="383"/>
      <c r="C2132" s="383"/>
      <c r="D2132" s="381">
        <f t="shared" si="329"/>
        <v>0</v>
      </c>
      <c r="E2132" s="383"/>
      <c r="F2132" s="382"/>
      <c r="G2132" s="381">
        <f t="shared" si="330"/>
        <v>0</v>
      </c>
      <c r="H2132" s="383"/>
      <c r="I2132" s="383"/>
      <c r="J2132" s="381">
        <f t="shared" si="331"/>
        <v>0</v>
      </c>
      <c r="K2132" s="383"/>
      <c r="L2132" s="383"/>
      <c r="M2132" s="381">
        <f t="shared" si="332"/>
        <v>0</v>
      </c>
      <c r="N2132" s="383"/>
      <c r="O2132" s="383"/>
      <c r="P2132" s="381">
        <f t="shared" si="333"/>
        <v>0</v>
      </c>
      <c r="Q2132" s="383"/>
      <c r="R2132" s="383"/>
      <c r="S2132" s="25">
        <f t="shared" si="334"/>
        <v>0</v>
      </c>
      <c r="T2132" s="383"/>
      <c r="U2132" s="383"/>
      <c r="V2132" s="381">
        <f t="shared" si="335"/>
        <v>0</v>
      </c>
      <c r="W2132" s="383"/>
      <c r="X2132" s="383"/>
      <c r="Y2132" s="381">
        <f t="shared" si="336"/>
        <v>0</v>
      </c>
    </row>
    <row r="2133" spans="2:25" x14ac:dyDescent="0.2">
      <c r="B2133" s="383"/>
      <c r="C2133" s="383"/>
      <c r="D2133" s="381">
        <f t="shared" si="329"/>
        <v>0</v>
      </c>
      <c r="E2133" s="383"/>
      <c r="F2133" s="382"/>
      <c r="G2133" s="381">
        <f t="shared" si="330"/>
        <v>0</v>
      </c>
      <c r="H2133" s="383"/>
      <c r="I2133" s="383"/>
      <c r="J2133" s="381">
        <f t="shared" si="331"/>
        <v>0</v>
      </c>
      <c r="K2133" s="383"/>
      <c r="L2133" s="383"/>
      <c r="M2133" s="381">
        <f t="shared" si="332"/>
        <v>0</v>
      </c>
      <c r="N2133" s="383"/>
      <c r="O2133" s="383"/>
      <c r="P2133" s="381">
        <f t="shared" si="333"/>
        <v>0</v>
      </c>
      <c r="Q2133" s="383"/>
      <c r="R2133" s="383"/>
      <c r="S2133" s="25">
        <f t="shared" si="334"/>
        <v>0</v>
      </c>
      <c r="T2133" s="383"/>
      <c r="U2133" s="383"/>
      <c r="V2133" s="381">
        <f t="shared" si="335"/>
        <v>0</v>
      </c>
      <c r="W2133" s="383"/>
      <c r="X2133" s="383"/>
      <c r="Y2133" s="381">
        <f t="shared" si="336"/>
        <v>0</v>
      </c>
    </row>
    <row r="2134" spans="2:25" x14ac:dyDescent="0.2">
      <c r="B2134" s="383"/>
      <c r="C2134" s="383"/>
      <c r="D2134" s="381">
        <f t="shared" si="329"/>
        <v>0</v>
      </c>
      <c r="E2134" s="383"/>
      <c r="F2134" s="382"/>
      <c r="G2134" s="381">
        <f t="shared" si="330"/>
        <v>0</v>
      </c>
      <c r="H2134" s="383"/>
      <c r="I2134" s="383"/>
      <c r="J2134" s="381">
        <f t="shared" si="331"/>
        <v>0</v>
      </c>
      <c r="K2134" s="383"/>
      <c r="L2134" s="383"/>
      <c r="M2134" s="381">
        <f t="shared" si="332"/>
        <v>0</v>
      </c>
      <c r="N2134" s="383"/>
      <c r="O2134" s="383"/>
      <c r="P2134" s="381">
        <f t="shared" si="333"/>
        <v>0</v>
      </c>
      <c r="Q2134" s="383"/>
      <c r="R2134" s="383"/>
      <c r="S2134" s="25">
        <f t="shared" si="334"/>
        <v>0</v>
      </c>
      <c r="T2134" s="383"/>
      <c r="U2134" s="383"/>
      <c r="V2134" s="381">
        <f t="shared" si="335"/>
        <v>0</v>
      </c>
      <c r="W2134" s="383"/>
      <c r="X2134" s="383"/>
      <c r="Y2134" s="381">
        <f t="shared" si="336"/>
        <v>0</v>
      </c>
    </row>
    <row r="2135" spans="2:25" x14ac:dyDescent="0.2">
      <c r="B2135" s="383"/>
      <c r="C2135" s="383"/>
      <c r="D2135" s="381">
        <f t="shared" si="329"/>
        <v>0</v>
      </c>
      <c r="E2135" s="383"/>
      <c r="F2135" s="382"/>
      <c r="G2135" s="381">
        <f t="shared" si="330"/>
        <v>0</v>
      </c>
      <c r="H2135" s="383"/>
      <c r="I2135" s="383"/>
      <c r="J2135" s="381">
        <f t="shared" si="331"/>
        <v>0</v>
      </c>
      <c r="K2135" s="383"/>
      <c r="L2135" s="383"/>
      <c r="M2135" s="381">
        <f t="shared" si="332"/>
        <v>0</v>
      </c>
      <c r="N2135" s="383"/>
      <c r="O2135" s="383"/>
      <c r="P2135" s="381">
        <f t="shared" si="333"/>
        <v>0</v>
      </c>
      <c r="Q2135" s="383"/>
      <c r="R2135" s="383"/>
      <c r="S2135" s="25">
        <f t="shared" si="334"/>
        <v>0</v>
      </c>
      <c r="T2135" s="383"/>
      <c r="U2135" s="383"/>
      <c r="V2135" s="381">
        <f t="shared" si="335"/>
        <v>0</v>
      </c>
      <c r="W2135" s="383"/>
      <c r="X2135" s="383"/>
      <c r="Y2135" s="381">
        <f t="shared" si="336"/>
        <v>0</v>
      </c>
    </row>
    <row r="2136" spans="2:25" x14ac:dyDescent="0.2">
      <c r="B2136" s="383"/>
      <c r="C2136" s="383"/>
      <c r="D2136" s="381">
        <f t="shared" si="329"/>
        <v>0</v>
      </c>
      <c r="E2136" s="383"/>
      <c r="F2136" s="382"/>
      <c r="G2136" s="381">
        <f t="shared" si="330"/>
        <v>0</v>
      </c>
      <c r="H2136" s="383"/>
      <c r="I2136" s="383"/>
      <c r="J2136" s="381">
        <f t="shared" si="331"/>
        <v>0</v>
      </c>
      <c r="K2136" s="383"/>
      <c r="L2136" s="383"/>
      <c r="M2136" s="381">
        <f t="shared" si="332"/>
        <v>0</v>
      </c>
      <c r="N2136" s="383"/>
      <c r="O2136" s="383"/>
      <c r="P2136" s="381">
        <f t="shared" si="333"/>
        <v>0</v>
      </c>
      <c r="Q2136" s="383"/>
      <c r="R2136" s="383"/>
      <c r="S2136" s="25">
        <f t="shared" si="334"/>
        <v>0</v>
      </c>
      <c r="T2136" s="383"/>
      <c r="U2136" s="383"/>
      <c r="V2136" s="381">
        <f t="shared" si="335"/>
        <v>0</v>
      </c>
      <c r="W2136" s="383"/>
      <c r="X2136" s="383"/>
      <c r="Y2136" s="381">
        <f t="shared" si="336"/>
        <v>0</v>
      </c>
    </row>
    <row r="2137" spans="2:25" x14ac:dyDescent="0.2">
      <c r="B2137" s="383"/>
      <c r="C2137" s="383"/>
      <c r="D2137" s="381">
        <f t="shared" si="329"/>
        <v>0</v>
      </c>
      <c r="E2137" s="383"/>
      <c r="F2137" s="382"/>
      <c r="G2137" s="381">
        <f t="shared" si="330"/>
        <v>0</v>
      </c>
      <c r="H2137" s="383"/>
      <c r="I2137" s="383"/>
      <c r="J2137" s="381">
        <f t="shared" si="331"/>
        <v>0</v>
      </c>
      <c r="K2137" s="383"/>
      <c r="L2137" s="383"/>
      <c r="M2137" s="381">
        <f t="shared" si="332"/>
        <v>0</v>
      </c>
      <c r="N2137" s="383"/>
      <c r="O2137" s="383"/>
      <c r="P2137" s="381">
        <f t="shared" si="333"/>
        <v>0</v>
      </c>
      <c r="Q2137" s="383"/>
      <c r="R2137" s="383"/>
      <c r="S2137" s="25">
        <f t="shared" si="334"/>
        <v>0</v>
      </c>
      <c r="T2137" s="383"/>
      <c r="U2137" s="383"/>
      <c r="V2137" s="381">
        <f t="shared" si="335"/>
        <v>0</v>
      </c>
      <c r="W2137" s="383"/>
      <c r="X2137" s="383"/>
      <c r="Y2137" s="381">
        <f t="shared" si="336"/>
        <v>0</v>
      </c>
    </row>
    <row r="2138" spans="2:25" x14ac:dyDescent="0.2">
      <c r="B2138" s="383"/>
      <c r="C2138" s="383"/>
      <c r="D2138" s="381">
        <f t="shared" si="329"/>
        <v>0</v>
      </c>
      <c r="E2138" s="383"/>
      <c r="F2138" s="382"/>
      <c r="G2138" s="381">
        <f t="shared" si="330"/>
        <v>0</v>
      </c>
      <c r="H2138" s="383"/>
      <c r="I2138" s="383"/>
      <c r="J2138" s="381">
        <f t="shared" si="331"/>
        <v>0</v>
      </c>
      <c r="K2138" s="383"/>
      <c r="L2138" s="383"/>
      <c r="M2138" s="381">
        <f t="shared" si="332"/>
        <v>0</v>
      </c>
      <c r="N2138" s="383"/>
      <c r="O2138" s="383"/>
      <c r="P2138" s="381">
        <f t="shared" si="333"/>
        <v>0</v>
      </c>
      <c r="Q2138" s="383"/>
      <c r="R2138" s="383"/>
      <c r="S2138" s="25">
        <f t="shared" si="334"/>
        <v>0</v>
      </c>
      <c r="T2138" s="383"/>
      <c r="U2138" s="383"/>
      <c r="V2138" s="381">
        <f t="shared" si="335"/>
        <v>0</v>
      </c>
      <c r="W2138" s="383"/>
      <c r="X2138" s="383"/>
      <c r="Y2138" s="381">
        <f t="shared" si="336"/>
        <v>0</v>
      </c>
    </row>
    <row r="2139" spans="2:25" x14ac:dyDescent="0.2">
      <c r="B2139" s="383"/>
      <c r="C2139" s="383"/>
      <c r="D2139" s="381">
        <f t="shared" si="329"/>
        <v>0</v>
      </c>
      <c r="E2139" s="383"/>
      <c r="F2139" s="382"/>
      <c r="G2139" s="381">
        <f t="shared" si="330"/>
        <v>0</v>
      </c>
      <c r="H2139" s="383"/>
      <c r="I2139" s="383"/>
      <c r="J2139" s="381">
        <f t="shared" si="331"/>
        <v>0</v>
      </c>
      <c r="K2139" s="383"/>
      <c r="L2139" s="383"/>
      <c r="M2139" s="381">
        <f t="shared" si="332"/>
        <v>0</v>
      </c>
      <c r="N2139" s="383"/>
      <c r="O2139" s="383"/>
      <c r="P2139" s="381">
        <f t="shared" si="333"/>
        <v>0</v>
      </c>
      <c r="Q2139" s="383"/>
      <c r="R2139" s="383"/>
      <c r="S2139" s="25">
        <f t="shared" si="334"/>
        <v>0</v>
      </c>
      <c r="T2139" s="383"/>
      <c r="U2139" s="383"/>
      <c r="V2139" s="381">
        <f t="shared" si="335"/>
        <v>0</v>
      </c>
      <c r="W2139" s="383"/>
      <c r="X2139" s="383"/>
      <c r="Y2139" s="381">
        <f t="shared" si="336"/>
        <v>0</v>
      </c>
    </row>
    <row r="2140" spans="2:25" x14ac:dyDescent="0.2">
      <c r="B2140" s="383"/>
      <c r="C2140" s="383"/>
      <c r="D2140" s="381">
        <f t="shared" si="329"/>
        <v>0</v>
      </c>
      <c r="E2140" s="383"/>
      <c r="F2140" s="382"/>
      <c r="G2140" s="381">
        <f t="shared" si="330"/>
        <v>0</v>
      </c>
      <c r="H2140" s="383"/>
      <c r="I2140" s="383"/>
      <c r="J2140" s="381">
        <f t="shared" si="331"/>
        <v>0</v>
      </c>
      <c r="K2140" s="383"/>
      <c r="L2140" s="383"/>
      <c r="M2140" s="381">
        <f t="shared" si="332"/>
        <v>0</v>
      </c>
      <c r="N2140" s="383"/>
      <c r="O2140" s="383"/>
      <c r="P2140" s="381">
        <f t="shared" si="333"/>
        <v>0</v>
      </c>
      <c r="Q2140" s="383"/>
      <c r="R2140" s="383"/>
      <c r="S2140" s="25">
        <f t="shared" si="334"/>
        <v>0</v>
      </c>
      <c r="T2140" s="383"/>
      <c r="U2140" s="383"/>
      <c r="V2140" s="381">
        <f t="shared" si="335"/>
        <v>0</v>
      </c>
      <c r="W2140" s="383"/>
      <c r="X2140" s="383"/>
      <c r="Y2140" s="381">
        <f t="shared" si="336"/>
        <v>0</v>
      </c>
    </row>
    <row r="2141" spans="2:25" x14ac:dyDescent="0.2">
      <c r="B2141" s="383"/>
      <c r="C2141" s="383"/>
      <c r="D2141" s="381">
        <f t="shared" si="329"/>
        <v>0</v>
      </c>
      <c r="E2141" s="383"/>
      <c r="F2141" s="382"/>
      <c r="G2141" s="381">
        <f t="shared" si="330"/>
        <v>0</v>
      </c>
      <c r="H2141" s="383"/>
      <c r="I2141" s="383"/>
      <c r="J2141" s="381">
        <f t="shared" si="331"/>
        <v>0</v>
      </c>
      <c r="K2141" s="383"/>
      <c r="L2141" s="383"/>
      <c r="M2141" s="381">
        <f t="shared" si="332"/>
        <v>0</v>
      </c>
      <c r="N2141" s="383"/>
      <c r="O2141" s="383"/>
      <c r="P2141" s="381">
        <f t="shared" si="333"/>
        <v>0</v>
      </c>
      <c r="Q2141" s="383"/>
      <c r="R2141" s="383"/>
      <c r="S2141" s="25">
        <f t="shared" si="334"/>
        <v>0</v>
      </c>
      <c r="T2141" s="383"/>
      <c r="U2141" s="383"/>
      <c r="V2141" s="381">
        <f t="shared" si="335"/>
        <v>0</v>
      </c>
      <c r="W2141" s="383"/>
      <c r="X2141" s="383"/>
      <c r="Y2141" s="381">
        <f t="shared" si="336"/>
        <v>0</v>
      </c>
    </row>
    <row r="2142" spans="2:25" x14ac:dyDescent="0.2">
      <c r="B2142" s="383"/>
      <c r="C2142" s="383"/>
      <c r="D2142" s="381">
        <f t="shared" si="329"/>
        <v>0</v>
      </c>
      <c r="E2142" s="383"/>
      <c r="F2142" s="382"/>
      <c r="G2142" s="381">
        <f t="shared" si="330"/>
        <v>0</v>
      </c>
      <c r="H2142" s="383"/>
      <c r="I2142" s="383"/>
      <c r="J2142" s="381">
        <f t="shared" si="331"/>
        <v>0</v>
      </c>
      <c r="K2142" s="383"/>
      <c r="L2142" s="383"/>
      <c r="M2142" s="381">
        <f t="shared" si="332"/>
        <v>0</v>
      </c>
      <c r="N2142" s="383"/>
      <c r="O2142" s="383"/>
      <c r="P2142" s="381">
        <f t="shared" si="333"/>
        <v>0</v>
      </c>
      <c r="Q2142" s="383"/>
      <c r="R2142" s="383"/>
      <c r="S2142" s="25">
        <f t="shared" si="334"/>
        <v>0</v>
      </c>
      <c r="T2142" s="383"/>
      <c r="U2142" s="383"/>
      <c r="V2142" s="381">
        <f t="shared" si="335"/>
        <v>0</v>
      </c>
      <c r="W2142" s="383"/>
      <c r="X2142" s="383"/>
      <c r="Y2142" s="381">
        <f t="shared" si="336"/>
        <v>0</v>
      </c>
    </row>
    <row r="2143" spans="2:25" x14ac:dyDescent="0.2">
      <c r="B2143" s="383"/>
      <c r="C2143" s="383"/>
      <c r="D2143" s="381">
        <f t="shared" si="329"/>
        <v>0</v>
      </c>
      <c r="E2143" s="383"/>
      <c r="F2143" s="382"/>
      <c r="G2143" s="381">
        <f t="shared" si="330"/>
        <v>0</v>
      </c>
      <c r="H2143" s="383"/>
      <c r="I2143" s="383"/>
      <c r="J2143" s="381">
        <f t="shared" si="331"/>
        <v>0</v>
      </c>
      <c r="K2143" s="383"/>
      <c r="L2143" s="383"/>
      <c r="M2143" s="381">
        <f t="shared" si="332"/>
        <v>0</v>
      </c>
      <c r="N2143" s="383"/>
      <c r="O2143" s="383"/>
      <c r="P2143" s="381">
        <f t="shared" si="333"/>
        <v>0</v>
      </c>
      <c r="Q2143" s="383"/>
      <c r="R2143" s="383"/>
      <c r="S2143" s="25">
        <f t="shared" si="334"/>
        <v>0</v>
      </c>
      <c r="T2143" s="383"/>
      <c r="U2143" s="383"/>
      <c r="V2143" s="381">
        <f t="shared" si="335"/>
        <v>0</v>
      </c>
      <c r="W2143" s="383"/>
      <c r="X2143" s="383"/>
      <c r="Y2143" s="381">
        <f t="shared" si="336"/>
        <v>0</v>
      </c>
    </row>
    <row r="2144" spans="2:25" x14ac:dyDescent="0.2">
      <c r="B2144" s="383"/>
      <c r="C2144" s="383"/>
      <c r="D2144" s="381">
        <f t="shared" si="329"/>
        <v>0</v>
      </c>
      <c r="E2144" s="383"/>
      <c r="F2144" s="382"/>
      <c r="G2144" s="381">
        <f t="shared" si="330"/>
        <v>0</v>
      </c>
      <c r="H2144" s="383"/>
      <c r="I2144" s="383"/>
      <c r="J2144" s="381">
        <f t="shared" si="331"/>
        <v>0</v>
      </c>
      <c r="K2144" s="383"/>
      <c r="L2144" s="383"/>
      <c r="M2144" s="381">
        <f t="shared" si="332"/>
        <v>0</v>
      </c>
      <c r="N2144" s="383"/>
      <c r="O2144" s="383"/>
      <c r="P2144" s="381">
        <f t="shared" si="333"/>
        <v>0</v>
      </c>
      <c r="Q2144" s="383"/>
      <c r="R2144" s="383"/>
      <c r="S2144" s="25">
        <f t="shared" si="334"/>
        <v>0</v>
      </c>
      <c r="T2144" s="383"/>
      <c r="U2144" s="383"/>
      <c r="V2144" s="381">
        <f t="shared" si="335"/>
        <v>0</v>
      </c>
      <c r="W2144" s="383"/>
      <c r="X2144" s="383"/>
      <c r="Y2144" s="381">
        <f t="shared" si="336"/>
        <v>0</v>
      </c>
    </row>
    <row r="2145" spans="2:25" x14ac:dyDescent="0.2">
      <c r="B2145" s="383"/>
      <c r="C2145" s="383"/>
      <c r="D2145" s="381">
        <f t="shared" si="329"/>
        <v>0</v>
      </c>
      <c r="E2145" s="383"/>
      <c r="F2145" s="382"/>
      <c r="G2145" s="381">
        <f t="shared" si="330"/>
        <v>0</v>
      </c>
      <c r="H2145" s="383"/>
      <c r="I2145" s="383"/>
      <c r="J2145" s="381">
        <f t="shared" si="331"/>
        <v>0</v>
      </c>
      <c r="K2145" s="383"/>
      <c r="L2145" s="383"/>
      <c r="M2145" s="381">
        <f t="shared" si="332"/>
        <v>0</v>
      </c>
      <c r="N2145" s="383"/>
      <c r="O2145" s="383"/>
      <c r="P2145" s="381">
        <f t="shared" si="333"/>
        <v>0</v>
      </c>
      <c r="Q2145" s="383"/>
      <c r="R2145" s="383"/>
      <c r="S2145" s="25">
        <f t="shared" si="334"/>
        <v>0</v>
      </c>
      <c r="T2145" s="383"/>
      <c r="U2145" s="383"/>
      <c r="V2145" s="381">
        <f t="shared" si="335"/>
        <v>0</v>
      </c>
      <c r="W2145" s="383"/>
      <c r="X2145" s="383"/>
      <c r="Y2145" s="381">
        <f t="shared" si="336"/>
        <v>0</v>
      </c>
    </row>
    <row r="2146" spans="2:25" x14ac:dyDescent="0.2">
      <c r="B2146" s="383"/>
      <c r="C2146" s="383"/>
      <c r="D2146" s="381">
        <f t="shared" si="329"/>
        <v>0</v>
      </c>
      <c r="E2146" s="383"/>
      <c r="F2146" s="382"/>
      <c r="G2146" s="381">
        <f t="shared" si="330"/>
        <v>0</v>
      </c>
      <c r="H2146" s="383"/>
      <c r="I2146" s="383"/>
      <c r="J2146" s="381">
        <f t="shared" si="331"/>
        <v>0</v>
      </c>
      <c r="K2146" s="383"/>
      <c r="L2146" s="383"/>
      <c r="M2146" s="381">
        <f t="shared" si="332"/>
        <v>0</v>
      </c>
      <c r="N2146" s="383"/>
      <c r="O2146" s="383"/>
      <c r="P2146" s="381">
        <f t="shared" si="333"/>
        <v>0</v>
      </c>
      <c r="Q2146" s="383"/>
      <c r="R2146" s="383"/>
      <c r="S2146" s="25">
        <f t="shared" si="334"/>
        <v>0</v>
      </c>
      <c r="T2146" s="383"/>
      <c r="U2146" s="383"/>
      <c r="V2146" s="381">
        <f t="shared" si="335"/>
        <v>0</v>
      </c>
      <c r="W2146" s="383"/>
      <c r="X2146" s="383"/>
      <c r="Y2146" s="381">
        <f t="shared" si="336"/>
        <v>0</v>
      </c>
    </row>
    <row r="2147" spans="2:25" x14ac:dyDescent="0.2">
      <c r="B2147" s="383"/>
      <c r="C2147" s="383"/>
      <c r="D2147" s="381">
        <f t="shared" si="329"/>
        <v>0</v>
      </c>
      <c r="E2147" s="383"/>
      <c r="F2147" s="382"/>
      <c r="G2147" s="381">
        <f t="shared" si="330"/>
        <v>0</v>
      </c>
      <c r="H2147" s="383"/>
      <c r="I2147" s="383"/>
      <c r="J2147" s="381">
        <f t="shared" si="331"/>
        <v>0</v>
      </c>
      <c r="K2147" s="383"/>
      <c r="L2147" s="383"/>
      <c r="M2147" s="381">
        <f t="shared" si="332"/>
        <v>0</v>
      </c>
      <c r="N2147" s="383"/>
      <c r="O2147" s="383"/>
      <c r="P2147" s="381">
        <f t="shared" si="333"/>
        <v>0</v>
      </c>
      <c r="Q2147" s="383"/>
      <c r="R2147" s="383"/>
      <c r="S2147" s="25">
        <f t="shared" si="334"/>
        <v>0</v>
      </c>
      <c r="T2147" s="383"/>
      <c r="U2147" s="383"/>
      <c r="V2147" s="381">
        <f t="shared" si="335"/>
        <v>0</v>
      </c>
      <c r="W2147" s="383"/>
      <c r="X2147" s="383"/>
      <c r="Y2147" s="381">
        <f t="shared" si="336"/>
        <v>0</v>
      </c>
    </row>
    <row r="2148" spans="2:25" x14ac:dyDescent="0.2">
      <c r="B2148" s="383"/>
      <c r="C2148" s="383"/>
      <c r="D2148" s="381">
        <f t="shared" si="329"/>
        <v>0</v>
      </c>
      <c r="E2148" s="383"/>
      <c r="F2148" s="382"/>
      <c r="G2148" s="381">
        <f t="shared" si="330"/>
        <v>0</v>
      </c>
      <c r="H2148" s="383"/>
      <c r="I2148" s="383"/>
      <c r="J2148" s="381">
        <f t="shared" si="331"/>
        <v>0</v>
      </c>
      <c r="K2148" s="383"/>
      <c r="L2148" s="383"/>
      <c r="M2148" s="381">
        <f t="shared" si="332"/>
        <v>0</v>
      </c>
      <c r="N2148" s="383"/>
      <c r="O2148" s="383"/>
      <c r="P2148" s="381">
        <f t="shared" si="333"/>
        <v>0</v>
      </c>
      <c r="Q2148" s="383"/>
      <c r="R2148" s="383"/>
      <c r="S2148" s="25">
        <f t="shared" si="334"/>
        <v>0</v>
      </c>
      <c r="T2148" s="383"/>
      <c r="U2148" s="383"/>
      <c r="V2148" s="381">
        <f t="shared" si="335"/>
        <v>0</v>
      </c>
      <c r="W2148" s="383"/>
      <c r="X2148" s="383"/>
      <c r="Y2148" s="381">
        <f t="shared" si="336"/>
        <v>0</v>
      </c>
    </row>
    <row r="2149" spans="2:25" x14ac:dyDescent="0.2">
      <c r="B2149" s="383"/>
      <c r="C2149" s="383"/>
      <c r="D2149" s="381">
        <f t="shared" si="329"/>
        <v>0</v>
      </c>
      <c r="E2149" s="383"/>
      <c r="F2149" s="382"/>
      <c r="G2149" s="381">
        <f t="shared" si="330"/>
        <v>0</v>
      </c>
      <c r="H2149" s="383"/>
      <c r="I2149" s="383"/>
      <c r="J2149" s="381">
        <f t="shared" si="331"/>
        <v>0</v>
      </c>
      <c r="K2149" s="383"/>
      <c r="L2149" s="383"/>
      <c r="M2149" s="381">
        <f t="shared" si="332"/>
        <v>0</v>
      </c>
      <c r="N2149" s="383"/>
      <c r="O2149" s="383"/>
      <c r="P2149" s="381">
        <f t="shared" si="333"/>
        <v>0</v>
      </c>
      <c r="Q2149" s="383"/>
      <c r="R2149" s="383"/>
      <c r="S2149" s="25">
        <f t="shared" si="334"/>
        <v>0</v>
      </c>
      <c r="T2149" s="383"/>
      <c r="U2149" s="383"/>
      <c r="V2149" s="381">
        <f t="shared" si="335"/>
        <v>0</v>
      </c>
      <c r="W2149" s="383"/>
      <c r="X2149" s="383"/>
      <c r="Y2149" s="381">
        <f t="shared" si="336"/>
        <v>0</v>
      </c>
    </row>
    <row r="2150" spans="2:25" x14ac:dyDescent="0.2">
      <c r="B2150" s="383"/>
      <c r="C2150" s="383"/>
      <c r="D2150" s="381">
        <f t="shared" si="329"/>
        <v>0</v>
      </c>
      <c r="E2150" s="383"/>
      <c r="F2150" s="382"/>
      <c r="G2150" s="381">
        <f t="shared" si="330"/>
        <v>0</v>
      </c>
      <c r="H2150" s="383"/>
      <c r="I2150" s="383"/>
      <c r="J2150" s="381">
        <f t="shared" si="331"/>
        <v>0</v>
      </c>
      <c r="K2150" s="383"/>
      <c r="L2150" s="383"/>
      <c r="M2150" s="381">
        <f t="shared" si="332"/>
        <v>0</v>
      </c>
      <c r="N2150" s="383"/>
      <c r="O2150" s="383"/>
      <c r="P2150" s="381">
        <f t="shared" si="333"/>
        <v>0</v>
      </c>
      <c r="Q2150" s="383"/>
      <c r="R2150" s="383"/>
      <c r="S2150" s="25">
        <f t="shared" si="334"/>
        <v>0</v>
      </c>
      <c r="T2150" s="383"/>
      <c r="U2150" s="383"/>
      <c r="V2150" s="381">
        <f t="shared" si="335"/>
        <v>0</v>
      </c>
      <c r="W2150" s="383"/>
      <c r="X2150" s="383"/>
      <c r="Y2150" s="381">
        <f t="shared" si="336"/>
        <v>0</v>
      </c>
    </row>
    <row r="2151" spans="2:25" x14ac:dyDescent="0.2">
      <c r="B2151" s="383"/>
      <c r="C2151" s="383"/>
      <c r="D2151" s="381">
        <f t="shared" si="329"/>
        <v>0</v>
      </c>
      <c r="E2151" s="383"/>
      <c r="F2151" s="382"/>
      <c r="G2151" s="381">
        <f t="shared" si="330"/>
        <v>0</v>
      </c>
      <c r="H2151" s="383"/>
      <c r="I2151" s="383"/>
      <c r="J2151" s="381">
        <f t="shared" si="331"/>
        <v>0</v>
      </c>
      <c r="K2151" s="383"/>
      <c r="L2151" s="383"/>
      <c r="M2151" s="381">
        <f t="shared" si="332"/>
        <v>0</v>
      </c>
      <c r="N2151" s="383"/>
      <c r="O2151" s="383"/>
      <c r="P2151" s="381">
        <f t="shared" si="333"/>
        <v>0</v>
      </c>
      <c r="Q2151" s="383"/>
      <c r="R2151" s="383"/>
      <c r="S2151" s="25">
        <f t="shared" si="334"/>
        <v>0</v>
      </c>
      <c r="T2151" s="383"/>
      <c r="U2151" s="383"/>
      <c r="V2151" s="381">
        <f t="shared" si="335"/>
        <v>0</v>
      </c>
      <c r="W2151" s="383"/>
      <c r="X2151" s="383"/>
      <c r="Y2151" s="381">
        <f t="shared" si="336"/>
        <v>0</v>
      </c>
    </row>
    <row r="2152" spans="2:25" x14ac:dyDescent="0.2">
      <c r="B2152" s="383"/>
      <c r="C2152" s="383"/>
      <c r="D2152" s="381">
        <f t="shared" si="329"/>
        <v>0</v>
      </c>
      <c r="E2152" s="383"/>
      <c r="F2152" s="382"/>
      <c r="G2152" s="381">
        <f t="shared" si="330"/>
        <v>0</v>
      </c>
      <c r="H2152" s="383"/>
      <c r="I2152" s="383"/>
      <c r="J2152" s="381">
        <f t="shared" si="331"/>
        <v>0</v>
      </c>
      <c r="K2152" s="383"/>
      <c r="L2152" s="383"/>
      <c r="M2152" s="381">
        <f t="shared" si="332"/>
        <v>0</v>
      </c>
      <c r="N2152" s="383"/>
      <c r="O2152" s="383"/>
      <c r="P2152" s="381">
        <f t="shared" si="333"/>
        <v>0</v>
      </c>
      <c r="Q2152" s="383"/>
      <c r="R2152" s="383"/>
      <c r="S2152" s="25">
        <f t="shared" si="334"/>
        <v>0</v>
      </c>
      <c r="T2152" s="383"/>
      <c r="U2152" s="383"/>
      <c r="V2152" s="381">
        <f t="shared" si="335"/>
        <v>0</v>
      </c>
      <c r="W2152" s="383"/>
      <c r="X2152" s="383"/>
      <c r="Y2152" s="381">
        <f t="shared" si="336"/>
        <v>0</v>
      </c>
    </row>
    <row r="2153" spans="2:25" x14ac:dyDescent="0.2">
      <c r="B2153" s="383"/>
      <c r="C2153" s="383"/>
      <c r="D2153" s="381">
        <f t="shared" si="329"/>
        <v>0</v>
      </c>
      <c r="E2153" s="383"/>
      <c r="F2153" s="382"/>
      <c r="G2153" s="381">
        <f t="shared" si="330"/>
        <v>0</v>
      </c>
      <c r="H2153" s="383"/>
      <c r="I2153" s="383"/>
      <c r="J2153" s="381">
        <f t="shared" si="331"/>
        <v>0</v>
      </c>
      <c r="K2153" s="383"/>
      <c r="L2153" s="383"/>
      <c r="M2153" s="381">
        <f t="shared" si="332"/>
        <v>0</v>
      </c>
      <c r="N2153" s="383"/>
      <c r="O2153" s="383"/>
      <c r="P2153" s="381">
        <f t="shared" si="333"/>
        <v>0</v>
      </c>
      <c r="Q2153" s="383"/>
      <c r="R2153" s="383"/>
      <c r="S2153" s="25">
        <f t="shared" si="334"/>
        <v>0</v>
      </c>
      <c r="T2153" s="383"/>
      <c r="U2153" s="383"/>
      <c r="V2153" s="381">
        <f t="shared" si="335"/>
        <v>0</v>
      </c>
      <c r="W2153" s="383"/>
      <c r="X2153" s="383"/>
      <c r="Y2153" s="381">
        <f t="shared" si="336"/>
        <v>0</v>
      </c>
    </row>
    <row r="2154" spans="2:25" x14ac:dyDescent="0.2">
      <c r="B2154" s="383"/>
      <c r="C2154" s="383"/>
      <c r="D2154" s="381">
        <f t="shared" si="329"/>
        <v>0</v>
      </c>
      <c r="E2154" s="383"/>
      <c r="F2154" s="382"/>
      <c r="G2154" s="381">
        <f t="shared" si="330"/>
        <v>0</v>
      </c>
      <c r="H2154" s="383"/>
      <c r="I2154" s="383"/>
      <c r="J2154" s="381">
        <f t="shared" si="331"/>
        <v>0</v>
      </c>
      <c r="K2154" s="383"/>
      <c r="L2154" s="383"/>
      <c r="M2154" s="381">
        <f t="shared" si="332"/>
        <v>0</v>
      </c>
      <c r="N2154" s="383"/>
      <c r="O2154" s="383"/>
      <c r="P2154" s="381">
        <f t="shared" si="333"/>
        <v>0</v>
      </c>
      <c r="Q2154" s="383"/>
      <c r="R2154" s="383"/>
      <c r="S2154" s="25">
        <f t="shared" si="334"/>
        <v>0</v>
      </c>
      <c r="T2154" s="383"/>
      <c r="U2154" s="383"/>
      <c r="V2154" s="381">
        <f t="shared" si="335"/>
        <v>0</v>
      </c>
      <c r="W2154" s="383"/>
      <c r="X2154" s="383"/>
      <c r="Y2154" s="381">
        <f t="shared" si="336"/>
        <v>0</v>
      </c>
    </row>
    <row r="2155" spans="2:25" x14ac:dyDescent="0.2">
      <c r="B2155" s="383"/>
      <c r="C2155" s="383"/>
      <c r="D2155" s="381">
        <f t="shared" si="329"/>
        <v>0</v>
      </c>
      <c r="E2155" s="383"/>
      <c r="F2155" s="382"/>
      <c r="G2155" s="381">
        <f t="shared" si="330"/>
        <v>0</v>
      </c>
      <c r="H2155" s="383"/>
      <c r="I2155" s="383"/>
      <c r="J2155" s="381">
        <f t="shared" si="331"/>
        <v>0</v>
      </c>
      <c r="K2155" s="383"/>
      <c r="L2155" s="383"/>
      <c r="M2155" s="381">
        <f t="shared" si="332"/>
        <v>0</v>
      </c>
      <c r="N2155" s="383"/>
      <c r="O2155" s="383"/>
      <c r="P2155" s="381">
        <f t="shared" si="333"/>
        <v>0</v>
      </c>
      <c r="Q2155" s="383"/>
      <c r="R2155" s="383"/>
      <c r="S2155" s="25">
        <f t="shared" si="334"/>
        <v>0</v>
      </c>
      <c r="T2155" s="383"/>
      <c r="U2155" s="383"/>
      <c r="V2155" s="381">
        <f t="shared" si="335"/>
        <v>0</v>
      </c>
      <c r="W2155" s="383"/>
      <c r="X2155" s="383"/>
      <c r="Y2155" s="381">
        <f t="shared" si="336"/>
        <v>0</v>
      </c>
    </row>
    <row r="2156" spans="2:25" x14ac:dyDescent="0.2">
      <c r="B2156" s="383"/>
      <c r="C2156" s="383"/>
      <c r="D2156" s="381">
        <f t="shared" si="329"/>
        <v>0</v>
      </c>
      <c r="E2156" s="383"/>
      <c r="F2156" s="382"/>
      <c r="G2156" s="381">
        <f t="shared" si="330"/>
        <v>0</v>
      </c>
      <c r="H2156" s="383"/>
      <c r="I2156" s="383"/>
      <c r="J2156" s="381">
        <f t="shared" si="331"/>
        <v>0</v>
      </c>
      <c r="K2156" s="383"/>
      <c r="L2156" s="383"/>
      <c r="M2156" s="381">
        <f t="shared" si="332"/>
        <v>0</v>
      </c>
      <c r="N2156" s="383"/>
      <c r="O2156" s="383"/>
      <c r="P2156" s="381">
        <f t="shared" si="333"/>
        <v>0</v>
      </c>
      <c r="Q2156" s="383"/>
      <c r="R2156" s="383"/>
      <c r="S2156" s="25">
        <f t="shared" si="334"/>
        <v>0</v>
      </c>
      <c r="T2156" s="383"/>
      <c r="U2156" s="383"/>
      <c r="V2156" s="381">
        <f t="shared" si="335"/>
        <v>0</v>
      </c>
      <c r="W2156" s="383"/>
      <c r="X2156" s="383"/>
      <c r="Y2156" s="381">
        <f t="shared" si="336"/>
        <v>0</v>
      </c>
    </row>
    <row r="2157" spans="2:25" x14ac:dyDescent="0.2">
      <c r="B2157" s="383"/>
      <c r="C2157" s="383"/>
      <c r="D2157" s="381">
        <f t="shared" si="329"/>
        <v>0</v>
      </c>
      <c r="E2157" s="383"/>
      <c r="F2157" s="382"/>
      <c r="G2157" s="381">
        <f t="shared" si="330"/>
        <v>0</v>
      </c>
      <c r="H2157" s="383"/>
      <c r="I2157" s="383"/>
      <c r="J2157" s="381">
        <f t="shared" si="331"/>
        <v>0</v>
      </c>
      <c r="K2157" s="383"/>
      <c r="L2157" s="383"/>
      <c r="M2157" s="381">
        <f t="shared" si="332"/>
        <v>0</v>
      </c>
      <c r="N2157" s="383"/>
      <c r="O2157" s="383"/>
      <c r="P2157" s="381">
        <f t="shared" si="333"/>
        <v>0</v>
      </c>
      <c r="Q2157" s="383"/>
      <c r="R2157" s="383"/>
      <c r="S2157" s="25">
        <f t="shared" si="334"/>
        <v>0</v>
      </c>
      <c r="T2157" s="383"/>
      <c r="U2157" s="383"/>
      <c r="V2157" s="381">
        <f t="shared" si="335"/>
        <v>0</v>
      </c>
      <c r="W2157" s="383"/>
      <c r="X2157" s="383"/>
      <c r="Y2157" s="381">
        <f t="shared" si="336"/>
        <v>0</v>
      </c>
    </row>
    <row r="2158" spans="2:25" x14ac:dyDescent="0.2">
      <c r="B2158" s="383"/>
      <c r="C2158" s="383"/>
      <c r="D2158" s="381">
        <f t="shared" si="329"/>
        <v>0</v>
      </c>
      <c r="E2158" s="383"/>
      <c r="F2158" s="382"/>
      <c r="G2158" s="381">
        <f t="shared" si="330"/>
        <v>0</v>
      </c>
      <c r="H2158" s="383"/>
      <c r="I2158" s="383"/>
      <c r="J2158" s="381">
        <f t="shared" si="331"/>
        <v>0</v>
      </c>
      <c r="K2158" s="383"/>
      <c r="L2158" s="383"/>
      <c r="M2158" s="381">
        <f t="shared" si="332"/>
        <v>0</v>
      </c>
      <c r="N2158" s="383"/>
      <c r="O2158" s="383"/>
      <c r="P2158" s="381">
        <f t="shared" si="333"/>
        <v>0</v>
      </c>
      <c r="Q2158" s="383"/>
      <c r="R2158" s="383"/>
      <c r="S2158" s="25">
        <f t="shared" si="334"/>
        <v>0</v>
      </c>
      <c r="T2158" s="383"/>
      <c r="U2158" s="383"/>
      <c r="V2158" s="381">
        <f t="shared" si="335"/>
        <v>0</v>
      </c>
      <c r="W2158" s="383"/>
      <c r="X2158" s="383"/>
      <c r="Y2158" s="381">
        <f t="shared" si="336"/>
        <v>0</v>
      </c>
    </row>
    <row r="2159" spans="2:25" x14ac:dyDescent="0.2">
      <c r="B2159" s="383"/>
      <c r="C2159" s="383"/>
      <c r="D2159" s="381">
        <f t="shared" si="329"/>
        <v>0</v>
      </c>
      <c r="E2159" s="383"/>
      <c r="F2159" s="382"/>
      <c r="G2159" s="381">
        <f t="shared" si="330"/>
        <v>0</v>
      </c>
      <c r="H2159" s="383"/>
      <c r="I2159" s="383"/>
      <c r="J2159" s="381">
        <f t="shared" si="331"/>
        <v>0</v>
      </c>
      <c r="K2159" s="383"/>
      <c r="L2159" s="383"/>
      <c r="M2159" s="381">
        <f t="shared" si="332"/>
        <v>0</v>
      </c>
      <c r="N2159" s="383"/>
      <c r="O2159" s="383"/>
      <c r="P2159" s="381">
        <f t="shared" si="333"/>
        <v>0</v>
      </c>
      <c r="Q2159" s="383"/>
      <c r="R2159" s="383"/>
      <c r="S2159" s="25">
        <f t="shared" si="334"/>
        <v>0</v>
      </c>
      <c r="T2159" s="383"/>
      <c r="U2159" s="383"/>
      <c r="V2159" s="381">
        <f t="shared" si="335"/>
        <v>0</v>
      </c>
      <c r="W2159" s="383"/>
      <c r="X2159" s="383"/>
      <c r="Y2159" s="381">
        <f t="shared" si="336"/>
        <v>0</v>
      </c>
    </row>
    <row r="2160" spans="2:25" x14ac:dyDescent="0.2">
      <c r="B2160" s="383"/>
      <c r="C2160" s="383"/>
      <c r="D2160" s="381">
        <f t="shared" si="329"/>
        <v>0</v>
      </c>
      <c r="E2160" s="383"/>
      <c r="F2160" s="382"/>
      <c r="G2160" s="381">
        <f t="shared" si="330"/>
        <v>0</v>
      </c>
      <c r="H2160" s="383"/>
      <c r="I2160" s="383"/>
      <c r="J2160" s="381">
        <f t="shared" si="331"/>
        <v>0</v>
      </c>
      <c r="K2160" s="383"/>
      <c r="L2160" s="383"/>
      <c r="M2160" s="381">
        <f t="shared" si="332"/>
        <v>0</v>
      </c>
      <c r="N2160" s="383"/>
      <c r="O2160" s="383"/>
      <c r="P2160" s="381">
        <f t="shared" si="333"/>
        <v>0</v>
      </c>
      <c r="Q2160" s="383"/>
      <c r="R2160" s="383"/>
      <c r="S2160" s="25">
        <f t="shared" si="334"/>
        <v>0</v>
      </c>
      <c r="T2160" s="383"/>
      <c r="U2160" s="383"/>
      <c r="V2160" s="381">
        <f t="shared" si="335"/>
        <v>0</v>
      </c>
      <c r="W2160" s="383"/>
      <c r="X2160" s="383"/>
      <c r="Y2160" s="381">
        <f t="shared" si="336"/>
        <v>0</v>
      </c>
    </row>
    <row r="2161" spans="2:25" x14ac:dyDescent="0.2">
      <c r="B2161" s="383"/>
      <c r="C2161" s="383"/>
      <c r="D2161" s="381">
        <f t="shared" si="329"/>
        <v>0</v>
      </c>
      <c r="E2161" s="383"/>
      <c r="F2161" s="382"/>
      <c r="G2161" s="381">
        <f t="shared" si="330"/>
        <v>0</v>
      </c>
      <c r="H2161" s="383"/>
      <c r="I2161" s="383"/>
      <c r="J2161" s="381">
        <f t="shared" si="331"/>
        <v>0</v>
      </c>
      <c r="K2161" s="383"/>
      <c r="L2161" s="383"/>
      <c r="M2161" s="381">
        <f t="shared" si="332"/>
        <v>0</v>
      </c>
      <c r="N2161" s="383"/>
      <c r="O2161" s="383"/>
      <c r="P2161" s="381">
        <f t="shared" si="333"/>
        <v>0</v>
      </c>
      <c r="Q2161" s="383"/>
      <c r="R2161" s="383"/>
      <c r="S2161" s="25">
        <f t="shared" si="334"/>
        <v>0</v>
      </c>
      <c r="T2161" s="383"/>
      <c r="U2161" s="383"/>
      <c r="V2161" s="381">
        <f t="shared" si="335"/>
        <v>0</v>
      </c>
      <c r="W2161" s="383"/>
      <c r="X2161" s="383"/>
      <c r="Y2161" s="381">
        <f t="shared" si="336"/>
        <v>0</v>
      </c>
    </row>
    <row r="2162" spans="2:25" x14ac:dyDescent="0.2">
      <c r="B2162" s="383"/>
      <c r="C2162" s="383"/>
      <c r="D2162" s="381">
        <f t="shared" si="329"/>
        <v>0</v>
      </c>
      <c r="E2162" s="383"/>
      <c r="F2162" s="382"/>
      <c r="G2162" s="381">
        <f t="shared" si="330"/>
        <v>0</v>
      </c>
      <c r="H2162" s="383"/>
      <c r="I2162" s="383"/>
      <c r="J2162" s="381">
        <f t="shared" si="331"/>
        <v>0</v>
      </c>
      <c r="K2162" s="383"/>
      <c r="L2162" s="383"/>
      <c r="M2162" s="381">
        <f t="shared" si="332"/>
        <v>0</v>
      </c>
      <c r="N2162" s="383"/>
      <c r="O2162" s="383"/>
      <c r="P2162" s="381">
        <f t="shared" si="333"/>
        <v>0</v>
      </c>
      <c r="Q2162" s="383"/>
      <c r="R2162" s="383"/>
      <c r="S2162" s="25">
        <f t="shared" si="334"/>
        <v>0</v>
      </c>
      <c r="T2162" s="383"/>
      <c r="U2162" s="383"/>
      <c r="V2162" s="381">
        <f t="shared" si="335"/>
        <v>0</v>
      </c>
      <c r="W2162" s="383"/>
      <c r="X2162" s="383"/>
      <c r="Y2162" s="381">
        <f t="shared" si="336"/>
        <v>0</v>
      </c>
    </row>
    <row r="2163" spans="2:25" x14ac:dyDescent="0.2">
      <c r="B2163" s="383"/>
      <c r="C2163" s="383"/>
      <c r="D2163" s="381">
        <f t="shared" si="329"/>
        <v>0</v>
      </c>
      <c r="E2163" s="383"/>
      <c r="F2163" s="382"/>
      <c r="G2163" s="381">
        <f t="shared" si="330"/>
        <v>0</v>
      </c>
      <c r="H2163" s="383"/>
      <c r="I2163" s="383"/>
      <c r="J2163" s="381">
        <f t="shared" si="331"/>
        <v>0</v>
      </c>
      <c r="K2163" s="383"/>
      <c r="L2163" s="383"/>
      <c r="M2163" s="381">
        <f t="shared" si="332"/>
        <v>0</v>
      </c>
      <c r="N2163" s="383"/>
      <c r="O2163" s="383"/>
      <c r="P2163" s="381">
        <f t="shared" si="333"/>
        <v>0</v>
      </c>
      <c r="Q2163" s="383"/>
      <c r="R2163" s="383"/>
      <c r="S2163" s="25">
        <f t="shared" si="334"/>
        <v>0</v>
      </c>
      <c r="T2163" s="383"/>
      <c r="U2163" s="383"/>
      <c r="V2163" s="381">
        <f t="shared" si="335"/>
        <v>0</v>
      </c>
      <c r="W2163" s="383"/>
      <c r="X2163" s="383"/>
      <c r="Y2163" s="381">
        <f t="shared" si="336"/>
        <v>0</v>
      </c>
    </row>
    <row r="2164" spans="2:25" x14ac:dyDescent="0.2">
      <c r="B2164" s="383"/>
      <c r="C2164" s="383"/>
      <c r="D2164" s="381">
        <f t="shared" si="329"/>
        <v>0</v>
      </c>
      <c r="E2164" s="383"/>
      <c r="F2164" s="382"/>
      <c r="G2164" s="381">
        <f t="shared" si="330"/>
        <v>0</v>
      </c>
      <c r="H2164" s="383"/>
      <c r="I2164" s="383"/>
      <c r="J2164" s="381">
        <f t="shared" si="331"/>
        <v>0</v>
      </c>
      <c r="K2164" s="383"/>
      <c r="L2164" s="383"/>
      <c r="M2164" s="381">
        <f t="shared" si="332"/>
        <v>0</v>
      </c>
      <c r="N2164" s="383"/>
      <c r="O2164" s="383"/>
      <c r="P2164" s="381">
        <f t="shared" si="333"/>
        <v>0</v>
      </c>
      <c r="Q2164" s="383"/>
      <c r="R2164" s="383"/>
      <c r="S2164" s="25">
        <f t="shared" si="334"/>
        <v>0</v>
      </c>
      <c r="T2164" s="383"/>
      <c r="U2164" s="383"/>
      <c r="V2164" s="381">
        <f t="shared" si="335"/>
        <v>0</v>
      </c>
      <c r="W2164" s="383"/>
      <c r="X2164" s="383"/>
      <c r="Y2164" s="381">
        <f t="shared" si="336"/>
        <v>0</v>
      </c>
    </row>
    <row r="2165" spans="2:25" x14ac:dyDescent="0.2">
      <c r="B2165" s="383"/>
      <c r="C2165" s="383"/>
      <c r="D2165" s="381">
        <f t="shared" si="329"/>
        <v>0</v>
      </c>
      <c r="E2165" s="383"/>
      <c r="F2165" s="382"/>
      <c r="G2165" s="381">
        <f t="shared" si="330"/>
        <v>0</v>
      </c>
      <c r="H2165" s="383"/>
      <c r="I2165" s="383"/>
      <c r="J2165" s="381">
        <f t="shared" si="331"/>
        <v>0</v>
      </c>
      <c r="K2165" s="383"/>
      <c r="L2165" s="383"/>
      <c r="M2165" s="381">
        <f t="shared" si="332"/>
        <v>0</v>
      </c>
      <c r="N2165" s="383"/>
      <c r="O2165" s="383"/>
      <c r="P2165" s="381">
        <f t="shared" si="333"/>
        <v>0</v>
      </c>
      <c r="Q2165" s="383"/>
      <c r="R2165" s="383"/>
      <c r="S2165" s="25">
        <f t="shared" si="334"/>
        <v>0</v>
      </c>
      <c r="T2165" s="383"/>
      <c r="U2165" s="383"/>
      <c r="V2165" s="381">
        <f t="shared" si="335"/>
        <v>0</v>
      </c>
      <c r="W2165" s="383"/>
      <c r="X2165" s="383"/>
      <c r="Y2165" s="381">
        <f t="shared" si="336"/>
        <v>0</v>
      </c>
    </row>
    <row r="2166" spans="2:25" x14ac:dyDescent="0.2">
      <c r="B2166" s="383"/>
      <c r="C2166" s="383"/>
      <c r="D2166" s="381">
        <f t="shared" si="329"/>
        <v>0</v>
      </c>
      <c r="E2166" s="383"/>
      <c r="F2166" s="382"/>
      <c r="G2166" s="381">
        <f t="shared" si="330"/>
        <v>0</v>
      </c>
      <c r="H2166" s="383"/>
      <c r="I2166" s="383"/>
      <c r="J2166" s="381">
        <f t="shared" si="331"/>
        <v>0</v>
      </c>
      <c r="K2166" s="383"/>
      <c r="L2166" s="383"/>
      <c r="M2166" s="381">
        <f t="shared" si="332"/>
        <v>0</v>
      </c>
      <c r="N2166" s="383"/>
      <c r="O2166" s="383"/>
      <c r="P2166" s="381">
        <f t="shared" si="333"/>
        <v>0</v>
      </c>
      <c r="Q2166" s="383"/>
      <c r="R2166" s="383"/>
      <c r="S2166" s="25">
        <f t="shared" si="334"/>
        <v>0</v>
      </c>
      <c r="T2166" s="383"/>
      <c r="U2166" s="383"/>
      <c r="V2166" s="381">
        <f t="shared" si="335"/>
        <v>0</v>
      </c>
      <c r="W2166" s="383"/>
      <c r="X2166" s="383"/>
      <c r="Y2166" s="381">
        <f t="shared" si="336"/>
        <v>0</v>
      </c>
    </row>
    <row r="2167" spans="2:25" x14ac:dyDescent="0.2">
      <c r="B2167" s="383"/>
      <c r="C2167" s="383"/>
      <c r="D2167" s="381">
        <f t="shared" si="329"/>
        <v>0</v>
      </c>
      <c r="E2167" s="383"/>
      <c r="F2167" s="382"/>
      <c r="G2167" s="381">
        <f t="shared" si="330"/>
        <v>0</v>
      </c>
      <c r="H2167" s="383"/>
      <c r="I2167" s="383"/>
      <c r="J2167" s="381">
        <f t="shared" si="331"/>
        <v>0</v>
      </c>
      <c r="K2167" s="383"/>
      <c r="L2167" s="383"/>
      <c r="M2167" s="381">
        <f t="shared" si="332"/>
        <v>0</v>
      </c>
      <c r="N2167" s="383"/>
      <c r="O2167" s="383"/>
      <c r="P2167" s="381">
        <f t="shared" si="333"/>
        <v>0</v>
      </c>
      <c r="Q2167" s="383"/>
      <c r="R2167" s="383"/>
      <c r="S2167" s="25">
        <f t="shared" si="334"/>
        <v>0</v>
      </c>
      <c r="T2167" s="383"/>
      <c r="U2167" s="383"/>
      <c r="V2167" s="381">
        <f t="shared" si="335"/>
        <v>0</v>
      </c>
      <c r="W2167" s="383"/>
      <c r="X2167" s="383"/>
      <c r="Y2167" s="381">
        <f t="shared" si="336"/>
        <v>0</v>
      </c>
    </row>
    <row r="2168" spans="2:25" x14ac:dyDescent="0.2">
      <c r="B2168" s="383"/>
      <c r="C2168" s="383"/>
      <c r="D2168" s="381">
        <f t="shared" si="329"/>
        <v>0</v>
      </c>
      <c r="E2168" s="383"/>
      <c r="F2168" s="382"/>
      <c r="G2168" s="381">
        <f t="shared" si="330"/>
        <v>0</v>
      </c>
      <c r="H2168" s="383"/>
      <c r="I2168" s="383"/>
      <c r="J2168" s="381">
        <f t="shared" si="331"/>
        <v>0</v>
      </c>
      <c r="K2168" s="383"/>
      <c r="L2168" s="383"/>
      <c r="M2168" s="381">
        <f t="shared" si="332"/>
        <v>0</v>
      </c>
      <c r="N2168" s="383"/>
      <c r="O2168" s="383"/>
      <c r="P2168" s="381">
        <f t="shared" si="333"/>
        <v>0</v>
      </c>
      <c r="Q2168" s="383"/>
      <c r="R2168" s="383"/>
      <c r="S2168" s="25">
        <f t="shared" si="334"/>
        <v>0</v>
      </c>
      <c r="T2168" s="383"/>
      <c r="U2168" s="383"/>
      <c r="V2168" s="381">
        <f t="shared" si="335"/>
        <v>0</v>
      </c>
      <c r="W2168" s="383"/>
      <c r="X2168" s="383"/>
      <c r="Y2168" s="381">
        <f t="shared" si="336"/>
        <v>0</v>
      </c>
    </row>
    <row r="2169" spans="2:25" x14ac:dyDescent="0.2">
      <c r="B2169" s="383"/>
      <c r="C2169" s="383"/>
      <c r="D2169" s="381">
        <f t="shared" si="329"/>
        <v>0</v>
      </c>
      <c r="E2169" s="383"/>
      <c r="F2169" s="382"/>
      <c r="G2169" s="381">
        <f t="shared" si="330"/>
        <v>0</v>
      </c>
      <c r="H2169" s="383"/>
      <c r="I2169" s="383"/>
      <c r="J2169" s="381">
        <f t="shared" si="331"/>
        <v>0</v>
      </c>
      <c r="K2169" s="383"/>
      <c r="L2169" s="383"/>
      <c r="M2169" s="381">
        <f t="shared" si="332"/>
        <v>0</v>
      </c>
      <c r="N2169" s="383"/>
      <c r="O2169" s="383"/>
      <c r="P2169" s="381">
        <f t="shared" si="333"/>
        <v>0</v>
      </c>
      <c r="Q2169" s="383"/>
      <c r="R2169" s="383"/>
      <c r="S2169" s="25">
        <f t="shared" si="334"/>
        <v>0</v>
      </c>
      <c r="T2169" s="383"/>
      <c r="U2169" s="383"/>
      <c r="V2169" s="381">
        <f t="shared" si="335"/>
        <v>0</v>
      </c>
      <c r="W2169" s="383"/>
      <c r="X2169" s="383"/>
      <c r="Y2169" s="381">
        <f t="shared" si="336"/>
        <v>0</v>
      </c>
    </row>
    <row r="2170" spans="2:25" x14ac:dyDescent="0.2">
      <c r="B2170" s="383"/>
      <c r="C2170" s="383"/>
      <c r="D2170" s="381">
        <f t="shared" si="329"/>
        <v>0</v>
      </c>
      <c r="E2170" s="383"/>
      <c r="F2170" s="382"/>
      <c r="G2170" s="381">
        <f t="shared" si="330"/>
        <v>0</v>
      </c>
      <c r="H2170" s="383"/>
      <c r="I2170" s="383"/>
      <c r="J2170" s="381">
        <f t="shared" si="331"/>
        <v>0</v>
      </c>
      <c r="K2170" s="383"/>
      <c r="L2170" s="383"/>
      <c r="M2170" s="381">
        <f t="shared" si="332"/>
        <v>0</v>
      </c>
      <c r="N2170" s="383"/>
      <c r="O2170" s="383"/>
      <c r="P2170" s="381">
        <f t="shared" si="333"/>
        <v>0</v>
      </c>
      <c r="Q2170" s="383"/>
      <c r="R2170" s="383"/>
      <c r="S2170" s="25">
        <f t="shared" si="334"/>
        <v>0</v>
      </c>
      <c r="T2170" s="383"/>
      <c r="U2170" s="383"/>
      <c r="V2170" s="381">
        <f t="shared" si="335"/>
        <v>0</v>
      </c>
      <c r="W2170" s="383"/>
      <c r="X2170" s="383"/>
      <c r="Y2170" s="381">
        <f t="shared" si="336"/>
        <v>0</v>
      </c>
    </row>
    <row r="2171" spans="2:25" x14ac:dyDescent="0.2">
      <c r="B2171" s="383"/>
      <c r="C2171" s="383"/>
      <c r="D2171" s="381">
        <f t="shared" si="329"/>
        <v>0</v>
      </c>
      <c r="E2171" s="383"/>
      <c r="F2171" s="382"/>
      <c r="G2171" s="381">
        <f t="shared" si="330"/>
        <v>0</v>
      </c>
      <c r="H2171" s="383"/>
      <c r="I2171" s="383"/>
      <c r="J2171" s="381">
        <f t="shared" si="331"/>
        <v>0</v>
      </c>
      <c r="K2171" s="383"/>
      <c r="L2171" s="383"/>
      <c r="M2171" s="381">
        <f t="shared" si="332"/>
        <v>0</v>
      </c>
      <c r="N2171" s="383"/>
      <c r="O2171" s="383"/>
      <c r="P2171" s="381">
        <f t="shared" si="333"/>
        <v>0</v>
      </c>
      <c r="Q2171" s="383"/>
      <c r="R2171" s="383"/>
      <c r="S2171" s="25">
        <f t="shared" si="334"/>
        <v>0</v>
      </c>
      <c r="T2171" s="383"/>
      <c r="U2171" s="383"/>
      <c r="V2171" s="381">
        <f t="shared" si="335"/>
        <v>0</v>
      </c>
      <c r="W2171" s="383"/>
      <c r="X2171" s="383"/>
      <c r="Y2171" s="381">
        <f t="shared" si="336"/>
        <v>0</v>
      </c>
    </row>
    <row r="2172" spans="2:25" x14ac:dyDescent="0.2">
      <c r="B2172" s="383"/>
      <c r="C2172" s="383"/>
      <c r="D2172" s="381">
        <f t="shared" si="329"/>
        <v>0</v>
      </c>
      <c r="E2172" s="383"/>
      <c r="F2172" s="382"/>
      <c r="G2172" s="381">
        <f t="shared" si="330"/>
        <v>0</v>
      </c>
      <c r="H2172" s="383"/>
      <c r="I2172" s="383"/>
      <c r="J2172" s="381">
        <f t="shared" si="331"/>
        <v>0</v>
      </c>
      <c r="K2172" s="383"/>
      <c r="L2172" s="383"/>
      <c r="M2172" s="381">
        <f t="shared" si="332"/>
        <v>0</v>
      </c>
      <c r="N2172" s="383"/>
      <c r="O2172" s="383"/>
      <c r="P2172" s="381">
        <f t="shared" si="333"/>
        <v>0</v>
      </c>
      <c r="Q2172" s="383"/>
      <c r="R2172" s="383"/>
      <c r="S2172" s="25">
        <f t="shared" si="334"/>
        <v>0</v>
      </c>
      <c r="T2172" s="383"/>
      <c r="U2172" s="383"/>
      <c r="V2172" s="381">
        <f t="shared" si="335"/>
        <v>0</v>
      </c>
      <c r="W2172" s="383"/>
      <c r="X2172" s="383"/>
      <c r="Y2172" s="381">
        <f t="shared" si="336"/>
        <v>0</v>
      </c>
    </row>
    <row r="2173" spans="2:25" x14ac:dyDescent="0.2">
      <c r="B2173" s="383"/>
      <c r="C2173" s="383"/>
      <c r="D2173" s="381">
        <f t="shared" si="329"/>
        <v>0</v>
      </c>
      <c r="E2173" s="383"/>
      <c r="F2173" s="382"/>
      <c r="G2173" s="381">
        <f t="shared" si="330"/>
        <v>0</v>
      </c>
      <c r="H2173" s="383"/>
      <c r="I2173" s="383"/>
      <c r="J2173" s="381">
        <f t="shared" si="331"/>
        <v>0</v>
      </c>
      <c r="K2173" s="383"/>
      <c r="L2173" s="383"/>
      <c r="M2173" s="381">
        <f t="shared" si="332"/>
        <v>0</v>
      </c>
      <c r="N2173" s="383"/>
      <c r="O2173" s="383"/>
      <c r="P2173" s="381">
        <f t="shared" si="333"/>
        <v>0</v>
      </c>
      <c r="Q2173" s="383"/>
      <c r="R2173" s="383"/>
      <c r="S2173" s="25">
        <f t="shared" si="334"/>
        <v>0</v>
      </c>
      <c r="T2173" s="383"/>
      <c r="U2173" s="383"/>
      <c r="V2173" s="381">
        <f t="shared" si="335"/>
        <v>0</v>
      </c>
      <c r="W2173" s="383"/>
      <c r="X2173" s="383"/>
      <c r="Y2173" s="381">
        <f t="shared" si="336"/>
        <v>0</v>
      </c>
    </row>
    <row r="2174" spans="2:25" x14ac:dyDescent="0.2">
      <c r="B2174" s="383"/>
      <c r="C2174" s="383"/>
      <c r="D2174" s="381">
        <f t="shared" si="329"/>
        <v>0</v>
      </c>
      <c r="E2174" s="383"/>
      <c r="F2174" s="382"/>
      <c r="G2174" s="381">
        <f t="shared" si="330"/>
        <v>0</v>
      </c>
      <c r="H2174" s="383"/>
      <c r="I2174" s="383"/>
      <c r="J2174" s="381">
        <f t="shared" si="331"/>
        <v>0</v>
      </c>
      <c r="K2174" s="383"/>
      <c r="L2174" s="383"/>
      <c r="M2174" s="381">
        <f t="shared" si="332"/>
        <v>0</v>
      </c>
      <c r="N2174" s="383"/>
      <c r="O2174" s="383"/>
      <c r="P2174" s="381">
        <f t="shared" si="333"/>
        <v>0</v>
      </c>
      <c r="Q2174" s="383"/>
      <c r="R2174" s="383"/>
      <c r="S2174" s="25">
        <f t="shared" si="334"/>
        <v>0</v>
      </c>
      <c r="T2174" s="383"/>
      <c r="U2174" s="383"/>
      <c r="V2174" s="381">
        <f t="shared" si="335"/>
        <v>0</v>
      </c>
      <c r="W2174" s="383"/>
      <c r="X2174" s="383"/>
      <c r="Y2174" s="381">
        <f t="shared" si="336"/>
        <v>0</v>
      </c>
    </row>
    <row r="2175" spans="2:25" x14ac:dyDescent="0.2">
      <c r="B2175" s="383"/>
      <c r="C2175" s="383"/>
      <c r="D2175" s="381">
        <f t="shared" si="329"/>
        <v>0</v>
      </c>
      <c r="E2175" s="383"/>
      <c r="F2175" s="382"/>
      <c r="G2175" s="381">
        <f t="shared" si="330"/>
        <v>0</v>
      </c>
      <c r="H2175" s="383"/>
      <c r="I2175" s="383"/>
      <c r="J2175" s="381">
        <f t="shared" si="331"/>
        <v>0</v>
      </c>
      <c r="K2175" s="383"/>
      <c r="L2175" s="383"/>
      <c r="M2175" s="381">
        <f t="shared" si="332"/>
        <v>0</v>
      </c>
      <c r="N2175" s="383"/>
      <c r="O2175" s="383"/>
      <c r="P2175" s="381">
        <f t="shared" si="333"/>
        <v>0</v>
      </c>
      <c r="Q2175" s="383"/>
      <c r="R2175" s="383"/>
      <c r="S2175" s="25">
        <f t="shared" si="334"/>
        <v>0</v>
      </c>
      <c r="T2175" s="383"/>
      <c r="U2175" s="383"/>
      <c r="V2175" s="381">
        <f t="shared" si="335"/>
        <v>0</v>
      </c>
      <c r="W2175" s="383"/>
      <c r="X2175" s="383"/>
      <c r="Y2175" s="381">
        <f t="shared" si="336"/>
        <v>0</v>
      </c>
    </row>
    <row r="2176" spans="2:25" x14ac:dyDescent="0.2">
      <c r="B2176" s="383"/>
      <c r="C2176" s="383"/>
      <c r="D2176" s="381">
        <f t="shared" si="329"/>
        <v>0</v>
      </c>
      <c r="E2176" s="383"/>
      <c r="F2176" s="382"/>
      <c r="G2176" s="381">
        <f t="shared" si="330"/>
        <v>0</v>
      </c>
      <c r="H2176" s="383"/>
      <c r="I2176" s="383"/>
      <c r="J2176" s="381">
        <f t="shared" si="331"/>
        <v>0</v>
      </c>
      <c r="K2176" s="383"/>
      <c r="L2176" s="383"/>
      <c r="M2176" s="381">
        <f t="shared" si="332"/>
        <v>0</v>
      </c>
      <c r="N2176" s="383"/>
      <c r="O2176" s="383"/>
      <c r="P2176" s="381">
        <f t="shared" si="333"/>
        <v>0</v>
      </c>
      <c r="Q2176" s="383"/>
      <c r="R2176" s="383"/>
      <c r="S2176" s="25">
        <f t="shared" si="334"/>
        <v>0</v>
      </c>
      <c r="T2176" s="383"/>
      <c r="U2176" s="383"/>
      <c r="V2176" s="381">
        <f t="shared" si="335"/>
        <v>0</v>
      </c>
      <c r="W2176" s="383"/>
      <c r="X2176" s="383"/>
      <c r="Y2176" s="381">
        <f t="shared" si="336"/>
        <v>0</v>
      </c>
    </row>
    <row r="2177" spans="2:25" x14ac:dyDescent="0.2">
      <c r="B2177" s="383"/>
      <c r="C2177" s="383"/>
      <c r="D2177" s="381">
        <f t="shared" si="329"/>
        <v>0</v>
      </c>
      <c r="E2177" s="383"/>
      <c r="F2177" s="382"/>
      <c r="G2177" s="381">
        <f t="shared" si="330"/>
        <v>0</v>
      </c>
      <c r="H2177" s="383"/>
      <c r="I2177" s="383"/>
      <c r="J2177" s="381">
        <f t="shared" si="331"/>
        <v>0</v>
      </c>
      <c r="K2177" s="383"/>
      <c r="L2177" s="383"/>
      <c r="M2177" s="381">
        <f t="shared" si="332"/>
        <v>0</v>
      </c>
      <c r="N2177" s="383"/>
      <c r="O2177" s="383"/>
      <c r="P2177" s="381">
        <f t="shared" si="333"/>
        <v>0</v>
      </c>
      <c r="Q2177" s="383"/>
      <c r="R2177" s="383"/>
      <c r="S2177" s="25">
        <f t="shared" si="334"/>
        <v>0</v>
      </c>
      <c r="T2177" s="383"/>
      <c r="U2177" s="383"/>
      <c r="V2177" s="381">
        <f t="shared" si="335"/>
        <v>0</v>
      </c>
      <c r="W2177" s="383"/>
      <c r="X2177" s="383"/>
      <c r="Y2177" s="381">
        <f t="shared" si="336"/>
        <v>0</v>
      </c>
    </row>
    <row r="2178" spans="2:25" x14ac:dyDescent="0.2">
      <c r="B2178" s="383"/>
      <c r="C2178" s="383"/>
      <c r="D2178" s="381">
        <f t="shared" si="329"/>
        <v>0</v>
      </c>
      <c r="E2178" s="383"/>
      <c r="F2178" s="382"/>
      <c r="G2178" s="381">
        <f t="shared" si="330"/>
        <v>0</v>
      </c>
      <c r="H2178" s="383"/>
      <c r="I2178" s="383"/>
      <c r="J2178" s="381">
        <f t="shared" si="331"/>
        <v>0</v>
      </c>
      <c r="K2178" s="383"/>
      <c r="L2178" s="383"/>
      <c r="M2178" s="381">
        <f t="shared" si="332"/>
        <v>0</v>
      </c>
      <c r="N2178" s="383"/>
      <c r="O2178" s="383"/>
      <c r="P2178" s="381">
        <f t="shared" si="333"/>
        <v>0</v>
      </c>
      <c r="Q2178" s="383"/>
      <c r="R2178" s="383"/>
      <c r="S2178" s="25">
        <f t="shared" si="334"/>
        <v>0</v>
      </c>
      <c r="T2178" s="383"/>
      <c r="U2178" s="383"/>
      <c r="V2178" s="381">
        <f t="shared" si="335"/>
        <v>0</v>
      </c>
      <c r="W2178" s="383"/>
      <c r="X2178" s="383"/>
      <c r="Y2178" s="381">
        <f t="shared" si="336"/>
        <v>0</v>
      </c>
    </row>
    <row r="2179" spans="2:25" x14ac:dyDescent="0.2">
      <c r="B2179" s="383"/>
      <c r="C2179" s="383"/>
      <c r="D2179" s="381">
        <f t="shared" si="329"/>
        <v>0</v>
      </c>
      <c r="E2179" s="383"/>
      <c r="F2179" s="382"/>
      <c r="G2179" s="381">
        <f t="shared" si="330"/>
        <v>0</v>
      </c>
      <c r="H2179" s="383"/>
      <c r="I2179" s="383"/>
      <c r="J2179" s="381">
        <f t="shared" si="331"/>
        <v>0</v>
      </c>
      <c r="K2179" s="383"/>
      <c r="L2179" s="383"/>
      <c r="M2179" s="381">
        <f t="shared" si="332"/>
        <v>0</v>
      </c>
      <c r="N2179" s="383"/>
      <c r="O2179" s="383"/>
      <c r="P2179" s="381">
        <f t="shared" si="333"/>
        <v>0</v>
      </c>
      <c r="Q2179" s="383"/>
      <c r="R2179" s="383"/>
      <c r="S2179" s="25">
        <f t="shared" si="334"/>
        <v>0</v>
      </c>
      <c r="T2179" s="383"/>
      <c r="U2179" s="383"/>
      <c r="V2179" s="381">
        <f t="shared" si="335"/>
        <v>0</v>
      </c>
      <c r="W2179" s="383"/>
      <c r="X2179" s="383"/>
      <c r="Y2179" s="381">
        <f t="shared" si="336"/>
        <v>0</v>
      </c>
    </row>
    <row r="2180" spans="2:25" x14ac:dyDescent="0.2">
      <c r="B2180" s="383"/>
      <c r="C2180" s="383"/>
      <c r="D2180" s="381">
        <f t="shared" si="329"/>
        <v>0</v>
      </c>
      <c r="E2180" s="383"/>
      <c r="F2180" s="382"/>
      <c r="G2180" s="381">
        <f t="shared" si="330"/>
        <v>0</v>
      </c>
      <c r="H2180" s="383"/>
      <c r="I2180" s="383"/>
      <c r="J2180" s="381">
        <f t="shared" si="331"/>
        <v>0</v>
      </c>
      <c r="K2180" s="383"/>
      <c r="L2180" s="383"/>
      <c r="M2180" s="381">
        <f t="shared" si="332"/>
        <v>0</v>
      </c>
      <c r="N2180" s="383"/>
      <c r="O2180" s="383"/>
      <c r="P2180" s="381">
        <f t="shared" si="333"/>
        <v>0</v>
      </c>
      <c r="Q2180" s="383"/>
      <c r="R2180" s="383"/>
      <c r="S2180" s="25">
        <f t="shared" si="334"/>
        <v>0</v>
      </c>
      <c r="T2180" s="383"/>
      <c r="U2180" s="383"/>
      <c r="V2180" s="381">
        <f t="shared" si="335"/>
        <v>0</v>
      </c>
      <c r="W2180" s="383"/>
      <c r="X2180" s="383"/>
      <c r="Y2180" s="381">
        <f t="shared" si="336"/>
        <v>0</v>
      </c>
    </row>
    <row r="2181" spans="2:25" x14ac:dyDescent="0.2">
      <c r="B2181" s="383"/>
      <c r="C2181" s="383"/>
      <c r="D2181" s="381">
        <f t="shared" si="329"/>
        <v>0</v>
      </c>
      <c r="E2181" s="383"/>
      <c r="F2181" s="382"/>
      <c r="G2181" s="381">
        <f t="shared" si="330"/>
        <v>0</v>
      </c>
      <c r="H2181" s="383"/>
      <c r="I2181" s="383"/>
      <c r="J2181" s="381">
        <f t="shared" si="331"/>
        <v>0</v>
      </c>
      <c r="K2181" s="383"/>
      <c r="L2181" s="383"/>
      <c r="M2181" s="381">
        <f t="shared" si="332"/>
        <v>0</v>
      </c>
      <c r="N2181" s="383"/>
      <c r="O2181" s="383"/>
      <c r="P2181" s="381">
        <f t="shared" si="333"/>
        <v>0</v>
      </c>
      <c r="Q2181" s="383"/>
      <c r="R2181" s="383"/>
      <c r="S2181" s="25">
        <f t="shared" si="334"/>
        <v>0</v>
      </c>
      <c r="T2181" s="383"/>
      <c r="U2181" s="383"/>
      <c r="V2181" s="381">
        <f t="shared" si="335"/>
        <v>0</v>
      </c>
      <c r="W2181" s="383"/>
      <c r="X2181" s="383"/>
      <c r="Y2181" s="381">
        <f t="shared" si="336"/>
        <v>0</v>
      </c>
    </row>
    <row r="2182" spans="2:25" x14ac:dyDescent="0.2">
      <c r="B2182" s="383"/>
      <c r="C2182" s="383"/>
      <c r="D2182" s="381">
        <f t="shared" si="329"/>
        <v>0</v>
      </c>
      <c r="E2182" s="383"/>
      <c r="F2182" s="382"/>
      <c r="G2182" s="381">
        <f t="shared" si="330"/>
        <v>0</v>
      </c>
      <c r="H2182" s="383"/>
      <c r="I2182" s="383"/>
      <c r="J2182" s="381">
        <f t="shared" si="331"/>
        <v>0</v>
      </c>
      <c r="K2182" s="383"/>
      <c r="L2182" s="383"/>
      <c r="M2182" s="381">
        <f t="shared" si="332"/>
        <v>0</v>
      </c>
      <c r="N2182" s="383"/>
      <c r="O2182" s="383"/>
      <c r="P2182" s="381">
        <f t="shared" si="333"/>
        <v>0</v>
      </c>
      <c r="Q2182" s="383"/>
      <c r="R2182" s="383"/>
      <c r="S2182" s="25">
        <f t="shared" si="334"/>
        <v>0</v>
      </c>
      <c r="T2182" s="383"/>
      <c r="U2182" s="383"/>
      <c r="V2182" s="381">
        <f t="shared" si="335"/>
        <v>0</v>
      </c>
      <c r="W2182" s="383"/>
      <c r="X2182" s="383"/>
      <c r="Y2182" s="381">
        <f t="shared" si="336"/>
        <v>0</v>
      </c>
    </row>
    <row r="2183" spans="2:25" x14ac:dyDescent="0.2">
      <c r="B2183" s="383"/>
      <c r="C2183" s="383"/>
      <c r="D2183" s="381">
        <f t="shared" si="329"/>
        <v>0</v>
      </c>
      <c r="E2183" s="383"/>
      <c r="F2183" s="382"/>
      <c r="G2183" s="381">
        <f t="shared" si="330"/>
        <v>0</v>
      </c>
      <c r="H2183" s="383"/>
      <c r="I2183" s="383"/>
      <c r="J2183" s="381">
        <f t="shared" si="331"/>
        <v>0</v>
      </c>
      <c r="K2183" s="383"/>
      <c r="L2183" s="383"/>
      <c r="M2183" s="381">
        <f t="shared" si="332"/>
        <v>0</v>
      </c>
      <c r="N2183" s="383"/>
      <c r="O2183" s="383"/>
      <c r="P2183" s="381">
        <f t="shared" si="333"/>
        <v>0</v>
      </c>
      <c r="Q2183" s="383"/>
      <c r="R2183" s="383"/>
      <c r="S2183" s="25">
        <f t="shared" si="334"/>
        <v>0</v>
      </c>
      <c r="T2183" s="383"/>
      <c r="U2183" s="383"/>
      <c r="V2183" s="381">
        <f t="shared" si="335"/>
        <v>0</v>
      </c>
      <c r="W2183" s="383"/>
      <c r="X2183" s="383"/>
      <c r="Y2183" s="381">
        <f t="shared" si="336"/>
        <v>0</v>
      </c>
    </row>
    <row r="2184" spans="2:25" x14ac:dyDescent="0.2">
      <c r="B2184" s="383"/>
      <c r="C2184" s="383"/>
      <c r="D2184" s="381">
        <f t="shared" si="329"/>
        <v>0</v>
      </c>
      <c r="E2184" s="383"/>
      <c r="F2184" s="382"/>
      <c r="G2184" s="381">
        <f t="shared" si="330"/>
        <v>0</v>
      </c>
      <c r="H2184" s="383"/>
      <c r="I2184" s="383"/>
      <c r="J2184" s="381">
        <f t="shared" si="331"/>
        <v>0</v>
      </c>
      <c r="K2184" s="383"/>
      <c r="L2184" s="383"/>
      <c r="M2184" s="381">
        <f t="shared" si="332"/>
        <v>0</v>
      </c>
      <c r="N2184" s="383"/>
      <c r="O2184" s="383"/>
      <c r="P2184" s="381">
        <f t="shared" si="333"/>
        <v>0</v>
      </c>
      <c r="Q2184" s="383"/>
      <c r="R2184" s="383"/>
      <c r="S2184" s="25">
        <f t="shared" si="334"/>
        <v>0</v>
      </c>
      <c r="T2184" s="383"/>
      <c r="U2184" s="383"/>
      <c r="V2184" s="381">
        <f t="shared" si="335"/>
        <v>0</v>
      </c>
      <c r="W2184" s="383"/>
      <c r="X2184" s="383"/>
      <c r="Y2184" s="381">
        <f t="shared" si="336"/>
        <v>0</v>
      </c>
    </row>
    <row r="2185" spans="2:25" x14ac:dyDescent="0.2">
      <c r="B2185" s="383"/>
      <c r="C2185" s="383"/>
      <c r="D2185" s="381">
        <f t="shared" si="329"/>
        <v>0</v>
      </c>
      <c r="E2185" s="383"/>
      <c r="F2185" s="382"/>
      <c r="G2185" s="381">
        <f t="shared" si="330"/>
        <v>0</v>
      </c>
      <c r="H2185" s="383"/>
      <c r="I2185" s="383"/>
      <c r="J2185" s="381">
        <f t="shared" si="331"/>
        <v>0</v>
      </c>
      <c r="K2185" s="383"/>
      <c r="L2185" s="383"/>
      <c r="M2185" s="381">
        <f t="shared" si="332"/>
        <v>0</v>
      </c>
      <c r="N2185" s="383"/>
      <c r="O2185" s="383"/>
      <c r="P2185" s="381">
        <f t="shared" si="333"/>
        <v>0</v>
      </c>
      <c r="Q2185" s="383"/>
      <c r="R2185" s="383"/>
      <c r="S2185" s="25">
        <f t="shared" si="334"/>
        <v>0</v>
      </c>
      <c r="T2185" s="383"/>
      <c r="U2185" s="383"/>
      <c r="V2185" s="381">
        <f t="shared" si="335"/>
        <v>0</v>
      </c>
      <c r="W2185" s="383"/>
      <c r="X2185" s="383"/>
      <c r="Y2185" s="381">
        <f t="shared" si="336"/>
        <v>0</v>
      </c>
    </row>
    <row r="2186" spans="2:25" x14ac:dyDescent="0.2">
      <c r="B2186" s="383"/>
      <c r="C2186" s="383"/>
      <c r="D2186" s="381">
        <f t="shared" si="329"/>
        <v>0</v>
      </c>
      <c r="E2186" s="383"/>
      <c r="F2186" s="382"/>
      <c r="G2186" s="381">
        <f t="shared" si="330"/>
        <v>0</v>
      </c>
      <c r="H2186" s="383"/>
      <c r="I2186" s="383"/>
      <c r="J2186" s="381">
        <f t="shared" si="331"/>
        <v>0</v>
      </c>
      <c r="K2186" s="383"/>
      <c r="L2186" s="383"/>
      <c r="M2186" s="381">
        <f t="shared" si="332"/>
        <v>0</v>
      </c>
      <c r="N2186" s="383"/>
      <c r="O2186" s="383"/>
      <c r="P2186" s="381">
        <f t="shared" si="333"/>
        <v>0</v>
      </c>
      <c r="Q2186" s="383"/>
      <c r="R2186" s="383"/>
      <c r="S2186" s="25">
        <f t="shared" si="334"/>
        <v>0</v>
      </c>
      <c r="T2186" s="383"/>
      <c r="U2186" s="383"/>
      <c r="V2186" s="381">
        <f t="shared" si="335"/>
        <v>0</v>
      </c>
      <c r="W2186" s="383"/>
      <c r="X2186" s="383"/>
      <c r="Y2186" s="381">
        <f t="shared" si="336"/>
        <v>0</v>
      </c>
    </row>
    <row r="2187" spans="2:25" x14ac:dyDescent="0.2">
      <c r="B2187" s="383"/>
      <c r="C2187" s="383"/>
      <c r="D2187" s="381">
        <f t="shared" si="329"/>
        <v>0</v>
      </c>
      <c r="E2187" s="383"/>
      <c r="F2187" s="382"/>
      <c r="G2187" s="381">
        <f t="shared" si="330"/>
        <v>0</v>
      </c>
      <c r="H2187" s="383"/>
      <c r="I2187" s="383"/>
      <c r="J2187" s="381">
        <f t="shared" si="331"/>
        <v>0</v>
      </c>
      <c r="K2187" s="383"/>
      <c r="L2187" s="383"/>
      <c r="M2187" s="381">
        <f t="shared" si="332"/>
        <v>0</v>
      </c>
      <c r="N2187" s="383"/>
      <c r="O2187" s="383"/>
      <c r="P2187" s="381">
        <f t="shared" si="333"/>
        <v>0</v>
      </c>
      <c r="Q2187" s="383"/>
      <c r="R2187" s="383"/>
      <c r="S2187" s="25">
        <f t="shared" si="334"/>
        <v>0</v>
      </c>
      <c r="T2187" s="383"/>
      <c r="U2187" s="383"/>
      <c r="V2187" s="381">
        <f t="shared" si="335"/>
        <v>0</v>
      </c>
      <c r="W2187" s="383"/>
      <c r="X2187" s="383"/>
      <c r="Y2187" s="381">
        <f t="shared" si="336"/>
        <v>0</v>
      </c>
    </row>
    <row r="2188" spans="2:25" x14ac:dyDescent="0.2">
      <c r="B2188" s="383"/>
      <c r="C2188" s="383"/>
      <c r="D2188" s="381">
        <f t="shared" si="329"/>
        <v>0</v>
      </c>
      <c r="E2188" s="383"/>
      <c r="F2188" s="382"/>
      <c r="G2188" s="381">
        <f t="shared" si="330"/>
        <v>0</v>
      </c>
      <c r="H2188" s="383"/>
      <c r="I2188" s="383"/>
      <c r="J2188" s="381">
        <f t="shared" si="331"/>
        <v>0</v>
      </c>
      <c r="K2188" s="383"/>
      <c r="L2188" s="383"/>
      <c r="M2188" s="381">
        <f t="shared" si="332"/>
        <v>0</v>
      </c>
      <c r="N2188" s="383"/>
      <c r="O2188" s="383"/>
      <c r="P2188" s="381">
        <f t="shared" si="333"/>
        <v>0</v>
      </c>
      <c r="Q2188" s="383"/>
      <c r="R2188" s="383"/>
      <c r="S2188" s="25">
        <f t="shared" si="334"/>
        <v>0</v>
      </c>
      <c r="T2188" s="383"/>
      <c r="U2188" s="383"/>
      <c r="V2188" s="381">
        <f t="shared" si="335"/>
        <v>0</v>
      </c>
      <c r="W2188" s="383"/>
      <c r="X2188" s="383"/>
      <c r="Y2188" s="381">
        <f t="shared" si="336"/>
        <v>0</v>
      </c>
    </row>
    <row r="2189" spans="2:25" x14ac:dyDescent="0.2">
      <c r="B2189" s="383"/>
      <c r="C2189" s="383"/>
      <c r="D2189" s="381">
        <f t="shared" si="329"/>
        <v>0</v>
      </c>
      <c r="E2189" s="383"/>
      <c r="F2189" s="382"/>
      <c r="G2189" s="381">
        <f t="shared" si="330"/>
        <v>0</v>
      </c>
      <c r="H2189" s="383"/>
      <c r="I2189" s="383"/>
      <c r="J2189" s="381">
        <f t="shared" si="331"/>
        <v>0</v>
      </c>
      <c r="K2189" s="383"/>
      <c r="L2189" s="383"/>
      <c r="M2189" s="381">
        <f t="shared" si="332"/>
        <v>0</v>
      </c>
      <c r="N2189" s="383"/>
      <c r="O2189" s="383"/>
      <c r="P2189" s="381">
        <f t="shared" si="333"/>
        <v>0</v>
      </c>
      <c r="Q2189" s="383"/>
      <c r="R2189" s="383"/>
      <c r="S2189" s="25">
        <f t="shared" si="334"/>
        <v>0</v>
      </c>
      <c r="T2189" s="383"/>
      <c r="U2189" s="383"/>
      <c r="V2189" s="381">
        <f t="shared" si="335"/>
        <v>0</v>
      </c>
      <c r="W2189" s="383"/>
      <c r="X2189" s="383"/>
      <c r="Y2189" s="381">
        <f t="shared" si="336"/>
        <v>0</v>
      </c>
    </row>
    <row r="2190" spans="2:25" x14ac:dyDescent="0.2">
      <c r="B2190" s="383"/>
      <c r="C2190" s="383"/>
      <c r="D2190" s="381">
        <f t="shared" si="329"/>
        <v>0</v>
      </c>
      <c r="E2190" s="383"/>
      <c r="F2190" s="382"/>
      <c r="G2190" s="381">
        <f t="shared" si="330"/>
        <v>0</v>
      </c>
      <c r="H2190" s="383"/>
      <c r="I2190" s="383"/>
      <c r="J2190" s="381">
        <f t="shared" si="331"/>
        <v>0</v>
      </c>
      <c r="K2190" s="383"/>
      <c r="L2190" s="383"/>
      <c r="M2190" s="381">
        <f t="shared" si="332"/>
        <v>0</v>
      </c>
      <c r="N2190" s="383"/>
      <c r="O2190" s="383"/>
      <c r="P2190" s="381">
        <f t="shared" si="333"/>
        <v>0</v>
      </c>
      <c r="Q2190" s="383"/>
      <c r="R2190" s="383"/>
      <c r="S2190" s="25">
        <f t="shared" si="334"/>
        <v>0</v>
      </c>
      <c r="T2190" s="383"/>
      <c r="U2190" s="383"/>
      <c r="V2190" s="381">
        <f t="shared" si="335"/>
        <v>0</v>
      </c>
      <c r="W2190" s="383"/>
      <c r="X2190" s="383"/>
      <c r="Y2190" s="381">
        <f t="shared" si="336"/>
        <v>0</v>
      </c>
    </row>
    <row r="2191" spans="2:25" x14ac:dyDescent="0.2">
      <c r="B2191" s="383"/>
      <c r="C2191" s="383"/>
      <c r="D2191" s="381">
        <f t="shared" si="329"/>
        <v>0</v>
      </c>
      <c r="E2191" s="383"/>
      <c r="F2191" s="382"/>
      <c r="G2191" s="381">
        <f t="shared" si="330"/>
        <v>0</v>
      </c>
      <c r="H2191" s="383"/>
      <c r="I2191" s="383"/>
      <c r="J2191" s="381">
        <f t="shared" si="331"/>
        <v>0</v>
      </c>
      <c r="K2191" s="383"/>
      <c r="L2191" s="383"/>
      <c r="M2191" s="381">
        <f t="shared" si="332"/>
        <v>0</v>
      </c>
      <c r="N2191" s="383"/>
      <c r="O2191" s="383"/>
      <c r="P2191" s="381">
        <f t="shared" si="333"/>
        <v>0</v>
      </c>
      <c r="Q2191" s="383"/>
      <c r="R2191" s="383"/>
      <c r="S2191" s="25">
        <f t="shared" si="334"/>
        <v>0</v>
      </c>
      <c r="T2191" s="383"/>
      <c r="U2191" s="383"/>
      <c r="V2191" s="381">
        <f t="shared" si="335"/>
        <v>0</v>
      </c>
      <c r="W2191" s="383"/>
      <c r="X2191" s="383"/>
      <c r="Y2191" s="381">
        <f t="shared" si="336"/>
        <v>0</v>
      </c>
    </row>
    <row r="2192" spans="2:25" x14ac:dyDescent="0.2">
      <c r="B2192" s="383"/>
      <c r="C2192" s="383"/>
      <c r="D2192" s="381">
        <f t="shared" si="329"/>
        <v>0</v>
      </c>
      <c r="E2192" s="383"/>
      <c r="F2192" s="382"/>
      <c r="G2192" s="381">
        <f t="shared" si="330"/>
        <v>0</v>
      </c>
      <c r="H2192" s="383"/>
      <c r="I2192" s="383"/>
      <c r="J2192" s="381">
        <f t="shared" si="331"/>
        <v>0</v>
      </c>
      <c r="K2192" s="383"/>
      <c r="L2192" s="383"/>
      <c r="M2192" s="381">
        <f t="shared" si="332"/>
        <v>0</v>
      </c>
      <c r="N2192" s="383"/>
      <c r="O2192" s="383"/>
      <c r="P2192" s="381">
        <f t="shared" si="333"/>
        <v>0</v>
      </c>
      <c r="Q2192" s="383"/>
      <c r="R2192" s="383"/>
      <c r="S2192" s="25">
        <f t="shared" si="334"/>
        <v>0</v>
      </c>
      <c r="T2192" s="383"/>
      <c r="U2192" s="383"/>
      <c r="V2192" s="381">
        <f t="shared" si="335"/>
        <v>0</v>
      </c>
      <c r="W2192" s="383"/>
      <c r="X2192" s="383"/>
      <c r="Y2192" s="381">
        <f t="shared" si="336"/>
        <v>0</v>
      </c>
    </row>
    <row r="2193" spans="2:25" x14ac:dyDescent="0.2">
      <c r="B2193" s="383"/>
      <c r="C2193" s="383"/>
      <c r="D2193" s="381">
        <f t="shared" si="329"/>
        <v>0</v>
      </c>
      <c r="E2193" s="383"/>
      <c r="F2193" s="382"/>
      <c r="G2193" s="381">
        <f t="shared" si="330"/>
        <v>0</v>
      </c>
      <c r="H2193" s="383"/>
      <c r="I2193" s="383"/>
      <c r="J2193" s="381">
        <f t="shared" si="331"/>
        <v>0</v>
      </c>
      <c r="K2193" s="383"/>
      <c r="L2193" s="383"/>
      <c r="M2193" s="381">
        <f t="shared" si="332"/>
        <v>0</v>
      </c>
      <c r="N2193" s="383"/>
      <c r="O2193" s="383"/>
      <c r="P2193" s="381">
        <f t="shared" si="333"/>
        <v>0</v>
      </c>
      <c r="Q2193" s="383"/>
      <c r="R2193" s="383"/>
      <c r="S2193" s="25">
        <f t="shared" si="334"/>
        <v>0</v>
      </c>
      <c r="T2193" s="383"/>
      <c r="U2193" s="383"/>
      <c r="V2193" s="381">
        <f t="shared" si="335"/>
        <v>0</v>
      </c>
      <c r="W2193" s="383"/>
      <c r="X2193" s="383"/>
      <c r="Y2193" s="381">
        <f t="shared" si="336"/>
        <v>0</v>
      </c>
    </row>
    <row r="2194" spans="2:25" x14ac:dyDescent="0.2">
      <c r="B2194" s="383"/>
      <c r="C2194" s="383"/>
      <c r="D2194" s="381">
        <f t="shared" ref="D2194" si="337">C2194</f>
        <v>0</v>
      </c>
      <c r="E2194" s="383"/>
      <c r="F2194" s="382"/>
      <c r="G2194" s="381">
        <f t="shared" ref="G2194" si="338">F2194+$AB$2</f>
        <v>0</v>
      </c>
      <c r="H2194" s="383"/>
      <c r="I2194" s="383"/>
      <c r="J2194" s="381">
        <f t="shared" ref="J2194" si="339">I2194+$AB$3</f>
        <v>0</v>
      </c>
      <c r="K2194" s="383"/>
      <c r="L2194" s="383"/>
      <c r="M2194" s="381">
        <f t="shared" ref="M2194" si="340">L2194+$AB$4</f>
        <v>0</v>
      </c>
      <c r="N2194" s="383"/>
      <c r="O2194" s="383"/>
      <c r="P2194" s="381">
        <f t="shared" ref="P2194" si="341">O2194+$AB$5</f>
        <v>0</v>
      </c>
      <c r="Q2194" s="383"/>
      <c r="R2194" s="383"/>
      <c r="S2194" s="25">
        <f t="shared" ref="S2194" si="342">R2194+$AB$6</f>
        <v>0</v>
      </c>
      <c r="T2194" s="383"/>
      <c r="U2194" s="383"/>
      <c r="V2194" s="381">
        <f t="shared" ref="V2194" si="343">U2194+$AB$7</f>
        <v>0</v>
      </c>
      <c r="W2194" s="383"/>
      <c r="X2194" s="383"/>
      <c r="Y2194" s="381">
        <f t="shared" ref="Y2194" si="344">X2194+$AB$8</f>
        <v>0</v>
      </c>
    </row>
    <row r="2195" spans="2:25" x14ac:dyDescent="0.2">
      <c r="B2195" s="383"/>
      <c r="C2195" s="383"/>
      <c r="D2195" s="383"/>
      <c r="E2195" s="383"/>
      <c r="F2195" s="382"/>
      <c r="G2195" s="383"/>
      <c r="H2195" s="383"/>
      <c r="I2195" s="383"/>
      <c r="J2195" s="383"/>
      <c r="K2195" s="383"/>
      <c r="L2195" s="383"/>
      <c r="M2195" s="383"/>
      <c r="N2195" s="383"/>
      <c r="O2195" s="383"/>
      <c r="P2195" s="383"/>
      <c r="Q2195" s="383"/>
      <c r="R2195" s="383"/>
      <c r="S2195" s="383"/>
      <c r="T2195" s="383"/>
      <c r="U2195" s="383"/>
      <c r="V2195" s="383"/>
      <c r="W2195" s="383"/>
      <c r="X2195" s="383"/>
      <c r="Y2195" s="383"/>
    </row>
  </sheetData>
  <mergeCells count="9">
    <mergeCell ref="T1:V2"/>
    <mergeCell ref="W1:Y2"/>
    <mergeCell ref="AA1:AB1"/>
    <mergeCell ref="B1:D2"/>
    <mergeCell ref="E1:G2"/>
    <mergeCell ref="H1:J2"/>
    <mergeCell ref="K1:M2"/>
    <mergeCell ref="N1:P2"/>
    <mergeCell ref="Q1:S2"/>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T163"/>
  <sheetViews>
    <sheetView topLeftCell="A12" workbookViewId="0">
      <selection activeCell="I25" sqref="I25"/>
    </sheetView>
  </sheetViews>
  <sheetFormatPr baseColWidth="10" defaultRowHeight="15" x14ac:dyDescent="0.2"/>
  <cols>
    <col min="1" max="1" width="5.7109375" style="286" customWidth="1"/>
    <col min="2" max="2" width="33.28515625" style="286" customWidth="1"/>
    <col min="3" max="3" width="26.42578125" style="286" customWidth="1"/>
    <col min="4" max="4" width="23.5703125" style="286" customWidth="1"/>
    <col min="5" max="5" width="20.85546875" style="286" customWidth="1"/>
    <col min="6" max="6" width="19.28515625" style="286" customWidth="1"/>
    <col min="7" max="7" width="23.5703125" style="286" customWidth="1"/>
    <col min="8" max="8" width="13" style="286" customWidth="1"/>
    <col min="9" max="10" width="12.7109375" style="286" customWidth="1"/>
    <col min="11" max="11" width="10.7109375" style="286" customWidth="1"/>
    <col min="12" max="12" width="13" style="286" customWidth="1"/>
    <col min="13" max="13" width="11.42578125" style="286"/>
    <col min="14" max="14" width="12.140625" style="286" bestFit="1" customWidth="1"/>
    <col min="15" max="19" width="11.42578125" style="288"/>
    <col min="20" max="20" width="14.85546875" style="288" customWidth="1"/>
    <col min="21" max="40" width="11.42578125" style="288"/>
    <col min="41" max="43" width="20.5703125" style="373" customWidth="1"/>
    <col min="44" max="46" width="11.42578125" style="288"/>
    <col min="47" max="16384" width="11.42578125" style="286"/>
  </cols>
  <sheetData>
    <row r="1" spans="1:46" s="42" customFormat="1" ht="21.95" customHeight="1" x14ac:dyDescent="0.2">
      <c r="A1" s="532"/>
      <c r="B1" s="533"/>
      <c r="C1" s="546" t="s">
        <v>119</v>
      </c>
      <c r="D1" s="546"/>
      <c r="E1" s="546"/>
      <c r="F1" s="546"/>
      <c r="G1" s="546"/>
      <c r="H1" s="546"/>
      <c r="I1" s="710" t="s">
        <v>197</v>
      </c>
      <c r="J1" s="711"/>
      <c r="K1" s="712"/>
      <c r="N1" s="67"/>
      <c r="O1" s="231"/>
      <c r="P1" s="231"/>
      <c r="Q1" s="231"/>
      <c r="R1" s="231"/>
      <c r="S1" s="231"/>
      <c r="T1" s="231"/>
      <c r="U1" s="231"/>
      <c r="V1" s="231"/>
      <c r="W1" s="231"/>
      <c r="X1" s="231"/>
      <c r="Y1" s="231"/>
      <c r="Z1" s="231"/>
      <c r="AA1" s="231"/>
      <c r="AB1" s="231"/>
      <c r="AC1" s="231"/>
      <c r="AD1" s="231"/>
      <c r="AE1" s="231"/>
      <c r="AF1" s="231"/>
      <c r="AG1" s="231"/>
      <c r="AH1" s="231"/>
      <c r="AI1" s="231"/>
      <c r="AJ1" s="231"/>
      <c r="AK1" s="231"/>
      <c r="AL1" s="231"/>
      <c r="AM1" s="231"/>
      <c r="AN1" s="231"/>
      <c r="AO1" s="713" t="s">
        <v>198</v>
      </c>
      <c r="AP1" s="713"/>
      <c r="AQ1" s="713"/>
      <c r="AR1" s="231"/>
      <c r="AS1" s="231"/>
      <c r="AT1" s="231"/>
    </row>
    <row r="2" spans="1:46" s="42" customFormat="1" ht="21.95" customHeight="1" x14ac:dyDescent="0.2">
      <c r="A2" s="534"/>
      <c r="B2" s="528"/>
      <c r="C2" s="714" t="s">
        <v>199</v>
      </c>
      <c r="D2" s="714"/>
      <c r="E2" s="714"/>
      <c r="F2" s="714"/>
      <c r="G2" s="714"/>
      <c r="H2" s="714"/>
      <c r="I2" s="716" t="s">
        <v>200</v>
      </c>
      <c r="J2" s="717"/>
      <c r="K2" s="718"/>
      <c r="N2" s="67"/>
      <c r="O2" s="231"/>
      <c r="P2" s="231"/>
      <c r="Q2" s="231"/>
      <c r="R2" s="231"/>
      <c r="S2" s="231"/>
      <c r="T2" s="231"/>
      <c r="U2" s="231"/>
      <c r="V2" s="231"/>
      <c r="W2" s="231"/>
      <c r="X2" s="231"/>
      <c r="Y2" s="231"/>
      <c r="Z2" s="231"/>
      <c r="AA2" s="231"/>
      <c r="AB2" s="231"/>
      <c r="AC2" s="231"/>
      <c r="AD2" s="231"/>
      <c r="AE2" s="231"/>
      <c r="AF2" s="231"/>
      <c r="AG2" s="231"/>
      <c r="AH2" s="231"/>
      <c r="AI2" s="231"/>
      <c r="AJ2" s="231"/>
      <c r="AK2" s="231"/>
      <c r="AL2" s="231"/>
      <c r="AM2" s="231"/>
      <c r="AN2" s="231"/>
      <c r="AO2" s="270"/>
      <c r="AP2" s="270"/>
      <c r="AQ2" s="270"/>
      <c r="AR2" s="231"/>
      <c r="AS2" s="231"/>
      <c r="AT2" s="231"/>
    </row>
    <row r="3" spans="1:46" s="42" customFormat="1" ht="21.95" customHeight="1" x14ac:dyDescent="0.25">
      <c r="A3" s="534"/>
      <c r="B3" s="528"/>
      <c r="C3" s="714"/>
      <c r="D3" s="714"/>
      <c r="E3" s="714"/>
      <c r="F3" s="714"/>
      <c r="G3" s="714"/>
      <c r="H3" s="714"/>
      <c r="I3" s="716" t="s">
        <v>201</v>
      </c>
      <c r="J3" s="717" t="s">
        <v>202</v>
      </c>
      <c r="K3" s="718"/>
      <c r="M3" s="238" t="s">
        <v>124</v>
      </c>
      <c r="N3" s="238"/>
      <c r="O3" s="231"/>
      <c r="P3" s="231"/>
      <c r="Q3" s="231"/>
      <c r="R3" s="231"/>
      <c r="S3" s="231"/>
      <c r="T3" s="231"/>
      <c r="U3" s="231"/>
      <c r="V3" s="231"/>
      <c r="W3" s="231"/>
      <c r="X3" s="231"/>
      <c r="Y3" s="231"/>
      <c r="Z3" s="231"/>
      <c r="AA3" s="231"/>
      <c r="AB3" s="231"/>
      <c r="AC3" s="231"/>
      <c r="AD3" s="231"/>
      <c r="AE3" s="231"/>
      <c r="AF3" s="231"/>
      <c r="AG3" s="719" t="s">
        <v>124</v>
      </c>
      <c r="AH3" s="719"/>
      <c r="AI3" s="719"/>
      <c r="AJ3" s="719"/>
      <c r="AK3" s="231"/>
      <c r="AL3" s="231"/>
      <c r="AM3" s="231"/>
      <c r="AN3" s="231"/>
      <c r="AO3" s="271" t="s">
        <v>203</v>
      </c>
      <c r="AP3" s="271" t="s">
        <v>204</v>
      </c>
      <c r="AQ3" s="271" t="s">
        <v>205</v>
      </c>
      <c r="AR3" s="231"/>
      <c r="AS3" s="231"/>
      <c r="AT3" s="231"/>
    </row>
    <row r="4" spans="1:46" s="42" customFormat="1" ht="21.95" customHeight="1" thickBot="1" x14ac:dyDescent="0.25">
      <c r="A4" s="535"/>
      <c r="B4" s="536"/>
      <c r="C4" s="715"/>
      <c r="D4" s="715"/>
      <c r="E4" s="715"/>
      <c r="F4" s="715"/>
      <c r="G4" s="715"/>
      <c r="H4" s="715"/>
      <c r="I4" s="720" t="s">
        <v>186</v>
      </c>
      <c r="J4" s="721"/>
      <c r="K4" s="722"/>
      <c r="M4" s="238"/>
      <c r="N4" s="238"/>
      <c r="O4" s="231"/>
      <c r="P4" s="231"/>
      <c r="Q4" s="231"/>
      <c r="R4" s="231"/>
      <c r="S4" s="231"/>
      <c r="T4" s="231"/>
      <c r="U4" s="231"/>
      <c r="V4" s="231"/>
      <c r="W4" s="231"/>
      <c r="X4" s="231"/>
      <c r="Y4" s="231"/>
      <c r="Z4" s="231"/>
      <c r="AA4" s="231"/>
      <c r="AB4" s="231"/>
      <c r="AC4" s="231"/>
      <c r="AD4" s="231"/>
      <c r="AE4" s="231"/>
      <c r="AF4" s="231"/>
      <c r="AG4" s="719"/>
      <c r="AH4" s="719"/>
      <c r="AI4" s="719"/>
      <c r="AJ4" s="719"/>
      <c r="AK4" s="231"/>
      <c r="AL4" s="231"/>
      <c r="AM4" s="231"/>
      <c r="AN4" s="231"/>
      <c r="AO4" s="272">
        <v>15</v>
      </c>
      <c r="AP4" s="273">
        <v>0.99909999999999999</v>
      </c>
      <c r="AQ4" s="273">
        <v>1.0008999999999999</v>
      </c>
      <c r="AR4" s="231"/>
      <c r="AS4" s="231"/>
      <c r="AT4" s="231"/>
    </row>
    <row r="5" spans="1:46" s="42" customFormat="1" ht="5.0999999999999996" customHeight="1" thickBot="1" x14ac:dyDescent="0.25">
      <c r="A5" s="38"/>
      <c r="B5" s="528"/>
      <c r="C5" s="528"/>
      <c r="D5" s="528"/>
      <c r="E5" s="528"/>
      <c r="F5" s="528"/>
      <c r="G5" s="528"/>
      <c r="H5" s="528"/>
      <c r="I5" s="528"/>
      <c r="J5" s="528"/>
      <c r="K5" s="274"/>
      <c r="N5" s="238"/>
      <c r="O5" s="231"/>
      <c r="P5" s="231"/>
      <c r="Q5" s="231"/>
      <c r="R5" s="231"/>
      <c r="S5" s="231"/>
      <c r="T5" s="231"/>
      <c r="U5" s="231"/>
      <c r="V5" s="231"/>
      <c r="W5" s="231"/>
      <c r="X5" s="231"/>
      <c r="Y5" s="231"/>
      <c r="Z5" s="231"/>
      <c r="AA5" s="231"/>
      <c r="AB5" s="231"/>
      <c r="AC5" s="231"/>
      <c r="AD5" s="231"/>
      <c r="AE5" s="231"/>
      <c r="AF5" s="231"/>
      <c r="AG5" s="719"/>
      <c r="AH5" s="719"/>
      <c r="AI5" s="719"/>
      <c r="AJ5" s="719"/>
      <c r="AK5" s="231"/>
      <c r="AL5" s="231"/>
      <c r="AM5" s="231"/>
      <c r="AN5" s="231"/>
      <c r="AO5" s="275">
        <v>15.1</v>
      </c>
      <c r="AP5" s="276">
        <v>0.99909000000000003</v>
      </c>
      <c r="AQ5" s="276">
        <v>1.00088</v>
      </c>
      <c r="AR5" s="231"/>
      <c r="AS5" s="231"/>
      <c r="AT5" s="231"/>
    </row>
    <row r="6" spans="1:46" s="42" customFormat="1" ht="16.5" customHeight="1" x14ac:dyDescent="0.2">
      <c r="A6" s="34"/>
      <c r="B6" s="236" t="s">
        <v>0</v>
      </c>
      <c r="C6" s="529"/>
      <c r="D6" s="529"/>
      <c r="E6" s="529"/>
      <c r="F6" s="529"/>
      <c r="G6" s="524" t="s">
        <v>125</v>
      </c>
      <c r="H6" s="524"/>
      <c r="I6" s="530"/>
      <c r="J6" s="530"/>
      <c r="K6" s="709"/>
      <c r="N6" s="93" t="s">
        <v>126</v>
      </c>
      <c r="O6" s="231"/>
      <c r="P6" s="231"/>
      <c r="Q6" s="231"/>
      <c r="R6" s="231"/>
      <c r="S6" s="231"/>
      <c r="T6" s="231"/>
      <c r="U6" s="231"/>
      <c r="V6" s="231"/>
      <c r="W6" s="231"/>
      <c r="X6" s="231"/>
      <c r="Y6" s="231"/>
      <c r="Z6" s="231"/>
      <c r="AA6" s="231"/>
      <c r="AB6" s="231"/>
      <c r="AC6" s="231"/>
      <c r="AD6" s="231"/>
      <c r="AE6" s="231"/>
      <c r="AF6" s="231"/>
      <c r="AG6" s="277" t="s">
        <v>126</v>
      </c>
      <c r="AH6" s="278"/>
      <c r="AI6" s="278"/>
      <c r="AJ6" s="278"/>
      <c r="AK6" s="231"/>
      <c r="AL6" s="231"/>
      <c r="AM6" s="231"/>
      <c r="AN6" s="231"/>
      <c r="AO6" s="275">
        <v>15.2</v>
      </c>
      <c r="AP6" s="276">
        <v>0.99907000000000001</v>
      </c>
      <c r="AQ6" s="276">
        <v>1.0008699999999999</v>
      </c>
      <c r="AR6" s="231"/>
      <c r="AS6" s="231"/>
      <c r="AT6" s="231"/>
    </row>
    <row r="7" spans="1:46" s="42" customFormat="1" ht="16.5" customHeight="1" x14ac:dyDescent="0.2">
      <c r="A7" s="38"/>
      <c r="B7" s="235" t="s">
        <v>1</v>
      </c>
      <c r="C7" s="549"/>
      <c r="D7" s="549"/>
      <c r="E7" s="549"/>
      <c r="F7" s="549"/>
      <c r="G7" s="516" t="s">
        <v>127</v>
      </c>
      <c r="H7" s="516"/>
      <c r="I7" s="519"/>
      <c r="J7" s="519"/>
      <c r="K7" s="697"/>
      <c r="N7" s="93" t="s">
        <v>128</v>
      </c>
      <c r="O7" s="231"/>
      <c r="P7" s="231"/>
      <c r="Q7" s="231"/>
      <c r="R7" s="231"/>
      <c r="S7" s="231"/>
      <c r="T7" s="231"/>
      <c r="U7" s="231"/>
      <c r="V7" s="231"/>
      <c r="W7" s="231"/>
      <c r="X7" s="231"/>
      <c r="Y7" s="231"/>
      <c r="Z7" s="231"/>
      <c r="AA7" s="231"/>
      <c r="AB7" s="231"/>
      <c r="AC7" s="231"/>
      <c r="AD7" s="231"/>
      <c r="AE7" s="231"/>
      <c r="AF7" s="231"/>
      <c r="AG7" s="277" t="s">
        <v>128</v>
      </c>
      <c r="AH7" s="278"/>
      <c r="AI7" s="278"/>
      <c r="AJ7" s="278"/>
      <c r="AK7" s="231"/>
      <c r="AL7" s="231"/>
      <c r="AM7" s="231"/>
      <c r="AN7" s="231"/>
      <c r="AO7" s="275">
        <v>15.3</v>
      </c>
      <c r="AP7" s="276">
        <v>0.99905999999999995</v>
      </c>
      <c r="AQ7" s="276">
        <v>1.00085</v>
      </c>
      <c r="AR7" s="231"/>
      <c r="AS7" s="231"/>
      <c r="AT7" s="231"/>
    </row>
    <row r="8" spans="1:46" s="42" customFormat="1" ht="16.5" customHeight="1" x14ac:dyDescent="0.2">
      <c r="A8" s="38"/>
      <c r="B8" s="235" t="s">
        <v>129</v>
      </c>
      <c r="C8" s="549"/>
      <c r="D8" s="549"/>
      <c r="E8" s="549"/>
      <c r="F8" s="549"/>
      <c r="G8" s="516" t="s">
        <v>130</v>
      </c>
      <c r="H8" s="516"/>
      <c r="I8" s="519"/>
      <c r="J8" s="519"/>
      <c r="K8" s="697"/>
      <c r="M8" s="42">
        <f>17-2.57</f>
        <v>14.43</v>
      </c>
      <c r="N8" s="93" t="s">
        <v>131</v>
      </c>
      <c r="O8" s="231"/>
      <c r="P8" s="231"/>
      <c r="Q8" s="231"/>
      <c r="R8" s="231"/>
      <c r="S8" s="231"/>
      <c r="T8" s="231"/>
      <c r="U8" s="231"/>
      <c r="V8" s="231"/>
      <c r="W8" s="231"/>
      <c r="X8" s="231"/>
      <c r="Y8" s="231"/>
      <c r="Z8" s="231"/>
      <c r="AA8" s="231"/>
      <c r="AB8" s="231"/>
      <c r="AC8" s="231"/>
      <c r="AD8" s="231"/>
      <c r="AE8" s="231"/>
      <c r="AF8" s="231"/>
      <c r="AG8" s="277" t="s">
        <v>131</v>
      </c>
      <c r="AH8" s="278"/>
      <c r="AI8" s="278"/>
      <c r="AJ8" s="278"/>
      <c r="AK8" s="231"/>
      <c r="AL8" s="231"/>
      <c r="AM8" s="231"/>
      <c r="AN8" s="231"/>
      <c r="AO8" s="275">
        <v>15.4</v>
      </c>
      <c r="AP8" s="276">
        <v>0.99904000000000004</v>
      </c>
      <c r="AQ8" s="276">
        <v>1.00084</v>
      </c>
      <c r="AR8" s="231"/>
      <c r="AS8" s="231"/>
      <c r="AT8" s="231"/>
    </row>
    <row r="9" spans="1:46" s="42" customFormat="1" ht="16.5" customHeight="1" x14ac:dyDescent="0.2">
      <c r="A9" s="38"/>
      <c r="B9" s="235" t="s">
        <v>132</v>
      </c>
      <c r="C9" s="549"/>
      <c r="D9" s="549"/>
      <c r="E9" s="549"/>
      <c r="F9" s="549"/>
      <c r="G9" s="516" t="s">
        <v>133</v>
      </c>
      <c r="H9" s="516"/>
      <c r="I9" s="48" t="s">
        <v>134</v>
      </c>
      <c r="J9" s="279"/>
      <c r="K9" s="280"/>
      <c r="N9" s="93" t="s">
        <v>135</v>
      </c>
      <c r="O9" s="231"/>
      <c r="P9" s="231"/>
      <c r="Q9" s="231"/>
      <c r="R9" s="231"/>
      <c r="S9" s="231"/>
      <c r="T9" s="231"/>
      <c r="U9" s="231"/>
      <c r="V9" s="231"/>
      <c r="W9" s="231"/>
      <c r="X9" s="231"/>
      <c r="Y9" s="231"/>
      <c r="Z9" s="231"/>
      <c r="AA9" s="231"/>
      <c r="AB9" s="231"/>
      <c r="AC9" s="231"/>
      <c r="AD9" s="231"/>
      <c r="AE9" s="231"/>
      <c r="AF9" s="231"/>
      <c r="AG9" s="277" t="s">
        <v>135</v>
      </c>
      <c r="AH9" s="278"/>
      <c r="AI9" s="278"/>
      <c r="AJ9" s="278"/>
      <c r="AK9" s="231"/>
      <c r="AL9" s="231"/>
      <c r="AM9" s="231"/>
      <c r="AN9" s="231"/>
      <c r="AO9" s="275">
        <v>15.5</v>
      </c>
      <c r="AP9" s="276">
        <v>0.99902000000000002</v>
      </c>
      <c r="AQ9" s="276">
        <v>1.00082</v>
      </c>
      <c r="AR9" s="231"/>
      <c r="AS9" s="231"/>
      <c r="AT9" s="231"/>
    </row>
    <row r="10" spans="1:46" s="42" customFormat="1" ht="16.5" customHeight="1" x14ac:dyDescent="0.2">
      <c r="A10" s="38"/>
      <c r="B10" s="237" t="s">
        <v>136</v>
      </c>
      <c r="C10" s="549"/>
      <c r="D10" s="549"/>
      <c r="E10" s="549"/>
      <c r="F10" s="549"/>
      <c r="G10" s="698" t="s">
        <v>137</v>
      </c>
      <c r="H10" s="698"/>
      <c r="I10" s="560" t="str">
        <f>CONCATENATE(J9,," ",K9,D12,"-",B45,"-",F12)</f>
        <v xml:space="preserve"> --</v>
      </c>
      <c r="J10" s="560"/>
      <c r="K10" s="699"/>
      <c r="N10" s="93" t="s">
        <v>138</v>
      </c>
      <c r="O10" s="231"/>
      <c r="P10" s="231"/>
      <c r="Q10" s="231"/>
      <c r="R10" s="231"/>
      <c r="S10" s="231"/>
      <c r="T10" s="231"/>
      <c r="U10" s="231"/>
      <c r="V10" s="231"/>
      <c r="W10" s="231"/>
      <c r="X10" s="231"/>
      <c r="Y10" s="231"/>
      <c r="Z10" s="231"/>
      <c r="AA10" s="231"/>
      <c r="AB10" s="231"/>
      <c r="AC10" s="231"/>
      <c r="AD10" s="231"/>
      <c r="AE10" s="231"/>
      <c r="AF10" s="231"/>
      <c r="AG10" s="277" t="s">
        <v>138</v>
      </c>
      <c r="AH10" s="278"/>
      <c r="AI10" s="278"/>
      <c r="AJ10" s="278"/>
      <c r="AK10" s="231"/>
      <c r="AL10" s="231"/>
      <c r="AM10" s="231"/>
      <c r="AN10" s="231"/>
      <c r="AO10" s="275">
        <v>15.6</v>
      </c>
      <c r="AP10" s="276">
        <v>0.99900999999999995</v>
      </c>
      <c r="AQ10" s="276">
        <v>1.0007999999999999</v>
      </c>
      <c r="AR10" s="231"/>
      <c r="AS10" s="231"/>
      <c r="AT10" s="231"/>
    </row>
    <row r="11" spans="1:46" s="42" customFormat="1" ht="5.0999999999999996" customHeight="1" thickBot="1" x14ac:dyDescent="0.25">
      <c r="A11" s="39"/>
      <c r="B11" s="700"/>
      <c r="C11" s="700"/>
      <c r="D11" s="700"/>
      <c r="E11" s="700"/>
      <c r="F11" s="700"/>
      <c r="G11" s="700"/>
      <c r="H11" s="700"/>
      <c r="I11" s="700"/>
      <c r="J11" s="700"/>
      <c r="K11" s="281"/>
      <c r="N11" s="93"/>
      <c r="O11" s="231"/>
      <c r="P11" s="231"/>
      <c r="Q11" s="231"/>
      <c r="R11" s="231"/>
      <c r="S11" s="231"/>
      <c r="T11" s="231"/>
      <c r="U11" s="231"/>
      <c r="V11" s="231"/>
      <c r="W11" s="231"/>
      <c r="X11" s="231"/>
      <c r="Y11" s="231"/>
      <c r="Z11" s="231"/>
      <c r="AA11" s="231"/>
      <c r="AB11" s="231"/>
      <c r="AC11" s="231"/>
      <c r="AD11" s="231"/>
      <c r="AE11" s="231"/>
      <c r="AF11" s="231"/>
      <c r="AG11" s="277"/>
      <c r="AH11" s="278"/>
      <c r="AI11" s="278"/>
      <c r="AJ11" s="278"/>
      <c r="AK11" s="231"/>
      <c r="AL11" s="231"/>
      <c r="AM11" s="231"/>
      <c r="AN11" s="231"/>
      <c r="AO11" s="275">
        <v>15.7</v>
      </c>
      <c r="AP11" s="276">
        <v>0.99899000000000004</v>
      </c>
      <c r="AQ11" s="276">
        <v>1.0007900000000001</v>
      </c>
      <c r="AR11" s="231"/>
      <c r="AS11" s="231"/>
      <c r="AT11" s="231"/>
    </row>
    <row r="12" spans="1:46" s="42" customFormat="1" ht="18" customHeight="1" x14ac:dyDescent="0.2">
      <c r="A12" s="34"/>
      <c r="B12" s="236" t="s">
        <v>2</v>
      </c>
      <c r="C12" s="234" t="s">
        <v>126</v>
      </c>
      <c r="D12" s="282"/>
      <c r="E12" s="52" t="s">
        <v>139</v>
      </c>
      <c r="F12" s="43"/>
      <c r="G12" s="531" t="s">
        <v>140</v>
      </c>
      <c r="H12" s="531"/>
      <c r="I12" s="53"/>
      <c r="J12" s="54" t="s">
        <v>141</v>
      </c>
      <c r="K12" s="283"/>
      <c r="N12" s="93"/>
      <c r="O12" s="231"/>
      <c r="P12" s="231"/>
      <c r="Q12" s="231"/>
      <c r="R12" s="231"/>
      <c r="S12" s="231"/>
      <c r="T12" s="231"/>
      <c r="U12" s="231"/>
      <c r="V12" s="231"/>
      <c r="W12" s="231"/>
      <c r="X12" s="231"/>
      <c r="Y12" s="231"/>
      <c r="Z12" s="231"/>
      <c r="AA12" s="231"/>
      <c r="AB12" s="231"/>
      <c r="AC12" s="231"/>
      <c r="AD12" s="231"/>
      <c r="AE12" s="231"/>
      <c r="AF12" s="231"/>
      <c r="AG12" s="277"/>
      <c r="AH12" s="278"/>
      <c r="AI12" s="278"/>
      <c r="AJ12" s="278"/>
      <c r="AK12" s="231"/>
      <c r="AL12" s="231"/>
      <c r="AM12" s="231"/>
      <c r="AN12" s="231"/>
      <c r="AO12" s="275">
        <v>15.8</v>
      </c>
      <c r="AP12" s="276">
        <v>0.99897999999999998</v>
      </c>
      <c r="AQ12" s="276">
        <v>1.0007699999999999</v>
      </c>
      <c r="AR12" s="231"/>
      <c r="AS12" s="231"/>
      <c r="AT12" s="231"/>
    </row>
    <row r="13" spans="1:46" s="42" customFormat="1" ht="18" customHeight="1" x14ac:dyDescent="0.2">
      <c r="A13" s="38"/>
      <c r="B13" s="235" t="s">
        <v>142</v>
      </c>
      <c r="C13" s="701"/>
      <c r="D13" s="701"/>
      <c r="E13" s="701"/>
      <c r="F13" s="701"/>
      <c r="G13" s="701"/>
      <c r="H13" s="701"/>
      <c r="I13" s="701"/>
      <c r="J13" s="701"/>
      <c r="K13" s="702"/>
      <c r="N13" s="93"/>
      <c r="O13" s="231"/>
      <c r="P13" s="231"/>
      <c r="Q13" s="231"/>
      <c r="R13" s="231"/>
      <c r="S13" s="231"/>
      <c r="T13" s="231"/>
      <c r="U13" s="231"/>
      <c r="V13" s="231"/>
      <c r="W13" s="231"/>
      <c r="X13" s="231"/>
      <c r="Y13" s="231"/>
      <c r="Z13" s="231"/>
      <c r="AA13" s="231"/>
      <c r="AB13" s="231"/>
      <c r="AC13" s="231"/>
      <c r="AD13" s="231"/>
      <c r="AE13" s="231"/>
      <c r="AF13" s="231"/>
      <c r="AG13" s="277"/>
      <c r="AH13" s="278"/>
      <c r="AI13" s="278"/>
      <c r="AJ13" s="278"/>
      <c r="AK13" s="231"/>
      <c r="AL13" s="231"/>
      <c r="AM13" s="231"/>
      <c r="AN13" s="231"/>
      <c r="AO13" s="275">
        <v>15.9</v>
      </c>
      <c r="AP13" s="276">
        <v>0.99895999999999996</v>
      </c>
      <c r="AQ13" s="276">
        <v>1.0007600000000001</v>
      </c>
      <c r="AR13" s="231"/>
      <c r="AS13" s="231"/>
      <c r="AT13" s="231"/>
    </row>
    <row r="14" spans="1:46" s="42" customFormat="1" ht="5.0999999999999996" customHeight="1" thickBot="1" x14ac:dyDescent="0.25">
      <c r="A14" s="39"/>
      <c r="B14" s="59"/>
      <c r="C14" s="60"/>
      <c r="D14" s="60"/>
      <c r="E14" s="60"/>
      <c r="F14" s="60"/>
      <c r="G14" s="60"/>
      <c r="H14" s="60"/>
      <c r="I14" s="60"/>
      <c r="J14" s="60"/>
      <c r="K14" s="284"/>
      <c r="O14" s="231"/>
      <c r="P14" s="231"/>
      <c r="Q14" s="231"/>
      <c r="R14" s="231"/>
      <c r="S14" s="231"/>
      <c r="T14" s="231"/>
      <c r="U14" s="231"/>
      <c r="V14" s="231"/>
      <c r="W14" s="231"/>
      <c r="X14" s="231"/>
      <c r="Y14" s="231"/>
      <c r="Z14" s="231"/>
      <c r="AA14" s="231"/>
      <c r="AB14" s="231"/>
      <c r="AC14" s="231"/>
      <c r="AD14" s="231"/>
      <c r="AE14" s="231"/>
      <c r="AF14" s="231"/>
      <c r="AG14" s="231"/>
      <c r="AH14" s="231"/>
      <c r="AI14" s="231"/>
      <c r="AJ14" s="231"/>
      <c r="AK14" s="231"/>
      <c r="AL14" s="231"/>
      <c r="AM14" s="231"/>
      <c r="AN14" s="231"/>
      <c r="AO14" s="272">
        <v>16</v>
      </c>
      <c r="AP14" s="273">
        <v>0.99895</v>
      </c>
      <c r="AQ14" s="273">
        <v>1.00074</v>
      </c>
      <c r="AR14" s="231"/>
      <c r="AS14" s="231"/>
      <c r="AT14" s="231"/>
    </row>
    <row r="15" spans="1:46" ht="15" customHeight="1" thickBot="1" x14ac:dyDescent="0.25">
      <c r="A15" s="285"/>
      <c r="K15" s="287"/>
      <c r="O15" s="231"/>
      <c r="P15" s="231"/>
      <c r="Q15" s="231"/>
      <c r="R15" s="231"/>
      <c r="S15" s="231"/>
      <c r="T15" s="231"/>
      <c r="U15" s="231"/>
      <c r="V15" s="231"/>
      <c r="W15" s="231"/>
      <c r="X15" s="231"/>
      <c r="Y15" s="231"/>
      <c r="Z15" s="231"/>
      <c r="AA15" s="231"/>
      <c r="AB15" s="231"/>
      <c r="AC15" s="231"/>
      <c r="AD15" s="231"/>
      <c r="AE15" s="231"/>
      <c r="AF15" s="231"/>
      <c r="AG15" s="231"/>
      <c r="AH15" s="231"/>
      <c r="AI15" s="231"/>
      <c r="AJ15" s="231"/>
      <c r="AK15" s="231"/>
      <c r="AL15" s="231"/>
      <c r="AM15" s="231"/>
      <c r="AN15" s="231"/>
      <c r="AO15" s="275">
        <v>16.100000000000001</v>
      </c>
      <c r="AP15" s="276">
        <v>0.99892999999999998</v>
      </c>
      <c r="AQ15" s="276">
        <v>1.0007200000000001</v>
      </c>
      <c r="AR15" s="231"/>
      <c r="AS15" s="231"/>
      <c r="AT15" s="231"/>
    </row>
    <row r="16" spans="1:46" ht="25.5" customHeight="1" thickBot="1" x14ac:dyDescent="0.25">
      <c r="A16" s="703" t="s">
        <v>206</v>
      </c>
      <c r="B16" s="704"/>
      <c r="C16" s="704"/>
      <c r="D16" s="704"/>
      <c r="E16" s="704"/>
      <c r="F16" s="704"/>
      <c r="G16" s="704"/>
      <c r="H16" s="704"/>
      <c r="I16" s="704"/>
      <c r="J16" s="704"/>
      <c r="K16" s="705"/>
      <c r="AO16" s="275">
        <v>16.2</v>
      </c>
      <c r="AP16" s="276">
        <v>0.99890999999999996</v>
      </c>
      <c r="AQ16" s="276">
        <v>1.00071</v>
      </c>
    </row>
    <row r="17" spans="1:46" ht="15.75" thickBot="1" x14ac:dyDescent="0.25">
      <c r="A17" s="285"/>
      <c r="K17" s="287"/>
      <c r="AO17" s="275">
        <v>16.3</v>
      </c>
      <c r="AP17" s="276">
        <v>0.99890000000000001</v>
      </c>
      <c r="AQ17" s="276">
        <v>1.0006900000000001</v>
      </c>
    </row>
    <row r="18" spans="1:46" ht="24.75" customHeight="1" thickBot="1" x14ac:dyDescent="0.25">
      <c r="A18" s="285"/>
      <c r="C18" s="706" t="s">
        <v>207</v>
      </c>
      <c r="D18" s="707"/>
      <c r="E18" s="707"/>
      <c r="F18" s="708"/>
      <c r="G18" s="289"/>
      <c r="H18" s="290"/>
      <c r="I18" s="290"/>
      <c r="K18" s="287"/>
      <c r="T18" s="291" t="s">
        <v>208</v>
      </c>
      <c r="U18" s="292"/>
      <c r="V18" s="288" t="s">
        <v>138</v>
      </c>
      <c r="AO18" s="275">
        <v>16.399999999999999</v>
      </c>
      <c r="AP18" s="276">
        <v>0.99887999999999999</v>
      </c>
      <c r="AQ18" s="276">
        <v>1.0006699999999999</v>
      </c>
    </row>
    <row r="19" spans="1:46" ht="21.95" customHeight="1" x14ac:dyDescent="0.2">
      <c r="A19" s="285"/>
      <c r="C19" s="695" t="s">
        <v>209</v>
      </c>
      <c r="D19" s="696"/>
      <c r="E19" s="696"/>
      <c r="F19" s="293" t="s">
        <v>210</v>
      </c>
      <c r="G19" s="294"/>
      <c r="H19" s="295"/>
      <c r="K19" s="287"/>
      <c r="T19" s="296"/>
      <c r="U19" s="297"/>
      <c r="AO19" s="275">
        <v>16.5</v>
      </c>
      <c r="AP19" s="276">
        <v>0.99885999999999997</v>
      </c>
      <c r="AQ19" s="276">
        <v>1.0006600000000001</v>
      </c>
    </row>
    <row r="20" spans="1:46" ht="21.95" customHeight="1" x14ac:dyDescent="0.2">
      <c r="A20" s="285"/>
      <c r="C20" s="686" t="s">
        <v>211</v>
      </c>
      <c r="D20" s="687"/>
      <c r="E20" s="687"/>
      <c r="F20" s="298" t="s">
        <v>212</v>
      </c>
      <c r="G20" s="299"/>
      <c r="H20" s="295"/>
      <c r="K20" s="287"/>
      <c r="T20" s="300" t="s">
        <v>184</v>
      </c>
      <c r="U20" s="301"/>
      <c r="AO20" s="275">
        <v>16.600000000000001</v>
      </c>
      <c r="AP20" s="276">
        <v>0.99885000000000002</v>
      </c>
      <c r="AQ20" s="276">
        <v>1.00064</v>
      </c>
    </row>
    <row r="21" spans="1:46" ht="21.95" customHeight="1" thickBot="1" x14ac:dyDescent="0.25">
      <c r="A21" s="285"/>
      <c r="C21" s="686" t="s">
        <v>213</v>
      </c>
      <c r="D21" s="687"/>
      <c r="E21" s="687"/>
      <c r="F21" s="298" t="s">
        <v>212</v>
      </c>
      <c r="G21" s="302"/>
      <c r="H21" s="295"/>
      <c r="K21" s="287"/>
      <c r="P21" s="303"/>
      <c r="T21" s="304" t="s">
        <v>214</v>
      </c>
      <c r="U21" s="305"/>
      <c r="AO21" s="275">
        <v>16.7</v>
      </c>
      <c r="AP21" s="276">
        <v>0.99883</v>
      </c>
      <c r="AQ21" s="276">
        <v>1.0006200000000001</v>
      </c>
    </row>
    <row r="22" spans="1:46" ht="21.95" customHeight="1" x14ac:dyDescent="0.2">
      <c r="A22" s="285"/>
      <c r="C22" s="686" t="s">
        <v>215</v>
      </c>
      <c r="D22" s="687"/>
      <c r="E22" s="687"/>
      <c r="F22" s="298" t="s">
        <v>212</v>
      </c>
      <c r="G22" s="306"/>
      <c r="H22" s="295"/>
      <c r="K22" s="287"/>
      <c r="T22" s="291"/>
      <c r="U22" s="292"/>
      <c r="AO22" s="275">
        <v>16.8</v>
      </c>
      <c r="AP22" s="276">
        <v>0.99880999999999998</v>
      </c>
      <c r="AQ22" s="276">
        <v>1.00061</v>
      </c>
    </row>
    <row r="23" spans="1:46" ht="21.95" customHeight="1" x14ac:dyDescent="0.2">
      <c r="A23" s="285"/>
      <c r="C23" s="686" t="s">
        <v>216</v>
      </c>
      <c r="D23" s="687"/>
      <c r="E23" s="687"/>
      <c r="F23" s="298" t="s">
        <v>217</v>
      </c>
      <c r="G23" s="307"/>
      <c r="H23" s="295"/>
      <c r="K23" s="287"/>
      <c r="T23" s="296"/>
      <c r="U23" s="297"/>
      <c r="AO23" s="275">
        <v>16.899999999999999</v>
      </c>
      <c r="AP23" s="276">
        <v>0.99878999999999996</v>
      </c>
      <c r="AQ23" s="276">
        <v>1.0005900000000001</v>
      </c>
    </row>
    <row r="24" spans="1:46" ht="21.95" customHeight="1" x14ac:dyDescent="0.2">
      <c r="A24" s="285"/>
      <c r="C24" s="686" t="s">
        <v>218</v>
      </c>
      <c r="D24" s="687"/>
      <c r="E24" s="687"/>
      <c r="F24" s="298" t="s">
        <v>156</v>
      </c>
      <c r="G24" s="308"/>
      <c r="H24" s="295"/>
      <c r="K24" s="287"/>
      <c r="T24" s="309"/>
      <c r="U24" s="310"/>
      <c r="AO24" s="272">
        <v>17</v>
      </c>
      <c r="AP24" s="273">
        <v>0.99878</v>
      </c>
      <c r="AQ24" s="273">
        <v>1.00057</v>
      </c>
    </row>
    <row r="25" spans="1:46" ht="21.95" customHeight="1" thickBot="1" x14ac:dyDescent="0.25">
      <c r="A25" s="285"/>
      <c r="C25" s="686" t="s">
        <v>219</v>
      </c>
      <c r="D25" s="687"/>
      <c r="E25" s="687"/>
      <c r="F25" s="298" t="s">
        <v>156</v>
      </c>
      <c r="G25" s="311"/>
      <c r="H25" s="295"/>
      <c r="K25" s="287"/>
      <c r="T25" s="312"/>
      <c r="U25" s="313"/>
      <c r="AO25" s="275">
        <v>17.100000000000001</v>
      </c>
      <c r="AP25" s="276">
        <v>0.99875999999999998</v>
      </c>
      <c r="AQ25" s="276">
        <v>1.0005500000000001</v>
      </c>
    </row>
    <row r="26" spans="1:46" ht="28.5" customHeight="1" thickBot="1" x14ac:dyDescent="0.25">
      <c r="A26" s="285"/>
      <c r="C26" s="688" t="s">
        <v>220</v>
      </c>
      <c r="D26" s="689"/>
      <c r="E26" s="689"/>
      <c r="F26" s="690"/>
      <c r="G26" s="314" t="e">
        <f>IF(D32&gt;0.1,N37,IF(D32=0,N38))</f>
        <v>#VALUE!</v>
      </c>
      <c r="H26" s="295"/>
      <c r="K26" s="287"/>
      <c r="O26" s="286"/>
      <c r="P26" s="286"/>
      <c r="Q26" s="286"/>
      <c r="R26" s="286"/>
      <c r="S26" s="286"/>
      <c r="T26" s="286"/>
      <c r="U26" s="286"/>
      <c r="V26" s="286"/>
      <c r="W26" s="286"/>
      <c r="X26" s="286"/>
      <c r="Y26" s="286"/>
      <c r="Z26" s="286"/>
      <c r="AA26" s="286"/>
      <c r="AB26" s="286"/>
      <c r="AC26" s="286"/>
      <c r="AD26" s="286"/>
      <c r="AE26" s="286"/>
      <c r="AF26" s="286"/>
      <c r="AG26" s="286"/>
      <c r="AH26" s="286"/>
      <c r="AI26" s="286"/>
      <c r="AJ26" s="286"/>
      <c r="AK26" s="286"/>
      <c r="AL26" s="286"/>
      <c r="AM26" s="286"/>
      <c r="AN26" s="286"/>
      <c r="AO26" s="275">
        <v>17.2</v>
      </c>
      <c r="AP26" s="276">
        <v>0.99873999999999996</v>
      </c>
      <c r="AQ26" s="276">
        <v>1.00054</v>
      </c>
      <c r="AR26" s="286"/>
      <c r="AS26" s="286"/>
      <c r="AT26" s="286"/>
    </row>
    <row r="27" spans="1:46" x14ac:dyDescent="0.2">
      <c r="A27" s="285"/>
      <c r="C27" s="691"/>
      <c r="D27" s="691"/>
      <c r="G27" s="295"/>
      <c r="K27" s="287"/>
      <c r="O27" s="286"/>
      <c r="P27" s="286"/>
      <c r="Q27" s="286"/>
      <c r="R27" s="286"/>
      <c r="S27" s="286"/>
      <c r="T27" s="286"/>
      <c r="U27" s="286"/>
      <c r="V27" s="286"/>
      <c r="W27" s="286"/>
      <c r="X27" s="286"/>
      <c r="Y27" s="286"/>
      <c r="Z27" s="286"/>
      <c r="AA27" s="286"/>
      <c r="AB27" s="286"/>
      <c r="AC27" s="286"/>
      <c r="AD27" s="286"/>
      <c r="AE27" s="286"/>
      <c r="AF27" s="286"/>
      <c r="AG27" s="286"/>
      <c r="AH27" s="286"/>
      <c r="AI27" s="286"/>
      <c r="AJ27" s="286"/>
      <c r="AK27" s="286"/>
      <c r="AL27" s="286"/>
      <c r="AM27" s="286"/>
      <c r="AN27" s="286"/>
      <c r="AO27" s="275">
        <v>17.3</v>
      </c>
      <c r="AP27" s="276">
        <v>0.99872000000000005</v>
      </c>
      <c r="AQ27" s="276">
        <v>1.0005200000000001</v>
      </c>
      <c r="AR27" s="286"/>
      <c r="AS27" s="286"/>
      <c r="AT27" s="286"/>
    </row>
    <row r="28" spans="1:46" ht="12.75" customHeight="1" x14ac:dyDescent="0.2">
      <c r="A28" s="285"/>
      <c r="K28" s="287"/>
      <c r="O28" s="286"/>
      <c r="P28" s="286"/>
      <c r="Q28" s="286"/>
      <c r="R28" s="286"/>
      <c r="S28" s="286"/>
      <c r="T28" s="286"/>
      <c r="U28" s="286"/>
      <c r="V28" s="286"/>
      <c r="W28" s="286"/>
      <c r="X28" s="286"/>
      <c r="Y28" s="286"/>
      <c r="Z28" s="286"/>
      <c r="AA28" s="286"/>
      <c r="AB28" s="286"/>
      <c r="AC28" s="286"/>
      <c r="AD28" s="286"/>
      <c r="AE28" s="286"/>
      <c r="AF28" s="286"/>
      <c r="AG28" s="286"/>
      <c r="AH28" s="286"/>
      <c r="AI28" s="286"/>
      <c r="AJ28" s="286"/>
      <c r="AK28" s="286"/>
      <c r="AL28" s="286"/>
      <c r="AM28" s="286"/>
      <c r="AN28" s="286"/>
      <c r="AO28" s="275">
        <v>17.399999999999999</v>
      </c>
      <c r="AP28" s="276">
        <v>0.99870999999999999</v>
      </c>
      <c r="AQ28" s="276">
        <v>1.0004999999999999</v>
      </c>
      <c r="AR28" s="286"/>
      <c r="AS28" s="286"/>
      <c r="AT28" s="286"/>
    </row>
    <row r="29" spans="1:46" ht="12.75" customHeight="1" thickBot="1" x14ac:dyDescent="0.25">
      <c r="A29" s="285"/>
      <c r="K29" s="287"/>
      <c r="O29" s="286"/>
      <c r="P29" s="286"/>
      <c r="Q29" s="286"/>
      <c r="R29" s="286"/>
      <c r="S29" s="286"/>
      <c r="T29" s="286"/>
      <c r="U29" s="286"/>
      <c r="V29" s="286"/>
      <c r="W29" s="286"/>
      <c r="X29" s="286"/>
      <c r="Y29" s="286"/>
      <c r="Z29" s="286"/>
      <c r="AA29" s="286"/>
      <c r="AB29" s="286"/>
      <c r="AC29" s="286"/>
      <c r="AD29" s="286"/>
      <c r="AE29" s="286"/>
      <c r="AF29" s="286"/>
      <c r="AG29" s="286"/>
      <c r="AH29" s="286"/>
      <c r="AI29" s="286"/>
      <c r="AJ29" s="286"/>
      <c r="AK29" s="286"/>
      <c r="AL29" s="286"/>
      <c r="AM29" s="286"/>
      <c r="AN29" s="286"/>
      <c r="AO29" s="275">
        <v>17.5</v>
      </c>
      <c r="AP29" s="276">
        <v>0.99868999999999997</v>
      </c>
      <c r="AQ29" s="276">
        <v>1.00048</v>
      </c>
      <c r="AR29" s="286"/>
      <c r="AS29" s="286"/>
      <c r="AT29" s="286"/>
    </row>
    <row r="30" spans="1:46" ht="19.5" customHeight="1" thickBot="1" x14ac:dyDescent="0.25">
      <c r="A30" s="285"/>
      <c r="C30" s="692" t="s">
        <v>148</v>
      </c>
      <c r="D30" s="693"/>
      <c r="E30" s="693"/>
      <c r="F30" s="693"/>
      <c r="G30" s="694"/>
      <c r="J30" s="315"/>
      <c r="K30" s="316"/>
      <c r="L30" s="315"/>
      <c r="O30" s="286"/>
      <c r="P30" s="231"/>
      <c r="Q30" s="317"/>
      <c r="R30" s="317"/>
      <c r="S30" s="317"/>
      <c r="T30" s="318"/>
      <c r="U30" s="319"/>
      <c r="V30" s="320"/>
      <c r="W30" s="320"/>
      <c r="X30" s="318"/>
      <c r="Y30" s="231"/>
      <c r="Z30" s="231"/>
      <c r="AA30" s="231"/>
      <c r="AB30" s="231"/>
      <c r="AC30" s="231"/>
      <c r="AD30" s="231"/>
      <c r="AE30" s="231"/>
      <c r="AF30" s="231"/>
      <c r="AG30" s="231"/>
      <c r="AH30" s="231"/>
      <c r="AI30" s="321"/>
      <c r="AJ30" s="321"/>
      <c r="AK30" s="321"/>
      <c r="AL30" s="321"/>
      <c r="AM30" s="321"/>
      <c r="AN30" s="321"/>
      <c r="AO30" s="275">
        <v>17.600000000000001</v>
      </c>
      <c r="AP30" s="276">
        <v>0.99866999999999995</v>
      </c>
      <c r="AQ30" s="276">
        <v>1.00047</v>
      </c>
      <c r="AR30" s="321"/>
      <c r="AS30" s="321"/>
      <c r="AT30" s="321"/>
    </row>
    <row r="31" spans="1:46" ht="34.5" customHeight="1" x14ac:dyDescent="0.25">
      <c r="A31" s="285"/>
      <c r="C31" s="322" t="s">
        <v>183</v>
      </c>
      <c r="D31" s="570" t="s">
        <v>221</v>
      </c>
      <c r="E31" s="570"/>
      <c r="F31" s="570" t="s">
        <v>222</v>
      </c>
      <c r="G31" s="571"/>
      <c r="K31" s="287"/>
      <c r="O31" s="286"/>
      <c r="P31" s="231"/>
      <c r="Q31" s="317"/>
      <c r="R31" s="317"/>
      <c r="S31" s="317"/>
      <c r="T31" s="318"/>
      <c r="U31" s="319"/>
      <c r="V31" s="320"/>
      <c r="W31" s="320"/>
      <c r="X31" s="318"/>
      <c r="Y31" s="231"/>
      <c r="Z31" s="231"/>
      <c r="AA31" s="231"/>
      <c r="AB31" s="231"/>
      <c r="AC31" s="231"/>
      <c r="AD31" s="231"/>
      <c r="AE31" s="231"/>
      <c r="AF31" s="323"/>
      <c r="AG31" s="231"/>
      <c r="AH31" s="231"/>
      <c r="AI31" s="278"/>
      <c r="AJ31" s="278"/>
      <c r="AK31" s="278"/>
      <c r="AL31" s="278"/>
      <c r="AM31" s="278"/>
      <c r="AN31" s="278"/>
      <c r="AO31" s="275">
        <v>17.7</v>
      </c>
      <c r="AP31" s="276">
        <v>0.99865000000000004</v>
      </c>
      <c r="AQ31" s="276">
        <v>1.0004500000000001</v>
      </c>
      <c r="AR31" s="278"/>
      <c r="AS31" s="231"/>
      <c r="AT31" s="231"/>
    </row>
    <row r="32" spans="1:46" ht="21.75" customHeight="1" x14ac:dyDescent="0.25">
      <c r="A32" s="285"/>
      <c r="C32" s="324"/>
      <c r="D32" s="685"/>
      <c r="E32" s="685"/>
      <c r="F32" s="572">
        <f>100-D32</f>
        <v>100</v>
      </c>
      <c r="G32" s="573"/>
      <c r="K32" s="287"/>
      <c r="O32" s="286"/>
      <c r="P32" s="231"/>
      <c r="Q32" s="317"/>
      <c r="R32" s="317"/>
      <c r="S32" s="317"/>
      <c r="T32" s="325"/>
      <c r="U32" s="317"/>
      <c r="V32" s="231"/>
      <c r="W32" s="231"/>
      <c r="X32" s="231"/>
      <c r="Y32" s="317"/>
      <c r="Z32" s="317"/>
      <c r="AA32" s="317"/>
      <c r="AB32" s="326"/>
      <c r="AC32" s="231"/>
      <c r="AD32" s="231"/>
      <c r="AE32" s="231"/>
      <c r="AF32" s="323"/>
      <c r="AG32" s="323"/>
      <c r="AH32" s="278"/>
      <c r="AI32" s="278"/>
      <c r="AJ32" s="278"/>
      <c r="AK32" s="278"/>
      <c r="AL32" s="278"/>
      <c r="AM32" s="278"/>
      <c r="AN32" s="278"/>
      <c r="AO32" s="275">
        <v>17.8</v>
      </c>
      <c r="AP32" s="276">
        <v>0.99863000000000002</v>
      </c>
      <c r="AQ32" s="276">
        <v>1.0004299999999999</v>
      </c>
      <c r="AR32" s="278"/>
      <c r="AS32" s="278"/>
      <c r="AT32" s="278"/>
    </row>
    <row r="33" spans="1:46" ht="21.75" customHeight="1" x14ac:dyDescent="0.25">
      <c r="A33" s="285"/>
      <c r="B33" s="323"/>
      <c r="C33" s="671" t="s">
        <v>223</v>
      </c>
      <c r="D33" s="672"/>
      <c r="E33" s="675"/>
      <c r="F33" s="675"/>
      <c r="G33" s="676"/>
      <c r="K33" s="287"/>
      <c r="O33" s="286"/>
      <c r="P33" s="231"/>
      <c r="Q33" s="317"/>
      <c r="R33" s="317"/>
      <c r="S33" s="317"/>
      <c r="T33" s="325"/>
      <c r="U33" s="231"/>
      <c r="V33" s="231"/>
      <c r="W33" s="231"/>
      <c r="X33" s="231"/>
      <c r="Y33" s="231"/>
      <c r="Z33" s="231"/>
      <c r="AA33" s="231"/>
      <c r="AB33" s="231"/>
      <c r="AC33" s="231"/>
      <c r="AD33" s="231"/>
      <c r="AE33" s="231"/>
      <c r="AF33" s="231"/>
      <c r="AG33" s="231"/>
      <c r="AH33" s="231"/>
      <c r="AI33" s="278"/>
      <c r="AJ33" s="278"/>
      <c r="AK33" s="278"/>
      <c r="AL33" s="278"/>
      <c r="AM33" s="278"/>
      <c r="AN33" s="278"/>
      <c r="AO33" s="275">
        <v>17.899999999999999</v>
      </c>
      <c r="AP33" s="276">
        <v>0.99861999999999995</v>
      </c>
      <c r="AQ33" s="276">
        <v>1.00041</v>
      </c>
      <c r="AR33" s="278"/>
      <c r="AS33" s="278"/>
      <c r="AT33" s="278"/>
    </row>
    <row r="34" spans="1:46" ht="15.75" thickBot="1" x14ac:dyDescent="0.25">
      <c r="A34" s="285"/>
      <c r="C34" s="673"/>
      <c r="D34" s="674"/>
      <c r="E34" s="677"/>
      <c r="F34" s="677"/>
      <c r="G34" s="678"/>
      <c r="K34" s="287"/>
      <c r="O34" s="231"/>
      <c r="P34" s="231"/>
      <c r="Q34" s="231"/>
      <c r="R34" s="231"/>
      <c r="S34" s="231"/>
      <c r="T34" s="231"/>
      <c r="U34" s="231"/>
      <c r="V34" s="231"/>
      <c r="W34" s="231"/>
      <c r="X34" s="231"/>
      <c r="Y34" s="231"/>
      <c r="Z34" s="231"/>
      <c r="AA34" s="231"/>
      <c r="AB34" s="231"/>
      <c r="AC34" s="231"/>
      <c r="AD34" s="231"/>
      <c r="AE34" s="231"/>
      <c r="AF34" s="231"/>
      <c r="AG34" s="231"/>
      <c r="AH34" s="278"/>
      <c r="AI34" s="278"/>
      <c r="AJ34" s="278"/>
      <c r="AK34" s="278"/>
      <c r="AL34" s="278"/>
      <c r="AM34" s="278"/>
      <c r="AN34" s="278"/>
      <c r="AO34" s="272">
        <v>18</v>
      </c>
      <c r="AP34" s="273">
        <v>0.99860000000000004</v>
      </c>
      <c r="AQ34" s="273">
        <v>1.0003899999999999</v>
      </c>
      <c r="AR34" s="278"/>
      <c r="AS34" s="278"/>
      <c r="AT34" s="278"/>
    </row>
    <row r="35" spans="1:46" ht="19.5" x14ac:dyDescent="0.35">
      <c r="A35" s="327"/>
      <c r="B35" s="231"/>
      <c r="C35" s="231"/>
      <c r="D35" s="231"/>
      <c r="E35" s="231"/>
      <c r="F35" s="231"/>
      <c r="H35" s="231"/>
      <c r="I35" s="231"/>
      <c r="J35" s="231"/>
      <c r="K35" s="328"/>
      <c r="N35" s="286" t="s">
        <v>224</v>
      </c>
      <c r="O35" s="329" t="s">
        <v>225</v>
      </c>
      <c r="P35" s="329"/>
      <c r="Q35" s="293" t="s">
        <v>43</v>
      </c>
      <c r="R35" s="330" t="s">
        <v>212</v>
      </c>
      <c r="S35" s="329"/>
      <c r="T35" s="329"/>
      <c r="U35" s="329"/>
      <c r="V35" s="329"/>
      <c r="W35" s="329"/>
      <c r="X35" s="329"/>
      <c r="Y35" s="329"/>
      <c r="Z35" s="329"/>
      <c r="AA35" s="329"/>
      <c r="AB35" s="329"/>
      <c r="AC35" s="231"/>
      <c r="AD35" s="231"/>
      <c r="AE35" s="231"/>
      <c r="AF35" s="231"/>
      <c r="AG35" s="231"/>
      <c r="AH35" s="278"/>
      <c r="AI35" s="278"/>
      <c r="AJ35" s="278"/>
      <c r="AK35" s="278"/>
      <c r="AL35" s="278"/>
      <c r="AM35" s="278"/>
      <c r="AN35" s="278"/>
      <c r="AO35" s="275">
        <v>18.100000000000001</v>
      </c>
      <c r="AP35" s="276">
        <v>0.99858000000000002</v>
      </c>
      <c r="AQ35" s="276">
        <v>1.00037</v>
      </c>
      <c r="AR35" s="278"/>
      <c r="AS35" s="278"/>
      <c r="AT35" s="278"/>
    </row>
    <row r="36" spans="1:46" s="231" customFormat="1" ht="22.5" customHeight="1" thickBot="1" x14ac:dyDescent="0.25">
      <c r="A36" s="679" t="s">
        <v>226</v>
      </c>
      <c r="B36" s="680"/>
      <c r="C36" s="680"/>
      <c r="D36" s="680"/>
      <c r="E36" s="680"/>
      <c r="F36" s="681" t="s">
        <v>189</v>
      </c>
      <c r="G36" s="681"/>
      <c r="H36" s="267"/>
      <c r="I36" s="681" t="s">
        <v>190</v>
      </c>
      <c r="J36" s="681"/>
      <c r="K36" s="682"/>
      <c r="N36" s="331" t="str">
        <f>+IF(G20="","",(G20*G24)/(G21+G20-G22))</f>
        <v/>
      </c>
      <c r="O36" s="332" t="e">
        <f>VLOOKUP(G23,AO3:AQ163,3,FALSE)</f>
        <v>#N/A</v>
      </c>
      <c r="P36" s="329"/>
      <c r="Q36" s="333"/>
      <c r="R36" s="334"/>
      <c r="S36" s="329"/>
      <c r="T36" s="329"/>
      <c r="U36" s="329"/>
      <c r="V36" s="329"/>
      <c r="W36" s="329"/>
      <c r="X36" s="329"/>
      <c r="Y36" s="329"/>
      <c r="Z36" s="329"/>
      <c r="AA36" s="329"/>
      <c r="AB36" s="329"/>
      <c r="AH36" s="278"/>
      <c r="AI36" s="278"/>
      <c r="AJ36" s="278"/>
      <c r="AK36" s="278"/>
      <c r="AL36" s="278"/>
      <c r="AM36" s="278"/>
      <c r="AN36" s="278"/>
      <c r="AO36" s="275">
        <v>18.2</v>
      </c>
      <c r="AP36" s="276">
        <v>0.99856</v>
      </c>
      <c r="AQ36" s="276">
        <v>1.0003500000000001</v>
      </c>
      <c r="AR36" s="278"/>
      <c r="AS36" s="278"/>
      <c r="AT36" s="278"/>
    </row>
    <row r="37" spans="1:46" s="231" customFormat="1" ht="24.75" customHeight="1" x14ac:dyDescent="0.2">
      <c r="A37" s="683" t="s">
        <v>227</v>
      </c>
      <c r="B37" s="683"/>
      <c r="C37" s="683"/>
      <c r="D37" s="683"/>
      <c r="E37" s="683"/>
      <c r="F37" s="335"/>
      <c r="G37" s="336"/>
      <c r="H37" s="267"/>
      <c r="I37" s="335"/>
      <c r="J37" s="336"/>
      <c r="K37" s="337"/>
      <c r="M37" s="286"/>
      <c r="N37" s="338" t="e">
        <f>1/((D32/(100*N42))+(F32/(100*N36)))</f>
        <v>#VALUE!</v>
      </c>
      <c r="O37" s="339"/>
      <c r="AH37" s="278"/>
      <c r="AI37" s="278"/>
      <c r="AJ37" s="278"/>
      <c r="AK37" s="278"/>
      <c r="AL37" s="278"/>
      <c r="AM37" s="278"/>
      <c r="AN37" s="278"/>
      <c r="AO37" s="275">
        <v>18.3</v>
      </c>
      <c r="AP37" s="276">
        <v>0.99853999999999998</v>
      </c>
      <c r="AQ37" s="276">
        <v>1.00034</v>
      </c>
      <c r="AR37" s="278"/>
      <c r="AS37" s="278"/>
      <c r="AT37" s="278"/>
    </row>
    <row r="38" spans="1:46" s="231" customFormat="1" ht="24.75" customHeight="1" x14ac:dyDescent="0.2">
      <c r="A38" s="683"/>
      <c r="B38" s="683"/>
      <c r="C38" s="683"/>
      <c r="D38" s="683"/>
      <c r="E38" s="683"/>
      <c r="F38" s="340"/>
      <c r="G38" s="267"/>
      <c r="H38" s="267"/>
      <c r="I38" s="340"/>
      <c r="J38" s="267"/>
      <c r="K38" s="337"/>
      <c r="M38" s="286"/>
      <c r="N38" s="341" t="e">
        <f>N36*O36</f>
        <v>#VALUE!</v>
      </c>
      <c r="O38" s="339"/>
      <c r="S38" s="342"/>
      <c r="T38" s="342"/>
      <c r="U38" s="342"/>
      <c r="V38" s="342"/>
      <c r="W38" s="342"/>
      <c r="X38" s="342"/>
      <c r="Y38" s="342"/>
      <c r="Z38" s="342"/>
      <c r="AA38" s="342"/>
      <c r="AB38" s="342"/>
      <c r="AH38" s="278"/>
      <c r="AI38" s="278"/>
      <c r="AJ38" s="278"/>
      <c r="AK38" s="278"/>
      <c r="AL38" s="278"/>
      <c r="AM38" s="278"/>
      <c r="AN38" s="278"/>
      <c r="AO38" s="275">
        <v>18.399999999999999</v>
      </c>
      <c r="AP38" s="276">
        <v>0.99851999999999996</v>
      </c>
      <c r="AQ38" s="276">
        <v>1.0003200000000001</v>
      </c>
      <c r="AR38" s="278"/>
      <c r="AS38" s="278"/>
      <c r="AT38" s="278"/>
    </row>
    <row r="39" spans="1:46" s="231" customFormat="1" ht="24.75" customHeight="1" x14ac:dyDescent="0.2">
      <c r="A39" s="683"/>
      <c r="B39" s="683"/>
      <c r="C39" s="683"/>
      <c r="D39" s="683"/>
      <c r="E39" s="683"/>
      <c r="F39" s="340"/>
      <c r="G39" s="267"/>
      <c r="H39" s="267"/>
      <c r="I39" s="340"/>
      <c r="J39" s="267"/>
      <c r="K39" s="337"/>
      <c r="M39" s="317"/>
      <c r="N39" s="343">
        <v>30</v>
      </c>
      <c r="O39" s="344" t="s">
        <v>228</v>
      </c>
      <c r="P39" s="342"/>
      <c r="Q39" s="342"/>
      <c r="R39" s="342"/>
      <c r="S39" s="288"/>
      <c r="T39" s="288"/>
      <c r="U39" s="288"/>
      <c r="V39" s="288"/>
      <c r="W39" s="288"/>
      <c r="X39" s="288"/>
      <c r="Y39" s="288"/>
      <c r="Z39" s="288"/>
      <c r="AA39" s="288"/>
      <c r="AB39" s="288"/>
      <c r="AC39" s="288"/>
      <c r="AD39" s="288"/>
      <c r="AE39" s="288"/>
      <c r="AF39" s="288"/>
      <c r="AG39" s="288"/>
      <c r="AH39" s="288"/>
      <c r="AI39" s="288"/>
      <c r="AJ39" s="288"/>
      <c r="AK39" s="288"/>
      <c r="AL39" s="288"/>
      <c r="AM39" s="288"/>
      <c r="AN39" s="288"/>
      <c r="AO39" s="275">
        <v>18.5</v>
      </c>
      <c r="AP39" s="276">
        <v>0.99850000000000005</v>
      </c>
      <c r="AQ39" s="276">
        <v>1.0003</v>
      </c>
      <c r="AR39" s="288"/>
      <c r="AS39" s="288"/>
      <c r="AT39" s="288"/>
    </row>
    <row r="40" spans="1:46" s="231" customFormat="1" x14ac:dyDescent="0.2">
      <c r="A40" s="683"/>
      <c r="B40" s="683"/>
      <c r="C40" s="683"/>
      <c r="D40" s="683"/>
      <c r="E40" s="683"/>
      <c r="F40" s="340"/>
      <c r="G40" s="336"/>
      <c r="H40" s="345"/>
      <c r="I40" s="340"/>
      <c r="J40" s="336"/>
      <c r="K40" s="345"/>
      <c r="N40" s="346">
        <v>11</v>
      </c>
      <c r="O40" s="317" t="s">
        <v>229</v>
      </c>
      <c r="P40" s="288"/>
      <c r="Q40" s="288"/>
      <c r="R40" s="288"/>
      <c r="X40" s="347"/>
      <c r="Y40" s="348"/>
      <c r="Z40" s="348"/>
      <c r="AA40" s="348"/>
      <c r="AH40" s="278"/>
      <c r="AI40" s="278"/>
      <c r="AJ40" s="278"/>
      <c r="AK40" s="278"/>
      <c r="AL40" s="278"/>
      <c r="AM40" s="278"/>
      <c r="AN40" s="278"/>
      <c r="AO40" s="275">
        <v>18.600000000000001</v>
      </c>
      <c r="AP40" s="276">
        <v>0.99848000000000003</v>
      </c>
      <c r="AQ40" s="276">
        <v>1.0002800000000001</v>
      </c>
      <c r="AR40" s="278"/>
      <c r="AS40" s="278"/>
      <c r="AT40" s="278"/>
    </row>
    <row r="41" spans="1:46" s="231" customFormat="1" ht="22.5" customHeight="1" x14ac:dyDescent="0.2">
      <c r="A41" s="683"/>
      <c r="B41" s="683"/>
      <c r="C41" s="683"/>
      <c r="D41" s="683"/>
      <c r="E41" s="683"/>
      <c r="F41" s="684" t="s">
        <v>191</v>
      </c>
      <c r="G41" s="684"/>
      <c r="H41" s="317"/>
      <c r="I41" s="684" t="s">
        <v>192</v>
      </c>
      <c r="J41" s="684"/>
      <c r="K41" s="684"/>
      <c r="L41" s="329"/>
      <c r="M41" s="329"/>
      <c r="N41" s="277"/>
      <c r="O41" s="231" t="s">
        <v>230</v>
      </c>
      <c r="S41" s="329"/>
      <c r="T41" s="329"/>
      <c r="U41" s="329"/>
      <c r="V41" s="329"/>
      <c r="W41" s="329"/>
      <c r="X41" s="329"/>
      <c r="Y41" s="329"/>
      <c r="Z41" s="288"/>
      <c r="AA41" s="288"/>
      <c r="AB41" s="288"/>
      <c r="AC41" s="288"/>
      <c r="AD41" s="288"/>
      <c r="AE41" s="288"/>
      <c r="AF41" s="288"/>
      <c r="AG41" s="288"/>
      <c r="AH41" s="288"/>
      <c r="AI41" s="288"/>
      <c r="AJ41" s="288"/>
      <c r="AK41" s="288"/>
      <c r="AL41" s="288"/>
      <c r="AM41" s="288"/>
      <c r="AN41" s="288"/>
      <c r="AO41" s="275">
        <v>18.7</v>
      </c>
      <c r="AP41" s="276">
        <v>0.99846999999999997</v>
      </c>
      <c r="AQ41" s="276">
        <v>1.0002599999999999</v>
      </c>
      <c r="AR41" s="288"/>
      <c r="AS41" s="288"/>
      <c r="AT41" s="288"/>
    </row>
    <row r="42" spans="1:46" s="231" customFormat="1" ht="21" customHeight="1" x14ac:dyDescent="0.2">
      <c r="A42" s="683"/>
      <c r="B42" s="683"/>
      <c r="C42" s="683"/>
      <c r="D42" s="683"/>
      <c r="E42" s="683"/>
      <c r="F42" s="681" t="s">
        <v>193</v>
      </c>
      <c r="G42" s="681"/>
      <c r="I42" s="681" t="s">
        <v>231</v>
      </c>
      <c r="J42" s="681"/>
      <c r="K42" s="681"/>
      <c r="L42" s="329"/>
      <c r="M42" s="329"/>
      <c r="N42" s="349">
        <f>N39/(N39-N40)</f>
        <v>1.5789473684210527</v>
      </c>
      <c r="O42" s="565" t="s">
        <v>232</v>
      </c>
      <c r="P42" s="566"/>
      <c r="Q42" s="566"/>
      <c r="R42" s="566"/>
      <c r="S42" s="329"/>
      <c r="T42" s="329"/>
      <c r="U42" s="329"/>
      <c r="V42" s="329"/>
      <c r="W42" s="329"/>
      <c r="X42" s="329"/>
      <c r="Y42" s="329"/>
      <c r="Z42" s="288"/>
      <c r="AA42" s="288"/>
      <c r="AB42" s="288"/>
      <c r="AC42" s="288"/>
      <c r="AD42" s="288"/>
      <c r="AE42" s="288"/>
      <c r="AF42" s="288"/>
      <c r="AG42" s="288"/>
      <c r="AH42" s="288"/>
      <c r="AI42" s="288"/>
      <c r="AJ42" s="288"/>
      <c r="AK42" s="288"/>
      <c r="AL42" s="288"/>
      <c r="AM42" s="288"/>
      <c r="AN42" s="288"/>
      <c r="AO42" s="275">
        <v>18.8</v>
      </c>
      <c r="AP42" s="276">
        <v>0.99844999999999995</v>
      </c>
      <c r="AQ42" s="276">
        <v>1.00024</v>
      </c>
      <c r="AR42" s="288"/>
      <c r="AS42" s="288"/>
      <c r="AT42" s="288"/>
    </row>
    <row r="43" spans="1:46" s="231" customFormat="1" thickBot="1" x14ac:dyDescent="0.25">
      <c r="A43" s="668" t="s">
        <v>233</v>
      </c>
      <c r="B43" s="669"/>
      <c r="C43" s="669"/>
      <c r="D43" s="669"/>
      <c r="E43" s="669"/>
      <c r="F43" s="669"/>
      <c r="G43" s="669"/>
      <c r="H43" s="669"/>
      <c r="I43" s="669"/>
      <c r="J43" s="669"/>
      <c r="K43" s="670"/>
      <c r="O43" s="288"/>
      <c r="P43" s="288"/>
      <c r="Q43" s="288"/>
      <c r="R43" s="288"/>
      <c r="S43" s="288"/>
      <c r="T43" s="288"/>
      <c r="U43" s="288"/>
      <c r="V43" s="288"/>
      <c r="W43" s="288"/>
      <c r="X43" s="288"/>
      <c r="Y43" s="288"/>
      <c r="Z43" s="288"/>
      <c r="AA43" s="288"/>
      <c r="AB43" s="288"/>
      <c r="AC43" s="288"/>
      <c r="AD43" s="288"/>
      <c r="AE43" s="288"/>
      <c r="AF43" s="288"/>
      <c r="AG43" s="288"/>
      <c r="AH43" s="288"/>
      <c r="AI43" s="288"/>
      <c r="AJ43" s="288"/>
      <c r="AK43" s="288"/>
      <c r="AL43" s="288"/>
      <c r="AM43" s="288"/>
      <c r="AN43" s="288"/>
      <c r="AO43" s="275">
        <v>18.899999999999999</v>
      </c>
      <c r="AP43" s="276">
        <v>0.99843000000000004</v>
      </c>
      <c r="AQ43" s="276">
        <v>1.0002200000000001</v>
      </c>
      <c r="AR43" s="288"/>
      <c r="AS43" s="288"/>
      <c r="AT43" s="288"/>
    </row>
    <row r="44" spans="1:46" s="231" customFormat="1" thickBot="1" x14ac:dyDescent="0.25">
      <c r="A44" s="288"/>
      <c r="B44" s="288"/>
      <c r="C44" s="288"/>
      <c r="D44" s="288"/>
      <c r="E44" s="288"/>
      <c r="F44" s="288"/>
      <c r="G44" s="288"/>
      <c r="H44" s="288"/>
      <c r="I44" s="288"/>
      <c r="J44" s="288"/>
      <c r="K44" s="288"/>
      <c r="L44" s="344"/>
      <c r="M44" s="342"/>
      <c r="N44" s="342"/>
      <c r="O44" s="342"/>
      <c r="P44" s="342"/>
      <c r="Q44" s="342"/>
      <c r="R44" s="342"/>
      <c r="S44" s="342"/>
      <c r="T44" s="342"/>
      <c r="U44" s="342"/>
      <c r="V44" s="342"/>
      <c r="W44" s="342"/>
      <c r="X44" s="342"/>
      <c r="Y44" s="342"/>
      <c r="Z44" s="288"/>
      <c r="AA44" s="288"/>
      <c r="AB44" s="288"/>
      <c r="AC44" s="288"/>
      <c r="AD44" s="288"/>
      <c r="AE44" s="288"/>
      <c r="AF44" s="288"/>
      <c r="AG44" s="288"/>
      <c r="AH44" s="288"/>
      <c r="AI44" s="288"/>
      <c r="AJ44" s="288"/>
      <c r="AK44" s="288"/>
      <c r="AL44" s="288"/>
      <c r="AM44" s="288"/>
      <c r="AN44" s="288"/>
      <c r="AO44" s="272">
        <v>19</v>
      </c>
      <c r="AP44" s="273">
        <v>0.99841000000000002</v>
      </c>
      <c r="AQ44" s="273">
        <v>1.0002</v>
      </c>
      <c r="AR44" s="288"/>
      <c r="AS44" s="288"/>
      <c r="AT44" s="288"/>
    </row>
    <row r="45" spans="1:46" s="288" customFormat="1" ht="29.25" thickBot="1" x14ac:dyDescent="0.25">
      <c r="A45" s="231"/>
      <c r="B45" s="232"/>
      <c r="C45" s="448" t="s">
        <v>187</v>
      </c>
      <c r="D45" s="448"/>
      <c r="E45" s="232"/>
      <c r="F45" s="230" t="s">
        <v>188</v>
      </c>
      <c r="G45" s="231"/>
      <c r="H45" s="348"/>
      <c r="I45" s="348"/>
      <c r="J45" s="348"/>
      <c r="K45" s="231"/>
      <c r="AO45" s="275">
        <v>19.100000000000001</v>
      </c>
      <c r="AP45" s="276">
        <v>0.99839</v>
      </c>
      <c r="AQ45" s="276">
        <v>1.0001800000000001</v>
      </c>
    </row>
    <row r="46" spans="1:46" s="231" customFormat="1" x14ac:dyDescent="0.2">
      <c r="A46" s="286"/>
      <c r="B46" s="286"/>
      <c r="C46" s="448"/>
      <c r="D46" s="448"/>
      <c r="E46" s="350"/>
      <c r="F46" s="286"/>
      <c r="G46" s="286"/>
      <c r="H46" s="286"/>
      <c r="I46" s="286"/>
      <c r="J46" s="286"/>
      <c r="K46" s="286"/>
      <c r="O46" s="288"/>
      <c r="P46" s="288"/>
      <c r="Q46" s="288"/>
      <c r="R46" s="288"/>
      <c r="S46" s="288"/>
      <c r="T46" s="288"/>
      <c r="U46" s="288"/>
      <c r="V46" s="288"/>
      <c r="W46" s="288"/>
      <c r="X46" s="288"/>
      <c r="Y46" s="288"/>
      <c r="Z46" s="288"/>
      <c r="AA46" s="288"/>
      <c r="AB46" s="288"/>
      <c r="AC46" s="288"/>
      <c r="AD46" s="288"/>
      <c r="AE46" s="288"/>
      <c r="AF46" s="288"/>
      <c r="AG46" s="288"/>
      <c r="AH46" s="288"/>
      <c r="AI46" s="288"/>
      <c r="AJ46" s="288"/>
      <c r="AK46" s="288"/>
      <c r="AL46" s="288"/>
      <c r="AM46" s="288"/>
      <c r="AN46" s="288"/>
      <c r="AO46" s="275">
        <v>19.2</v>
      </c>
      <c r="AP46" s="276">
        <v>0.99836999999999998</v>
      </c>
      <c r="AQ46" s="276">
        <v>1.0001599999999999</v>
      </c>
      <c r="AR46" s="288"/>
      <c r="AS46" s="288"/>
      <c r="AT46" s="288"/>
    </row>
    <row r="47" spans="1:46" x14ac:dyDescent="0.2">
      <c r="C47" s="448"/>
      <c r="D47" s="448"/>
      <c r="E47" s="350"/>
      <c r="AO47" s="275">
        <v>19.3</v>
      </c>
      <c r="AP47" s="276">
        <v>0.99834999999999996</v>
      </c>
      <c r="AQ47" s="276">
        <v>1.00014</v>
      </c>
    </row>
    <row r="48" spans="1:46" x14ac:dyDescent="0.2">
      <c r="C48" s="448"/>
      <c r="D48" s="448"/>
      <c r="E48" s="350"/>
      <c r="AO48" s="275">
        <v>19.399999999999999</v>
      </c>
      <c r="AP48" s="276">
        <v>0.99833000000000005</v>
      </c>
      <c r="AQ48" s="276">
        <v>1.0001199999999999</v>
      </c>
    </row>
    <row r="49" spans="2:43" x14ac:dyDescent="0.2">
      <c r="C49" s="448"/>
      <c r="D49" s="448"/>
      <c r="AO49" s="275">
        <v>19.5</v>
      </c>
      <c r="AP49" s="276">
        <v>0.99831000000000003</v>
      </c>
      <c r="AQ49" s="276">
        <v>1.0001</v>
      </c>
    </row>
    <row r="50" spans="2:43" x14ac:dyDescent="0.2">
      <c r="C50" s="448"/>
      <c r="D50" s="448"/>
      <c r="AO50" s="275">
        <v>19.600000000000001</v>
      </c>
      <c r="AP50" s="276">
        <v>0.99829000000000001</v>
      </c>
      <c r="AQ50" s="276">
        <v>1.0000800000000001</v>
      </c>
    </row>
    <row r="51" spans="2:43" x14ac:dyDescent="0.2">
      <c r="AO51" s="275">
        <v>19.7</v>
      </c>
      <c r="AP51" s="276">
        <v>0.99826999999999999</v>
      </c>
      <c r="AQ51" s="276">
        <v>1.0000599999999999</v>
      </c>
    </row>
    <row r="52" spans="2:43" x14ac:dyDescent="0.2">
      <c r="AO52" s="275">
        <v>19.8</v>
      </c>
      <c r="AP52" s="276">
        <v>0.99824999999999997</v>
      </c>
      <c r="AQ52" s="276">
        <v>1.00004</v>
      </c>
    </row>
    <row r="53" spans="2:43" x14ac:dyDescent="0.2">
      <c r="AO53" s="275">
        <v>19.899999999999999</v>
      </c>
      <c r="AP53" s="276">
        <v>0.99822999999999995</v>
      </c>
      <c r="AQ53" s="276">
        <v>1.0000199999999999</v>
      </c>
    </row>
    <row r="54" spans="2:43" x14ac:dyDescent="0.2">
      <c r="AO54" s="272">
        <v>20</v>
      </c>
      <c r="AP54" s="273">
        <v>0.99821000000000004</v>
      </c>
      <c r="AQ54" s="273">
        <v>1</v>
      </c>
    </row>
    <row r="55" spans="2:43" x14ac:dyDescent="0.2">
      <c r="AO55" s="275">
        <v>20.100000000000001</v>
      </c>
      <c r="AP55" s="276">
        <v>0.99819000000000002</v>
      </c>
      <c r="AQ55" s="276">
        <v>0.99997999999999998</v>
      </c>
    </row>
    <row r="56" spans="2:43" x14ac:dyDescent="0.2">
      <c r="AO56" s="275">
        <v>20.2</v>
      </c>
      <c r="AP56" s="276">
        <v>0.99816000000000005</v>
      </c>
      <c r="AQ56" s="276">
        <v>0.99995999999999996</v>
      </c>
    </row>
    <row r="57" spans="2:43" x14ac:dyDescent="0.2">
      <c r="B57" s="351">
        <v>1</v>
      </c>
      <c r="C57" s="352"/>
      <c r="D57" s="351">
        <v>2</v>
      </c>
      <c r="E57" s="352"/>
      <c r="F57" s="351">
        <v>3</v>
      </c>
      <c r="G57" s="352"/>
      <c r="H57" s="351">
        <v>4</v>
      </c>
      <c r="I57" s="352"/>
      <c r="J57" s="351">
        <v>5</v>
      </c>
      <c r="K57" s="352"/>
      <c r="AO57" s="275">
        <v>20.3</v>
      </c>
      <c r="AP57" s="276">
        <v>0.99814000000000003</v>
      </c>
      <c r="AQ57" s="276">
        <v>0.99994000000000005</v>
      </c>
    </row>
    <row r="58" spans="2:43" x14ac:dyDescent="0.2">
      <c r="B58" s="353" t="s">
        <v>234</v>
      </c>
      <c r="C58" s="353" t="s">
        <v>235</v>
      </c>
      <c r="D58" s="353" t="s">
        <v>234</v>
      </c>
      <c r="E58" s="353" t="s">
        <v>235</v>
      </c>
      <c r="F58" s="353" t="s">
        <v>234</v>
      </c>
      <c r="G58" s="353" t="s">
        <v>235</v>
      </c>
      <c r="H58" s="353" t="s">
        <v>234</v>
      </c>
      <c r="I58" s="353" t="s">
        <v>235</v>
      </c>
      <c r="J58" s="354" t="s">
        <v>234</v>
      </c>
      <c r="K58" s="354" t="s">
        <v>235</v>
      </c>
      <c r="L58" s="351">
        <v>6</v>
      </c>
      <c r="M58" s="352"/>
      <c r="AO58" s="275">
        <v>20.399999999999999</v>
      </c>
      <c r="AP58" s="276">
        <v>0.99812000000000001</v>
      </c>
      <c r="AQ58" s="276">
        <v>0.99992000000000003</v>
      </c>
    </row>
    <row r="59" spans="2:43" x14ac:dyDescent="0.2">
      <c r="B59" s="353">
        <v>40.799999999999997</v>
      </c>
      <c r="C59" s="353">
        <v>682.68</v>
      </c>
      <c r="D59" s="353">
        <v>40.299999999999997</v>
      </c>
      <c r="E59" s="353">
        <v>689.51</v>
      </c>
      <c r="F59" s="353">
        <v>39.1</v>
      </c>
      <c r="G59" s="353">
        <v>346.88</v>
      </c>
      <c r="H59" s="353">
        <v>40.299999999999997</v>
      </c>
      <c r="I59" s="353">
        <v>341.81</v>
      </c>
      <c r="J59" s="354">
        <v>36.6</v>
      </c>
      <c r="K59" s="354">
        <v>341.6</v>
      </c>
      <c r="L59" s="354" t="s">
        <v>234</v>
      </c>
      <c r="M59" s="354" t="s">
        <v>235</v>
      </c>
      <c r="AO59" s="275">
        <v>20.5</v>
      </c>
      <c r="AP59" s="276">
        <v>0.99809999999999999</v>
      </c>
      <c r="AQ59" s="276">
        <v>0.99990000000000001</v>
      </c>
    </row>
    <row r="60" spans="2:43" x14ac:dyDescent="0.2">
      <c r="B60" s="353">
        <v>38.6</v>
      </c>
      <c r="C60" s="353">
        <v>683.11</v>
      </c>
      <c r="D60" s="353">
        <v>38.200000000000003</v>
      </c>
      <c r="E60" s="353">
        <v>689.95</v>
      </c>
      <c r="F60" s="353">
        <v>37</v>
      </c>
      <c r="G60" s="353">
        <v>346.98</v>
      </c>
      <c r="H60" s="353">
        <v>38.5</v>
      </c>
      <c r="I60" s="353">
        <v>341.9</v>
      </c>
      <c r="J60" s="354">
        <v>29.5</v>
      </c>
      <c r="K60" s="354">
        <v>342.12</v>
      </c>
      <c r="L60" s="354">
        <v>36.4</v>
      </c>
      <c r="M60" s="354">
        <v>353.61</v>
      </c>
      <c r="AO60" s="275">
        <v>20.6</v>
      </c>
      <c r="AP60" s="276">
        <v>0.99807999999999997</v>
      </c>
      <c r="AQ60" s="276">
        <v>0.99987000000000004</v>
      </c>
    </row>
    <row r="61" spans="2:43" x14ac:dyDescent="0.2">
      <c r="B61" s="353">
        <v>36.9</v>
      </c>
      <c r="C61" s="353">
        <v>683.4</v>
      </c>
      <c r="D61" s="353">
        <v>36.299999999999997</v>
      </c>
      <c r="E61" s="353">
        <v>690.2</v>
      </c>
      <c r="F61" s="353">
        <v>34.799999999999997</v>
      </c>
      <c r="G61" s="353">
        <v>347.22</v>
      </c>
      <c r="H61" s="353">
        <v>35.5</v>
      </c>
      <c r="I61" s="353">
        <v>342.18</v>
      </c>
      <c r="J61" s="354">
        <v>25.7</v>
      </c>
      <c r="K61" s="354">
        <v>342.42</v>
      </c>
      <c r="L61" s="354">
        <v>29.8</v>
      </c>
      <c r="M61" s="354">
        <v>354.15</v>
      </c>
      <c r="AO61" s="275">
        <v>20.7</v>
      </c>
      <c r="AP61" s="276">
        <v>0.99805999999999995</v>
      </c>
      <c r="AQ61" s="276">
        <v>0.99985000000000002</v>
      </c>
    </row>
    <row r="62" spans="2:43" x14ac:dyDescent="0.2">
      <c r="B62" s="353">
        <v>34.6</v>
      </c>
      <c r="C62" s="353">
        <v>683.67</v>
      </c>
      <c r="D62" s="353">
        <v>33.299999999999997</v>
      </c>
      <c r="E62" s="353">
        <v>690.6</v>
      </c>
      <c r="F62" s="353">
        <v>32.200000000000003</v>
      </c>
      <c r="G62" s="353">
        <v>347.46</v>
      </c>
      <c r="H62" s="353">
        <v>33.799999999999997</v>
      </c>
      <c r="I62" s="353">
        <v>342.4</v>
      </c>
      <c r="J62" s="354">
        <v>23</v>
      </c>
      <c r="K62" s="354">
        <v>342.56</v>
      </c>
      <c r="L62" s="354">
        <v>26.1</v>
      </c>
      <c r="M62" s="354">
        <v>354.35</v>
      </c>
      <c r="AO62" s="275">
        <v>20.8</v>
      </c>
      <c r="AP62" s="276">
        <v>0.99804000000000004</v>
      </c>
      <c r="AQ62" s="276">
        <v>0.99983</v>
      </c>
    </row>
    <row r="63" spans="2:43" x14ac:dyDescent="0.2">
      <c r="B63" s="353">
        <v>31.6</v>
      </c>
      <c r="C63" s="353">
        <v>684.13</v>
      </c>
      <c r="D63" s="353">
        <v>31.9</v>
      </c>
      <c r="E63" s="353">
        <v>690.79</v>
      </c>
      <c r="F63" s="353">
        <v>27.7</v>
      </c>
      <c r="G63" s="353">
        <v>347.58</v>
      </c>
      <c r="H63" s="353">
        <v>29.9</v>
      </c>
      <c r="I63" s="353">
        <v>342.52</v>
      </c>
      <c r="J63" s="354">
        <v>18.3</v>
      </c>
      <c r="K63" s="354">
        <v>342.77</v>
      </c>
      <c r="L63" s="354">
        <v>23.1</v>
      </c>
      <c r="M63" s="354">
        <v>354.55</v>
      </c>
      <c r="AO63" s="275">
        <v>20.9</v>
      </c>
      <c r="AP63" s="276">
        <v>0.99802000000000002</v>
      </c>
      <c r="AQ63" s="276">
        <v>0.99980999999999998</v>
      </c>
    </row>
    <row r="64" spans="2:43" x14ac:dyDescent="0.2">
      <c r="B64" s="353">
        <v>30.4</v>
      </c>
      <c r="C64" s="353">
        <v>684.45</v>
      </c>
      <c r="D64" s="353">
        <v>30.8</v>
      </c>
      <c r="E64" s="353">
        <v>690.96</v>
      </c>
      <c r="F64" s="353">
        <v>26.3</v>
      </c>
      <c r="G64" s="353">
        <v>347.65</v>
      </c>
      <c r="H64" s="353">
        <v>27.3</v>
      </c>
      <c r="I64" s="353">
        <v>342.82</v>
      </c>
      <c r="J64" s="355"/>
      <c r="K64" s="355"/>
      <c r="L64" s="354">
        <v>18.3</v>
      </c>
      <c r="M64" s="354">
        <v>354.7</v>
      </c>
      <c r="AO64" s="272">
        <v>21</v>
      </c>
      <c r="AP64" s="273">
        <v>0.99799000000000004</v>
      </c>
      <c r="AQ64" s="273">
        <v>0.99978999999999996</v>
      </c>
    </row>
    <row r="65" spans="1:43" x14ac:dyDescent="0.2">
      <c r="B65" s="353">
        <v>29.3</v>
      </c>
      <c r="C65" s="353">
        <v>684.61</v>
      </c>
      <c r="D65" s="353">
        <v>24.9</v>
      </c>
      <c r="E65" s="353">
        <v>691.44</v>
      </c>
      <c r="F65" s="353">
        <v>20.399999999999999</v>
      </c>
      <c r="G65" s="353">
        <v>348.1</v>
      </c>
      <c r="H65" s="353">
        <v>25.5</v>
      </c>
      <c r="I65" s="353">
        <v>342.96</v>
      </c>
      <c r="J65" s="355"/>
      <c r="K65" s="355"/>
      <c r="L65" s="355"/>
      <c r="M65" s="355"/>
      <c r="AO65" s="275">
        <v>21.1</v>
      </c>
      <c r="AP65" s="276">
        <v>0.99797000000000002</v>
      </c>
      <c r="AQ65" s="276">
        <v>0.99977000000000005</v>
      </c>
    </row>
    <row r="66" spans="1:43" x14ac:dyDescent="0.2">
      <c r="B66" s="353">
        <v>25.1</v>
      </c>
      <c r="C66" s="353">
        <v>685.16</v>
      </c>
      <c r="D66" s="353">
        <v>22.2</v>
      </c>
      <c r="E66" s="353">
        <v>691.69</v>
      </c>
      <c r="F66" s="353">
        <v>18.100000000000001</v>
      </c>
      <c r="G66" s="353">
        <v>348.17</v>
      </c>
      <c r="H66" s="353">
        <v>20.5</v>
      </c>
      <c r="I66" s="353">
        <v>343.13</v>
      </c>
      <c r="J66" s="355"/>
      <c r="K66" s="355"/>
      <c r="L66" s="355"/>
      <c r="M66" s="355"/>
      <c r="AO66" s="275">
        <v>21.2</v>
      </c>
      <c r="AP66" s="276">
        <v>0.99795</v>
      </c>
      <c r="AQ66" s="276">
        <v>0.99973999999999996</v>
      </c>
    </row>
    <row r="67" spans="1:43" x14ac:dyDescent="0.2">
      <c r="B67" s="353">
        <v>23.8</v>
      </c>
      <c r="C67" s="353">
        <v>685.27</v>
      </c>
      <c r="D67" s="353">
        <v>21.6</v>
      </c>
      <c r="E67" s="353">
        <v>691.76</v>
      </c>
      <c r="F67" s="355"/>
      <c r="G67" s="355"/>
      <c r="H67" s="353">
        <v>18</v>
      </c>
      <c r="I67" s="353">
        <v>343.21</v>
      </c>
      <c r="J67" s="355"/>
      <c r="K67" s="355"/>
      <c r="L67" s="355"/>
      <c r="M67" s="355"/>
      <c r="AO67" s="275">
        <v>21.3</v>
      </c>
      <c r="AP67" s="276">
        <v>0.99792999999999998</v>
      </c>
      <c r="AQ67" s="276">
        <v>0.99972000000000005</v>
      </c>
    </row>
    <row r="68" spans="1:43" x14ac:dyDescent="0.2">
      <c r="B68" s="353">
        <v>22.5</v>
      </c>
      <c r="C68" s="353">
        <v>685.41</v>
      </c>
      <c r="D68" s="353">
        <v>20.9</v>
      </c>
      <c r="E68" s="353">
        <v>691.86</v>
      </c>
      <c r="F68" s="355"/>
      <c r="G68" s="355"/>
      <c r="H68" s="355"/>
      <c r="I68" s="355"/>
      <c r="J68" s="355"/>
      <c r="K68" s="355"/>
      <c r="L68" s="355"/>
      <c r="M68" s="355"/>
      <c r="AO68" s="275">
        <v>21.4</v>
      </c>
      <c r="AP68" s="276">
        <v>0.99790999999999996</v>
      </c>
      <c r="AQ68" s="276">
        <v>0.99970000000000003</v>
      </c>
    </row>
    <row r="69" spans="1:43" x14ac:dyDescent="0.2">
      <c r="B69" s="353">
        <v>21.6</v>
      </c>
      <c r="C69" s="353">
        <v>685.54</v>
      </c>
      <c r="D69" s="353">
        <v>20.100000000000001</v>
      </c>
      <c r="E69" s="353">
        <v>691.95</v>
      </c>
      <c r="F69" s="355"/>
      <c r="G69" s="355"/>
      <c r="H69" s="355"/>
      <c r="I69" s="355"/>
      <c r="J69" s="355"/>
      <c r="K69" s="355"/>
      <c r="L69" s="355"/>
      <c r="M69" s="355"/>
      <c r="AO69" s="275">
        <v>21.5</v>
      </c>
      <c r="AP69" s="276">
        <v>0.99789000000000005</v>
      </c>
      <c r="AQ69" s="276">
        <v>0.99968000000000001</v>
      </c>
    </row>
    <row r="70" spans="1:43" x14ac:dyDescent="0.2">
      <c r="B70" s="353">
        <v>21.1</v>
      </c>
      <c r="C70" s="353">
        <v>685.61</v>
      </c>
      <c r="D70" s="353">
        <v>19.7</v>
      </c>
      <c r="E70" s="353">
        <v>692.08</v>
      </c>
      <c r="F70" s="355"/>
      <c r="G70" s="355"/>
      <c r="H70" s="355"/>
      <c r="I70" s="355"/>
      <c r="J70" s="355"/>
      <c r="K70" s="355"/>
      <c r="L70" s="355"/>
      <c r="M70" s="355"/>
      <c r="AO70" s="275">
        <v>21.6</v>
      </c>
      <c r="AP70" s="276">
        <v>0.99785999999999997</v>
      </c>
      <c r="AQ70" s="276">
        <v>0.99965999999999999</v>
      </c>
    </row>
    <row r="71" spans="1:43" x14ac:dyDescent="0.2">
      <c r="B71" s="353">
        <v>20.9</v>
      </c>
      <c r="C71" s="353">
        <v>685.62</v>
      </c>
      <c r="D71" s="353">
        <v>19.2</v>
      </c>
      <c r="E71" s="353">
        <v>692.23</v>
      </c>
      <c r="F71" s="355"/>
      <c r="G71" s="355"/>
      <c r="H71" s="355"/>
      <c r="I71" s="355"/>
      <c r="J71" s="355"/>
      <c r="K71" s="355"/>
      <c r="L71" s="355"/>
      <c r="M71" s="355"/>
      <c r="AO71" s="275">
        <v>21.7</v>
      </c>
      <c r="AP71" s="276">
        <v>0.99783999999999995</v>
      </c>
      <c r="AQ71" s="276">
        <v>0.99963000000000002</v>
      </c>
    </row>
    <row r="72" spans="1:43" x14ac:dyDescent="0.2">
      <c r="B72" s="353">
        <v>19.7</v>
      </c>
      <c r="C72" s="353">
        <v>685.73</v>
      </c>
      <c r="D72" s="353">
        <v>18.600000000000001</v>
      </c>
      <c r="E72" s="353">
        <v>692.37</v>
      </c>
      <c r="F72" s="355"/>
      <c r="G72" s="355"/>
      <c r="H72" s="355"/>
      <c r="I72" s="355"/>
      <c r="J72" s="355"/>
      <c r="K72" s="355"/>
      <c r="L72" s="355"/>
      <c r="M72" s="355"/>
      <c r="AO72" s="275">
        <v>21.8</v>
      </c>
      <c r="AP72" s="276">
        <v>0.99782000000000004</v>
      </c>
      <c r="AQ72" s="276">
        <v>0.99961</v>
      </c>
    </row>
    <row r="73" spans="1:43" x14ac:dyDescent="0.2">
      <c r="B73" s="353">
        <v>18.600000000000001</v>
      </c>
      <c r="C73" s="353">
        <v>685.95</v>
      </c>
      <c r="D73" s="355"/>
      <c r="E73" s="355"/>
      <c r="F73" s="355"/>
      <c r="G73" s="355"/>
      <c r="H73" s="355"/>
      <c r="I73" s="355"/>
      <c r="J73" s="355"/>
      <c r="K73" s="355"/>
      <c r="L73" s="355"/>
      <c r="M73" s="355"/>
      <c r="AO73" s="275">
        <v>21.9</v>
      </c>
      <c r="AP73" s="276">
        <v>0.99780000000000002</v>
      </c>
      <c r="AQ73" s="276">
        <v>0.99958999999999998</v>
      </c>
    </row>
    <row r="74" spans="1:43" x14ac:dyDescent="0.2">
      <c r="C74" s="355"/>
      <c r="E74" s="355"/>
      <c r="G74" s="355"/>
      <c r="I74" s="355"/>
      <c r="K74" s="355"/>
      <c r="L74" s="355"/>
      <c r="M74" s="355"/>
      <c r="AO74" s="272">
        <v>22</v>
      </c>
      <c r="AP74" s="273">
        <v>0.99777000000000005</v>
      </c>
      <c r="AQ74" s="273">
        <v>0.99956999999999996</v>
      </c>
    </row>
    <row r="75" spans="1:43" x14ac:dyDescent="0.2">
      <c r="C75" s="356"/>
      <c r="E75" s="355"/>
      <c r="G75" s="355"/>
      <c r="I75" s="355"/>
      <c r="K75" s="355"/>
      <c r="M75" s="355"/>
      <c r="AO75" s="275">
        <v>22.1</v>
      </c>
      <c r="AP75" s="276">
        <v>0.99775000000000003</v>
      </c>
      <c r="AQ75" s="276">
        <v>0.99953999999999998</v>
      </c>
    </row>
    <row r="76" spans="1:43" x14ac:dyDescent="0.2">
      <c r="B76" s="357"/>
      <c r="C76" s="358"/>
      <c r="M76" s="355"/>
      <c r="AO76" s="275">
        <v>22.2</v>
      </c>
      <c r="AP76" s="276">
        <v>0.99773000000000001</v>
      </c>
      <c r="AQ76" s="276">
        <v>0.99951999999999996</v>
      </c>
    </row>
    <row r="77" spans="1:43" x14ac:dyDescent="0.2">
      <c r="B77" s="357"/>
      <c r="AO77" s="275">
        <v>22.3</v>
      </c>
      <c r="AP77" s="276">
        <v>0.99770000000000003</v>
      </c>
      <c r="AQ77" s="276">
        <v>0.99950000000000006</v>
      </c>
    </row>
    <row r="78" spans="1:43" ht="15.75" thickBot="1" x14ac:dyDescent="0.25">
      <c r="AO78" s="275">
        <v>22.4</v>
      </c>
      <c r="AP78" s="276">
        <v>0.99768000000000001</v>
      </c>
      <c r="AQ78" s="276">
        <v>0.99946999999999997</v>
      </c>
    </row>
    <row r="79" spans="1:43" ht="15.75" thickBot="1" x14ac:dyDescent="0.25">
      <c r="A79" s="286">
        <v>1</v>
      </c>
      <c r="B79" s="359">
        <v>1</v>
      </c>
      <c r="C79" s="360">
        <v>2</v>
      </c>
      <c r="D79" s="361">
        <v>3</v>
      </c>
      <c r="E79" s="361">
        <v>4</v>
      </c>
      <c r="F79" s="361">
        <v>5</v>
      </c>
      <c r="G79" s="362">
        <v>6</v>
      </c>
      <c r="AO79" s="275">
        <v>22.5</v>
      </c>
      <c r="AP79" s="276">
        <v>0.99765999999999999</v>
      </c>
      <c r="AQ79" s="276">
        <v>0.99944999999999995</v>
      </c>
    </row>
    <row r="80" spans="1:43" ht="15.75" x14ac:dyDescent="0.25">
      <c r="A80" s="286">
        <v>2</v>
      </c>
      <c r="B80" s="363">
        <f>$G$23</f>
        <v>0</v>
      </c>
      <c r="C80" s="363">
        <f t="shared" ref="C80:G80" si="0">$G$23</f>
        <v>0</v>
      </c>
      <c r="D80" s="363">
        <f t="shared" si="0"/>
        <v>0</v>
      </c>
      <c r="E80" s="363">
        <f t="shared" si="0"/>
        <v>0</v>
      </c>
      <c r="F80" s="363">
        <f t="shared" si="0"/>
        <v>0</v>
      </c>
      <c r="G80" s="363">
        <f t="shared" si="0"/>
        <v>0</v>
      </c>
      <c r="AO80" s="275">
        <v>22.6</v>
      </c>
      <c r="AP80" s="276">
        <v>0.99763999999999997</v>
      </c>
      <c r="AQ80" s="276">
        <v>0.99943000000000004</v>
      </c>
    </row>
    <row r="81" spans="1:43" ht="16.5" thickBot="1" x14ac:dyDescent="0.3">
      <c r="A81" s="286">
        <v>3</v>
      </c>
      <c r="B81" s="364">
        <f>-0.1428*(B80)+688.64</f>
        <v>688.64</v>
      </c>
      <c r="C81" s="365">
        <f>-0.1158*(C80)+694.37</f>
        <v>694.37</v>
      </c>
      <c r="D81" s="366">
        <f>-0.0614*D80+349.31</f>
        <v>349.31</v>
      </c>
      <c r="E81" s="367">
        <f>-0.0655*E80 + 344.51</f>
        <v>344.51</v>
      </c>
      <c r="F81" s="368">
        <f>-0.0652*F80+344.03</f>
        <v>344.03</v>
      </c>
      <c r="G81" s="369">
        <f>-0.061*G80+355.9</f>
        <v>355.9</v>
      </c>
      <c r="AO81" s="275">
        <v>22.7</v>
      </c>
      <c r="AP81" s="276">
        <v>0.99761</v>
      </c>
      <c r="AQ81" s="276">
        <v>0.99939999999999996</v>
      </c>
    </row>
    <row r="82" spans="1:43" x14ac:dyDescent="0.2">
      <c r="AO82" s="275">
        <v>22.8</v>
      </c>
      <c r="AP82" s="276">
        <v>0.99758999999999998</v>
      </c>
      <c r="AQ82" s="276">
        <v>0.99938000000000005</v>
      </c>
    </row>
    <row r="83" spans="1:43" x14ac:dyDescent="0.2">
      <c r="AO83" s="275">
        <v>22.9</v>
      </c>
      <c r="AP83" s="276">
        <v>0.99756</v>
      </c>
      <c r="AQ83" s="276">
        <v>0.99936000000000003</v>
      </c>
    </row>
    <row r="84" spans="1:43" x14ac:dyDescent="0.2">
      <c r="AO84" s="272">
        <v>23</v>
      </c>
      <c r="AP84" s="273">
        <v>0.99753999999999998</v>
      </c>
      <c r="AQ84" s="273">
        <v>0.99933000000000005</v>
      </c>
    </row>
    <row r="85" spans="1:43" x14ac:dyDescent="0.2">
      <c r="AO85" s="275">
        <v>23.1</v>
      </c>
      <c r="AP85" s="276">
        <v>0.99751999999999996</v>
      </c>
      <c r="AQ85" s="276">
        <v>0.99931000000000003</v>
      </c>
    </row>
    <row r="86" spans="1:43" x14ac:dyDescent="0.2">
      <c r="AO86" s="275">
        <v>23.2</v>
      </c>
      <c r="AP86" s="276">
        <v>0.99748999999999999</v>
      </c>
      <c r="AQ86" s="276">
        <v>0.99929000000000001</v>
      </c>
    </row>
    <row r="87" spans="1:43" ht="15.75" thickBot="1" x14ac:dyDescent="0.25">
      <c r="AO87" s="275">
        <v>23.3</v>
      </c>
      <c r="AP87" s="276">
        <v>0.99746999999999997</v>
      </c>
      <c r="AQ87" s="276">
        <v>0.99926000000000004</v>
      </c>
    </row>
    <row r="88" spans="1:43" ht="15.75" thickBot="1" x14ac:dyDescent="0.25">
      <c r="C88" s="370">
        <f>G19</f>
        <v>0</v>
      </c>
      <c r="D88" s="371"/>
      <c r="E88" s="286">
        <v>2</v>
      </c>
      <c r="AO88" s="275">
        <v>23.4</v>
      </c>
      <c r="AP88" s="276">
        <v>0.99744999999999995</v>
      </c>
      <c r="AQ88" s="276">
        <v>0.99924000000000002</v>
      </c>
    </row>
    <row r="89" spans="1:43" ht="15.75" thickBot="1" x14ac:dyDescent="0.25">
      <c r="C89" s="372" t="e">
        <f>HLOOKUP(C88,B79:G81,E88,FALSE)</f>
        <v>#N/A</v>
      </c>
      <c r="D89" s="372" t="e">
        <f>HLOOKUP(C88,B79:G81,E89,FALSE)</f>
        <v>#N/A</v>
      </c>
      <c r="E89" s="286">
        <v>3</v>
      </c>
      <c r="AO89" s="275">
        <v>23.5</v>
      </c>
      <c r="AP89" s="276">
        <v>0.99741999999999997</v>
      </c>
      <c r="AQ89" s="276">
        <v>0.99921000000000004</v>
      </c>
    </row>
    <row r="90" spans="1:43" x14ac:dyDescent="0.2">
      <c r="AO90" s="275">
        <v>23.6</v>
      </c>
      <c r="AP90" s="276">
        <v>0.99739999999999995</v>
      </c>
      <c r="AQ90" s="276">
        <v>0.99919000000000002</v>
      </c>
    </row>
    <row r="91" spans="1:43" x14ac:dyDescent="0.2">
      <c r="AO91" s="275">
        <v>23.7</v>
      </c>
      <c r="AP91" s="276">
        <v>0.99736999999999998</v>
      </c>
      <c r="AQ91" s="276">
        <v>0.99917</v>
      </c>
    </row>
    <row r="92" spans="1:43" x14ac:dyDescent="0.2">
      <c r="AO92" s="275">
        <v>23.8</v>
      </c>
      <c r="AP92" s="276">
        <v>0.99734999999999996</v>
      </c>
      <c r="AQ92" s="276">
        <v>0.99914000000000003</v>
      </c>
    </row>
    <row r="93" spans="1:43" x14ac:dyDescent="0.2">
      <c r="AO93" s="275">
        <v>23.9</v>
      </c>
      <c r="AP93" s="276">
        <v>0.99731999999999998</v>
      </c>
      <c r="AQ93" s="276">
        <v>0.99912000000000001</v>
      </c>
    </row>
    <row r="94" spans="1:43" x14ac:dyDescent="0.2">
      <c r="AO94" s="272">
        <v>24</v>
      </c>
      <c r="AP94" s="273">
        <v>0.99729999999999996</v>
      </c>
      <c r="AQ94" s="273">
        <v>0.99909000000000003</v>
      </c>
    </row>
    <row r="95" spans="1:43" x14ac:dyDescent="0.2">
      <c r="AO95" s="275">
        <v>24.1</v>
      </c>
      <c r="AP95" s="276">
        <v>0.99726999999999999</v>
      </c>
      <c r="AQ95" s="276">
        <v>0.99907000000000001</v>
      </c>
    </row>
    <row r="96" spans="1:43" x14ac:dyDescent="0.2">
      <c r="AO96" s="275">
        <v>24.2</v>
      </c>
      <c r="AP96" s="276">
        <v>0.99724999999999997</v>
      </c>
      <c r="AQ96" s="276">
        <v>0.99904000000000004</v>
      </c>
    </row>
    <row r="97" spans="41:43" x14ac:dyDescent="0.2">
      <c r="AO97" s="275">
        <v>24.3</v>
      </c>
      <c r="AP97" s="276">
        <v>0.99722999999999995</v>
      </c>
      <c r="AQ97" s="276">
        <v>0.99902000000000002</v>
      </c>
    </row>
    <row r="98" spans="41:43" x14ac:dyDescent="0.2">
      <c r="AO98" s="275">
        <v>24.4</v>
      </c>
      <c r="AP98" s="276">
        <v>0.99719999999999998</v>
      </c>
      <c r="AQ98" s="276">
        <v>0.99899000000000004</v>
      </c>
    </row>
    <row r="99" spans="41:43" x14ac:dyDescent="0.2">
      <c r="AO99" s="275">
        <v>24.5</v>
      </c>
      <c r="AP99" s="276">
        <v>0.99717</v>
      </c>
      <c r="AQ99" s="276">
        <v>0.99897000000000002</v>
      </c>
    </row>
    <row r="100" spans="41:43" x14ac:dyDescent="0.2">
      <c r="AO100" s="275">
        <v>24.6</v>
      </c>
      <c r="AP100" s="276">
        <v>0.99714999999999998</v>
      </c>
      <c r="AQ100" s="276">
        <v>0.99894000000000005</v>
      </c>
    </row>
    <row r="101" spans="41:43" x14ac:dyDescent="0.2">
      <c r="AO101" s="275">
        <v>24.7</v>
      </c>
      <c r="AP101" s="276">
        <v>0.99712000000000001</v>
      </c>
      <c r="AQ101" s="276">
        <v>0.99892000000000003</v>
      </c>
    </row>
    <row r="102" spans="41:43" x14ac:dyDescent="0.2">
      <c r="AO102" s="275">
        <v>24.8</v>
      </c>
      <c r="AP102" s="276">
        <v>0.99709999999999999</v>
      </c>
      <c r="AQ102" s="276">
        <v>0.99888999999999994</v>
      </c>
    </row>
    <row r="103" spans="41:43" x14ac:dyDescent="0.2">
      <c r="AO103" s="275">
        <v>24.9</v>
      </c>
      <c r="AP103" s="276">
        <v>0.99707000000000001</v>
      </c>
      <c r="AQ103" s="276">
        <v>0.99887000000000004</v>
      </c>
    </row>
    <row r="104" spans="41:43" x14ac:dyDescent="0.2">
      <c r="AO104" s="272">
        <v>25</v>
      </c>
      <c r="AP104" s="273">
        <v>0.99704999999999999</v>
      </c>
      <c r="AQ104" s="273">
        <v>0.99883999999999995</v>
      </c>
    </row>
    <row r="105" spans="41:43" x14ac:dyDescent="0.2">
      <c r="AO105" s="275">
        <v>25.1</v>
      </c>
      <c r="AP105" s="276">
        <v>0.99702000000000002</v>
      </c>
      <c r="AQ105" s="276">
        <v>0.99880999999999998</v>
      </c>
    </row>
    <row r="106" spans="41:43" x14ac:dyDescent="0.2">
      <c r="AO106" s="275">
        <v>25.2</v>
      </c>
      <c r="AP106" s="276">
        <v>0.997</v>
      </c>
      <c r="AQ106" s="276">
        <v>0.99878999999999996</v>
      </c>
    </row>
    <row r="107" spans="41:43" x14ac:dyDescent="0.2">
      <c r="AO107" s="275">
        <v>25.3</v>
      </c>
      <c r="AP107" s="276">
        <v>0.99697000000000002</v>
      </c>
      <c r="AQ107" s="276">
        <v>0.99875999999999998</v>
      </c>
    </row>
    <row r="108" spans="41:43" x14ac:dyDescent="0.2">
      <c r="AO108" s="275">
        <v>25.4</v>
      </c>
      <c r="AP108" s="276">
        <v>0.99694000000000005</v>
      </c>
      <c r="AQ108" s="276">
        <v>0.99873999999999996</v>
      </c>
    </row>
    <row r="109" spans="41:43" x14ac:dyDescent="0.2">
      <c r="AO109" s="275">
        <v>25.5</v>
      </c>
      <c r="AP109" s="276">
        <v>0.99692000000000003</v>
      </c>
      <c r="AQ109" s="276">
        <v>0.99870999999999999</v>
      </c>
    </row>
    <row r="110" spans="41:43" x14ac:dyDescent="0.2">
      <c r="AO110" s="275">
        <v>25.6</v>
      </c>
      <c r="AP110" s="276">
        <v>0.99689000000000005</v>
      </c>
      <c r="AQ110" s="276">
        <v>0.99868000000000001</v>
      </c>
    </row>
    <row r="111" spans="41:43" x14ac:dyDescent="0.2">
      <c r="AO111" s="275">
        <v>25.7</v>
      </c>
      <c r="AP111" s="276">
        <v>0.99687000000000003</v>
      </c>
      <c r="AQ111" s="276">
        <v>0.99865999999999999</v>
      </c>
    </row>
    <row r="112" spans="41:43" x14ac:dyDescent="0.2">
      <c r="AO112" s="275">
        <v>25.8</v>
      </c>
      <c r="AP112" s="276">
        <v>0.99683999999999995</v>
      </c>
      <c r="AQ112" s="276">
        <v>0.99863000000000002</v>
      </c>
    </row>
    <row r="113" spans="41:43" x14ac:dyDescent="0.2">
      <c r="AO113" s="275">
        <v>25.9</v>
      </c>
      <c r="AP113" s="276">
        <v>0.99680999999999997</v>
      </c>
      <c r="AQ113" s="276">
        <v>0.99860000000000004</v>
      </c>
    </row>
    <row r="114" spans="41:43" x14ac:dyDescent="0.2">
      <c r="AO114" s="272">
        <v>26</v>
      </c>
      <c r="AP114" s="273">
        <v>0.99678999999999995</v>
      </c>
      <c r="AQ114" s="273">
        <v>0.99858000000000002</v>
      </c>
    </row>
    <row r="115" spans="41:43" x14ac:dyDescent="0.2">
      <c r="AO115" s="275">
        <v>26.1</v>
      </c>
      <c r="AP115" s="276">
        <v>0.99675999999999998</v>
      </c>
      <c r="AQ115" s="276">
        <v>0.99855000000000005</v>
      </c>
    </row>
    <row r="116" spans="41:43" x14ac:dyDescent="0.2">
      <c r="AO116" s="275">
        <v>26.2</v>
      </c>
      <c r="AP116" s="276">
        <v>0.99673</v>
      </c>
      <c r="AQ116" s="276">
        <v>0.99851999999999996</v>
      </c>
    </row>
    <row r="117" spans="41:43" x14ac:dyDescent="0.2">
      <c r="AO117" s="275">
        <v>26.3</v>
      </c>
      <c r="AP117" s="276">
        <v>0.99670999999999998</v>
      </c>
      <c r="AQ117" s="276">
        <v>0.99850000000000005</v>
      </c>
    </row>
    <row r="118" spans="41:43" x14ac:dyDescent="0.2">
      <c r="AO118" s="275">
        <v>26.4</v>
      </c>
      <c r="AP118" s="276">
        <v>0.99668000000000001</v>
      </c>
      <c r="AQ118" s="276">
        <v>0.99846999999999997</v>
      </c>
    </row>
    <row r="119" spans="41:43" x14ac:dyDescent="0.2">
      <c r="AO119" s="275">
        <v>26.5</v>
      </c>
      <c r="AP119" s="276">
        <v>0.99665000000000004</v>
      </c>
      <c r="AQ119" s="276">
        <v>0.99843999999999999</v>
      </c>
    </row>
    <row r="120" spans="41:43" x14ac:dyDescent="0.2">
      <c r="AO120" s="275">
        <v>26.6</v>
      </c>
      <c r="AP120" s="276">
        <v>0.99663000000000002</v>
      </c>
      <c r="AQ120" s="276">
        <v>0.99841999999999997</v>
      </c>
    </row>
    <row r="121" spans="41:43" x14ac:dyDescent="0.2">
      <c r="AO121" s="275">
        <v>26.7</v>
      </c>
      <c r="AP121" s="276">
        <v>0.99660000000000004</v>
      </c>
      <c r="AQ121" s="276">
        <v>0.99839</v>
      </c>
    </row>
    <row r="122" spans="41:43" x14ac:dyDescent="0.2">
      <c r="AO122" s="275">
        <v>26.8</v>
      </c>
      <c r="AP122" s="276">
        <v>0.99656999999999996</v>
      </c>
      <c r="AQ122" s="276">
        <v>0.99836000000000003</v>
      </c>
    </row>
    <row r="123" spans="41:43" x14ac:dyDescent="0.2">
      <c r="AO123" s="275">
        <v>26.9</v>
      </c>
      <c r="AP123" s="276">
        <v>0.99653999999999998</v>
      </c>
      <c r="AQ123" s="276">
        <v>0.99833000000000005</v>
      </c>
    </row>
    <row r="124" spans="41:43" x14ac:dyDescent="0.2">
      <c r="AO124" s="272">
        <v>27</v>
      </c>
      <c r="AP124" s="273">
        <v>0.99651999999999996</v>
      </c>
      <c r="AQ124" s="273">
        <v>0.99831000000000003</v>
      </c>
    </row>
    <row r="125" spans="41:43" x14ac:dyDescent="0.2">
      <c r="AO125" s="275">
        <v>27.1</v>
      </c>
      <c r="AP125" s="276">
        <v>0.99648999999999999</v>
      </c>
      <c r="AQ125" s="276">
        <v>0.99827999999999995</v>
      </c>
    </row>
    <row r="126" spans="41:43" x14ac:dyDescent="0.2">
      <c r="AO126" s="275">
        <v>27.2</v>
      </c>
      <c r="AP126" s="276">
        <v>0.99646000000000001</v>
      </c>
      <c r="AQ126" s="276">
        <v>0.99824999999999997</v>
      </c>
    </row>
    <row r="127" spans="41:43" x14ac:dyDescent="0.2">
      <c r="AO127" s="275">
        <v>27.3</v>
      </c>
      <c r="AP127" s="276">
        <v>0.99643000000000004</v>
      </c>
      <c r="AQ127" s="276">
        <v>0.99822</v>
      </c>
    </row>
    <row r="128" spans="41:43" x14ac:dyDescent="0.2">
      <c r="AO128" s="275">
        <v>27.4</v>
      </c>
      <c r="AP128" s="276">
        <v>0.99641000000000002</v>
      </c>
      <c r="AQ128" s="276">
        <v>0.99819999999999998</v>
      </c>
    </row>
    <row r="129" spans="41:43" x14ac:dyDescent="0.2">
      <c r="AO129" s="275">
        <v>27.5</v>
      </c>
      <c r="AP129" s="276">
        <v>0.99638000000000004</v>
      </c>
      <c r="AQ129" s="276">
        <v>0.99817</v>
      </c>
    </row>
    <row r="130" spans="41:43" x14ac:dyDescent="0.2">
      <c r="AO130" s="275">
        <v>27.6</v>
      </c>
      <c r="AP130" s="276">
        <v>0.99634999999999996</v>
      </c>
      <c r="AQ130" s="276">
        <v>0.99814000000000003</v>
      </c>
    </row>
    <row r="131" spans="41:43" x14ac:dyDescent="0.2">
      <c r="AO131" s="275">
        <v>27.7</v>
      </c>
      <c r="AP131" s="276">
        <v>0.99631999999999998</v>
      </c>
      <c r="AQ131" s="276">
        <v>0.99811000000000005</v>
      </c>
    </row>
    <row r="132" spans="41:43" x14ac:dyDescent="0.2">
      <c r="AO132" s="275">
        <v>27.8</v>
      </c>
      <c r="AP132" s="276">
        <v>0.99629000000000001</v>
      </c>
      <c r="AQ132" s="276">
        <v>0.99807999999999997</v>
      </c>
    </row>
    <row r="133" spans="41:43" x14ac:dyDescent="0.2">
      <c r="AO133" s="275">
        <v>27.9</v>
      </c>
      <c r="AP133" s="276">
        <v>0.99626999999999999</v>
      </c>
      <c r="AQ133" s="276">
        <v>0.99805999999999995</v>
      </c>
    </row>
    <row r="134" spans="41:43" x14ac:dyDescent="0.2">
      <c r="AO134" s="272">
        <v>28</v>
      </c>
      <c r="AP134" s="273">
        <v>0.99624000000000001</v>
      </c>
      <c r="AQ134" s="273">
        <v>0.99802999999999997</v>
      </c>
    </row>
    <row r="135" spans="41:43" x14ac:dyDescent="0.2">
      <c r="AO135" s="275">
        <v>28.1</v>
      </c>
      <c r="AP135" s="276">
        <v>0.99621000000000004</v>
      </c>
      <c r="AQ135" s="276">
        <v>0.998</v>
      </c>
    </row>
    <row r="136" spans="41:43" x14ac:dyDescent="0.2">
      <c r="AO136" s="275">
        <v>28.2</v>
      </c>
      <c r="AP136" s="276">
        <v>0.99617999999999995</v>
      </c>
      <c r="AQ136" s="276">
        <v>0.99797000000000002</v>
      </c>
    </row>
    <row r="137" spans="41:43" x14ac:dyDescent="0.2">
      <c r="AO137" s="275">
        <v>28.3</v>
      </c>
      <c r="AP137" s="276">
        <v>0.99614999999999998</v>
      </c>
      <c r="AQ137" s="276">
        <v>0.99794000000000005</v>
      </c>
    </row>
    <row r="138" spans="41:43" x14ac:dyDescent="0.2">
      <c r="AO138" s="275">
        <v>28.4</v>
      </c>
      <c r="AP138" s="276">
        <v>0.99612000000000001</v>
      </c>
      <c r="AQ138" s="276">
        <v>0.99790999999999996</v>
      </c>
    </row>
    <row r="139" spans="41:43" x14ac:dyDescent="0.2">
      <c r="AO139" s="275">
        <v>28.5</v>
      </c>
      <c r="AP139" s="276">
        <v>0.99609000000000003</v>
      </c>
      <c r="AQ139" s="276">
        <v>0.99787999999999999</v>
      </c>
    </row>
    <row r="140" spans="41:43" x14ac:dyDescent="0.2">
      <c r="AO140" s="275">
        <v>28.6</v>
      </c>
      <c r="AP140" s="276">
        <v>0.99607000000000001</v>
      </c>
      <c r="AQ140" s="276">
        <v>0.99785000000000001</v>
      </c>
    </row>
    <row r="141" spans="41:43" x14ac:dyDescent="0.2">
      <c r="AO141" s="275">
        <v>28.7</v>
      </c>
      <c r="AP141" s="276">
        <v>0.99604000000000004</v>
      </c>
      <c r="AQ141" s="276">
        <v>0.99782999999999999</v>
      </c>
    </row>
    <row r="142" spans="41:43" x14ac:dyDescent="0.2">
      <c r="AO142" s="275">
        <v>28.8</v>
      </c>
      <c r="AP142" s="276">
        <v>0.99600999999999995</v>
      </c>
      <c r="AQ142" s="276">
        <v>0.99780000000000002</v>
      </c>
    </row>
    <row r="143" spans="41:43" x14ac:dyDescent="0.2">
      <c r="AO143" s="275">
        <v>28.9</v>
      </c>
      <c r="AP143" s="276">
        <v>0.99597999999999998</v>
      </c>
      <c r="AQ143" s="276">
        <v>0.99777000000000005</v>
      </c>
    </row>
    <row r="144" spans="41:43" x14ac:dyDescent="0.2">
      <c r="AO144" s="272">
        <v>29</v>
      </c>
      <c r="AP144" s="273">
        <v>0.99595</v>
      </c>
      <c r="AQ144" s="273">
        <v>0.99773999999999996</v>
      </c>
    </row>
    <row r="145" spans="41:43" x14ac:dyDescent="0.2">
      <c r="AO145" s="275">
        <v>29.099999999999898</v>
      </c>
      <c r="AP145" s="276">
        <v>0.99592000000000003</v>
      </c>
      <c r="AQ145" s="276">
        <v>0.99770999999999999</v>
      </c>
    </row>
    <row r="146" spans="41:43" x14ac:dyDescent="0.2">
      <c r="AO146" s="275">
        <v>29.1999999999999</v>
      </c>
      <c r="AP146" s="276">
        <v>0.99589000000000005</v>
      </c>
      <c r="AQ146" s="276">
        <v>0.99768000000000001</v>
      </c>
    </row>
    <row r="147" spans="41:43" x14ac:dyDescent="0.2">
      <c r="AO147" s="275">
        <v>29.299999999999901</v>
      </c>
      <c r="AP147" s="276">
        <v>0.99585999999999997</v>
      </c>
      <c r="AQ147" s="276">
        <v>0.99765000000000004</v>
      </c>
    </row>
    <row r="148" spans="41:43" x14ac:dyDescent="0.2">
      <c r="AO148" s="275">
        <v>29.399999999999899</v>
      </c>
      <c r="AP148" s="276">
        <v>0.99582999999999999</v>
      </c>
      <c r="AQ148" s="276">
        <v>0.99761999999999995</v>
      </c>
    </row>
    <row r="149" spans="41:43" x14ac:dyDescent="0.2">
      <c r="AO149" s="275">
        <v>29.499999999999901</v>
      </c>
      <c r="AP149" s="276">
        <v>0.99580000000000002</v>
      </c>
      <c r="AQ149" s="276">
        <v>0.99758999999999998</v>
      </c>
    </row>
    <row r="150" spans="41:43" x14ac:dyDescent="0.2">
      <c r="AO150" s="275">
        <v>29.599999999999898</v>
      </c>
      <c r="AP150" s="276">
        <v>0.99577000000000004</v>
      </c>
      <c r="AQ150" s="276">
        <v>0.99756</v>
      </c>
    </row>
    <row r="151" spans="41:43" x14ac:dyDescent="0.2">
      <c r="AO151" s="275">
        <v>29.6999999999999</v>
      </c>
      <c r="AP151" s="276">
        <v>0.99573999999999996</v>
      </c>
      <c r="AQ151" s="276">
        <v>0.99753000000000003</v>
      </c>
    </row>
    <row r="152" spans="41:43" x14ac:dyDescent="0.2">
      <c r="AO152" s="275">
        <v>29.799999999999901</v>
      </c>
      <c r="AP152" s="276">
        <v>0.99570999999999998</v>
      </c>
      <c r="AQ152" s="276">
        <v>0.99750000000000005</v>
      </c>
    </row>
    <row r="153" spans="41:43" x14ac:dyDescent="0.2">
      <c r="AO153" s="275">
        <v>29.899999999999899</v>
      </c>
      <c r="AP153" s="276">
        <v>0.99568000000000001</v>
      </c>
      <c r="AQ153" s="276">
        <v>0.99746999999999997</v>
      </c>
    </row>
    <row r="154" spans="41:43" x14ac:dyDescent="0.2">
      <c r="AO154" s="272">
        <v>29.999999999999901</v>
      </c>
      <c r="AP154" s="273">
        <v>0.99565000000000003</v>
      </c>
      <c r="AQ154" s="273">
        <v>0.99743999999999999</v>
      </c>
    </row>
    <row r="155" spans="41:43" x14ac:dyDescent="0.2">
      <c r="AO155" s="275">
        <v>30.099999999999898</v>
      </c>
      <c r="AP155" s="276">
        <v>0.99561999999999995</v>
      </c>
      <c r="AQ155" s="276">
        <v>0.99741000000000002</v>
      </c>
    </row>
    <row r="156" spans="41:43" x14ac:dyDescent="0.2">
      <c r="AO156" s="275">
        <v>30.1999999999999</v>
      </c>
      <c r="AP156" s="276">
        <v>0.99558999999999997</v>
      </c>
      <c r="AQ156" s="276">
        <v>0.99738000000000004</v>
      </c>
    </row>
    <row r="157" spans="41:43" x14ac:dyDescent="0.2">
      <c r="AO157" s="275">
        <v>30.299999999999901</v>
      </c>
      <c r="AP157" s="276">
        <v>0.995559999999999</v>
      </c>
      <c r="AQ157" s="276">
        <v>0.99734999999999996</v>
      </c>
    </row>
    <row r="158" spans="41:43" x14ac:dyDescent="0.2">
      <c r="AO158" s="275">
        <v>30.399999999999899</v>
      </c>
      <c r="AP158" s="276">
        <v>0.99552999999999903</v>
      </c>
      <c r="AQ158" s="276">
        <v>0.99731999999999998</v>
      </c>
    </row>
    <row r="159" spans="41:43" x14ac:dyDescent="0.2">
      <c r="AO159" s="275">
        <v>30.499999999999901</v>
      </c>
      <c r="AP159" s="276">
        <v>0.99549999999999905</v>
      </c>
      <c r="AQ159" s="276">
        <v>0.99729000000000001</v>
      </c>
    </row>
    <row r="160" spans="41:43" x14ac:dyDescent="0.2">
      <c r="AO160" s="275">
        <v>30.599999999999898</v>
      </c>
      <c r="AP160" s="276">
        <v>0.99546999999999897</v>
      </c>
      <c r="AQ160" s="276">
        <v>0.99726000000000004</v>
      </c>
    </row>
    <row r="161" spans="41:43" x14ac:dyDescent="0.2">
      <c r="AO161" s="275">
        <v>30.6999999999999</v>
      </c>
      <c r="AP161" s="276">
        <v>0.99543999999999899</v>
      </c>
      <c r="AQ161" s="276">
        <v>0.99722999999999995</v>
      </c>
    </row>
    <row r="162" spans="41:43" x14ac:dyDescent="0.2">
      <c r="AO162" s="275">
        <v>30.799999999999901</v>
      </c>
      <c r="AP162" s="276">
        <v>0.99540999999999902</v>
      </c>
      <c r="AQ162" s="276">
        <v>0.99719999999999998</v>
      </c>
    </row>
    <row r="163" spans="41:43" x14ac:dyDescent="0.2">
      <c r="AO163" s="275">
        <v>30.899999999999899</v>
      </c>
      <c r="AP163" s="276">
        <v>0.99537999999999904</v>
      </c>
      <c r="AQ163" s="276">
        <v>0.99716000000000005</v>
      </c>
    </row>
  </sheetData>
  <mergeCells count="56">
    <mergeCell ref="A1:B4"/>
    <mergeCell ref="C1:H1"/>
    <mergeCell ref="I1:K1"/>
    <mergeCell ref="AO1:AQ1"/>
    <mergeCell ref="C2:H4"/>
    <mergeCell ref="I2:K2"/>
    <mergeCell ref="I3:K3"/>
    <mergeCell ref="AG3:AJ5"/>
    <mergeCell ref="I4:K4"/>
    <mergeCell ref="B5:J5"/>
    <mergeCell ref="C6:F6"/>
    <mergeCell ref="G6:H6"/>
    <mergeCell ref="I6:K6"/>
    <mergeCell ref="C7:F7"/>
    <mergeCell ref="G7:H7"/>
    <mergeCell ref="I7:K7"/>
    <mergeCell ref="C19:E19"/>
    <mergeCell ref="C8:F8"/>
    <mergeCell ref="G8:H8"/>
    <mergeCell ref="I8:K8"/>
    <mergeCell ref="C9:F9"/>
    <mergeCell ref="G9:H9"/>
    <mergeCell ref="C10:F10"/>
    <mergeCell ref="G10:H10"/>
    <mergeCell ref="I10:K10"/>
    <mergeCell ref="B11:J11"/>
    <mergeCell ref="G12:H12"/>
    <mergeCell ref="C13:K13"/>
    <mergeCell ref="A16:K16"/>
    <mergeCell ref="C18:F18"/>
    <mergeCell ref="D32:E32"/>
    <mergeCell ref="F32:G32"/>
    <mergeCell ref="C20:E20"/>
    <mergeCell ref="C21:E21"/>
    <mergeCell ref="C22:E22"/>
    <mergeCell ref="C23:E23"/>
    <mergeCell ref="C24:E24"/>
    <mergeCell ref="C25:E25"/>
    <mergeCell ref="C26:F26"/>
    <mergeCell ref="C27:D27"/>
    <mergeCell ref="C30:G30"/>
    <mergeCell ref="D31:E31"/>
    <mergeCell ref="F31:G31"/>
    <mergeCell ref="O42:R42"/>
    <mergeCell ref="A43:K43"/>
    <mergeCell ref="C45:D50"/>
    <mergeCell ref="C33:D34"/>
    <mergeCell ref="E33:G34"/>
    <mergeCell ref="A36:E36"/>
    <mergeCell ref="F36:G36"/>
    <mergeCell ref="I36:K36"/>
    <mergeCell ref="A37:E42"/>
    <mergeCell ref="F41:G41"/>
    <mergeCell ref="I41:K41"/>
    <mergeCell ref="F42:G42"/>
    <mergeCell ref="I42:K42"/>
  </mergeCells>
  <conditionalFormatting sqref="B6:C10 B12:K13 G6:K6 G7:I8 J9:K9 G9:H10">
    <cfRule type="containsBlanks" dxfId="7" priority="8">
      <formula>LEN(TRIM(B6))=0</formula>
    </cfRule>
  </conditionalFormatting>
  <conditionalFormatting sqref="C12:D12 C32:D32 F32">
    <cfRule type="containsBlanks" dxfId="6" priority="6">
      <formula>LEN(TRIM(C12))=0</formula>
    </cfRule>
  </conditionalFormatting>
  <conditionalFormatting sqref="C6:F10">
    <cfRule type="containsBlanks" dxfId="5" priority="7">
      <formula>LEN(TRIM(C6))=0</formula>
    </cfRule>
  </conditionalFormatting>
  <conditionalFormatting sqref="C13:K13">
    <cfRule type="containsBlanks" dxfId="4" priority="5">
      <formula>LEN(TRIM(C13))=0</formula>
    </cfRule>
  </conditionalFormatting>
  <conditionalFormatting sqref="G19:G20 G22:G23 E33:G34">
    <cfRule type="containsBlanks" dxfId="3" priority="1">
      <formula>LEN(TRIM(E19))=0</formula>
    </cfRule>
  </conditionalFormatting>
  <conditionalFormatting sqref="I6:K9 F12 I12 K12">
    <cfRule type="containsBlanks" dxfId="2" priority="4">
      <formula>LEN(TRIM(F6))=0</formula>
    </cfRule>
  </conditionalFormatting>
  <conditionalFormatting sqref="Q36:R36">
    <cfRule type="containsBlanks" dxfId="1" priority="3">
      <formula>LEN(TRIM(Q36))=0</formula>
    </cfRule>
  </conditionalFormatting>
  <conditionalFormatting sqref="T30">
    <cfRule type="cellIs" dxfId="0" priority="2" operator="greaterThan">
      <formula>$T$31</formula>
    </cfRule>
  </conditionalFormatting>
  <dataValidations count="3">
    <dataValidation type="list" allowBlank="1" showInputMessage="1" showErrorMessage="1" sqref="C32" xr:uid="{00000000-0002-0000-0A00-000000000000}">
      <formula1>$T$19:$T$21</formula1>
    </dataValidation>
    <dataValidation type="list" allowBlank="1" showInputMessage="1" showErrorMessage="1" sqref="P21" xr:uid="{00000000-0002-0000-0A00-000001000000}">
      <formula1>$V$18</formula1>
    </dataValidation>
    <dataValidation type="list" allowBlank="1" showInputMessage="1" showErrorMessage="1" sqref="C12" xr:uid="{00000000-0002-0000-0A00-000002000000}">
      <formula1>$N$6:$N$13</formula1>
    </dataValidation>
  </dataValidation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738D8-877E-4502-B750-34D2447AE1FB}">
  <dimension ref="A1:AT163"/>
  <sheetViews>
    <sheetView workbookViewId="0">
      <selection activeCell="E12" sqref="E12"/>
    </sheetView>
  </sheetViews>
  <sheetFormatPr baseColWidth="10" defaultRowHeight="15" x14ac:dyDescent="0.2"/>
  <cols>
    <col min="1" max="1" width="5.7109375" style="286" customWidth="1"/>
    <col min="2" max="2" width="33.28515625" style="286" customWidth="1"/>
    <col min="3" max="3" width="26.42578125" style="286" customWidth="1"/>
    <col min="4" max="4" width="23.5703125" style="286" customWidth="1"/>
    <col min="5" max="5" width="68.85546875" style="286" customWidth="1"/>
    <col min="6" max="6" width="19.28515625" style="286" customWidth="1"/>
    <col min="7" max="7" width="23.5703125" style="286" customWidth="1"/>
    <col min="8" max="8" width="13" style="286" customWidth="1"/>
    <col min="9" max="10" width="12.7109375" style="286" customWidth="1"/>
    <col min="11" max="11" width="10.7109375" style="286" customWidth="1"/>
    <col min="12" max="12" width="13" style="286" customWidth="1"/>
    <col min="13" max="13" width="11.42578125" style="286"/>
    <col min="14" max="14" width="12.140625" style="286" bestFit="1" customWidth="1"/>
    <col min="15" max="19" width="11.42578125" style="288"/>
    <col min="20" max="20" width="14.85546875" style="288" customWidth="1"/>
    <col min="21" max="40" width="11.42578125" style="288"/>
    <col min="41" max="43" width="20.5703125" style="373" customWidth="1"/>
    <col min="44" max="46" width="11.42578125" style="288"/>
    <col min="47" max="16384" width="11.42578125" style="286"/>
  </cols>
  <sheetData>
    <row r="1" spans="1:46" s="42" customFormat="1" ht="21.95" customHeight="1" x14ac:dyDescent="0.2">
      <c r="A1"/>
      <c r="B1"/>
      <c r="C1"/>
      <c r="D1"/>
      <c r="E1"/>
      <c r="F1"/>
      <c r="G1" s="231"/>
      <c r="H1" s="231"/>
      <c r="I1" s="231"/>
      <c r="J1" s="231"/>
      <c r="K1" s="231"/>
      <c r="L1" s="231"/>
      <c r="M1" s="231"/>
      <c r="N1" s="231"/>
      <c r="O1" s="231"/>
      <c r="P1" s="231"/>
      <c r="Q1" s="231"/>
      <c r="R1" s="231"/>
      <c r="S1" s="231"/>
      <c r="T1" s="231"/>
    </row>
    <row r="2" spans="1:46" s="42" customFormat="1" ht="21.95" customHeight="1" x14ac:dyDescent="0.2">
      <c r="A2"/>
      <c r="B2"/>
      <c r="C2"/>
      <c r="D2"/>
      <c r="E2"/>
      <c r="F2"/>
      <c r="G2" s="231"/>
      <c r="H2" s="231"/>
      <c r="I2" s="231"/>
      <c r="J2" s="231"/>
      <c r="K2" s="231"/>
      <c r="L2" s="231"/>
      <c r="M2" s="231"/>
      <c r="N2" s="231"/>
      <c r="O2" s="231"/>
      <c r="P2" s="231"/>
      <c r="Q2" s="231"/>
      <c r="R2" s="231"/>
      <c r="S2" s="231"/>
      <c r="T2" s="231"/>
    </row>
    <row r="3" spans="1:46" s="42" customFormat="1" ht="21.95" customHeight="1" x14ac:dyDescent="0.2">
      <c r="A3"/>
      <c r="B3"/>
      <c r="C3"/>
      <c r="D3"/>
      <c r="E3"/>
      <c r="F3"/>
      <c r="G3" s="231"/>
      <c r="H3" s="231"/>
      <c r="I3" s="231"/>
      <c r="J3" s="231"/>
      <c r="K3" s="231"/>
      <c r="L3" s="231"/>
      <c r="M3" s="231"/>
      <c r="N3" s="231"/>
      <c r="O3" s="231"/>
    </row>
    <row r="4" spans="1:46" s="42" customFormat="1" ht="21.95" customHeight="1" x14ac:dyDescent="0.2">
      <c r="A4"/>
      <c r="B4"/>
      <c r="C4"/>
      <c r="D4"/>
      <c r="E4"/>
      <c r="F4"/>
      <c r="G4" s="231"/>
      <c r="H4" s="231"/>
      <c r="I4" s="231"/>
      <c r="J4" s="231"/>
      <c r="K4" s="231"/>
      <c r="L4" s="231"/>
      <c r="M4" s="231"/>
      <c r="N4" s="231"/>
      <c r="O4" s="231"/>
    </row>
    <row r="5" spans="1:46" s="42" customFormat="1" ht="5.0999999999999996" customHeight="1" x14ac:dyDescent="0.25">
      <c r="A5"/>
      <c r="B5"/>
      <c r="C5" s="439"/>
      <c r="D5" s="439"/>
      <c r="E5" s="439"/>
      <c r="F5"/>
      <c r="G5" s="231"/>
      <c r="H5" s="231"/>
      <c r="I5" s="231"/>
      <c r="J5" s="231"/>
      <c r="K5" s="231"/>
      <c r="L5" s="231"/>
      <c r="M5" s="231"/>
      <c r="N5" s="231"/>
      <c r="O5" s="231"/>
    </row>
    <row r="6" spans="1:46" s="42" customFormat="1" ht="16.5" customHeight="1" x14ac:dyDescent="0.25">
      <c r="A6"/>
      <c r="B6"/>
      <c r="C6" s="723" t="s">
        <v>247</v>
      </c>
      <c r="D6" s="724"/>
      <c r="E6" s="724"/>
      <c r="F6"/>
      <c r="G6" s="231"/>
      <c r="H6" s="231"/>
      <c r="I6" s="231"/>
      <c r="J6" s="231"/>
      <c r="K6" s="231"/>
      <c r="L6" s="231"/>
      <c r="M6" s="231"/>
      <c r="N6" s="231"/>
      <c r="O6" s="231"/>
    </row>
    <row r="7" spans="1:46" s="42" customFormat="1" ht="16.5" customHeight="1" x14ac:dyDescent="0.25">
      <c r="A7"/>
      <c r="B7"/>
      <c r="C7" s="440" t="s">
        <v>248</v>
      </c>
      <c r="D7" s="441" t="s">
        <v>249</v>
      </c>
      <c r="E7" s="441" t="s">
        <v>250</v>
      </c>
      <c r="F7"/>
      <c r="G7" s="231"/>
      <c r="H7" s="231"/>
      <c r="I7" s="231"/>
      <c r="J7" s="231"/>
      <c r="K7" s="231"/>
      <c r="L7" s="231"/>
      <c r="M7" s="231"/>
      <c r="N7" s="231"/>
      <c r="O7" s="231"/>
    </row>
    <row r="8" spans="1:46" s="42" customFormat="1" ht="16.5" customHeight="1" x14ac:dyDescent="0.2">
      <c r="A8"/>
      <c r="B8"/>
      <c r="C8" s="442" t="s">
        <v>251</v>
      </c>
      <c r="D8" s="443">
        <v>44886</v>
      </c>
      <c r="E8" s="444" t="s">
        <v>252</v>
      </c>
      <c r="F8"/>
      <c r="G8" s="231"/>
      <c r="H8" s="231"/>
      <c r="I8" s="231"/>
      <c r="J8" s="231"/>
      <c r="K8" s="231"/>
      <c r="L8" s="231"/>
      <c r="M8" s="231"/>
      <c r="N8" s="231"/>
      <c r="O8" s="231"/>
    </row>
    <row r="9" spans="1:46" s="42" customFormat="1" ht="16.5" customHeight="1" x14ac:dyDescent="0.2">
      <c r="A9"/>
      <c r="B9"/>
      <c r="C9" s="442" t="s">
        <v>253</v>
      </c>
      <c r="D9" s="443">
        <v>45260</v>
      </c>
      <c r="E9" s="445" t="s">
        <v>254</v>
      </c>
      <c r="F9"/>
      <c r="G9" s="231"/>
      <c r="H9" s="231"/>
      <c r="I9" s="231"/>
      <c r="J9" s="231"/>
      <c r="K9" s="231"/>
      <c r="L9" s="231"/>
      <c r="M9" s="231"/>
      <c r="N9" s="231"/>
      <c r="O9" s="231"/>
    </row>
    <row r="10" spans="1:46" s="42" customFormat="1" ht="16.5" customHeight="1" x14ac:dyDescent="0.2">
      <c r="A10"/>
      <c r="B10"/>
      <c r="C10" s="442" t="s">
        <v>255</v>
      </c>
      <c r="D10" s="446">
        <v>45401</v>
      </c>
      <c r="E10" s="445" t="s">
        <v>254</v>
      </c>
      <c r="F10"/>
      <c r="G10" s="231"/>
      <c r="H10" s="231"/>
      <c r="I10" s="231"/>
      <c r="J10" s="231"/>
      <c r="K10" s="231"/>
      <c r="L10" s="231"/>
      <c r="M10" s="231"/>
      <c r="N10" s="231"/>
      <c r="O10" s="231"/>
    </row>
    <row r="11" spans="1:46" s="42" customFormat="1" ht="24" customHeight="1" x14ac:dyDescent="0.2">
      <c r="A11"/>
      <c r="B11"/>
      <c r="C11" s="442" t="s">
        <v>256</v>
      </c>
      <c r="D11" s="446">
        <v>45877</v>
      </c>
      <c r="E11" s="445" t="s">
        <v>254</v>
      </c>
      <c r="F11"/>
      <c r="G11" s="231"/>
      <c r="H11" s="231"/>
      <c r="I11" s="231"/>
      <c r="J11" s="231"/>
      <c r="K11" s="231"/>
      <c r="L11" s="231"/>
      <c r="M11" s="231"/>
      <c r="N11" s="231"/>
      <c r="O11" s="231"/>
    </row>
    <row r="12" spans="1:46" s="42" customFormat="1" ht="18" customHeight="1" x14ac:dyDescent="0.2">
      <c r="A12"/>
      <c r="B12"/>
      <c r="C12"/>
      <c r="D12"/>
      <c r="E12"/>
      <c r="F12"/>
      <c r="G12" s="231"/>
      <c r="H12" s="231"/>
      <c r="I12" s="231"/>
      <c r="J12" s="231"/>
      <c r="K12" s="231"/>
      <c r="L12" s="231"/>
      <c r="M12" s="231"/>
      <c r="N12" s="231"/>
      <c r="O12" s="231"/>
    </row>
    <row r="13" spans="1:46" s="42" customFormat="1" ht="18" customHeight="1" x14ac:dyDescent="0.2">
      <c r="A13"/>
      <c r="B13"/>
      <c r="C13"/>
      <c r="D13"/>
      <c r="E13"/>
      <c r="F13"/>
      <c r="G13" s="231"/>
      <c r="H13" s="231"/>
      <c r="I13" s="231"/>
      <c r="J13" s="231"/>
      <c r="K13" s="231"/>
      <c r="L13" s="231"/>
      <c r="M13" s="231"/>
      <c r="N13" s="231"/>
      <c r="O13" s="231"/>
    </row>
    <row r="14" spans="1:46" s="42" customFormat="1" ht="5.0999999999999996" customHeight="1" x14ac:dyDescent="0.2">
      <c r="A14" s="231"/>
      <c r="B14" s="231"/>
      <c r="C14" s="231"/>
      <c r="D14" s="231"/>
      <c r="E14" s="231"/>
      <c r="F14" s="231"/>
      <c r="G14" s="231"/>
      <c r="H14" s="231"/>
      <c r="I14" s="231"/>
      <c r="J14" s="231"/>
      <c r="K14" s="231"/>
      <c r="L14" s="231"/>
      <c r="M14" s="231"/>
      <c r="N14" s="231"/>
      <c r="O14" s="231"/>
    </row>
    <row r="15" spans="1:46" ht="15" customHeight="1" x14ac:dyDescent="0.2">
      <c r="A15" s="231"/>
      <c r="B15" s="231"/>
      <c r="C15" s="231"/>
      <c r="D15" s="231"/>
      <c r="E15" s="231"/>
      <c r="F15" s="231"/>
      <c r="G15" s="231"/>
      <c r="H15" s="231"/>
      <c r="I15" s="231"/>
      <c r="J15" s="231"/>
      <c r="K15" s="231"/>
      <c r="L15" s="231"/>
      <c r="M15" s="231"/>
      <c r="N15" s="231"/>
      <c r="O15" s="231"/>
      <c r="P15" s="286"/>
      <c r="Q15" s="286"/>
      <c r="R15" s="286"/>
      <c r="S15" s="286"/>
      <c r="T15" s="286"/>
      <c r="U15" s="286"/>
      <c r="V15" s="286"/>
      <c r="W15" s="286"/>
      <c r="X15" s="286"/>
      <c r="Y15" s="286"/>
      <c r="Z15" s="286"/>
      <c r="AA15" s="286"/>
      <c r="AB15" s="286"/>
      <c r="AC15" s="286"/>
      <c r="AD15" s="286"/>
      <c r="AE15" s="286"/>
      <c r="AF15" s="286"/>
      <c r="AG15" s="286"/>
      <c r="AH15" s="286"/>
      <c r="AI15" s="286"/>
      <c r="AJ15" s="286"/>
      <c r="AK15" s="286"/>
      <c r="AL15" s="286"/>
      <c r="AM15" s="286"/>
      <c r="AN15" s="286"/>
      <c r="AO15" s="286"/>
      <c r="AP15" s="286"/>
      <c r="AQ15" s="286"/>
      <c r="AR15" s="286"/>
      <c r="AS15" s="286"/>
      <c r="AT15" s="286"/>
    </row>
    <row r="16" spans="1:46" ht="25.5" customHeight="1" x14ac:dyDescent="0.2">
      <c r="A16" s="288"/>
      <c r="B16" s="288"/>
      <c r="C16" s="288"/>
      <c r="D16" s="288"/>
      <c r="E16" s="288"/>
      <c r="F16" s="288"/>
      <c r="G16" s="288"/>
      <c r="H16" s="288"/>
      <c r="I16" s="288"/>
      <c r="J16" s="288"/>
      <c r="K16" s="288"/>
      <c r="L16" s="288"/>
      <c r="M16" s="288"/>
      <c r="N16" s="288"/>
      <c r="U16" s="286"/>
      <c r="V16" s="286"/>
      <c r="W16" s="286"/>
      <c r="X16" s="286"/>
      <c r="Y16" s="286"/>
      <c r="Z16" s="286"/>
      <c r="AA16" s="286"/>
      <c r="AB16" s="286"/>
      <c r="AC16" s="286"/>
      <c r="AD16" s="286"/>
      <c r="AE16" s="286"/>
      <c r="AF16" s="286"/>
      <c r="AG16" s="286"/>
      <c r="AH16" s="286"/>
      <c r="AI16" s="286"/>
      <c r="AJ16" s="286"/>
      <c r="AK16" s="286"/>
      <c r="AL16" s="286"/>
      <c r="AM16" s="286"/>
      <c r="AN16" s="286"/>
      <c r="AO16" s="286"/>
      <c r="AP16" s="286"/>
      <c r="AQ16" s="286"/>
      <c r="AR16" s="286"/>
      <c r="AS16" s="286"/>
      <c r="AT16" s="286"/>
    </row>
    <row r="17" spans="1:46" x14ac:dyDescent="0.2">
      <c r="A17" s="288"/>
      <c r="B17" s="288"/>
      <c r="C17" s="288"/>
      <c r="D17" s="288"/>
      <c r="E17" s="288"/>
      <c r="F17" s="288"/>
      <c r="G17" s="288"/>
      <c r="H17" s="288"/>
      <c r="I17" s="288"/>
      <c r="J17" s="288"/>
      <c r="K17" s="288"/>
      <c r="L17" s="288"/>
      <c r="M17" s="288"/>
      <c r="N17" s="288"/>
      <c r="U17" s="286"/>
      <c r="V17" s="286"/>
      <c r="W17" s="286"/>
      <c r="X17" s="286"/>
      <c r="Y17" s="286"/>
      <c r="Z17" s="286"/>
      <c r="AA17" s="286"/>
      <c r="AB17" s="286"/>
      <c r="AC17" s="286"/>
      <c r="AD17" s="286"/>
      <c r="AE17" s="286"/>
      <c r="AF17" s="286"/>
      <c r="AG17" s="286"/>
      <c r="AH17" s="286"/>
      <c r="AI17" s="286"/>
      <c r="AJ17" s="286"/>
      <c r="AK17" s="286"/>
      <c r="AL17" s="286"/>
      <c r="AM17" s="286"/>
      <c r="AN17" s="286"/>
      <c r="AO17" s="286"/>
      <c r="AP17" s="286"/>
      <c r="AQ17" s="286"/>
      <c r="AR17" s="286"/>
      <c r="AS17" s="286"/>
      <c r="AT17" s="286"/>
    </row>
    <row r="18" spans="1:46" ht="24.75" customHeight="1" x14ac:dyDescent="0.2">
      <c r="A18" s="288"/>
      <c r="B18" s="288"/>
      <c r="C18" s="288"/>
      <c r="D18" s="288"/>
      <c r="E18" s="288"/>
      <c r="F18" s="288"/>
      <c r="G18" s="288"/>
      <c r="H18" s="288"/>
      <c r="I18" s="288"/>
      <c r="J18" s="288"/>
      <c r="K18" s="288"/>
      <c r="L18" s="288"/>
      <c r="M18" s="288"/>
      <c r="N18" s="288"/>
      <c r="U18" s="286"/>
      <c r="V18" s="286"/>
      <c r="W18" s="286"/>
      <c r="X18" s="286"/>
      <c r="Y18" s="286"/>
      <c r="Z18" s="286"/>
      <c r="AA18" s="286"/>
      <c r="AB18" s="286"/>
      <c r="AC18" s="286"/>
      <c r="AD18" s="286"/>
      <c r="AE18" s="286"/>
      <c r="AF18" s="286"/>
      <c r="AG18" s="286"/>
      <c r="AH18" s="286"/>
      <c r="AI18" s="286"/>
      <c r="AJ18" s="286"/>
      <c r="AK18" s="286"/>
      <c r="AL18" s="286"/>
      <c r="AM18" s="286"/>
      <c r="AN18" s="286"/>
      <c r="AO18" s="286"/>
      <c r="AP18" s="286"/>
      <c r="AQ18" s="286"/>
      <c r="AR18" s="286"/>
      <c r="AS18" s="286"/>
      <c r="AT18" s="286"/>
    </row>
    <row r="19" spans="1:46" ht="21.95" customHeight="1" x14ac:dyDescent="0.2">
      <c r="A19" s="288"/>
      <c r="B19" s="288"/>
      <c r="C19" s="288"/>
      <c r="D19" s="288"/>
      <c r="E19" s="288"/>
      <c r="F19" s="288"/>
      <c r="G19" s="288"/>
      <c r="H19" s="288"/>
      <c r="I19" s="288"/>
      <c r="J19" s="288"/>
      <c r="K19" s="288"/>
      <c r="L19" s="288"/>
      <c r="M19" s="288"/>
      <c r="N19" s="288"/>
      <c r="U19" s="286"/>
      <c r="V19" s="286"/>
      <c r="W19" s="286"/>
      <c r="X19" s="286"/>
      <c r="Y19" s="286"/>
      <c r="Z19" s="286"/>
      <c r="AA19" s="286"/>
      <c r="AB19" s="286"/>
      <c r="AC19" s="286"/>
      <c r="AD19" s="286"/>
      <c r="AE19" s="286"/>
      <c r="AF19" s="286"/>
      <c r="AG19" s="286"/>
      <c r="AH19" s="286"/>
      <c r="AI19" s="286"/>
      <c r="AJ19" s="286"/>
      <c r="AK19" s="286"/>
      <c r="AL19" s="286"/>
      <c r="AM19" s="286"/>
      <c r="AN19" s="286"/>
      <c r="AO19" s="286"/>
      <c r="AP19" s="286"/>
      <c r="AQ19" s="286"/>
      <c r="AR19" s="286"/>
      <c r="AS19" s="286"/>
      <c r="AT19" s="286"/>
    </row>
    <row r="20" spans="1:46" ht="21.95" customHeight="1" x14ac:dyDescent="0.2">
      <c r="A20" s="288"/>
      <c r="B20" s="288"/>
      <c r="C20" s="288"/>
      <c r="D20" s="288"/>
      <c r="E20" s="288"/>
      <c r="F20" s="288"/>
      <c r="G20" s="288"/>
      <c r="H20" s="288"/>
      <c r="I20" s="288"/>
      <c r="J20" s="288"/>
      <c r="K20" s="288"/>
      <c r="L20" s="288"/>
      <c r="M20" s="288"/>
      <c r="N20" s="288"/>
      <c r="U20" s="286"/>
      <c r="V20" s="286"/>
      <c r="W20" s="286"/>
      <c r="X20" s="286"/>
      <c r="Y20" s="286"/>
      <c r="Z20" s="286"/>
      <c r="AA20" s="286"/>
      <c r="AB20" s="286"/>
      <c r="AC20" s="286"/>
      <c r="AD20" s="286"/>
      <c r="AE20" s="286"/>
      <c r="AF20" s="286"/>
      <c r="AG20" s="286"/>
      <c r="AH20" s="286"/>
      <c r="AI20" s="286"/>
      <c r="AJ20" s="286"/>
      <c r="AK20" s="286"/>
      <c r="AL20" s="286"/>
      <c r="AM20" s="286"/>
      <c r="AN20" s="286"/>
      <c r="AO20" s="286"/>
      <c r="AP20" s="286"/>
      <c r="AQ20" s="286"/>
      <c r="AR20" s="286"/>
      <c r="AS20" s="286"/>
      <c r="AT20" s="286"/>
    </row>
    <row r="21" spans="1:46" ht="21.95" customHeight="1" x14ac:dyDescent="0.2">
      <c r="A21" s="288"/>
      <c r="B21" s="288"/>
      <c r="C21" s="288"/>
      <c r="D21" s="288"/>
      <c r="E21" s="288"/>
      <c r="F21" s="288"/>
      <c r="G21" s="288"/>
      <c r="H21" s="288"/>
      <c r="I21" s="288"/>
      <c r="J21" s="288"/>
      <c r="K21" s="288"/>
      <c r="L21" s="288"/>
      <c r="M21" s="288"/>
      <c r="N21" s="288"/>
      <c r="U21" s="286"/>
      <c r="V21" s="286"/>
      <c r="W21" s="286"/>
      <c r="X21" s="286"/>
      <c r="Y21" s="286"/>
      <c r="Z21" s="286"/>
      <c r="AA21" s="286"/>
      <c r="AB21" s="286"/>
      <c r="AC21" s="286"/>
      <c r="AD21" s="286"/>
      <c r="AE21" s="286"/>
      <c r="AF21" s="286"/>
      <c r="AG21" s="286"/>
      <c r="AH21" s="286"/>
      <c r="AI21" s="286"/>
      <c r="AJ21" s="286"/>
      <c r="AK21" s="286"/>
      <c r="AL21" s="286"/>
      <c r="AM21" s="286"/>
      <c r="AN21" s="286"/>
      <c r="AO21" s="286"/>
      <c r="AP21" s="286"/>
      <c r="AQ21" s="286"/>
      <c r="AR21" s="286"/>
      <c r="AS21" s="286"/>
      <c r="AT21" s="286"/>
    </row>
    <row r="22" spans="1:46" ht="21.95" customHeight="1" x14ac:dyDescent="0.2">
      <c r="A22" s="288"/>
      <c r="B22" s="288"/>
      <c r="C22" s="288"/>
      <c r="D22" s="288"/>
      <c r="E22" s="288"/>
      <c r="F22" s="288"/>
      <c r="G22" s="288"/>
      <c r="H22" s="288"/>
      <c r="I22" s="288"/>
      <c r="J22" s="288"/>
      <c r="K22" s="288"/>
      <c r="L22" s="288"/>
      <c r="M22" s="288"/>
      <c r="N22" s="288"/>
      <c r="U22" s="286"/>
      <c r="V22" s="286"/>
      <c r="W22" s="286"/>
      <c r="X22" s="286"/>
      <c r="Y22" s="286"/>
      <c r="Z22" s="286"/>
      <c r="AA22" s="286"/>
      <c r="AB22" s="286"/>
      <c r="AC22" s="286"/>
      <c r="AD22" s="286"/>
      <c r="AE22" s="286"/>
      <c r="AF22" s="286"/>
      <c r="AG22" s="286"/>
      <c r="AH22" s="286"/>
      <c r="AI22" s="286"/>
      <c r="AJ22" s="286"/>
      <c r="AK22" s="286"/>
      <c r="AL22" s="286"/>
      <c r="AM22" s="286"/>
      <c r="AN22" s="286"/>
      <c r="AO22" s="286"/>
      <c r="AP22" s="286"/>
      <c r="AQ22" s="286"/>
      <c r="AR22" s="286"/>
      <c r="AS22" s="286"/>
      <c r="AT22" s="286"/>
    </row>
    <row r="23" spans="1:46" ht="21.95" customHeight="1" x14ac:dyDescent="0.2">
      <c r="A23" s="288"/>
      <c r="B23" s="288"/>
      <c r="C23" s="288"/>
      <c r="D23" s="288"/>
      <c r="E23" s="288"/>
      <c r="F23" s="288"/>
      <c r="G23" s="288"/>
      <c r="H23" s="288"/>
      <c r="I23" s="288"/>
      <c r="J23" s="288"/>
      <c r="K23" s="288"/>
      <c r="L23" s="288"/>
      <c r="M23" s="288"/>
      <c r="N23" s="288"/>
      <c r="U23" s="286"/>
      <c r="V23" s="286"/>
      <c r="W23" s="286"/>
      <c r="X23" s="286"/>
      <c r="Y23" s="286"/>
      <c r="Z23" s="286"/>
      <c r="AA23" s="286"/>
      <c r="AB23" s="286"/>
      <c r="AC23" s="286"/>
      <c r="AD23" s="286"/>
      <c r="AE23" s="286"/>
      <c r="AF23" s="286"/>
      <c r="AG23" s="286"/>
      <c r="AH23" s="286"/>
      <c r="AI23" s="286"/>
      <c r="AJ23" s="286"/>
      <c r="AK23" s="286"/>
      <c r="AL23" s="286"/>
      <c r="AM23" s="286"/>
      <c r="AN23" s="286"/>
      <c r="AO23" s="286"/>
      <c r="AP23" s="286"/>
      <c r="AQ23" s="286"/>
      <c r="AR23" s="286"/>
      <c r="AS23" s="286"/>
      <c r="AT23" s="286"/>
    </row>
    <row r="24" spans="1:46" ht="21.95" customHeight="1" x14ac:dyDescent="0.2">
      <c r="A24" s="288"/>
      <c r="B24" s="288"/>
      <c r="C24" s="288"/>
      <c r="D24" s="288"/>
      <c r="E24" s="288"/>
      <c r="F24" s="288"/>
      <c r="G24" s="288"/>
      <c r="H24" s="288"/>
      <c r="I24" s="288"/>
      <c r="J24" s="288"/>
      <c r="K24" s="288"/>
      <c r="L24" s="288"/>
      <c r="M24" s="288"/>
      <c r="N24" s="288"/>
      <c r="U24" s="286"/>
      <c r="V24" s="286"/>
      <c r="W24" s="286"/>
      <c r="X24" s="286"/>
      <c r="Y24" s="286"/>
      <c r="Z24" s="286"/>
      <c r="AA24" s="286"/>
      <c r="AB24" s="286"/>
      <c r="AC24" s="286"/>
      <c r="AD24" s="286"/>
      <c r="AE24" s="286"/>
      <c r="AF24" s="286"/>
      <c r="AG24" s="286"/>
      <c r="AH24" s="286"/>
      <c r="AI24" s="286"/>
      <c r="AJ24" s="286"/>
      <c r="AK24" s="286"/>
      <c r="AL24" s="286"/>
      <c r="AM24" s="286"/>
      <c r="AN24" s="286"/>
      <c r="AO24" s="286"/>
      <c r="AP24" s="286"/>
      <c r="AQ24" s="286"/>
      <c r="AR24" s="286"/>
      <c r="AS24" s="286"/>
      <c r="AT24" s="286"/>
    </row>
    <row r="25" spans="1:46" ht="21.95" customHeight="1" x14ac:dyDescent="0.2">
      <c r="A25" s="288"/>
      <c r="B25" s="288"/>
      <c r="C25" s="288"/>
      <c r="D25" s="288"/>
      <c r="E25" s="288"/>
      <c r="F25" s="288"/>
      <c r="G25" s="288"/>
      <c r="H25" s="288"/>
      <c r="I25" s="288"/>
      <c r="J25" s="288"/>
      <c r="K25" s="288"/>
      <c r="L25" s="288"/>
      <c r="M25" s="288"/>
      <c r="N25" s="288"/>
      <c r="U25" s="286"/>
      <c r="V25" s="286"/>
      <c r="W25" s="286"/>
      <c r="X25" s="286"/>
      <c r="Y25" s="286"/>
      <c r="Z25" s="286"/>
      <c r="AA25" s="286"/>
      <c r="AB25" s="286"/>
      <c r="AC25" s="286"/>
      <c r="AD25" s="286"/>
      <c r="AE25" s="286"/>
      <c r="AF25" s="286"/>
      <c r="AG25" s="286"/>
      <c r="AH25" s="286"/>
      <c r="AI25" s="286"/>
      <c r="AJ25" s="286"/>
      <c r="AK25" s="286"/>
      <c r="AL25" s="286"/>
      <c r="AM25" s="286"/>
      <c r="AN25" s="286"/>
      <c r="AO25" s="286"/>
      <c r="AP25" s="286"/>
      <c r="AQ25" s="286"/>
      <c r="AR25" s="286"/>
      <c r="AS25" s="286"/>
      <c r="AT25" s="286"/>
    </row>
    <row r="26" spans="1:46" ht="28.5" customHeight="1" x14ac:dyDescent="0.2">
      <c r="O26" s="286"/>
      <c r="P26" s="286"/>
      <c r="Q26" s="286"/>
      <c r="R26" s="286"/>
      <c r="S26" s="286"/>
      <c r="T26" s="286"/>
      <c r="U26" s="286"/>
      <c r="V26" s="286"/>
      <c r="W26" s="286"/>
      <c r="X26" s="286"/>
      <c r="Y26" s="286"/>
      <c r="Z26" s="286"/>
      <c r="AA26" s="286"/>
      <c r="AB26" s="286"/>
      <c r="AC26" s="286"/>
      <c r="AD26" s="286"/>
      <c r="AE26" s="286"/>
      <c r="AF26" s="286"/>
      <c r="AG26" s="286"/>
      <c r="AH26" s="286"/>
      <c r="AI26" s="286"/>
      <c r="AJ26" s="286"/>
      <c r="AK26" s="286"/>
      <c r="AL26" s="286"/>
      <c r="AM26" s="286"/>
      <c r="AN26" s="286"/>
      <c r="AO26" s="286"/>
      <c r="AP26" s="286"/>
      <c r="AQ26" s="286"/>
      <c r="AR26" s="286"/>
      <c r="AS26" s="286"/>
      <c r="AT26" s="286"/>
    </row>
    <row r="27" spans="1:46" x14ac:dyDescent="0.2">
      <c r="O27" s="286"/>
      <c r="P27" s="286"/>
      <c r="Q27" s="286"/>
      <c r="R27" s="286"/>
      <c r="S27" s="286"/>
      <c r="T27" s="286"/>
      <c r="U27" s="286"/>
      <c r="V27" s="286"/>
      <c r="W27" s="286"/>
      <c r="X27" s="286"/>
      <c r="Y27" s="286"/>
      <c r="Z27" s="286"/>
      <c r="AA27" s="286"/>
      <c r="AB27" s="286"/>
      <c r="AC27" s="286"/>
      <c r="AD27" s="286"/>
      <c r="AE27" s="286"/>
      <c r="AF27" s="286"/>
      <c r="AG27" s="286"/>
      <c r="AH27" s="286"/>
      <c r="AI27" s="286"/>
      <c r="AJ27" s="286"/>
      <c r="AK27" s="286"/>
      <c r="AL27" s="286"/>
      <c r="AM27" s="286"/>
      <c r="AN27" s="286"/>
      <c r="AO27" s="286"/>
      <c r="AP27" s="286"/>
      <c r="AQ27" s="286"/>
      <c r="AR27" s="286"/>
      <c r="AS27" s="286"/>
      <c r="AT27" s="286"/>
    </row>
    <row r="28" spans="1:46" ht="12.75" customHeight="1" x14ac:dyDescent="0.2">
      <c r="O28" s="286"/>
      <c r="P28" s="286"/>
      <c r="Q28" s="286"/>
      <c r="R28" s="286"/>
      <c r="S28" s="286"/>
      <c r="T28" s="286"/>
      <c r="U28" s="286"/>
      <c r="V28" s="286"/>
      <c r="W28" s="286"/>
      <c r="X28" s="286"/>
      <c r="Y28" s="286"/>
      <c r="Z28" s="286"/>
      <c r="AA28" s="286"/>
      <c r="AB28" s="286"/>
      <c r="AC28" s="286"/>
      <c r="AD28" s="286"/>
      <c r="AE28" s="286"/>
      <c r="AF28" s="286"/>
      <c r="AG28" s="286"/>
      <c r="AH28" s="286"/>
      <c r="AI28" s="286"/>
      <c r="AJ28" s="286"/>
      <c r="AK28" s="286"/>
      <c r="AL28" s="286"/>
      <c r="AM28" s="286"/>
      <c r="AN28" s="286"/>
      <c r="AO28" s="286"/>
      <c r="AP28" s="286"/>
      <c r="AQ28" s="286"/>
      <c r="AR28" s="286"/>
      <c r="AS28" s="286"/>
      <c r="AT28" s="286"/>
    </row>
    <row r="29" spans="1:46" ht="12.75" customHeight="1" x14ac:dyDescent="0.2">
      <c r="O29" s="286"/>
      <c r="P29" s="286"/>
      <c r="Q29" s="286"/>
      <c r="R29" s="286"/>
      <c r="S29" s="286"/>
      <c r="T29" s="286"/>
      <c r="U29" s="286"/>
      <c r="V29" s="286"/>
      <c r="W29" s="286"/>
      <c r="X29" s="286"/>
      <c r="Y29" s="286"/>
      <c r="Z29" s="286"/>
      <c r="AA29" s="286"/>
      <c r="AB29" s="286"/>
      <c r="AC29" s="286"/>
      <c r="AD29" s="286"/>
      <c r="AE29" s="286"/>
      <c r="AF29" s="286"/>
      <c r="AG29" s="286"/>
      <c r="AH29" s="286"/>
      <c r="AI29" s="286"/>
      <c r="AJ29" s="286"/>
      <c r="AK29" s="286"/>
      <c r="AL29" s="286"/>
      <c r="AM29" s="286"/>
      <c r="AN29" s="286"/>
      <c r="AO29" s="286"/>
      <c r="AP29" s="286"/>
      <c r="AQ29" s="286"/>
      <c r="AR29" s="286"/>
      <c r="AS29" s="286"/>
      <c r="AT29" s="286"/>
    </row>
    <row r="30" spans="1:46" ht="19.5" customHeight="1" x14ac:dyDescent="0.2">
      <c r="A30" s="321"/>
      <c r="O30" s="286"/>
      <c r="P30" s="286"/>
      <c r="Q30" s="286"/>
      <c r="R30" s="286"/>
      <c r="S30" s="286"/>
      <c r="T30" s="286"/>
      <c r="U30" s="286"/>
      <c r="V30" s="286"/>
      <c r="W30" s="286"/>
      <c r="X30" s="286"/>
      <c r="Y30" s="286"/>
      <c r="Z30" s="286"/>
      <c r="AA30" s="286"/>
      <c r="AB30" s="286"/>
      <c r="AC30" s="286"/>
      <c r="AD30" s="286"/>
      <c r="AE30" s="286"/>
      <c r="AF30" s="286"/>
      <c r="AG30" s="286"/>
      <c r="AH30" s="286"/>
      <c r="AI30" s="286"/>
      <c r="AJ30" s="286"/>
      <c r="AK30" s="286"/>
      <c r="AL30" s="286"/>
      <c r="AM30" s="286"/>
      <c r="AN30" s="286"/>
      <c r="AO30" s="286"/>
      <c r="AP30" s="286"/>
      <c r="AQ30" s="286"/>
      <c r="AR30" s="286"/>
      <c r="AS30" s="286"/>
      <c r="AT30" s="286"/>
    </row>
    <row r="31" spans="1:46" ht="34.5" customHeight="1" x14ac:dyDescent="0.2">
      <c r="A31" s="231"/>
      <c r="O31" s="286"/>
      <c r="P31" s="286"/>
      <c r="Q31" s="286"/>
      <c r="R31" s="286"/>
      <c r="S31" s="286"/>
      <c r="T31" s="286"/>
      <c r="U31" s="286"/>
      <c r="V31" s="286"/>
      <c r="W31" s="286"/>
      <c r="X31" s="286"/>
      <c r="Y31" s="286"/>
      <c r="Z31" s="286"/>
      <c r="AA31" s="286"/>
      <c r="AB31" s="286"/>
      <c r="AC31" s="286"/>
      <c r="AD31" s="286"/>
      <c r="AE31" s="286"/>
      <c r="AF31" s="286"/>
      <c r="AG31" s="286"/>
      <c r="AH31" s="286"/>
      <c r="AI31" s="286"/>
      <c r="AJ31" s="286"/>
      <c r="AK31" s="286"/>
      <c r="AL31" s="286"/>
      <c r="AM31" s="286"/>
      <c r="AN31" s="286"/>
      <c r="AO31" s="286"/>
      <c r="AP31" s="286"/>
      <c r="AQ31" s="286"/>
      <c r="AR31" s="286"/>
      <c r="AS31" s="286"/>
      <c r="AT31" s="286"/>
    </row>
    <row r="32" spans="1:46" ht="21.75" customHeight="1" x14ac:dyDescent="0.2">
      <c r="A32" s="278"/>
      <c r="O32" s="286"/>
      <c r="P32" s="286"/>
      <c r="Q32" s="286"/>
      <c r="R32" s="286"/>
      <c r="S32" s="286"/>
      <c r="T32" s="286"/>
      <c r="U32" s="286"/>
      <c r="V32" s="286"/>
      <c r="W32" s="286"/>
      <c r="X32" s="286"/>
      <c r="Y32" s="286"/>
      <c r="Z32" s="286"/>
      <c r="AA32" s="286"/>
      <c r="AB32" s="286"/>
      <c r="AC32" s="286"/>
      <c r="AD32" s="286"/>
      <c r="AE32" s="286"/>
      <c r="AF32" s="286"/>
      <c r="AG32" s="286"/>
      <c r="AH32" s="286"/>
      <c r="AI32" s="286"/>
      <c r="AJ32" s="286"/>
      <c r="AK32" s="286"/>
      <c r="AL32" s="286"/>
      <c r="AM32" s="286"/>
      <c r="AN32" s="286"/>
      <c r="AO32" s="286"/>
      <c r="AP32" s="286"/>
      <c r="AQ32" s="286"/>
      <c r="AR32" s="286"/>
      <c r="AS32" s="286"/>
      <c r="AT32" s="286"/>
    </row>
    <row r="33" spans="1:46" ht="21.75" customHeight="1" x14ac:dyDescent="0.2">
      <c r="A33" s="278"/>
      <c r="O33" s="286"/>
      <c r="P33" s="286"/>
      <c r="Q33" s="286"/>
      <c r="R33" s="286"/>
      <c r="S33" s="286"/>
      <c r="T33" s="286"/>
      <c r="U33" s="286"/>
      <c r="V33" s="286"/>
      <c r="W33" s="286"/>
      <c r="X33" s="286"/>
      <c r="Y33" s="286"/>
      <c r="Z33" s="286"/>
      <c r="AA33" s="286"/>
      <c r="AB33" s="286"/>
      <c r="AC33" s="286"/>
      <c r="AD33" s="286"/>
      <c r="AE33" s="286"/>
      <c r="AF33" s="286"/>
      <c r="AG33" s="286"/>
      <c r="AH33" s="286"/>
      <c r="AI33" s="286"/>
      <c r="AJ33" s="286"/>
      <c r="AK33" s="286"/>
      <c r="AL33" s="286"/>
      <c r="AM33" s="286"/>
      <c r="AN33" s="286"/>
      <c r="AO33" s="286"/>
      <c r="AP33" s="286"/>
      <c r="AQ33" s="286"/>
      <c r="AR33" s="286"/>
      <c r="AS33" s="286"/>
      <c r="AT33" s="286"/>
    </row>
    <row r="34" spans="1:46" x14ac:dyDescent="0.2">
      <c r="A34" s="278"/>
      <c r="O34" s="286"/>
      <c r="P34" s="286"/>
      <c r="Q34" s="286"/>
      <c r="R34" s="286"/>
      <c r="S34" s="286"/>
      <c r="T34" s="286"/>
      <c r="U34" s="286"/>
      <c r="V34" s="286"/>
      <c r="W34" s="286"/>
      <c r="X34" s="286"/>
      <c r="Y34" s="286"/>
      <c r="Z34" s="286"/>
      <c r="AA34" s="286"/>
      <c r="AB34" s="286"/>
      <c r="AC34" s="286"/>
      <c r="AD34" s="286"/>
      <c r="AE34" s="286"/>
      <c r="AF34" s="286"/>
      <c r="AG34" s="286"/>
      <c r="AH34" s="286"/>
      <c r="AI34" s="286"/>
      <c r="AJ34" s="286"/>
      <c r="AK34" s="286"/>
      <c r="AL34" s="286"/>
      <c r="AM34" s="286"/>
      <c r="AN34" s="286"/>
      <c r="AO34" s="286"/>
      <c r="AP34" s="286"/>
      <c r="AQ34" s="286"/>
      <c r="AR34" s="286"/>
      <c r="AS34" s="286"/>
      <c r="AT34" s="286"/>
    </row>
    <row r="35" spans="1:46" x14ac:dyDescent="0.2">
      <c r="A35" s="329"/>
      <c r="B35" s="329"/>
      <c r="C35" s="329"/>
      <c r="D35" s="329"/>
      <c r="E35" s="329"/>
      <c r="F35" s="329"/>
      <c r="G35" s="231"/>
      <c r="H35" s="231"/>
      <c r="I35" s="231"/>
      <c r="J35" s="231"/>
      <c r="K35" s="231"/>
      <c r="L35" s="278"/>
      <c r="M35" s="278"/>
      <c r="N35" s="278"/>
      <c r="O35" s="278"/>
      <c r="P35" s="278"/>
      <c r="Q35" s="278"/>
      <c r="R35" s="278"/>
      <c r="S35" s="278"/>
      <c r="T35" s="278"/>
      <c r="U35" s="286"/>
      <c r="V35" s="286"/>
      <c r="W35" s="286"/>
      <c r="X35" s="286"/>
      <c r="Y35" s="286"/>
      <c r="Z35" s="286"/>
      <c r="AA35" s="286"/>
      <c r="AB35" s="286"/>
      <c r="AC35" s="286"/>
      <c r="AD35" s="286"/>
      <c r="AE35" s="286"/>
      <c r="AF35" s="286"/>
      <c r="AG35" s="286"/>
      <c r="AH35" s="286"/>
      <c r="AI35" s="286"/>
      <c r="AJ35" s="286"/>
      <c r="AK35" s="286"/>
      <c r="AL35" s="286"/>
      <c r="AM35" s="286"/>
      <c r="AN35" s="286"/>
      <c r="AO35" s="286"/>
      <c r="AP35" s="286"/>
      <c r="AQ35" s="286"/>
      <c r="AR35" s="286"/>
      <c r="AS35" s="286"/>
      <c r="AT35" s="286"/>
    </row>
    <row r="36" spans="1:46" s="231" customFormat="1" ht="22.5" customHeight="1" x14ac:dyDescent="0.2">
      <c r="A36" s="329"/>
      <c r="B36" s="329"/>
      <c r="C36" s="329"/>
      <c r="D36" s="329"/>
      <c r="E36" s="329"/>
      <c r="F36" s="329"/>
      <c r="L36" s="278"/>
      <c r="M36" s="278"/>
      <c r="N36" s="278"/>
      <c r="O36" s="278"/>
      <c r="P36" s="278"/>
      <c r="Q36" s="278"/>
      <c r="R36" s="278"/>
      <c r="S36" s="278"/>
      <c r="T36" s="278"/>
    </row>
    <row r="37" spans="1:46" s="231" customFormat="1" ht="24.75" customHeight="1" x14ac:dyDescent="0.2">
      <c r="L37" s="278"/>
      <c r="M37" s="278"/>
      <c r="N37" s="278"/>
      <c r="O37" s="278"/>
      <c r="P37" s="278"/>
      <c r="Q37" s="278"/>
      <c r="R37" s="278"/>
      <c r="S37" s="278"/>
      <c r="T37" s="278"/>
    </row>
    <row r="38" spans="1:46" s="231" customFormat="1" ht="24.75" customHeight="1" x14ac:dyDescent="0.2">
      <c r="A38" s="342"/>
      <c r="B38" s="342"/>
      <c r="C38" s="342"/>
      <c r="D38" s="342"/>
      <c r="E38" s="342"/>
      <c r="F38" s="342"/>
      <c r="L38" s="278"/>
      <c r="M38" s="278"/>
      <c r="N38" s="278"/>
      <c r="O38" s="278"/>
      <c r="P38" s="278"/>
      <c r="Q38" s="278"/>
      <c r="R38" s="278"/>
      <c r="S38" s="278"/>
      <c r="T38" s="278"/>
    </row>
    <row r="39" spans="1:46" s="231" customFormat="1" ht="24.75" customHeight="1" x14ac:dyDescent="0.2">
      <c r="A39" s="288"/>
      <c r="B39" s="288"/>
      <c r="C39" s="288"/>
      <c r="D39" s="288"/>
      <c r="E39" s="288"/>
      <c r="F39" s="288"/>
      <c r="G39" s="288"/>
      <c r="H39" s="288"/>
      <c r="I39" s="288"/>
      <c r="J39" s="288"/>
      <c r="K39" s="288"/>
      <c r="L39" s="288"/>
      <c r="M39" s="288"/>
      <c r="N39" s="288"/>
      <c r="O39" s="288"/>
      <c r="P39" s="288"/>
      <c r="Q39" s="288"/>
      <c r="R39" s="288"/>
      <c r="S39" s="288"/>
      <c r="T39" s="288"/>
    </row>
    <row r="40" spans="1:46" s="231" customFormat="1" ht="14.25" x14ac:dyDescent="0.2">
      <c r="B40" s="347"/>
      <c r="C40" s="348"/>
      <c r="D40" s="348"/>
      <c r="E40" s="348"/>
      <c r="L40" s="278"/>
      <c r="M40" s="278"/>
      <c r="N40" s="278"/>
      <c r="O40" s="278"/>
      <c r="P40" s="278"/>
      <c r="Q40" s="278"/>
      <c r="R40" s="278"/>
      <c r="S40" s="278"/>
      <c r="T40" s="278"/>
    </row>
    <row r="41" spans="1:46" s="231" customFormat="1" ht="22.5" customHeight="1" x14ac:dyDescent="0.2">
      <c r="A41" s="329"/>
      <c r="B41" s="329"/>
      <c r="C41" s="329"/>
      <c r="D41" s="288"/>
      <c r="E41" s="288"/>
      <c r="F41" s="288"/>
      <c r="G41" s="288"/>
      <c r="H41" s="288"/>
      <c r="I41" s="288"/>
      <c r="J41" s="288"/>
      <c r="K41" s="288"/>
      <c r="L41" s="288"/>
      <c r="M41" s="288"/>
      <c r="N41" s="288"/>
      <c r="O41" s="288"/>
      <c r="P41" s="288"/>
      <c r="Q41" s="288"/>
      <c r="R41" s="288"/>
      <c r="S41" s="288"/>
      <c r="T41" s="288"/>
    </row>
    <row r="42" spans="1:46" s="231" customFormat="1" ht="21" customHeight="1" x14ac:dyDescent="0.2">
      <c r="A42" s="329"/>
      <c r="B42" s="329"/>
      <c r="C42" s="329"/>
      <c r="D42" s="288"/>
      <c r="E42" s="288"/>
      <c r="F42" s="288"/>
      <c r="G42" s="288"/>
      <c r="H42" s="288"/>
      <c r="I42" s="288"/>
      <c r="J42" s="288"/>
      <c r="K42" s="288"/>
      <c r="L42" s="288"/>
      <c r="M42" s="288"/>
      <c r="N42" s="288"/>
      <c r="O42" s="288"/>
      <c r="P42" s="288"/>
      <c r="Q42" s="288"/>
      <c r="R42" s="288"/>
      <c r="S42" s="288"/>
      <c r="T42" s="288"/>
    </row>
    <row r="43" spans="1:46" s="231" customFormat="1" ht="14.25" x14ac:dyDescent="0.2">
      <c r="A43" s="288"/>
      <c r="B43" s="288"/>
      <c r="C43" s="288"/>
      <c r="D43" s="288"/>
      <c r="E43" s="288"/>
      <c r="F43" s="288"/>
      <c r="G43" s="288"/>
      <c r="H43" s="288"/>
      <c r="I43" s="288"/>
      <c r="J43" s="288"/>
      <c r="K43" s="288"/>
      <c r="L43" s="288"/>
      <c r="M43" s="288"/>
      <c r="N43" s="288"/>
      <c r="O43" s="288"/>
      <c r="P43" s="288"/>
      <c r="Q43" s="288"/>
      <c r="R43" s="288"/>
      <c r="S43" s="288"/>
      <c r="T43" s="288"/>
    </row>
    <row r="44" spans="1:46" s="231" customFormat="1" ht="14.25" x14ac:dyDescent="0.2">
      <c r="A44" s="342"/>
      <c r="B44" s="342"/>
      <c r="C44" s="342"/>
      <c r="D44" s="288"/>
      <c r="E44" s="288"/>
      <c r="F44" s="288"/>
      <c r="G44" s="288"/>
      <c r="H44" s="288"/>
      <c r="I44" s="288"/>
      <c r="J44" s="288"/>
      <c r="K44" s="288"/>
      <c r="L44" s="288"/>
      <c r="M44" s="288"/>
      <c r="N44" s="288"/>
      <c r="O44" s="288"/>
      <c r="P44" s="288"/>
      <c r="Q44" s="288"/>
      <c r="R44" s="288"/>
      <c r="S44" s="288"/>
      <c r="T44" s="288"/>
    </row>
    <row r="45" spans="1:46" s="288" customFormat="1" ht="12.75" x14ac:dyDescent="0.2"/>
    <row r="46" spans="1:46" s="231" customFormat="1" ht="14.25" x14ac:dyDescent="0.2">
      <c r="A46" s="288"/>
      <c r="B46" s="288"/>
      <c r="C46" s="288"/>
      <c r="D46" s="288"/>
      <c r="E46" s="288"/>
      <c r="F46" s="288"/>
      <c r="G46" s="288"/>
      <c r="H46" s="288"/>
      <c r="I46" s="288"/>
      <c r="J46" s="288"/>
      <c r="K46" s="288"/>
      <c r="L46" s="288"/>
      <c r="M46" s="288"/>
      <c r="N46" s="288"/>
      <c r="O46" s="288"/>
      <c r="P46" s="288"/>
      <c r="Q46" s="288"/>
      <c r="R46" s="288"/>
      <c r="S46" s="288"/>
      <c r="T46" s="288"/>
    </row>
    <row r="47" spans="1:46" x14ac:dyDescent="0.2">
      <c r="A47" s="288"/>
      <c r="B47" s="288"/>
      <c r="C47" s="288"/>
      <c r="D47" s="288"/>
      <c r="E47" s="288"/>
      <c r="F47" s="288"/>
      <c r="G47" s="288"/>
      <c r="H47" s="288"/>
      <c r="I47" s="288"/>
      <c r="J47" s="288"/>
      <c r="K47" s="288"/>
      <c r="L47" s="288"/>
      <c r="M47" s="288"/>
      <c r="N47" s="288"/>
      <c r="U47" s="286"/>
      <c r="V47" s="286"/>
      <c r="W47" s="286"/>
      <c r="X47" s="286"/>
      <c r="Y47" s="286"/>
      <c r="Z47" s="286"/>
      <c r="AA47" s="286"/>
      <c r="AB47" s="286"/>
      <c r="AC47" s="286"/>
      <c r="AD47" s="286"/>
      <c r="AE47" s="286"/>
      <c r="AF47" s="286"/>
      <c r="AG47" s="286"/>
      <c r="AH47" s="286"/>
      <c r="AI47" s="286"/>
      <c r="AJ47" s="286"/>
      <c r="AK47" s="286"/>
      <c r="AL47" s="286"/>
      <c r="AM47" s="286"/>
      <c r="AN47" s="286"/>
      <c r="AO47" s="286"/>
      <c r="AP47" s="286"/>
      <c r="AQ47" s="286"/>
      <c r="AR47" s="286"/>
      <c r="AS47" s="286"/>
      <c r="AT47" s="286"/>
    </row>
    <row r="48" spans="1:46" x14ac:dyDescent="0.2">
      <c r="A48" s="288"/>
      <c r="B48" s="288"/>
      <c r="C48" s="288"/>
      <c r="D48" s="288"/>
      <c r="E48" s="288"/>
      <c r="F48" s="288"/>
      <c r="G48" s="288"/>
      <c r="H48" s="288"/>
      <c r="I48" s="288"/>
      <c r="J48" s="288"/>
      <c r="K48" s="288"/>
      <c r="L48" s="288"/>
      <c r="M48" s="288"/>
      <c r="N48" s="288"/>
      <c r="U48" s="286"/>
      <c r="V48" s="286"/>
      <c r="W48" s="286"/>
      <c r="X48" s="286"/>
      <c r="Y48" s="286"/>
      <c r="Z48" s="286"/>
      <c r="AA48" s="286"/>
      <c r="AB48" s="286"/>
      <c r="AC48" s="286"/>
      <c r="AD48" s="286"/>
      <c r="AE48" s="286"/>
      <c r="AF48" s="286"/>
      <c r="AG48" s="286"/>
      <c r="AH48" s="286"/>
      <c r="AI48" s="286"/>
      <c r="AJ48" s="286"/>
      <c r="AK48" s="286"/>
      <c r="AL48" s="286"/>
      <c r="AM48" s="286"/>
      <c r="AN48" s="286"/>
      <c r="AO48" s="286"/>
      <c r="AP48" s="286"/>
      <c r="AQ48" s="286"/>
      <c r="AR48" s="286"/>
      <c r="AS48" s="286"/>
      <c r="AT48" s="286"/>
    </row>
    <row r="49" spans="1:46" x14ac:dyDescent="0.2">
      <c r="A49" s="288"/>
      <c r="B49" s="288"/>
      <c r="C49" s="288"/>
      <c r="D49" s="288"/>
      <c r="E49" s="288"/>
      <c r="F49" s="288"/>
      <c r="G49" s="288"/>
      <c r="H49" s="288"/>
      <c r="I49" s="288"/>
      <c r="J49" s="288"/>
      <c r="K49" s="288"/>
      <c r="L49" s="288"/>
      <c r="M49" s="288"/>
      <c r="N49" s="288"/>
      <c r="U49" s="286"/>
      <c r="V49" s="286"/>
      <c r="W49" s="286"/>
      <c r="X49" s="286"/>
      <c r="Y49" s="286"/>
      <c r="Z49" s="286"/>
      <c r="AA49" s="286"/>
      <c r="AB49" s="286"/>
      <c r="AC49" s="286"/>
      <c r="AD49" s="286"/>
      <c r="AE49" s="286"/>
      <c r="AF49" s="286"/>
      <c r="AG49" s="286"/>
      <c r="AH49" s="286"/>
      <c r="AI49" s="286"/>
      <c r="AJ49" s="286"/>
      <c r="AK49" s="286"/>
      <c r="AL49" s="286"/>
      <c r="AM49" s="286"/>
      <c r="AN49" s="286"/>
      <c r="AO49" s="286"/>
      <c r="AP49" s="286"/>
      <c r="AQ49" s="286"/>
      <c r="AR49" s="286"/>
      <c r="AS49" s="286"/>
      <c r="AT49" s="286"/>
    </row>
    <row r="50" spans="1:46" x14ac:dyDescent="0.2">
      <c r="A50" s="288"/>
      <c r="B50" s="288"/>
      <c r="C50" s="288"/>
      <c r="D50" s="288"/>
      <c r="E50" s="288"/>
      <c r="F50" s="288"/>
      <c r="G50" s="288"/>
      <c r="H50" s="288"/>
      <c r="I50" s="288"/>
      <c r="J50" s="288"/>
      <c r="K50" s="288"/>
      <c r="L50" s="288"/>
      <c r="M50" s="288"/>
      <c r="N50" s="288"/>
      <c r="U50" s="286"/>
      <c r="V50" s="286"/>
      <c r="W50" s="286"/>
      <c r="X50" s="286"/>
      <c r="Y50" s="286"/>
      <c r="Z50" s="286"/>
      <c r="AA50" s="286"/>
      <c r="AB50" s="286"/>
      <c r="AC50" s="286"/>
      <c r="AD50" s="286"/>
      <c r="AE50" s="286"/>
      <c r="AF50" s="286"/>
      <c r="AG50" s="286"/>
      <c r="AH50" s="286"/>
      <c r="AI50" s="286"/>
      <c r="AJ50" s="286"/>
      <c r="AK50" s="286"/>
      <c r="AL50" s="286"/>
      <c r="AM50" s="286"/>
      <c r="AN50" s="286"/>
      <c r="AO50" s="286"/>
      <c r="AP50" s="286"/>
      <c r="AQ50" s="286"/>
      <c r="AR50" s="286"/>
      <c r="AS50" s="286"/>
      <c r="AT50" s="286"/>
    </row>
    <row r="51" spans="1:46" x14ac:dyDescent="0.2">
      <c r="A51" s="288"/>
      <c r="B51" s="288"/>
      <c r="C51" s="288"/>
      <c r="D51" s="288"/>
      <c r="E51" s="288"/>
      <c r="F51" s="288"/>
      <c r="G51" s="288"/>
      <c r="H51" s="288"/>
      <c r="I51" s="288"/>
      <c r="J51" s="288"/>
      <c r="K51" s="288"/>
      <c r="L51" s="288"/>
      <c r="M51" s="288"/>
      <c r="N51" s="288"/>
      <c r="U51" s="286"/>
      <c r="V51" s="286"/>
      <c r="W51" s="286"/>
      <c r="X51" s="286"/>
      <c r="Y51" s="286"/>
      <c r="Z51" s="286"/>
      <c r="AA51" s="286"/>
      <c r="AB51" s="286"/>
      <c r="AC51" s="286"/>
      <c r="AD51" s="286"/>
      <c r="AE51" s="286"/>
      <c r="AF51" s="286"/>
      <c r="AG51" s="286"/>
      <c r="AH51" s="286"/>
      <c r="AI51" s="286"/>
      <c r="AJ51" s="286"/>
      <c r="AK51" s="286"/>
      <c r="AL51" s="286"/>
      <c r="AM51" s="286"/>
      <c r="AN51" s="286"/>
      <c r="AO51" s="286"/>
      <c r="AP51" s="286"/>
      <c r="AQ51" s="286"/>
      <c r="AR51" s="286"/>
      <c r="AS51" s="286"/>
      <c r="AT51" s="286"/>
    </row>
    <row r="52" spans="1:46" x14ac:dyDescent="0.2">
      <c r="A52" s="288"/>
      <c r="B52" s="288"/>
      <c r="C52" s="288"/>
      <c r="D52" s="288"/>
      <c r="E52" s="288"/>
      <c r="F52" s="288"/>
      <c r="G52" s="288"/>
      <c r="H52" s="288"/>
      <c r="I52" s="288"/>
      <c r="J52" s="288"/>
      <c r="K52" s="288"/>
      <c r="L52" s="288"/>
      <c r="M52" s="288"/>
      <c r="N52" s="288"/>
      <c r="U52" s="286"/>
      <c r="V52" s="286"/>
      <c r="W52" s="286"/>
      <c r="X52" s="286"/>
      <c r="Y52" s="286"/>
      <c r="Z52" s="286"/>
      <c r="AA52" s="286"/>
      <c r="AB52" s="286"/>
      <c r="AC52" s="286"/>
      <c r="AD52" s="286"/>
      <c r="AE52" s="286"/>
      <c r="AF52" s="286"/>
      <c r="AG52" s="286"/>
      <c r="AH52" s="286"/>
      <c r="AI52" s="286"/>
      <c r="AJ52" s="286"/>
      <c r="AK52" s="286"/>
      <c r="AL52" s="286"/>
      <c r="AM52" s="286"/>
      <c r="AN52" s="286"/>
      <c r="AO52" s="286"/>
      <c r="AP52" s="286"/>
      <c r="AQ52" s="286"/>
      <c r="AR52" s="286"/>
      <c r="AS52" s="286"/>
      <c r="AT52" s="286"/>
    </row>
    <row r="53" spans="1:46" x14ac:dyDescent="0.2">
      <c r="A53" s="288"/>
      <c r="B53" s="288"/>
      <c r="C53" s="288"/>
      <c r="D53" s="288"/>
      <c r="E53" s="288"/>
      <c r="F53" s="288"/>
      <c r="G53" s="288"/>
      <c r="H53" s="288"/>
      <c r="I53" s="288"/>
      <c r="J53" s="288"/>
      <c r="K53" s="288"/>
      <c r="L53" s="288"/>
      <c r="M53" s="288"/>
      <c r="N53" s="288"/>
      <c r="U53" s="286"/>
      <c r="V53" s="286"/>
      <c r="W53" s="286"/>
      <c r="X53" s="286"/>
      <c r="Y53" s="286"/>
      <c r="Z53" s="286"/>
      <c r="AA53" s="286"/>
      <c r="AB53" s="286"/>
      <c r="AC53" s="286"/>
      <c r="AD53" s="286"/>
      <c r="AE53" s="286"/>
      <c r="AF53" s="286"/>
      <c r="AG53" s="286"/>
      <c r="AH53" s="286"/>
      <c r="AI53" s="286"/>
      <c r="AJ53" s="286"/>
      <c r="AK53" s="286"/>
      <c r="AL53" s="286"/>
      <c r="AM53" s="286"/>
      <c r="AN53" s="286"/>
      <c r="AO53" s="286"/>
      <c r="AP53" s="286"/>
      <c r="AQ53" s="286"/>
      <c r="AR53" s="286"/>
      <c r="AS53" s="286"/>
      <c r="AT53" s="286"/>
    </row>
    <row r="54" spans="1:46" x14ac:dyDescent="0.2">
      <c r="A54" s="288"/>
      <c r="B54" s="288"/>
      <c r="C54" s="288"/>
      <c r="D54" s="288"/>
      <c r="E54" s="288"/>
      <c r="F54" s="288"/>
      <c r="G54" s="288"/>
      <c r="H54" s="288"/>
      <c r="I54" s="288"/>
      <c r="J54" s="288"/>
      <c r="K54" s="288"/>
      <c r="L54" s="288"/>
      <c r="M54" s="288"/>
      <c r="N54" s="288"/>
      <c r="U54" s="286"/>
      <c r="V54" s="286"/>
      <c r="W54" s="286"/>
      <c r="X54" s="286"/>
      <c r="Y54" s="286"/>
      <c r="Z54" s="286"/>
      <c r="AA54" s="286"/>
      <c r="AB54" s="286"/>
      <c r="AC54" s="286"/>
      <c r="AD54" s="286"/>
      <c r="AE54" s="286"/>
      <c r="AF54" s="286"/>
      <c r="AG54" s="286"/>
      <c r="AH54" s="286"/>
      <c r="AI54" s="286"/>
      <c r="AJ54" s="286"/>
      <c r="AK54" s="286"/>
      <c r="AL54" s="286"/>
      <c r="AM54" s="286"/>
      <c r="AN54" s="286"/>
      <c r="AO54" s="286"/>
      <c r="AP54" s="286"/>
      <c r="AQ54" s="286"/>
      <c r="AR54" s="286"/>
      <c r="AS54" s="286"/>
      <c r="AT54" s="286"/>
    </row>
    <row r="55" spans="1:46" x14ac:dyDescent="0.2">
      <c r="A55" s="288"/>
      <c r="B55" s="288"/>
      <c r="C55" s="288"/>
      <c r="D55" s="288"/>
      <c r="E55" s="288"/>
      <c r="F55" s="288"/>
      <c r="G55" s="288"/>
      <c r="H55" s="288"/>
      <c r="I55" s="288"/>
      <c r="J55" s="288"/>
      <c r="K55" s="288"/>
      <c r="L55" s="288"/>
      <c r="M55" s="288"/>
      <c r="N55" s="288"/>
      <c r="U55" s="286"/>
      <c r="V55" s="286"/>
      <c r="W55" s="286"/>
      <c r="X55" s="286"/>
      <c r="Y55" s="286"/>
      <c r="Z55" s="286"/>
      <c r="AA55" s="286"/>
      <c r="AB55" s="286"/>
      <c r="AC55" s="286"/>
      <c r="AD55" s="286"/>
      <c r="AE55" s="286"/>
      <c r="AF55" s="286"/>
      <c r="AG55" s="286"/>
      <c r="AH55" s="286"/>
      <c r="AI55" s="286"/>
      <c r="AJ55" s="286"/>
      <c r="AK55" s="286"/>
      <c r="AL55" s="286"/>
      <c r="AM55" s="286"/>
      <c r="AN55" s="286"/>
      <c r="AO55" s="286"/>
      <c r="AP55" s="286"/>
      <c r="AQ55" s="286"/>
      <c r="AR55" s="286"/>
      <c r="AS55" s="286"/>
      <c r="AT55" s="286"/>
    </row>
    <row r="56" spans="1:46" x14ac:dyDescent="0.2">
      <c r="A56" s="288"/>
      <c r="B56" s="288"/>
      <c r="C56" s="288"/>
      <c r="D56" s="288"/>
      <c r="E56" s="288"/>
      <c r="F56" s="288"/>
      <c r="G56" s="288"/>
      <c r="H56" s="288"/>
      <c r="I56" s="288"/>
      <c r="J56" s="288"/>
      <c r="K56" s="288"/>
      <c r="L56" s="288"/>
      <c r="M56" s="288"/>
      <c r="N56" s="288"/>
      <c r="U56" s="286"/>
      <c r="V56" s="286"/>
      <c r="W56" s="286"/>
      <c r="X56" s="286"/>
      <c r="Y56" s="286"/>
      <c r="Z56" s="286"/>
      <c r="AA56" s="286"/>
      <c r="AB56" s="286"/>
      <c r="AC56" s="286"/>
      <c r="AD56" s="286"/>
      <c r="AE56" s="286"/>
      <c r="AF56" s="286"/>
      <c r="AG56" s="286"/>
      <c r="AH56" s="286"/>
      <c r="AI56" s="286"/>
      <c r="AJ56" s="286"/>
      <c r="AK56" s="286"/>
      <c r="AL56" s="286"/>
      <c r="AM56" s="286"/>
      <c r="AN56" s="286"/>
      <c r="AO56" s="286"/>
      <c r="AP56" s="286"/>
      <c r="AQ56" s="286"/>
      <c r="AR56" s="286"/>
      <c r="AS56" s="286"/>
      <c r="AT56" s="286"/>
    </row>
    <row r="57" spans="1:46" x14ac:dyDescent="0.2">
      <c r="A57" s="288"/>
      <c r="B57" s="288"/>
      <c r="C57" s="288"/>
      <c r="D57" s="288"/>
      <c r="E57" s="288"/>
      <c r="F57" s="288"/>
      <c r="G57" s="288"/>
      <c r="H57" s="288"/>
      <c r="I57" s="288"/>
      <c r="J57" s="288"/>
      <c r="K57" s="288"/>
      <c r="L57" s="288"/>
      <c r="M57" s="288"/>
      <c r="N57" s="288"/>
      <c r="U57" s="286"/>
      <c r="V57" s="286"/>
      <c r="W57" s="286"/>
      <c r="X57" s="286"/>
      <c r="Y57" s="286"/>
      <c r="Z57" s="286"/>
      <c r="AA57" s="286"/>
      <c r="AB57" s="286"/>
      <c r="AC57" s="286"/>
      <c r="AD57" s="286"/>
      <c r="AE57" s="286"/>
      <c r="AF57" s="286"/>
      <c r="AG57" s="286"/>
      <c r="AH57" s="286"/>
      <c r="AI57" s="286"/>
      <c r="AJ57" s="286"/>
      <c r="AK57" s="286"/>
      <c r="AL57" s="286"/>
      <c r="AM57" s="286"/>
      <c r="AN57" s="286"/>
      <c r="AO57" s="286"/>
      <c r="AP57" s="286"/>
      <c r="AQ57" s="286"/>
      <c r="AR57" s="286"/>
      <c r="AS57" s="286"/>
      <c r="AT57" s="286"/>
    </row>
    <row r="58" spans="1:46" x14ac:dyDescent="0.2">
      <c r="A58" s="288"/>
      <c r="B58" s="288"/>
      <c r="C58" s="288"/>
      <c r="D58" s="288"/>
      <c r="E58" s="288"/>
      <c r="F58" s="288"/>
      <c r="G58" s="288"/>
      <c r="H58" s="288"/>
      <c r="I58" s="288"/>
      <c r="J58" s="288"/>
      <c r="K58" s="288"/>
      <c r="L58" s="288"/>
      <c r="M58" s="288"/>
      <c r="N58" s="288"/>
      <c r="U58" s="286"/>
      <c r="V58" s="286"/>
      <c r="W58" s="286"/>
      <c r="X58" s="286"/>
      <c r="Y58" s="286"/>
      <c r="Z58" s="286"/>
      <c r="AA58" s="286"/>
      <c r="AB58" s="286"/>
      <c r="AC58" s="286"/>
      <c r="AD58" s="286"/>
      <c r="AE58" s="286"/>
      <c r="AF58" s="286"/>
      <c r="AG58" s="286"/>
      <c r="AH58" s="286"/>
      <c r="AI58" s="286"/>
      <c r="AJ58" s="286"/>
      <c r="AK58" s="286"/>
      <c r="AL58" s="286"/>
      <c r="AM58" s="286"/>
      <c r="AN58" s="286"/>
      <c r="AO58" s="286"/>
      <c r="AP58" s="286"/>
      <c r="AQ58" s="286"/>
      <c r="AR58" s="286"/>
      <c r="AS58" s="286"/>
      <c r="AT58" s="286"/>
    </row>
    <row r="59" spans="1:46" x14ac:dyDescent="0.2">
      <c r="A59" s="288"/>
      <c r="B59" s="288"/>
      <c r="C59" s="288"/>
      <c r="D59" s="288"/>
      <c r="E59" s="288"/>
      <c r="F59" s="288"/>
      <c r="G59" s="288"/>
      <c r="H59" s="288"/>
      <c r="I59" s="288"/>
      <c r="J59" s="288"/>
      <c r="K59" s="288"/>
      <c r="L59" s="288"/>
      <c r="M59" s="288"/>
      <c r="N59" s="288"/>
      <c r="U59" s="286"/>
      <c r="V59" s="286"/>
      <c r="W59" s="286"/>
      <c r="X59" s="286"/>
      <c r="Y59" s="286"/>
      <c r="Z59" s="286"/>
      <c r="AA59" s="286"/>
      <c r="AB59" s="286"/>
      <c r="AC59" s="286"/>
      <c r="AD59" s="286"/>
      <c r="AE59" s="286"/>
      <c r="AF59" s="286"/>
      <c r="AG59" s="286"/>
      <c r="AH59" s="286"/>
      <c r="AI59" s="286"/>
      <c r="AJ59" s="286"/>
      <c r="AK59" s="286"/>
      <c r="AL59" s="286"/>
      <c r="AM59" s="286"/>
      <c r="AN59" s="286"/>
      <c r="AO59" s="286"/>
      <c r="AP59" s="286"/>
      <c r="AQ59" s="286"/>
      <c r="AR59" s="286"/>
      <c r="AS59" s="286"/>
      <c r="AT59" s="286"/>
    </row>
    <row r="60" spans="1:46" x14ac:dyDescent="0.2">
      <c r="A60" s="288"/>
      <c r="B60" s="288"/>
      <c r="C60" s="288"/>
      <c r="D60" s="288"/>
      <c r="E60" s="288"/>
      <c r="F60" s="288"/>
      <c r="G60" s="288"/>
      <c r="H60" s="288"/>
      <c r="I60" s="288"/>
      <c r="J60" s="288"/>
      <c r="K60" s="288"/>
      <c r="L60" s="288"/>
      <c r="M60" s="288"/>
      <c r="N60" s="288"/>
      <c r="U60" s="286"/>
      <c r="V60" s="286"/>
      <c r="W60" s="286"/>
      <c r="X60" s="286"/>
      <c r="Y60" s="286"/>
      <c r="Z60" s="286"/>
      <c r="AA60" s="286"/>
      <c r="AB60" s="286"/>
      <c r="AC60" s="286"/>
      <c r="AD60" s="286"/>
      <c r="AE60" s="286"/>
      <c r="AF60" s="286"/>
      <c r="AG60" s="286"/>
      <c r="AH60" s="286"/>
      <c r="AI60" s="286"/>
      <c r="AJ60" s="286"/>
      <c r="AK60" s="286"/>
      <c r="AL60" s="286"/>
      <c r="AM60" s="286"/>
      <c r="AN60" s="286"/>
      <c r="AO60" s="286"/>
      <c r="AP60" s="286"/>
      <c r="AQ60" s="286"/>
      <c r="AR60" s="286"/>
      <c r="AS60" s="286"/>
      <c r="AT60" s="286"/>
    </row>
    <row r="61" spans="1:46" x14ac:dyDescent="0.2">
      <c r="A61" s="288"/>
      <c r="B61" s="288"/>
      <c r="C61" s="288"/>
      <c r="D61" s="288"/>
      <c r="E61" s="288"/>
      <c r="F61" s="288"/>
      <c r="G61" s="288"/>
      <c r="H61" s="288"/>
      <c r="I61" s="288"/>
      <c r="J61" s="288"/>
      <c r="K61" s="288"/>
      <c r="L61" s="288"/>
      <c r="M61" s="288"/>
      <c r="N61" s="288"/>
      <c r="U61" s="286"/>
      <c r="V61" s="286"/>
      <c r="W61" s="286"/>
      <c r="X61" s="286"/>
      <c r="Y61" s="286"/>
      <c r="Z61" s="286"/>
      <c r="AA61" s="286"/>
      <c r="AB61" s="286"/>
      <c r="AC61" s="286"/>
      <c r="AD61" s="286"/>
      <c r="AE61" s="286"/>
      <c r="AF61" s="286"/>
      <c r="AG61" s="286"/>
      <c r="AH61" s="286"/>
      <c r="AI61" s="286"/>
      <c r="AJ61" s="286"/>
      <c r="AK61" s="286"/>
      <c r="AL61" s="286"/>
      <c r="AM61" s="286"/>
      <c r="AN61" s="286"/>
      <c r="AO61" s="286"/>
      <c r="AP61" s="286"/>
      <c r="AQ61" s="286"/>
      <c r="AR61" s="286"/>
      <c r="AS61" s="286"/>
      <c r="AT61" s="286"/>
    </row>
    <row r="62" spans="1:46" x14ac:dyDescent="0.2">
      <c r="A62" s="288"/>
      <c r="B62" s="288"/>
      <c r="C62" s="288"/>
      <c r="D62" s="288"/>
      <c r="E62" s="288"/>
      <c r="F62" s="288"/>
      <c r="G62" s="288"/>
      <c r="H62" s="288"/>
      <c r="I62" s="288"/>
      <c r="J62" s="288"/>
      <c r="K62" s="288"/>
      <c r="L62" s="288"/>
      <c r="M62" s="288"/>
      <c r="N62" s="288"/>
      <c r="U62" s="286"/>
      <c r="V62" s="286"/>
      <c r="W62" s="286"/>
      <c r="X62" s="286"/>
      <c r="Y62" s="286"/>
      <c r="Z62" s="286"/>
      <c r="AA62" s="286"/>
      <c r="AB62" s="286"/>
      <c r="AC62" s="286"/>
      <c r="AD62" s="286"/>
      <c r="AE62" s="286"/>
      <c r="AF62" s="286"/>
      <c r="AG62" s="286"/>
      <c r="AH62" s="286"/>
      <c r="AI62" s="286"/>
      <c r="AJ62" s="286"/>
      <c r="AK62" s="286"/>
      <c r="AL62" s="286"/>
      <c r="AM62" s="286"/>
      <c r="AN62" s="286"/>
      <c r="AO62" s="286"/>
      <c r="AP62" s="286"/>
      <c r="AQ62" s="286"/>
      <c r="AR62" s="286"/>
      <c r="AS62" s="286"/>
      <c r="AT62" s="286"/>
    </row>
    <row r="63" spans="1:46" x14ac:dyDescent="0.2">
      <c r="A63" s="288"/>
      <c r="B63" s="288"/>
      <c r="C63" s="288"/>
      <c r="D63" s="288"/>
      <c r="E63" s="288"/>
      <c r="F63" s="288"/>
      <c r="G63" s="288"/>
      <c r="H63" s="288"/>
      <c r="I63" s="288"/>
      <c r="J63" s="288"/>
      <c r="K63" s="288"/>
      <c r="L63" s="288"/>
      <c r="M63" s="288"/>
      <c r="N63" s="288"/>
      <c r="U63" s="286"/>
      <c r="V63" s="286"/>
      <c r="W63" s="286"/>
      <c r="X63" s="286"/>
      <c r="Y63" s="286"/>
      <c r="Z63" s="286"/>
      <c r="AA63" s="286"/>
      <c r="AB63" s="286"/>
      <c r="AC63" s="286"/>
      <c r="AD63" s="286"/>
      <c r="AE63" s="286"/>
      <c r="AF63" s="286"/>
      <c r="AG63" s="286"/>
      <c r="AH63" s="286"/>
      <c r="AI63" s="286"/>
      <c r="AJ63" s="286"/>
      <c r="AK63" s="286"/>
      <c r="AL63" s="286"/>
      <c r="AM63" s="286"/>
      <c r="AN63" s="286"/>
      <c r="AO63" s="286"/>
      <c r="AP63" s="286"/>
      <c r="AQ63" s="286"/>
      <c r="AR63" s="286"/>
      <c r="AS63" s="286"/>
      <c r="AT63" s="286"/>
    </row>
    <row r="64" spans="1:46" x14ac:dyDescent="0.2">
      <c r="A64" s="288"/>
      <c r="B64" s="288"/>
      <c r="C64" s="288"/>
      <c r="D64" s="288"/>
      <c r="E64" s="288"/>
      <c r="F64" s="288"/>
      <c r="G64" s="288"/>
      <c r="H64" s="288"/>
      <c r="I64" s="288"/>
      <c r="J64" s="288"/>
      <c r="K64" s="288"/>
      <c r="L64" s="288"/>
      <c r="M64" s="288"/>
      <c r="N64" s="288"/>
      <c r="U64" s="286"/>
      <c r="V64" s="286"/>
      <c r="W64" s="286"/>
      <c r="X64" s="286"/>
      <c r="Y64" s="286"/>
      <c r="Z64" s="286"/>
      <c r="AA64" s="286"/>
      <c r="AB64" s="286"/>
      <c r="AC64" s="286"/>
      <c r="AD64" s="286"/>
      <c r="AE64" s="286"/>
      <c r="AF64" s="286"/>
      <c r="AG64" s="286"/>
      <c r="AH64" s="286"/>
      <c r="AI64" s="286"/>
      <c r="AJ64" s="286"/>
      <c r="AK64" s="286"/>
      <c r="AL64" s="286"/>
      <c r="AM64" s="286"/>
      <c r="AN64" s="286"/>
      <c r="AO64" s="286"/>
      <c r="AP64" s="286"/>
      <c r="AQ64" s="286"/>
      <c r="AR64" s="286"/>
      <c r="AS64" s="286"/>
      <c r="AT64" s="286"/>
    </row>
    <row r="65" spans="1:46" x14ac:dyDescent="0.2">
      <c r="A65" s="288"/>
      <c r="B65" s="288"/>
      <c r="C65" s="288"/>
      <c r="D65" s="288"/>
      <c r="E65" s="288"/>
      <c r="F65" s="288"/>
      <c r="G65" s="288"/>
      <c r="H65" s="288"/>
      <c r="I65" s="288"/>
      <c r="J65" s="288"/>
      <c r="K65" s="288"/>
      <c r="L65" s="288"/>
      <c r="M65" s="288"/>
      <c r="N65" s="288"/>
      <c r="U65" s="286"/>
      <c r="V65" s="286"/>
      <c r="W65" s="286"/>
      <c r="X65" s="286"/>
      <c r="Y65" s="286"/>
      <c r="Z65" s="286"/>
      <c r="AA65" s="286"/>
      <c r="AB65" s="286"/>
      <c r="AC65" s="286"/>
      <c r="AD65" s="286"/>
      <c r="AE65" s="286"/>
      <c r="AF65" s="286"/>
      <c r="AG65" s="286"/>
      <c r="AH65" s="286"/>
      <c r="AI65" s="286"/>
      <c r="AJ65" s="286"/>
      <c r="AK65" s="286"/>
      <c r="AL65" s="286"/>
      <c r="AM65" s="286"/>
      <c r="AN65" s="286"/>
      <c r="AO65" s="286"/>
      <c r="AP65" s="286"/>
      <c r="AQ65" s="286"/>
      <c r="AR65" s="286"/>
      <c r="AS65" s="286"/>
      <c r="AT65" s="286"/>
    </row>
    <row r="66" spans="1:46" x14ac:dyDescent="0.2">
      <c r="A66" s="288"/>
      <c r="B66" s="288"/>
      <c r="C66" s="288"/>
      <c r="D66" s="288"/>
      <c r="E66" s="288"/>
      <c r="F66" s="288"/>
      <c r="G66" s="288"/>
      <c r="H66" s="288"/>
      <c r="I66" s="288"/>
      <c r="J66" s="288"/>
      <c r="K66" s="288"/>
      <c r="L66" s="288"/>
      <c r="M66" s="288"/>
      <c r="N66" s="288"/>
      <c r="U66" s="286"/>
      <c r="V66" s="286"/>
      <c r="W66" s="286"/>
      <c r="X66" s="286"/>
      <c r="Y66" s="286"/>
      <c r="Z66" s="286"/>
      <c r="AA66" s="286"/>
      <c r="AB66" s="286"/>
      <c r="AC66" s="286"/>
      <c r="AD66" s="286"/>
      <c r="AE66" s="286"/>
      <c r="AF66" s="286"/>
      <c r="AG66" s="286"/>
      <c r="AH66" s="286"/>
      <c r="AI66" s="286"/>
      <c r="AJ66" s="286"/>
      <c r="AK66" s="286"/>
      <c r="AL66" s="286"/>
      <c r="AM66" s="286"/>
      <c r="AN66" s="286"/>
      <c r="AO66" s="286"/>
      <c r="AP66" s="286"/>
      <c r="AQ66" s="286"/>
      <c r="AR66" s="286"/>
      <c r="AS66" s="286"/>
      <c r="AT66" s="286"/>
    </row>
    <row r="67" spans="1:46" x14ac:dyDescent="0.2">
      <c r="A67" s="288"/>
      <c r="B67" s="288"/>
      <c r="C67" s="288"/>
      <c r="D67" s="288"/>
      <c r="E67" s="288"/>
      <c r="F67" s="288"/>
      <c r="G67" s="288"/>
      <c r="H67" s="288"/>
      <c r="I67" s="288"/>
      <c r="J67" s="288"/>
      <c r="K67" s="288"/>
      <c r="L67" s="288"/>
      <c r="M67" s="288"/>
      <c r="N67" s="288"/>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86"/>
      <c r="AR67" s="286"/>
      <c r="AS67" s="286"/>
      <c r="AT67" s="286"/>
    </row>
    <row r="68" spans="1:46" x14ac:dyDescent="0.2">
      <c r="A68" s="288"/>
      <c r="B68" s="288"/>
      <c r="C68" s="288"/>
      <c r="D68" s="288"/>
      <c r="E68" s="288"/>
      <c r="F68" s="288"/>
      <c r="G68" s="288"/>
      <c r="H68" s="288"/>
      <c r="I68" s="288"/>
      <c r="J68" s="288"/>
      <c r="K68" s="288"/>
      <c r="L68" s="288"/>
      <c r="M68" s="288"/>
      <c r="N68" s="288"/>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86"/>
      <c r="AR68" s="286"/>
      <c r="AS68" s="286"/>
      <c r="AT68" s="286"/>
    </row>
    <row r="69" spans="1:46" x14ac:dyDescent="0.2">
      <c r="A69" s="288"/>
      <c r="B69" s="288"/>
      <c r="C69" s="288"/>
      <c r="D69" s="288"/>
      <c r="E69" s="288"/>
      <c r="F69" s="288"/>
      <c r="G69" s="288"/>
      <c r="H69" s="288"/>
      <c r="I69" s="288"/>
      <c r="J69" s="288"/>
      <c r="K69" s="288"/>
      <c r="L69" s="288"/>
      <c r="M69" s="288"/>
      <c r="N69" s="288"/>
      <c r="U69" s="286"/>
      <c r="V69" s="286"/>
      <c r="W69" s="286"/>
      <c r="X69" s="286"/>
      <c r="Y69" s="286"/>
      <c r="Z69" s="286"/>
      <c r="AA69" s="286"/>
      <c r="AB69" s="286"/>
      <c r="AC69" s="286"/>
      <c r="AD69" s="286"/>
      <c r="AE69" s="286"/>
      <c r="AF69" s="286"/>
      <c r="AG69" s="286"/>
      <c r="AH69" s="286"/>
      <c r="AI69" s="286"/>
      <c r="AJ69" s="286"/>
      <c r="AK69" s="286"/>
      <c r="AL69" s="286"/>
      <c r="AM69" s="286"/>
      <c r="AN69" s="286"/>
      <c r="AO69" s="286"/>
      <c r="AP69" s="286"/>
      <c r="AQ69" s="286"/>
      <c r="AR69" s="286"/>
      <c r="AS69" s="286"/>
      <c r="AT69" s="286"/>
    </row>
    <row r="70" spans="1:46" x14ac:dyDescent="0.2">
      <c r="A70" s="288"/>
      <c r="B70" s="288"/>
      <c r="C70" s="288"/>
      <c r="D70" s="288"/>
      <c r="E70" s="288"/>
      <c r="F70" s="288"/>
      <c r="G70" s="288"/>
      <c r="H70" s="288"/>
      <c r="I70" s="288"/>
      <c r="J70" s="288"/>
      <c r="K70" s="288"/>
      <c r="L70" s="288"/>
      <c r="M70" s="288"/>
      <c r="N70" s="288"/>
      <c r="U70" s="286"/>
      <c r="V70" s="286"/>
      <c r="W70" s="286"/>
      <c r="X70" s="286"/>
      <c r="Y70" s="286"/>
      <c r="Z70" s="286"/>
      <c r="AA70" s="286"/>
      <c r="AB70" s="286"/>
      <c r="AC70" s="286"/>
      <c r="AD70" s="286"/>
      <c r="AE70" s="286"/>
      <c r="AF70" s="286"/>
      <c r="AG70" s="286"/>
      <c r="AH70" s="286"/>
      <c r="AI70" s="286"/>
      <c r="AJ70" s="286"/>
      <c r="AK70" s="286"/>
      <c r="AL70" s="286"/>
      <c r="AM70" s="286"/>
      <c r="AN70" s="286"/>
      <c r="AO70" s="286"/>
      <c r="AP70" s="286"/>
      <c r="AQ70" s="286"/>
      <c r="AR70" s="286"/>
      <c r="AS70" s="286"/>
      <c r="AT70" s="286"/>
    </row>
    <row r="71" spans="1:46" x14ac:dyDescent="0.2">
      <c r="A71" s="288"/>
      <c r="B71" s="288"/>
      <c r="C71" s="288"/>
      <c r="D71" s="288"/>
      <c r="E71" s="288"/>
      <c r="F71" s="288"/>
      <c r="G71" s="288"/>
      <c r="H71" s="288"/>
      <c r="I71" s="288"/>
      <c r="J71" s="288"/>
      <c r="K71" s="288"/>
      <c r="L71" s="288"/>
      <c r="M71" s="288"/>
      <c r="N71" s="288"/>
      <c r="U71" s="286"/>
      <c r="V71" s="286"/>
      <c r="W71" s="286"/>
      <c r="X71" s="286"/>
      <c r="Y71" s="286"/>
      <c r="Z71" s="286"/>
      <c r="AA71" s="286"/>
      <c r="AB71" s="286"/>
      <c r="AC71" s="286"/>
      <c r="AD71" s="286"/>
      <c r="AE71" s="286"/>
      <c r="AF71" s="286"/>
      <c r="AG71" s="286"/>
      <c r="AH71" s="286"/>
      <c r="AI71" s="286"/>
      <c r="AJ71" s="286"/>
      <c r="AK71" s="286"/>
      <c r="AL71" s="286"/>
      <c r="AM71" s="286"/>
      <c r="AN71" s="286"/>
      <c r="AO71" s="286"/>
      <c r="AP71" s="286"/>
      <c r="AQ71" s="286"/>
      <c r="AR71" s="286"/>
      <c r="AS71" s="286"/>
      <c r="AT71" s="286"/>
    </row>
    <row r="72" spans="1:46" x14ac:dyDescent="0.2">
      <c r="A72" s="288"/>
      <c r="B72" s="288"/>
      <c r="C72" s="288"/>
      <c r="D72" s="288"/>
      <c r="E72" s="288"/>
      <c r="F72" s="288"/>
      <c r="G72" s="288"/>
      <c r="H72" s="288"/>
      <c r="I72" s="288"/>
      <c r="J72" s="288"/>
      <c r="K72" s="288"/>
      <c r="L72" s="288"/>
      <c r="M72" s="288"/>
      <c r="N72" s="288"/>
      <c r="U72" s="286"/>
      <c r="V72" s="286"/>
      <c r="W72" s="286"/>
      <c r="X72" s="286"/>
      <c r="Y72" s="286"/>
      <c r="Z72" s="286"/>
      <c r="AA72" s="286"/>
      <c r="AB72" s="286"/>
      <c r="AC72" s="286"/>
      <c r="AD72" s="286"/>
      <c r="AE72" s="286"/>
      <c r="AF72" s="286"/>
      <c r="AG72" s="286"/>
      <c r="AH72" s="286"/>
      <c r="AI72" s="286"/>
      <c r="AJ72" s="286"/>
      <c r="AK72" s="286"/>
      <c r="AL72" s="286"/>
      <c r="AM72" s="286"/>
      <c r="AN72" s="286"/>
      <c r="AO72" s="286"/>
      <c r="AP72" s="286"/>
      <c r="AQ72" s="286"/>
      <c r="AR72" s="286"/>
      <c r="AS72" s="286"/>
      <c r="AT72" s="286"/>
    </row>
    <row r="73" spans="1:46" x14ac:dyDescent="0.2">
      <c r="A73" s="288"/>
      <c r="B73" s="288"/>
      <c r="C73" s="288"/>
      <c r="D73" s="288"/>
      <c r="E73" s="288"/>
      <c r="F73" s="288"/>
      <c r="G73" s="288"/>
      <c r="H73" s="288"/>
      <c r="I73" s="288"/>
      <c r="J73" s="288"/>
      <c r="K73" s="288"/>
      <c r="L73" s="288"/>
      <c r="M73" s="288"/>
      <c r="N73" s="288"/>
      <c r="U73" s="286"/>
      <c r="V73" s="286"/>
      <c r="W73" s="286"/>
      <c r="X73" s="286"/>
      <c r="Y73" s="286"/>
      <c r="Z73" s="286"/>
      <c r="AA73" s="286"/>
      <c r="AB73" s="286"/>
      <c r="AC73" s="286"/>
      <c r="AD73" s="286"/>
      <c r="AE73" s="286"/>
      <c r="AF73" s="286"/>
      <c r="AG73" s="286"/>
      <c r="AH73" s="286"/>
      <c r="AI73" s="286"/>
      <c r="AJ73" s="286"/>
      <c r="AK73" s="286"/>
      <c r="AL73" s="286"/>
      <c r="AM73" s="286"/>
      <c r="AN73" s="286"/>
      <c r="AO73" s="286"/>
      <c r="AP73" s="286"/>
      <c r="AQ73" s="286"/>
      <c r="AR73" s="286"/>
      <c r="AS73" s="286"/>
      <c r="AT73" s="286"/>
    </row>
    <row r="74" spans="1:46" x14ac:dyDescent="0.2">
      <c r="A74" s="288"/>
      <c r="B74" s="288"/>
      <c r="C74" s="288"/>
      <c r="D74" s="288"/>
      <c r="E74" s="288"/>
      <c r="F74" s="288"/>
      <c r="G74" s="288"/>
      <c r="H74" s="288"/>
      <c r="I74" s="288"/>
      <c r="J74" s="288"/>
      <c r="K74" s="288"/>
      <c r="L74" s="288"/>
      <c r="M74" s="288"/>
      <c r="N74" s="288"/>
      <c r="U74" s="286"/>
      <c r="V74" s="286"/>
      <c r="W74" s="286"/>
      <c r="X74" s="286"/>
      <c r="Y74" s="286"/>
      <c r="Z74" s="286"/>
      <c r="AA74" s="286"/>
      <c r="AB74" s="286"/>
      <c r="AC74" s="286"/>
      <c r="AD74" s="286"/>
      <c r="AE74" s="286"/>
      <c r="AF74" s="286"/>
      <c r="AG74" s="286"/>
      <c r="AH74" s="286"/>
      <c r="AI74" s="286"/>
      <c r="AJ74" s="286"/>
      <c r="AK74" s="286"/>
      <c r="AL74" s="286"/>
      <c r="AM74" s="286"/>
      <c r="AN74" s="286"/>
      <c r="AO74" s="286"/>
      <c r="AP74" s="286"/>
      <c r="AQ74" s="286"/>
      <c r="AR74" s="286"/>
      <c r="AS74" s="286"/>
      <c r="AT74" s="286"/>
    </row>
    <row r="75" spans="1:46" x14ac:dyDescent="0.2">
      <c r="A75" s="288"/>
      <c r="B75" s="288"/>
      <c r="C75" s="288"/>
      <c r="D75" s="288"/>
      <c r="E75" s="288"/>
      <c r="F75" s="288"/>
      <c r="G75" s="288"/>
      <c r="H75" s="288"/>
      <c r="I75" s="288"/>
      <c r="J75" s="288"/>
      <c r="K75" s="288"/>
      <c r="L75" s="288"/>
      <c r="M75" s="288"/>
      <c r="N75" s="288"/>
      <c r="U75" s="286"/>
      <c r="V75" s="286"/>
      <c r="W75" s="286"/>
      <c r="X75" s="286"/>
      <c r="Y75" s="286"/>
      <c r="Z75" s="286"/>
      <c r="AA75" s="286"/>
      <c r="AB75" s="286"/>
      <c r="AC75" s="286"/>
      <c r="AD75" s="286"/>
      <c r="AE75" s="286"/>
      <c r="AF75" s="286"/>
      <c r="AG75" s="286"/>
      <c r="AH75" s="286"/>
      <c r="AI75" s="286"/>
      <c r="AJ75" s="286"/>
      <c r="AK75" s="286"/>
      <c r="AL75" s="286"/>
      <c r="AM75" s="286"/>
      <c r="AN75" s="286"/>
      <c r="AO75" s="286"/>
      <c r="AP75" s="286"/>
      <c r="AQ75" s="286"/>
      <c r="AR75" s="286"/>
      <c r="AS75" s="286"/>
      <c r="AT75" s="286"/>
    </row>
    <row r="76" spans="1:46" x14ac:dyDescent="0.2">
      <c r="A76" s="288"/>
      <c r="B76" s="288"/>
      <c r="C76" s="288"/>
      <c r="D76" s="288"/>
      <c r="E76" s="288"/>
      <c r="F76" s="288"/>
      <c r="G76" s="288"/>
      <c r="H76" s="288"/>
      <c r="I76" s="288"/>
      <c r="J76" s="288"/>
      <c r="K76" s="288"/>
      <c r="L76" s="288"/>
      <c r="M76" s="288"/>
      <c r="N76" s="288"/>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86"/>
      <c r="AR76" s="286"/>
      <c r="AS76" s="286"/>
      <c r="AT76" s="286"/>
    </row>
    <row r="77" spans="1:46" x14ac:dyDescent="0.2">
      <c r="A77" s="288"/>
      <c r="B77" s="288"/>
      <c r="C77" s="288"/>
      <c r="D77" s="288"/>
      <c r="E77" s="288"/>
      <c r="F77" s="288"/>
      <c r="G77" s="288"/>
      <c r="H77" s="288"/>
      <c r="I77" s="288"/>
      <c r="J77" s="288"/>
      <c r="K77" s="288"/>
      <c r="L77" s="288"/>
      <c r="M77" s="288"/>
      <c r="N77" s="288"/>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86"/>
      <c r="AR77" s="286"/>
      <c r="AS77" s="286"/>
      <c r="AT77" s="286"/>
    </row>
    <row r="78" spans="1:46" x14ac:dyDescent="0.2">
      <c r="A78" s="288"/>
      <c r="B78" s="288"/>
      <c r="C78" s="288"/>
      <c r="D78" s="288"/>
      <c r="E78" s="288"/>
      <c r="F78" s="288"/>
      <c r="G78" s="288"/>
      <c r="H78" s="288"/>
      <c r="I78" s="288"/>
      <c r="J78" s="288"/>
      <c r="K78" s="288"/>
      <c r="L78" s="288"/>
      <c r="M78" s="288"/>
      <c r="N78" s="288"/>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86"/>
      <c r="AR78" s="286"/>
      <c r="AS78" s="286"/>
      <c r="AT78" s="286"/>
    </row>
    <row r="79" spans="1:46" x14ac:dyDescent="0.2">
      <c r="A79" s="288"/>
      <c r="B79" s="288"/>
      <c r="C79" s="288"/>
      <c r="D79" s="288"/>
      <c r="E79" s="288"/>
      <c r="F79" s="288"/>
      <c r="G79" s="288"/>
      <c r="H79" s="288"/>
      <c r="I79" s="288"/>
      <c r="J79" s="288"/>
      <c r="K79" s="288"/>
      <c r="L79" s="288"/>
      <c r="M79" s="288"/>
      <c r="N79" s="288"/>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86"/>
      <c r="AR79" s="286"/>
      <c r="AS79" s="286"/>
      <c r="AT79" s="286"/>
    </row>
    <row r="80" spans="1:46" x14ac:dyDescent="0.2">
      <c r="A80" s="288"/>
      <c r="B80" s="288"/>
      <c r="C80" s="288"/>
      <c r="D80" s="288"/>
      <c r="E80" s="288"/>
      <c r="F80" s="288"/>
      <c r="G80" s="288"/>
      <c r="H80" s="288"/>
      <c r="I80" s="288"/>
      <c r="J80" s="288"/>
      <c r="K80" s="288"/>
      <c r="L80" s="288"/>
      <c r="M80" s="288"/>
      <c r="N80" s="288"/>
      <c r="U80" s="286"/>
      <c r="V80" s="286"/>
      <c r="W80" s="286"/>
      <c r="X80" s="286"/>
      <c r="Y80" s="286"/>
      <c r="Z80" s="286"/>
      <c r="AA80" s="286"/>
      <c r="AB80" s="286"/>
      <c r="AC80" s="286"/>
      <c r="AD80" s="286"/>
      <c r="AE80" s="286"/>
      <c r="AF80" s="286"/>
      <c r="AG80" s="286"/>
      <c r="AH80" s="286"/>
      <c r="AI80" s="286"/>
      <c r="AJ80" s="286"/>
      <c r="AK80" s="286"/>
      <c r="AL80" s="286"/>
      <c r="AM80" s="286"/>
      <c r="AN80" s="286"/>
      <c r="AO80" s="286"/>
      <c r="AP80" s="286"/>
      <c r="AQ80" s="286"/>
      <c r="AR80" s="286"/>
      <c r="AS80" s="286"/>
      <c r="AT80" s="286"/>
    </row>
    <row r="81" spans="1:46" x14ac:dyDescent="0.2">
      <c r="A81" s="288"/>
      <c r="B81" s="288"/>
      <c r="C81" s="288"/>
      <c r="D81" s="288"/>
      <c r="E81" s="288"/>
      <c r="F81" s="288"/>
      <c r="G81" s="288"/>
      <c r="H81" s="288"/>
      <c r="I81" s="288"/>
      <c r="J81" s="288"/>
      <c r="K81" s="288"/>
      <c r="L81" s="288"/>
      <c r="M81" s="288"/>
      <c r="N81" s="288"/>
      <c r="U81" s="286"/>
      <c r="V81" s="286"/>
      <c r="W81" s="286"/>
      <c r="X81" s="286"/>
      <c r="Y81" s="286"/>
      <c r="Z81" s="286"/>
      <c r="AA81" s="286"/>
      <c r="AB81" s="286"/>
      <c r="AC81" s="286"/>
      <c r="AD81" s="286"/>
      <c r="AE81" s="286"/>
      <c r="AF81" s="286"/>
      <c r="AG81" s="286"/>
      <c r="AH81" s="286"/>
      <c r="AI81" s="286"/>
      <c r="AJ81" s="286"/>
      <c r="AK81" s="286"/>
      <c r="AL81" s="286"/>
      <c r="AM81" s="286"/>
      <c r="AN81" s="286"/>
      <c r="AO81" s="286"/>
      <c r="AP81" s="286"/>
      <c r="AQ81" s="286"/>
      <c r="AR81" s="286"/>
      <c r="AS81" s="286"/>
      <c r="AT81" s="286"/>
    </row>
    <row r="82" spans="1:46" x14ac:dyDescent="0.2">
      <c r="A82" s="288"/>
      <c r="B82" s="288"/>
      <c r="C82" s="288"/>
      <c r="D82" s="288"/>
      <c r="E82" s="288"/>
      <c r="F82" s="288"/>
      <c r="G82" s="288"/>
      <c r="H82" s="288"/>
      <c r="I82" s="288"/>
      <c r="J82" s="288"/>
      <c r="K82" s="288"/>
      <c r="L82" s="288"/>
      <c r="M82" s="288"/>
      <c r="N82" s="288"/>
      <c r="U82" s="286"/>
      <c r="V82" s="286"/>
      <c r="W82" s="286"/>
      <c r="X82" s="286"/>
      <c r="Y82" s="286"/>
      <c r="Z82" s="286"/>
      <c r="AA82" s="286"/>
      <c r="AB82" s="286"/>
      <c r="AC82" s="286"/>
      <c r="AD82" s="286"/>
      <c r="AE82" s="286"/>
      <c r="AF82" s="286"/>
      <c r="AG82" s="286"/>
      <c r="AH82" s="286"/>
      <c r="AI82" s="286"/>
      <c r="AJ82" s="286"/>
      <c r="AK82" s="286"/>
      <c r="AL82" s="286"/>
      <c r="AM82" s="286"/>
      <c r="AN82" s="286"/>
      <c r="AO82" s="286"/>
      <c r="AP82" s="286"/>
      <c r="AQ82" s="286"/>
      <c r="AR82" s="286"/>
      <c r="AS82" s="286"/>
      <c r="AT82" s="286"/>
    </row>
    <row r="83" spans="1:46" x14ac:dyDescent="0.2">
      <c r="A83" s="288"/>
      <c r="B83" s="288"/>
      <c r="C83" s="288"/>
      <c r="D83" s="288"/>
      <c r="E83" s="288"/>
      <c r="F83" s="288"/>
      <c r="G83" s="288"/>
      <c r="H83" s="288"/>
      <c r="I83" s="288"/>
      <c r="J83" s="288"/>
      <c r="K83" s="288"/>
      <c r="L83" s="288"/>
      <c r="M83" s="288"/>
      <c r="N83" s="288"/>
      <c r="U83" s="286"/>
      <c r="V83" s="286"/>
      <c r="W83" s="286"/>
      <c r="X83" s="286"/>
      <c r="Y83" s="286"/>
      <c r="Z83" s="286"/>
      <c r="AA83" s="286"/>
      <c r="AB83" s="286"/>
      <c r="AC83" s="286"/>
      <c r="AD83" s="286"/>
      <c r="AE83" s="286"/>
      <c r="AF83" s="286"/>
      <c r="AG83" s="286"/>
      <c r="AH83" s="286"/>
      <c r="AI83" s="286"/>
      <c r="AJ83" s="286"/>
      <c r="AK83" s="286"/>
      <c r="AL83" s="286"/>
      <c r="AM83" s="286"/>
      <c r="AN83" s="286"/>
      <c r="AO83" s="286"/>
      <c r="AP83" s="286"/>
      <c r="AQ83" s="286"/>
      <c r="AR83" s="286"/>
      <c r="AS83" s="286"/>
      <c r="AT83" s="286"/>
    </row>
    <row r="84" spans="1:46" x14ac:dyDescent="0.2">
      <c r="A84" s="288"/>
      <c r="B84" s="288"/>
      <c r="C84" s="288"/>
      <c r="D84" s="288"/>
      <c r="E84" s="288"/>
      <c r="F84" s="288"/>
      <c r="G84" s="288"/>
      <c r="H84" s="288"/>
      <c r="I84" s="288"/>
      <c r="J84" s="288"/>
      <c r="K84" s="288"/>
      <c r="L84" s="288"/>
      <c r="M84" s="288"/>
      <c r="N84" s="288"/>
      <c r="U84" s="286"/>
      <c r="V84" s="286"/>
      <c r="W84" s="286"/>
      <c r="X84" s="286"/>
      <c r="Y84" s="286"/>
      <c r="Z84" s="286"/>
      <c r="AA84" s="286"/>
      <c r="AB84" s="286"/>
      <c r="AC84" s="286"/>
      <c r="AD84" s="286"/>
      <c r="AE84" s="286"/>
      <c r="AF84" s="286"/>
      <c r="AG84" s="286"/>
      <c r="AH84" s="286"/>
      <c r="AI84" s="286"/>
      <c r="AJ84" s="286"/>
      <c r="AK84" s="286"/>
      <c r="AL84" s="286"/>
      <c r="AM84" s="286"/>
      <c r="AN84" s="286"/>
      <c r="AO84" s="286"/>
      <c r="AP84" s="286"/>
      <c r="AQ84" s="286"/>
      <c r="AR84" s="286"/>
      <c r="AS84" s="286"/>
      <c r="AT84" s="286"/>
    </row>
    <row r="85" spans="1:46" x14ac:dyDescent="0.2">
      <c r="A85" s="288"/>
      <c r="B85" s="288"/>
      <c r="C85" s="288"/>
      <c r="D85" s="288"/>
      <c r="E85" s="288"/>
      <c r="F85" s="288"/>
      <c r="G85" s="288"/>
      <c r="H85" s="288"/>
      <c r="I85" s="288"/>
      <c r="J85" s="288"/>
      <c r="K85" s="288"/>
      <c r="L85" s="288"/>
      <c r="M85" s="288"/>
      <c r="N85" s="288"/>
      <c r="U85" s="286"/>
      <c r="V85" s="286"/>
      <c r="W85" s="286"/>
      <c r="X85" s="286"/>
      <c r="Y85" s="286"/>
      <c r="Z85" s="286"/>
      <c r="AA85" s="286"/>
      <c r="AB85" s="286"/>
      <c r="AC85" s="286"/>
      <c r="AD85" s="286"/>
      <c r="AE85" s="286"/>
      <c r="AF85" s="286"/>
      <c r="AG85" s="286"/>
      <c r="AH85" s="286"/>
      <c r="AI85" s="286"/>
      <c r="AJ85" s="286"/>
      <c r="AK85" s="286"/>
      <c r="AL85" s="286"/>
      <c r="AM85" s="286"/>
      <c r="AN85" s="286"/>
      <c r="AO85" s="286"/>
      <c r="AP85" s="286"/>
      <c r="AQ85" s="286"/>
      <c r="AR85" s="286"/>
      <c r="AS85" s="286"/>
      <c r="AT85" s="286"/>
    </row>
    <row r="86" spans="1:46" x14ac:dyDescent="0.2">
      <c r="A86" s="288"/>
      <c r="B86" s="288"/>
      <c r="C86" s="288"/>
      <c r="D86" s="288"/>
      <c r="E86" s="288"/>
      <c r="F86" s="288"/>
      <c r="G86" s="288"/>
      <c r="H86" s="288"/>
      <c r="I86" s="288"/>
      <c r="J86" s="288"/>
      <c r="K86" s="288"/>
      <c r="L86" s="288"/>
      <c r="M86" s="288"/>
      <c r="N86" s="288"/>
      <c r="U86" s="286"/>
      <c r="V86" s="286"/>
      <c r="W86" s="286"/>
      <c r="X86" s="286"/>
      <c r="Y86" s="286"/>
      <c r="Z86" s="286"/>
      <c r="AA86" s="286"/>
      <c r="AB86" s="286"/>
      <c r="AC86" s="286"/>
      <c r="AD86" s="286"/>
      <c r="AE86" s="286"/>
      <c r="AF86" s="286"/>
      <c r="AG86" s="286"/>
      <c r="AH86" s="286"/>
      <c r="AI86" s="286"/>
      <c r="AJ86" s="286"/>
      <c r="AK86" s="286"/>
      <c r="AL86" s="286"/>
      <c r="AM86" s="286"/>
      <c r="AN86" s="286"/>
      <c r="AO86" s="286"/>
      <c r="AP86" s="286"/>
      <c r="AQ86" s="286"/>
      <c r="AR86" s="286"/>
      <c r="AS86" s="286"/>
      <c r="AT86" s="286"/>
    </row>
    <row r="87" spans="1:46" x14ac:dyDescent="0.2">
      <c r="A87" s="288"/>
      <c r="B87" s="288"/>
      <c r="C87" s="288"/>
      <c r="D87" s="288"/>
      <c r="E87" s="288"/>
      <c r="F87" s="288"/>
      <c r="G87" s="288"/>
      <c r="H87" s="288"/>
      <c r="I87" s="288"/>
      <c r="J87" s="288"/>
      <c r="K87" s="288"/>
      <c r="L87" s="288"/>
      <c r="M87" s="288"/>
      <c r="N87" s="288"/>
      <c r="U87" s="286"/>
      <c r="V87" s="286"/>
      <c r="W87" s="286"/>
      <c r="X87" s="286"/>
      <c r="Y87" s="286"/>
      <c r="Z87" s="286"/>
      <c r="AA87" s="286"/>
      <c r="AB87" s="286"/>
      <c r="AC87" s="286"/>
      <c r="AD87" s="286"/>
      <c r="AE87" s="286"/>
      <c r="AF87" s="286"/>
      <c r="AG87" s="286"/>
      <c r="AH87" s="286"/>
      <c r="AI87" s="286"/>
      <c r="AJ87" s="286"/>
      <c r="AK87" s="286"/>
      <c r="AL87" s="286"/>
      <c r="AM87" s="286"/>
      <c r="AN87" s="286"/>
      <c r="AO87" s="286"/>
      <c r="AP87" s="286"/>
      <c r="AQ87" s="286"/>
      <c r="AR87" s="286"/>
      <c r="AS87" s="286"/>
      <c r="AT87" s="286"/>
    </row>
    <row r="88" spans="1:46" x14ac:dyDescent="0.2">
      <c r="A88" s="288"/>
      <c r="B88" s="288"/>
      <c r="C88" s="288"/>
      <c r="D88" s="288"/>
      <c r="E88" s="288"/>
      <c r="F88" s="288"/>
      <c r="G88" s="288"/>
      <c r="H88" s="288"/>
      <c r="I88" s="288"/>
      <c r="J88" s="288"/>
      <c r="K88" s="288"/>
      <c r="L88" s="288"/>
      <c r="M88" s="288"/>
      <c r="N88" s="288"/>
      <c r="U88" s="286"/>
      <c r="V88" s="286"/>
      <c r="W88" s="286"/>
      <c r="X88" s="286"/>
      <c r="Y88" s="286"/>
      <c r="Z88" s="286"/>
      <c r="AA88" s="286"/>
      <c r="AB88" s="286"/>
      <c r="AC88" s="286"/>
      <c r="AD88" s="286"/>
      <c r="AE88" s="286"/>
      <c r="AF88" s="286"/>
      <c r="AG88" s="286"/>
      <c r="AH88" s="286"/>
      <c r="AI88" s="286"/>
      <c r="AJ88" s="286"/>
      <c r="AK88" s="286"/>
      <c r="AL88" s="286"/>
      <c r="AM88" s="286"/>
      <c r="AN88" s="286"/>
      <c r="AO88" s="286"/>
      <c r="AP88" s="286"/>
      <c r="AQ88" s="286"/>
      <c r="AR88" s="286"/>
      <c r="AS88" s="286"/>
      <c r="AT88" s="286"/>
    </row>
    <row r="89" spans="1:46" x14ac:dyDescent="0.2">
      <c r="A89" s="288"/>
      <c r="B89" s="288"/>
      <c r="C89" s="288"/>
      <c r="D89" s="288"/>
      <c r="E89" s="288"/>
      <c r="F89" s="288"/>
      <c r="G89" s="288"/>
      <c r="H89" s="288"/>
      <c r="I89" s="288"/>
      <c r="J89" s="288"/>
      <c r="K89" s="288"/>
      <c r="L89" s="288"/>
      <c r="M89" s="288"/>
      <c r="N89" s="288"/>
      <c r="U89" s="286"/>
      <c r="V89" s="286"/>
      <c r="W89" s="286"/>
      <c r="X89" s="286"/>
      <c r="Y89" s="286"/>
      <c r="Z89" s="286"/>
      <c r="AA89" s="286"/>
      <c r="AB89" s="286"/>
      <c r="AC89" s="286"/>
      <c r="AD89" s="286"/>
      <c r="AE89" s="286"/>
      <c r="AF89" s="286"/>
      <c r="AG89" s="286"/>
      <c r="AH89" s="286"/>
      <c r="AI89" s="286"/>
      <c r="AJ89" s="286"/>
      <c r="AK89" s="286"/>
      <c r="AL89" s="286"/>
      <c r="AM89" s="286"/>
      <c r="AN89" s="286"/>
      <c r="AO89" s="286"/>
      <c r="AP89" s="286"/>
      <c r="AQ89" s="286"/>
      <c r="AR89" s="286"/>
      <c r="AS89" s="286"/>
      <c r="AT89" s="286"/>
    </row>
    <row r="90" spans="1:46" x14ac:dyDescent="0.2">
      <c r="A90" s="288"/>
      <c r="B90" s="288"/>
      <c r="C90" s="288"/>
      <c r="D90" s="288"/>
      <c r="E90" s="288"/>
      <c r="F90" s="288"/>
      <c r="G90" s="288"/>
      <c r="H90" s="288"/>
      <c r="I90" s="288"/>
      <c r="J90" s="288"/>
      <c r="K90" s="288"/>
      <c r="L90" s="288"/>
      <c r="M90" s="288"/>
      <c r="N90" s="288"/>
      <c r="U90" s="286"/>
      <c r="V90" s="286"/>
      <c r="W90" s="286"/>
      <c r="X90" s="286"/>
      <c r="Y90" s="286"/>
      <c r="Z90" s="286"/>
      <c r="AA90" s="286"/>
      <c r="AB90" s="286"/>
      <c r="AC90" s="286"/>
      <c r="AD90" s="286"/>
      <c r="AE90" s="286"/>
      <c r="AF90" s="286"/>
      <c r="AG90" s="286"/>
      <c r="AH90" s="286"/>
      <c r="AI90" s="286"/>
      <c r="AJ90" s="286"/>
      <c r="AK90" s="286"/>
      <c r="AL90" s="286"/>
      <c r="AM90" s="286"/>
      <c r="AN90" s="286"/>
      <c r="AO90" s="286"/>
      <c r="AP90" s="286"/>
      <c r="AQ90" s="286"/>
      <c r="AR90" s="286"/>
      <c r="AS90" s="286"/>
      <c r="AT90" s="286"/>
    </row>
    <row r="91" spans="1:46" x14ac:dyDescent="0.2">
      <c r="A91" s="288"/>
      <c r="B91" s="288"/>
      <c r="C91" s="288"/>
      <c r="D91" s="288"/>
      <c r="E91" s="288"/>
      <c r="F91" s="288"/>
      <c r="G91" s="288"/>
      <c r="H91" s="288"/>
      <c r="I91" s="288"/>
      <c r="J91" s="288"/>
      <c r="K91" s="288"/>
      <c r="L91" s="288"/>
      <c r="M91" s="288"/>
      <c r="N91" s="288"/>
      <c r="U91" s="286"/>
      <c r="V91" s="286"/>
      <c r="W91" s="286"/>
      <c r="X91" s="286"/>
      <c r="Y91" s="286"/>
      <c r="Z91" s="286"/>
      <c r="AA91" s="286"/>
      <c r="AB91" s="286"/>
      <c r="AC91" s="286"/>
      <c r="AD91" s="286"/>
      <c r="AE91" s="286"/>
      <c r="AF91" s="286"/>
      <c r="AG91" s="286"/>
      <c r="AH91" s="286"/>
      <c r="AI91" s="286"/>
      <c r="AJ91" s="286"/>
      <c r="AK91" s="286"/>
      <c r="AL91" s="286"/>
      <c r="AM91" s="286"/>
      <c r="AN91" s="286"/>
      <c r="AO91" s="286"/>
      <c r="AP91" s="286"/>
      <c r="AQ91" s="286"/>
      <c r="AR91" s="286"/>
      <c r="AS91" s="286"/>
      <c r="AT91" s="286"/>
    </row>
    <row r="92" spans="1:46" x14ac:dyDescent="0.2">
      <c r="A92" s="288"/>
      <c r="B92" s="288"/>
      <c r="C92" s="288"/>
      <c r="D92" s="288"/>
      <c r="E92" s="288"/>
      <c r="F92" s="288"/>
      <c r="G92" s="288"/>
      <c r="H92" s="288"/>
      <c r="I92" s="288"/>
      <c r="J92" s="288"/>
      <c r="K92" s="288"/>
      <c r="L92" s="288"/>
      <c r="M92" s="288"/>
      <c r="N92" s="288"/>
      <c r="U92" s="286"/>
      <c r="V92" s="286"/>
      <c r="W92" s="286"/>
      <c r="X92" s="286"/>
      <c r="Y92" s="286"/>
      <c r="Z92" s="286"/>
      <c r="AA92" s="286"/>
      <c r="AB92" s="286"/>
      <c r="AC92" s="286"/>
      <c r="AD92" s="286"/>
      <c r="AE92" s="286"/>
      <c r="AF92" s="286"/>
      <c r="AG92" s="286"/>
      <c r="AH92" s="286"/>
      <c r="AI92" s="286"/>
      <c r="AJ92" s="286"/>
      <c r="AK92" s="286"/>
      <c r="AL92" s="286"/>
      <c r="AM92" s="286"/>
      <c r="AN92" s="286"/>
      <c r="AO92" s="286"/>
      <c r="AP92" s="286"/>
      <c r="AQ92" s="286"/>
      <c r="AR92" s="286"/>
      <c r="AS92" s="286"/>
      <c r="AT92" s="286"/>
    </row>
    <row r="93" spans="1:46" x14ac:dyDescent="0.2">
      <c r="A93" s="288"/>
      <c r="B93" s="288"/>
      <c r="C93" s="288"/>
      <c r="D93" s="288"/>
      <c r="E93" s="288"/>
      <c r="F93" s="288"/>
      <c r="G93" s="288"/>
      <c r="H93" s="288"/>
      <c r="I93" s="288"/>
      <c r="J93" s="288"/>
      <c r="K93" s="288"/>
      <c r="L93" s="288"/>
      <c r="M93" s="288"/>
      <c r="N93" s="288"/>
      <c r="U93" s="286"/>
      <c r="V93" s="286"/>
      <c r="W93" s="286"/>
      <c r="X93" s="286"/>
      <c r="Y93" s="286"/>
      <c r="Z93" s="286"/>
      <c r="AA93" s="286"/>
      <c r="AB93" s="286"/>
      <c r="AC93" s="286"/>
      <c r="AD93" s="286"/>
      <c r="AE93" s="286"/>
      <c r="AF93" s="286"/>
      <c r="AG93" s="286"/>
      <c r="AH93" s="286"/>
      <c r="AI93" s="286"/>
      <c r="AJ93" s="286"/>
      <c r="AK93" s="286"/>
      <c r="AL93" s="286"/>
      <c r="AM93" s="286"/>
      <c r="AN93" s="286"/>
      <c r="AO93" s="286"/>
      <c r="AP93" s="286"/>
      <c r="AQ93" s="286"/>
      <c r="AR93" s="286"/>
      <c r="AS93" s="286"/>
      <c r="AT93" s="286"/>
    </row>
    <row r="94" spans="1:46" x14ac:dyDescent="0.2">
      <c r="A94" s="288"/>
      <c r="B94" s="288"/>
      <c r="C94" s="288"/>
      <c r="D94" s="288"/>
      <c r="E94" s="288"/>
      <c r="F94" s="288"/>
      <c r="G94" s="288"/>
      <c r="H94" s="288"/>
      <c r="I94" s="288"/>
      <c r="J94" s="288"/>
      <c r="K94" s="288"/>
      <c r="L94" s="288"/>
      <c r="M94" s="288"/>
      <c r="N94" s="288"/>
      <c r="U94" s="286"/>
      <c r="V94" s="286"/>
      <c r="W94" s="286"/>
      <c r="X94" s="286"/>
      <c r="Y94" s="286"/>
      <c r="Z94" s="286"/>
      <c r="AA94" s="286"/>
      <c r="AB94" s="286"/>
      <c r="AC94" s="286"/>
      <c r="AD94" s="286"/>
      <c r="AE94" s="286"/>
      <c r="AF94" s="286"/>
      <c r="AG94" s="286"/>
      <c r="AH94" s="286"/>
      <c r="AI94" s="286"/>
      <c r="AJ94" s="286"/>
      <c r="AK94" s="286"/>
      <c r="AL94" s="286"/>
      <c r="AM94" s="286"/>
      <c r="AN94" s="286"/>
      <c r="AO94" s="286"/>
      <c r="AP94" s="286"/>
      <c r="AQ94" s="286"/>
      <c r="AR94" s="286"/>
      <c r="AS94" s="286"/>
      <c r="AT94" s="286"/>
    </row>
    <row r="95" spans="1:46" x14ac:dyDescent="0.2">
      <c r="A95" s="288"/>
      <c r="B95" s="288"/>
      <c r="C95" s="288"/>
      <c r="D95" s="288"/>
      <c r="E95" s="288"/>
      <c r="F95" s="288"/>
      <c r="G95" s="288"/>
      <c r="H95" s="288"/>
      <c r="I95" s="288"/>
      <c r="J95" s="288"/>
      <c r="K95" s="288"/>
      <c r="L95" s="288"/>
      <c r="M95" s="288"/>
      <c r="N95" s="288"/>
      <c r="U95" s="286"/>
      <c r="V95" s="286"/>
      <c r="W95" s="286"/>
      <c r="X95" s="286"/>
      <c r="Y95" s="286"/>
      <c r="Z95" s="286"/>
      <c r="AA95" s="286"/>
      <c r="AB95" s="286"/>
      <c r="AC95" s="286"/>
      <c r="AD95" s="286"/>
      <c r="AE95" s="286"/>
      <c r="AF95" s="286"/>
      <c r="AG95" s="286"/>
      <c r="AH95" s="286"/>
      <c r="AI95" s="286"/>
      <c r="AJ95" s="286"/>
      <c r="AK95" s="286"/>
      <c r="AL95" s="286"/>
      <c r="AM95" s="286"/>
      <c r="AN95" s="286"/>
      <c r="AO95" s="286"/>
      <c r="AP95" s="286"/>
      <c r="AQ95" s="286"/>
      <c r="AR95" s="286"/>
      <c r="AS95" s="286"/>
      <c r="AT95" s="286"/>
    </row>
    <row r="96" spans="1:46" x14ac:dyDescent="0.2">
      <c r="A96" s="288"/>
      <c r="B96" s="288"/>
      <c r="C96" s="288"/>
      <c r="D96" s="288"/>
      <c r="E96" s="288"/>
      <c r="F96" s="288"/>
      <c r="G96" s="288"/>
      <c r="H96" s="288"/>
      <c r="I96" s="288"/>
      <c r="J96" s="288"/>
      <c r="K96" s="288"/>
      <c r="L96" s="288"/>
      <c r="M96" s="288"/>
      <c r="N96" s="288"/>
      <c r="U96" s="286"/>
      <c r="V96" s="286"/>
      <c r="W96" s="286"/>
      <c r="X96" s="286"/>
      <c r="Y96" s="286"/>
      <c r="Z96" s="286"/>
      <c r="AA96" s="286"/>
      <c r="AB96" s="286"/>
      <c r="AC96" s="286"/>
      <c r="AD96" s="286"/>
      <c r="AE96" s="286"/>
      <c r="AF96" s="286"/>
      <c r="AG96" s="286"/>
      <c r="AH96" s="286"/>
      <c r="AI96" s="286"/>
      <c r="AJ96" s="286"/>
      <c r="AK96" s="286"/>
      <c r="AL96" s="286"/>
      <c r="AM96" s="286"/>
      <c r="AN96" s="286"/>
      <c r="AO96" s="286"/>
      <c r="AP96" s="286"/>
      <c r="AQ96" s="286"/>
      <c r="AR96" s="286"/>
      <c r="AS96" s="286"/>
      <c r="AT96" s="286"/>
    </row>
    <row r="97" spans="1:46" x14ac:dyDescent="0.2">
      <c r="A97" s="288"/>
      <c r="B97" s="288"/>
      <c r="C97" s="288"/>
      <c r="D97" s="288"/>
      <c r="E97" s="288"/>
      <c r="F97" s="288"/>
      <c r="G97" s="288"/>
      <c r="H97" s="288"/>
      <c r="I97" s="288"/>
      <c r="J97" s="288"/>
      <c r="K97" s="288"/>
      <c r="L97" s="288"/>
      <c r="M97" s="288"/>
      <c r="N97" s="288"/>
      <c r="U97" s="286"/>
      <c r="V97" s="286"/>
      <c r="W97" s="286"/>
      <c r="X97" s="286"/>
      <c r="Y97" s="286"/>
      <c r="Z97" s="286"/>
      <c r="AA97" s="286"/>
      <c r="AB97" s="286"/>
      <c r="AC97" s="286"/>
      <c r="AD97" s="286"/>
      <c r="AE97" s="286"/>
      <c r="AF97" s="286"/>
      <c r="AG97" s="286"/>
      <c r="AH97" s="286"/>
      <c r="AI97" s="286"/>
      <c r="AJ97" s="286"/>
      <c r="AK97" s="286"/>
      <c r="AL97" s="286"/>
      <c r="AM97" s="286"/>
      <c r="AN97" s="286"/>
      <c r="AO97" s="286"/>
      <c r="AP97" s="286"/>
      <c r="AQ97" s="286"/>
      <c r="AR97" s="286"/>
      <c r="AS97" s="286"/>
      <c r="AT97" s="286"/>
    </row>
    <row r="98" spans="1:46" x14ac:dyDescent="0.2">
      <c r="A98" s="288"/>
      <c r="B98" s="288"/>
      <c r="C98" s="288"/>
      <c r="D98" s="288"/>
      <c r="E98" s="288"/>
      <c r="F98" s="288"/>
      <c r="G98" s="288"/>
      <c r="H98" s="288"/>
      <c r="I98" s="288"/>
      <c r="J98" s="288"/>
      <c r="K98" s="288"/>
      <c r="L98" s="288"/>
      <c r="M98" s="288"/>
      <c r="N98" s="288"/>
      <c r="U98" s="286"/>
      <c r="V98" s="286"/>
      <c r="W98" s="286"/>
      <c r="X98" s="286"/>
      <c r="Y98" s="286"/>
      <c r="Z98" s="286"/>
      <c r="AA98" s="286"/>
      <c r="AB98" s="286"/>
      <c r="AC98" s="286"/>
      <c r="AD98" s="286"/>
      <c r="AE98" s="286"/>
      <c r="AF98" s="286"/>
      <c r="AG98" s="286"/>
      <c r="AH98" s="286"/>
      <c r="AI98" s="286"/>
      <c r="AJ98" s="286"/>
      <c r="AK98" s="286"/>
      <c r="AL98" s="286"/>
      <c r="AM98" s="286"/>
      <c r="AN98" s="286"/>
      <c r="AO98" s="286"/>
      <c r="AP98" s="286"/>
      <c r="AQ98" s="286"/>
      <c r="AR98" s="286"/>
      <c r="AS98" s="286"/>
      <c r="AT98" s="286"/>
    </row>
    <row r="99" spans="1:46" x14ac:dyDescent="0.2">
      <c r="A99" s="288"/>
      <c r="B99" s="288"/>
      <c r="C99" s="288"/>
      <c r="D99" s="288"/>
      <c r="E99" s="288"/>
      <c r="F99" s="288"/>
      <c r="G99" s="288"/>
      <c r="H99" s="288"/>
      <c r="I99" s="288"/>
      <c r="J99" s="288"/>
      <c r="K99" s="288"/>
      <c r="L99" s="288"/>
      <c r="M99" s="288"/>
      <c r="N99" s="288"/>
      <c r="U99" s="286"/>
      <c r="V99" s="286"/>
      <c r="W99" s="286"/>
      <c r="X99" s="286"/>
      <c r="Y99" s="286"/>
      <c r="Z99" s="286"/>
      <c r="AA99" s="286"/>
      <c r="AB99" s="286"/>
      <c r="AC99" s="286"/>
      <c r="AD99" s="286"/>
      <c r="AE99" s="286"/>
      <c r="AF99" s="286"/>
      <c r="AG99" s="286"/>
      <c r="AH99" s="286"/>
      <c r="AI99" s="286"/>
      <c r="AJ99" s="286"/>
      <c r="AK99" s="286"/>
      <c r="AL99" s="286"/>
      <c r="AM99" s="286"/>
      <c r="AN99" s="286"/>
      <c r="AO99" s="286"/>
      <c r="AP99" s="286"/>
      <c r="AQ99" s="286"/>
      <c r="AR99" s="286"/>
      <c r="AS99" s="286"/>
      <c r="AT99" s="286"/>
    </row>
    <row r="100" spans="1:46" x14ac:dyDescent="0.2">
      <c r="A100" s="288"/>
      <c r="B100" s="288"/>
      <c r="C100" s="288"/>
      <c r="D100" s="288"/>
      <c r="E100" s="288"/>
      <c r="F100" s="288"/>
      <c r="G100" s="288"/>
      <c r="H100" s="288"/>
      <c r="I100" s="288"/>
      <c r="J100" s="288"/>
      <c r="K100" s="288"/>
      <c r="L100" s="288"/>
      <c r="M100" s="288"/>
      <c r="N100" s="288"/>
      <c r="U100" s="286"/>
      <c r="V100" s="286"/>
      <c r="W100" s="286"/>
      <c r="X100" s="286"/>
      <c r="Y100" s="286"/>
      <c r="Z100" s="286"/>
      <c r="AA100" s="286"/>
      <c r="AB100" s="286"/>
      <c r="AC100" s="286"/>
      <c r="AD100" s="286"/>
      <c r="AE100" s="286"/>
      <c r="AF100" s="286"/>
      <c r="AG100" s="286"/>
      <c r="AH100" s="286"/>
      <c r="AI100" s="286"/>
      <c r="AJ100" s="286"/>
      <c r="AK100" s="286"/>
      <c r="AL100" s="286"/>
      <c r="AM100" s="286"/>
      <c r="AN100" s="286"/>
      <c r="AO100" s="286"/>
      <c r="AP100" s="286"/>
      <c r="AQ100" s="286"/>
      <c r="AR100" s="286"/>
      <c r="AS100" s="286"/>
      <c r="AT100" s="286"/>
    </row>
    <row r="101" spans="1:46" x14ac:dyDescent="0.2">
      <c r="A101" s="288"/>
      <c r="B101" s="288"/>
      <c r="C101" s="288"/>
      <c r="D101" s="288"/>
      <c r="E101" s="288"/>
      <c r="F101" s="288"/>
      <c r="G101" s="288"/>
      <c r="H101" s="288"/>
      <c r="I101" s="288"/>
      <c r="J101" s="288"/>
      <c r="K101" s="288"/>
      <c r="L101" s="288"/>
      <c r="M101" s="288"/>
      <c r="N101" s="288"/>
      <c r="U101" s="286"/>
      <c r="V101" s="286"/>
      <c r="W101" s="286"/>
      <c r="X101" s="286"/>
      <c r="Y101" s="286"/>
      <c r="Z101" s="286"/>
      <c r="AA101" s="286"/>
      <c r="AB101" s="286"/>
      <c r="AC101" s="286"/>
      <c r="AD101" s="286"/>
      <c r="AE101" s="286"/>
      <c r="AF101" s="286"/>
      <c r="AG101" s="286"/>
      <c r="AH101" s="286"/>
      <c r="AI101" s="286"/>
      <c r="AJ101" s="286"/>
      <c r="AK101" s="286"/>
      <c r="AL101" s="286"/>
      <c r="AM101" s="286"/>
      <c r="AN101" s="286"/>
      <c r="AO101" s="286"/>
      <c r="AP101" s="286"/>
      <c r="AQ101" s="286"/>
      <c r="AR101" s="286"/>
      <c r="AS101" s="286"/>
      <c r="AT101" s="286"/>
    </row>
    <row r="102" spans="1:46" x14ac:dyDescent="0.2">
      <c r="A102" s="288"/>
      <c r="B102" s="288"/>
      <c r="C102" s="288"/>
      <c r="D102" s="288"/>
      <c r="E102" s="288"/>
      <c r="F102" s="288"/>
      <c r="G102" s="288"/>
      <c r="H102" s="288"/>
      <c r="I102" s="288"/>
      <c r="J102" s="288"/>
      <c r="K102" s="288"/>
      <c r="L102" s="288"/>
      <c r="M102" s="288"/>
      <c r="N102" s="288"/>
      <c r="U102" s="286"/>
      <c r="V102" s="286"/>
      <c r="W102" s="286"/>
      <c r="X102" s="286"/>
      <c r="Y102" s="286"/>
      <c r="Z102" s="286"/>
      <c r="AA102" s="286"/>
      <c r="AB102" s="286"/>
      <c r="AC102" s="286"/>
      <c r="AD102" s="286"/>
      <c r="AE102" s="286"/>
      <c r="AF102" s="286"/>
      <c r="AG102" s="286"/>
      <c r="AH102" s="286"/>
      <c r="AI102" s="286"/>
      <c r="AJ102" s="286"/>
      <c r="AK102" s="286"/>
      <c r="AL102" s="286"/>
      <c r="AM102" s="286"/>
      <c r="AN102" s="286"/>
      <c r="AO102" s="286"/>
      <c r="AP102" s="286"/>
      <c r="AQ102" s="286"/>
      <c r="AR102" s="286"/>
      <c r="AS102" s="286"/>
      <c r="AT102" s="286"/>
    </row>
    <row r="103" spans="1:46" x14ac:dyDescent="0.2">
      <c r="A103" s="288"/>
      <c r="B103" s="288"/>
      <c r="C103" s="288"/>
      <c r="D103" s="288"/>
      <c r="E103" s="288"/>
      <c r="F103" s="288"/>
      <c r="G103" s="288"/>
      <c r="H103" s="288"/>
      <c r="I103" s="288"/>
      <c r="J103" s="288"/>
      <c r="K103" s="288"/>
      <c r="L103" s="288"/>
      <c r="M103" s="288"/>
      <c r="N103" s="288"/>
      <c r="U103" s="286"/>
      <c r="V103" s="286"/>
      <c r="W103" s="286"/>
      <c r="X103" s="286"/>
      <c r="Y103" s="286"/>
      <c r="Z103" s="286"/>
      <c r="AA103" s="286"/>
      <c r="AB103" s="286"/>
      <c r="AC103" s="286"/>
      <c r="AD103" s="286"/>
      <c r="AE103" s="286"/>
      <c r="AF103" s="286"/>
      <c r="AG103" s="286"/>
      <c r="AH103" s="286"/>
      <c r="AI103" s="286"/>
      <c r="AJ103" s="286"/>
      <c r="AK103" s="286"/>
      <c r="AL103" s="286"/>
      <c r="AM103" s="286"/>
      <c r="AN103" s="286"/>
      <c r="AO103" s="286"/>
      <c r="AP103" s="286"/>
      <c r="AQ103" s="286"/>
      <c r="AR103" s="286"/>
      <c r="AS103" s="286"/>
      <c r="AT103" s="286"/>
    </row>
    <row r="104" spans="1:46" x14ac:dyDescent="0.2">
      <c r="A104" s="288"/>
      <c r="B104" s="288"/>
      <c r="C104" s="288"/>
      <c r="D104" s="288"/>
      <c r="E104" s="288"/>
      <c r="F104" s="288"/>
      <c r="G104" s="288"/>
      <c r="H104" s="288"/>
      <c r="I104" s="288"/>
      <c r="J104" s="288"/>
      <c r="K104" s="288"/>
      <c r="L104" s="288"/>
      <c r="M104" s="288"/>
      <c r="N104" s="288"/>
      <c r="U104" s="286"/>
      <c r="V104" s="286"/>
      <c r="W104" s="286"/>
      <c r="X104" s="286"/>
      <c r="Y104" s="286"/>
      <c r="Z104" s="286"/>
      <c r="AA104" s="286"/>
      <c r="AB104" s="286"/>
      <c r="AC104" s="286"/>
      <c r="AD104" s="286"/>
      <c r="AE104" s="286"/>
      <c r="AF104" s="286"/>
      <c r="AG104" s="286"/>
      <c r="AH104" s="286"/>
      <c r="AI104" s="286"/>
      <c r="AJ104" s="286"/>
      <c r="AK104" s="286"/>
      <c r="AL104" s="286"/>
      <c r="AM104" s="286"/>
      <c r="AN104" s="286"/>
      <c r="AO104" s="286"/>
      <c r="AP104" s="286"/>
      <c r="AQ104" s="286"/>
      <c r="AR104" s="286"/>
      <c r="AS104" s="286"/>
      <c r="AT104" s="286"/>
    </row>
    <row r="105" spans="1:46" x14ac:dyDescent="0.2">
      <c r="A105" s="288"/>
      <c r="B105" s="288"/>
      <c r="C105" s="288"/>
      <c r="D105" s="288"/>
      <c r="E105" s="288"/>
      <c r="F105" s="288"/>
      <c r="G105" s="288"/>
      <c r="H105" s="288"/>
      <c r="I105" s="288"/>
      <c r="J105" s="288"/>
      <c r="K105" s="288"/>
      <c r="L105" s="288"/>
      <c r="M105" s="288"/>
      <c r="N105" s="288"/>
      <c r="U105" s="286"/>
      <c r="V105" s="286"/>
      <c r="W105" s="286"/>
      <c r="X105" s="286"/>
      <c r="Y105" s="286"/>
      <c r="Z105" s="286"/>
      <c r="AA105" s="286"/>
      <c r="AB105" s="286"/>
      <c r="AC105" s="286"/>
      <c r="AD105" s="286"/>
      <c r="AE105" s="286"/>
      <c r="AF105" s="286"/>
      <c r="AG105" s="286"/>
      <c r="AH105" s="286"/>
      <c r="AI105" s="286"/>
      <c r="AJ105" s="286"/>
      <c r="AK105" s="286"/>
      <c r="AL105" s="286"/>
      <c r="AM105" s="286"/>
      <c r="AN105" s="286"/>
      <c r="AO105" s="286"/>
      <c r="AP105" s="286"/>
      <c r="AQ105" s="286"/>
      <c r="AR105" s="286"/>
      <c r="AS105" s="286"/>
      <c r="AT105" s="286"/>
    </row>
    <row r="106" spans="1:46" x14ac:dyDescent="0.2">
      <c r="A106" s="288"/>
      <c r="B106" s="288"/>
      <c r="C106" s="288"/>
      <c r="D106" s="288"/>
      <c r="E106" s="288"/>
      <c r="F106" s="288"/>
      <c r="G106" s="288"/>
      <c r="H106" s="288"/>
      <c r="I106" s="288"/>
      <c r="J106" s="288"/>
      <c r="K106" s="288"/>
      <c r="L106" s="288"/>
      <c r="M106" s="288"/>
      <c r="N106" s="288"/>
      <c r="U106" s="286"/>
      <c r="V106" s="286"/>
      <c r="W106" s="286"/>
      <c r="X106" s="286"/>
      <c r="Y106" s="286"/>
      <c r="Z106" s="286"/>
      <c r="AA106" s="286"/>
      <c r="AB106" s="286"/>
      <c r="AC106" s="286"/>
      <c r="AD106" s="286"/>
      <c r="AE106" s="286"/>
      <c r="AF106" s="286"/>
      <c r="AG106" s="286"/>
      <c r="AH106" s="286"/>
      <c r="AI106" s="286"/>
      <c r="AJ106" s="286"/>
      <c r="AK106" s="286"/>
      <c r="AL106" s="286"/>
      <c r="AM106" s="286"/>
      <c r="AN106" s="286"/>
      <c r="AO106" s="286"/>
      <c r="AP106" s="286"/>
      <c r="AQ106" s="286"/>
      <c r="AR106" s="286"/>
      <c r="AS106" s="286"/>
      <c r="AT106" s="286"/>
    </row>
    <row r="107" spans="1:46" x14ac:dyDescent="0.2">
      <c r="A107" s="288"/>
      <c r="B107" s="288"/>
      <c r="C107" s="288"/>
      <c r="D107" s="288"/>
      <c r="E107" s="288"/>
      <c r="F107" s="288"/>
      <c r="G107" s="288"/>
      <c r="H107" s="288"/>
      <c r="I107" s="288"/>
      <c r="J107" s="288"/>
      <c r="K107" s="288"/>
      <c r="L107" s="288"/>
      <c r="M107" s="288"/>
      <c r="N107" s="288"/>
      <c r="U107" s="286"/>
      <c r="V107" s="286"/>
      <c r="W107" s="286"/>
      <c r="X107" s="286"/>
      <c r="Y107" s="286"/>
      <c r="Z107" s="286"/>
      <c r="AA107" s="286"/>
      <c r="AB107" s="286"/>
      <c r="AC107" s="286"/>
      <c r="AD107" s="286"/>
      <c r="AE107" s="286"/>
      <c r="AF107" s="286"/>
      <c r="AG107" s="286"/>
      <c r="AH107" s="286"/>
      <c r="AI107" s="286"/>
      <c r="AJ107" s="286"/>
      <c r="AK107" s="286"/>
      <c r="AL107" s="286"/>
      <c r="AM107" s="286"/>
      <c r="AN107" s="286"/>
      <c r="AO107" s="286"/>
      <c r="AP107" s="286"/>
      <c r="AQ107" s="286"/>
      <c r="AR107" s="286"/>
      <c r="AS107" s="286"/>
      <c r="AT107" s="286"/>
    </row>
    <row r="108" spans="1:46" x14ac:dyDescent="0.2">
      <c r="A108" s="288"/>
      <c r="B108" s="288"/>
      <c r="C108" s="288"/>
      <c r="D108" s="288"/>
      <c r="E108" s="288"/>
      <c r="F108" s="288"/>
      <c r="G108" s="288"/>
      <c r="H108" s="288"/>
      <c r="I108" s="288"/>
      <c r="J108" s="288"/>
      <c r="K108" s="288"/>
      <c r="L108" s="288"/>
      <c r="M108" s="288"/>
      <c r="N108" s="288"/>
      <c r="U108" s="286"/>
      <c r="V108" s="286"/>
      <c r="W108" s="286"/>
      <c r="X108" s="286"/>
      <c r="Y108" s="286"/>
      <c r="Z108" s="286"/>
      <c r="AA108" s="286"/>
      <c r="AB108" s="286"/>
      <c r="AC108" s="286"/>
      <c r="AD108" s="286"/>
      <c r="AE108" s="286"/>
      <c r="AF108" s="286"/>
      <c r="AG108" s="286"/>
      <c r="AH108" s="286"/>
      <c r="AI108" s="286"/>
      <c r="AJ108" s="286"/>
      <c r="AK108" s="286"/>
      <c r="AL108" s="286"/>
      <c r="AM108" s="286"/>
      <c r="AN108" s="286"/>
      <c r="AO108" s="286"/>
      <c r="AP108" s="286"/>
      <c r="AQ108" s="286"/>
      <c r="AR108" s="286"/>
      <c r="AS108" s="286"/>
      <c r="AT108" s="286"/>
    </row>
    <row r="109" spans="1:46" x14ac:dyDescent="0.2">
      <c r="A109" s="288"/>
      <c r="B109" s="288"/>
      <c r="C109" s="288"/>
      <c r="D109" s="288"/>
      <c r="E109" s="288"/>
      <c r="F109" s="288"/>
      <c r="G109" s="288"/>
      <c r="H109" s="288"/>
      <c r="I109" s="288"/>
      <c r="J109" s="288"/>
      <c r="K109" s="288"/>
      <c r="L109" s="288"/>
      <c r="M109" s="288"/>
      <c r="N109" s="288"/>
      <c r="U109" s="286"/>
      <c r="V109" s="286"/>
      <c r="W109" s="286"/>
      <c r="X109" s="286"/>
      <c r="Y109" s="286"/>
      <c r="Z109" s="286"/>
      <c r="AA109" s="286"/>
      <c r="AB109" s="286"/>
      <c r="AC109" s="286"/>
      <c r="AD109" s="286"/>
      <c r="AE109" s="286"/>
      <c r="AF109" s="286"/>
      <c r="AG109" s="286"/>
      <c r="AH109" s="286"/>
      <c r="AI109" s="286"/>
      <c r="AJ109" s="286"/>
      <c r="AK109" s="286"/>
      <c r="AL109" s="286"/>
      <c r="AM109" s="286"/>
      <c r="AN109" s="286"/>
      <c r="AO109" s="286"/>
      <c r="AP109" s="286"/>
      <c r="AQ109" s="286"/>
      <c r="AR109" s="286"/>
      <c r="AS109" s="286"/>
      <c r="AT109" s="286"/>
    </row>
    <row r="110" spans="1:46" x14ac:dyDescent="0.2">
      <c r="A110" s="288"/>
      <c r="B110" s="288"/>
      <c r="C110" s="288"/>
      <c r="D110" s="288"/>
      <c r="E110" s="288"/>
      <c r="F110" s="288"/>
      <c r="G110" s="288"/>
      <c r="H110" s="288"/>
      <c r="I110" s="288"/>
      <c r="J110" s="288"/>
      <c r="K110" s="288"/>
      <c r="L110" s="288"/>
      <c r="M110" s="288"/>
      <c r="N110" s="288"/>
      <c r="U110" s="286"/>
      <c r="V110" s="286"/>
      <c r="W110" s="286"/>
      <c r="X110" s="286"/>
      <c r="Y110" s="286"/>
      <c r="Z110" s="286"/>
      <c r="AA110" s="286"/>
      <c r="AB110" s="286"/>
      <c r="AC110" s="286"/>
      <c r="AD110" s="286"/>
      <c r="AE110" s="286"/>
      <c r="AF110" s="286"/>
      <c r="AG110" s="286"/>
      <c r="AH110" s="286"/>
      <c r="AI110" s="286"/>
      <c r="AJ110" s="286"/>
      <c r="AK110" s="286"/>
      <c r="AL110" s="286"/>
      <c r="AM110" s="286"/>
      <c r="AN110" s="286"/>
      <c r="AO110" s="286"/>
      <c r="AP110" s="286"/>
      <c r="AQ110" s="286"/>
      <c r="AR110" s="286"/>
      <c r="AS110" s="286"/>
      <c r="AT110" s="286"/>
    </row>
    <row r="111" spans="1:46" x14ac:dyDescent="0.2">
      <c r="A111" s="288"/>
      <c r="B111" s="288"/>
      <c r="C111" s="288"/>
      <c r="D111" s="288"/>
      <c r="E111" s="288"/>
      <c r="F111" s="288"/>
      <c r="G111" s="288"/>
      <c r="H111" s="288"/>
      <c r="I111" s="288"/>
      <c r="J111" s="288"/>
      <c r="K111" s="288"/>
      <c r="L111" s="288"/>
      <c r="M111" s="288"/>
      <c r="N111" s="288"/>
      <c r="U111" s="286"/>
      <c r="V111" s="286"/>
      <c r="W111" s="286"/>
      <c r="X111" s="286"/>
      <c r="Y111" s="286"/>
      <c r="Z111" s="286"/>
      <c r="AA111" s="286"/>
      <c r="AB111" s="286"/>
      <c r="AC111" s="286"/>
      <c r="AD111" s="286"/>
      <c r="AE111" s="286"/>
      <c r="AF111" s="286"/>
      <c r="AG111" s="286"/>
      <c r="AH111" s="286"/>
      <c r="AI111" s="286"/>
      <c r="AJ111" s="286"/>
      <c r="AK111" s="286"/>
      <c r="AL111" s="286"/>
      <c r="AM111" s="286"/>
      <c r="AN111" s="286"/>
      <c r="AO111" s="286"/>
      <c r="AP111" s="286"/>
      <c r="AQ111" s="286"/>
      <c r="AR111" s="286"/>
      <c r="AS111" s="286"/>
      <c r="AT111" s="286"/>
    </row>
    <row r="112" spans="1:46" x14ac:dyDescent="0.2">
      <c r="A112" s="288"/>
      <c r="B112" s="288"/>
      <c r="C112" s="288"/>
      <c r="D112" s="288"/>
      <c r="E112" s="288"/>
      <c r="F112" s="288"/>
      <c r="G112" s="288"/>
      <c r="H112" s="288"/>
      <c r="I112" s="288"/>
      <c r="J112" s="288"/>
      <c r="K112" s="288"/>
      <c r="L112" s="288"/>
      <c r="M112" s="288"/>
      <c r="N112" s="288"/>
      <c r="U112" s="286"/>
      <c r="V112" s="286"/>
      <c r="W112" s="286"/>
      <c r="X112" s="286"/>
      <c r="Y112" s="286"/>
      <c r="Z112" s="286"/>
      <c r="AA112" s="286"/>
      <c r="AB112" s="286"/>
      <c r="AC112" s="286"/>
      <c r="AD112" s="286"/>
      <c r="AE112" s="286"/>
      <c r="AF112" s="286"/>
      <c r="AG112" s="286"/>
      <c r="AH112" s="286"/>
      <c r="AI112" s="286"/>
      <c r="AJ112" s="286"/>
      <c r="AK112" s="286"/>
      <c r="AL112" s="286"/>
      <c r="AM112" s="286"/>
      <c r="AN112" s="286"/>
      <c r="AO112" s="286"/>
      <c r="AP112" s="286"/>
      <c r="AQ112" s="286"/>
      <c r="AR112" s="286"/>
      <c r="AS112" s="286"/>
      <c r="AT112" s="286"/>
    </row>
    <row r="113" spans="1:46" x14ac:dyDescent="0.2">
      <c r="A113" s="288"/>
      <c r="B113" s="288"/>
      <c r="C113" s="288"/>
      <c r="D113" s="288"/>
      <c r="E113" s="288"/>
      <c r="F113" s="288"/>
      <c r="G113" s="288"/>
      <c r="H113" s="288"/>
      <c r="I113" s="288"/>
      <c r="J113" s="288"/>
      <c r="K113" s="288"/>
      <c r="L113" s="288"/>
      <c r="M113" s="288"/>
      <c r="N113" s="288"/>
      <c r="U113" s="286"/>
      <c r="V113" s="286"/>
      <c r="W113" s="286"/>
      <c r="X113" s="286"/>
      <c r="Y113" s="286"/>
      <c r="Z113" s="286"/>
      <c r="AA113" s="286"/>
      <c r="AB113" s="286"/>
      <c r="AC113" s="286"/>
      <c r="AD113" s="286"/>
      <c r="AE113" s="286"/>
      <c r="AF113" s="286"/>
      <c r="AG113" s="286"/>
      <c r="AH113" s="286"/>
      <c r="AI113" s="286"/>
      <c r="AJ113" s="286"/>
      <c r="AK113" s="286"/>
      <c r="AL113" s="286"/>
      <c r="AM113" s="286"/>
      <c r="AN113" s="286"/>
      <c r="AO113" s="286"/>
      <c r="AP113" s="286"/>
      <c r="AQ113" s="286"/>
      <c r="AR113" s="286"/>
      <c r="AS113" s="286"/>
      <c r="AT113" s="286"/>
    </row>
    <row r="114" spans="1:46" x14ac:dyDescent="0.2">
      <c r="A114" s="288"/>
      <c r="B114" s="288"/>
      <c r="C114" s="288"/>
      <c r="D114" s="288"/>
      <c r="E114" s="288"/>
      <c r="F114" s="288"/>
      <c r="G114" s="288"/>
      <c r="H114" s="288"/>
      <c r="I114" s="288"/>
      <c r="J114" s="288"/>
      <c r="K114" s="288"/>
      <c r="L114" s="288"/>
      <c r="M114" s="288"/>
      <c r="N114" s="288"/>
      <c r="U114" s="286"/>
      <c r="V114" s="286"/>
      <c r="W114" s="286"/>
      <c r="X114" s="286"/>
      <c r="Y114" s="286"/>
      <c r="Z114" s="286"/>
      <c r="AA114" s="286"/>
      <c r="AB114" s="286"/>
      <c r="AC114" s="286"/>
      <c r="AD114" s="286"/>
      <c r="AE114" s="286"/>
      <c r="AF114" s="286"/>
      <c r="AG114" s="286"/>
      <c r="AH114" s="286"/>
      <c r="AI114" s="286"/>
      <c r="AJ114" s="286"/>
      <c r="AK114" s="286"/>
      <c r="AL114" s="286"/>
      <c r="AM114" s="286"/>
      <c r="AN114" s="286"/>
      <c r="AO114" s="286"/>
      <c r="AP114" s="286"/>
      <c r="AQ114" s="286"/>
      <c r="AR114" s="286"/>
      <c r="AS114" s="286"/>
      <c r="AT114" s="286"/>
    </row>
    <row r="115" spans="1:46" x14ac:dyDescent="0.2">
      <c r="A115" s="288"/>
      <c r="B115" s="288"/>
      <c r="C115" s="288"/>
      <c r="D115" s="288"/>
      <c r="E115" s="288"/>
      <c r="F115" s="288"/>
      <c r="G115" s="288"/>
      <c r="H115" s="288"/>
      <c r="I115" s="288"/>
      <c r="J115" s="288"/>
      <c r="K115" s="288"/>
      <c r="L115" s="288"/>
      <c r="M115" s="288"/>
      <c r="N115" s="288"/>
      <c r="U115" s="286"/>
      <c r="V115" s="286"/>
      <c r="W115" s="286"/>
      <c r="X115" s="286"/>
      <c r="Y115" s="286"/>
      <c r="Z115" s="286"/>
      <c r="AA115" s="286"/>
      <c r="AB115" s="286"/>
      <c r="AC115" s="286"/>
      <c r="AD115" s="286"/>
      <c r="AE115" s="286"/>
      <c r="AF115" s="286"/>
      <c r="AG115" s="286"/>
      <c r="AH115" s="286"/>
      <c r="AI115" s="286"/>
      <c r="AJ115" s="286"/>
      <c r="AK115" s="286"/>
      <c r="AL115" s="286"/>
      <c r="AM115" s="286"/>
      <c r="AN115" s="286"/>
      <c r="AO115" s="286"/>
      <c r="AP115" s="286"/>
      <c r="AQ115" s="286"/>
      <c r="AR115" s="286"/>
      <c r="AS115" s="286"/>
      <c r="AT115" s="286"/>
    </row>
    <row r="116" spans="1:46" x14ac:dyDescent="0.2">
      <c r="A116" s="288"/>
      <c r="B116" s="288"/>
      <c r="C116" s="288"/>
      <c r="D116" s="288"/>
      <c r="E116" s="288"/>
      <c r="F116" s="288"/>
      <c r="G116" s="288"/>
      <c r="H116" s="288"/>
      <c r="I116" s="288"/>
      <c r="J116" s="288"/>
      <c r="K116" s="288"/>
      <c r="L116" s="288"/>
      <c r="M116" s="288"/>
      <c r="N116" s="288"/>
      <c r="U116" s="286"/>
      <c r="V116" s="286"/>
      <c r="W116" s="286"/>
      <c r="X116" s="286"/>
      <c r="Y116" s="286"/>
      <c r="Z116" s="286"/>
      <c r="AA116" s="286"/>
      <c r="AB116" s="286"/>
      <c r="AC116" s="286"/>
      <c r="AD116" s="286"/>
      <c r="AE116" s="286"/>
      <c r="AF116" s="286"/>
      <c r="AG116" s="286"/>
      <c r="AH116" s="286"/>
      <c r="AI116" s="286"/>
      <c r="AJ116" s="286"/>
      <c r="AK116" s="286"/>
      <c r="AL116" s="286"/>
      <c r="AM116" s="286"/>
      <c r="AN116" s="286"/>
      <c r="AO116" s="286"/>
      <c r="AP116" s="286"/>
      <c r="AQ116" s="286"/>
      <c r="AR116" s="286"/>
      <c r="AS116" s="286"/>
      <c r="AT116" s="286"/>
    </row>
    <row r="117" spans="1:46" x14ac:dyDescent="0.2">
      <c r="A117" s="288"/>
      <c r="B117" s="288"/>
      <c r="C117" s="288"/>
      <c r="D117" s="288"/>
      <c r="E117" s="288"/>
      <c r="F117" s="288"/>
      <c r="G117" s="288"/>
      <c r="H117" s="288"/>
      <c r="I117" s="288"/>
      <c r="J117" s="288"/>
      <c r="K117" s="288"/>
      <c r="L117" s="288"/>
      <c r="M117" s="288"/>
      <c r="N117" s="288"/>
      <c r="U117" s="286"/>
      <c r="V117" s="286"/>
      <c r="W117" s="286"/>
      <c r="X117" s="286"/>
      <c r="Y117" s="286"/>
      <c r="Z117" s="286"/>
      <c r="AA117" s="286"/>
      <c r="AB117" s="286"/>
      <c r="AC117" s="286"/>
      <c r="AD117" s="286"/>
      <c r="AE117" s="286"/>
      <c r="AF117" s="286"/>
      <c r="AG117" s="286"/>
      <c r="AH117" s="286"/>
      <c r="AI117" s="286"/>
      <c r="AJ117" s="286"/>
      <c r="AK117" s="286"/>
      <c r="AL117" s="286"/>
      <c r="AM117" s="286"/>
      <c r="AN117" s="286"/>
      <c r="AO117" s="286"/>
      <c r="AP117" s="286"/>
      <c r="AQ117" s="286"/>
      <c r="AR117" s="286"/>
      <c r="AS117" s="286"/>
      <c r="AT117" s="286"/>
    </row>
    <row r="118" spans="1:46" x14ac:dyDescent="0.2">
      <c r="A118" s="288"/>
      <c r="B118" s="288"/>
      <c r="C118" s="288"/>
      <c r="D118" s="288"/>
      <c r="E118" s="288"/>
      <c r="F118" s="288"/>
      <c r="G118" s="288"/>
      <c r="H118" s="288"/>
      <c r="I118" s="288"/>
      <c r="J118" s="288"/>
      <c r="K118" s="288"/>
      <c r="L118" s="288"/>
      <c r="M118" s="288"/>
      <c r="N118" s="288"/>
      <c r="U118" s="286"/>
      <c r="V118" s="286"/>
      <c r="W118" s="286"/>
      <c r="X118" s="286"/>
      <c r="Y118" s="286"/>
      <c r="Z118" s="286"/>
      <c r="AA118" s="286"/>
      <c r="AB118" s="286"/>
      <c r="AC118" s="286"/>
      <c r="AD118" s="286"/>
      <c r="AE118" s="286"/>
      <c r="AF118" s="286"/>
      <c r="AG118" s="286"/>
      <c r="AH118" s="286"/>
      <c r="AI118" s="286"/>
      <c r="AJ118" s="286"/>
      <c r="AK118" s="286"/>
      <c r="AL118" s="286"/>
      <c r="AM118" s="286"/>
      <c r="AN118" s="286"/>
      <c r="AO118" s="286"/>
      <c r="AP118" s="286"/>
      <c r="AQ118" s="286"/>
      <c r="AR118" s="286"/>
      <c r="AS118" s="286"/>
      <c r="AT118" s="286"/>
    </row>
    <row r="119" spans="1:46" x14ac:dyDescent="0.2">
      <c r="A119" s="288"/>
      <c r="B119" s="288"/>
      <c r="C119" s="288"/>
      <c r="D119" s="288"/>
      <c r="E119" s="288"/>
      <c r="F119" s="288"/>
      <c r="G119" s="288"/>
      <c r="H119" s="288"/>
      <c r="I119" s="288"/>
      <c r="J119" s="288"/>
      <c r="K119" s="288"/>
      <c r="L119" s="288"/>
      <c r="M119" s="288"/>
      <c r="N119" s="288"/>
      <c r="U119" s="286"/>
      <c r="V119" s="286"/>
      <c r="W119" s="286"/>
      <c r="X119" s="286"/>
      <c r="Y119" s="286"/>
      <c r="Z119" s="286"/>
      <c r="AA119" s="286"/>
      <c r="AB119" s="286"/>
      <c r="AC119" s="286"/>
      <c r="AD119" s="286"/>
      <c r="AE119" s="286"/>
      <c r="AF119" s="286"/>
      <c r="AG119" s="286"/>
      <c r="AH119" s="286"/>
      <c r="AI119" s="286"/>
      <c r="AJ119" s="286"/>
      <c r="AK119" s="286"/>
      <c r="AL119" s="286"/>
      <c r="AM119" s="286"/>
      <c r="AN119" s="286"/>
      <c r="AO119" s="286"/>
      <c r="AP119" s="286"/>
      <c r="AQ119" s="286"/>
      <c r="AR119" s="286"/>
      <c r="AS119" s="286"/>
      <c r="AT119" s="286"/>
    </row>
    <row r="120" spans="1:46" x14ac:dyDescent="0.2">
      <c r="A120" s="288"/>
      <c r="B120" s="288"/>
      <c r="C120" s="288"/>
      <c r="D120" s="288"/>
      <c r="E120" s="288"/>
      <c r="F120" s="288"/>
      <c r="G120" s="288"/>
      <c r="H120" s="288"/>
      <c r="I120" s="288"/>
      <c r="J120" s="288"/>
      <c r="K120" s="288"/>
      <c r="L120" s="288"/>
      <c r="M120" s="288"/>
      <c r="N120" s="288"/>
      <c r="U120" s="286"/>
      <c r="V120" s="286"/>
      <c r="W120" s="286"/>
      <c r="X120" s="286"/>
      <c r="Y120" s="286"/>
      <c r="Z120" s="286"/>
      <c r="AA120" s="286"/>
      <c r="AB120" s="286"/>
      <c r="AC120" s="286"/>
      <c r="AD120" s="286"/>
      <c r="AE120" s="286"/>
      <c r="AF120" s="286"/>
      <c r="AG120" s="286"/>
      <c r="AH120" s="286"/>
      <c r="AI120" s="286"/>
      <c r="AJ120" s="286"/>
      <c r="AK120" s="286"/>
      <c r="AL120" s="286"/>
      <c r="AM120" s="286"/>
      <c r="AN120" s="286"/>
      <c r="AO120" s="286"/>
      <c r="AP120" s="286"/>
      <c r="AQ120" s="286"/>
      <c r="AR120" s="286"/>
      <c r="AS120" s="286"/>
      <c r="AT120" s="286"/>
    </row>
    <row r="121" spans="1:46" x14ac:dyDescent="0.2">
      <c r="A121" s="288"/>
      <c r="B121" s="288"/>
      <c r="C121" s="288"/>
      <c r="D121" s="288"/>
      <c r="E121" s="288"/>
      <c r="F121" s="288"/>
      <c r="G121" s="288"/>
      <c r="H121" s="288"/>
      <c r="I121" s="288"/>
      <c r="J121" s="288"/>
      <c r="K121" s="288"/>
      <c r="L121" s="288"/>
      <c r="M121" s="288"/>
      <c r="N121" s="288"/>
      <c r="U121" s="286"/>
      <c r="V121" s="286"/>
      <c r="W121" s="286"/>
      <c r="X121" s="286"/>
      <c r="Y121" s="286"/>
      <c r="Z121" s="286"/>
      <c r="AA121" s="286"/>
      <c r="AB121" s="286"/>
      <c r="AC121" s="286"/>
      <c r="AD121" s="286"/>
      <c r="AE121" s="286"/>
      <c r="AF121" s="286"/>
      <c r="AG121" s="286"/>
      <c r="AH121" s="286"/>
      <c r="AI121" s="286"/>
      <c r="AJ121" s="286"/>
      <c r="AK121" s="286"/>
      <c r="AL121" s="286"/>
      <c r="AM121" s="286"/>
      <c r="AN121" s="286"/>
      <c r="AO121" s="286"/>
      <c r="AP121" s="286"/>
      <c r="AQ121" s="286"/>
      <c r="AR121" s="286"/>
      <c r="AS121" s="286"/>
      <c r="AT121" s="286"/>
    </row>
    <row r="122" spans="1:46" x14ac:dyDescent="0.2">
      <c r="A122" s="288"/>
      <c r="B122" s="288"/>
      <c r="C122" s="288"/>
      <c r="D122" s="288"/>
      <c r="E122" s="288"/>
      <c r="F122" s="288"/>
      <c r="G122" s="288"/>
      <c r="H122" s="288"/>
      <c r="I122" s="288"/>
      <c r="J122" s="288"/>
      <c r="K122" s="288"/>
      <c r="L122" s="288"/>
      <c r="M122" s="288"/>
      <c r="N122" s="288"/>
      <c r="U122" s="286"/>
      <c r="V122" s="286"/>
      <c r="W122" s="286"/>
      <c r="X122" s="286"/>
      <c r="Y122" s="286"/>
      <c r="Z122" s="286"/>
      <c r="AA122" s="286"/>
      <c r="AB122" s="286"/>
      <c r="AC122" s="286"/>
      <c r="AD122" s="286"/>
      <c r="AE122" s="286"/>
      <c r="AF122" s="286"/>
      <c r="AG122" s="286"/>
      <c r="AH122" s="286"/>
      <c r="AI122" s="286"/>
      <c r="AJ122" s="286"/>
      <c r="AK122" s="286"/>
      <c r="AL122" s="286"/>
      <c r="AM122" s="286"/>
      <c r="AN122" s="286"/>
      <c r="AO122" s="286"/>
      <c r="AP122" s="286"/>
      <c r="AQ122" s="286"/>
      <c r="AR122" s="286"/>
      <c r="AS122" s="286"/>
      <c r="AT122" s="286"/>
    </row>
    <row r="123" spans="1:46" x14ac:dyDescent="0.2">
      <c r="A123" s="288"/>
      <c r="B123" s="288"/>
      <c r="C123" s="288"/>
      <c r="D123" s="288"/>
      <c r="E123" s="288"/>
      <c r="F123" s="288"/>
      <c r="G123" s="288"/>
      <c r="H123" s="288"/>
      <c r="I123" s="288"/>
      <c r="J123" s="288"/>
      <c r="K123" s="288"/>
      <c r="L123" s="288"/>
      <c r="M123" s="288"/>
      <c r="N123" s="288"/>
      <c r="U123" s="286"/>
      <c r="V123" s="286"/>
      <c r="W123" s="286"/>
      <c r="X123" s="286"/>
      <c r="Y123" s="286"/>
      <c r="Z123" s="286"/>
      <c r="AA123" s="286"/>
      <c r="AB123" s="286"/>
      <c r="AC123" s="286"/>
      <c r="AD123" s="286"/>
      <c r="AE123" s="286"/>
      <c r="AF123" s="286"/>
      <c r="AG123" s="286"/>
      <c r="AH123" s="286"/>
      <c r="AI123" s="286"/>
      <c r="AJ123" s="286"/>
      <c r="AK123" s="286"/>
      <c r="AL123" s="286"/>
      <c r="AM123" s="286"/>
      <c r="AN123" s="286"/>
      <c r="AO123" s="286"/>
      <c r="AP123" s="286"/>
      <c r="AQ123" s="286"/>
      <c r="AR123" s="286"/>
      <c r="AS123" s="286"/>
      <c r="AT123" s="286"/>
    </row>
    <row r="124" spans="1:46" x14ac:dyDescent="0.2">
      <c r="A124" s="288"/>
      <c r="B124" s="288"/>
      <c r="C124" s="288"/>
      <c r="D124" s="288"/>
      <c r="E124" s="288"/>
      <c r="F124" s="288"/>
      <c r="G124" s="288"/>
      <c r="H124" s="288"/>
      <c r="I124" s="288"/>
      <c r="J124" s="288"/>
      <c r="K124" s="288"/>
      <c r="L124" s="288"/>
      <c r="M124" s="288"/>
      <c r="N124" s="288"/>
      <c r="U124" s="286"/>
      <c r="V124" s="286"/>
      <c r="W124" s="286"/>
      <c r="X124" s="286"/>
      <c r="Y124" s="286"/>
      <c r="Z124" s="286"/>
      <c r="AA124" s="286"/>
      <c r="AB124" s="286"/>
      <c r="AC124" s="286"/>
      <c r="AD124" s="286"/>
      <c r="AE124" s="286"/>
      <c r="AF124" s="286"/>
      <c r="AG124" s="286"/>
      <c r="AH124" s="286"/>
      <c r="AI124" s="286"/>
      <c r="AJ124" s="286"/>
      <c r="AK124" s="286"/>
      <c r="AL124" s="286"/>
      <c r="AM124" s="286"/>
      <c r="AN124" s="286"/>
      <c r="AO124" s="286"/>
      <c r="AP124" s="286"/>
      <c r="AQ124" s="286"/>
      <c r="AR124" s="286"/>
      <c r="AS124" s="286"/>
      <c r="AT124" s="286"/>
    </row>
    <row r="125" spans="1:46" x14ac:dyDescent="0.2">
      <c r="A125" s="288"/>
      <c r="B125" s="288"/>
      <c r="C125" s="288"/>
      <c r="D125" s="288"/>
      <c r="E125" s="288"/>
      <c r="F125" s="288"/>
      <c r="G125" s="288"/>
      <c r="H125" s="288"/>
      <c r="I125" s="288"/>
      <c r="J125" s="288"/>
      <c r="K125" s="288"/>
      <c r="L125" s="288"/>
      <c r="M125" s="288"/>
      <c r="N125" s="288"/>
      <c r="U125" s="286"/>
      <c r="V125" s="286"/>
      <c r="W125" s="286"/>
      <c r="X125" s="286"/>
      <c r="Y125" s="286"/>
      <c r="Z125" s="286"/>
      <c r="AA125" s="286"/>
      <c r="AB125" s="286"/>
      <c r="AC125" s="286"/>
      <c r="AD125" s="286"/>
      <c r="AE125" s="286"/>
      <c r="AF125" s="286"/>
      <c r="AG125" s="286"/>
      <c r="AH125" s="286"/>
      <c r="AI125" s="286"/>
      <c r="AJ125" s="286"/>
      <c r="AK125" s="286"/>
      <c r="AL125" s="286"/>
      <c r="AM125" s="286"/>
      <c r="AN125" s="286"/>
      <c r="AO125" s="286"/>
      <c r="AP125" s="286"/>
      <c r="AQ125" s="286"/>
      <c r="AR125" s="286"/>
      <c r="AS125" s="286"/>
      <c r="AT125" s="286"/>
    </row>
    <row r="126" spans="1:46" x14ac:dyDescent="0.2">
      <c r="A126" s="288"/>
      <c r="B126" s="288"/>
      <c r="C126" s="288"/>
      <c r="D126" s="288"/>
      <c r="E126" s="288"/>
      <c r="F126" s="288"/>
      <c r="G126" s="288"/>
      <c r="H126" s="288"/>
      <c r="I126" s="288"/>
      <c r="J126" s="288"/>
      <c r="K126" s="288"/>
      <c r="L126" s="288"/>
      <c r="M126" s="288"/>
      <c r="N126" s="288"/>
      <c r="U126" s="286"/>
      <c r="V126" s="286"/>
      <c r="W126" s="286"/>
      <c r="X126" s="286"/>
      <c r="Y126" s="286"/>
      <c r="Z126" s="286"/>
      <c r="AA126" s="286"/>
      <c r="AB126" s="286"/>
      <c r="AC126" s="286"/>
      <c r="AD126" s="286"/>
      <c r="AE126" s="286"/>
      <c r="AF126" s="286"/>
      <c r="AG126" s="286"/>
      <c r="AH126" s="286"/>
      <c r="AI126" s="286"/>
      <c r="AJ126" s="286"/>
      <c r="AK126" s="286"/>
      <c r="AL126" s="286"/>
      <c r="AM126" s="286"/>
      <c r="AN126" s="286"/>
      <c r="AO126" s="286"/>
      <c r="AP126" s="286"/>
      <c r="AQ126" s="286"/>
      <c r="AR126" s="286"/>
      <c r="AS126" s="286"/>
      <c r="AT126" s="286"/>
    </row>
    <row r="127" spans="1:46" x14ac:dyDescent="0.2">
      <c r="A127" s="288"/>
      <c r="B127" s="288"/>
      <c r="C127" s="288"/>
      <c r="D127" s="288"/>
      <c r="E127" s="288"/>
      <c r="F127" s="288"/>
      <c r="G127" s="288"/>
      <c r="H127" s="288"/>
      <c r="I127" s="288"/>
      <c r="J127" s="288"/>
      <c r="K127" s="288"/>
      <c r="L127" s="288"/>
      <c r="M127" s="288"/>
      <c r="N127" s="288"/>
      <c r="U127" s="286"/>
      <c r="V127" s="286"/>
      <c r="W127" s="286"/>
      <c r="X127" s="286"/>
      <c r="Y127" s="286"/>
      <c r="Z127" s="286"/>
      <c r="AA127" s="286"/>
      <c r="AB127" s="286"/>
      <c r="AC127" s="286"/>
      <c r="AD127" s="286"/>
      <c r="AE127" s="286"/>
      <c r="AF127" s="286"/>
      <c r="AG127" s="286"/>
      <c r="AH127" s="286"/>
      <c r="AI127" s="286"/>
      <c r="AJ127" s="286"/>
      <c r="AK127" s="286"/>
      <c r="AL127" s="286"/>
      <c r="AM127" s="286"/>
      <c r="AN127" s="286"/>
      <c r="AO127" s="286"/>
      <c r="AP127" s="286"/>
      <c r="AQ127" s="286"/>
      <c r="AR127" s="286"/>
      <c r="AS127" s="286"/>
      <c r="AT127" s="286"/>
    </row>
    <row r="128" spans="1:46" x14ac:dyDescent="0.2">
      <c r="A128" s="288"/>
      <c r="B128" s="288"/>
      <c r="C128" s="288"/>
      <c r="D128" s="288"/>
      <c r="E128" s="288"/>
      <c r="F128" s="288"/>
      <c r="G128" s="288"/>
      <c r="H128" s="288"/>
      <c r="I128" s="288"/>
      <c r="J128" s="288"/>
      <c r="K128" s="288"/>
      <c r="L128" s="288"/>
      <c r="M128" s="288"/>
      <c r="N128" s="288"/>
      <c r="U128" s="286"/>
      <c r="V128" s="286"/>
      <c r="W128" s="286"/>
      <c r="X128" s="286"/>
      <c r="Y128" s="286"/>
      <c r="Z128" s="286"/>
      <c r="AA128" s="286"/>
      <c r="AB128" s="286"/>
      <c r="AC128" s="286"/>
      <c r="AD128" s="286"/>
      <c r="AE128" s="286"/>
      <c r="AF128" s="286"/>
      <c r="AG128" s="286"/>
      <c r="AH128" s="286"/>
      <c r="AI128" s="286"/>
      <c r="AJ128" s="286"/>
      <c r="AK128" s="286"/>
      <c r="AL128" s="286"/>
      <c r="AM128" s="286"/>
      <c r="AN128" s="286"/>
      <c r="AO128" s="286"/>
      <c r="AP128" s="286"/>
      <c r="AQ128" s="286"/>
      <c r="AR128" s="286"/>
      <c r="AS128" s="286"/>
      <c r="AT128" s="286"/>
    </row>
    <row r="129" spans="1:46" x14ac:dyDescent="0.2">
      <c r="A129" s="288"/>
      <c r="B129" s="288"/>
      <c r="C129" s="288"/>
      <c r="D129" s="288"/>
      <c r="E129" s="288"/>
      <c r="F129" s="288"/>
      <c r="G129" s="288"/>
      <c r="H129" s="288"/>
      <c r="I129" s="288"/>
      <c r="J129" s="288"/>
      <c r="K129" s="288"/>
      <c r="L129" s="288"/>
      <c r="M129" s="288"/>
      <c r="N129" s="288"/>
      <c r="U129" s="286"/>
      <c r="V129" s="286"/>
      <c r="W129" s="286"/>
      <c r="X129" s="286"/>
      <c r="Y129" s="286"/>
      <c r="Z129" s="286"/>
      <c r="AA129" s="286"/>
      <c r="AB129" s="286"/>
      <c r="AC129" s="286"/>
      <c r="AD129" s="286"/>
      <c r="AE129" s="286"/>
      <c r="AF129" s="286"/>
      <c r="AG129" s="286"/>
      <c r="AH129" s="286"/>
      <c r="AI129" s="286"/>
      <c r="AJ129" s="286"/>
      <c r="AK129" s="286"/>
      <c r="AL129" s="286"/>
      <c r="AM129" s="286"/>
      <c r="AN129" s="286"/>
      <c r="AO129" s="286"/>
      <c r="AP129" s="286"/>
      <c r="AQ129" s="286"/>
      <c r="AR129" s="286"/>
      <c r="AS129" s="286"/>
      <c r="AT129" s="286"/>
    </row>
    <row r="130" spans="1:46" x14ac:dyDescent="0.2">
      <c r="A130" s="288"/>
      <c r="B130" s="288"/>
      <c r="C130" s="288"/>
      <c r="D130" s="288"/>
      <c r="E130" s="288"/>
      <c r="F130" s="288"/>
      <c r="G130" s="288"/>
      <c r="H130" s="288"/>
      <c r="I130" s="288"/>
      <c r="J130" s="288"/>
      <c r="K130" s="288"/>
      <c r="L130" s="288"/>
      <c r="M130" s="288"/>
      <c r="N130" s="288"/>
      <c r="U130" s="286"/>
      <c r="V130" s="286"/>
      <c r="W130" s="286"/>
      <c r="X130" s="286"/>
      <c r="Y130" s="286"/>
      <c r="Z130" s="286"/>
      <c r="AA130" s="286"/>
      <c r="AB130" s="286"/>
      <c r="AC130" s="286"/>
      <c r="AD130" s="286"/>
      <c r="AE130" s="286"/>
      <c r="AF130" s="286"/>
      <c r="AG130" s="286"/>
      <c r="AH130" s="286"/>
      <c r="AI130" s="286"/>
      <c r="AJ130" s="286"/>
      <c r="AK130" s="286"/>
      <c r="AL130" s="286"/>
      <c r="AM130" s="286"/>
      <c r="AN130" s="286"/>
      <c r="AO130" s="286"/>
      <c r="AP130" s="286"/>
      <c r="AQ130" s="286"/>
      <c r="AR130" s="286"/>
      <c r="AS130" s="286"/>
      <c r="AT130" s="286"/>
    </row>
    <row r="131" spans="1:46" x14ac:dyDescent="0.2">
      <c r="A131" s="288"/>
      <c r="B131" s="288"/>
      <c r="C131" s="288"/>
      <c r="D131" s="288"/>
      <c r="E131" s="288"/>
      <c r="F131" s="288"/>
      <c r="G131" s="288"/>
      <c r="H131" s="288"/>
      <c r="I131" s="288"/>
      <c r="J131" s="288"/>
      <c r="K131" s="288"/>
      <c r="L131" s="288"/>
      <c r="M131" s="288"/>
      <c r="N131" s="288"/>
      <c r="U131" s="286"/>
      <c r="V131" s="286"/>
      <c r="W131" s="286"/>
      <c r="X131" s="286"/>
      <c r="Y131" s="286"/>
      <c r="Z131" s="286"/>
      <c r="AA131" s="286"/>
      <c r="AB131" s="286"/>
      <c r="AC131" s="286"/>
      <c r="AD131" s="286"/>
      <c r="AE131" s="286"/>
      <c r="AF131" s="286"/>
      <c r="AG131" s="286"/>
      <c r="AH131" s="286"/>
      <c r="AI131" s="286"/>
      <c r="AJ131" s="286"/>
      <c r="AK131" s="286"/>
      <c r="AL131" s="286"/>
      <c r="AM131" s="286"/>
      <c r="AN131" s="286"/>
      <c r="AO131" s="286"/>
      <c r="AP131" s="286"/>
      <c r="AQ131" s="286"/>
      <c r="AR131" s="286"/>
      <c r="AS131" s="286"/>
      <c r="AT131" s="286"/>
    </row>
    <row r="132" spans="1:46" x14ac:dyDescent="0.2">
      <c r="A132" s="288"/>
      <c r="B132" s="288"/>
      <c r="C132" s="288"/>
      <c r="D132" s="288"/>
      <c r="E132" s="288"/>
      <c r="F132" s="288"/>
      <c r="G132" s="288"/>
      <c r="H132" s="288"/>
      <c r="I132" s="288"/>
      <c r="J132" s="288"/>
      <c r="K132" s="288"/>
      <c r="L132" s="288"/>
      <c r="M132" s="288"/>
      <c r="N132" s="288"/>
      <c r="U132" s="286"/>
      <c r="V132" s="286"/>
      <c r="W132" s="286"/>
      <c r="X132" s="286"/>
      <c r="Y132" s="286"/>
      <c r="Z132" s="286"/>
      <c r="AA132" s="286"/>
      <c r="AB132" s="286"/>
      <c r="AC132" s="286"/>
      <c r="AD132" s="286"/>
      <c r="AE132" s="286"/>
      <c r="AF132" s="286"/>
      <c r="AG132" s="286"/>
      <c r="AH132" s="286"/>
      <c r="AI132" s="286"/>
      <c r="AJ132" s="286"/>
      <c r="AK132" s="286"/>
      <c r="AL132" s="286"/>
      <c r="AM132" s="286"/>
      <c r="AN132" s="286"/>
      <c r="AO132" s="286"/>
      <c r="AP132" s="286"/>
      <c r="AQ132" s="286"/>
      <c r="AR132" s="286"/>
      <c r="AS132" s="286"/>
      <c r="AT132" s="286"/>
    </row>
    <row r="133" spans="1:46" x14ac:dyDescent="0.2">
      <c r="A133" s="288"/>
      <c r="B133" s="288"/>
      <c r="C133" s="288"/>
      <c r="D133" s="288"/>
      <c r="E133" s="288"/>
      <c r="F133" s="288"/>
      <c r="G133" s="288"/>
      <c r="H133" s="288"/>
      <c r="I133" s="288"/>
      <c r="J133" s="288"/>
      <c r="K133" s="288"/>
      <c r="L133" s="288"/>
      <c r="M133" s="288"/>
      <c r="N133" s="288"/>
      <c r="U133" s="286"/>
      <c r="V133" s="286"/>
      <c r="W133" s="286"/>
      <c r="X133" s="286"/>
      <c r="Y133" s="286"/>
      <c r="Z133" s="286"/>
      <c r="AA133" s="286"/>
      <c r="AB133" s="286"/>
      <c r="AC133" s="286"/>
      <c r="AD133" s="286"/>
      <c r="AE133" s="286"/>
      <c r="AF133" s="286"/>
      <c r="AG133" s="286"/>
      <c r="AH133" s="286"/>
      <c r="AI133" s="286"/>
      <c r="AJ133" s="286"/>
      <c r="AK133" s="286"/>
      <c r="AL133" s="286"/>
      <c r="AM133" s="286"/>
      <c r="AN133" s="286"/>
      <c r="AO133" s="286"/>
      <c r="AP133" s="286"/>
      <c r="AQ133" s="286"/>
      <c r="AR133" s="286"/>
      <c r="AS133" s="286"/>
      <c r="AT133" s="286"/>
    </row>
    <row r="134" spans="1:46" x14ac:dyDescent="0.2">
      <c r="A134" s="288"/>
      <c r="B134" s="288"/>
      <c r="C134" s="288"/>
      <c r="D134" s="288"/>
      <c r="E134" s="288"/>
      <c r="F134" s="288"/>
      <c r="G134" s="288"/>
      <c r="H134" s="288"/>
      <c r="I134" s="288"/>
      <c r="J134" s="288"/>
      <c r="K134" s="288"/>
      <c r="L134" s="288"/>
      <c r="M134" s="288"/>
      <c r="N134" s="288"/>
      <c r="U134" s="286"/>
      <c r="V134" s="286"/>
      <c r="W134" s="286"/>
      <c r="X134" s="286"/>
      <c r="Y134" s="286"/>
      <c r="Z134" s="286"/>
      <c r="AA134" s="286"/>
      <c r="AB134" s="286"/>
      <c r="AC134" s="286"/>
      <c r="AD134" s="286"/>
      <c r="AE134" s="286"/>
      <c r="AF134" s="286"/>
      <c r="AG134" s="286"/>
      <c r="AH134" s="286"/>
      <c r="AI134" s="286"/>
      <c r="AJ134" s="286"/>
      <c r="AK134" s="286"/>
      <c r="AL134" s="286"/>
      <c r="AM134" s="286"/>
      <c r="AN134" s="286"/>
      <c r="AO134" s="286"/>
      <c r="AP134" s="286"/>
      <c r="AQ134" s="286"/>
      <c r="AR134" s="286"/>
      <c r="AS134" s="286"/>
      <c r="AT134" s="286"/>
    </row>
    <row r="135" spans="1:46" x14ac:dyDescent="0.2">
      <c r="A135" s="288"/>
      <c r="B135" s="288"/>
      <c r="C135" s="288"/>
      <c r="D135" s="288"/>
      <c r="E135" s="288"/>
      <c r="F135" s="288"/>
      <c r="G135" s="288"/>
      <c r="H135" s="288"/>
      <c r="I135" s="288"/>
      <c r="J135" s="288"/>
      <c r="K135" s="288"/>
      <c r="L135" s="288"/>
      <c r="M135" s="288"/>
      <c r="N135" s="288"/>
      <c r="U135" s="286"/>
      <c r="V135" s="286"/>
      <c r="W135" s="286"/>
      <c r="X135" s="286"/>
      <c r="Y135" s="286"/>
      <c r="Z135" s="286"/>
      <c r="AA135" s="286"/>
      <c r="AB135" s="286"/>
      <c r="AC135" s="286"/>
      <c r="AD135" s="286"/>
      <c r="AE135" s="286"/>
      <c r="AF135" s="286"/>
      <c r="AG135" s="286"/>
      <c r="AH135" s="286"/>
      <c r="AI135" s="286"/>
      <c r="AJ135" s="286"/>
      <c r="AK135" s="286"/>
      <c r="AL135" s="286"/>
      <c r="AM135" s="286"/>
      <c r="AN135" s="286"/>
      <c r="AO135" s="286"/>
      <c r="AP135" s="286"/>
      <c r="AQ135" s="286"/>
      <c r="AR135" s="286"/>
      <c r="AS135" s="286"/>
      <c r="AT135" s="286"/>
    </row>
    <row r="136" spans="1:46" x14ac:dyDescent="0.2">
      <c r="A136" s="288"/>
      <c r="B136" s="288"/>
      <c r="C136" s="288"/>
      <c r="D136" s="288"/>
      <c r="E136" s="288"/>
      <c r="F136" s="288"/>
      <c r="G136" s="288"/>
      <c r="H136" s="288"/>
      <c r="I136" s="288"/>
      <c r="J136" s="288"/>
      <c r="K136" s="288"/>
      <c r="L136" s="288"/>
      <c r="M136" s="288"/>
      <c r="N136" s="288"/>
      <c r="U136" s="286"/>
      <c r="V136" s="286"/>
      <c r="W136" s="286"/>
      <c r="X136" s="286"/>
      <c r="Y136" s="286"/>
      <c r="Z136" s="286"/>
      <c r="AA136" s="286"/>
      <c r="AB136" s="286"/>
      <c r="AC136" s="286"/>
      <c r="AD136" s="286"/>
      <c r="AE136" s="286"/>
      <c r="AF136" s="286"/>
      <c r="AG136" s="286"/>
      <c r="AH136" s="286"/>
      <c r="AI136" s="286"/>
      <c r="AJ136" s="286"/>
      <c r="AK136" s="286"/>
      <c r="AL136" s="286"/>
      <c r="AM136" s="286"/>
      <c r="AN136" s="286"/>
      <c r="AO136" s="286"/>
      <c r="AP136" s="286"/>
      <c r="AQ136" s="286"/>
      <c r="AR136" s="286"/>
      <c r="AS136" s="286"/>
      <c r="AT136" s="286"/>
    </row>
    <row r="137" spans="1:46" x14ac:dyDescent="0.2">
      <c r="A137" s="288"/>
      <c r="B137" s="288"/>
      <c r="C137" s="288"/>
      <c r="D137" s="288"/>
      <c r="E137" s="288"/>
      <c r="F137" s="288"/>
      <c r="G137" s="288"/>
      <c r="H137" s="288"/>
      <c r="I137" s="288"/>
      <c r="J137" s="288"/>
      <c r="K137" s="288"/>
      <c r="L137" s="288"/>
      <c r="M137" s="288"/>
      <c r="N137" s="288"/>
      <c r="U137" s="286"/>
      <c r="V137" s="286"/>
      <c r="W137" s="286"/>
      <c r="X137" s="286"/>
      <c r="Y137" s="286"/>
      <c r="Z137" s="286"/>
      <c r="AA137" s="286"/>
      <c r="AB137" s="286"/>
      <c r="AC137" s="286"/>
      <c r="AD137" s="286"/>
      <c r="AE137" s="286"/>
      <c r="AF137" s="286"/>
      <c r="AG137" s="286"/>
      <c r="AH137" s="286"/>
      <c r="AI137" s="286"/>
      <c r="AJ137" s="286"/>
      <c r="AK137" s="286"/>
      <c r="AL137" s="286"/>
      <c r="AM137" s="286"/>
      <c r="AN137" s="286"/>
      <c r="AO137" s="286"/>
      <c r="AP137" s="286"/>
      <c r="AQ137" s="286"/>
      <c r="AR137" s="286"/>
      <c r="AS137" s="286"/>
      <c r="AT137" s="286"/>
    </row>
    <row r="138" spans="1:46" x14ac:dyDescent="0.2">
      <c r="A138" s="288"/>
      <c r="B138" s="288"/>
      <c r="C138" s="288"/>
      <c r="D138" s="288"/>
      <c r="E138" s="288"/>
      <c r="F138" s="288"/>
      <c r="G138" s="288"/>
      <c r="H138" s="288"/>
      <c r="I138" s="288"/>
      <c r="J138" s="288"/>
      <c r="K138" s="288"/>
      <c r="L138" s="288"/>
      <c r="M138" s="288"/>
      <c r="N138" s="288"/>
      <c r="U138" s="286"/>
      <c r="V138" s="286"/>
      <c r="W138" s="286"/>
      <c r="X138" s="286"/>
      <c r="Y138" s="286"/>
      <c r="Z138" s="286"/>
      <c r="AA138" s="286"/>
      <c r="AB138" s="286"/>
      <c r="AC138" s="286"/>
      <c r="AD138" s="286"/>
      <c r="AE138" s="286"/>
      <c r="AF138" s="286"/>
      <c r="AG138" s="286"/>
      <c r="AH138" s="286"/>
      <c r="AI138" s="286"/>
      <c r="AJ138" s="286"/>
      <c r="AK138" s="286"/>
      <c r="AL138" s="286"/>
      <c r="AM138" s="286"/>
      <c r="AN138" s="286"/>
      <c r="AO138" s="286"/>
      <c r="AP138" s="286"/>
      <c r="AQ138" s="286"/>
      <c r="AR138" s="286"/>
      <c r="AS138" s="286"/>
      <c r="AT138" s="286"/>
    </row>
    <row r="139" spans="1:46" x14ac:dyDescent="0.2">
      <c r="A139" s="288"/>
      <c r="B139" s="288"/>
      <c r="C139" s="288"/>
      <c r="D139" s="288"/>
      <c r="E139" s="288"/>
      <c r="F139" s="288"/>
      <c r="G139" s="288"/>
      <c r="H139" s="288"/>
      <c r="I139" s="288"/>
      <c r="J139" s="288"/>
      <c r="K139" s="288"/>
      <c r="L139" s="288"/>
      <c r="M139" s="288"/>
      <c r="N139" s="288"/>
      <c r="U139" s="286"/>
      <c r="V139" s="286"/>
      <c r="W139" s="286"/>
      <c r="X139" s="286"/>
      <c r="Y139" s="286"/>
      <c r="Z139" s="286"/>
      <c r="AA139" s="286"/>
      <c r="AB139" s="286"/>
      <c r="AC139" s="286"/>
      <c r="AD139" s="286"/>
      <c r="AE139" s="286"/>
      <c r="AF139" s="286"/>
      <c r="AG139" s="286"/>
      <c r="AH139" s="286"/>
      <c r="AI139" s="286"/>
      <c r="AJ139" s="286"/>
      <c r="AK139" s="286"/>
      <c r="AL139" s="286"/>
      <c r="AM139" s="286"/>
      <c r="AN139" s="286"/>
      <c r="AO139" s="286"/>
      <c r="AP139" s="286"/>
      <c r="AQ139" s="286"/>
      <c r="AR139" s="286"/>
      <c r="AS139" s="286"/>
      <c r="AT139" s="286"/>
    </row>
    <row r="140" spans="1:46" x14ac:dyDescent="0.2">
      <c r="A140" s="288"/>
      <c r="B140" s="288"/>
      <c r="C140" s="288"/>
      <c r="D140" s="288"/>
      <c r="E140" s="288"/>
      <c r="F140" s="288"/>
      <c r="G140" s="288"/>
      <c r="H140" s="288"/>
      <c r="I140" s="288"/>
      <c r="J140" s="288"/>
      <c r="K140" s="288"/>
      <c r="L140" s="288"/>
      <c r="M140" s="288"/>
      <c r="N140" s="288"/>
      <c r="U140" s="286"/>
      <c r="V140" s="286"/>
      <c r="W140" s="286"/>
      <c r="X140" s="286"/>
      <c r="Y140" s="286"/>
      <c r="Z140" s="286"/>
      <c r="AA140" s="286"/>
      <c r="AB140" s="286"/>
      <c r="AC140" s="286"/>
      <c r="AD140" s="286"/>
      <c r="AE140" s="286"/>
      <c r="AF140" s="286"/>
      <c r="AG140" s="286"/>
      <c r="AH140" s="286"/>
      <c r="AI140" s="286"/>
      <c r="AJ140" s="286"/>
      <c r="AK140" s="286"/>
      <c r="AL140" s="286"/>
      <c r="AM140" s="286"/>
      <c r="AN140" s="286"/>
      <c r="AO140" s="286"/>
      <c r="AP140" s="286"/>
      <c r="AQ140" s="286"/>
      <c r="AR140" s="286"/>
      <c r="AS140" s="286"/>
      <c r="AT140" s="286"/>
    </row>
    <row r="141" spans="1:46" x14ac:dyDescent="0.2">
      <c r="A141" s="288"/>
      <c r="B141" s="288"/>
      <c r="C141" s="288"/>
      <c r="D141" s="288"/>
      <c r="E141" s="288"/>
      <c r="F141" s="288"/>
      <c r="G141" s="288"/>
      <c r="H141" s="288"/>
      <c r="I141" s="288"/>
      <c r="J141" s="288"/>
      <c r="K141" s="288"/>
      <c r="L141" s="288"/>
      <c r="M141" s="288"/>
      <c r="N141" s="288"/>
      <c r="U141" s="286"/>
      <c r="V141" s="286"/>
      <c r="W141" s="286"/>
      <c r="X141" s="286"/>
      <c r="Y141" s="286"/>
      <c r="Z141" s="286"/>
      <c r="AA141" s="286"/>
      <c r="AB141" s="286"/>
      <c r="AC141" s="286"/>
      <c r="AD141" s="286"/>
      <c r="AE141" s="286"/>
      <c r="AF141" s="286"/>
      <c r="AG141" s="286"/>
      <c r="AH141" s="286"/>
      <c r="AI141" s="286"/>
      <c r="AJ141" s="286"/>
      <c r="AK141" s="286"/>
      <c r="AL141" s="286"/>
      <c r="AM141" s="286"/>
      <c r="AN141" s="286"/>
      <c r="AO141" s="286"/>
      <c r="AP141" s="286"/>
      <c r="AQ141" s="286"/>
      <c r="AR141" s="286"/>
      <c r="AS141" s="286"/>
      <c r="AT141" s="286"/>
    </row>
    <row r="142" spans="1:46" x14ac:dyDescent="0.2">
      <c r="A142" s="288"/>
      <c r="B142" s="288"/>
      <c r="C142" s="288"/>
      <c r="D142" s="288"/>
      <c r="E142" s="288"/>
      <c r="F142" s="288"/>
      <c r="G142" s="288"/>
      <c r="H142" s="288"/>
      <c r="I142" s="288"/>
      <c r="J142" s="288"/>
      <c r="K142" s="288"/>
      <c r="L142" s="288"/>
      <c r="M142" s="288"/>
      <c r="N142" s="288"/>
      <c r="U142" s="286"/>
      <c r="V142" s="286"/>
      <c r="W142" s="286"/>
      <c r="X142" s="286"/>
      <c r="Y142" s="286"/>
      <c r="Z142" s="286"/>
      <c r="AA142" s="286"/>
      <c r="AB142" s="286"/>
      <c r="AC142" s="286"/>
      <c r="AD142" s="286"/>
      <c r="AE142" s="286"/>
      <c r="AF142" s="286"/>
      <c r="AG142" s="286"/>
      <c r="AH142" s="286"/>
      <c r="AI142" s="286"/>
      <c r="AJ142" s="286"/>
      <c r="AK142" s="286"/>
      <c r="AL142" s="286"/>
      <c r="AM142" s="286"/>
      <c r="AN142" s="286"/>
      <c r="AO142" s="286"/>
      <c r="AP142" s="286"/>
      <c r="AQ142" s="286"/>
      <c r="AR142" s="286"/>
      <c r="AS142" s="286"/>
      <c r="AT142" s="286"/>
    </row>
    <row r="143" spans="1:46" x14ac:dyDescent="0.2">
      <c r="A143" s="288"/>
      <c r="B143" s="288"/>
      <c r="C143" s="288"/>
      <c r="D143" s="288"/>
      <c r="E143" s="288"/>
      <c r="F143" s="288"/>
      <c r="G143" s="288"/>
      <c r="H143" s="288"/>
      <c r="I143" s="288"/>
      <c r="J143" s="288"/>
      <c r="K143" s="288"/>
      <c r="L143" s="288"/>
      <c r="M143" s="288"/>
      <c r="N143" s="288"/>
      <c r="U143" s="286"/>
      <c r="V143" s="286"/>
      <c r="W143" s="286"/>
      <c r="X143" s="286"/>
      <c r="Y143" s="286"/>
      <c r="Z143" s="286"/>
      <c r="AA143" s="286"/>
      <c r="AB143" s="286"/>
      <c r="AC143" s="286"/>
      <c r="AD143" s="286"/>
      <c r="AE143" s="286"/>
      <c r="AF143" s="286"/>
      <c r="AG143" s="286"/>
      <c r="AH143" s="286"/>
      <c r="AI143" s="286"/>
      <c r="AJ143" s="286"/>
      <c r="AK143" s="286"/>
      <c r="AL143" s="286"/>
      <c r="AM143" s="286"/>
      <c r="AN143" s="286"/>
      <c r="AO143" s="286"/>
      <c r="AP143" s="286"/>
      <c r="AQ143" s="286"/>
      <c r="AR143" s="286"/>
      <c r="AS143" s="286"/>
      <c r="AT143" s="286"/>
    </row>
    <row r="144" spans="1:46" x14ac:dyDescent="0.2">
      <c r="A144" s="288"/>
      <c r="B144" s="288"/>
      <c r="C144" s="288"/>
      <c r="D144" s="288"/>
      <c r="E144" s="288"/>
      <c r="F144" s="288"/>
      <c r="G144" s="288"/>
      <c r="H144" s="288"/>
      <c r="I144" s="288"/>
      <c r="J144" s="288"/>
      <c r="K144" s="288"/>
      <c r="L144" s="288"/>
      <c r="M144" s="288"/>
      <c r="N144" s="288"/>
      <c r="U144" s="286"/>
      <c r="V144" s="286"/>
      <c r="W144" s="286"/>
      <c r="X144" s="286"/>
      <c r="Y144" s="286"/>
      <c r="Z144" s="286"/>
      <c r="AA144" s="286"/>
      <c r="AB144" s="286"/>
      <c r="AC144" s="286"/>
      <c r="AD144" s="286"/>
      <c r="AE144" s="286"/>
      <c r="AF144" s="286"/>
      <c r="AG144" s="286"/>
      <c r="AH144" s="286"/>
      <c r="AI144" s="286"/>
      <c r="AJ144" s="286"/>
      <c r="AK144" s="286"/>
      <c r="AL144" s="286"/>
      <c r="AM144" s="286"/>
      <c r="AN144" s="286"/>
      <c r="AO144" s="286"/>
      <c r="AP144" s="286"/>
      <c r="AQ144" s="286"/>
      <c r="AR144" s="286"/>
      <c r="AS144" s="286"/>
      <c r="AT144" s="286"/>
    </row>
    <row r="145" spans="1:46" x14ac:dyDescent="0.2">
      <c r="A145" s="288"/>
      <c r="B145" s="288"/>
      <c r="C145" s="288"/>
      <c r="D145" s="288"/>
      <c r="E145" s="288"/>
      <c r="F145" s="288"/>
      <c r="G145" s="288"/>
      <c r="H145" s="288"/>
      <c r="I145" s="288"/>
      <c r="J145" s="288"/>
      <c r="K145" s="288"/>
      <c r="L145" s="288"/>
      <c r="M145" s="288"/>
      <c r="N145" s="288"/>
      <c r="U145" s="286"/>
      <c r="V145" s="286"/>
      <c r="W145" s="286"/>
      <c r="X145" s="286"/>
      <c r="Y145" s="286"/>
      <c r="Z145" s="286"/>
      <c r="AA145" s="286"/>
      <c r="AB145" s="286"/>
      <c r="AC145" s="286"/>
      <c r="AD145" s="286"/>
      <c r="AE145" s="286"/>
      <c r="AF145" s="286"/>
      <c r="AG145" s="286"/>
      <c r="AH145" s="286"/>
      <c r="AI145" s="286"/>
      <c r="AJ145" s="286"/>
      <c r="AK145" s="286"/>
      <c r="AL145" s="286"/>
      <c r="AM145" s="286"/>
      <c r="AN145" s="286"/>
      <c r="AO145" s="286"/>
      <c r="AP145" s="286"/>
      <c r="AQ145" s="286"/>
      <c r="AR145" s="286"/>
      <c r="AS145" s="286"/>
      <c r="AT145" s="286"/>
    </row>
    <row r="146" spans="1:46" x14ac:dyDescent="0.2">
      <c r="A146" s="288"/>
      <c r="B146" s="288"/>
      <c r="C146" s="288"/>
      <c r="D146" s="288"/>
      <c r="E146" s="288"/>
      <c r="F146" s="288"/>
      <c r="G146" s="288"/>
      <c r="H146" s="288"/>
      <c r="I146" s="288"/>
      <c r="J146" s="288"/>
      <c r="K146" s="288"/>
      <c r="L146" s="288"/>
      <c r="M146" s="288"/>
      <c r="N146" s="288"/>
      <c r="U146" s="286"/>
      <c r="V146" s="286"/>
      <c r="W146" s="286"/>
      <c r="X146" s="286"/>
      <c r="Y146" s="286"/>
      <c r="Z146" s="286"/>
      <c r="AA146" s="286"/>
      <c r="AB146" s="286"/>
      <c r="AC146" s="286"/>
      <c r="AD146" s="286"/>
      <c r="AE146" s="286"/>
      <c r="AF146" s="286"/>
      <c r="AG146" s="286"/>
      <c r="AH146" s="286"/>
      <c r="AI146" s="286"/>
      <c r="AJ146" s="286"/>
      <c r="AK146" s="286"/>
      <c r="AL146" s="286"/>
      <c r="AM146" s="286"/>
      <c r="AN146" s="286"/>
      <c r="AO146" s="286"/>
      <c r="AP146" s="286"/>
      <c r="AQ146" s="286"/>
      <c r="AR146" s="286"/>
      <c r="AS146" s="286"/>
      <c r="AT146" s="286"/>
    </row>
    <row r="147" spans="1:46" x14ac:dyDescent="0.2">
      <c r="A147" s="288"/>
      <c r="B147" s="288"/>
      <c r="C147" s="288"/>
      <c r="D147" s="288"/>
      <c r="E147" s="288"/>
      <c r="F147" s="288"/>
      <c r="G147" s="288"/>
      <c r="H147" s="288"/>
      <c r="I147" s="288"/>
      <c r="J147" s="288"/>
      <c r="K147" s="288"/>
      <c r="L147" s="288"/>
      <c r="M147" s="288"/>
      <c r="N147" s="288"/>
      <c r="U147" s="286"/>
      <c r="V147" s="286"/>
      <c r="W147" s="286"/>
      <c r="X147" s="286"/>
      <c r="Y147" s="286"/>
      <c r="Z147" s="286"/>
      <c r="AA147" s="286"/>
      <c r="AB147" s="286"/>
      <c r="AC147" s="286"/>
      <c r="AD147" s="286"/>
      <c r="AE147" s="286"/>
      <c r="AF147" s="286"/>
      <c r="AG147" s="286"/>
      <c r="AH147" s="286"/>
      <c r="AI147" s="286"/>
      <c r="AJ147" s="286"/>
      <c r="AK147" s="286"/>
      <c r="AL147" s="286"/>
      <c r="AM147" s="286"/>
      <c r="AN147" s="286"/>
      <c r="AO147" s="286"/>
      <c r="AP147" s="286"/>
      <c r="AQ147" s="286"/>
      <c r="AR147" s="286"/>
      <c r="AS147" s="286"/>
      <c r="AT147" s="286"/>
    </row>
    <row r="148" spans="1:46" x14ac:dyDescent="0.2">
      <c r="A148" s="288"/>
      <c r="B148" s="288"/>
      <c r="C148" s="288"/>
      <c r="D148" s="288"/>
      <c r="E148" s="288"/>
      <c r="F148" s="288"/>
      <c r="G148" s="288"/>
      <c r="H148" s="288"/>
      <c r="I148" s="288"/>
      <c r="J148" s="288"/>
      <c r="K148" s="288"/>
      <c r="L148" s="288"/>
      <c r="M148" s="288"/>
      <c r="N148" s="288"/>
      <c r="U148" s="286"/>
      <c r="V148" s="286"/>
      <c r="W148" s="286"/>
      <c r="X148" s="286"/>
      <c r="Y148" s="286"/>
      <c r="Z148" s="286"/>
      <c r="AA148" s="286"/>
      <c r="AB148" s="286"/>
      <c r="AC148" s="286"/>
      <c r="AD148" s="286"/>
      <c r="AE148" s="286"/>
      <c r="AF148" s="286"/>
      <c r="AG148" s="286"/>
      <c r="AH148" s="286"/>
      <c r="AI148" s="286"/>
      <c r="AJ148" s="286"/>
      <c r="AK148" s="286"/>
      <c r="AL148" s="286"/>
      <c r="AM148" s="286"/>
      <c r="AN148" s="286"/>
      <c r="AO148" s="286"/>
      <c r="AP148" s="286"/>
      <c r="AQ148" s="286"/>
      <c r="AR148" s="286"/>
      <c r="AS148" s="286"/>
      <c r="AT148" s="286"/>
    </row>
    <row r="149" spans="1:46" x14ac:dyDescent="0.2">
      <c r="A149" s="288"/>
      <c r="B149" s="288"/>
      <c r="C149" s="288"/>
      <c r="D149" s="288"/>
      <c r="E149" s="288"/>
      <c r="F149" s="288"/>
      <c r="G149" s="288"/>
      <c r="H149" s="288"/>
      <c r="I149" s="288"/>
      <c r="J149" s="288"/>
      <c r="K149" s="288"/>
      <c r="L149" s="288"/>
      <c r="M149" s="288"/>
      <c r="N149" s="288"/>
      <c r="U149" s="286"/>
      <c r="V149" s="286"/>
      <c r="W149" s="286"/>
      <c r="X149" s="286"/>
      <c r="Y149" s="286"/>
      <c r="Z149" s="286"/>
      <c r="AA149" s="286"/>
      <c r="AB149" s="286"/>
      <c r="AC149" s="286"/>
      <c r="AD149" s="286"/>
      <c r="AE149" s="286"/>
      <c r="AF149" s="286"/>
      <c r="AG149" s="286"/>
      <c r="AH149" s="286"/>
      <c r="AI149" s="286"/>
      <c r="AJ149" s="286"/>
      <c r="AK149" s="286"/>
      <c r="AL149" s="286"/>
      <c r="AM149" s="286"/>
      <c r="AN149" s="286"/>
      <c r="AO149" s="286"/>
      <c r="AP149" s="286"/>
      <c r="AQ149" s="286"/>
      <c r="AR149" s="286"/>
      <c r="AS149" s="286"/>
      <c r="AT149" s="286"/>
    </row>
    <row r="150" spans="1:46" x14ac:dyDescent="0.2">
      <c r="A150" s="288"/>
      <c r="B150" s="288"/>
      <c r="C150" s="288"/>
      <c r="D150" s="288"/>
      <c r="E150" s="288"/>
      <c r="F150" s="288"/>
      <c r="G150" s="288"/>
      <c r="H150" s="288"/>
      <c r="I150" s="288"/>
      <c r="J150" s="288"/>
      <c r="K150" s="288"/>
      <c r="L150" s="288"/>
      <c r="M150" s="288"/>
      <c r="N150" s="288"/>
      <c r="U150" s="286"/>
      <c r="V150" s="286"/>
      <c r="W150" s="286"/>
      <c r="X150" s="286"/>
      <c r="Y150" s="286"/>
      <c r="Z150" s="286"/>
      <c r="AA150" s="286"/>
      <c r="AB150" s="286"/>
      <c r="AC150" s="286"/>
      <c r="AD150" s="286"/>
      <c r="AE150" s="286"/>
      <c r="AF150" s="286"/>
      <c r="AG150" s="286"/>
      <c r="AH150" s="286"/>
      <c r="AI150" s="286"/>
      <c r="AJ150" s="286"/>
      <c r="AK150" s="286"/>
      <c r="AL150" s="286"/>
      <c r="AM150" s="286"/>
      <c r="AN150" s="286"/>
      <c r="AO150" s="286"/>
      <c r="AP150" s="286"/>
      <c r="AQ150" s="286"/>
      <c r="AR150" s="286"/>
      <c r="AS150" s="286"/>
      <c r="AT150" s="286"/>
    </row>
    <row r="151" spans="1:46" x14ac:dyDescent="0.2">
      <c r="AK151" s="275">
        <v>29.6999999999999</v>
      </c>
      <c r="AL151" s="276">
        <v>0.99573999999999996</v>
      </c>
      <c r="AM151" s="276">
        <v>0.99753000000000003</v>
      </c>
      <c r="AO151" s="288"/>
      <c r="AP151" s="288"/>
      <c r="AQ151" s="286"/>
      <c r="AR151" s="286"/>
      <c r="AS151" s="286"/>
      <c r="AT151" s="286"/>
    </row>
    <row r="152" spans="1:46" x14ac:dyDescent="0.2">
      <c r="AK152" s="275">
        <v>29.799999999999901</v>
      </c>
      <c r="AL152" s="276">
        <v>0.99570999999999998</v>
      </c>
      <c r="AM152" s="276">
        <v>0.99750000000000005</v>
      </c>
      <c r="AO152" s="288"/>
      <c r="AP152" s="288"/>
      <c r="AQ152" s="286"/>
      <c r="AR152" s="286"/>
      <c r="AS152" s="286"/>
      <c r="AT152" s="286"/>
    </row>
    <row r="153" spans="1:46" x14ac:dyDescent="0.2">
      <c r="AK153" s="275">
        <v>29.899999999999899</v>
      </c>
      <c r="AL153" s="276">
        <v>0.99568000000000001</v>
      </c>
      <c r="AM153" s="276">
        <v>0.99746999999999997</v>
      </c>
      <c r="AO153" s="288"/>
      <c r="AP153" s="288"/>
      <c r="AQ153" s="286"/>
      <c r="AR153" s="286"/>
      <c r="AS153" s="286"/>
      <c r="AT153" s="286"/>
    </row>
    <row r="154" spans="1:46" x14ac:dyDescent="0.2">
      <c r="AK154" s="272">
        <v>29.999999999999901</v>
      </c>
      <c r="AL154" s="273">
        <v>0.99565000000000003</v>
      </c>
      <c r="AM154" s="273">
        <v>0.99743999999999999</v>
      </c>
      <c r="AO154" s="288"/>
      <c r="AP154" s="288"/>
      <c r="AQ154" s="286"/>
      <c r="AR154" s="286"/>
      <c r="AS154" s="286"/>
      <c r="AT154" s="286"/>
    </row>
    <row r="155" spans="1:46" x14ac:dyDescent="0.2">
      <c r="AK155" s="275">
        <v>30.099999999999898</v>
      </c>
      <c r="AL155" s="276">
        <v>0.99561999999999995</v>
      </c>
      <c r="AM155" s="276">
        <v>0.99741000000000002</v>
      </c>
      <c r="AO155" s="288"/>
      <c r="AP155" s="288"/>
      <c r="AQ155" s="286"/>
      <c r="AR155" s="286"/>
      <c r="AS155" s="286"/>
      <c r="AT155" s="286"/>
    </row>
    <row r="156" spans="1:46" x14ac:dyDescent="0.2">
      <c r="AK156" s="275">
        <v>30.1999999999999</v>
      </c>
      <c r="AL156" s="276">
        <v>0.99558999999999997</v>
      </c>
      <c r="AM156" s="276">
        <v>0.99738000000000004</v>
      </c>
      <c r="AO156" s="288"/>
      <c r="AP156" s="288"/>
      <c r="AQ156" s="286"/>
      <c r="AR156" s="286"/>
      <c r="AS156" s="286"/>
      <c r="AT156" s="286"/>
    </row>
    <row r="157" spans="1:46" x14ac:dyDescent="0.2">
      <c r="AK157" s="275">
        <v>30.299999999999901</v>
      </c>
      <c r="AL157" s="276">
        <v>0.995559999999999</v>
      </c>
      <c r="AM157" s="276">
        <v>0.99734999999999996</v>
      </c>
      <c r="AO157" s="288"/>
      <c r="AP157" s="288"/>
      <c r="AQ157" s="286"/>
      <c r="AR157" s="286"/>
      <c r="AS157" s="286"/>
      <c r="AT157" s="286"/>
    </row>
    <row r="158" spans="1:46" x14ac:dyDescent="0.2">
      <c r="AK158" s="275">
        <v>30.399999999999899</v>
      </c>
      <c r="AL158" s="276">
        <v>0.99552999999999903</v>
      </c>
      <c r="AM158" s="276">
        <v>0.99731999999999998</v>
      </c>
      <c r="AO158" s="288"/>
      <c r="AP158" s="288"/>
      <c r="AQ158" s="286"/>
      <c r="AR158" s="286"/>
      <c r="AS158" s="286"/>
      <c r="AT158" s="286"/>
    </row>
    <row r="159" spans="1:46" x14ac:dyDescent="0.2">
      <c r="AO159" s="275">
        <v>30.499999999999901</v>
      </c>
      <c r="AP159" s="276">
        <v>0.99549999999999905</v>
      </c>
      <c r="AQ159" s="276">
        <v>0.99729000000000001</v>
      </c>
    </row>
    <row r="160" spans="1:46" x14ac:dyDescent="0.2">
      <c r="AO160" s="275">
        <v>30.599999999999898</v>
      </c>
      <c r="AP160" s="276">
        <v>0.99546999999999897</v>
      </c>
      <c r="AQ160" s="276">
        <v>0.99726000000000004</v>
      </c>
    </row>
    <row r="161" spans="41:43" x14ac:dyDescent="0.2">
      <c r="AO161" s="275">
        <v>30.6999999999999</v>
      </c>
      <c r="AP161" s="276">
        <v>0.99543999999999899</v>
      </c>
      <c r="AQ161" s="276">
        <v>0.99722999999999995</v>
      </c>
    </row>
    <row r="162" spans="41:43" x14ac:dyDescent="0.2">
      <c r="AO162" s="275">
        <v>30.799999999999901</v>
      </c>
      <c r="AP162" s="276">
        <v>0.99540999999999902</v>
      </c>
      <c r="AQ162" s="276">
        <v>0.99719999999999998</v>
      </c>
    </row>
    <row r="163" spans="41:43" x14ac:dyDescent="0.2">
      <c r="AO163" s="275">
        <v>30.899999999999899</v>
      </c>
      <c r="AP163" s="276">
        <v>0.99537999999999904</v>
      </c>
      <c r="AQ163" s="276">
        <v>0.99716000000000005</v>
      </c>
    </row>
  </sheetData>
  <mergeCells count="1">
    <mergeCell ref="C6:E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9</vt:i4>
      </vt:variant>
    </vt:vector>
  </HeadingPairs>
  <TitlesOfParts>
    <vt:vector size="21" baseType="lpstr">
      <vt:lpstr>Resultados</vt:lpstr>
      <vt:lpstr>0.5 kg</vt:lpstr>
      <vt:lpstr>1,0 kg </vt:lpstr>
      <vt:lpstr>2,0 kg </vt:lpstr>
      <vt:lpstr>4,0 kg  </vt:lpstr>
      <vt:lpstr>8,0 kg</vt:lpstr>
      <vt:lpstr>16,0 kg</vt:lpstr>
      <vt:lpstr>32,0 kg</vt:lpstr>
      <vt:lpstr>Datos </vt:lpstr>
      <vt:lpstr>DATOS MAQUINA </vt:lpstr>
      <vt:lpstr>GS</vt:lpstr>
      <vt:lpstr>CONTROL DE CAMBIOS</vt:lpstr>
      <vt:lpstr>'0.5 kg'!Área_de_impresión</vt:lpstr>
      <vt:lpstr>'1,0 kg '!Área_de_impresión</vt:lpstr>
      <vt:lpstr>'16,0 kg'!Área_de_impresión</vt:lpstr>
      <vt:lpstr>'2,0 kg '!Área_de_impresión</vt:lpstr>
      <vt:lpstr>'32,0 kg'!Área_de_impresión</vt:lpstr>
      <vt:lpstr>'4,0 kg  '!Área_de_impresión</vt:lpstr>
      <vt:lpstr>'8,0 kg'!Área_de_impresión</vt:lpstr>
      <vt:lpstr>Resultados!Área_de_impresión</vt:lpstr>
      <vt:lpstr>Resultados!Títulos_a_imprimir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RICARDO POVEDA CH.</dc:creator>
  <cp:keywords/>
  <dc:description/>
  <cp:lastModifiedBy>GeoDelta Líneas</cp:lastModifiedBy>
  <cp:revision/>
  <cp:lastPrinted>2025-08-06T20:33:03Z</cp:lastPrinted>
  <dcterms:created xsi:type="dcterms:W3CDTF">2000-06-15T20:21:21Z</dcterms:created>
  <dcterms:modified xsi:type="dcterms:W3CDTF">2026-01-27T18:54:16Z</dcterms:modified>
  <cp:category/>
  <cp:contentStatus/>
</cp:coreProperties>
</file>