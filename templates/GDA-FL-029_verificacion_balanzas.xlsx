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eoDelta Jef Laborat\Dropbox\14. GEODELTA\001-CALIDAD\013 - VERIFICACION EQUIPOS LABORATORIO\"/>
    </mc:Choice>
  </mc:AlternateContent>
  <xr:revisionPtr revIDLastSave="0" documentId="13_ncr:1_{09312D38-B6D5-4C10-AC5D-7FB42D6ADFC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lanzas" sheetId="5" r:id="rId1"/>
    <sheet name="Control semanal" sheetId="6" r:id="rId2"/>
    <sheet name="CONTROL DE CAMBIOS" sheetId="7" r:id="rId3"/>
  </sheets>
  <definedNames>
    <definedName name="_xlnm.Print_Area" localSheetId="0">Balanzas!$A$1:$AV$58</definedName>
    <definedName name="_xlnm.Print_Area" localSheetId="1">'Control semanal'!$A$1:$H$64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6" i="5" l="1"/>
  <c r="AP9" i="5"/>
  <c r="Z9" i="5"/>
  <c r="Z8" i="5" l="1"/>
  <c r="J9" i="5"/>
  <c r="T15" i="5"/>
  <c r="T24" i="5"/>
  <c r="AD24" i="5" s="1"/>
  <c r="O50" i="5"/>
  <c r="O52" i="5" s="1"/>
  <c r="W31" i="5"/>
  <c r="AH31" i="5" s="1"/>
  <c r="T31" i="5"/>
  <c r="AD31" i="5" s="1"/>
  <c r="W30" i="5"/>
  <c r="AH30" i="5" s="1"/>
  <c r="T30" i="5"/>
  <c r="AD30" i="5" s="1"/>
  <c r="W29" i="5"/>
  <c r="AH29" i="5" s="1"/>
  <c r="T29" i="5"/>
  <c r="AD29" i="5" s="1"/>
  <c r="W28" i="5"/>
  <c r="AH28" i="5" s="1"/>
  <c r="T28" i="5"/>
  <c r="AD28" i="5" s="1"/>
  <c r="W27" i="5"/>
  <c r="AH27" i="5" s="1"/>
  <c r="T27" i="5"/>
  <c r="AD27" i="5" s="1"/>
  <c r="W26" i="5"/>
  <c r="AH26" i="5" s="1"/>
  <c r="T26" i="5"/>
  <c r="AD26" i="5" s="1"/>
  <c r="W25" i="5"/>
  <c r="AH25" i="5" s="1"/>
  <c r="T25" i="5"/>
  <c r="AD25" i="5" s="1"/>
  <c r="W24" i="5"/>
  <c r="AH24" i="5" s="1"/>
  <c r="AH19" i="5"/>
  <c r="AN19" i="5" s="1"/>
  <c r="N19" i="5"/>
  <c r="T19" i="5" s="1"/>
  <c r="AH18" i="5"/>
  <c r="AN18" i="5" s="1"/>
  <c r="N18" i="5"/>
  <c r="T18" i="5" s="1"/>
  <c r="AH17" i="5"/>
  <c r="AN17" i="5" s="1"/>
  <c r="N17" i="5"/>
  <c r="T17" i="5" s="1"/>
  <c r="AH16" i="5"/>
  <c r="AN16" i="5" s="1"/>
  <c r="N16" i="5"/>
  <c r="T16" i="5" s="1"/>
  <c r="AH15" i="5"/>
  <c r="AN15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GeoDelta Jef Laborat</author>
    <author>user</author>
  </authors>
  <commentList>
    <comment ref="J8" authorId="0" shapeId="0" xr:uid="{17D71FEC-74C4-4549-A8F4-A826D074F2B8}">
      <text>
        <r>
          <rPr>
            <b/>
            <sz val="9"/>
            <color indexed="81"/>
            <rFont val="Tahoma"/>
            <family val="2"/>
          </rPr>
          <t>GeoDelta Jef Laborat:</t>
        </r>
        <r>
          <rPr>
            <sz val="9"/>
            <color indexed="81"/>
            <rFont val="Tahoma"/>
            <family val="2"/>
          </rPr>
          <t xml:space="preserve">
seleccionar codigo de 
balanza</t>
        </r>
      </text>
    </comment>
    <comment ref="Q9" authorId="1" shapeId="0" xr:uid="{00000000-0006-0000-0000-000001000000}">
      <text>
        <r>
          <rPr>
            <sz val="11"/>
            <color theme="1"/>
            <rFont val="Calibri"/>
            <family val="2"/>
          </rPr>
          <t>Digito de verificación</t>
        </r>
      </text>
    </comment>
    <comment ref="Q13" authorId="1" shapeId="0" xr:uid="{00000000-0006-0000-0000-000002000000}">
      <text>
        <r>
          <rPr>
            <sz val="11"/>
            <color theme="1"/>
            <rFont val="Calibri"/>
            <family val="2"/>
          </rPr>
          <t>ERROR MAXIMO PERMITIDO</t>
        </r>
      </text>
    </comment>
    <comment ref="AK13" authorId="1" shapeId="0" xr:uid="{00000000-0006-0000-0000-000003000000}">
      <text>
        <r>
          <rPr>
            <sz val="11"/>
            <color theme="1"/>
            <rFont val="Calibri"/>
            <family val="2"/>
          </rPr>
          <t>ERROR MAXIMO PERMITIDO</t>
        </r>
      </text>
    </comment>
    <comment ref="Z22" authorId="1" shapeId="0" xr:uid="{00000000-0006-0000-0000-000004000000}">
      <text>
        <r>
          <rPr>
            <sz val="11"/>
            <color theme="1"/>
            <rFont val="Calibri"/>
            <family val="2"/>
          </rPr>
          <t>ERROR MAXIMO PERMITIDO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<sst xmlns="http://schemas.openxmlformats.org/spreadsheetml/2006/main" count="2046" uniqueCount="814">
  <si>
    <t xml:space="preserve">BITÁCORA PARA VERIFICACIÓN DE EQUIPOS </t>
  </si>
  <si>
    <t xml:space="preserve">Balanzas </t>
  </si>
  <si>
    <t>FECHA DE COMPROBACIÓN:</t>
  </si>
  <si>
    <t>FECHA DE PRÓXIMA COMPROBACIÓN:</t>
  </si>
  <si>
    <t>CÓDIGO INTERNO DEL EQUIPO</t>
  </si>
  <si>
    <t>NOMBRE DEL EQUIPO</t>
  </si>
  <si>
    <t>MARCA</t>
  </si>
  <si>
    <t xml:space="preserve">SERIE </t>
  </si>
  <si>
    <t xml:space="preserve">1. EXCENTRICIDAD </t>
  </si>
  <si>
    <t>Carga usada (g)</t>
  </si>
  <si>
    <t>PUNTO</t>
  </si>
  <si>
    <t>ERROR DE INDICACIÓN  (g)</t>
  </si>
  <si>
    <t xml:space="preserve"> ± EMP</t>
  </si>
  <si>
    <t xml:space="preserve">RESULTADO </t>
  </si>
  <si>
    <t>UBICACIÓN DE LAS MASAS</t>
  </si>
  <si>
    <t>CARGA (g)</t>
  </si>
  <si>
    <t>INDICACIÓN</t>
  </si>
  <si>
    <t>ERROR</t>
  </si>
  <si>
    <t xml:space="preserve">INSTRUMENTO PATRÓN PARA LA MEDICIÓN </t>
  </si>
  <si>
    <t xml:space="preserve">FECHA ULTIMA CALIBRACIÓN </t>
  </si>
  <si>
    <t xml:space="preserve">FECHA PRÓXIMA CALIBRACIÓN </t>
  </si>
  <si>
    <t xml:space="preserve">ALTURA DEL COLLAR SUMPLEMENTARIO </t>
  </si>
  <si>
    <t xml:space="preserve">No. CERTIFICADO DE CALIBRACIÓN </t>
  </si>
  <si>
    <t xml:space="preserve">OBSERVACIONES </t>
  </si>
  <si>
    <t>ELABORÓ</t>
  </si>
  <si>
    <t>REVISÓ</t>
  </si>
  <si>
    <t>NOMBRE</t>
  </si>
  <si>
    <t>FIRMA</t>
  </si>
  <si>
    <t>CARGO</t>
  </si>
  <si>
    <t xml:space="preserve">CARGO </t>
  </si>
  <si>
    <t>Resolución d (g)</t>
  </si>
  <si>
    <t>POSICIONES DE EXCENTRICIDAD</t>
  </si>
  <si>
    <t>2. REPETIBILIDAD</t>
  </si>
  <si>
    <t>INDICACIÓN (g)</t>
  </si>
  <si>
    <t>REPETICIÓN</t>
  </si>
  <si>
    <t>3. EXACTITUD</t>
  </si>
  <si>
    <t>RESULTADO</t>
  </si>
  <si>
    <t>Ascendente</t>
  </si>
  <si>
    <t>Descendente</t>
  </si>
  <si>
    <t>FRECUENCIA</t>
  </si>
  <si>
    <t>Cada semana, el primer día operativo (lunes; si no hay actividad, el primer día de trabajo), antes del uso. GDA-LABI-002.</t>
  </si>
  <si>
    <t>Semana prevista / fecha programada</t>
  </si>
  <si>
    <t>Completar en Control semanal. Guardar un registro por equipo y semana. No registrar verificaciones retroactivas.</t>
  </si>
  <si>
    <t>Criterios y masas</t>
  </si>
  <si>
    <t>Jefe de Laboratorio: definir cargas, EMP por punto y límite de repetibilidad antes de medir. Registrar sustento, incertidumbre y aprobación.</t>
  </si>
  <si>
    <t>Fuente y aprobación de criterios</t>
  </si>
  <si>
    <t>Rango de repetibilidad R (g)</t>
  </si>
  <si>
    <t>Límite aprobado de R (g)</t>
  </si>
  <si>
    <t>Resultado de repetibilidad</t>
  </si>
  <si>
    <t>Condiciones previas</t>
  </si>
  <si>
    <t>Registrar limpieza, nivelación, cero, estabilización y condición de patrones; temperatura/humedad cuando aplique:</t>
  </si>
  <si>
    <t>Datos técnicos del equipo</t>
  </si>
  <si>
    <t>Capacidad máxima (g): ____  División e (si aplica): ____  Clase (si aplica): ____  Certificado de balanza: ____</t>
  </si>
  <si>
    <t>Decisión y autorización</t>
  </si>
  <si>
    <t>PENDIENTE. Jefe de Laboratorio: registrar apto/no apto, nombre, firma y fecha. No liberar con datos o criterios pendientes.</t>
  </si>
  <si>
    <t>TNC y observaciones</t>
  </si>
  <si>
    <t>Si falla o se omite la verificación: detener uso, identificar fuera de servicio, evaluar impacto y relacionar GDA-FC-023 No.: ____</t>
  </si>
  <si>
    <t>Regla de decisión</t>
  </si>
  <si>
    <t>Error = indicación − masa de referencia. Aceptación simple: |error| ≤ EMP y R ≤ límite, solo con regla aprobada e incertidumbre evaluada.</t>
  </si>
  <si>
    <t>Puntos de exactitud aplicables</t>
  </si>
  <si>
    <t>Definir antes de medir los puntos que cubren el intervalo de uso. Marcar No aplica en los puntos excluidos y justificar; no omitir fallas.</t>
  </si>
  <si>
    <t>Programar todas las balanzas previstas para uso. Verificar el primer día operativo de cada semana antes de los ensayos.</t>
  </si>
  <si>
    <t>Sin actividad: justificar y registrar la verificación antes del siguiente uso. Retraso u omisión: tratar mediante GDA-FC-023.</t>
  </si>
  <si>
    <t>Semana del lunes</t>
  </si>
  <si>
    <t>Código de balanza</t>
  </si>
  <si>
    <t>Fecha programada</t>
  </si>
  <si>
    <t>Fecha realizada</t>
  </si>
  <si>
    <t>Operador</t>
  </si>
  <si>
    <t>Revisión / autorización</t>
  </si>
  <si>
    <t>Registro / ruta de evidencia</t>
  </si>
  <si>
    <t>Estado / TNC / justificación</t>
  </si>
  <si>
    <t>DATOS DEL ORIGINAL QUE DEBEN VALIDARSE CONTRA PLACA Y HOJA DE VIDA</t>
  </si>
  <si>
    <t>GDA-E-012: una tabla indica 30 kg y otra 3000 g. GDA-E-011 aparece solo en la tabla de límites; GDA-E-013 solo en el catálogo.</t>
  </si>
  <si>
    <t>No se transfieren automáticamente los EMP 0,015 g y 1,5 g del original: requieren sustento por equipo, carga, división e y regla aplicable.</t>
  </si>
  <si>
    <t>Referencia técnica: OIML R 76-1:2006, 3.5. https://www.oiml.org/en/files/pdf_r/r076-1-e06.pdf. No equiparar automáticamente resolución d con división e.</t>
  </si>
  <si>
    <t>Revisión propuesta: fórmulas con valor absoluto, límites inclusivos, datos incompletos pendientes y control de repetibilidad. Aprobación y vigencia: pendientes.</t>
  </si>
  <si>
    <t>CÓDIGO:GDA-FL-029</t>
  </si>
  <si>
    <t>PÁGINA: 1 DE 1</t>
  </si>
  <si>
    <t>VERSIÓN :01</t>
  </si>
  <si>
    <t>FECHA:16-09-2026</t>
  </si>
  <si>
    <t>CONTROL SEMANAL DE BALANZAS · GDA-FLC-029</t>
  </si>
  <si>
    <t>CONTROL DE CAMBIOS</t>
  </si>
  <si>
    <t>Versión No.</t>
  </si>
  <si>
    <t>Fecha del cambio</t>
  </si>
  <si>
    <t>Modificaciones</t>
  </si>
  <si>
    <t>Creación de documento</t>
  </si>
  <si>
    <t>00</t>
  </si>
  <si>
    <t>01</t>
  </si>
  <si>
    <t>Se incluye en el formato el control semanal de verficiación del equipo</t>
  </si>
  <si>
    <t>GDA-E-010</t>
  </si>
  <si>
    <t>GDA-E-000</t>
  </si>
  <si>
    <t>Tamiz de lavado N° 200</t>
  </si>
  <si>
    <t xml:space="preserve">GRANOTEST </t>
  </si>
  <si>
    <t>N/A</t>
  </si>
  <si>
    <t>GDA-E-001</t>
  </si>
  <si>
    <t>Corte Directo</t>
  </si>
  <si>
    <t>PINZUAR</t>
  </si>
  <si>
    <t>PS-1072</t>
  </si>
  <si>
    <t>GDA-E-002</t>
  </si>
  <si>
    <t>Maquina de Corte Directo 2</t>
  </si>
  <si>
    <t>PS-107-2</t>
  </si>
  <si>
    <t>GDA-E-003</t>
  </si>
  <si>
    <t>Consolidometro Brazo N°1</t>
  </si>
  <si>
    <t>PS3025</t>
  </si>
  <si>
    <t>013</t>
  </si>
  <si>
    <t>GDA-E-004</t>
  </si>
  <si>
    <t>Consolidometro Brazo N°2</t>
  </si>
  <si>
    <t>GDA-E-005</t>
  </si>
  <si>
    <t>Consolidometro Brazo N°3</t>
  </si>
  <si>
    <t>SO 40205</t>
  </si>
  <si>
    <t>GDA-E-006</t>
  </si>
  <si>
    <t>Consolidometro Brazo N°4</t>
  </si>
  <si>
    <t>GDA-E-007</t>
  </si>
  <si>
    <t xml:space="preserve">Horno + 3 laminas + 3 Parrillas </t>
  </si>
  <si>
    <t>PG-2002</t>
  </si>
  <si>
    <t>GDA-E-008</t>
  </si>
  <si>
    <t>Maquina Multiensayos</t>
  </si>
  <si>
    <t>PS-27</t>
  </si>
  <si>
    <t>GDA-E-009</t>
  </si>
  <si>
    <t xml:space="preserve">Baño Maria </t>
  </si>
  <si>
    <t>KRAUQUER</t>
  </si>
  <si>
    <t>PS 107-2</t>
  </si>
  <si>
    <t>Balanza Cap. 600g</t>
  </si>
  <si>
    <t>TRUMAX</t>
  </si>
  <si>
    <t>MIX-H</t>
  </si>
  <si>
    <t>GDA-E-011</t>
  </si>
  <si>
    <t>Balanza Cap. 3200 g Pionner</t>
  </si>
  <si>
    <t>OHAUS</t>
  </si>
  <si>
    <t>Px3202/E</t>
  </si>
  <si>
    <t>GDA-E-012</t>
  </si>
  <si>
    <t>Balanza Cap. 30 Kg</t>
  </si>
  <si>
    <t>FENIX</t>
  </si>
  <si>
    <t>GDA-E-013</t>
  </si>
  <si>
    <t>Balanza Cap. 3000 g</t>
  </si>
  <si>
    <t>TS</t>
  </si>
  <si>
    <t>T200</t>
  </si>
  <si>
    <t>GDA-E-014</t>
  </si>
  <si>
    <t>Maquina de Compresion Manual</t>
  </si>
  <si>
    <t>PSD-10</t>
  </si>
  <si>
    <t>GDA-E-015</t>
  </si>
  <si>
    <t>Estufa 2 Puestos Electrica</t>
  </si>
  <si>
    <t>HACEB</t>
  </si>
  <si>
    <t>GDA-E-016</t>
  </si>
  <si>
    <t>Celda Maquina Multiensayos 5 Kn</t>
  </si>
  <si>
    <t>TSC5KN</t>
  </si>
  <si>
    <t>j190716105</t>
  </si>
  <si>
    <t>GDA-E-017</t>
  </si>
  <si>
    <t>Celda Maquina Multiensayos 50 Kn</t>
  </si>
  <si>
    <t>TSC50KN</t>
  </si>
  <si>
    <t>j201202103</t>
  </si>
  <si>
    <t>GDA-E-018</t>
  </si>
  <si>
    <t>Piston Maquina Multiensayos para CBR</t>
  </si>
  <si>
    <t>GDA-E-019</t>
  </si>
  <si>
    <t>Piston Maquina Multiensayos para Compresion Inconfinada</t>
  </si>
  <si>
    <t>GDA-E-020</t>
  </si>
  <si>
    <t xml:space="preserve">Acople Marshall para Maquina Multiensayos </t>
  </si>
  <si>
    <t>GDA-E-021</t>
  </si>
  <si>
    <t xml:space="preserve">Acople Carga Puntal para Maquina Multiensayos </t>
  </si>
  <si>
    <t>GDA-E-022</t>
  </si>
  <si>
    <t>Celda Maquina De C.I Manual 0,5 t</t>
  </si>
  <si>
    <t>0,5 t</t>
  </si>
  <si>
    <t>j180911402</t>
  </si>
  <si>
    <t>GDA-E-023</t>
  </si>
  <si>
    <t xml:space="preserve">Piston Maquina C.I Manual </t>
  </si>
  <si>
    <t>GDA-E-024</t>
  </si>
  <si>
    <t>Lector de Cargas Maquina C.I Manual</t>
  </si>
  <si>
    <t>GDA-E-025</t>
  </si>
  <si>
    <t>Deformimetro Maquina C.I Manual</t>
  </si>
  <si>
    <t>5B01925</t>
  </si>
  <si>
    <t>GDA-E-026</t>
  </si>
  <si>
    <t>Monitor de Multiensayos</t>
  </si>
  <si>
    <t>GDA-E-027</t>
  </si>
  <si>
    <t>Pignometro de 500 ml</t>
  </si>
  <si>
    <t>GDA-E-028</t>
  </si>
  <si>
    <t>GDA-E-029</t>
  </si>
  <si>
    <t>Pignometro de 250 ml</t>
  </si>
  <si>
    <t>BRIXCOL</t>
  </si>
  <si>
    <t>GDA-E-030</t>
  </si>
  <si>
    <t>Tamiz 3"</t>
  </si>
  <si>
    <t>GDA-E-031</t>
  </si>
  <si>
    <t>Tamiz 2 1/2"</t>
  </si>
  <si>
    <t>GDA-E-032</t>
  </si>
  <si>
    <t>Tamiz 2"</t>
  </si>
  <si>
    <t>GDA-E-033</t>
  </si>
  <si>
    <t>Tamiz 1 1/2"</t>
  </si>
  <si>
    <t>GDA-E-034</t>
  </si>
  <si>
    <t>Tamiz 1"</t>
  </si>
  <si>
    <t>GDA-E-035</t>
  </si>
  <si>
    <t>Tamiz 3/4"</t>
  </si>
  <si>
    <t>GDA-E-036</t>
  </si>
  <si>
    <t>Tamiz 1/2"</t>
  </si>
  <si>
    <t>GDA-E-037</t>
  </si>
  <si>
    <t>Tamiz 3/8"</t>
  </si>
  <si>
    <t>GDA-E-038</t>
  </si>
  <si>
    <t>Tamiz #4</t>
  </si>
  <si>
    <t>GDA-E-039</t>
  </si>
  <si>
    <t>Tamiz #10</t>
  </si>
  <si>
    <t>GDA-E-040</t>
  </si>
  <si>
    <t>Tamiz #20</t>
  </si>
  <si>
    <t>GDA-E-041</t>
  </si>
  <si>
    <t>Tamiz #40</t>
  </si>
  <si>
    <t>GDA-E-042</t>
  </si>
  <si>
    <t>Tamiz #60</t>
  </si>
  <si>
    <t>GDA-E-043</t>
  </si>
  <si>
    <t>Tamiz #100</t>
  </si>
  <si>
    <t>GDA-E-044</t>
  </si>
  <si>
    <t>Tamiz #200</t>
  </si>
  <si>
    <t>GDA-E-045</t>
  </si>
  <si>
    <t>Fondo para Tamices</t>
  </si>
  <si>
    <t>GDA-E-046</t>
  </si>
  <si>
    <t>Tamiz 5/8"</t>
  </si>
  <si>
    <t>GDA-E-047</t>
  </si>
  <si>
    <t>Tamiz 5/16"</t>
  </si>
  <si>
    <t>GDA-E-048</t>
  </si>
  <si>
    <t>Tamiz 1/4"</t>
  </si>
  <si>
    <t>GDA-E-049</t>
  </si>
  <si>
    <t>Tamiz N°4</t>
  </si>
  <si>
    <t>GDA-E-050</t>
  </si>
  <si>
    <t>Tamiz N°5</t>
  </si>
  <si>
    <t>GDA-E-051</t>
  </si>
  <si>
    <t>Tamiz N°8</t>
  </si>
  <si>
    <t>GDA-E-052</t>
  </si>
  <si>
    <t>Tamiz N°16</t>
  </si>
  <si>
    <t>GDA-E-053</t>
  </si>
  <si>
    <t>Tamiz N°30</t>
  </si>
  <si>
    <t>GDA-E-054</t>
  </si>
  <si>
    <t>Tamiz N°40</t>
  </si>
  <si>
    <t>GDA-E-055</t>
  </si>
  <si>
    <t>Tamiz N°50</t>
  </si>
  <si>
    <t>GDA-E-056</t>
  </si>
  <si>
    <t>Tamiz N°80</t>
  </si>
  <si>
    <t>GDA-E-057</t>
  </si>
  <si>
    <t>Tamiz N°10</t>
  </si>
  <si>
    <t>GDA-E-058</t>
  </si>
  <si>
    <t>Canasta para Ensayo Peso Especifico de Gruesos</t>
  </si>
  <si>
    <t>GDA-E-059</t>
  </si>
  <si>
    <t>Brazo Magnetico para Deformimetro</t>
  </si>
  <si>
    <t>GDA-E-060</t>
  </si>
  <si>
    <t>Cazuela Casagrande</t>
  </si>
  <si>
    <t>S020604</t>
  </si>
  <si>
    <t>GDA-E-061</t>
  </si>
  <si>
    <t>PS-11</t>
  </si>
  <si>
    <t>GDA-E-062</t>
  </si>
  <si>
    <t>GDA-E-063</t>
  </si>
  <si>
    <t>Defomimetro Compresion Inconfinada Manual</t>
  </si>
  <si>
    <t>Baker</t>
  </si>
  <si>
    <t>TYPEK50</t>
  </si>
  <si>
    <t>GDA-E-064</t>
  </si>
  <si>
    <t>Cono y Maso de Arena SSS</t>
  </si>
  <si>
    <t>GDA-E-065</t>
  </si>
  <si>
    <t>Deformimetro Maq. Multiensayos de 0,01 A 24,5 mm</t>
  </si>
  <si>
    <t>MITUTOYO</t>
  </si>
  <si>
    <t>ID-U1025M</t>
  </si>
  <si>
    <t>GDA-E-066</t>
  </si>
  <si>
    <t>Deformimetro CBR</t>
  </si>
  <si>
    <t>ID-U1025E</t>
  </si>
  <si>
    <t>GDA-E-067</t>
  </si>
  <si>
    <t>Tripode Para Deformimetro de CBR</t>
  </si>
  <si>
    <t>GDA-E-068</t>
  </si>
  <si>
    <t xml:space="preserve">Deformimetro Corte 1 de 0,001 A 12,7 mm </t>
  </si>
  <si>
    <t>ID-S112PEX</t>
  </si>
  <si>
    <t>GDA-E-069</t>
  </si>
  <si>
    <t xml:space="preserve">Deformimetro Corte 2 de 0,001 A 12,7 mm </t>
  </si>
  <si>
    <t>ID-S112MX</t>
  </si>
  <si>
    <t>GDA-E-070</t>
  </si>
  <si>
    <t>Deformimetro Consolidacion N° 1</t>
  </si>
  <si>
    <t>IDS-112EXB</t>
  </si>
  <si>
    <t>GDA-E-071</t>
  </si>
  <si>
    <t>Deformimetro Consolidacion N° 2</t>
  </si>
  <si>
    <t>GDA-E-072</t>
  </si>
  <si>
    <t>Deformimetro Consolidometro  N°3</t>
  </si>
  <si>
    <t>GDA-E-073</t>
  </si>
  <si>
    <t>Deformimetro Consolidometro  N°4</t>
  </si>
  <si>
    <t>GDA-E-074</t>
  </si>
  <si>
    <t>Multiplexor de Consolidacion</t>
  </si>
  <si>
    <t xml:space="preserve">PS73M </t>
  </si>
  <si>
    <t>GDA-E-075</t>
  </si>
  <si>
    <t>Estabilizador Consolidacion</t>
  </si>
  <si>
    <t>UMET</t>
  </si>
  <si>
    <t>GDA-E-076</t>
  </si>
  <si>
    <t>Monitor de Consolidacion</t>
  </si>
  <si>
    <t>GDA-E-077</t>
  </si>
  <si>
    <t>Monitor Corte Directo N° 1</t>
  </si>
  <si>
    <t>SR-SRC9721</t>
  </si>
  <si>
    <t>GDA-E-078</t>
  </si>
  <si>
    <t>Monitor Maquina Corte Directo 2</t>
  </si>
  <si>
    <t>GDA-E-079</t>
  </si>
  <si>
    <t>Espatulas</t>
  </si>
  <si>
    <t>GDA-E-080</t>
  </si>
  <si>
    <t>Hidrometro</t>
  </si>
  <si>
    <t>GDA-E-081</t>
  </si>
  <si>
    <t xml:space="preserve">Vidrio Esmerilado </t>
  </si>
  <si>
    <t>GDA-E-082</t>
  </si>
  <si>
    <t>GDA-E-083</t>
  </si>
  <si>
    <t>GDA-E-084</t>
  </si>
  <si>
    <t>Probeta Plastica de 1000 ml</t>
  </si>
  <si>
    <t>GDA-E-085</t>
  </si>
  <si>
    <t>GDA-E-086</t>
  </si>
  <si>
    <t>Probeta Vidrio de 1000 ml</t>
  </si>
  <si>
    <t>GDA-E-087</t>
  </si>
  <si>
    <t>GDA-E-088</t>
  </si>
  <si>
    <t>Probeta Vidrio de 100 ml</t>
  </si>
  <si>
    <t>GDA-E-089</t>
  </si>
  <si>
    <t>GDA-E-090</t>
  </si>
  <si>
    <t>Probeta Plastica de 500 ml</t>
  </si>
  <si>
    <t>GDA-E-091</t>
  </si>
  <si>
    <t>GDA-E-092</t>
  </si>
  <si>
    <t>Probeta Plastica de 100 ml</t>
  </si>
  <si>
    <t>GDA-E-093</t>
  </si>
  <si>
    <t>GDA-E-094</t>
  </si>
  <si>
    <t>GDA-E-095</t>
  </si>
  <si>
    <t>GDA-E-096</t>
  </si>
  <si>
    <t>Probeta Plastica de 25 ml</t>
  </si>
  <si>
    <t>GDA-E-097</t>
  </si>
  <si>
    <t>GDA-E-098</t>
  </si>
  <si>
    <t>GDA-E-099</t>
  </si>
  <si>
    <t>GDA-E-100</t>
  </si>
  <si>
    <t>Termohigrómetro Fondo</t>
  </si>
  <si>
    <t>TEMPERATURE</t>
  </si>
  <si>
    <t>GDA-E-101</t>
  </si>
  <si>
    <t>Termohigrómetro Entrada</t>
  </si>
  <si>
    <t>GDA-E-102</t>
  </si>
  <si>
    <t>Vaso De Precipitado de Plastico</t>
  </si>
  <si>
    <t>GDA-E-103</t>
  </si>
  <si>
    <t>Vaso De Precipitado de Vidrio</t>
  </si>
  <si>
    <t>GDA-E-104</t>
  </si>
  <si>
    <t>Molde de Proctor</t>
  </si>
  <si>
    <t>GDA-E-105</t>
  </si>
  <si>
    <t>Mortero de Porcelana + Maso</t>
  </si>
  <si>
    <t>GDA-E-106</t>
  </si>
  <si>
    <t>GDA-E-107</t>
  </si>
  <si>
    <t>GDA-E-108</t>
  </si>
  <si>
    <t>Mortero de Aluminio + Maso</t>
  </si>
  <si>
    <t>GDA-E-109</t>
  </si>
  <si>
    <t>GDA-E-110</t>
  </si>
  <si>
    <t>Pie de Rey</t>
  </si>
  <si>
    <t>VERNIER CALIPER</t>
  </si>
  <si>
    <t>GDA-E-111</t>
  </si>
  <si>
    <t>Martillo de Compactacion de 10 lb</t>
  </si>
  <si>
    <t>ROSEMBERG</t>
  </si>
  <si>
    <t>GDA-E-112</t>
  </si>
  <si>
    <t>Recipientes de Limites con Tapa</t>
  </si>
  <si>
    <t>GDA-E-113</t>
  </si>
  <si>
    <t>GDA-E-114</t>
  </si>
  <si>
    <t>GDA-E-115</t>
  </si>
  <si>
    <t>GDA-E-116</t>
  </si>
  <si>
    <t>GDA-E-117</t>
  </si>
  <si>
    <t>GDA-E-118</t>
  </si>
  <si>
    <t>GDA-E-119</t>
  </si>
  <si>
    <t>GDA-E-120</t>
  </si>
  <si>
    <t>GDA-E-121</t>
  </si>
  <si>
    <t>GDA-E-122</t>
  </si>
  <si>
    <t>GDA-E-123</t>
  </si>
  <si>
    <t>Pistola de Calor</t>
  </si>
  <si>
    <t>McCARTHY</t>
  </si>
  <si>
    <t>GDA-E-124</t>
  </si>
  <si>
    <t>Extractor de Shellby + 4 Pistones</t>
  </si>
  <si>
    <t>GDA-E-125</t>
  </si>
  <si>
    <t xml:space="preserve">Deformimetro Corte </t>
  </si>
  <si>
    <t>ID-S102EXB</t>
  </si>
  <si>
    <t>GDA-E-126</t>
  </si>
  <si>
    <t>Termometro Digital</t>
  </si>
  <si>
    <t>GDA-E-127</t>
  </si>
  <si>
    <t>Penetrometro de Bolsillo</t>
  </si>
  <si>
    <t>SIA0125</t>
  </si>
  <si>
    <t>GDA-E-128</t>
  </si>
  <si>
    <t>Caja de Herramientas</t>
  </si>
  <si>
    <t>GDA-E-129</t>
  </si>
  <si>
    <t>Geofono de Equipo Linea Sismica</t>
  </si>
  <si>
    <t>GDA-E-130</t>
  </si>
  <si>
    <t>GDA-E-131</t>
  </si>
  <si>
    <t>GDA-E-132</t>
  </si>
  <si>
    <t>GDA-E-133</t>
  </si>
  <si>
    <t>GDA-E-134</t>
  </si>
  <si>
    <t>GDA-E-135</t>
  </si>
  <si>
    <t>GDA-E-136</t>
  </si>
  <si>
    <t>GDA-E-137</t>
  </si>
  <si>
    <t>GDA-E-138</t>
  </si>
  <si>
    <t>GDA-E-139</t>
  </si>
  <si>
    <t>GDA-E-140</t>
  </si>
  <si>
    <t>GDA-E-141</t>
  </si>
  <si>
    <t>GDA-E-142</t>
  </si>
  <si>
    <t>GDA-E-143</t>
  </si>
  <si>
    <t>GDA-E-144</t>
  </si>
  <si>
    <t>GDA-E-145</t>
  </si>
  <si>
    <t>Tigger de Equipo Linea Sismica</t>
  </si>
  <si>
    <t>GDA-E-146</t>
  </si>
  <si>
    <t>Linea Sismica</t>
  </si>
  <si>
    <t>GDA-E-147</t>
  </si>
  <si>
    <t>GDA-E-148</t>
  </si>
  <si>
    <t>Radio Telefono + Cargador</t>
  </si>
  <si>
    <t>GDA-E-149</t>
  </si>
  <si>
    <t>GDA-E-150</t>
  </si>
  <si>
    <t>Consola para Equipo Linea Sismica</t>
  </si>
  <si>
    <t>GDA-E-151</t>
  </si>
  <si>
    <t>Cable de Consola a Computador Equipo Linea Sismica</t>
  </si>
  <si>
    <t>GDA-E-152</t>
  </si>
  <si>
    <t>Bateria 12v</t>
  </si>
  <si>
    <t xml:space="preserve">NETION </t>
  </si>
  <si>
    <t>GDA-E-153</t>
  </si>
  <si>
    <t>GDA-E-154</t>
  </si>
  <si>
    <t xml:space="preserve">MAGNA </t>
  </si>
  <si>
    <t>GDA-E-155</t>
  </si>
  <si>
    <t xml:space="preserve">Multitomas </t>
  </si>
  <si>
    <t>GDA-E-156</t>
  </si>
  <si>
    <t>Cargador Baterias De 12V</t>
  </si>
  <si>
    <t xml:space="preserve">Tronix </t>
  </si>
  <si>
    <t>IRP-1204S</t>
  </si>
  <si>
    <t>GDA-E-157</t>
  </si>
  <si>
    <t>Computador Portatil de Lineas + Cargador</t>
  </si>
  <si>
    <t>HP</t>
  </si>
  <si>
    <t>14-CF25141a</t>
  </si>
  <si>
    <t>5C6142CFPH</t>
  </si>
  <si>
    <t>GDA-E-158</t>
  </si>
  <si>
    <t>Computador Portatil + Cargador</t>
  </si>
  <si>
    <t>ACER</t>
  </si>
  <si>
    <t>ZRI</t>
  </si>
  <si>
    <t>GDA-E-159</t>
  </si>
  <si>
    <t>Computador Portatil</t>
  </si>
  <si>
    <t>SPLIT X2</t>
  </si>
  <si>
    <t>GDA-E-160</t>
  </si>
  <si>
    <t>Computador Portatil Oficina (Base+Teclado+Mouse+Cargador)</t>
  </si>
  <si>
    <t>14CF25161A</t>
  </si>
  <si>
    <t>5C62163DLR</t>
  </si>
  <si>
    <t>GDA-E-161</t>
  </si>
  <si>
    <t>Computador Laboratorio (Pantalla+Teclado+Mouse)</t>
  </si>
  <si>
    <t>D17W3</t>
  </si>
  <si>
    <t>GDA-E-162</t>
  </si>
  <si>
    <t>UPS</t>
  </si>
  <si>
    <t>EA903II</t>
  </si>
  <si>
    <t>GDA-E-163</t>
  </si>
  <si>
    <t>Mesones Metalicos Laboratorio</t>
  </si>
  <si>
    <t>GDA-E-164</t>
  </si>
  <si>
    <t>GDA-E-165</t>
  </si>
  <si>
    <t>GDA-E-166</t>
  </si>
  <si>
    <t>GDA-E-167</t>
  </si>
  <si>
    <t>GDA-E-168</t>
  </si>
  <si>
    <t>GDA-E-169</t>
  </si>
  <si>
    <t>GDA-E-170</t>
  </si>
  <si>
    <t>GDA-E-171</t>
  </si>
  <si>
    <t>Escritorios Oficina Y Laboratorio</t>
  </si>
  <si>
    <t>GDA-E-172</t>
  </si>
  <si>
    <t>GDA-E-173</t>
  </si>
  <si>
    <t>GDA-E-174</t>
  </si>
  <si>
    <t>GDA-E-175</t>
  </si>
  <si>
    <t>Mesa de Madera Cocina</t>
  </si>
  <si>
    <t>GDA-E-176</t>
  </si>
  <si>
    <t>GDA-E-179</t>
  </si>
  <si>
    <t>Sillas de Oficina</t>
  </si>
  <si>
    <t>GDA-E-180</t>
  </si>
  <si>
    <t>GDA-E-181</t>
  </si>
  <si>
    <t>GDA-E-182</t>
  </si>
  <si>
    <t>GDA-E-183</t>
  </si>
  <si>
    <t>GDA-E-184</t>
  </si>
  <si>
    <t>GDA-E-185</t>
  </si>
  <si>
    <t>GDA-E-186</t>
  </si>
  <si>
    <t>Impresora Laser Oficina</t>
  </si>
  <si>
    <t>SAMSUNG</t>
  </si>
  <si>
    <t>SCX-3405W</t>
  </si>
  <si>
    <t>GDA-E-187</t>
  </si>
  <si>
    <t>Impresora a Color Oficina</t>
  </si>
  <si>
    <t>CANON</t>
  </si>
  <si>
    <t>G2100</t>
  </si>
  <si>
    <t>GDA-E-188</t>
  </si>
  <si>
    <t>Televisor + Base</t>
  </si>
  <si>
    <t>SONY</t>
  </si>
  <si>
    <t>KDL-40EXS27</t>
  </si>
  <si>
    <t>GDA-E-189</t>
  </si>
  <si>
    <t>Archivador Metalico 4 Puestos con llaves</t>
  </si>
  <si>
    <t>GDA-E-190</t>
  </si>
  <si>
    <t xml:space="preserve">Mesa Archivador De Madera </t>
  </si>
  <si>
    <t>GDA-E-191</t>
  </si>
  <si>
    <t>Mesa Cajonera laboratorio</t>
  </si>
  <si>
    <t>GDA-E-192</t>
  </si>
  <si>
    <t>Perchero</t>
  </si>
  <si>
    <t>GDA-E-193</t>
  </si>
  <si>
    <t xml:space="preserve">Tablero </t>
  </si>
  <si>
    <t>GDA-E-194</t>
  </si>
  <si>
    <t>GDA-E-195</t>
  </si>
  <si>
    <t>GDA-E-196</t>
  </si>
  <si>
    <t>Tronzadora</t>
  </si>
  <si>
    <t>Wsatools</t>
  </si>
  <si>
    <t>CM355</t>
  </si>
  <si>
    <t>GDA-E-197</t>
  </si>
  <si>
    <t>Piscina Plastica de CBR</t>
  </si>
  <si>
    <t>GDA-E-198</t>
  </si>
  <si>
    <t>GDA-E-199</t>
  </si>
  <si>
    <t>Taladro Recargable + 2 Pilas + Cargador</t>
  </si>
  <si>
    <t>DeWaltt</t>
  </si>
  <si>
    <t>DCD 776</t>
  </si>
  <si>
    <t>GDA-E-200</t>
  </si>
  <si>
    <t>Taladro Electrico</t>
  </si>
  <si>
    <t>Black+Decker</t>
  </si>
  <si>
    <t>HD500-B3</t>
  </si>
  <si>
    <t>GDA-E-201</t>
  </si>
  <si>
    <t>Falso Fondo CBR</t>
  </si>
  <si>
    <t>GDA-E-202</t>
  </si>
  <si>
    <t>GDA-E-203</t>
  </si>
  <si>
    <t>Cronometro</t>
  </si>
  <si>
    <t xml:space="preserve">Sport Timer </t>
  </si>
  <si>
    <t>Ts 1809</t>
  </si>
  <si>
    <t>GDA-E-204</t>
  </si>
  <si>
    <t>GDA-E-205</t>
  </si>
  <si>
    <t>Cavas de Icopor</t>
  </si>
  <si>
    <t>GDA-E-206</t>
  </si>
  <si>
    <t>GDA-E-207</t>
  </si>
  <si>
    <t>Recipientes de Limites Aluminio</t>
  </si>
  <si>
    <t>GDA-E-208</t>
  </si>
  <si>
    <t>Cuchara Para Concreto</t>
  </si>
  <si>
    <t>GDA-E-209</t>
  </si>
  <si>
    <t>GDA-E-210</t>
  </si>
  <si>
    <t>Porra de Caucho</t>
  </si>
  <si>
    <t>GDA-E-211</t>
  </si>
  <si>
    <t>Macheta</t>
  </si>
  <si>
    <t>GDA-E-212</t>
  </si>
  <si>
    <t>Brocha</t>
  </si>
  <si>
    <t>GDA-E-213</t>
  </si>
  <si>
    <t>GDA-E-214</t>
  </si>
  <si>
    <t>Cepillo de zerda metalica o Grata</t>
  </si>
  <si>
    <t>GDA-E-215</t>
  </si>
  <si>
    <t>GDA-E-216</t>
  </si>
  <si>
    <t>GDA-E-217</t>
  </si>
  <si>
    <t>Estante Metalico Laboratorio</t>
  </si>
  <si>
    <t>GDA-E-218</t>
  </si>
  <si>
    <t>GDA-E-219</t>
  </si>
  <si>
    <t>GDA-E-220</t>
  </si>
  <si>
    <t>GDA-E-221</t>
  </si>
  <si>
    <t>GDA-E-222</t>
  </si>
  <si>
    <t>GDA-E-223</t>
  </si>
  <si>
    <t>GDA-E-224</t>
  </si>
  <si>
    <t>Juego de Pesas Corte 1</t>
  </si>
  <si>
    <t>GDA-E-225</t>
  </si>
  <si>
    <t>Juego de Pesas Corte 2</t>
  </si>
  <si>
    <t>GDA-E-226</t>
  </si>
  <si>
    <t>Camara de Corte 1 + Pesas + Piedras Porosas</t>
  </si>
  <si>
    <t>GDA-E-227</t>
  </si>
  <si>
    <t>Camara de Corte 2 + Pesas + Piedras Porosas</t>
  </si>
  <si>
    <t>GDA-E-228</t>
  </si>
  <si>
    <t>Camara de Consolidometro 1 + Pesas + Piedras Porosas</t>
  </si>
  <si>
    <t>GDA-E-229</t>
  </si>
  <si>
    <t>Camara de Consolidometro 2 + Pesas + Piedras Porosas</t>
  </si>
  <si>
    <t>GDA-E-230</t>
  </si>
  <si>
    <t>Camara de Consolidometro 3 + Pesas + Piedras Porosas</t>
  </si>
  <si>
    <t>GDA-E-231</t>
  </si>
  <si>
    <t>Camara de Consolidometro 4 + Pesas + Piedras Porosas</t>
  </si>
  <si>
    <t>GDA-E-232</t>
  </si>
  <si>
    <t>Juego de Pesas Consolidometro 1</t>
  </si>
  <si>
    <t>GDA-E-233</t>
  </si>
  <si>
    <t>Juego de Pesas Consolidometro 2</t>
  </si>
  <si>
    <t>GDA-E-234</t>
  </si>
  <si>
    <t>Juego de Pesas Consolidometro 3</t>
  </si>
  <si>
    <t>GDA-E-235</t>
  </si>
  <si>
    <t>Juego de Pesas Consolidometro 4</t>
  </si>
  <si>
    <t>GDA-E-236</t>
  </si>
  <si>
    <t>Canastillas Plasticas</t>
  </si>
  <si>
    <t>GDA-E-237</t>
  </si>
  <si>
    <t>Recipientes Metalicos</t>
  </si>
  <si>
    <t>GDA-E-238</t>
  </si>
  <si>
    <t>Camara de Corte Cuadrada + Pesas + Piedras Porosas</t>
  </si>
  <si>
    <t>GDA-E-239</t>
  </si>
  <si>
    <t>Platones en Aluminio N° 40</t>
  </si>
  <si>
    <t>GDA-E-240</t>
  </si>
  <si>
    <t>Platones en Aluminio N° 50</t>
  </si>
  <si>
    <t>GDA-E-241</t>
  </si>
  <si>
    <t>Platina De Lineas</t>
  </si>
  <si>
    <t>GDA-E-242</t>
  </si>
  <si>
    <t>Porra de Lineas</t>
  </si>
  <si>
    <t>GDA-E-243</t>
  </si>
  <si>
    <t>Ventilador</t>
  </si>
  <si>
    <t>Universal</t>
  </si>
  <si>
    <t>GDA-E-244</t>
  </si>
  <si>
    <t>Loker Metalico 4 Puestos</t>
  </si>
  <si>
    <t>GDA-E-245</t>
  </si>
  <si>
    <t>Punto Ecologico O Juego de Canecas Basura</t>
  </si>
  <si>
    <t>GDA-E-246</t>
  </si>
  <si>
    <t>Extintor Multiproposito 10 Lbs (Amarillo)</t>
  </si>
  <si>
    <t>GDA-E-247</t>
  </si>
  <si>
    <t>Extintor Dioxido de Carbono 2,3Kg (Rojo)</t>
  </si>
  <si>
    <t>GDA-E-248</t>
  </si>
  <si>
    <t>Botiquin Primeros Auxilios</t>
  </si>
  <si>
    <t>GDA-E-249</t>
  </si>
  <si>
    <t>Camilla Primeros Auxilios</t>
  </si>
  <si>
    <t>GDA-E-250</t>
  </si>
  <si>
    <t>Tablero de Corcho</t>
  </si>
  <si>
    <t>GDA-E-251</t>
  </si>
  <si>
    <t>Cafetera Elecctrica</t>
  </si>
  <si>
    <t>OSTER</t>
  </si>
  <si>
    <t>BVSTDCDW12B</t>
  </si>
  <si>
    <t>GDA-E-252</t>
  </si>
  <si>
    <t>Horno Microondas</t>
  </si>
  <si>
    <t>KALLEY</t>
  </si>
  <si>
    <t>K-MW07N</t>
  </si>
  <si>
    <t>GDA-E-253</t>
  </si>
  <si>
    <t>Sillas recogibles Madera</t>
  </si>
  <si>
    <t>GDA-E-254</t>
  </si>
  <si>
    <t>Sillas Recogibles Plasticas</t>
  </si>
  <si>
    <t>GDA-E-255</t>
  </si>
  <si>
    <t>Cajonera Metalica 3 puestos con Llave</t>
  </si>
  <si>
    <t>GDA-E-256</t>
  </si>
  <si>
    <t>Estante Plastico Negro Laboratorio</t>
  </si>
  <si>
    <t>GDA-E-257</t>
  </si>
  <si>
    <t>Sonda Extensiometrica</t>
  </si>
  <si>
    <t>GDA-E-258</t>
  </si>
  <si>
    <t>Sonda Pieziometrica</t>
  </si>
  <si>
    <t>GDA-E-259</t>
  </si>
  <si>
    <t>Molde de CBR</t>
  </si>
  <si>
    <t>GDA-E-260</t>
  </si>
  <si>
    <t>GDA-E-261</t>
  </si>
  <si>
    <t>GDA-E-262</t>
  </si>
  <si>
    <t>GDA-E-263</t>
  </si>
  <si>
    <t>GDA-E-264</t>
  </si>
  <si>
    <t>GDA-E-265</t>
  </si>
  <si>
    <t>GDA-E-266</t>
  </si>
  <si>
    <t>GDA-E-267</t>
  </si>
  <si>
    <t>GDA-E-268</t>
  </si>
  <si>
    <t>GDA-E-269</t>
  </si>
  <si>
    <t>GDA-E-270</t>
  </si>
  <si>
    <t>GDA-E-271</t>
  </si>
  <si>
    <t>GDA-E-272</t>
  </si>
  <si>
    <t>GDA-E-273</t>
  </si>
  <si>
    <t>GDA-E-274</t>
  </si>
  <si>
    <t>GDA-E-275</t>
  </si>
  <si>
    <t>GDA-E-276</t>
  </si>
  <si>
    <t>GDA-E-277</t>
  </si>
  <si>
    <t>GDA-E-278</t>
  </si>
  <si>
    <t>GDA-E-279</t>
  </si>
  <si>
    <t>GDA-E-280</t>
  </si>
  <si>
    <t>GDA-E-281</t>
  </si>
  <si>
    <t>GDA-E-282</t>
  </si>
  <si>
    <t>GDA-E-283</t>
  </si>
  <si>
    <t>GDA-E-284</t>
  </si>
  <si>
    <t>GDA-E-285</t>
  </si>
  <si>
    <t>GDA-E-286</t>
  </si>
  <si>
    <t>GDA-E-287</t>
  </si>
  <si>
    <t>GDA-E-288</t>
  </si>
  <si>
    <t>GDA-E-289</t>
  </si>
  <si>
    <t>GDA-E-290</t>
  </si>
  <si>
    <t>GDA-E-291</t>
  </si>
  <si>
    <t>GDA-E-292</t>
  </si>
  <si>
    <t>GDA-E-293</t>
  </si>
  <si>
    <t>GDA-E-294</t>
  </si>
  <si>
    <t>GDA-E-295</t>
  </si>
  <si>
    <t>GDA-E-296</t>
  </si>
  <si>
    <t>GDA-E-297</t>
  </si>
  <si>
    <t>GDA-E-298</t>
  </si>
  <si>
    <t>GDA-E-299</t>
  </si>
  <si>
    <t>GDA-E-300</t>
  </si>
  <si>
    <t>GDA-E-301</t>
  </si>
  <si>
    <t>GDA-E-302</t>
  </si>
  <si>
    <t>GDA-E-303</t>
  </si>
  <si>
    <t>GDA-E-304</t>
  </si>
  <si>
    <t>GDA-E-305</t>
  </si>
  <si>
    <t>GDA-E-306</t>
  </si>
  <si>
    <t>Vastago para CBR</t>
  </si>
  <si>
    <t>GDA-E-307</t>
  </si>
  <si>
    <t>GDA-E-308</t>
  </si>
  <si>
    <t>GDA-E-309</t>
  </si>
  <si>
    <t>GDA-E-310</t>
  </si>
  <si>
    <t>GDA-E-311</t>
  </si>
  <si>
    <t>GDA-E-312</t>
  </si>
  <si>
    <t>GDA-E-313</t>
  </si>
  <si>
    <t>GDA-E-314</t>
  </si>
  <si>
    <t>GDA-E-315</t>
  </si>
  <si>
    <t>GDA-E-316</t>
  </si>
  <si>
    <t>GDA-E-317</t>
  </si>
  <si>
    <t>GDA-E-318</t>
  </si>
  <si>
    <t>GDA-E-319</t>
  </si>
  <si>
    <t>GDA-E-320</t>
  </si>
  <si>
    <t>GDA-E-321</t>
  </si>
  <si>
    <t>GDA-E-322</t>
  </si>
  <si>
    <t>GDA-E-323</t>
  </si>
  <si>
    <t>GDA-E-324</t>
  </si>
  <si>
    <t>GDA-E-325</t>
  </si>
  <si>
    <t>GDA-E-326</t>
  </si>
  <si>
    <t>Anillo de CBR</t>
  </si>
  <si>
    <t>GDA-E-327</t>
  </si>
  <si>
    <t>GDA-E-328</t>
  </si>
  <si>
    <t>GDA-E-329</t>
  </si>
  <si>
    <t>GDA-E-330</t>
  </si>
  <si>
    <t>GDA-E-331</t>
  </si>
  <si>
    <t>GDA-E-332</t>
  </si>
  <si>
    <t>GDA-E-333</t>
  </si>
  <si>
    <t>GDA-E-334</t>
  </si>
  <si>
    <t>GDA-E-335</t>
  </si>
  <si>
    <t>GDA-E-336</t>
  </si>
  <si>
    <t>GDA-E-337</t>
  </si>
  <si>
    <t>GDA-E-338</t>
  </si>
  <si>
    <t>GDA-E-339</t>
  </si>
  <si>
    <t>GDA-E-340</t>
  </si>
  <si>
    <t>GDA-E-341</t>
  </si>
  <si>
    <t>GDA-E-342</t>
  </si>
  <si>
    <t>GDA-E-343</t>
  </si>
  <si>
    <t>GDA-E-344</t>
  </si>
  <si>
    <t>GDA-E-345</t>
  </si>
  <si>
    <t>GDA-E-346</t>
  </si>
  <si>
    <t>Collar para CBR</t>
  </si>
  <si>
    <t>GDA-E-347</t>
  </si>
  <si>
    <t>GDA-E-348</t>
  </si>
  <si>
    <t>GDA-E-349</t>
  </si>
  <si>
    <t>GDA-E-350</t>
  </si>
  <si>
    <t>GDA-E-351</t>
  </si>
  <si>
    <t>GDA-E-352</t>
  </si>
  <si>
    <t>GDA-E-353</t>
  </si>
  <si>
    <t>GDA-E-354</t>
  </si>
  <si>
    <t>GDA-E-355</t>
  </si>
  <si>
    <t>GDA-E-356</t>
  </si>
  <si>
    <t>GDA-E-357</t>
  </si>
  <si>
    <t>GDA-E-358</t>
  </si>
  <si>
    <t>GDA-E-359</t>
  </si>
  <si>
    <t>GDA-E-360</t>
  </si>
  <si>
    <t>GDA-E-361</t>
  </si>
  <si>
    <t>GDA-E-362</t>
  </si>
  <si>
    <t>GDA-E-363</t>
  </si>
  <si>
    <t>GDA-E-364</t>
  </si>
  <si>
    <t>GDA-E-365</t>
  </si>
  <si>
    <t>GDA-E-366</t>
  </si>
  <si>
    <t xml:space="preserve">Cono Dinamico CBR Campo </t>
  </si>
  <si>
    <t>GDA-E-367</t>
  </si>
  <si>
    <t>GDA-E-368</t>
  </si>
  <si>
    <t>GDA-E-369</t>
  </si>
  <si>
    <t>Bolsos o Maletas de Campo</t>
  </si>
  <si>
    <t>GDA-E-370</t>
  </si>
  <si>
    <t xml:space="preserve">DVR Camaras </t>
  </si>
  <si>
    <t>GDA-E-371</t>
  </si>
  <si>
    <t>Vasos de Vidrio</t>
  </si>
  <si>
    <t>GDA-E-372</t>
  </si>
  <si>
    <t>Equipo de Toma de Densidad De Campo</t>
  </si>
  <si>
    <t>0000193068-016</t>
  </si>
  <si>
    <t>GDA-E-373</t>
  </si>
  <si>
    <t>Acople Y Neopreno Cilindro 3x6</t>
  </si>
  <si>
    <t>GDA-E-374</t>
  </si>
  <si>
    <t>Generador a Gasolina y Aceite</t>
  </si>
  <si>
    <t>KARSON</t>
  </si>
  <si>
    <t>GG-950</t>
  </si>
  <si>
    <t>GDA-E-375</t>
  </si>
  <si>
    <t>Cortadora de Baldosa</t>
  </si>
  <si>
    <t>MT626EFB</t>
  </si>
  <si>
    <t>GDA-E-376</t>
  </si>
  <si>
    <t>Control y Lectura Inclinometro</t>
  </si>
  <si>
    <t>DIGITILT DATAMATE</t>
  </si>
  <si>
    <t>GDA-E-377</t>
  </si>
  <si>
    <t>Cable Electrico Inclinometro</t>
  </si>
  <si>
    <t>GDA-E-378</t>
  </si>
  <si>
    <t>Sonda de Inclinometro</t>
  </si>
  <si>
    <t>GDA-E-379</t>
  </si>
  <si>
    <t>Guillotina o Cortadora de Papel</t>
  </si>
  <si>
    <t>MACRIPLAS LTDA</t>
  </si>
  <si>
    <t>GDA-E-380</t>
  </si>
  <si>
    <t>Laminador</t>
  </si>
  <si>
    <t>DWL-412</t>
  </si>
  <si>
    <t>GDA-E-381</t>
  </si>
  <si>
    <t>Tamiz 200</t>
  </si>
  <si>
    <t>GDA-E-382</t>
  </si>
  <si>
    <t>Veleta de campo</t>
  </si>
  <si>
    <t>GDA-E-383</t>
  </si>
  <si>
    <t>GDA-E-384</t>
  </si>
  <si>
    <t xml:space="preserve">Cable consola de bateria a consola lineas </t>
  </si>
  <si>
    <t>GDA-E-385</t>
  </si>
  <si>
    <t>Celda 5kN</t>
  </si>
  <si>
    <t>TSC-5kN</t>
  </si>
  <si>
    <t>GDA-E-386</t>
  </si>
  <si>
    <t>Molde proctor 4" Etandar</t>
  </si>
  <si>
    <t>GDA-E-387</t>
  </si>
  <si>
    <t>Martillo de Compactacion de 5 lb</t>
  </si>
  <si>
    <t>GDA-E-388</t>
  </si>
  <si>
    <t>camara equipo Lambe + piedras pororsas</t>
  </si>
  <si>
    <t>GDA-E-389</t>
  </si>
  <si>
    <t>vastago equipo lambe</t>
  </si>
  <si>
    <t>GDA-E-390</t>
  </si>
  <si>
    <t>Dispersador mecanico para hidrometria</t>
  </si>
  <si>
    <t>GDA-E-391</t>
  </si>
  <si>
    <t>tapa tamices</t>
  </si>
  <si>
    <t>GDA-E-392</t>
  </si>
  <si>
    <t>GDA-E-393</t>
  </si>
  <si>
    <t>Consolidometro Brazo N°5</t>
  </si>
  <si>
    <t>SO40205</t>
  </si>
  <si>
    <t>006</t>
  </si>
  <si>
    <t>GDA-E-394</t>
  </si>
  <si>
    <t>Consolidometro Brazo N°6</t>
  </si>
  <si>
    <t>SO40206</t>
  </si>
  <si>
    <t>GDA-E-395</t>
  </si>
  <si>
    <t>Deformimetro Consolidometro  N°5</t>
  </si>
  <si>
    <t>GDA-E-396</t>
  </si>
  <si>
    <t>Deformimetro Consolidometro  N°6</t>
  </si>
  <si>
    <t>GDA-E-397</t>
  </si>
  <si>
    <t>GDA-E-398</t>
  </si>
  <si>
    <t>GDA-E-399</t>
  </si>
  <si>
    <t xml:space="preserve">Impresora laser </t>
  </si>
  <si>
    <t>GDA-E-400</t>
  </si>
  <si>
    <t>GDA-E-401</t>
  </si>
  <si>
    <t xml:space="preserve">Calibrador alargamiento </t>
  </si>
  <si>
    <t>Pinzuar</t>
  </si>
  <si>
    <t>GDA-E-402</t>
  </si>
  <si>
    <t xml:space="preserve">Calibrador aplanamiento </t>
  </si>
  <si>
    <t>GDA-E-403</t>
  </si>
  <si>
    <t>Mufla</t>
  </si>
  <si>
    <t>PG-191</t>
  </si>
  <si>
    <t>GDA-E-404</t>
  </si>
  <si>
    <t>GDA-E-405</t>
  </si>
  <si>
    <t>GPS</t>
  </si>
  <si>
    <t>GARMIN</t>
  </si>
  <si>
    <t>GPSMAP64S</t>
  </si>
  <si>
    <t>GDA-E-406</t>
  </si>
  <si>
    <t>CARGADOR DE BATERIAS</t>
  </si>
  <si>
    <t>TECHMAN</t>
  </si>
  <si>
    <t>TC-015</t>
  </si>
  <si>
    <t>GDA-E-407</t>
  </si>
  <si>
    <t>NA</t>
  </si>
  <si>
    <t>CODIGO INTERNO</t>
  </si>
  <si>
    <t>CANTIDAD</t>
  </si>
  <si>
    <t>MARCA/REFERENCIA</t>
  </si>
  <si>
    <t>MODELO</t>
  </si>
  <si>
    <t>SERIE</t>
  </si>
  <si>
    <t>RESOLUCION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</si>
</sst>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"/>
    <numFmt numFmtId="165" formatCode="dd/mm/yyyy"/>
  </numFmts>
  <fonts count="17" x14ac:knownFonts="1">
    <font>
      <sz val="11"/>
      <color theme="1"/>
      <name val="Calibri"/>
    </font>
    <font>
      <sz val="11"/>
      <color theme="1"/>
      <name val="Calibri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6"/>
      <color theme="1"/>
      <name val="Arial"/>
      <family val="2"/>
    </font>
    <font>
      <b/>
      <sz val="12"/>
      <color rgb="FF002060"/>
      <name val="Arial"/>
      <family val="2"/>
    </font>
    <font>
      <b/>
      <sz val="10"/>
      <color rgb="FF002060"/>
      <name val="Arial"/>
      <family val="2"/>
    </font>
    <font>
      <b/>
      <sz val="10"/>
      <color rgb="FF002060"/>
      <name val="Aptos Narrow"/>
      <family val="2"/>
    </font>
    <font>
      <sz val="14"/>
      <color theme="1"/>
      <name val="Calibri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Calibri"/>
    </font>
    <font>
      <sz val="12"/>
      <name val="Arial"/>
      <family val="2"/>
    </font>
    <font>
      <b/>
      <sz val="11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5"/>
      </patternFill>
    </fill>
    <fill>
      <patternFill patternType="solid">
        <fgColor rgb="FFD3D3D3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EAF3FC"/>
      </patternFill>
    </fill>
    <fill>
      <patternFill patternType="solid">
        <fgColor rgb="FFDCE8EE"/>
      </patternFill>
    </fill>
  </fills>
  <borders count="123">
    <border>
      <left/>
      <right/>
      <top/>
      <bottom/>
      <diagonal/>
    </border>
    <border>
      <left/>
      <right/>
      <top style="medium">
        <color theme="0" tint="-0.49995422223578601"/>
      </top>
      <bottom/>
      <diagonal/>
    </border>
    <border>
      <left/>
      <right style="medium">
        <color theme="0" tint="-0.49995422223578601"/>
      </right>
      <top style="medium">
        <color theme="0" tint="-0.49995422223578601"/>
      </top>
      <bottom/>
      <diagonal/>
    </border>
    <border>
      <left style="medium">
        <color theme="0" tint="-0.49995422223578601"/>
      </left>
      <right/>
      <top style="medium">
        <color theme="0" tint="-0.49995422223578601"/>
      </top>
      <bottom/>
      <diagonal/>
    </border>
    <border>
      <left/>
      <right style="medium">
        <color theme="0" tint="-0.49995422223578601"/>
      </right>
      <top/>
      <bottom/>
      <diagonal/>
    </border>
    <border>
      <left/>
      <right/>
      <top/>
      <bottom style="medium">
        <color theme="0" tint="-0.49995422223578601"/>
      </bottom>
      <diagonal/>
    </border>
    <border>
      <left/>
      <right style="medium">
        <color theme="0" tint="-0.49995422223578601"/>
      </right>
      <top/>
      <bottom style="medium">
        <color theme="0" tint="-0.49995422223578601"/>
      </bottom>
      <diagonal/>
    </border>
    <border>
      <left style="medium">
        <color theme="0" tint="-0.49995422223578601"/>
      </left>
      <right/>
      <top/>
      <bottom style="medium">
        <color theme="0" tint="-0.49995422223578601"/>
      </bottom>
      <diagonal/>
    </border>
    <border>
      <left style="medium">
        <color theme="0" tint="-0.49995422223578601"/>
      </left>
      <right/>
      <top style="medium">
        <color theme="0" tint="-0.49995422223578601"/>
      </top>
      <bottom style="medium">
        <color theme="0" tint="-0.49995422223578601"/>
      </bottom>
      <diagonal/>
    </border>
    <border>
      <left/>
      <right/>
      <top style="medium">
        <color theme="0" tint="-0.49995422223578601"/>
      </top>
      <bottom style="medium">
        <color theme="0" tint="-0.49995422223578601"/>
      </bottom>
      <diagonal/>
    </border>
    <border>
      <left/>
      <right style="medium">
        <color theme="0" tint="-0.49995422223578601"/>
      </right>
      <top style="medium">
        <color theme="0" tint="-0.49995422223578601"/>
      </top>
      <bottom style="medium">
        <color theme="0" tint="-0.49995422223578601"/>
      </bottom>
      <diagonal/>
    </border>
    <border>
      <left style="medium">
        <color theme="0" tint="-0.49995422223578601"/>
      </left>
      <right/>
      <top/>
      <bottom/>
      <diagonal/>
    </border>
    <border>
      <left style="thin">
        <color theme="0" tint="-0.49995422223578601"/>
      </left>
      <right style="thin">
        <color theme="0" tint="-0.49995422223578601"/>
      </right>
      <top style="thin">
        <color theme="0" tint="-0.49995422223578601"/>
      </top>
      <bottom style="thin">
        <color theme="0" tint="-0.49995422223578601"/>
      </bottom>
      <diagonal/>
    </border>
    <border>
      <left style="medium">
        <color theme="0" tint="-0.49995422223578601"/>
      </left>
      <right style="thin">
        <color theme="0" tint="-0.49995422223578601"/>
      </right>
      <top style="medium">
        <color theme="0" tint="-0.49995422223578601"/>
      </top>
      <bottom style="medium">
        <color theme="0" tint="-0.49995422223578601"/>
      </bottom>
      <diagonal/>
    </border>
    <border>
      <left style="thin">
        <color theme="0" tint="-0.49995422223578601"/>
      </left>
      <right style="thin">
        <color theme="0" tint="-0.49995422223578601"/>
      </right>
      <top style="medium">
        <color theme="0" tint="-0.49995422223578601"/>
      </top>
      <bottom style="medium">
        <color theme="0" tint="-0.49995422223578601"/>
      </bottom>
      <diagonal/>
    </border>
    <border>
      <left style="thin">
        <color theme="0" tint="-0.49995422223578601"/>
      </left>
      <right style="medium">
        <color theme="0" tint="-0.49995422223578601"/>
      </right>
      <top style="medium">
        <color theme="0" tint="-0.49995422223578601"/>
      </top>
      <bottom style="medium">
        <color theme="0" tint="-0.49995422223578601"/>
      </bottom>
      <diagonal/>
    </border>
    <border>
      <left style="thin">
        <color theme="0" tint="-0.49995422223578601"/>
      </left>
      <right/>
      <top style="medium">
        <color theme="0" tint="-0.49995422223578601"/>
      </top>
      <bottom style="medium">
        <color theme="0" tint="-0.49995422223578601"/>
      </bottom>
      <diagonal/>
    </border>
    <border>
      <left style="thin">
        <color theme="0" tint="-0.49995422223578601"/>
      </left>
      <right style="thin">
        <color theme="0" tint="-0.49995422223578601"/>
      </right>
      <top/>
      <bottom style="thin">
        <color theme="0" tint="-0.49995422223578601"/>
      </bottom>
      <diagonal/>
    </border>
    <border>
      <left style="medium">
        <color theme="0" tint="-0.49995422223578601"/>
      </left>
      <right style="thin">
        <color theme="0" tint="-0.49995422223578601"/>
      </right>
      <top style="medium">
        <color theme="0" tint="-0.49995422223578601"/>
      </top>
      <bottom style="thin">
        <color theme="0" tint="-0.49995422223578601"/>
      </bottom>
      <diagonal/>
    </border>
    <border>
      <left style="thin">
        <color theme="0" tint="-0.49995422223578601"/>
      </left>
      <right style="thin">
        <color theme="0" tint="-0.49995422223578601"/>
      </right>
      <top style="medium">
        <color theme="0" tint="-0.49995422223578601"/>
      </top>
      <bottom style="thin">
        <color theme="0" tint="-0.49995422223578601"/>
      </bottom>
      <diagonal/>
    </border>
    <border>
      <left style="thin">
        <color theme="0" tint="-0.49995422223578601"/>
      </left>
      <right style="medium">
        <color theme="0" tint="-0.49995422223578601"/>
      </right>
      <top style="medium">
        <color theme="0" tint="-0.49995422223578601"/>
      </top>
      <bottom style="thin">
        <color theme="0" tint="-0.49995422223578601"/>
      </bottom>
      <diagonal/>
    </border>
    <border>
      <left style="medium">
        <color theme="0" tint="-0.49995422223578601"/>
      </left>
      <right style="thin">
        <color theme="0" tint="-0.49995422223578601"/>
      </right>
      <top style="thin">
        <color theme="0" tint="-0.49995422223578601"/>
      </top>
      <bottom style="medium">
        <color theme="0" tint="-0.49995422223578601"/>
      </bottom>
      <diagonal/>
    </border>
    <border>
      <left style="thin">
        <color theme="0" tint="-0.49995422223578601"/>
      </left>
      <right style="thin">
        <color theme="0" tint="-0.49995422223578601"/>
      </right>
      <top style="thin">
        <color theme="0" tint="-0.49995422223578601"/>
      </top>
      <bottom style="medium">
        <color theme="0" tint="-0.49995422223578601"/>
      </bottom>
      <diagonal/>
    </border>
    <border>
      <left style="thin">
        <color theme="0" tint="-0.49995422223578601"/>
      </left>
      <right style="medium">
        <color theme="0" tint="-0.49995422223578601"/>
      </right>
      <top style="thin">
        <color theme="0" tint="-0.49995422223578601"/>
      </top>
      <bottom style="medium">
        <color theme="0" tint="-0.49995422223578601"/>
      </bottom>
      <diagonal/>
    </border>
    <border>
      <left style="thin">
        <color theme="0" tint="-0.49995422223578601"/>
      </left>
      <right/>
      <top style="medium">
        <color theme="0" tint="-0.49995422223578601"/>
      </top>
      <bottom style="thin">
        <color theme="0" tint="-0.49995422223578601"/>
      </bottom>
      <diagonal/>
    </border>
    <border>
      <left style="thin">
        <color theme="0" tint="-0.49995422223578601"/>
      </left>
      <right/>
      <top style="thin">
        <color theme="0" tint="-0.49995422223578601"/>
      </top>
      <bottom style="medium">
        <color theme="0" tint="-0.49995422223578601"/>
      </bottom>
      <diagonal/>
    </border>
    <border>
      <left style="medium">
        <color theme="0" tint="-0.49995422223578601"/>
      </left>
      <right style="thin">
        <color theme="0" tint="-0.49995422223578601"/>
      </right>
      <top/>
      <bottom style="thin">
        <color theme="0" tint="-0.49995422223578601"/>
      </bottom>
      <diagonal/>
    </border>
    <border>
      <left style="thin">
        <color theme="0" tint="-0.49995422223578601"/>
      </left>
      <right style="medium">
        <color theme="0" tint="-0.49995422223578601"/>
      </right>
      <top/>
      <bottom style="thin">
        <color theme="0" tint="-0.49995422223578601"/>
      </bottom>
      <diagonal/>
    </border>
    <border>
      <left/>
      <right style="thin">
        <color theme="0" tint="-0.49995422223578601"/>
      </right>
      <top style="medium">
        <color theme="0" tint="-0.49995422223578601"/>
      </top>
      <bottom style="medium">
        <color theme="0" tint="-0.49995422223578601"/>
      </bottom>
      <diagonal/>
    </border>
    <border>
      <left style="thin">
        <color theme="0" tint="-0.49995422223578601"/>
      </left>
      <right/>
      <top style="thin">
        <color theme="0" tint="-0.49995422223578601"/>
      </top>
      <bottom style="thin">
        <color theme="0" tint="-0.49995422223578601"/>
      </bottom>
      <diagonal/>
    </border>
    <border>
      <left style="medium">
        <color theme="0" tint="-0.49995422223578601"/>
      </left>
      <right style="thin">
        <color theme="0" tint="-0.49995422223578601"/>
      </right>
      <top style="thin">
        <color theme="0" tint="-0.49995422223578601"/>
      </top>
      <bottom style="thin">
        <color theme="0" tint="-0.49995422223578601"/>
      </bottom>
      <diagonal/>
    </border>
    <border>
      <left style="thin">
        <color theme="0" tint="-0.49995422223578601"/>
      </left>
      <right style="medium">
        <color theme="0" tint="-0.49995422223578601"/>
      </right>
      <top style="thin">
        <color theme="0" tint="-0.49995422223578601"/>
      </top>
      <bottom style="thin">
        <color theme="0" tint="-0.49995422223578601"/>
      </bottom>
      <diagonal/>
    </border>
    <border>
      <left/>
      <right/>
      <top style="thin">
        <color theme="0" tint="-0.49995422223578601"/>
      </top>
      <bottom style="thin">
        <color theme="0" tint="-0.49995422223578601"/>
      </bottom>
      <diagonal/>
    </border>
    <border>
      <left/>
      <right style="medium">
        <color theme="0" tint="-0.49995422223578601"/>
      </right>
      <top style="thin">
        <color theme="0" tint="-0.49995422223578601"/>
      </top>
      <bottom style="thin">
        <color theme="0" tint="-0.49995422223578601"/>
      </bottom>
      <diagonal/>
    </border>
    <border>
      <left style="medium">
        <color theme="0" tint="-0.49995422223578601"/>
      </left>
      <right/>
      <top style="thin">
        <color theme="0" tint="-0.49995422223578601"/>
      </top>
      <bottom style="thin">
        <color theme="0" tint="-0.49995422223578601"/>
      </bottom>
      <diagonal/>
    </border>
    <border>
      <left style="thin">
        <color theme="0" tint="-0.49995422223578601"/>
      </left>
      <right/>
      <top/>
      <bottom style="thin">
        <color theme="0" tint="-0.49995422223578601"/>
      </bottom>
      <diagonal/>
    </border>
    <border>
      <left style="medium">
        <color theme="0" tint="-0.49995422223578601"/>
      </left>
      <right style="thin">
        <color theme="0" tint="-0.49995422223578601"/>
      </right>
      <top style="thin">
        <color theme="0" tint="-0.49995422223578601"/>
      </top>
      <bottom/>
      <diagonal/>
    </border>
    <border>
      <left style="thin">
        <color theme="0" tint="-0.49995422223578601"/>
      </left>
      <right style="thin">
        <color theme="0" tint="-0.49995422223578601"/>
      </right>
      <top style="thin">
        <color theme="0" tint="-0.49995422223578601"/>
      </top>
      <bottom/>
      <diagonal/>
    </border>
    <border>
      <left style="thin">
        <color theme="0" tint="-0.49995422223578601"/>
      </left>
      <right/>
      <top style="thin">
        <color theme="0" tint="-0.49995422223578601"/>
      </top>
      <bottom/>
      <diagonal/>
    </border>
    <border>
      <left style="thin">
        <color theme="0" tint="-0.49995422223578601"/>
      </left>
      <right style="medium">
        <color theme="0" tint="-0.49995422223578601"/>
      </right>
      <top style="thin">
        <color theme="0" tint="-0.49995422223578601"/>
      </top>
      <bottom/>
      <diagonal/>
    </border>
    <border>
      <left/>
      <right style="thin">
        <color theme="0" tint="-0.49995422223578601"/>
      </right>
      <top style="medium">
        <color theme="0" tint="-0.49995422223578601"/>
      </top>
      <bottom style="thin">
        <color theme="0" tint="-0.49995422223578601"/>
      </bottom>
      <diagonal/>
    </border>
    <border>
      <left/>
      <right style="thin">
        <color theme="0" tint="-0.49995422223578601"/>
      </right>
      <top style="thin">
        <color theme="0" tint="-0.49995422223578601"/>
      </top>
      <bottom style="thin">
        <color theme="0" tint="-0.49995422223578601"/>
      </bottom>
      <diagonal/>
    </border>
    <border>
      <left/>
      <right style="thin">
        <color theme="0" tint="-0.49995422223578601"/>
      </right>
      <top style="thin">
        <color theme="0" tint="-0.49995422223578601"/>
      </top>
      <bottom style="medium">
        <color theme="0" tint="-0.4999542222357860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/>
      <diagonal/>
    </border>
    <border>
      <left/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 style="medium">
        <color theme="0" tint="-0.49995422223578601"/>
      </left>
      <right/>
      <top style="medium">
        <color theme="0" tint="-0.49995422223578601"/>
      </top>
      <bottom style="thin">
        <color theme="0" tint="-0.49995422223578601"/>
      </bottom>
      <diagonal/>
    </border>
    <border>
      <left/>
      <right/>
      <top style="medium">
        <color theme="0" tint="-0.49995422223578601"/>
      </top>
      <bottom style="thin">
        <color theme="0" tint="-0.49995422223578601"/>
      </bottom>
      <diagonal/>
    </border>
    <border>
      <left/>
      <right style="medium">
        <color theme="0" tint="-0.49995422223578601"/>
      </right>
      <top style="medium">
        <color theme="0" tint="-0.49995422223578601"/>
      </top>
      <bottom style="thin">
        <color theme="0" tint="-0.49995422223578601"/>
      </bottom>
      <diagonal/>
    </border>
    <border>
      <left style="thick">
        <color rgb="FF7F7F7F"/>
      </left>
      <right/>
      <top style="thick">
        <color rgb="FF7F7F7F"/>
      </top>
      <bottom style="medium">
        <color rgb="FF7F7F7F"/>
      </bottom>
      <diagonal/>
    </border>
    <border>
      <left/>
      <right/>
      <top style="thick">
        <color rgb="FF7F7F7F"/>
      </top>
      <bottom style="medium">
        <color rgb="FF7F7F7F"/>
      </bottom>
      <diagonal/>
    </border>
    <border>
      <left/>
      <right style="thick">
        <color rgb="FF7F7F7F"/>
      </right>
      <top style="thick">
        <color rgb="FF7F7F7F"/>
      </top>
      <bottom style="medium">
        <color rgb="FF7F7F7F"/>
      </bottom>
      <diagonal/>
    </border>
    <border>
      <left style="thick">
        <color rgb="FF7F7F7F"/>
      </left>
      <right/>
      <top style="medium">
        <color rgb="FF7F7F7F"/>
      </top>
      <bottom style="medium">
        <color rgb="FF7F7F7F"/>
      </bottom>
      <diagonal/>
    </border>
    <border>
      <left/>
      <right/>
      <top style="medium">
        <color rgb="FF7F7F7F"/>
      </top>
      <bottom style="medium">
        <color rgb="FF7F7F7F"/>
      </bottom>
      <diagonal/>
    </border>
    <border>
      <left/>
      <right style="thick">
        <color rgb="FF7F7F7F"/>
      </right>
      <top style="medium">
        <color rgb="FF7F7F7F"/>
      </top>
      <bottom style="medium">
        <color rgb="FF7F7F7F"/>
      </bottom>
      <diagonal/>
    </border>
    <border>
      <left style="thick">
        <color rgb="FF7F7F7F"/>
      </left>
      <right/>
      <top style="medium">
        <color rgb="FF7F7F7F"/>
      </top>
      <bottom style="thick">
        <color rgb="FF7F7F7F"/>
      </bottom>
      <diagonal/>
    </border>
    <border>
      <left/>
      <right/>
      <top style="medium">
        <color rgb="FF7F7F7F"/>
      </top>
      <bottom style="thick">
        <color rgb="FF7F7F7F"/>
      </bottom>
      <diagonal/>
    </border>
    <border>
      <left/>
      <right style="thick">
        <color rgb="FF7F7F7F"/>
      </right>
      <top style="medium">
        <color rgb="FF7F7F7F"/>
      </top>
      <bottom style="thick">
        <color rgb="FF7F7F7F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auto="1"/>
      </left>
      <right style="medium">
        <color auto="1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medium">
        <color auto="1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 style="medium">
        <color theme="0" tint="-0.49995422223578601"/>
      </bottom>
      <diagonal/>
    </border>
    <border>
      <left/>
      <right/>
      <top style="medium">
        <color theme="0" tint="-0.499984740745262"/>
      </top>
      <bottom style="medium">
        <color theme="0" tint="-0.49995422223578601"/>
      </bottom>
      <diagonal/>
    </border>
    <border>
      <left style="medium">
        <color theme="0" tint="-0.499984740745262"/>
      </left>
      <right style="thin">
        <color theme="0" tint="-0.49995422223578601"/>
      </right>
      <top/>
      <bottom style="thin">
        <color theme="0" tint="-0.49995422223578601"/>
      </bottom>
      <diagonal/>
    </border>
    <border>
      <left style="thin">
        <color theme="0" tint="-0.49995422223578601"/>
      </left>
      <right style="medium">
        <color theme="0" tint="-0.499984740745262"/>
      </right>
      <top style="medium">
        <color theme="0" tint="-0.49995422223578601"/>
      </top>
      <bottom style="thin">
        <color theme="0" tint="-0.49995422223578601"/>
      </bottom>
      <diagonal/>
    </border>
    <border>
      <left style="medium">
        <color theme="0" tint="-0.499984740745262"/>
      </left>
      <right style="thin">
        <color theme="0" tint="-0.49995422223578601"/>
      </right>
      <top style="thin">
        <color theme="0" tint="-0.49995422223578601"/>
      </top>
      <bottom/>
      <diagonal/>
    </border>
    <border>
      <left style="thin">
        <color theme="0" tint="-0.49995422223578601"/>
      </left>
      <right style="medium">
        <color theme="0" tint="-0.499984740745262"/>
      </right>
      <top style="thin">
        <color theme="0" tint="-0.49995422223578601"/>
      </top>
      <bottom/>
      <diagonal/>
    </border>
    <border>
      <left style="medium">
        <color theme="0" tint="-0.499984740745262"/>
      </left>
      <right style="thin">
        <color theme="0" tint="-0.49995422223578601"/>
      </right>
      <top style="medium">
        <color theme="0" tint="-0.49995422223578601"/>
      </top>
      <bottom style="thin">
        <color theme="0" tint="-0.49995422223578601"/>
      </bottom>
      <diagonal/>
    </border>
    <border>
      <left style="medium">
        <color theme="0" tint="-0.499984740745262"/>
      </left>
      <right style="thin">
        <color theme="0" tint="-0.49995422223578601"/>
      </right>
      <top style="thin">
        <color theme="0" tint="-0.49995422223578601"/>
      </top>
      <bottom style="thin">
        <color theme="0" tint="-0.49995422223578601"/>
      </bottom>
      <diagonal/>
    </border>
    <border>
      <left style="thin">
        <color theme="0" tint="-0.49995422223578601"/>
      </left>
      <right style="medium">
        <color theme="0" tint="-0.499984740745262"/>
      </right>
      <top style="thin">
        <color theme="0" tint="-0.49995422223578601"/>
      </top>
      <bottom style="thin">
        <color theme="0" tint="-0.49995422223578601"/>
      </bottom>
      <diagonal/>
    </border>
    <border>
      <left style="medium">
        <color theme="0" tint="-0.499984740745262"/>
      </left>
      <right style="thin">
        <color theme="0" tint="-0.49995422223578601"/>
      </right>
      <top style="thin">
        <color theme="0" tint="-0.49995422223578601"/>
      </top>
      <bottom style="medium">
        <color theme="0" tint="-0.499984740745262"/>
      </bottom>
      <diagonal/>
    </border>
    <border>
      <left style="thin">
        <color theme="0" tint="-0.49995422223578601"/>
      </left>
      <right style="thin">
        <color theme="0" tint="-0.49995422223578601"/>
      </right>
      <top style="thin">
        <color theme="0" tint="-0.49995422223578601"/>
      </top>
      <bottom style="medium">
        <color theme="0" tint="-0.499984740745262"/>
      </bottom>
      <diagonal/>
    </border>
    <border>
      <left style="thin">
        <color theme="0" tint="-0.49995422223578601"/>
      </left>
      <right/>
      <top style="thin">
        <color theme="0" tint="-0.49995422223578601"/>
      </top>
      <bottom style="medium">
        <color theme="0" tint="-0.499984740745262"/>
      </bottom>
      <diagonal/>
    </border>
    <border>
      <left style="medium">
        <color theme="0" tint="-0.49995422223578601"/>
      </left>
      <right style="thin">
        <color theme="0" tint="-0.49995422223578601"/>
      </right>
      <top style="thin">
        <color theme="0" tint="-0.49995422223578601"/>
      </top>
      <bottom style="medium">
        <color theme="0" tint="-0.499984740745262"/>
      </bottom>
      <diagonal/>
    </border>
    <border>
      <left style="thin">
        <color theme="0" tint="-0.49995422223578601"/>
      </left>
      <right style="medium">
        <color theme="0" tint="-0.49995422223578601"/>
      </right>
      <top style="thin">
        <color theme="0" tint="-0.49995422223578601"/>
      </top>
      <bottom style="medium">
        <color theme="0" tint="-0.499984740745262"/>
      </bottom>
      <diagonal/>
    </border>
    <border>
      <left style="medium">
        <color theme="0" tint="-0.49995422223578601"/>
      </left>
      <right/>
      <top style="thin">
        <color theme="0" tint="-0.49995422223578601"/>
      </top>
      <bottom style="medium">
        <color theme="0" tint="-0.499984740745262"/>
      </bottom>
      <diagonal/>
    </border>
    <border>
      <left/>
      <right/>
      <top style="thin">
        <color theme="0" tint="-0.49995422223578601"/>
      </top>
      <bottom style="medium">
        <color theme="0" tint="-0.499984740745262"/>
      </bottom>
      <diagonal/>
    </border>
    <border>
      <left/>
      <right style="thin">
        <color theme="0" tint="-0.49995422223578601"/>
      </right>
      <top style="thin">
        <color theme="0" tint="-0.49995422223578601"/>
      </top>
      <bottom style="medium">
        <color theme="0" tint="-0.499984740745262"/>
      </bottom>
      <diagonal/>
    </border>
    <border>
      <left/>
      <right style="medium">
        <color theme="0" tint="-0.49995422223578601"/>
      </right>
      <top style="thin">
        <color theme="0" tint="-0.49995422223578601"/>
      </top>
      <bottom style="medium">
        <color theme="0" tint="-0.499984740745262"/>
      </bottom>
      <diagonal/>
    </border>
    <border>
      <left style="thin">
        <color theme="0" tint="-0.49995422223578601"/>
      </left>
      <right style="medium">
        <color theme="0" tint="-0.499984740745262"/>
      </right>
      <top style="thin">
        <color theme="0" tint="-0.49995422223578601"/>
      </top>
      <bottom style="medium">
        <color theme="0" tint="-0.499984740745262"/>
      </bottom>
      <diagonal/>
    </border>
  </borders>
  <cellStyleXfs count="3">
    <xf numFmtId="0" fontId="0" fillId="0" borderId="0"/>
    <xf numFmtId="0" fontId="1" fillId="0" borderId="0"/>
    <xf numFmtId="43" fontId="12" fillId="0" borderId="0" applyFont="0" applyFill="0" applyBorder="0" applyAlignment="0" applyProtection="0"/>
  </cellStyleXfs>
  <cellXfs count="27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1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2" xfId="0" applyFont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3" fillId="0" borderId="4" xfId="0" applyFont="1" applyBorder="1" applyAlignment="1">
      <alignment vertical="center"/>
    </xf>
    <xf numFmtId="0" fontId="10" fillId="0" borderId="0" xfId="0" applyFont="1" applyAlignment="1">
      <alignment wrapText="1"/>
    </xf>
    <xf numFmtId="0" fontId="11" fillId="7" borderId="44" xfId="0" applyFont="1" applyFill="1" applyBorder="1" applyAlignment="1">
      <alignment wrapText="1"/>
    </xf>
    <xf numFmtId="0" fontId="10" fillId="0" borderId="44" xfId="0" applyFont="1" applyBorder="1" applyAlignment="1">
      <alignment wrapText="1"/>
    </xf>
    <xf numFmtId="165" fontId="10" fillId="0" borderId="44" xfId="0" applyNumberFormat="1" applyFont="1" applyBorder="1" applyAlignment="1">
      <alignment wrapText="1"/>
    </xf>
    <xf numFmtId="0" fontId="1" fillId="0" borderId="65" xfId="0" applyFont="1" applyBorder="1" applyAlignment="1">
      <alignment wrapText="1"/>
    </xf>
    <xf numFmtId="0" fontId="2" fillId="0" borderId="69" xfId="0" applyFont="1" applyBorder="1" applyAlignment="1">
      <alignment horizontal="center" wrapText="1"/>
    </xf>
    <xf numFmtId="0" fontId="2" fillId="0" borderId="70" xfId="0" applyFont="1" applyBorder="1" applyAlignment="1">
      <alignment horizontal="center" wrapText="1"/>
    </xf>
    <xf numFmtId="0" fontId="1" fillId="0" borderId="70" xfId="0" applyFont="1" applyBorder="1" applyAlignment="1">
      <alignment wrapText="1"/>
    </xf>
    <xf numFmtId="14" fontId="3" fillId="0" borderId="70" xfId="0" applyNumberFormat="1" applyFont="1" applyBorder="1" applyAlignment="1">
      <alignment horizontal="center" vertical="center" wrapText="1"/>
    </xf>
    <xf numFmtId="0" fontId="3" fillId="0" borderId="70" xfId="0" applyFont="1" applyBorder="1" applyAlignment="1">
      <alignment vertical="center" wrapText="1"/>
    </xf>
    <xf numFmtId="49" fontId="3" fillId="0" borderId="69" xfId="0" applyNumberFormat="1" applyFont="1" applyBorder="1" applyAlignment="1">
      <alignment horizontal="center" vertical="center" wrapText="1"/>
    </xf>
    <xf numFmtId="49" fontId="1" fillId="0" borderId="69" xfId="0" applyNumberFormat="1" applyFont="1" applyBorder="1" applyAlignment="1">
      <alignment wrapText="1"/>
    </xf>
    <xf numFmtId="0" fontId="2" fillId="0" borderId="66" xfId="0" applyFont="1" applyBorder="1" applyAlignment="1">
      <alignment horizontal="center" wrapText="1"/>
    </xf>
    <xf numFmtId="0" fontId="2" fillId="0" borderId="67" xfId="0" applyFont="1" applyBorder="1" applyAlignment="1">
      <alignment horizontal="center" wrapText="1"/>
    </xf>
    <xf numFmtId="0" fontId="2" fillId="0" borderId="68" xfId="0" applyFont="1" applyBorder="1" applyAlignment="1">
      <alignment horizontal="center" wrapText="1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2" fillId="0" borderId="22" xfId="0" applyFont="1" applyBorder="1" applyAlignment="1">
      <alignment horizontal="left" vertical="center"/>
    </xf>
    <xf numFmtId="0" fontId="2" fillId="0" borderId="23" xfId="0" applyFont="1" applyBorder="1" applyAlignment="1">
      <alignment horizontal="left" vertical="center"/>
    </xf>
    <xf numFmtId="0" fontId="3" fillId="0" borderId="30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164" fontId="3" fillId="0" borderId="18" xfId="0" applyNumberFormat="1" applyFont="1" applyBorder="1" applyAlignment="1">
      <alignment horizontal="center" vertical="center"/>
    </xf>
    <xf numFmtId="164" fontId="3" fillId="0" borderId="19" xfId="0" applyNumberFormat="1" applyFont="1" applyBorder="1" applyAlignment="1">
      <alignment horizontal="center" vertical="center"/>
    </xf>
    <xf numFmtId="164" fontId="3" fillId="0" borderId="20" xfId="0" applyNumberFormat="1" applyFont="1" applyBorder="1" applyAlignment="1">
      <alignment horizontal="center" vertical="center"/>
    </xf>
    <xf numFmtId="164" fontId="3" fillId="6" borderId="18" xfId="0" applyNumberFormat="1" applyFont="1" applyFill="1" applyBorder="1" applyAlignment="1">
      <alignment horizontal="center" vertical="center"/>
    </xf>
    <xf numFmtId="164" fontId="3" fillId="6" borderId="19" xfId="0" applyNumberFormat="1" applyFont="1" applyFill="1" applyBorder="1" applyAlignment="1">
      <alignment horizontal="center" vertical="center"/>
    </xf>
    <xf numFmtId="164" fontId="3" fillId="6" borderId="24" xfId="0" applyNumberFormat="1" applyFont="1" applyFill="1" applyBorder="1" applyAlignment="1">
      <alignment horizontal="center" vertical="center"/>
    </xf>
    <xf numFmtId="164" fontId="3" fillId="6" borderId="30" xfId="0" applyNumberFormat="1" applyFont="1" applyFill="1" applyBorder="1" applyAlignment="1">
      <alignment horizontal="center" vertical="center"/>
    </xf>
    <xf numFmtId="164" fontId="3" fillId="6" borderId="12" xfId="0" applyNumberFormat="1" applyFont="1" applyFill="1" applyBorder="1" applyAlignment="1">
      <alignment horizontal="center" vertical="center"/>
    </xf>
    <xf numFmtId="164" fontId="3" fillId="6" borderId="29" xfId="0" applyNumberFormat="1" applyFont="1" applyFill="1" applyBorder="1" applyAlignment="1">
      <alignment horizontal="center" vertical="center"/>
    </xf>
    <xf numFmtId="164" fontId="3" fillId="0" borderId="30" xfId="0" applyNumberFormat="1" applyFont="1" applyBorder="1" applyAlignment="1">
      <alignment horizontal="center" vertical="center"/>
    </xf>
    <xf numFmtId="164" fontId="3" fillId="0" borderId="12" xfId="0" applyNumberFormat="1" applyFont="1" applyBorder="1" applyAlignment="1">
      <alignment horizontal="center" vertical="center"/>
    </xf>
    <xf numFmtId="164" fontId="3" fillId="0" borderId="31" xfId="0" applyNumberFormat="1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left" vertical="center"/>
    </xf>
    <xf numFmtId="0" fontId="2" fillId="0" borderId="17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30" xfId="0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/>
    </xf>
    <xf numFmtId="0" fontId="2" fillId="0" borderId="31" xfId="0" applyFont="1" applyBorder="1" applyAlignment="1">
      <alignment horizontal="left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14" fontId="3" fillId="0" borderId="28" xfId="0" applyNumberFormat="1" applyFon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4" fontId="3" fillId="0" borderId="16" xfId="0" applyNumberFormat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3" fillId="0" borderId="56" xfId="0" applyFont="1" applyBorder="1" applyAlignment="1">
      <alignment horizontal="center" vertical="center" wrapText="1"/>
    </xf>
    <xf numFmtId="0" fontId="3" fillId="0" borderId="57" xfId="0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5" fillId="0" borderId="11" xfId="1" applyFont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0" fontId="5" fillId="0" borderId="4" xfId="1" applyFont="1" applyBorder="1" applyAlignment="1">
      <alignment horizontal="center" vertical="center" wrapText="1"/>
    </xf>
    <xf numFmtId="0" fontId="5" fillId="0" borderId="7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6" xfId="1" applyFont="1" applyBorder="1" applyAlignment="1">
      <alignment horizontal="center" vertical="center" wrapText="1"/>
    </xf>
    <xf numFmtId="0" fontId="3" fillId="0" borderId="59" xfId="0" applyFont="1" applyBorder="1" applyAlignment="1">
      <alignment horizontal="center" vertical="center" wrapText="1"/>
    </xf>
    <xf numFmtId="0" fontId="3" fillId="0" borderId="60" xfId="0" applyFont="1" applyBorder="1" applyAlignment="1">
      <alignment horizontal="center" vertical="center" wrapText="1"/>
    </xf>
    <xf numFmtId="0" fontId="3" fillId="0" borderId="61" xfId="0" applyFont="1" applyBorder="1" applyAlignment="1">
      <alignment horizontal="center" vertical="center" wrapText="1"/>
    </xf>
    <xf numFmtId="0" fontId="3" fillId="0" borderId="62" xfId="0" applyFont="1" applyBorder="1" applyAlignment="1">
      <alignment horizontal="center" vertical="center" wrapText="1"/>
    </xf>
    <xf numFmtId="0" fontId="3" fillId="0" borderId="63" xfId="0" applyFont="1" applyBorder="1" applyAlignment="1">
      <alignment horizontal="center" vertical="center" wrapText="1"/>
    </xf>
    <xf numFmtId="0" fontId="3" fillId="0" borderId="64" xfId="0" applyFont="1" applyBorder="1" applyAlignment="1">
      <alignment horizontal="center" vertical="center" wrapText="1"/>
    </xf>
    <xf numFmtId="164" fontId="3" fillId="6" borderId="34" xfId="0" applyNumberFormat="1" applyFont="1" applyFill="1" applyBorder="1" applyAlignment="1">
      <alignment horizontal="center" vertical="center"/>
    </xf>
    <xf numFmtId="164" fontId="3" fillId="6" borderId="32" xfId="0" applyNumberFormat="1" applyFont="1" applyFill="1" applyBorder="1" applyAlignment="1">
      <alignment horizontal="center" vertical="center"/>
    </xf>
    <xf numFmtId="164" fontId="3" fillId="6" borderId="33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164" fontId="3" fillId="0" borderId="22" xfId="0" applyNumberFormat="1" applyFont="1" applyBorder="1" applyAlignment="1">
      <alignment horizontal="center" vertical="center"/>
    </xf>
    <xf numFmtId="164" fontId="3" fillId="0" borderId="23" xfId="0" applyNumberFormat="1" applyFont="1" applyBorder="1" applyAlignment="1">
      <alignment horizontal="center" vertical="center"/>
    </xf>
    <xf numFmtId="164" fontId="3" fillId="6" borderId="21" xfId="0" applyNumberFormat="1" applyFont="1" applyFill="1" applyBorder="1" applyAlignment="1">
      <alignment horizontal="center" vertical="center"/>
    </xf>
    <xf numFmtId="164" fontId="3" fillId="6" borderId="22" xfId="0" applyNumberFormat="1" applyFont="1" applyFill="1" applyBorder="1" applyAlignment="1">
      <alignment horizontal="center" vertical="center"/>
    </xf>
    <xf numFmtId="164" fontId="3" fillId="6" borderId="25" xfId="0" applyNumberFormat="1" applyFont="1" applyFill="1" applyBorder="1" applyAlignment="1">
      <alignment horizontal="center" vertical="center"/>
    </xf>
    <xf numFmtId="0" fontId="7" fillId="3" borderId="18" xfId="0" applyFont="1" applyFill="1" applyBorder="1" applyAlignment="1">
      <alignment horizontal="center" vertical="center" wrapText="1"/>
    </xf>
    <xf numFmtId="0" fontId="7" fillId="3" borderId="19" xfId="0" applyFont="1" applyFill="1" applyBorder="1" applyAlignment="1">
      <alignment horizontal="center" vertical="center" wrapText="1"/>
    </xf>
    <xf numFmtId="0" fontId="7" fillId="3" borderId="20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/>
    </xf>
    <xf numFmtId="0" fontId="3" fillId="4" borderId="31" xfId="0" applyFont="1" applyFill="1" applyBorder="1" applyAlignment="1">
      <alignment horizontal="center" vertical="center"/>
    </xf>
    <xf numFmtId="0" fontId="3" fillId="4" borderId="41" xfId="0" applyFont="1" applyFill="1" applyBorder="1" applyAlignment="1">
      <alignment horizontal="center" vertical="center"/>
    </xf>
    <xf numFmtId="0" fontId="3" fillId="4" borderId="29" xfId="0" applyFont="1" applyFill="1" applyBorder="1" applyAlignment="1">
      <alignment horizontal="center" vertical="center"/>
    </xf>
    <xf numFmtId="0" fontId="6" fillId="5" borderId="30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6" fillId="5" borderId="31" xfId="0" applyFont="1" applyFill="1" applyBorder="1" applyAlignment="1">
      <alignment horizontal="center" vertical="center"/>
    </xf>
    <xf numFmtId="0" fontId="3" fillId="4" borderId="34" xfId="0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horizontal="center" vertical="center"/>
    </xf>
    <xf numFmtId="0" fontId="3" fillId="0" borderId="42" xfId="0" applyFont="1" applyBorder="1" applyAlignment="1">
      <alignment horizontal="center" vertical="center"/>
    </xf>
    <xf numFmtId="0" fontId="3" fillId="5" borderId="30" xfId="0" applyFont="1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3" fillId="5" borderId="31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 wrapText="1"/>
    </xf>
    <xf numFmtId="0" fontId="7" fillId="3" borderId="37" xfId="0" applyFont="1" applyFill="1" applyBorder="1" applyAlignment="1">
      <alignment horizontal="center" vertical="center" wrapText="1"/>
    </xf>
    <xf numFmtId="0" fontId="7" fillId="3" borderId="39" xfId="0" applyFont="1" applyFill="1" applyBorder="1" applyAlignment="1">
      <alignment horizontal="center" vertical="center" wrapText="1"/>
    </xf>
    <xf numFmtId="0" fontId="3" fillId="5" borderId="18" xfId="0" applyFont="1" applyFill="1" applyBorder="1" applyAlignment="1">
      <alignment horizontal="center" vertical="center"/>
    </xf>
    <xf numFmtId="0" fontId="3" fillId="5" borderId="19" xfId="0" applyFont="1" applyFill="1" applyBorder="1" applyAlignment="1">
      <alignment horizontal="center" vertical="center"/>
    </xf>
    <xf numFmtId="0" fontId="3" fillId="5" borderId="20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3" fillId="6" borderId="34" xfId="0" applyFont="1" applyFill="1" applyBorder="1" applyAlignment="1">
      <alignment horizontal="center" vertical="center"/>
    </xf>
    <xf numFmtId="0" fontId="3" fillId="6" borderId="32" xfId="0" applyFont="1" applyFill="1" applyBorder="1" applyAlignment="1">
      <alignment horizontal="center" vertical="center"/>
    </xf>
    <xf numFmtId="0" fontId="3" fillId="6" borderId="33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 vertical="center" wrapText="1"/>
    </xf>
    <xf numFmtId="0" fontId="8" fillId="3" borderId="20" xfId="0" applyFont="1" applyFill="1" applyBorder="1" applyAlignment="1">
      <alignment horizontal="center" vertical="center" wrapText="1"/>
    </xf>
    <xf numFmtId="0" fontId="8" fillId="3" borderId="36" xfId="0" applyFont="1" applyFill="1" applyBorder="1" applyAlignment="1">
      <alignment horizontal="center" vertical="center" wrapText="1"/>
    </xf>
    <xf numFmtId="0" fontId="8" fillId="3" borderId="37" xfId="0" applyFont="1" applyFill="1" applyBorder="1" applyAlignment="1">
      <alignment horizontal="center" vertical="center" wrapText="1"/>
    </xf>
    <xf numFmtId="0" fontId="8" fillId="3" borderId="39" xfId="0" applyFont="1" applyFill="1" applyBorder="1" applyAlignment="1">
      <alignment horizontal="center" vertical="center" wrapText="1"/>
    </xf>
    <xf numFmtId="0" fontId="7" fillId="3" borderId="17" xfId="0" applyFont="1" applyFill="1" applyBorder="1" applyAlignment="1">
      <alignment horizontal="center" vertical="center" wrapText="1"/>
    </xf>
    <xf numFmtId="0" fontId="7" fillId="3" borderId="35" xfId="0" applyFont="1" applyFill="1" applyBorder="1" applyAlignment="1">
      <alignment horizontal="center" vertical="center" wrapText="1"/>
    </xf>
    <xf numFmtId="0" fontId="7" fillId="3" borderId="38" xfId="0" applyFont="1" applyFill="1" applyBorder="1" applyAlignment="1">
      <alignment horizontal="center" vertical="center" wrapText="1"/>
    </xf>
    <xf numFmtId="0" fontId="3" fillId="4" borderId="24" xfId="0" applyFont="1" applyFill="1" applyBorder="1" applyAlignment="1">
      <alignment horizontal="center" vertical="center"/>
    </xf>
    <xf numFmtId="0" fontId="6" fillId="5" borderId="18" xfId="0" applyFont="1" applyFill="1" applyBorder="1" applyAlignment="1">
      <alignment horizontal="center" vertical="center"/>
    </xf>
    <xf numFmtId="0" fontId="6" fillId="5" borderId="19" xfId="0" applyFont="1" applyFill="1" applyBorder="1" applyAlignment="1">
      <alignment horizontal="center" vertical="center"/>
    </xf>
    <xf numFmtId="0" fontId="6" fillId="5" borderId="20" xfId="0" applyFont="1" applyFill="1" applyBorder="1" applyAlignment="1">
      <alignment horizontal="center" vertical="center"/>
    </xf>
    <xf numFmtId="0" fontId="3" fillId="6" borderId="53" xfId="0" applyFont="1" applyFill="1" applyBorder="1" applyAlignment="1">
      <alignment horizontal="center" vertical="center"/>
    </xf>
    <xf numFmtId="0" fontId="3" fillId="6" borderId="54" xfId="0" applyFont="1" applyFill="1" applyBorder="1" applyAlignment="1">
      <alignment horizontal="center" vertical="center"/>
    </xf>
    <xf numFmtId="0" fontId="3" fillId="6" borderId="55" xfId="0" applyFont="1" applyFill="1" applyBorder="1" applyAlignment="1">
      <alignment horizontal="center" vertical="center"/>
    </xf>
    <xf numFmtId="0" fontId="3" fillId="6" borderId="30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center" vertical="center"/>
    </xf>
    <xf numFmtId="0" fontId="3" fillId="6" borderId="31" xfId="0" applyFont="1" applyFill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3" fillId="0" borderId="47" xfId="0" applyFont="1" applyBorder="1" applyAlignment="1">
      <alignment horizontal="center" vertical="center"/>
    </xf>
    <xf numFmtId="0" fontId="3" fillId="0" borderId="48" xfId="0" applyFont="1" applyBorder="1" applyAlignment="1">
      <alignment horizontal="center" vertical="center"/>
    </xf>
    <xf numFmtId="0" fontId="3" fillId="0" borderId="49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51" xfId="0" applyFont="1" applyBorder="1" applyAlignment="1">
      <alignment horizontal="center" vertical="center"/>
    </xf>
    <xf numFmtId="0" fontId="3" fillId="0" borderId="52" xfId="0" applyFont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9" fillId="0" borderId="43" xfId="0" applyFont="1" applyBorder="1" applyAlignment="1">
      <alignment vertical="center" wrapText="1"/>
    </xf>
    <xf numFmtId="0" fontId="9" fillId="6" borderId="43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10" fillId="0" borderId="0" xfId="0" applyFont="1" applyAlignment="1">
      <alignment wrapText="1"/>
    </xf>
    <xf numFmtId="0" fontId="3" fillId="0" borderId="71" xfId="0" applyFont="1" applyBorder="1" applyAlignment="1">
      <alignment wrapText="1"/>
    </xf>
    <xf numFmtId="0" fontId="3" fillId="0" borderId="72" xfId="0" applyFont="1" applyBorder="1" applyAlignment="1">
      <alignment wrapText="1"/>
    </xf>
    <xf numFmtId="0" fontId="3" fillId="0" borderId="73" xfId="0" applyFont="1" applyBorder="1" applyAlignment="1">
      <alignment horizontal="center"/>
    </xf>
    <xf numFmtId="0" fontId="3" fillId="0" borderId="74" xfId="0" applyFont="1" applyBorder="1" applyAlignment="1">
      <alignment horizontal="center"/>
    </xf>
    <xf numFmtId="0" fontId="3" fillId="0" borderId="75" xfId="0" applyFont="1" applyBorder="1" applyAlignment="1">
      <alignment wrapText="1"/>
    </xf>
    <xf numFmtId="0" fontId="3" fillId="0" borderId="76" xfId="0" applyFont="1" applyBorder="1" applyAlignment="1">
      <alignment wrapText="1"/>
    </xf>
    <xf numFmtId="0" fontId="3" fillId="0" borderId="77" xfId="0" applyFont="1" applyBorder="1" applyAlignment="1">
      <alignment horizontal="center"/>
    </xf>
    <xf numFmtId="0" fontId="3" fillId="0" borderId="78" xfId="0" applyFont="1" applyBorder="1" applyAlignment="1">
      <alignment horizontal="center"/>
    </xf>
    <xf numFmtId="0" fontId="3" fillId="0" borderId="79" xfId="0" applyFont="1" applyBorder="1" applyAlignment="1">
      <alignment horizontal="center"/>
    </xf>
    <xf numFmtId="0" fontId="3" fillId="0" borderId="75" xfId="0" applyFont="1" applyBorder="1" applyAlignment="1">
      <alignment vertical="center" wrapText="1"/>
    </xf>
    <xf numFmtId="0" fontId="3" fillId="0" borderId="76" xfId="0" applyFont="1" applyBorder="1" applyAlignment="1">
      <alignment vertical="center" wrapText="1"/>
    </xf>
    <xf numFmtId="0" fontId="3" fillId="0" borderId="77" xfId="0" applyFont="1" applyBorder="1" applyAlignment="1">
      <alignment horizontal="center" vertical="center"/>
    </xf>
    <xf numFmtId="0" fontId="3" fillId="0" borderId="78" xfId="0" applyFont="1" applyBorder="1" applyAlignment="1">
      <alignment horizontal="center" vertical="center"/>
    </xf>
    <xf numFmtId="0" fontId="3" fillId="0" borderId="75" xfId="0" applyFont="1" applyBorder="1" applyAlignment="1">
      <alignment wrapText="1"/>
    </xf>
    <xf numFmtId="0" fontId="13" fillId="0" borderId="76" xfId="0" applyFont="1" applyBorder="1"/>
    <xf numFmtId="0" fontId="3" fillId="0" borderId="75" xfId="0" applyFont="1" applyBorder="1" applyAlignment="1">
      <alignment horizontal="left" wrapText="1"/>
    </xf>
    <xf numFmtId="0" fontId="3" fillId="0" borderId="76" xfId="0" applyFont="1" applyBorder="1" applyAlignment="1">
      <alignment horizontal="left" wrapText="1"/>
    </xf>
    <xf numFmtId="0" fontId="3" fillId="0" borderId="80" xfId="0" applyFont="1" applyBorder="1" applyAlignment="1">
      <alignment wrapText="1"/>
    </xf>
    <xf numFmtId="0" fontId="3" fillId="0" borderId="81" xfId="0" applyFont="1" applyBorder="1" applyAlignment="1">
      <alignment wrapText="1"/>
    </xf>
    <xf numFmtId="0" fontId="3" fillId="0" borderId="82" xfId="0" applyFont="1" applyBorder="1" applyAlignment="1">
      <alignment horizontal="center"/>
    </xf>
    <xf numFmtId="0" fontId="3" fillId="0" borderId="83" xfId="0" applyFont="1" applyBorder="1" applyAlignment="1">
      <alignment horizontal="center"/>
    </xf>
    <xf numFmtId="0" fontId="3" fillId="0" borderId="84" xfId="0" applyFont="1" applyBorder="1" applyAlignment="1">
      <alignment horizontal="center"/>
    </xf>
    <xf numFmtId="0" fontId="3" fillId="0" borderId="85" xfId="0" applyFont="1" applyBorder="1" applyAlignment="1">
      <alignment horizontal="left"/>
    </xf>
    <xf numFmtId="0" fontId="3" fillId="0" borderId="86" xfId="0" applyFont="1" applyBorder="1" applyAlignment="1">
      <alignment horizontal="left"/>
    </xf>
    <xf numFmtId="0" fontId="14" fillId="0" borderId="88" xfId="0" applyFont="1" applyBorder="1" applyAlignment="1">
      <alignment horizontal="center" vertical="center"/>
    </xf>
    <xf numFmtId="0" fontId="14" fillId="0" borderId="87" xfId="0" applyFont="1" applyBorder="1" applyAlignment="1">
      <alignment horizontal="left" vertical="center"/>
    </xf>
    <xf numFmtId="0" fontId="14" fillId="0" borderId="88" xfId="0" applyFont="1" applyBorder="1" applyAlignment="1">
      <alignment horizontal="left" vertical="center"/>
    </xf>
    <xf numFmtId="0" fontId="14" fillId="0" borderId="89" xfId="0" applyFont="1" applyBorder="1" applyAlignment="1">
      <alignment horizontal="center" vertical="center"/>
    </xf>
    <xf numFmtId="0" fontId="14" fillId="0" borderId="90" xfId="0" applyFont="1" applyBorder="1" applyAlignment="1">
      <alignment horizontal="center" vertical="center"/>
    </xf>
    <xf numFmtId="0" fontId="3" fillId="0" borderId="86" xfId="0" applyFont="1" applyBorder="1" applyAlignment="1">
      <alignment horizontal="center"/>
    </xf>
    <xf numFmtId="0" fontId="14" fillId="0" borderId="91" xfId="0" applyFont="1" applyBorder="1" applyAlignment="1">
      <alignment horizontal="center" vertical="center"/>
    </xf>
    <xf numFmtId="0" fontId="14" fillId="0" borderId="92" xfId="0" applyFont="1" applyBorder="1" applyAlignment="1">
      <alignment horizontal="center" vertical="center"/>
    </xf>
    <xf numFmtId="0" fontId="3" fillId="0" borderId="93" xfId="0" applyFont="1" applyBorder="1" applyAlignment="1">
      <alignment horizontal="center" vertical="center"/>
    </xf>
    <xf numFmtId="49" fontId="3" fillId="0" borderId="94" xfId="0" applyNumberFormat="1" applyFont="1" applyBorder="1" applyAlignment="1">
      <alignment horizontal="center"/>
    </xf>
    <xf numFmtId="49" fontId="3" fillId="0" borderId="95" xfId="0" applyNumberFormat="1" applyFont="1" applyBorder="1" applyAlignment="1">
      <alignment horizontal="center"/>
    </xf>
    <xf numFmtId="49" fontId="3" fillId="0" borderId="95" xfId="0" applyNumberFormat="1" applyFont="1" applyBorder="1" applyAlignment="1">
      <alignment horizontal="center" vertical="center"/>
    </xf>
    <xf numFmtId="49" fontId="3" fillId="0" borderId="96" xfId="0" applyNumberFormat="1" applyFont="1" applyBorder="1" applyAlignment="1">
      <alignment horizontal="center"/>
    </xf>
    <xf numFmtId="0" fontId="3" fillId="0" borderId="97" xfId="0" applyFont="1" applyBorder="1" applyAlignment="1">
      <alignment horizontal="center" vertical="center"/>
    </xf>
    <xf numFmtId="49" fontId="3" fillId="0" borderId="98" xfId="0" applyNumberFormat="1" applyFont="1" applyBorder="1" applyAlignment="1">
      <alignment horizontal="center"/>
    </xf>
    <xf numFmtId="0" fontId="14" fillId="0" borderId="99" xfId="0" applyFont="1" applyBorder="1" applyAlignment="1">
      <alignment horizontal="center" vertical="center"/>
    </xf>
    <xf numFmtId="0" fontId="3" fillId="0" borderId="71" xfId="0" applyFont="1" applyBorder="1" applyAlignment="1">
      <alignment horizontal="center"/>
    </xf>
    <xf numFmtId="0" fontId="3" fillId="0" borderId="75" xfId="0" applyFont="1" applyBorder="1" applyAlignment="1">
      <alignment horizontal="center"/>
    </xf>
    <xf numFmtId="49" fontId="3" fillId="0" borderId="75" xfId="2" applyNumberFormat="1" applyFont="1" applyBorder="1" applyAlignment="1">
      <alignment horizontal="center"/>
    </xf>
    <xf numFmtId="0" fontId="3" fillId="0" borderId="76" xfId="0" applyFont="1" applyBorder="1" applyAlignment="1">
      <alignment horizontal="center"/>
    </xf>
    <xf numFmtId="0" fontId="3" fillId="0" borderId="76" xfId="0" applyFont="1" applyBorder="1" applyAlignment="1">
      <alignment horizontal="center" vertical="center"/>
    </xf>
    <xf numFmtId="49" fontId="3" fillId="0" borderId="76" xfId="0" applyNumberFormat="1" applyFont="1" applyBorder="1" applyAlignment="1">
      <alignment horizontal="center"/>
    </xf>
    <xf numFmtId="0" fontId="3" fillId="0" borderId="80" xfId="0" applyFont="1" applyBorder="1" applyAlignment="1">
      <alignment horizontal="center"/>
    </xf>
    <xf numFmtId="0" fontId="3" fillId="0" borderId="85" xfId="0" applyFont="1" applyBorder="1" applyAlignment="1">
      <alignment horizontal="center"/>
    </xf>
    <xf numFmtId="0" fontId="3" fillId="0" borderId="100" xfId="0" applyFont="1" applyBorder="1" applyAlignment="1">
      <alignment horizontal="center" vertical="center"/>
    </xf>
    <xf numFmtId="0" fontId="3" fillId="0" borderId="101" xfId="0" applyFont="1" applyBorder="1" applyAlignment="1">
      <alignment horizontal="center" vertical="center"/>
    </xf>
    <xf numFmtId="0" fontId="3" fillId="0" borderId="102" xfId="0" applyFont="1" applyBorder="1" applyAlignment="1">
      <alignment horizontal="center" vertical="center"/>
    </xf>
    <xf numFmtId="0" fontId="3" fillId="0" borderId="103" xfId="0" applyFont="1" applyBorder="1" applyAlignment="1">
      <alignment horizontal="center" vertical="center"/>
    </xf>
    <xf numFmtId="0" fontId="6" fillId="3" borderId="104" xfId="0" applyFont="1" applyFill="1" applyBorder="1" applyAlignment="1">
      <alignment horizontal="center" vertical="center"/>
    </xf>
    <xf numFmtId="0" fontId="6" fillId="3" borderId="105" xfId="0" applyFont="1" applyFill="1" applyBorder="1" applyAlignment="1">
      <alignment horizontal="center" vertical="center"/>
    </xf>
    <xf numFmtId="0" fontId="6" fillId="3" borderId="46" xfId="0" applyFont="1" applyFill="1" applyBorder="1" applyAlignment="1">
      <alignment horizontal="center" vertical="center"/>
    </xf>
    <xf numFmtId="0" fontId="6" fillId="3" borderId="47" xfId="0" applyFont="1" applyFill="1" applyBorder="1" applyAlignment="1">
      <alignment horizontal="center" vertical="center"/>
    </xf>
    <xf numFmtId="0" fontId="7" fillId="3" borderId="106" xfId="0" applyFont="1" applyFill="1" applyBorder="1" applyAlignment="1">
      <alignment horizontal="center" vertical="center" wrapText="1"/>
    </xf>
    <xf numFmtId="0" fontId="7" fillId="3" borderId="107" xfId="0" applyFont="1" applyFill="1" applyBorder="1" applyAlignment="1">
      <alignment horizontal="center" vertical="center" wrapText="1"/>
    </xf>
    <xf numFmtId="0" fontId="7" fillId="3" borderId="108" xfId="0" applyFont="1" applyFill="1" applyBorder="1" applyAlignment="1">
      <alignment horizontal="center" vertical="center" wrapText="1"/>
    </xf>
    <xf numFmtId="0" fontId="7" fillId="3" borderId="109" xfId="0" applyFont="1" applyFill="1" applyBorder="1" applyAlignment="1">
      <alignment horizontal="center" vertical="center" wrapText="1"/>
    </xf>
    <xf numFmtId="0" fontId="3" fillId="4" borderId="110" xfId="0" applyFont="1" applyFill="1" applyBorder="1" applyAlignment="1">
      <alignment horizontal="center" vertical="center"/>
    </xf>
    <xf numFmtId="0" fontId="3" fillId="4" borderId="107" xfId="0" applyFont="1" applyFill="1" applyBorder="1" applyAlignment="1">
      <alignment horizontal="center" vertical="center"/>
    </xf>
    <xf numFmtId="0" fontId="3" fillId="4" borderId="111" xfId="0" applyFont="1" applyFill="1" applyBorder="1" applyAlignment="1">
      <alignment horizontal="center" vertical="center"/>
    </xf>
    <xf numFmtId="0" fontId="3" fillId="4" borderId="112" xfId="0" applyFont="1" applyFill="1" applyBorder="1" applyAlignment="1">
      <alignment horizontal="center" vertical="center"/>
    </xf>
    <xf numFmtId="0" fontId="3" fillId="4" borderId="113" xfId="0" applyFont="1" applyFill="1" applyBorder="1" applyAlignment="1">
      <alignment horizontal="center" vertical="center"/>
    </xf>
    <xf numFmtId="0" fontId="3" fillId="4" borderId="114" xfId="0" applyFont="1" applyFill="1" applyBorder="1" applyAlignment="1">
      <alignment horizontal="center" vertical="center"/>
    </xf>
    <xf numFmtId="0" fontId="3" fillId="4" borderId="115" xfId="0" applyFont="1" applyFill="1" applyBorder="1" applyAlignment="1">
      <alignment horizontal="center" vertical="center"/>
    </xf>
    <xf numFmtId="0" fontId="6" fillId="5" borderId="116" xfId="0" applyFont="1" applyFill="1" applyBorder="1" applyAlignment="1">
      <alignment horizontal="center" vertical="center"/>
    </xf>
    <xf numFmtId="0" fontId="6" fillId="5" borderId="114" xfId="0" applyFont="1" applyFill="1" applyBorder="1" applyAlignment="1">
      <alignment horizontal="center" vertical="center"/>
    </xf>
    <xf numFmtId="0" fontId="6" fillId="5" borderId="117" xfId="0" applyFont="1" applyFill="1" applyBorder="1" applyAlignment="1">
      <alignment horizontal="center" vertical="center"/>
    </xf>
    <xf numFmtId="0" fontId="3" fillId="5" borderId="116" xfId="0" applyFont="1" applyFill="1" applyBorder="1" applyAlignment="1">
      <alignment horizontal="center" vertical="center"/>
    </xf>
    <xf numFmtId="0" fontId="3" fillId="5" borderId="114" xfId="0" applyFont="1" applyFill="1" applyBorder="1" applyAlignment="1">
      <alignment horizontal="center" vertical="center"/>
    </xf>
    <xf numFmtId="0" fontId="3" fillId="5" borderId="117" xfId="0" applyFont="1" applyFill="1" applyBorder="1" applyAlignment="1">
      <alignment horizontal="center" vertical="center"/>
    </xf>
    <xf numFmtId="0" fontId="3" fillId="4" borderId="118" xfId="0" applyFont="1" applyFill="1" applyBorder="1" applyAlignment="1">
      <alignment horizontal="center" vertical="center"/>
    </xf>
    <xf numFmtId="0" fontId="3" fillId="4" borderId="119" xfId="0" applyFont="1" applyFill="1" applyBorder="1" applyAlignment="1">
      <alignment horizontal="center" vertical="center"/>
    </xf>
    <xf numFmtId="0" fontId="3" fillId="4" borderId="120" xfId="0" applyFont="1" applyFill="1" applyBorder="1" applyAlignment="1">
      <alignment horizontal="center" vertical="center"/>
    </xf>
    <xf numFmtId="0" fontId="3" fillId="4" borderId="117" xfId="0" applyFont="1" applyFill="1" applyBorder="1" applyAlignment="1">
      <alignment horizontal="center" vertical="center"/>
    </xf>
    <xf numFmtId="0" fontId="3" fillId="6" borderId="118" xfId="0" applyFont="1" applyFill="1" applyBorder="1" applyAlignment="1">
      <alignment horizontal="center" vertical="center"/>
    </xf>
    <xf numFmtId="0" fontId="3" fillId="6" borderId="119" xfId="0" applyFont="1" applyFill="1" applyBorder="1" applyAlignment="1">
      <alignment horizontal="center" vertical="center"/>
    </xf>
    <xf numFmtId="0" fontId="3" fillId="6" borderId="121" xfId="0" applyFont="1" applyFill="1" applyBorder="1" applyAlignment="1">
      <alignment horizontal="center" vertical="center"/>
    </xf>
    <xf numFmtId="0" fontId="3" fillId="4" borderId="116" xfId="0" applyFont="1" applyFill="1" applyBorder="1" applyAlignment="1">
      <alignment horizontal="center" vertical="center"/>
    </xf>
    <xf numFmtId="0" fontId="3" fillId="4" borderId="122" xfId="0" applyFont="1" applyFill="1" applyBorder="1" applyAlignment="1">
      <alignment horizontal="center" vertical="center"/>
    </xf>
  </cellXfs>
  <cellStyles count="3">
    <cellStyle name="Millares" xfId="2" builtinId="3"/>
    <cellStyle name="Normal" xfId="0" builtinId="0"/>
    <cellStyle name="Normal 5" xfId="1" xr:uid="{00000000-0005-0000-0000-000001000000}"/>
  </cellStyles>
  <dxfs count="3">
    <dxf>
      <fill>
        <patternFill>
          <bgColor theme="7" tint="0.79995117038483843"/>
        </patternFill>
      </fill>
    </dxf>
    <dxf>
      <fill>
        <patternFill>
          <bgColor theme="7" tint="0.79995117038483843"/>
        </patternFill>
      </fill>
    </dxf>
    <dxf>
      <fill>
        <patternFill>
          <bgColor theme="7" tint="0.799951170384838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21196780d44049a1" Type="http://schemas.microsoft.com/office/2017/10/relationships/person" Target="persons/person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3333750" cy="819150"/>
    <xdr:pic>
      <xdr:nvPicPr>
        <xdr:cNvPr id="2" name="4bb3d9ac-2762-40e7-958a-70ab90b675a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twoCellAnchor>
    <xdr:from>
      <xdr:col>0</xdr:col>
      <xdr:colOff>0</xdr:colOff>
      <xdr:row>0</xdr:row>
      <xdr:rowOff>0</xdr:rowOff>
    </xdr:from>
    <xdr:to>
      <xdr:col>27</xdr:col>
      <xdr:colOff>9525</xdr:colOff>
      <xdr:row>29</xdr:row>
      <xdr:rowOff>200025</xdr:rowOff>
    </xdr:to>
    <xdr:sp macro="" textlink="">
      <xdr:nvSpPr>
        <xdr:cNvPr id="1029" name="Text Box 5" hidden="1">
          <a:extLst>
            <a:ext uri="{FF2B5EF4-FFF2-40B4-BE49-F238E27FC236}">
              <a16:creationId xmlns:a16="http://schemas.microsoft.com/office/drawing/2014/main" id="{F468A6E0-8AFC-7C9A-5163-53A0332FC26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27</xdr:col>
      <xdr:colOff>9525</xdr:colOff>
      <xdr:row>29</xdr:row>
      <xdr:rowOff>200025</xdr:rowOff>
    </xdr:to>
    <xdr:sp macro="" textlink="">
      <xdr:nvSpPr>
        <xdr:cNvPr id="3" name="AutoShape 5">
          <a:extLst>
            <a:ext uri="{FF2B5EF4-FFF2-40B4-BE49-F238E27FC236}">
              <a16:creationId xmlns:a16="http://schemas.microsoft.com/office/drawing/2014/main" id="{9EC057EF-4953-F867-41EE-3650A151FC04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27</xdr:col>
      <xdr:colOff>9525</xdr:colOff>
      <xdr:row>29</xdr:row>
      <xdr:rowOff>200025</xdr:rowOff>
    </xdr:to>
    <xdr:sp macro="" textlink="">
      <xdr:nvSpPr>
        <xdr:cNvPr id="4" name="AutoShape 5">
          <a:extLst>
            <a:ext uri="{FF2B5EF4-FFF2-40B4-BE49-F238E27FC236}">
              <a16:creationId xmlns:a16="http://schemas.microsoft.com/office/drawing/2014/main" id="{E27B0415-ACBC-6FF7-D049-51BF621744D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88C24719-C0F9-E2AD-719E-B29DD7D776D7}"/>
</xltc: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R419"/>
  <sheetViews>
    <sheetView tabSelected="1" view="pageBreakPreview" topLeftCell="A15" zoomScaleNormal="100" zoomScaleSheetLayoutView="100" workbookViewId="0">
      <selection activeCell="AM26" sqref="AM26"/>
    </sheetView>
  </sheetViews>
  <sheetFormatPr baseColWidth="10" defaultRowHeight="15" x14ac:dyDescent="0.25"/>
  <cols>
    <col min="1" max="48" width="5.28515625" style="1" customWidth="1"/>
    <col min="49" max="49" width="11.42578125" style="1"/>
    <col min="50" max="50" width="16.7109375" style="1" customWidth="1"/>
    <col min="51" max="51" width="18.42578125" style="1" customWidth="1"/>
    <col min="52" max="52" width="21.7109375" style="1" customWidth="1"/>
    <col min="53" max="66" width="11.42578125" style="1"/>
    <col min="67" max="67" width="13.140625" style="1" customWidth="1"/>
    <col min="68" max="68" width="31" style="1" customWidth="1"/>
    <col min="69" max="69" width="11.42578125" style="1"/>
    <col min="70" max="70" width="17.85546875" style="1" customWidth="1"/>
    <col min="71" max="16384" width="11.42578125" style="1"/>
  </cols>
  <sheetData>
    <row r="1" spans="1:70" ht="24.95" customHeight="1" thickTop="1" thickBot="1" x14ac:dyDescent="0.3">
      <c r="A1" s="89"/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1"/>
      <c r="O1" s="98" t="s">
        <v>0</v>
      </c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99"/>
      <c r="AD1" s="99"/>
      <c r="AE1" s="99"/>
      <c r="AF1" s="99"/>
      <c r="AG1" s="99"/>
      <c r="AH1" s="99"/>
      <c r="AI1" s="99"/>
      <c r="AJ1" s="99"/>
      <c r="AK1" s="99"/>
      <c r="AL1" s="99"/>
      <c r="AM1" s="99"/>
      <c r="AN1" s="99"/>
      <c r="AO1" s="99"/>
      <c r="AP1" s="100"/>
      <c r="AQ1" s="101" t="s">
        <v>76</v>
      </c>
      <c r="AR1" s="102"/>
      <c r="AS1" s="102"/>
      <c r="AT1" s="102"/>
      <c r="AU1" s="102"/>
      <c r="AV1" s="103"/>
    </row>
    <row r="2" spans="1:70" ht="24.95" customHeight="1" thickBot="1" x14ac:dyDescent="0.3">
      <c r="A2" s="92"/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4"/>
      <c r="O2" s="104" t="s">
        <v>1</v>
      </c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5"/>
      <c r="AN2" s="105"/>
      <c r="AO2" s="105"/>
      <c r="AP2" s="106"/>
      <c r="AQ2" s="110" t="s">
        <v>78</v>
      </c>
      <c r="AR2" s="111"/>
      <c r="AS2" s="111"/>
      <c r="AT2" s="111"/>
      <c r="AU2" s="111"/>
      <c r="AV2" s="112"/>
    </row>
    <row r="3" spans="1:70" ht="24.95" customHeight="1" thickBot="1" x14ac:dyDescent="0.3">
      <c r="A3" s="92"/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4"/>
      <c r="O3" s="104"/>
      <c r="P3" s="105"/>
      <c r="Q3" s="105"/>
      <c r="R3" s="105"/>
      <c r="S3" s="105"/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5"/>
      <c r="AN3" s="105"/>
      <c r="AO3" s="105"/>
      <c r="AP3" s="106"/>
      <c r="AQ3" s="110" t="s">
        <v>77</v>
      </c>
      <c r="AR3" s="111"/>
      <c r="AS3" s="111"/>
      <c r="AT3" s="111"/>
      <c r="AU3" s="111"/>
      <c r="AV3" s="112"/>
    </row>
    <row r="4" spans="1:70" ht="24.95" customHeight="1" thickBot="1" x14ac:dyDescent="0.3">
      <c r="A4" s="95"/>
      <c r="B4" s="96"/>
      <c r="C4" s="96"/>
      <c r="D4" s="96"/>
      <c r="E4" s="96"/>
      <c r="F4" s="96"/>
      <c r="G4" s="96"/>
      <c r="H4" s="96"/>
      <c r="I4" s="96"/>
      <c r="J4" s="96"/>
      <c r="K4" s="96"/>
      <c r="L4" s="96"/>
      <c r="M4" s="96"/>
      <c r="N4" s="97"/>
      <c r="O4" s="107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8"/>
      <c r="AF4" s="108"/>
      <c r="AG4" s="108"/>
      <c r="AH4" s="108"/>
      <c r="AI4" s="108"/>
      <c r="AJ4" s="108"/>
      <c r="AK4" s="108"/>
      <c r="AL4" s="108"/>
      <c r="AM4" s="108"/>
      <c r="AN4" s="108"/>
      <c r="AO4" s="108"/>
      <c r="AP4" s="109"/>
      <c r="AQ4" s="113" t="s">
        <v>79</v>
      </c>
      <c r="AR4" s="114"/>
      <c r="AS4" s="114"/>
      <c r="AT4" s="114"/>
      <c r="AU4" s="114"/>
      <c r="AV4" s="115"/>
      <c r="BO4" s="1" t="s">
        <v>89</v>
      </c>
    </row>
    <row r="5" spans="1:70" ht="6" customHeight="1" thickBot="1" x14ac:dyDescent="0.3">
      <c r="A5" s="3"/>
      <c r="AV5" s="4"/>
      <c r="BO5" s="1" t="s">
        <v>125</v>
      </c>
    </row>
    <row r="6" spans="1:70" ht="27.95" customHeight="1" x14ac:dyDescent="0.25">
      <c r="A6" s="26" t="s">
        <v>2</v>
      </c>
      <c r="B6" s="27"/>
      <c r="C6" s="27"/>
      <c r="D6" s="27"/>
      <c r="E6" s="27"/>
      <c r="F6" s="27"/>
      <c r="G6" s="27"/>
      <c r="H6" s="27"/>
      <c r="I6" s="28"/>
      <c r="J6" s="85">
        <v>46286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7"/>
      <c r="X6" s="73" t="s">
        <v>3</v>
      </c>
      <c r="Y6" s="74"/>
      <c r="Z6" s="74"/>
      <c r="AA6" s="74"/>
      <c r="AB6" s="74"/>
      <c r="AC6" s="74"/>
      <c r="AD6" s="74"/>
      <c r="AE6" s="74"/>
      <c r="AF6" s="75"/>
      <c r="AG6" s="85">
        <f>J6+8</f>
        <v>46294</v>
      </c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86"/>
      <c r="AS6" s="86"/>
      <c r="AT6" s="86"/>
      <c r="AU6" s="86"/>
      <c r="AV6" s="88"/>
      <c r="BO6" s="1" t="s">
        <v>129</v>
      </c>
    </row>
    <row r="7" spans="1:70" ht="6.75" customHeight="1" thickBot="1" x14ac:dyDescent="0.3">
      <c r="A7" s="3"/>
      <c r="AV7" s="4"/>
      <c r="BO7" s="1" t="s">
        <v>132</v>
      </c>
    </row>
    <row r="8" spans="1:70" ht="27.95" customHeight="1" thickBot="1" x14ac:dyDescent="0.3">
      <c r="A8" s="26" t="s">
        <v>4</v>
      </c>
      <c r="B8" s="27"/>
      <c r="C8" s="27"/>
      <c r="D8" s="27"/>
      <c r="E8" s="27"/>
      <c r="F8" s="27"/>
      <c r="G8" s="27"/>
      <c r="H8" s="27"/>
      <c r="I8" s="28"/>
      <c r="J8" s="29" t="s">
        <v>89</v>
      </c>
      <c r="K8" s="30"/>
      <c r="L8" s="30"/>
      <c r="M8" s="30"/>
      <c r="N8" s="30"/>
      <c r="O8" s="30"/>
      <c r="P8" s="31"/>
      <c r="Q8" s="26" t="s">
        <v>5</v>
      </c>
      <c r="R8" s="27"/>
      <c r="S8" s="27"/>
      <c r="T8" s="27"/>
      <c r="U8" s="27"/>
      <c r="V8" s="27"/>
      <c r="W8" s="27"/>
      <c r="X8" s="27"/>
      <c r="Y8" s="28"/>
      <c r="Z8" s="29" t="str">
        <f>VLOOKUP(J8,BK14:BQ419,3)</f>
        <v>Balanza Cap. 600g</v>
      </c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1"/>
      <c r="BO8" s="2" t="s">
        <v>806</v>
      </c>
      <c r="BP8" s="2"/>
      <c r="BQ8" s="2"/>
    </row>
    <row r="9" spans="1:70" ht="27.95" customHeight="1" thickBot="1" x14ac:dyDescent="0.3">
      <c r="A9" s="26" t="s">
        <v>6</v>
      </c>
      <c r="B9" s="27"/>
      <c r="C9" s="27"/>
      <c r="D9" s="27"/>
      <c r="E9" s="27"/>
      <c r="F9" s="27"/>
      <c r="G9" s="27"/>
      <c r="H9" s="27"/>
      <c r="I9" s="28"/>
      <c r="J9" s="29" t="str">
        <f>LOOKUP(J8,BK14:BK419,BO14:BO419)</f>
        <v>TRUMAX</v>
      </c>
      <c r="K9" s="30"/>
      <c r="L9" s="30"/>
      <c r="M9" s="30"/>
      <c r="N9" s="30"/>
      <c r="O9" s="30"/>
      <c r="P9" s="31"/>
      <c r="Q9" s="26" t="s">
        <v>30</v>
      </c>
      <c r="R9" s="27"/>
      <c r="S9" s="27"/>
      <c r="T9" s="27"/>
      <c r="U9" s="27"/>
      <c r="V9" s="27"/>
      <c r="W9" s="27"/>
      <c r="X9" s="27"/>
      <c r="Y9" s="28"/>
      <c r="Z9" s="29">
        <f>VLOOKUP(J8,BK14:BR419,8)</f>
        <v>0.01</v>
      </c>
      <c r="AA9" s="30"/>
      <c r="AB9" s="30"/>
      <c r="AC9" s="30"/>
      <c r="AD9" s="30"/>
      <c r="AE9" s="30"/>
      <c r="AF9" s="31"/>
      <c r="AG9" s="26" t="s">
        <v>7</v>
      </c>
      <c r="AH9" s="27"/>
      <c r="AI9" s="27"/>
      <c r="AJ9" s="27"/>
      <c r="AK9" s="27"/>
      <c r="AL9" s="27"/>
      <c r="AM9" s="27"/>
      <c r="AN9" s="27"/>
      <c r="AO9" s="28"/>
      <c r="AP9" s="29" t="str">
        <f>VLOOKUP(J8,BK13:BQ419,6)</f>
        <v>MIX-H</v>
      </c>
      <c r="AQ9" s="30"/>
      <c r="AR9" s="30"/>
      <c r="AS9" s="30"/>
      <c r="AT9" s="30"/>
      <c r="AU9" s="30"/>
      <c r="AV9" s="31"/>
      <c r="BO9" s="2"/>
      <c r="BP9" s="2"/>
      <c r="BQ9" s="2"/>
    </row>
    <row r="10" spans="1:70" ht="8.25" customHeight="1" x14ac:dyDescent="0.25">
      <c r="A10" s="3"/>
      <c r="B10" s="7"/>
      <c r="C10" s="7"/>
      <c r="D10" s="7"/>
      <c r="E10" s="7"/>
      <c r="AV10" s="4"/>
      <c r="BO10" s="2"/>
      <c r="BP10" s="2"/>
      <c r="BQ10" s="2"/>
    </row>
    <row r="11" spans="1:70" ht="27.95" customHeight="1" x14ac:dyDescent="0.25">
      <c r="A11" s="48" t="s">
        <v>31</v>
      </c>
      <c r="B11" s="49"/>
      <c r="C11" s="49"/>
      <c r="D11" s="49"/>
      <c r="E11" s="49"/>
      <c r="F11" s="49"/>
      <c r="G11" s="50"/>
      <c r="H11" s="119" t="s">
        <v>8</v>
      </c>
      <c r="I11" s="120"/>
      <c r="J11" s="120"/>
      <c r="K11" s="120"/>
      <c r="L11" s="120"/>
      <c r="M11" s="120"/>
      <c r="N11" s="120"/>
      <c r="O11" s="120"/>
      <c r="P11" s="120"/>
      <c r="Q11" s="120"/>
      <c r="R11" s="120"/>
      <c r="S11" s="27"/>
      <c r="T11" s="27"/>
      <c r="U11" s="27"/>
      <c r="V11" s="27"/>
      <c r="W11" s="27"/>
      <c r="X11" s="27"/>
      <c r="Y11" s="28"/>
      <c r="AB11" s="26" t="s">
        <v>32</v>
      </c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8"/>
      <c r="AV11" s="4"/>
      <c r="BO11" s="2"/>
      <c r="BP11" s="2"/>
      <c r="BQ11" s="2"/>
    </row>
    <row r="12" spans="1:70" ht="27.95" customHeight="1" thickBot="1" x14ac:dyDescent="0.3">
      <c r="A12" s="188"/>
      <c r="B12" s="189"/>
      <c r="C12" s="189"/>
      <c r="D12" s="189"/>
      <c r="E12" s="189"/>
      <c r="F12" s="189"/>
      <c r="G12" s="190"/>
      <c r="H12" s="26" t="s">
        <v>9</v>
      </c>
      <c r="I12" s="27"/>
      <c r="J12" s="27"/>
      <c r="K12" s="27"/>
      <c r="L12" s="27"/>
      <c r="M12" s="27"/>
      <c r="N12" s="27"/>
      <c r="O12" s="27"/>
      <c r="P12" s="27"/>
      <c r="Q12" s="27"/>
      <c r="R12" s="28"/>
      <c r="S12" s="38">
        <v>100</v>
      </c>
      <c r="T12" s="38"/>
      <c r="U12" s="38"/>
      <c r="V12" s="38"/>
      <c r="W12" s="38"/>
      <c r="X12" s="38"/>
      <c r="Y12" s="39"/>
      <c r="AB12" s="26" t="s">
        <v>9</v>
      </c>
      <c r="AC12" s="27"/>
      <c r="AD12" s="27"/>
      <c r="AE12" s="27"/>
      <c r="AF12" s="27"/>
      <c r="AG12" s="27"/>
      <c r="AH12" s="27"/>
      <c r="AI12" s="27"/>
      <c r="AJ12" s="27"/>
      <c r="AK12" s="27"/>
      <c r="AL12" s="28"/>
      <c r="AM12" s="38"/>
      <c r="AN12" s="38"/>
      <c r="AO12" s="38"/>
      <c r="AP12" s="38"/>
      <c r="AQ12" s="38"/>
      <c r="AR12" s="38"/>
      <c r="AS12" s="39"/>
      <c r="AV12" s="4"/>
      <c r="BO12" s="2"/>
      <c r="BP12" s="2"/>
      <c r="BQ12" s="2"/>
    </row>
    <row r="13" spans="1:70" ht="27.95" customHeight="1" thickBot="1" x14ac:dyDescent="0.3">
      <c r="A13" s="180" t="e" vm="1">
        <v>#VALUE!</v>
      </c>
      <c r="B13" s="181"/>
      <c r="C13" s="181"/>
      <c r="D13" s="181"/>
      <c r="E13" s="181"/>
      <c r="F13" s="181"/>
      <c r="G13" s="182"/>
      <c r="H13" s="36" t="s">
        <v>10</v>
      </c>
      <c r="I13" s="36"/>
      <c r="J13" s="37"/>
      <c r="K13" s="35" t="s">
        <v>33</v>
      </c>
      <c r="L13" s="36"/>
      <c r="M13" s="37"/>
      <c r="N13" s="35" t="s">
        <v>11</v>
      </c>
      <c r="O13" s="36"/>
      <c r="P13" s="36"/>
      <c r="Q13" s="40" t="s">
        <v>12</v>
      </c>
      <c r="R13" s="36"/>
      <c r="S13" s="34"/>
      <c r="T13" s="32" t="s">
        <v>13</v>
      </c>
      <c r="U13" s="33"/>
      <c r="V13" s="33"/>
      <c r="W13" s="33"/>
      <c r="X13" s="33"/>
      <c r="Y13" s="34"/>
      <c r="AB13" s="35" t="s">
        <v>34</v>
      </c>
      <c r="AC13" s="36"/>
      <c r="AD13" s="37"/>
      <c r="AE13" s="35" t="s">
        <v>33</v>
      </c>
      <c r="AF13" s="36"/>
      <c r="AG13" s="37"/>
      <c r="AH13" s="35" t="s">
        <v>11</v>
      </c>
      <c r="AI13" s="36"/>
      <c r="AJ13" s="36"/>
      <c r="AK13" s="40" t="s">
        <v>12</v>
      </c>
      <c r="AL13" s="36"/>
      <c r="AM13" s="34"/>
      <c r="AN13" s="32" t="s">
        <v>13</v>
      </c>
      <c r="AO13" s="33"/>
      <c r="AP13" s="33"/>
      <c r="AQ13" s="33"/>
      <c r="AR13" s="33"/>
      <c r="AS13" s="34"/>
      <c r="AV13" s="4"/>
      <c r="BJ13" s="225"/>
      <c r="BK13" s="226" t="s">
        <v>808</v>
      </c>
      <c r="BL13" s="219" t="s">
        <v>809</v>
      </c>
      <c r="BM13" s="220" t="s">
        <v>26</v>
      </c>
      <c r="BN13" s="221"/>
      <c r="BO13" s="222" t="s">
        <v>810</v>
      </c>
      <c r="BP13" s="223" t="s">
        <v>811</v>
      </c>
      <c r="BQ13" s="234" t="s">
        <v>812</v>
      </c>
      <c r="BR13" s="243" t="s">
        <v>813</v>
      </c>
    </row>
    <row r="14" spans="1:70" ht="27.95" customHeight="1" thickBot="1" x14ac:dyDescent="0.25">
      <c r="A14" s="183"/>
      <c r="B14" s="42"/>
      <c r="C14" s="42"/>
      <c r="D14" s="42"/>
      <c r="E14" s="42"/>
      <c r="F14" s="42"/>
      <c r="G14" s="184"/>
      <c r="H14" s="36"/>
      <c r="I14" s="36"/>
      <c r="J14" s="37"/>
      <c r="K14" s="35"/>
      <c r="L14" s="36"/>
      <c r="M14" s="37"/>
      <c r="N14" s="35"/>
      <c r="O14" s="36"/>
      <c r="P14" s="36"/>
      <c r="Q14" s="35"/>
      <c r="R14" s="36"/>
      <c r="S14" s="37"/>
      <c r="T14" s="35"/>
      <c r="U14" s="36"/>
      <c r="V14" s="36"/>
      <c r="W14" s="36"/>
      <c r="X14" s="36"/>
      <c r="Y14" s="37"/>
      <c r="AB14" s="35"/>
      <c r="AC14" s="36"/>
      <c r="AD14" s="37"/>
      <c r="AE14" s="35"/>
      <c r="AF14" s="36"/>
      <c r="AG14" s="37"/>
      <c r="AH14" s="35"/>
      <c r="AI14" s="36"/>
      <c r="AJ14" s="36"/>
      <c r="AK14" s="35"/>
      <c r="AL14" s="36"/>
      <c r="AM14" s="37"/>
      <c r="AN14" s="35"/>
      <c r="AO14" s="36"/>
      <c r="AP14" s="36"/>
      <c r="AQ14" s="36"/>
      <c r="AR14" s="36"/>
      <c r="AS14" s="37"/>
      <c r="AV14" s="4"/>
      <c r="BJ14" s="227"/>
      <c r="BK14" s="228" t="s">
        <v>90</v>
      </c>
      <c r="BL14" s="198">
        <v>1</v>
      </c>
      <c r="BM14" s="195" t="s">
        <v>91</v>
      </c>
      <c r="BN14" s="196"/>
      <c r="BO14" s="197" t="s">
        <v>92</v>
      </c>
      <c r="BP14" s="198" t="s">
        <v>93</v>
      </c>
      <c r="BQ14" s="235">
        <v>63178</v>
      </c>
      <c r="BR14" s="244"/>
    </row>
    <row r="15" spans="1:70" ht="30" customHeight="1" x14ac:dyDescent="0.2">
      <c r="A15" s="183"/>
      <c r="B15" s="42"/>
      <c r="C15" s="42"/>
      <c r="D15" s="42"/>
      <c r="E15" s="42"/>
      <c r="F15" s="42"/>
      <c r="G15" s="184"/>
      <c r="H15" s="121">
        <v>1</v>
      </c>
      <c r="I15" s="83"/>
      <c r="J15" s="84"/>
      <c r="K15" s="51"/>
      <c r="L15" s="52"/>
      <c r="M15" s="53"/>
      <c r="N15" s="54"/>
      <c r="O15" s="55"/>
      <c r="P15" s="56"/>
      <c r="Q15" s="57"/>
      <c r="R15" s="58"/>
      <c r="S15" s="59"/>
      <c r="T15" s="82" t="str">
        <f>IF(OR(COUNT(N15,Q15)&lt;2,Q15&lt;=0),"Pendiente",IF(ABS(N15)&lt;=Q15,"Cumple","No cumple"))</f>
        <v>Pendiente</v>
      </c>
      <c r="U15" s="83"/>
      <c r="V15" s="83"/>
      <c r="W15" s="83"/>
      <c r="X15" s="83"/>
      <c r="Y15" s="84"/>
      <c r="AB15" s="82">
        <v>1</v>
      </c>
      <c r="AC15" s="83"/>
      <c r="AD15" s="84"/>
      <c r="AE15" s="51"/>
      <c r="AF15" s="52"/>
      <c r="AG15" s="53"/>
      <c r="AH15" s="54" t="str">
        <f>IF(COUNT(AE15,$AM$12)&lt;2,"",AE15-$AM$12)</f>
        <v/>
      </c>
      <c r="AI15" s="55"/>
      <c r="AJ15" s="56"/>
      <c r="AK15" s="57"/>
      <c r="AL15" s="58"/>
      <c r="AM15" s="59"/>
      <c r="AN15" s="82" t="str">
        <f>IF(OR(COUNT(AH15,AK15)&lt;2,AK15&lt;=0),"Pendiente",IF(ABS(AH15)&lt;=AK15,"Cumple","No cumple"))</f>
        <v>Pendiente</v>
      </c>
      <c r="AO15" s="83"/>
      <c r="AP15" s="83"/>
      <c r="AQ15" s="83"/>
      <c r="AR15" s="83"/>
      <c r="AS15" s="84"/>
      <c r="AV15" s="4"/>
      <c r="BJ15" s="227"/>
      <c r="BK15" s="229" t="s">
        <v>94</v>
      </c>
      <c r="BL15" s="202">
        <v>1</v>
      </c>
      <c r="BM15" s="199" t="s">
        <v>95</v>
      </c>
      <c r="BN15" s="200"/>
      <c r="BO15" s="201" t="s">
        <v>96</v>
      </c>
      <c r="BP15" s="202" t="s">
        <v>97</v>
      </c>
      <c r="BQ15" s="236">
        <v>133</v>
      </c>
      <c r="BR15" s="245"/>
    </row>
    <row r="16" spans="1:70" ht="30" customHeight="1" x14ac:dyDescent="0.2">
      <c r="A16" s="183"/>
      <c r="B16" s="42"/>
      <c r="C16" s="42"/>
      <c r="D16" s="42"/>
      <c r="E16" s="42"/>
      <c r="F16" s="42"/>
      <c r="G16" s="184"/>
      <c r="H16" s="122">
        <v>2</v>
      </c>
      <c r="I16" s="47"/>
      <c r="J16" s="66"/>
      <c r="K16" s="67"/>
      <c r="L16" s="68"/>
      <c r="M16" s="69"/>
      <c r="N16" s="63" t="str">
        <f>IF(COUNT(K16,$S$12)&lt;2,"",K16-$S$12)</f>
        <v/>
      </c>
      <c r="O16" s="64"/>
      <c r="P16" s="65"/>
      <c r="Q16" s="116"/>
      <c r="R16" s="117"/>
      <c r="S16" s="118"/>
      <c r="T16" s="46" t="str">
        <f>IF(OR(COUNT(N16,Q16)&lt;2,Q16&lt;=0),"Pendiente",IF(ABS(N16)&lt;=Q16,"Cumple","No cumple"))</f>
        <v>Pendiente</v>
      </c>
      <c r="U16" s="47"/>
      <c r="V16" s="47"/>
      <c r="W16" s="47"/>
      <c r="X16" s="47"/>
      <c r="Y16" s="66"/>
      <c r="AB16" s="46">
        <v>2</v>
      </c>
      <c r="AC16" s="47"/>
      <c r="AD16" s="66"/>
      <c r="AE16" s="67"/>
      <c r="AF16" s="68"/>
      <c r="AG16" s="69"/>
      <c r="AH16" s="63" t="str">
        <f>IF(COUNT(AE16,$AM$12)&lt;2,"",AE16-$AM$12)</f>
        <v/>
      </c>
      <c r="AI16" s="64"/>
      <c r="AJ16" s="65"/>
      <c r="AK16" s="116"/>
      <c r="AL16" s="117"/>
      <c r="AM16" s="118"/>
      <c r="AN16" s="46" t="str">
        <f>IF(OR(COUNT(AH16,AK16)&lt;2,AK16&lt;=0),"Pendiente",IF(ABS(AH16)&lt;=AK16,"Cumple","No cumple"))</f>
        <v>Pendiente</v>
      </c>
      <c r="AO16" s="47"/>
      <c r="AP16" s="47"/>
      <c r="AQ16" s="47"/>
      <c r="AR16" s="47"/>
      <c r="AS16" s="66"/>
      <c r="AV16" s="4"/>
      <c r="BJ16" s="227"/>
      <c r="BK16" s="229" t="s">
        <v>98</v>
      </c>
      <c r="BL16" s="202">
        <v>1</v>
      </c>
      <c r="BM16" s="199" t="s">
        <v>99</v>
      </c>
      <c r="BN16" s="200"/>
      <c r="BO16" s="201" t="s">
        <v>96</v>
      </c>
      <c r="BP16" s="202" t="s">
        <v>100</v>
      </c>
      <c r="BQ16" s="236">
        <v>183</v>
      </c>
      <c r="BR16" s="245"/>
    </row>
    <row r="17" spans="1:70" ht="30" customHeight="1" x14ac:dyDescent="0.2">
      <c r="A17" s="183"/>
      <c r="B17" s="42"/>
      <c r="C17" s="42"/>
      <c r="D17" s="42"/>
      <c r="E17" s="42"/>
      <c r="F17" s="42"/>
      <c r="G17" s="184"/>
      <c r="H17" s="122">
        <v>3</v>
      </c>
      <c r="I17" s="47"/>
      <c r="J17" s="66"/>
      <c r="K17" s="67"/>
      <c r="L17" s="68"/>
      <c r="M17" s="69"/>
      <c r="N17" s="63" t="str">
        <f t="shared" ref="N17:N19" si="0">IF(COUNT(K17,$S$12)&lt;2,"",K17-$S$12)</f>
        <v/>
      </c>
      <c r="O17" s="64"/>
      <c r="P17" s="65"/>
      <c r="Q17" s="60"/>
      <c r="R17" s="61"/>
      <c r="S17" s="62"/>
      <c r="T17" s="46" t="str">
        <f t="shared" ref="T17:T19" si="1">IF(OR(COUNT(N17,Q17)&lt;2,Q17&lt;=0),"Pendiente",IF(ABS(N17)&lt;=Q17,"Cumple","No cumple"))</f>
        <v>Pendiente</v>
      </c>
      <c r="U17" s="47"/>
      <c r="V17" s="47"/>
      <c r="W17" s="47"/>
      <c r="X17" s="47"/>
      <c r="Y17" s="66"/>
      <c r="AB17" s="46">
        <v>3</v>
      </c>
      <c r="AC17" s="47"/>
      <c r="AD17" s="66"/>
      <c r="AE17" s="67"/>
      <c r="AF17" s="68"/>
      <c r="AG17" s="69"/>
      <c r="AH17" s="63" t="str">
        <f t="shared" ref="AH17:AH19" si="2">IF(COUNT(AE17,$AM$12)&lt;2,"",AE17-$AM$12)</f>
        <v/>
      </c>
      <c r="AI17" s="64"/>
      <c r="AJ17" s="65"/>
      <c r="AK17" s="60"/>
      <c r="AL17" s="61"/>
      <c r="AM17" s="62"/>
      <c r="AN17" s="46" t="str">
        <f t="shared" ref="AN17:AN19" si="3">IF(OR(COUNT(AH17,AK17)&lt;2,AK17&lt;=0),"Pendiente",IF(ABS(AH17)&lt;=AK17,"Cumple","No cumple"))</f>
        <v>Pendiente</v>
      </c>
      <c r="AO17" s="47"/>
      <c r="AP17" s="47"/>
      <c r="AQ17" s="47"/>
      <c r="AR17" s="47"/>
      <c r="AS17" s="66"/>
      <c r="AV17" s="4"/>
      <c r="BJ17" s="227"/>
      <c r="BK17" s="229" t="s">
        <v>101</v>
      </c>
      <c r="BL17" s="202">
        <v>1</v>
      </c>
      <c r="BM17" s="199" t="s">
        <v>102</v>
      </c>
      <c r="BN17" s="200"/>
      <c r="BO17" s="201" t="s">
        <v>96</v>
      </c>
      <c r="BP17" s="202" t="s">
        <v>103</v>
      </c>
      <c r="BQ17" s="237" t="s">
        <v>104</v>
      </c>
      <c r="BR17" s="245"/>
    </row>
    <row r="18" spans="1:70" ht="30" customHeight="1" x14ac:dyDescent="0.2">
      <c r="A18" s="183"/>
      <c r="B18" s="42"/>
      <c r="C18" s="42"/>
      <c r="D18" s="42"/>
      <c r="E18" s="42"/>
      <c r="F18" s="42"/>
      <c r="G18" s="184"/>
      <c r="H18" s="122">
        <v>4</v>
      </c>
      <c r="I18" s="47"/>
      <c r="J18" s="66"/>
      <c r="K18" s="67"/>
      <c r="L18" s="68"/>
      <c r="M18" s="69"/>
      <c r="N18" s="63" t="str">
        <f t="shared" si="0"/>
        <v/>
      </c>
      <c r="O18" s="64"/>
      <c r="P18" s="65"/>
      <c r="Q18" s="60"/>
      <c r="R18" s="61"/>
      <c r="S18" s="62"/>
      <c r="T18" s="46" t="str">
        <f t="shared" si="1"/>
        <v>Pendiente</v>
      </c>
      <c r="U18" s="47"/>
      <c r="V18" s="47"/>
      <c r="W18" s="47"/>
      <c r="X18" s="47"/>
      <c r="Y18" s="66"/>
      <c r="AB18" s="46">
        <v>4</v>
      </c>
      <c r="AC18" s="47"/>
      <c r="AD18" s="66"/>
      <c r="AE18" s="67"/>
      <c r="AF18" s="68"/>
      <c r="AG18" s="69"/>
      <c r="AH18" s="63" t="str">
        <f t="shared" si="2"/>
        <v/>
      </c>
      <c r="AI18" s="64"/>
      <c r="AJ18" s="65"/>
      <c r="AK18" s="60"/>
      <c r="AL18" s="61"/>
      <c r="AM18" s="62"/>
      <c r="AN18" s="46" t="str">
        <f t="shared" si="3"/>
        <v>Pendiente</v>
      </c>
      <c r="AO18" s="47"/>
      <c r="AP18" s="47"/>
      <c r="AQ18" s="47"/>
      <c r="AR18" s="47"/>
      <c r="AS18" s="66"/>
      <c r="AV18" s="4"/>
      <c r="BJ18" s="227"/>
      <c r="BK18" s="229" t="s">
        <v>105</v>
      </c>
      <c r="BL18" s="202">
        <v>1</v>
      </c>
      <c r="BM18" s="199" t="s">
        <v>106</v>
      </c>
      <c r="BN18" s="200"/>
      <c r="BO18" s="201" t="s">
        <v>96</v>
      </c>
      <c r="BP18" s="202" t="s">
        <v>103</v>
      </c>
      <c r="BQ18" s="237" t="s">
        <v>104</v>
      </c>
      <c r="BR18" s="245"/>
    </row>
    <row r="19" spans="1:70" ht="30" customHeight="1" thickBot="1" x14ac:dyDescent="0.25">
      <c r="A19" s="183"/>
      <c r="B19" s="42"/>
      <c r="C19" s="42"/>
      <c r="D19" s="42"/>
      <c r="E19" s="42"/>
      <c r="F19" s="42"/>
      <c r="G19" s="184"/>
      <c r="H19" s="144">
        <v>5</v>
      </c>
      <c r="I19" s="71"/>
      <c r="J19" s="72"/>
      <c r="K19" s="123"/>
      <c r="L19" s="124"/>
      <c r="M19" s="125"/>
      <c r="N19" s="126" t="str">
        <f t="shared" si="0"/>
        <v/>
      </c>
      <c r="O19" s="127"/>
      <c r="P19" s="128"/>
      <c r="Q19" s="129"/>
      <c r="R19" s="130"/>
      <c r="S19" s="131"/>
      <c r="T19" s="70" t="str">
        <f t="shared" si="1"/>
        <v>Pendiente</v>
      </c>
      <c r="U19" s="71"/>
      <c r="V19" s="71"/>
      <c r="W19" s="71"/>
      <c r="X19" s="71"/>
      <c r="Y19" s="72"/>
      <c r="AB19" s="70">
        <v>5</v>
      </c>
      <c r="AC19" s="71"/>
      <c r="AD19" s="72"/>
      <c r="AE19" s="123"/>
      <c r="AF19" s="124"/>
      <c r="AG19" s="125"/>
      <c r="AH19" s="126" t="str">
        <f t="shared" si="2"/>
        <v/>
      </c>
      <c r="AI19" s="127"/>
      <c r="AJ19" s="128"/>
      <c r="AK19" s="129"/>
      <c r="AL19" s="130"/>
      <c r="AM19" s="131"/>
      <c r="AN19" s="70" t="str">
        <f t="shared" si="3"/>
        <v>Pendiente</v>
      </c>
      <c r="AO19" s="71"/>
      <c r="AP19" s="71"/>
      <c r="AQ19" s="71"/>
      <c r="AR19" s="71"/>
      <c r="AS19" s="72"/>
      <c r="AV19" s="4"/>
      <c r="BJ19" s="227"/>
      <c r="BK19" s="229" t="s">
        <v>107</v>
      </c>
      <c r="BL19" s="202">
        <v>1</v>
      </c>
      <c r="BM19" s="199" t="s">
        <v>108</v>
      </c>
      <c r="BN19" s="200"/>
      <c r="BO19" s="201" t="s">
        <v>96</v>
      </c>
      <c r="BP19" s="202" t="s">
        <v>109</v>
      </c>
      <c r="BQ19" s="236">
        <v>5</v>
      </c>
      <c r="BR19" s="245"/>
    </row>
    <row r="20" spans="1:70" ht="6.75" customHeight="1" thickBot="1" x14ac:dyDescent="0.25">
      <c r="A20" s="183"/>
      <c r="B20" s="42"/>
      <c r="C20" s="42"/>
      <c r="D20" s="42"/>
      <c r="E20" s="42"/>
      <c r="F20" s="42"/>
      <c r="G20" s="184"/>
      <c r="AV20" s="4"/>
      <c r="BJ20" s="227"/>
      <c r="BK20" s="229" t="s">
        <v>110</v>
      </c>
      <c r="BL20" s="202">
        <v>1</v>
      </c>
      <c r="BM20" s="199" t="s">
        <v>111</v>
      </c>
      <c r="BN20" s="200"/>
      <c r="BO20" s="201" t="s">
        <v>96</v>
      </c>
      <c r="BP20" s="202" t="s">
        <v>109</v>
      </c>
      <c r="BQ20" s="236">
        <v>5</v>
      </c>
      <c r="BR20" s="245"/>
    </row>
    <row r="21" spans="1:70" ht="27.95" customHeight="1" thickBot="1" x14ac:dyDescent="0.25">
      <c r="A21" s="183"/>
      <c r="B21" s="42"/>
      <c r="C21" s="42"/>
      <c r="D21" s="42"/>
      <c r="E21" s="42"/>
      <c r="F21" s="42"/>
      <c r="G21" s="184"/>
      <c r="H21" s="247" t="s">
        <v>35</v>
      </c>
      <c r="I21" s="248"/>
      <c r="J21" s="248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/>
      <c r="V21" s="249"/>
      <c r="W21" s="249"/>
      <c r="X21" s="249"/>
      <c r="Y21" s="249"/>
      <c r="Z21" s="249"/>
      <c r="AA21" s="249"/>
      <c r="AB21" s="249"/>
      <c r="AC21" s="249"/>
      <c r="AD21" s="249"/>
      <c r="AE21" s="249"/>
      <c r="AF21" s="249"/>
      <c r="AG21" s="249"/>
      <c r="AH21" s="249"/>
      <c r="AI21" s="249"/>
      <c r="AJ21" s="249"/>
      <c r="AK21" s="250"/>
      <c r="AL21" s="8"/>
      <c r="AM21" s="8"/>
      <c r="AN21" s="8"/>
      <c r="AO21" s="8"/>
      <c r="AP21" s="8"/>
      <c r="AQ21" s="8"/>
      <c r="AR21" s="8"/>
      <c r="AS21" s="8"/>
      <c r="AV21" s="4"/>
      <c r="BJ21" s="227"/>
      <c r="BK21" s="229" t="s">
        <v>112</v>
      </c>
      <c r="BL21" s="202">
        <v>1</v>
      </c>
      <c r="BM21" s="199" t="s">
        <v>113</v>
      </c>
      <c r="BN21" s="200"/>
      <c r="BO21" s="201" t="s">
        <v>96</v>
      </c>
      <c r="BP21" s="202" t="s">
        <v>114</v>
      </c>
      <c r="BQ21" s="236">
        <v>132</v>
      </c>
      <c r="BR21" s="245"/>
    </row>
    <row r="22" spans="1:70" ht="27.95" customHeight="1" x14ac:dyDescent="0.2">
      <c r="A22" s="183"/>
      <c r="B22" s="42"/>
      <c r="C22" s="42"/>
      <c r="D22" s="42"/>
      <c r="E22" s="42"/>
      <c r="F22" s="42"/>
      <c r="G22" s="184"/>
      <c r="H22" s="251" t="s">
        <v>14</v>
      </c>
      <c r="I22" s="167"/>
      <c r="J22" s="168"/>
      <c r="K22" s="132" t="s">
        <v>15</v>
      </c>
      <c r="L22" s="133"/>
      <c r="M22" s="134"/>
      <c r="N22" s="132" t="s">
        <v>16</v>
      </c>
      <c r="O22" s="133"/>
      <c r="P22" s="133"/>
      <c r="Q22" s="133"/>
      <c r="R22" s="133"/>
      <c r="S22" s="134"/>
      <c r="T22" s="132" t="s">
        <v>17</v>
      </c>
      <c r="U22" s="133"/>
      <c r="V22" s="133"/>
      <c r="W22" s="133"/>
      <c r="X22" s="133"/>
      <c r="Y22" s="134"/>
      <c r="Z22" s="161" t="s">
        <v>12</v>
      </c>
      <c r="AA22" s="162"/>
      <c r="AB22" s="162"/>
      <c r="AC22" s="163"/>
      <c r="AD22" s="132" t="s">
        <v>36</v>
      </c>
      <c r="AE22" s="133"/>
      <c r="AF22" s="133"/>
      <c r="AG22" s="133"/>
      <c r="AH22" s="133"/>
      <c r="AI22" s="133"/>
      <c r="AJ22" s="133"/>
      <c r="AK22" s="252"/>
      <c r="AL22" s="9"/>
      <c r="AM22" s="9"/>
      <c r="AN22" s="9"/>
      <c r="AO22" s="9"/>
      <c r="AP22" s="9"/>
      <c r="AQ22" s="9"/>
      <c r="AR22" s="9"/>
      <c r="AS22" s="9"/>
      <c r="AV22" s="4"/>
      <c r="BJ22" s="227"/>
      <c r="BK22" s="229" t="s">
        <v>115</v>
      </c>
      <c r="BL22" s="202">
        <v>1</v>
      </c>
      <c r="BM22" s="199" t="s">
        <v>116</v>
      </c>
      <c r="BN22" s="200"/>
      <c r="BO22" s="201" t="s">
        <v>96</v>
      </c>
      <c r="BP22" s="202" t="s">
        <v>117</v>
      </c>
      <c r="BQ22" s="236">
        <v>257</v>
      </c>
      <c r="BR22" s="245"/>
    </row>
    <row r="23" spans="1:70" ht="27.95" customHeight="1" thickBot="1" x14ac:dyDescent="0.25">
      <c r="A23" s="183"/>
      <c r="B23" s="42"/>
      <c r="C23" s="42"/>
      <c r="D23" s="42"/>
      <c r="E23" s="42"/>
      <c r="F23" s="42"/>
      <c r="G23" s="184"/>
      <c r="H23" s="253"/>
      <c r="I23" s="149"/>
      <c r="J23" s="169"/>
      <c r="K23" s="148"/>
      <c r="L23" s="149"/>
      <c r="M23" s="150"/>
      <c r="N23" s="148" t="s">
        <v>37</v>
      </c>
      <c r="O23" s="149"/>
      <c r="P23" s="149"/>
      <c r="Q23" s="149" t="s">
        <v>38</v>
      </c>
      <c r="R23" s="149"/>
      <c r="S23" s="150"/>
      <c r="T23" s="148" t="s">
        <v>37</v>
      </c>
      <c r="U23" s="149"/>
      <c r="V23" s="149"/>
      <c r="W23" s="149" t="s">
        <v>38</v>
      </c>
      <c r="X23" s="149"/>
      <c r="Y23" s="150"/>
      <c r="Z23" s="164"/>
      <c r="AA23" s="165"/>
      <c r="AB23" s="165"/>
      <c r="AC23" s="166"/>
      <c r="AD23" s="148" t="s">
        <v>37</v>
      </c>
      <c r="AE23" s="149"/>
      <c r="AF23" s="149"/>
      <c r="AG23" s="149"/>
      <c r="AH23" s="149" t="s">
        <v>38</v>
      </c>
      <c r="AI23" s="149"/>
      <c r="AJ23" s="149"/>
      <c r="AK23" s="254"/>
      <c r="AL23" s="9"/>
      <c r="AM23" s="9"/>
      <c r="AN23" s="9"/>
      <c r="AO23" s="9"/>
      <c r="AP23" s="9"/>
      <c r="AQ23" s="9"/>
      <c r="AR23" s="9"/>
      <c r="AS23" s="9"/>
      <c r="AV23" s="4"/>
      <c r="BJ23" s="227"/>
      <c r="BK23" s="229" t="s">
        <v>118</v>
      </c>
      <c r="BL23" s="202">
        <v>1</v>
      </c>
      <c r="BM23" s="199" t="s">
        <v>119</v>
      </c>
      <c r="BN23" s="200"/>
      <c r="BO23" s="201" t="s">
        <v>120</v>
      </c>
      <c r="BP23" s="202" t="s">
        <v>121</v>
      </c>
      <c r="BQ23" s="236" t="s">
        <v>93</v>
      </c>
      <c r="BR23" s="245"/>
    </row>
    <row r="24" spans="1:70" ht="30" customHeight="1" x14ac:dyDescent="0.2">
      <c r="A24" s="183"/>
      <c r="B24" s="42"/>
      <c r="C24" s="42"/>
      <c r="D24" s="42"/>
      <c r="E24" s="42"/>
      <c r="F24" s="42"/>
      <c r="G24" s="184"/>
      <c r="H24" s="255">
        <v>1</v>
      </c>
      <c r="I24" s="155"/>
      <c r="J24" s="170"/>
      <c r="K24" s="171"/>
      <c r="L24" s="172"/>
      <c r="M24" s="173"/>
      <c r="N24" s="151"/>
      <c r="O24" s="152"/>
      <c r="P24" s="152"/>
      <c r="Q24" s="152"/>
      <c r="R24" s="152"/>
      <c r="S24" s="153"/>
      <c r="T24" s="154" t="str">
        <f>IF(COUNT(N24,K24)&lt;2,"",N24-K24)</f>
        <v/>
      </c>
      <c r="U24" s="155"/>
      <c r="V24" s="155"/>
      <c r="W24" s="155" t="str">
        <f>IF(COUNT(Q24,K24)&lt;2,"",Q24-K24)</f>
        <v/>
      </c>
      <c r="X24" s="155"/>
      <c r="Y24" s="160"/>
      <c r="Z24" s="174"/>
      <c r="AA24" s="175"/>
      <c r="AB24" s="175"/>
      <c r="AC24" s="176"/>
      <c r="AD24" s="154" t="str">
        <f>IF(OR(COUNT(T24,Z24)&lt;2,Z24&lt;=0),"Pendiente",IF(ABS(T24)&lt;=Z24,"Cumple","No cumple"))</f>
        <v>Pendiente</v>
      </c>
      <c r="AE24" s="155"/>
      <c r="AF24" s="155"/>
      <c r="AG24" s="160"/>
      <c r="AH24" s="154" t="str">
        <f>IF(OR(COUNT(W24,Z24)&lt;2,Z24&lt;=0),"Pendiente",IF(ABS(W24)&lt;=Z24,"Cumple","No cumple"))</f>
        <v>Pendiente</v>
      </c>
      <c r="AI24" s="155"/>
      <c r="AJ24" s="155"/>
      <c r="AK24" s="256"/>
      <c r="AL24" s="7"/>
      <c r="AM24" s="7"/>
      <c r="AN24" s="7"/>
      <c r="AO24" s="7"/>
      <c r="AP24" s="7"/>
      <c r="AQ24" s="7"/>
      <c r="AR24" s="7"/>
      <c r="AS24" s="7"/>
      <c r="AV24" s="4"/>
      <c r="BJ24" s="227"/>
      <c r="BK24" s="229" t="s">
        <v>89</v>
      </c>
      <c r="BL24" s="202">
        <v>1</v>
      </c>
      <c r="BM24" s="199" t="s">
        <v>122</v>
      </c>
      <c r="BN24" s="200"/>
      <c r="BO24" s="201" t="s">
        <v>123</v>
      </c>
      <c r="BP24" s="202" t="s">
        <v>124</v>
      </c>
      <c r="BQ24" s="236" t="s">
        <v>93</v>
      </c>
      <c r="BR24" s="245">
        <v>0.01</v>
      </c>
    </row>
    <row r="25" spans="1:70" ht="30" customHeight="1" x14ac:dyDescent="0.2">
      <c r="A25" s="183"/>
      <c r="B25" s="42"/>
      <c r="C25" s="42"/>
      <c r="D25" s="42"/>
      <c r="E25" s="42"/>
      <c r="F25" s="42"/>
      <c r="G25" s="184"/>
      <c r="H25" s="257">
        <v>2</v>
      </c>
      <c r="I25" s="135"/>
      <c r="J25" s="138"/>
      <c r="K25" s="139"/>
      <c r="L25" s="140"/>
      <c r="M25" s="141"/>
      <c r="N25" s="145"/>
      <c r="O25" s="146"/>
      <c r="P25" s="146"/>
      <c r="Q25" s="146"/>
      <c r="R25" s="146"/>
      <c r="S25" s="147"/>
      <c r="T25" s="142" t="str">
        <f>IF(COUNT(N25,K25)&lt;2,"",N25-K25)</f>
        <v/>
      </c>
      <c r="U25" s="143"/>
      <c r="V25" s="137"/>
      <c r="W25" s="135" t="str">
        <f>IF(COUNT(Q25,K25)&lt;2,"",Q25-K25)</f>
        <v/>
      </c>
      <c r="X25" s="135"/>
      <c r="Y25" s="136"/>
      <c r="Z25" s="177"/>
      <c r="AA25" s="178"/>
      <c r="AB25" s="178"/>
      <c r="AC25" s="179"/>
      <c r="AD25" s="156" t="str">
        <f>IF(OR(COUNT(T25,Z25)&lt;2,Z25&lt;=0),"Pendiente",IF(ABS(T25)&lt;=Z25,"Cumple","No cumple"))</f>
        <v>Pendiente</v>
      </c>
      <c r="AE25" s="135"/>
      <c r="AF25" s="135"/>
      <c r="AG25" s="136"/>
      <c r="AH25" s="156" t="str">
        <f>IF(OR(COUNT(W25,Z25)&lt;2,Z25&lt;=0),"Pendiente",IF(ABS(W25)&lt;=Z25,"Cumple","No cumple"))</f>
        <v>Pendiente</v>
      </c>
      <c r="AI25" s="135"/>
      <c r="AJ25" s="135"/>
      <c r="AK25" s="258"/>
      <c r="AL25" s="7"/>
      <c r="AM25" s="7"/>
      <c r="AN25" s="7"/>
      <c r="AO25" s="7"/>
      <c r="AP25" s="7"/>
      <c r="AQ25" s="7"/>
      <c r="AR25" s="7"/>
      <c r="AS25" s="7"/>
      <c r="AV25" s="4"/>
      <c r="BJ25" s="227"/>
      <c r="BK25" s="229" t="s">
        <v>125</v>
      </c>
      <c r="BL25" s="202">
        <v>1</v>
      </c>
      <c r="BM25" s="199" t="s">
        <v>126</v>
      </c>
      <c r="BN25" s="200"/>
      <c r="BO25" s="201" t="s">
        <v>127</v>
      </c>
      <c r="BP25" s="202" t="s">
        <v>128</v>
      </c>
      <c r="BQ25" s="236" t="s">
        <v>93</v>
      </c>
      <c r="BR25" s="245">
        <v>0.01</v>
      </c>
    </row>
    <row r="26" spans="1:70" ht="30" customHeight="1" x14ac:dyDescent="0.2">
      <c r="A26" s="183"/>
      <c r="B26" s="42"/>
      <c r="C26" s="42"/>
      <c r="D26" s="42"/>
      <c r="E26" s="42"/>
      <c r="F26" s="42"/>
      <c r="G26" s="184"/>
      <c r="H26" s="257">
        <v>3</v>
      </c>
      <c r="I26" s="135"/>
      <c r="J26" s="138"/>
      <c r="K26" s="139"/>
      <c r="L26" s="140"/>
      <c r="M26" s="141"/>
      <c r="N26" s="145"/>
      <c r="O26" s="146"/>
      <c r="P26" s="146"/>
      <c r="Q26" s="146"/>
      <c r="R26" s="146"/>
      <c r="S26" s="147"/>
      <c r="T26" s="142" t="str">
        <f t="shared" ref="T26:T31" si="4">IF(COUNT(N26,K26)&lt;2,"",N26-K26)</f>
        <v/>
      </c>
      <c r="U26" s="143"/>
      <c r="V26" s="137"/>
      <c r="W26" s="135" t="str">
        <f t="shared" ref="W26:W31" si="5">IF(COUNT(Q26,K26)&lt;2,"",Q26-K26)</f>
        <v/>
      </c>
      <c r="X26" s="135"/>
      <c r="Y26" s="136"/>
      <c r="Z26" s="157"/>
      <c r="AA26" s="158"/>
      <c r="AB26" s="158"/>
      <c r="AC26" s="159"/>
      <c r="AD26" s="156" t="str">
        <f t="shared" ref="AD26:AD31" si="6">IF(OR(COUNT(T26,Z26)&lt;2,Z26&lt;=0),"Pendiente",IF(ABS(T26)&lt;=Z26,"Cumple","No cumple"))</f>
        <v>Pendiente</v>
      </c>
      <c r="AE26" s="135"/>
      <c r="AF26" s="135"/>
      <c r="AG26" s="136"/>
      <c r="AH26" s="156" t="str">
        <f t="shared" ref="AH26:AH31" si="7">IF(OR(COUNT(W26,Z26)&lt;2,Z26&lt;=0),"Pendiente",IF(ABS(W26)&lt;=Z26,"Cumple","No cumple"))</f>
        <v>Pendiente</v>
      </c>
      <c r="AI26" s="135"/>
      <c r="AJ26" s="135"/>
      <c r="AK26" s="258"/>
      <c r="AL26" s="7"/>
      <c r="AM26" s="7"/>
      <c r="AN26" s="7"/>
      <c r="AO26" s="7"/>
      <c r="AP26" s="7"/>
      <c r="AQ26" s="7"/>
      <c r="AR26" s="7"/>
      <c r="AS26" s="7"/>
      <c r="AV26" s="4"/>
      <c r="BJ26" s="227"/>
      <c r="BK26" s="229" t="s">
        <v>129</v>
      </c>
      <c r="BL26" s="202">
        <v>1</v>
      </c>
      <c r="BM26" s="199" t="s">
        <v>130</v>
      </c>
      <c r="BN26" s="200"/>
      <c r="BO26" s="201" t="s">
        <v>123</v>
      </c>
      <c r="BP26" s="202" t="s">
        <v>131</v>
      </c>
      <c r="BQ26" s="236" t="s">
        <v>93</v>
      </c>
      <c r="BR26" s="245">
        <v>1</v>
      </c>
    </row>
    <row r="27" spans="1:70" ht="30" customHeight="1" x14ac:dyDescent="0.2">
      <c r="A27" s="183"/>
      <c r="B27" s="42"/>
      <c r="C27" s="42"/>
      <c r="D27" s="42"/>
      <c r="E27" s="42"/>
      <c r="F27" s="42"/>
      <c r="G27" s="184"/>
      <c r="H27" s="257">
        <v>4</v>
      </c>
      <c r="I27" s="135"/>
      <c r="J27" s="138"/>
      <c r="K27" s="139"/>
      <c r="L27" s="140"/>
      <c r="M27" s="141"/>
      <c r="N27" s="145"/>
      <c r="O27" s="146"/>
      <c r="P27" s="146"/>
      <c r="Q27" s="146"/>
      <c r="R27" s="146"/>
      <c r="S27" s="147"/>
      <c r="T27" s="142" t="str">
        <f t="shared" si="4"/>
        <v/>
      </c>
      <c r="U27" s="143"/>
      <c r="V27" s="137"/>
      <c r="W27" s="135" t="str">
        <f t="shared" si="5"/>
        <v/>
      </c>
      <c r="X27" s="135"/>
      <c r="Y27" s="136"/>
      <c r="Z27" s="157"/>
      <c r="AA27" s="158"/>
      <c r="AB27" s="158"/>
      <c r="AC27" s="159"/>
      <c r="AD27" s="156" t="str">
        <f t="shared" si="6"/>
        <v>Pendiente</v>
      </c>
      <c r="AE27" s="135"/>
      <c r="AF27" s="135"/>
      <c r="AG27" s="136"/>
      <c r="AH27" s="156" t="str">
        <f t="shared" si="7"/>
        <v>Pendiente</v>
      </c>
      <c r="AI27" s="135"/>
      <c r="AJ27" s="135"/>
      <c r="AK27" s="258"/>
      <c r="AL27" s="7"/>
      <c r="AM27" s="7"/>
      <c r="AN27" s="7"/>
      <c r="AO27" s="7"/>
      <c r="AP27" s="7"/>
      <c r="AQ27" s="7"/>
      <c r="AR27" s="7"/>
      <c r="AS27" s="7"/>
      <c r="AV27" s="4"/>
      <c r="BJ27" s="227"/>
      <c r="BK27" s="229" t="s">
        <v>132</v>
      </c>
      <c r="BL27" s="202">
        <v>1</v>
      </c>
      <c r="BM27" s="199" t="s">
        <v>133</v>
      </c>
      <c r="BN27" s="200"/>
      <c r="BO27" s="201" t="s">
        <v>134</v>
      </c>
      <c r="BP27" s="202" t="s">
        <v>135</v>
      </c>
      <c r="BQ27" s="236" t="s">
        <v>93</v>
      </c>
      <c r="BR27" s="245">
        <v>0.1</v>
      </c>
    </row>
    <row r="28" spans="1:70" ht="30" customHeight="1" x14ac:dyDescent="0.2">
      <c r="A28" s="183"/>
      <c r="B28" s="42"/>
      <c r="C28" s="42"/>
      <c r="D28" s="42"/>
      <c r="E28" s="42"/>
      <c r="F28" s="42"/>
      <c r="G28" s="184"/>
      <c r="H28" s="257">
        <v>5</v>
      </c>
      <c r="I28" s="135"/>
      <c r="J28" s="138"/>
      <c r="K28" s="139"/>
      <c r="L28" s="140"/>
      <c r="M28" s="141"/>
      <c r="N28" s="145"/>
      <c r="O28" s="146"/>
      <c r="P28" s="146"/>
      <c r="Q28" s="146"/>
      <c r="R28" s="146"/>
      <c r="S28" s="147"/>
      <c r="T28" s="142" t="str">
        <f t="shared" si="4"/>
        <v/>
      </c>
      <c r="U28" s="143"/>
      <c r="V28" s="137"/>
      <c r="W28" s="135" t="str">
        <f>IF(COUNT(Q28,K28)&lt;2,"",Q28-K28)</f>
        <v/>
      </c>
      <c r="X28" s="135"/>
      <c r="Y28" s="136"/>
      <c r="Z28" s="157"/>
      <c r="AA28" s="158"/>
      <c r="AB28" s="158"/>
      <c r="AC28" s="159"/>
      <c r="AD28" s="156" t="str">
        <f t="shared" si="6"/>
        <v>Pendiente</v>
      </c>
      <c r="AE28" s="135"/>
      <c r="AF28" s="135"/>
      <c r="AG28" s="136"/>
      <c r="AH28" s="156" t="str">
        <f t="shared" si="7"/>
        <v>Pendiente</v>
      </c>
      <c r="AI28" s="135"/>
      <c r="AJ28" s="135"/>
      <c r="AK28" s="258"/>
      <c r="AL28" s="7"/>
      <c r="AM28" s="7"/>
      <c r="AN28" s="7"/>
      <c r="AO28" s="7"/>
      <c r="AP28" s="7"/>
      <c r="AQ28" s="7"/>
      <c r="AR28" s="7"/>
      <c r="AS28" s="7"/>
      <c r="AV28" s="4"/>
      <c r="BJ28" s="227"/>
      <c r="BK28" s="229" t="s">
        <v>136</v>
      </c>
      <c r="BL28" s="202">
        <v>1</v>
      </c>
      <c r="BM28" s="199" t="s">
        <v>137</v>
      </c>
      <c r="BN28" s="200"/>
      <c r="BO28" s="201" t="s">
        <v>96</v>
      </c>
      <c r="BP28" s="202" t="s">
        <v>138</v>
      </c>
      <c r="BQ28" s="236">
        <v>130</v>
      </c>
      <c r="BR28" s="245"/>
    </row>
    <row r="29" spans="1:70" ht="30" customHeight="1" x14ac:dyDescent="0.2">
      <c r="A29" s="183"/>
      <c r="B29" s="42"/>
      <c r="C29" s="42"/>
      <c r="D29" s="42"/>
      <c r="E29" s="42"/>
      <c r="F29" s="42"/>
      <c r="G29" s="184"/>
      <c r="H29" s="257">
        <v>6</v>
      </c>
      <c r="I29" s="135"/>
      <c r="J29" s="138"/>
      <c r="K29" s="139"/>
      <c r="L29" s="140"/>
      <c r="M29" s="141"/>
      <c r="N29" s="145"/>
      <c r="O29" s="146"/>
      <c r="P29" s="146"/>
      <c r="Q29" s="146"/>
      <c r="R29" s="146"/>
      <c r="S29" s="147"/>
      <c r="T29" s="142" t="str">
        <f t="shared" si="4"/>
        <v/>
      </c>
      <c r="U29" s="143"/>
      <c r="V29" s="137"/>
      <c r="W29" s="135" t="str">
        <f t="shared" si="5"/>
        <v/>
      </c>
      <c r="X29" s="135"/>
      <c r="Y29" s="136"/>
      <c r="Z29" s="157"/>
      <c r="AA29" s="158"/>
      <c r="AB29" s="158"/>
      <c r="AC29" s="159"/>
      <c r="AD29" s="156" t="str">
        <f t="shared" si="6"/>
        <v>Pendiente</v>
      </c>
      <c r="AE29" s="135"/>
      <c r="AF29" s="135"/>
      <c r="AG29" s="136"/>
      <c r="AH29" s="156" t="str">
        <f t="shared" si="7"/>
        <v>Pendiente</v>
      </c>
      <c r="AI29" s="135"/>
      <c r="AJ29" s="135"/>
      <c r="AK29" s="258"/>
      <c r="AL29" s="7"/>
      <c r="AM29" s="7"/>
      <c r="AN29" s="7"/>
      <c r="AO29" s="7"/>
      <c r="AP29" s="7"/>
      <c r="AQ29" s="7"/>
      <c r="AR29" s="7"/>
      <c r="AS29" s="7"/>
      <c r="AV29" s="4"/>
      <c r="BJ29" s="227"/>
      <c r="BK29" s="229" t="s">
        <v>139</v>
      </c>
      <c r="BL29" s="202">
        <v>1</v>
      </c>
      <c r="BM29" s="199" t="s">
        <v>140</v>
      </c>
      <c r="BN29" s="200"/>
      <c r="BO29" s="201" t="s">
        <v>141</v>
      </c>
      <c r="BP29" s="202" t="s">
        <v>93</v>
      </c>
      <c r="BQ29" s="236" t="s">
        <v>93</v>
      </c>
      <c r="BR29" s="245"/>
    </row>
    <row r="30" spans="1:70" ht="30" customHeight="1" x14ac:dyDescent="0.2">
      <c r="A30" s="183"/>
      <c r="B30" s="42"/>
      <c r="C30" s="42"/>
      <c r="D30" s="42"/>
      <c r="E30" s="42"/>
      <c r="F30" s="42"/>
      <c r="G30" s="184"/>
      <c r="H30" s="257">
        <v>7</v>
      </c>
      <c r="I30" s="135"/>
      <c r="J30" s="138"/>
      <c r="K30" s="139"/>
      <c r="L30" s="140"/>
      <c r="M30" s="141"/>
      <c r="N30" s="145"/>
      <c r="O30" s="146"/>
      <c r="P30" s="146"/>
      <c r="Q30" s="146"/>
      <c r="R30" s="146"/>
      <c r="S30" s="147"/>
      <c r="T30" s="142" t="str">
        <f t="shared" si="4"/>
        <v/>
      </c>
      <c r="U30" s="143"/>
      <c r="V30" s="137"/>
      <c r="W30" s="135" t="str">
        <f t="shared" si="5"/>
        <v/>
      </c>
      <c r="X30" s="135"/>
      <c r="Y30" s="136"/>
      <c r="Z30" s="157"/>
      <c r="AA30" s="158"/>
      <c r="AB30" s="158"/>
      <c r="AC30" s="159"/>
      <c r="AD30" s="156" t="str">
        <f t="shared" si="6"/>
        <v>Pendiente</v>
      </c>
      <c r="AE30" s="135"/>
      <c r="AF30" s="135"/>
      <c r="AG30" s="136"/>
      <c r="AH30" s="156" t="str">
        <f t="shared" si="7"/>
        <v>Pendiente</v>
      </c>
      <c r="AI30" s="135"/>
      <c r="AJ30" s="135"/>
      <c r="AK30" s="258"/>
      <c r="AL30" s="7"/>
      <c r="AM30" s="7"/>
      <c r="AN30" s="7"/>
      <c r="AO30" s="7"/>
      <c r="AP30" s="7"/>
      <c r="AQ30" s="7"/>
      <c r="AR30" s="7"/>
      <c r="AS30" s="7"/>
      <c r="AV30" s="4"/>
      <c r="BJ30" s="227"/>
      <c r="BK30" s="229" t="s">
        <v>142</v>
      </c>
      <c r="BL30" s="202">
        <v>1</v>
      </c>
      <c r="BM30" s="199" t="s">
        <v>143</v>
      </c>
      <c r="BN30" s="200"/>
      <c r="BO30" s="201" t="s">
        <v>93</v>
      </c>
      <c r="BP30" s="202" t="s">
        <v>144</v>
      </c>
      <c r="BQ30" s="236" t="s">
        <v>145</v>
      </c>
      <c r="BR30" s="245"/>
    </row>
    <row r="31" spans="1:70" ht="30" customHeight="1" thickBot="1" x14ac:dyDescent="0.25">
      <c r="A31" s="185"/>
      <c r="B31" s="186"/>
      <c r="C31" s="186"/>
      <c r="D31" s="186"/>
      <c r="E31" s="186"/>
      <c r="F31" s="186"/>
      <c r="G31" s="187"/>
      <c r="H31" s="259">
        <v>8</v>
      </c>
      <c r="I31" s="260"/>
      <c r="J31" s="261"/>
      <c r="K31" s="262"/>
      <c r="L31" s="263"/>
      <c r="M31" s="264"/>
      <c r="N31" s="265"/>
      <c r="O31" s="266"/>
      <c r="P31" s="266"/>
      <c r="Q31" s="266"/>
      <c r="R31" s="266"/>
      <c r="S31" s="267"/>
      <c r="T31" s="268" t="str">
        <f t="shared" si="4"/>
        <v/>
      </c>
      <c r="U31" s="269"/>
      <c r="V31" s="270"/>
      <c r="W31" s="260" t="str">
        <f t="shared" si="5"/>
        <v/>
      </c>
      <c r="X31" s="260"/>
      <c r="Y31" s="271"/>
      <c r="Z31" s="272"/>
      <c r="AA31" s="273"/>
      <c r="AB31" s="273"/>
      <c r="AC31" s="274"/>
      <c r="AD31" s="275" t="str">
        <f t="shared" si="6"/>
        <v>Pendiente</v>
      </c>
      <c r="AE31" s="260"/>
      <c r="AF31" s="260"/>
      <c r="AG31" s="271"/>
      <c r="AH31" s="275" t="str">
        <f t="shared" si="7"/>
        <v>Pendiente</v>
      </c>
      <c r="AI31" s="260"/>
      <c r="AJ31" s="260"/>
      <c r="AK31" s="276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10"/>
      <c r="BJ31" s="227"/>
      <c r="BK31" s="229" t="s">
        <v>146</v>
      </c>
      <c r="BL31" s="202">
        <v>1</v>
      </c>
      <c r="BM31" s="199" t="s">
        <v>147</v>
      </c>
      <c r="BN31" s="200"/>
      <c r="BO31" s="201" t="s">
        <v>93</v>
      </c>
      <c r="BP31" s="202" t="s">
        <v>148</v>
      </c>
      <c r="BQ31" s="236" t="s">
        <v>149</v>
      </c>
      <c r="BR31" s="245"/>
    </row>
    <row r="32" spans="1:70" ht="6.95" customHeight="1" thickBot="1" x14ac:dyDescent="0.25">
      <c r="A32" s="3"/>
      <c r="AV32" s="4"/>
      <c r="BJ32" s="227"/>
      <c r="BK32" s="229" t="s">
        <v>150</v>
      </c>
      <c r="BL32" s="202">
        <v>1</v>
      </c>
      <c r="BM32" s="199" t="s">
        <v>151</v>
      </c>
      <c r="BN32" s="200"/>
      <c r="BO32" s="201" t="s">
        <v>93</v>
      </c>
      <c r="BP32" s="202" t="s">
        <v>93</v>
      </c>
      <c r="BQ32" s="236" t="s">
        <v>93</v>
      </c>
      <c r="BR32" s="245"/>
    </row>
    <row r="33" spans="1:70" ht="27.95" customHeight="1" thickBot="1" x14ac:dyDescent="0.25">
      <c r="A33" s="48" t="s">
        <v>4</v>
      </c>
      <c r="B33" s="49"/>
      <c r="C33" s="49"/>
      <c r="D33" s="49"/>
      <c r="E33" s="50"/>
      <c r="F33" s="48" t="s">
        <v>18</v>
      </c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50"/>
      <c r="T33" s="48" t="s">
        <v>19</v>
      </c>
      <c r="U33" s="49"/>
      <c r="V33" s="49"/>
      <c r="W33" s="49"/>
      <c r="X33" s="49"/>
      <c r="Y33" s="49"/>
      <c r="Z33" s="49"/>
      <c r="AA33" s="49"/>
      <c r="AB33" s="50"/>
      <c r="AC33" s="48" t="s">
        <v>20</v>
      </c>
      <c r="AD33" s="49"/>
      <c r="AE33" s="49"/>
      <c r="AF33" s="49"/>
      <c r="AG33" s="49" t="s">
        <v>21</v>
      </c>
      <c r="AH33" s="49"/>
      <c r="AI33" s="49"/>
      <c r="AJ33" s="49"/>
      <c r="AK33" s="50"/>
      <c r="AL33" s="48" t="s">
        <v>22</v>
      </c>
      <c r="AM33" s="49"/>
      <c r="AN33" s="49"/>
      <c r="AO33" s="49"/>
      <c r="AP33" s="49"/>
      <c r="AQ33" s="49"/>
      <c r="AR33" s="49"/>
      <c r="AS33" s="49"/>
      <c r="AT33" s="49"/>
      <c r="AU33" s="49"/>
      <c r="AV33" s="50"/>
      <c r="BJ33" s="227"/>
      <c r="BK33" s="229" t="s">
        <v>152</v>
      </c>
      <c r="BL33" s="202">
        <v>1</v>
      </c>
      <c r="BM33" s="199" t="s">
        <v>153</v>
      </c>
      <c r="BN33" s="200"/>
      <c r="BO33" s="201" t="s">
        <v>93</v>
      </c>
      <c r="BP33" s="202" t="s">
        <v>93</v>
      </c>
      <c r="BQ33" s="236" t="s">
        <v>93</v>
      </c>
      <c r="BR33" s="245"/>
    </row>
    <row r="34" spans="1:70" ht="30" customHeight="1" x14ac:dyDescent="0.2">
      <c r="A34" s="82"/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83"/>
      <c r="AI34" s="83"/>
      <c r="AJ34" s="83"/>
      <c r="AK34" s="83"/>
      <c r="AL34" s="83"/>
      <c r="AM34" s="83"/>
      <c r="AN34" s="83"/>
      <c r="AO34" s="83"/>
      <c r="AP34" s="83"/>
      <c r="AQ34" s="83"/>
      <c r="AR34" s="83"/>
      <c r="AS34" s="83"/>
      <c r="AT34" s="83"/>
      <c r="AU34" s="83"/>
      <c r="AV34" s="84"/>
      <c r="BJ34" s="227"/>
      <c r="BK34" s="229" t="s">
        <v>154</v>
      </c>
      <c r="BL34" s="202">
        <v>1</v>
      </c>
      <c r="BM34" s="199" t="s">
        <v>155</v>
      </c>
      <c r="BN34" s="200"/>
      <c r="BO34" s="201" t="s">
        <v>93</v>
      </c>
      <c r="BP34" s="202" t="s">
        <v>93</v>
      </c>
      <c r="BQ34" s="236" t="s">
        <v>93</v>
      </c>
      <c r="BR34" s="245"/>
    </row>
    <row r="35" spans="1:70" ht="30" customHeight="1" x14ac:dyDescent="0.2">
      <c r="A35" s="46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66"/>
      <c r="BJ35" s="227"/>
      <c r="BK35" s="229" t="s">
        <v>156</v>
      </c>
      <c r="BL35" s="202">
        <v>1</v>
      </c>
      <c r="BM35" s="199" t="s">
        <v>157</v>
      </c>
      <c r="BN35" s="200"/>
      <c r="BO35" s="201" t="s">
        <v>93</v>
      </c>
      <c r="BP35" s="202" t="s">
        <v>93</v>
      </c>
      <c r="BQ35" s="236" t="s">
        <v>93</v>
      </c>
      <c r="BR35" s="245"/>
    </row>
    <row r="36" spans="1:70" ht="30" customHeight="1" thickBot="1" x14ac:dyDescent="0.25">
      <c r="A36" s="70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2"/>
      <c r="BJ36" s="227"/>
      <c r="BK36" s="229" t="s">
        <v>158</v>
      </c>
      <c r="BL36" s="202">
        <v>1</v>
      </c>
      <c r="BM36" s="199" t="s">
        <v>159</v>
      </c>
      <c r="BN36" s="200"/>
      <c r="BO36" s="201" t="s">
        <v>93</v>
      </c>
      <c r="BP36" s="202" t="s">
        <v>160</v>
      </c>
      <c r="BQ36" s="236" t="s">
        <v>161</v>
      </c>
      <c r="BR36" s="245"/>
    </row>
    <row r="37" spans="1:70" ht="6.95" customHeight="1" x14ac:dyDescent="0.2">
      <c r="A37" s="3"/>
      <c r="AV37" s="4"/>
      <c r="BJ37" s="227"/>
      <c r="BK37" s="229" t="s">
        <v>162</v>
      </c>
      <c r="BL37" s="202">
        <v>1</v>
      </c>
      <c r="BM37" s="199" t="s">
        <v>163</v>
      </c>
      <c r="BN37" s="200"/>
      <c r="BO37" s="201" t="s">
        <v>93</v>
      </c>
      <c r="BP37" s="202" t="s">
        <v>93</v>
      </c>
      <c r="BQ37" s="236" t="s">
        <v>93</v>
      </c>
      <c r="BR37" s="245"/>
    </row>
    <row r="38" spans="1:70" ht="32.1" customHeight="1" x14ac:dyDescent="0.2">
      <c r="A38" s="41" t="s">
        <v>23</v>
      </c>
      <c r="B38" s="42"/>
      <c r="C38" s="42"/>
      <c r="D38" s="42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6"/>
      <c r="BJ38" s="227"/>
      <c r="BK38" s="229" t="s">
        <v>164</v>
      </c>
      <c r="BL38" s="202">
        <v>1</v>
      </c>
      <c r="BM38" s="199" t="s">
        <v>165</v>
      </c>
      <c r="BN38" s="200"/>
      <c r="BO38" s="201" t="s">
        <v>96</v>
      </c>
      <c r="BP38" s="202" t="s">
        <v>138</v>
      </c>
      <c r="BQ38" s="236">
        <v>130</v>
      </c>
      <c r="BR38" s="245"/>
    </row>
    <row r="39" spans="1:70" ht="32.1" customHeight="1" x14ac:dyDescent="0.2">
      <c r="A39" s="41"/>
      <c r="B39" s="42"/>
      <c r="C39" s="42"/>
      <c r="D39" s="42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6"/>
      <c r="BJ39" s="227"/>
      <c r="BK39" s="229" t="s">
        <v>166</v>
      </c>
      <c r="BL39" s="202">
        <v>1</v>
      </c>
      <c r="BM39" s="199" t="s">
        <v>167</v>
      </c>
      <c r="BN39" s="200"/>
      <c r="BO39" s="201" t="s">
        <v>93</v>
      </c>
      <c r="BP39" s="202" t="s">
        <v>168</v>
      </c>
      <c r="BQ39" s="236" t="s">
        <v>93</v>
      </c>
      <c r="BR39" s="245"/>
    </row>
    <row r="40" spans="1:70" ht="6.95" customHeight="1" thickBot="1" x14ac:dyDescent="0.25">
      <c r="A40" s="3"/>
      <c r="AV40" s="4"/>
      <c r="BJ40" s="227"/>
      <c r="BK40" s="229" t="s">
        <v>169</v>
      </c>
      <c r="BL40" s="202">
        <v>1</v>
      </c>
      <c r="BM40" s="199" t="s">
        <v>170</v>
      </c>
      <c r="BN40" s="200"/>
      <c r="BO40" s="201" t="s">
        <v>93</v>
      </c>
      <c r="BP40" s="202" t="s">
        <v>93</v>
      </c>
      <c r="BQ40" s="236" t="s">
        <v>93</v>
      </c>
      <c r="BR40" s="245"/>
    </row>
    <row r="41" spans="1:70" ht="27.95" customHeight="1" thickBot="1" x14ac:dyDescent="0.25">
      <c r="A41" s="73" t="s">
        <v>24</v>
      </c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5"/>
      <c r="Y41" s="73" t="s">
        <v>25</v>
      </c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74"/>
      <c r="AT41" s="74"/>
      <c r="AU41" s="74"/>
      <c r="AV41" s="75"/>
      <c r="BJ41" s="227"/>
      <c r="BK41" s="229" t="s">
        <v>171</v>
      </c>
      <c r="BL41" s="202">
        <v>1</v>
      </c>
      <c r="BM41" s="199" t="s">
        <v>172</v>
      </c>
      <c r="BN41" s="200"/>
      <c r="BO41" s="201" t="s">
        <v>93</v>
      </c>
      <c r="BP41" s="202" t="s">
        <v>93</v>
      </c>
      <c r="BQ41" s="236" t="s">
        <v>93</v>
      </c>
      <c r="BR41" s="245"/>
    </row>
    <row r="42" spans="1:70" ht="30" customHeight="1" x14ac:dyDescent="0.2">
      <c r="A42" s="76" t="s">
        <v>26</v>
      </c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8"/>
      <c r="Y42" s="76" t="s">
        <v>26</v>
      </c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  <c r="AU42" s="77"/>
      <c r="AV42" s="78"/>
      <c r="BJ42" s="227"/>
      <c r="BK42" s="229" t="s">
        <v>173</v>
      </c>
      <c r="BL42" s="202">
        <v>1</v>
      </c>
      <c r="BM42" s="199" t="s">
        <v>172</v>
      </c>
      <c r="BN42" s="200"/>
      <c r="BO42" s="201" t="s">
        <v>93</v>
      </c>
      <c r="BP42" s="202" t="s">
        <v>93</v>
      </c>
      <c r="BQ42" s="236" t="s">
        <v>93</v>
      </c>
      <c r="BR42" s="245"/>
    </row>
    <row r="43" spans="1:70" ht="30" customHeight="1" x14ac:dyDescent="0.2">
      <c r="A43" s="79" t="s">
        <v>27</v>
      </c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1"/>
      <c r="Y43" s="79" t="s">
        <v>27</v>
      </c>
      <c r="Z43" s="80"/>
      <c r="AA43" s="80"/>
      <c r="AB43" s="80"/>
      <c r="AC43" s="80"/>
      <c r="AD43" s="80"/>
      <c r="AE43" s="80"/>
      <c r="AF43" s="80"/>
      <c r="AG43" s="80"/>
      <c r="AH43" s="80"/>
      <c r="AI43" s="80"/>
      <c r="AJ43" s="80"/>
      <c r="AK43" s="80"/>
      <c r="AL43" s="80"/>
      <c r="AM43" s="80"/>
      <c r="AN43" s="80"/>
      <c r="AO43" s="80"/>
      <c r="AP43" s="80"/>
      <c r="AQ43" s="80"/>
      <c r="AR43" s="80"/>
      <c r="AS43" s="80"/>
      <c r="AT43" s="80"/>
      <c r="AU43" s="80"/>
      <c r="AV43" s="81"/>
      <c r="BJ43" s="227"/>
      <c r="BK43" s="229" t="s">
        <v>174</v>
      </c>
      <c r="BL43" s="202">
        <v>1</v>
      </c>
      <c r="BM43" s="199" t="s">
        <v>175</v>
      </c>
      <c r="BN43" s="200"/>
      <c r="BO43" s="201" t="s">
        <v>176</v>
      </c>
      <c r="BP43" s="202" t="s">
        <v>93</v>
      </c>
      <c r="BQ43" s="236" t="s">
        <v>93</v>
      </c>
      <c r="BR43" s="245"/>
    </row>
    <row r="44" spans="1:70" ht="30" customHeight="1" thickBot="1" x14ac:dyDescent="0.25">
      <c r="A44" s="43" t="s">
        <v>28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5"/>
      <c r="Y44" s="43" t="s">
        <v>29</v>
      </c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5"/>
      <c r="BJ44" s="227"/>
      <c r="BK44" s="229" t="s">
        <v>177</v>
      </c>
      <c r="BL44" s="202">
        <v>1</v>
      </c>
      <c r="BM44" s="199" t="s">
        <v>178</v>
      </c>
      <c r="BN44" s="200"/>
      <c r="BO44" s="201" t="s">
        <v>92</v>
      </c>
      <c r="BP44" s="202" t="s">
        <v>93</v>
      </c>
      <c r="BQ44" s="236">
        <v>71146</v>
      </c>
      <c r="BR44" s="245"/>
    </row>
    <row r="45" spans="1:70" x14ac:dyDescent="0.2">
      <c r="BJ45" s="227"/>
      <c r="BK45" s="229" t="s">
        <v>179</v>
      </c>
      <c r="BL45" s="202">
        <v>1</v>
      </c>
      <c r="BM45" s="199" t="s">
        <v>180</v>
      </c>
      <c r="BN45" s="200"/>
      <c r="BO45" s="201" t="s">
        <v>92</v>
      </c>
      <c r="BP45" s="202" t="s">
        <v>93</v>
      </c>
      <c r="BQ45" s="236">
        <v>70638</v>
      </c>
      <c r="BR45" s="245"/>
    </row>
    <row r="46" spans="1:70" ht="42" customHeight="1" x14ac:dyDescent="0.2">
      <c r="A46" s="191" t="s">
        <v>39</v>
      </c>
      <c r="B46" s="191"/>
      <c r="C46" s="191"/>
      <c r="D46" s="191"/>
      <c r="E46" s="191"/>
      <c r="F46" s="191"/>
      <c r="G46" s="191"/>
      <c r="H46" s="191"/>
      <c r="I46" s="191"/>
      <c r="J46" s="191"/>
      <c r="K46" s="191"/>
      <c r="L46" s="191"/>
      <c r="M46" s="191"/>
      <c r="N46" s="191"/>
      <c r="O46" s="191" t="s">
        <v>40</v>
      </c>
      <c r="P46" s="191"/>
      <c r="Q46" s="191"/>
      <c r="R46" s="191"/>
      <c r="S46" s="191"/>
      <c r="T46" s="191"/>
      <c r="U46" s="191"/>
      <c r="V46" s="191"/>
      <c r="W46" s="191"/>
      <c r="X46" s="191"/>
      <c r="Y46" s="191"/>
      <c r="Z46" s="191"/>
      <c r="AA46" s="191"/>
      <c r="AB46" s="191"/>
      <c r="AC46" s="191"/>
      <c r="AD46" s="191"/>
      <c r="AE46" s="191"/>
      <c r="AF46" s="191"/>
      <c r="AG46" s="191"/>
      <c r="AH46" s="191"/>
      <c r="AI46" s="191"/>
      <c r="AJ46" s="191"/>
      <c r="AK46" s="191"/>
      <c r="AL46" s="191"/>
      <c r="AM46" s="191"/>
      <c r="AN46" s="191"/>
      <c r="AO46" s="191"/>
      <c r="AP46" s="191"/>
      <c r="AQ46" s="191"/>
      <c r="AR46" s="191"/>
      <c r="AS46" s="191"/>
      <c r="AT46" s="191"/>
      <c r="AU46" s="191"/>
      <c r="AV46" s="191"/>
      <c r="BJ46" s="227"/>
      <c r="BK46" s="229" t="s">
        <v>181</v>
      </c>
      <c r="BL46" s="202">
        <v>1</v>
      </c>
      <c r="BM46" s="199" t="s">
        <v>182</v>
      </c>
      <c r="BN46" s="200"/>
      <c r="BO46" s="201" t="s">
        <v>92</v>
      </c>
      <c r="BP46" s="202" t="s">
        <v>93</v>
      </c>
      <c r="BQ46" s="236">
        <v>70632</v>
      </c>
      <c r="BR46" s="245"/>
    </row>
    <row r="47" spans="1:70" ht="32.1" customHeight="1" x14ac:dyDescent="0.2">
      <c r="A47" s="191" t="s">
        <v>41</v>
      </c>
      <c r="B47" s="191"/>
      <c r="C47" s="191"/>
      <c r="D47" s="191"/>
      <c r="E47" s="191"/>
      <c r="F47" s="191"/>
      <c r="G47" s="191"/>
      <c r="H47" s="191"/>
      <c r="I47" s="191"/>
      <c r="J47" s="191"/>
      <c r="K47" s="191"/>
      <c r="L47" s="191"/>
      <c r="M47" s="191"/>
      <c r="N47" s="191"/>
      <c r="O47" s="191" t="s">
        <v>42</v>
      </c>
      <c r="P47" s="191"/>
      <c r="Q47" s="191"/>
      <c r="R47" s="191"/>
      <c r="S47" s="191"/>
      <c r="T47" s="191"/>
      <c r="U47" s="191"/>
      <c r="V47" s="191"/>
      <c r="W47" s="191"/>
      <c r="X47" s="191"/>
      <c r="Y47" s="191"/>
      <c r="Z47" s="191"/>
      <c r="AA47" s="191"/>
      <c r="AB47" s="191"/>
      <c r="AC47" s="191"/>
      <c r="AD47" s="191"/>
      <c r="AE47" s="191"/>
      <c r="AF47" s="191"/>
      <c r="AG47" s="191"/>
      <c r="AH47" s="191"/>
      <c r="AI47" s="191"/>
      <c r="AJ47" s="191"/>
      <c r="AK47" s="191"/>
      <c r="AL47" s="191"/>
      <c r="AM47" s="191"/>
      <c r="AN47" s="191"/>
      <c r="AO47" s="191"/>
      <c r="AP47" s="191"/>
      <c r="AQ47" s="191"/>
      <c r="AR47" s="191"/>
      <c r="AS47" s="191"/>
      <c r="AT47" s="191"/>
      <c r="AU47" s="191"/>
      <c r="AV47" s="191"/>
      <c r="BJ47" s="227"/>
      <c r="BK47" s="229" t="s">
        <v>183</v>
      </c>
      <c r="BL47" s="202">
        <v>1</v>
      </c>
      <c r="BM47" s="199" t="s">
        <v>184</v>
      </c>
      <c r="BN47" s="200"/>
      <c r="BO47" s="201" t="s">
        <v>92</v>
      </c>
      <c r="BP47" s="202" t="s">
        <v>93</v>
      </c>
      <c r="BQ47" s="236">
        <v>70289</v>
      </c>
      <c r="BR47" s="245"/>
    </row>
    <row r="48" spans="1:70" ht="42" customHeight="1" x14ac:dyDescent="0.2">
      <c r="A48" s="191" t="s">
        <v>43</v>
      </c>
      <c r="B48" s="191"/>
      <c r="C48" s="191"/>
      <c r="D48" s="191"/>
      <c r="E48" s="191"/>
      <c r="F48" s="191"/>
      <c r="G48" s="191"/>
      <c r="H48" s="191"/>
      <c r="I48" s="191"/>
      <c r="J48" s="191"/>
      <c r="K48" s="191"/>
      <c r="L48" s="191"/>
      <c r="M48" s="191"/>
      <c r="N48" s="191"/>
      <c r="O48" s="191" t="s">
        <v>44</v>
      </c>
      <c r="P48" s="191"/>
      <c r="Q48" s="191"/>
      <c r="R48" s="191"/>
      <c r="S48" s="191"/>
      <c r="T48" s="191"/>
      <c r="U48" s="191"/>
      <c r="V48" s="191"/>
      <c r="W48" s="191"/>
      <c r="X48" s="191"/>
      <c r="Y48" s="191"/>
      <c r="Z48" s="191"/>
      <c r="AA48" s="191"/>
      <c r="AB48" s="191"/>
      <c r="AC48" s="191"/>
      <c r="AD48" s="191"/>
      <c r="AE48" s="191"/>
      <c r="AF48" s="191"/>
      <c r="AG48" s="191"/>
      <c r="AH48" s="191"/>
      <c r="AI48" s="191"/>
      <c r="AJ48" s="191"/>
      <c r="AK48" s="191"/>
      <c r="AL48" s="191"/>
      <c r="AM48" s="191"/>
      <c r="AN48" s="191"/>
      <c r="AO48" s="191"/>
      <c r="AP48" s="191"/>
      <c r="AQ48" s="191"/>
      <c r="AR48" s="191"/>
      <c r="AS48" s="191"/>
      <c r="AT48" s="191"/>
      <c r="AU48" s="191"/>
      <c r="AV48" s="191"/>
      <c r="BJ48" s="227"/>
      <c r="BK48" s="229" t="s">
        <v>185</v>
      </c>
      <c r="BL48" s="202">
        <v>1</v>
      </c>
      <c r="BM48" s="199" t="s">
        <v>186</v>
      </c>
      <c r="BN48" s="200"/>
      <c r="BO48" s="201" t="s">
        <v>92</v>
      </c>
      <c r="BP48" s="202" t="s">
        <v>93</v>
      </c>
      <c r="BQ48" s="236">
        <v>70641</v>
      </c>
      <c r="BR48" s="245"/>
    </row>
    <row r="49" spans="1:70" ht="32.1" customHeight="1" x14ac:dyDescent="0.2">
      <c r="A49" s="191" t="s">
        <v>45</v>
      </c>
      <c r="B49" s="191"/>
      <c r="C49" s="191"/>
      <c r="D49" s="191"/>
      <c r="E49" s="191"/>
      <c r="F49" s="191"/>
      <c r="G49" s="191"/>
      <c r="H49" s="191"/>
      <c r="I49" s="191"/>
      <c r="J49" s="191"/>
      <c r="K49" s="191"/>
      <c r="L49" s="191"/>
      <c r="M49" s="191"/>
      <c r="N49" s="191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  <c r="AL49" s="192"/>
      <c r="AM49" s="192"/>
      <c r="AN49" s="192"/>
      <c r="AO49" s="192"/>
      <c r="AP49" s="192"/>
      <c r="AQ49" s="192"/>
      <c r="AR49" s="192"/>
      <c r="AS49" s="192"/>
      <c r="AT49" s="192"/>
      <c r="AU49" s="192"/>
      <c r="AV49" s="192"/>
      <c r="BJ49" s="227"/>
      <c r="BK49" s="229" t="s">
        <v>187</v>
      </c>
      <c r="BL49" s="202">
        <v>1</v>
      </c>
      <c r="BM49" s="199" t="s">
        <v>188</v>
      </c>
      <c r="BN49" s="200"/>
      <c r="BO49" s="201" t="s">
        <v>92</v>
      </c>
      <c r="BP49" s="202" t="s">
        <v>93</v>
      </c>
      <c r="BQ49" s="236">
        <v>70987</v>
      </c>
      <c r="BR49" s="245"/>
    </row>
    <row r="50" spans="1:70" ht="32.1" customHeight="1" x14ac:dyDescent="0.2">
      <c r="A50" s="191" t="s">
        <v>46</v>
      </c>
      <c r="B50" s="191"/>
      <c r="C50" s="191"/>
      <c r="D50" s="191"/>
      <c r="E50" s="191"/>
      <c r="F50" s="191"/>
      <c r="G50" s="191"/>
      <c r="H50" s="191"/>
      <c r="I50" s="191"/>
      <c r="J50" s="191"/>
      <c r="K50" s="191"/>
      <c r="L50" s="191"/>
      <c r="M50" s="191"/>
      <c r="N50" s="191"/>
      <c r="O50" s="191" t="str">
        <f>IF(COUNT(AE15:AE19)&lt;5,"",MAX(AE15:AE19)-MIN(AE15:AE19))</f>
        <v/>
      </c>
      <c r="P50" s="191"/>
      <c r="Q50" s="191"/>
      <c r="R50" s="191"/>
      <c r="S50" s="191"/>
      <c r="T50" s="191"/>
      <c r="U50" s="191"/>
      <c r="V50" s="191"/>
      <c r="W50" s="191"/>
      <c r="X50" s="191"/>
      <c r="Y50" s="191"/>
      <c r="Z50" s="191"/>
      <c r="AA50" s="191"/>
      <c r="AB50" s="191"/>
      <c r="AC50" s="191"/>
      <c r="AD50" s="191"/>
      <c r="AE50" s="191"/>
      <c r="AF50" s="191"/>
      <c r="AG50" s="191"/>
      <c r="AH50" s="191"/>
      <c r="AI50" s="191"/>
      <c r="AJ50" s="191"/>
      <c r="AK50" s="191"/>
      <c r="AL50" s="191"/>
      <c r="AM50" s="191"/>
      <c r="AN50" s="191"/>
      <c r="AO50" s="191"/>
      <c r="AP50" s="191"/>
      <c r="AQ50" s="191"/>
      <c r="AR50" s="191"/>
      <c r="AS50" s="191"/>
      <c r="AT50" s="191"/>
      <c r="AU50" s="191"/>
      <c r="AV50" s="191"/>
      <c r="BJ50" s="227"/>
      <c r="BK50" s="229" t="s">
        <v>189</v>
      </c>
      <c r="BL50" s="202">
        <v>1</v>
      </c>
      <c r="BM50" s="199" t="s">
        <v>190</v>
      </c>
      <c r="BN50" s="200"/>
      <c r="BO50" s="201" t="s">
        <v>92</v>
      </c>
      <c r="BP50" s="202" t="s">
        <v>93</v>
      </c>
      <c r="BQ50" s="236">
        <v>70994</v>
      </c>
      <c r="BR50" s="245"/>
    </row>
    <row r="51" spans="1:70" ht="32.1" customHeight="1" x14ac:dyDescent="0.2">
      <c r="A51" s="191" t="s">
        <v>47</v>
      </c>
      <c r="B51" s="191"/>
      <c r="C51" s="191"/>
      <c r="D51" s="191"/>
      <c r="E51" s="191"/>
      <c r="F51" s="191"/>
      <c r="G51" s="191"/>
      <c r="H51" s="191"/>
      <c r="I51" s="191"/>
      <c r="J51" s="191"/>
      <c r="K51" s="191"/>
      <c r="L51" s="191"/>
      <c r="M51" s="191"/>
      <c r="N51" s="191"/>
      <c r="O51" s="192"/>
      <c r="P51" s="192"/>
      <c r="Q51" s="192"/>
      <c r="R51" s="192"/>
      <c r="S51" s="192"/>
      <c r="T51" s="192"/>
      <c r="U51" s="192"/>
      <c r="V51" s="192"/>
      <c r="W51" s="192"/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  <c r="AL51" s="192"/>
      <c r="AM51" s="192"/>
      <c r="AN51" s="192"/>
      <c r="AO51" s="192"/>
      <c r="AP51" s="192"/>
      <c r="AQ51" s="192"/>
      <c r="AR51" s="192"/>
      <c r="AS51" s="192"/>
      <c r="AT51" s="192"/>
      <c r="AU51" s="192"/>
      <c r="AV51" s="192"/>
      <c r="BJ51" s="227"/>
      <c r="BK51" s="229" t="s">
        <v>191</v>
      </c>
      <c r="BL51" s="202">
        <v>1</v>
      </c>
      <c r="BM51" s="199" t="s">
        <v>192</v>
      </c>
      <c r="BN51" s="200"/>
      <c r="BO51" s="201" t="s">
        <v>92</v>
      </c>
      <c r="BP51" s="202" t="s">
        <v>93</v>
      </c>
      <c r="BQ51" s="236">
        <v>70946</v>
      </c>
      <c r="BR51" s="245"/>
    </row>
    <row r="52" spans="1:70" ht="32.1" customHeight="1" x14ac:dyDescent="0.2">
      <c r="A52" s="191" t="s">
        <v>48</v>
      </c>
      <c r="B52" s="191"/>
      <c r="C52" s="191"/>
      <c r="D52" s="191"/>
      <c r="E52" s="191"/>
      <c r="F52" s="191"/>
      <c r="G52" s="191"/>
      <c r="H52" s="191"/>
      <c r="I52" s="191"/>
      <c r="J52" s="191"/>
      <c r="K52" s="191"/>
      <c r="L52" s="191"/>
      <c r="M52" s="191"/>
      <c r="N52" s="191"/>
      <c r="O52" s="191" t="str">
        <f>IF(OR(COUNT(O50,O51)&lt;2,O51&lt;=0),"Pendiente",IF(O50&lt;=O51,"Cumple","No cumple"))</f>
        <v>Pendiente</v>
      </c>
      <c r="P52" s="191"/>
      <c r="Q52" s="191"/>
      <c r="R52" s="191"/>
      <c r="S52" s="191"/>
      <c r="T52" s="191"/>
      <c r="U52" s="191"/>
      <c r="V52" s="191"/>
      <c r="W52" s="191"/>
      <c r="X52" s="191"/>
      <c r="Y52" s="191"/>
      <c r="Z52" s="191"/>
      <c r="AA52" s="191"/>
      <c r="AB52" s="191"/>
      <c r="AC52" s="191"/>
      <c r="AD52" s="191"/>
      <c r="AE52" s="191"/>
      <c r="AF52" s="191"/>
      <c r="AG52" s="191"/>
      <c r="AH52" s="191"/>
      <c r="AI52" s="191"/>
      <c r="AJ52" s="191"/>
      <c r="AK52" s="191"/>
      <c r="AL52" s="191"/>
      <c r="AM52" s="191"/>
      <c r="AN52" s="191"/>
      <c r="AO52" s="191"/>
      <c r="AP52" s="191"/>
      <c r="AQ52" s="191"/>
      <c r="AR52" s="191"/>
      <c r="AS52" s="191"/>
      <c r="AT52" s="191"/>
      <c r="AU52" s="191"/>
      <c r="AV52" s="191"/>
      <c r="BJ52" s="227"/>
      <c r="BK52" s="229" t="s">
        <v>193</v>
      </c>
      <c r="BL52" s="202">
        <v>1</v>
      </c>
      <c r="BM52" s="199" t="s">
        <v>194</v>
      </c>
      <c r="BN52" s="200"/>
      <c r="BO52" s="201" t="s">
        <v>92</v>
      </c>
      <c r="BP52" s="202" t="s">
        <v>93</v>
      </c>
      <c r="BQ52" s="236">
        <v>70945</v>
      </c>
      <c r="BR52" s="245"/>
    </row>
    <row r="53" spans="1:70" ht="42" customHeight="1" x14ac:dyDescent="0.2">
      <c r="A53" s="191" t="s">
        <v>49</v>
      </c>
      <c r="B53" s="191"/>
      <c r="C53" s="191"/>
      <c r="D53" s="191"/>
      <c r="E53" s="191"/>
      <c r="F53" s="191"/>
      <c r="G53" s="191"/>
      <c r="H53" s="191"/>
      <c r="I53" s="191"/>
      <c r="J53" s="191"/>
      <c r="K53" s="191"/>
      <c r="L53" s="191"/>
      <c r="M53" s="191"/>
      <c r="N53" s="191"/>
      <c r="O53" s="191" t="s">
        <v>50</v>
      </c>
      <c r="P53" s="191"/>
      <c r="Q53" s="191"/>
      <c r="R53" s="191"/>
      <c r="S53" s="191"/>
      <c r="T53" s="191"/>
      <c r="U53" s="191"/>
      <c r="V53" s="191"/>
      <c r="W53" s="191"/>
      <c r="X53" s="191"/>
      <c r="Y53" s="191"/>
      <c r="Z53" s="191"/>
      <c r="AA53" s="191"/>
      <c r="AB53" s="191"/>
      <c r="AC53" s="191"/>
      <c r="AD53" s="191"/>
      <c r="AE53" s="191"/>
      <c r="AF53" s="191"/>
      <c r="AG53" s="191"/>
      <c r="AH53" s="191"/>
      <c r="AI53" s="191"/>
      <c r="AJ53" s="191"/>
      <c r="AK53" s="191"/>
      <c r="AL53" s="191"/>
      <c r="AM53" s="191"/>
      <c r="AN53" s="191"/>
      <c r="AO53" s="191"/>
      <c r="AP53" s="191"/>
      <c r="AQ53" s="191"/>
      <c r="AR53" s="191"/>
      <c r="AS53" s="191"/>
      <c r="AT53" s="191"/>
      <c r="AU53" s="191"/>
      <c r="AV53" s="191"/>
      <c r="BJ53" s="227"/>
      <c r="BK53" s="229" t="s">
        <v>195</v>
      </c>
      <c r="BL53" s="202">
        <v>1</v>
      </c>
      <c r="BM53" s="199" t="s">
        <v>196</v>
      </c>
      <c r="BN53" s="200"/>
      <c r="BO53" s="201" t="s">
        <v>92</v>
      </c>
      <c r="BP53" s="202" t="s">
        <v>93</v>
      </c>
      <c r="BQ53" s="236">
        <v>95032</v>
      </c>
      <c r="BR53" s="245"/>
    </row>
    <row r="54" spans="1:70" ht="42" customHeight="1" x14ac:dyDescent="0.2">
      <c r="A54" s="191" t="s">
        <v>51</v>
      </c>
      <c r="B54" s="191"/>
      <c r="C54" s="191"/>
      <c r="D54" s="191"/>
      <c r="E54" s="191"/>
      <c r="F54" s="191"/>
      <c r="G54" s="191"/>
      <c r="H54" s="191"/>
      <c r="I54" s="191"/>
      <c r="J54" s="191"/>
      <c r="K54" s="191"/>
      <c r="L54" s="191"/>
      <c r="M54" s="191"/>
      <c r="N54" s="191"/>
      <c r="O54" s="191" t="s">
        <v>52</v>
      </c>
      <c r="P54" s="191"/>
      <c r="Q54" s="191"/>
      <c r="R54" s="191"/>
      <c r="S54" s="191"/>
      <c r="T54" s="191"/>
      <c r="U54" s="191"/>
      <c r="V54" s="191"/>
      <c r="W54" s="191"/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91"/>
      <c r="AL54" s="191"/>
      <c r="AM54" s="191"/>
      <c r="AN54" s="191"/>
      <c r="AO54" s="191"/>
      <c r="AP54" s="191"/>
      <c r="AQ54" s="191"/>
      <c r="AR54" s="191"/>
      <c r="AS54" s="191"/>
      <c r="AT54" s="191"/>
      <c r="AU54" s="191"/>
      <c r="AV54" s="191"/>
      <c r="BJ54" s="227"/>
      <c r="BK54" s="229" t="s">
        <v>197</v>
      </c>
      <c r="BL54" s="202">
        <v>1</v>
      </c>
      <c r="BM54" s="199" t="s">
        <v>198</v>
      </c>
      <c r="BN54" s="200"/>
      <c r="BO54" s="201" t="s">
        <v>92</v>
      </c>
      <c r="BP54" s="202" t="s">
        <v>93</v>
      </c>
      <c r="BQ54" s="236">
        <v>70740</v>
      </c>
      <c r="BR54" s="245"/>
    </row>
    <row r="55" spans="1:70" ht="42" customHeight="1" x14ac:dyDescent="0.2">
      <c r="A55" s="191" t="s">
        <v>53</v>
      </c>
      <c r="B55" s="191"/>
      <c r="C55" s="191"/>
      <c r="D55" s="191"/>
      <c r="E55" s="191"/>
      <c r="F55" s="191"/>
      <c r="G55" s="191"/>
      <c r="H55" s="191"/>
      <c r="I55" s="191"/>
      <c r="J55" s="191"/>
      <c r="K55" s="191"/>
      <c r="L55" s="191"/>
      <c r="M55" s="191"/>
      <c r="N55" s="191"/>
      <c r="O55" s="191" t="s">
        <v>54</v>
      </c>
      <c r="P55" s="191"/>
      <c r="Q55" s="191"/>
      <c r="R55" s="191"/>
      <c r="S55" s="191"/>
      <c r="T55" s="191"/>
      <c r="U55" s="191"/>
      <c r="V55" s="191"/>
      <c r="W55" s="191"/>
      <c r="X55" s="191"/>
      <c r="Y55" s="191"/>
      <c r="Z55" s="191"/>
      <c r="AA55" s="191"/>
      <c r="AB55" s="191"/>
      <c r="AC55" s="191"/>
      <c r="AD55" s="191"/>
      <c r="AE55" s="191"/>
      <c r="AF55" s="191"/>
      <c r="AG55" s="191"/>
      <c r="AH55" s="191"/>
      <c r="AI55" s="191"/>
      <c r="AJ55" s="191"/>
      <c r="AK55" s="191"/>
      <c r="AL55" s="191"/>
      <c r="AM55" s="191"/>
      <c r="AN55" s="191"/>
      <c r="AO55" s="191"/>
      <c r="AP55" s="191"/>
      <c r="AQ55" s="191"/>
      <c r="AR55" s="191"/>
      <c r="AS55" s="191"/>
      <c r="AT55" s="191"/>
      <c r="AU55" s="191"/>
      <c r="AV55" s="191"/>
      <c r="BJ55" s="227"/>
      <c r="BK55" s="229" t="s">
        <v>199</v>
      </c>
      <c r="BL55" s="202">
        <v>1</v>
      </c>
      <c r="BM55" s="199" t="s">
        <v>200</v>
      </c>
      <c r="BN55" s="200"/>
      <c r="BO55" s="201" t="s">
        <v>92</v>
      </c>
      <c r="BP55" s="202" t="s">
        <v>93</v>
      </c>
      <c r="BQ55" s="236">
        <v>95485</v>
      </c>
      <c r="BR55" s="245"/>
    </row>
    <row r="56" spans="1:70" ht="42" customHeight="1" x14ac:dyDescent="0.2">
      <c r="A56" s="191" t="s">
        <v>55</v>
      </c>
      <c r="B56" s="191"/>
      <c r="C56" s="191"/>
      <c r="D56" s="191"/>
      <c r="E56" s="191"/>
      <c r="F56" s="191"/>
      <c r="G56" s="191"/>
      <c r="H56" s="191"/>
      <c r="I56" s="191"/>
      <c r="J56" s="191"/>
      <c r="K56" s="191"/>
      <c r="L56" s="191"/>
      <c r="M56" s="191"/>
      <c r="N56" s="191"/>
      <c r="O56" s="191" t="s">
        <v>56</v>
      </c>
      <c r="P56" s="191"/>
      <c r="Q56" s="191"/>
      <c r="R56" s="191"/>
      <c r="S56" s="191"/>
      <c r="T56" s="191"/>
      <c r="U56" s="191"/>
      <c r="V56" s="191"/>
      <c r="W56" s="191"/>
      <c r="X56" s="191"/>
      <c r="Y56" s="191"/>
      <c r="Z56" s="191"/>
      <c r="AA56" s="191"/>
      <c r="AB56" s="191"/>
      <c r="AC56" s="191"/>
      <c r="AD56" s="191"/>
      <c r="AE56" s="191"/>
      <c r="AF56" s="191"/>
      <c r="AG56" s="191"/>
      <c r="AH56" s="191"/>
      <c r="AI56" s="191"/>
      <c r="AJ56" s="191"/>
      <c r="AK56" s="191"/>
      <c r="AL56" s="191"/>
      <c r="AM56" s="191"/>
      <c r="AN56" s="191"/>
      <c r="AO56" s="191"/>
      <c r="AP56" s="191"/>
      <c r="AQ56" s="191"/>
      <c r="AR56" s="191"/>
      <c r="AS56" s="191"/>
      <c r="AT56" s="191"/>
      <c r="AU56" s="191"/>
      <c r="AV56" s="191"/>
      <c r="BJ56" s="227"/>
      <c r="BK56" s="229" t="s">
        <v>201</v>
      </c>
      <c r="BL56" s="202">
        <v>1</v>
      </c>
      <c r="BM56" s="199" t="s">
        <v>202</v>
      </c>
      <c r="BN56" s="200"/>
      <c r="BO56" s="201" t="s">
        <v>92</v>
      </c>
      <c r="BP56" s="202" t="s">
        <v>93</v>
      </c>
      <c r="BQ56" s="236">
        <v>70934</v>
      </c>
      <c r="BR56" s="245"/>
    </row>
    <row r="57" spans="1:70" ht="42" customHeight="1" x14ac:dyDescent="0.2">
      <c r="A57" s="191" t="s">
        <v>57</v>
      </c>
      <c r="B57" s="191"/>
      <c r="C57" s="191"/>
      <c r="D57" s="191"/>
      <c r="E57" s="191"/>
      <c r="F57" s="191"/>
      <c r="G57" s="191"/>
      <c r="H57" s="191"/>
      <c r="I57" s="191"/>
      <c r="J57" s="191"/>
      <c r="K57" s="191"/>
      <c r="L57" s="191"/>
      <c r="M57" s="191"/>
      <c r="N57" s="191"/>
      <c r="O57" s="191" t="s">
        <v>58</v>
      </c>
      <c r="P57" s="191"/>
      <c r="Q57" s="191"/>
      <c r="R57" s="191"/>
      <c r="S57" s="191"/>
      <c r="T57" s="191"/>
      <c r="U57" s="191"/>
      <c r="V57" s="191"/>
      <c r="W57" s="191"/>
      <c r="X57" s="191"/>
      <c r="Y57" s="191"/>
      <c r="Z57" s="191"/>
      <c r="AA57" s="191"/>
      <c r="AB57" s="191"/>
      <c r="AC57" s="191"/>
      <c r="AD57" s="191"/>
      <c r="AE57" s="191"/>
      <c r="AF57" s="191"/>
      <c r="AG57" s="191"/>
      <c r="AH57" s="191"/>
      <c r="AI57" s="191"/>
      <c r="AJ57" s="191"/>
      <c r="AK57" s="191"/>
      <c r="AL57" s="191"/>
      <c r="AM57" s="191"/>
      <c r="AN57" s="191"/>
      <c r="AO57" s="191"/>
      <c r="AP57" s="191"/>
      <c r="AQ57" s="191"/>
      <c r="AR57" s="191"/>
      <c r="AS57" s="191"/>
      <c r="AT57" s="191"/>
      <c r="AU57" s="191"/>
      <c r="AV57" s="191"/>
      <c r="BJ57" s="227"/>
      <c r="BK57" s="229" t="s">
        <v>203</v>
      </c>
      <c r="BL57" s="202">
        <v>1</v>
      </c>
      <c r="BM57" s="199" t="s">
        <v>204</v>
      </c>
      <c r="BN57" s="200"/>
      <c r="BO57" s="201" t="s">
        <v>92</v>
      </c>
      <c r="BP57" s="202" t="s">
        <v>93</v>
      </c>
      <c r="BQ57" s="236">
        <v>70728</v>
      </c>
      <c r="BR57" s="245"/>
    </row>
    <row r="58" spans="1:70" ht="42" customHeight="1" x14ac:dyDescent="0.2">
      <c r="A58" s="191" t="s">
        <v>59</v>
      </c>
      <c r="B58" s="191"/>
      <c r="C58" s="191"/>
      <c r="D58" s="191"/>
      <c r="E58" s="191"/>
      <c r="F58" s="191"/>
      <c r="G58" s="191"/>
      <c r="H58" s="191"/>
      <c r="I58" s="191"/>
      <c r="J58" s="191"/>
      <c r="K58" s="191"/>
      <c r="L58" s="191"/>
      <c r="M58" s="191"/>
      <c r="N58" s="191"/>
      <c r="O58" s="191" t="s">
        <v>60</v>
      </c>
      <c r="P58" s="191"/>
      <c r="Q58" s="191"/>
      <c r="R58" s="191"/>
      <c r="S58" s="191"/>
      <c r="T58" s="191"/>
      <c r="U58" s="191"/>
      <c r="V58" s="191"/>
      <c r="W58" s="191"/>
      <c r="X58" s="191"/>
      <c r="Y58" s="191"/>
      <c r="Z58" s="191"/>
      <c r="AA58" s="191"/>
      <c r="AB58" s="191"/>
      <c r="AC58" s="191"/>
      <c r="AD58" s="191"/>
      <c r="AE58" s="191"/>
      <c r="AF58" s="191"/>
      <c r="AG58" s="191"/>
      <c r="AH58" s="191"/>
      <c r="AI58" s="191"/>
      <c r="AJ58" s="191"/>
      <c r="AK58" s="191"/>
      <c r="AL58" s="191"/>
      <c r="AM58" s="191"/>
      <c r="AN58" s="191"/>
      <c r="AO58" s="191"/>
      <c r="AP58" s="191"/>
      <c r="AQ58" s="191"/>
      <c r="AR58" s="191"/>
      <c r="AS58" s="191"/>
      <c r="AT58" s="191"/>
      <c r="AU58" s="191"/>
      <c r="AV58" s="191"/>
      <c r="BJ58" s="227"/>
      <c r="BK58" s="229" t="s">
        <v>205</v>
      </c>
      <c r="BL58" s="202">
        <v>1</v>
      </c>
      <c r="BM58" s="199" t="s">
        <v>206</v>
      </c>
      <c r="BN58" s="200"/>
      <c r="BO58" s="201" t="s">
        <v>92</v>
      </c>
      <c r="BP58" s="202" t="s">
        <v>93</v>
      </c>
      <c r="BQ58" s="236">
        <v>70677</v>
      </c>
      <c r="BR58" s="245"/>
    </row>
    <row r="59" spans="1:70" x14ac:dyDescent="0.2">
      <c r="BJ59" s="227"/>
      <c r="BK59" s="229" t="s">
        <v>207</v>
      </c>
      <c r="BL59" s="202">
        <v>1</v>
      </c>
      <c r="BM59" s="199" t="s">
        <v>208</v>
      </c>
      <c r="BN59" s="200"/>
      <c r="BO59" s="201" t="s">
        <v>92</v>
      </c>
      <c r="BP59" s="202" t="s">
        <v>93</v>
      </c>
      <c r="BQ59" s="236" t="s">
        <v>93</v>
      </c>
      <c r="BR59" s="245"/>
    </row>
    <row r="60" spans="1:70" x14ac:dyDescent="0.2">
      <c r="BJ60" s="227"/>
      <c r="BK60" s="229" t="s">
        <v>209</v>
      </c>
      <c r="BL60" s="202">
        <v>1</v>
      </c>
      <c r="BM60" s="199" t="s">
        <v>210</v>
      </c>
      <c r="BN60" s="200"/>
      <c r="BO60" s="201" t="s">
        <v>92</v>
      </c>
      <c r="BP60" s="202" t="s">
        <v>93</v>
      </c>
      <c r="BQ60" s="236">
        <v>94862</v>
      </c>
      <c r="BR60" s="245"/>
    </row>
    <row r="61" spans="1:70" x14ac:dyDescent="0.2">
      <c r="BJ61" s="227"/>
      <c r="BK61" s="229" t="s">
        <v>211</v>
      </c>
      <c r="BL61" s="202">
        <v>1</v>
      </c>
      <c r="BM61" s="199" t="s">
        <v>212</v>
      </c>
      <c r="BN61" s="200"/>
      <c r="BO61" s="201" t="s">
        <v>92</v>
      </c>
      <c r="BP61" s="202" t="s">
        <v>93</v>
      </c>
      <c r="BQ61" s="236">
        <v>94916</v>
      </c>
      <c r="BR61" s="245"/>
    </row>
    <row r="62" spans="1:70" x14ac:dyDescent="0.2">
      <c r="BJ62" s="227"/>
      <c r="BK62" s="229" t="s">
        <v>213</v>
      </c>
      <c r="BL62" s="202">
        <v>1</v>
      </c>
      <c r="BM62" s="199" t="s">
        <v>214</v>
      </c>
      <c r="BN62" s="200"/>
      <c r="BO62" s="201" t="s">
        <v>92</v>
      </c>
      <c r="BP62" s="202" t="s">
        <v>93</v>
      </c>
      <c r="BQ62" s="236">
        <v>91069</v>
      </c>
      <c r="BR62" s="245"/>
    </row>
    <row r="63" spans="1:70" x14ac:dyDescent="0.2">
      <c r="BJ63" s="227"/>
      <c r="BK63" s="229" t="s">
        <v>215</v>
      </c>
      <c r="BL63" s="202">
        <v>1</v>
      </c>
      <c r="BM63" s="199" t="s">
        <v>216</v>
      </c>
      <c r="BN63" s="200"/>
      <c r="BO63" s="201" t="s">
        <v>92</v>
      </c>
      <c r="BP63" s="202" t="s">
        <v>93</v>
      </c>
      <c r="BQ63" s="236">
        <v>95407</v>
      </c>
      <c r="BR63" s="245"/>
    </row>
    <row r="64" spans="1:70" x14ac:dyDescent="0.2">
      <c r="BJ64" s="227"/>
      <c r="BK64" s="229" t="s">
        <v>217</v>
      </c>
      <c r="BL64" s="202">
        <v>1</v>
      </c>
      <c r="BM64" s="199" t="s">
        <v>218</v>
      </c>
      <c r="BN64" s="200"/>
      <c r="BO64" s="201" t="s">
        <v>92</v>
      </c>
      <c r="BP64" s="202" t="s">
        <v>93</v>
      </c>
      <c r="BQ64" s="236">
        <v>95309</v>
      </c>
      <c r="BR64" s="245"/>
    </row>
    <row r="65" spans="62:70" x14ac:dyDescent="0.2">
      <c r="BJ65" s="227"/>
      <c r="BK65" s="229" t="s">
        <v>219</v>
      </c>
      <c r="BL65" s="202">
        <v>1</v>
      </c>
      <c r="BM65" s="199" t="s">
        <v>220</v>
      </c>
      <c r="BN65" s="200"/>
      <c r="BO65" s="201" t="s">
        <v>92</v>
      </c>
      <c r="BP65" s="202" t="s">
        <v>93</v>
      </c>
      <c r="BQ65" s="236">
        <v>95362</v>
      </c>
      <c r="BR65" s="245"/>
    </row>
    <row r="66" spans="62:70" x14ac:dyDescent="0.2">
      <c r="BJ66" s="227"/>
      <c r="BK66" s="229" t="s">
        <v>221</v>
      </c>
      <c r="BL66" s="202">
        <v>1</v>
      </c>
      <c r="BM66" s="199" t="s">
        <v>222</v>
      </c>
      <c r="BN66" s="200"/>
      <c r="BO66" s="201" t="s">
        <v>92</v>
      </c>
      <c r="BP66" s="202" t="s">
        <v>93</v>
      </c>
      <c r="BQ66" s="236">
        <v>93204</v>
      </c>
      <c r="BR66" s="245"/>
    </row>
    <row r="67" spans="62:70" x14ac:dyDescent="0.2">
      <c r="BJ67" s="227"/>
      <c r="BK67" s="229" t="s">
        <v>223</v>
      </c>
      <c r="BL67" s="202">
        <v>1</v>
      </c>
      <c r="BM67" s="199" t="s">
        <v>224</v>
      </c>
      <c r="BN67" s="200"/>
      <c r="BO67" s="201" t="s">
        <v>92</v>
      </c>
      <c r="BP67" s="202" t="s">
        <v>93</v>
      </c>
      <c r="BQ67" s="236">
        <v>95516</v>
      </c>
      <c r="BR67" s="245"/>
    </row>
    <row r="68" spans="62:70" x14ac:dyDescent="0.2">
      <c r="BJ68" s="227"/>
      <c r="BK68" s="229" t="s">
        <v>225</v>
      </c>
      <c r="BL68" s="202">
        <v>1</v>
      </c>
      <c r="BM68" s="199" t="s">
        <v>226</v>
      </c>
      <c r="BN68" s="200"/>
      <c r="BO68" s="201" t="s">
        <v>92</v>
      </c>
      <c r="BP68" s="202" t="s">
        <v>93</v>
      </c>
      <c r="BQ68" s="236" t="s">
        <v>93</v>
      </c>
      <c r="BR68" s="245"/>
    </row>
    <row r="69" spans="62:70" x14ac:dyDescent="0.2">
      <c r="BJ69" s="227"/>
      <c r="BK69" s="229" t="s">
        <v>227</v>
      </c>
      <c r="BL69" s="202">
        <v>1</v>
      </c>
      <c r="BM69" s="199" t="s">
        <v>228</v>
      </c>
      <c r="BN69" s="200"/>
      <c r="BO69" s="201" t="s">
        <v>92</v>
      </c>
      <c r="BP69" s="202" t="s">
        <v>93</v>
      </c>
      <c r="BQ69" s="236">
        <v>93982</v>
      </c>
      <c r="BR69" s="245"/>
    </row>
    <row r="70" spans="62:70" x14ac:dyDescent="0.2">
      <c r="BJ70" s="227"/>
      <c r="BK70" s="229" t="s">
        <v>229</v>
      </c>
      <c r="BL70" s="202">
        <v>1</v>
      </c>
      <c r="BM70" s="199" t="s">
        <v>230</v>
      </c>
      <c r="BN70" s="200"/>
      <c r="BO70" s="201" t="s">
        <v>92</v>
      </c>
      <c r="BP70" s="202" t="s">
        <v>93</v>
      </c>
      <c r="BQ70" s="236">
        <v>94900</v>
      </c>
      <c r="BR70" s="245"/>
    </row>
    <row r="71" spans="62:70" x14ac:dyDescent="0.2">
      <c r="BJ71" s="227"/>
      <c r="BK71" s="229" t="s">
        <v>231</v>
      </c>
      <c r="BL71" s="202">
        <v>1</v>
      </c>
      <c r="BM71" s="199" t="s">
        <v>232</v>
      </c>
      <c r="BN71" s="200"/>
      <c r="BO71" s="201" t="s">
        <v>92</v>
      </c>
      <c r="BP71" s="202" t="s">
        <v>93</v>
      </c>
      <c r="BQ71" s="236">
        <v>70939</v>
      </c>
      <c r="BR71" s="245"/>
    </row>
    <row r="72" spans="62:70" x14ac:dyDescent="0.2">
      <c r="BJ72" s="227"/>
      <c r="BK72" s="229" t="s">
        <v>233</v>
      </c>
      <c r="BL72" s="202">
        <v>1</v>
      </c>
      <c r="BM72" s="199" t="s">
        <v>234</v>
      </c>
      <c r="BN72" s="200"/>
      <c r="BO72" s="201" t="s">
        <v>93</v>
      </c>
      <c r="BP72" s="202" t="s">
        <v>93</v>
      </c>
      <c r="BQ72" s="236" t="s">
        <v>93</v>
      </c>
      <c r="BR72" s="245"/>
    </row>
    <row r="73" spans="62:70" x14ac:dyDescent="0.2">
      <c r="BJ73" s="227"/>
      <c r="BK73" s="229" t="s">
        <v>235</v>
      </c>
      <c r="BL73" s="202">
        <v>1</v>
      </c>
      <c r="BM73" s="199" t="s">
        <v>236</v>
      </c>
      <c r="BN73" s="200"/>
      <c r="BO73" s="201" t="s">
        <v>93</v>
      </c>
      <c r="BP73" s="202" t="s">
        <v>93</v>
      </c>
      <c r="BQ73" s="236" t="s">
        <v>93</v>
      </c>
      <c r="BR73" s="245"/>
    </row>
    <row r="74" spans="62:70" x14ac:dyDescent="0.2">
      <c r="BJ74" s="227"/>
      <c r="BK74" s="229" t="s">
        <v>237</v>
      </c>
      <c r="BL74" s="202">
        <v>1</v>
      </c>
      <c r="BM74" s="199" t="s">
        <v>238</v>
      </c>
      <c r="BN74" s="200"/>
      <c r="BO74" s="201" t="s">
        <v>96</v>
      </c>
      <c r="BP74" s="202" t="s">
        <v>239</v>
      </c>
      <c r="BQ74" s="236">
        <v>2278</v>
      </c>
      <c r="BR74" s="245"/>
    </row>
    <row r="75" spans="62:70" x14ac:dyDescent="0.2">
      <c r="BJ75" s="227"/>
      <c r="BK75" s="229" t="s">
        <v>240</v>
      </c>
      <c r="BL75" s="202">
        <v>1</v>
      </c>
      <c r="BM75" s="199" t="s">
        <v>238</v>
      </c>
      <c r="BN75" s="200"/>
      <c r="BO75" s="201" t="s">
        <v>96</v>
      </c>
      <c r="BP75" s="202" t="s">
        <v>241</v>
      </c>
      <c r="BQ75" s="236">
        <v>2146</v>
      </c>
      <c r="BR75" s="245"/>
    </row>
    <row r="76" spans="62:70" x14ac:dyDescent="0.2">
      <c r="BJ76" s="227"/>
      <c r="BK76" s="229" t="s">
        <v>242</v>
      </c>
      <c r="BL76" s="202">
        <v>1</v>
      </c>
      <c r="BM76" s="199" t="s">
        <v>238</v>
      </c>
      <c r="BN76" s="200"/>
      <c r="BO76" s="201" t="s">
        <v>96</v>
      </c>
      <c r="BP76" s="202" t="s">
        <v>241</v>
      </c>
      <c r="BQ76" s="236">
        <v>1973</v>
      </c>
      <c r="BR76" s="245"/>
    </row>
    <row r="77" spans="62:70" x14ac:dyDescent="0.2">
      <c r="BJ77" s="227"/>
      <c r="BK77" s="229" t="s">
        <v>243</v>
      </c>
      <c r="BL77" s="202">
        <v>1</v>
      </c>
      <c r="BM77" s="199" t="s">
        <v>244</v>
      </c>
      <c r="BN77" s="200"/>
      <c r="BO77" s="201" t="s">
        <v>245</v>
      </c>
      <c r="BP77" s="202" t="s">
        <v>246</v>
      </c>
      <c r="BQ77" s="236" t="s">
        <v>93</v>
      </c>
      <c r="BR77" s="245"/>
    </row>
    <row r="78" spans="62:70" x14ac:dyDescent="0.2">
      <c r="BJ78" s="227"/>
      <c r="BK78" s="229" t="s">
        <v>247</v>
      </c>
      <c r="BL78" s="202">
        <v>1</v>
      </c>
      <c r="BM78" s="199" t="s">
        <v>248</v>
      </c>
      <c r="BN78" s="200"/>
      <c r="BO78" s="201" t="s">
        <v>93</v>
      </c>
      <c r="BP78" s="202" t="s">
        <v>93</v>
      </c>
      <c r="BQ78" s="236" t="s">
        <v>93</v>
      </c>
      <c r="BR78" s="245"/>
    </row>
    <row r="79" spans="62:70" x14ac:dyDescent="0.2">
      <c r="BJ79" s="227"/>
      <c r="BK79" s="229" t="s">
        <v>249</v>
      </c>
      <c r="BL79" s="202">
        <v>1</v>
      </c>
      <c r="BM79" s="199" t="s">
        <v>250</v>
      </c>
      <c r="BN79" s="200"/>
      <c r="BO79" s="201" t="s">
        <v>251</v>
      </c>
      <c r="BP79" s="202" t="s">
        <v>252</v>
      </c>
      <c r="BQ79" s="236">
        <v>21176187</v>
      </c>
      <c r="BR79" s="245"/>
    </row>
    <row r="80" spans="62:70" x14ac:dyDescent="0.2">
      <c r="BJ80" s="227"/>
      <c r="BK80" s="229" t="s">
        <v>253</v>
      </c>
      <c r="BL80" s="202">
        <v>1</v>
      </c>
      <c r="BM80" s="199" t="s">
        <v>254</v>
      </c>
      <c r="BN80" s="200"/>
      <c r="BO80" s="201" t="s">
        <v>251</v>
      </c>
      <c r="BP80" s="202" t="s">
        <v>255</v>
      </c>
      <c r="BQ80" s="236">
        <v>19170392</v>
      </c>
      <c r="BR80" s="245"/>
    </row>
    <row r="81" spans="62:70" x14ac:dyDescent="0.2">
      <c r="BJ81" s="227"/>
      <c r="BK81" s="229" t="s">
        <v>256</v>
      </c>
      <c r="BL81" s="202">
        <v>1</v>
      </c>
      <c r="BM81" s="199" t="s">
        <v>257</v>
      </c>
      <c r="BN81" s="200"/>
      <c r="BO81" s="201" t="s">
        <v>93</v>
      </c>
      <c r="BP81" s="202" t="s">
        <v>93</v>
      </c>
      <c r="BQ81" s="236" t="s">
        <v>93</v>
      </c>
      <c r="BR81" s="245"/>
    </row>
    <row r="82" spans="62:70" x14ac:dyDescent="0.2">
      <c r="BJ82" s="227"/>
      <c r="BK82" s="229" t="s">
        <v>258</v>
      </c>
      <c r="BL82" s="202">
        <v>1</v>
      </c>
      <c r="BM82" s="199" t="s">
        <v>259</v>
      </c>
      <c r="BN82" s="200"/>
      <c r="BO82" s="201" t="s">
        <v>251</v>
      </c>
      <c r="BP82" s="202" t="s">
        <v>260</v>
      </c>
      <c r="BQ82" s="236">
        <v>15105218</v>
      </c>
      <c r="BR82" s="245"/>
    </row>
    <row r="83" spans="62:70" x14ac:dyDescent="0.2">
      <c r="BJ83" s="227"/>
      <c r="BK83" s="229" t="s">
        <v>261</v>
      </c>
      <c r="BL83" s="202">
        <v>1</v>
      </c>
      <c r="BM83" s="199" t="s">
        <v>262</v>
      </c>
      <c r="BN83" s="200"/>
      <c r="BO83" s="201" t="s">
        <v>251</v>
      </c>
      <c r="BP83" s="202" t="s">
        <v>263</v>
      </c>
      <c r="BQ83" s="236">
        <v>16313619</v>
      </c>
      <c r="BR83" s="245"/>
    </row>
    <row r="84" spans="62:70" x14ac:dyDescent="0.2">
      <c r="BJ84" s="227"/>
      <c r="BK84" s="229" t="s">
        <v>264</v>
      </c>
      <c r="BL84" s="202">
        <v>1</v>
      </c>
      <c r="BM84" s="199" t="s">
        <v>265</v>
      </c>
      <c r="BN84" s="200"/>
      <c r="BO84" s="201" t="s">
        <v>251</v>
      </c>
      <c r="BP84" s="202" t="s">
        <v>266</v>
      </c>
      <c r="BQ84" s="236">
        <v>21201390</v>
      </c>
      <c r="BR84" s="245"/>
    </row>
    <row r="85" spans="62:70" x14ac:dyDescent="0.2">
      <c r="BJ85" s="227"/>
      <c r="BK85" s="229" t="s">
        <v>267</v>
      </c>
      <c r="BL85" s="202">
        <v>1</v>
      </c>
      <c r="BM85" s="199" t="s">
        <v>268</v>
      </c>
      <c r="BN85" s="200"/>
      <c r="BO85" s="201" t="s">
        <v>251</v>
      </c>
      <c r="BP85" s="202" t="s">
        <v>266</v>
      </c>
      <c r="BQ85" s="236">
        <v>21201398</v>
      </c>
      <c r="BR85" s="245"/>
    </row>
    <row r="86" spans="62:70" x14ac:dyDescent="0.2">
      <c r="BJ86" s="227"/>
      <c r="BK86" s="229" t="s">
        <v>269</v>
      </c>
      <c r="BL86" s="202">
        <v>1</v>
      </c>
      <c r="BM86" s="199" t="s">
        <v>270</v>
      </c>
      <c r="BN86" s="200"/>
      <c r="BO86" s="201" t="s">
        <v>251</v>
      </c>
      <c r="BP86" s="202" t="s">
        <v>263</v>
      </c>
      <c r="BQ86" s="236">
        <v>22117984</v>
      </c>
      <c r="BR86" s="245"/>
    </row>
    <row r="87" spans="62:70" x14ac:dyDescent="0.2">
      <c r="BJ87" s="227"/>
      <c r="BK87" s="229" t="s">
        <v>271</v>
      </c>
      <c r="BL87" s="202">
        <v>1</v>
      </c>
      <c r="BM87" s="199" t="s">
        <v>272</v>
      </c>
      <c r="BN87" s="200"/>
      <c r="BO87" s="201" t="s">
        <v>251</v>
      </c>
      <c r="BP87" s="202" t="s">
        <v>263</v>
      </c>
      <c r="BQ87" s="236">
        <v>19137270</v>
      </c>
      <c r="BR87" s="245"/>
    </row>
    <row r="88" spans="62:70" x14ac:dyDescent="0.2">
      <c r="BJ88" s="227"/>
      <c r="BK88" s="229" t="s">
        <v>273</v>
      </c>
      <c r="BL88" s="202">
        <v>1</v>
      </c>
      <c r="BM88" s="199" t="s">
        <v>274</v>
      </c>
      <c r="BN88" s="200"/>
      <c r="BO88" s="201" t="s">
        <v>96</v>
      </c>
      <c r="BP88" s="202" t="s">
        <v>275</v>
      </c>
      <c r="BQ88" s="236">
        <v>148</v>
      </c>
      <c r="BR88" s="245"/>
    </row>
    <row r="89" spans="62:70" x14ac:dyDescent="0.2">
      <c r="BJ89" s="227"/>
      <c r="BK89" s="229" t="s">
        <v>276</v>
      </c>
      <c r="BL89" s="202">
        <v>1</v>
      </c>
      <c r="BM89" s="199" t="s">
        <v>277</v>
      </c>
      <c r="BN89" s="200"/>
      <c r="BO89" s="201" t="s">
        <v>278</v>
      </c>
      <c r="BP89" s="202" t="s">
        <v>93</v>
      </c>
      <c r="BQ89" s="236" t="s">
        <v>93</v>
      </c>
      <c r="BR89" s="245"/>
    </row>
    <row r="90" spans="62:70" x14ac:dyDescent="0.2">
      <c r="BJ90" s="227"/>
      <c r="BK90" s="229" t="s">
        <v>279</v>
      </c>
      <c r="BL90" s="202">
        <v>1</v>
      </c>
      <c r="BM90" s="199" t="s">
        <v>280</v>
      </c>
      <c r="BN90" s="200"/>
      <c r="BO90" s="201" t="s">
        <v>93</v>
      </c>
      <c r="BP90" s="202" t="s">
        <v>93</v>
      </c>
      <c r="BQ90" s="236" t="s">
        <v>93</v>
      </c>
      <c r="BR90" s="245"/>
    </row>
    <row r="91" spans="62:70" x14ac:dyDescent="0.2">
      <c r="BJ91" s="227"/>
      <c r="BK91" s="229" t="s">
        <v>281</v>
      </c>
      <c r="BL91" s="202">
        <v>1</v>
      </c>
      <c r="BM91" s="199" t="s">
        <v>282</v>
      </c>
      <c r="BN91" s="200"/>
      <c r="BO91" s="201" t="s">
        <v>93</v>
      </c>
      <c r="BP91" s="202" t="s">
        <v>283</v>
      </c>
      <c r="BQ91" s="236" t="s">
        <v>93</v>
      </c>
      <c r="BR91" s="245"/>
    </row>
    <row r="92" spans="62:70" x14ac:dyDescent="0.2">
      <c r="BJ92" s="227"/>
      <c r="BK92" s="229" t="s">
        <v>284</v>
      </c>
      <c r="BL92" s="202">
        <v>1</v>
      </c>
      <c r="BM92" s="199" t="s">
        <v>285</v>
      </c>
      <c r="BN92" s="200"/>
      <c r="BO92" s="201" t="s">
        <v>93</v>
      </c>
      <c r="BP92" s="202" t="s">
        <v>93</v>
      </c>
      <c r="BQ92" s="236" t="s">
        <v>93</v>
      </c>
      <c r="BR92" s="245"/>
    </row>
    <row r="93" spans="62:70" x14ac:dyDescent="0.2">
      <c r="BJ93" s="227"/>
      <c r="BK93" s="229" t="s">
        <v>286</v>
      </c>
      <c r="BL93" s="202">
        <v>8</v>
      </c>
      <c r="BM93" s="199" t="s">
        <v>287</v>
      </c>
      <c r="BN93" s="200"/>
      <c r="BO93" s="201" t="s">
        <v>93</v>
      </c>
      <c r="BP93" s="202" t="s">
        <v>93</v>
      </c>
      <c r="BQ93" s="236" t="s">
        <v>93</v>
      </c>
      <c r="BR93" s="245"/>
    </row>
    <row r="94" spans="62:70" x14ac:dyDescent="0.2">
      <c r="BJ94" s="227"/>
      <c r="BK94" s="229" t="s">
        <v>288</v>
      </c>
      <c r="BL94" s="202">
        <v>1</v>
      </c>
      <c r="BM94" s="199" t="s">
        <v>289</v>
      </c>
      <c r="BN94" s="200"/>
      <c r="BO94" s="201" t="s">
        <v>93</v>
      </c>
      <c r="BP94" s="202" t="s">
        <v>93</v>
      </c>
      <c r="BQ94" s="236" t="s">
        <v>93</v>
      </c>
      <c r="BR94" s="245"/>
    </row>
    <row r="95" spans="62:70" x14ac:dyDescent="0.2">
      <c r="BJ95" s="227"/>
      <c r="BK95" s="229" t="s">
        <v>290</v>
      </c>
      <c r="BL95" s="202">
        <v>1</v>
      </c>
      <c r="BM95" s="199" t="s">
        <v>291</v>
      </c>
      <c r="BN95" s="200"/>
      <c r="BO95" s="201" t="s">
        <v>93</v>
      </c>
      <c r="BP95" s="202" t="s">
        <v>93</v>
      </c>
      <c r="BQ95" s="236" t="s">
        <v>93</v>
      </c>
      <c r="BR95" s="245"/>
    </row>
    <row r="96" spans="62:70" x14ac:dyDescent="0.2">
      <c r="BJ96" s="227"/>
      <c r="BK96" s="229" t="s">
        <v>292</v>
      </c>
      <c r="BL96" s="202">
        <v>1</v>
      </c>
      <c r="BM96" s="199" t="s">
        <v>291</v>
      </c>
      <c r="BN96" s="200"/>
      <c r="BO96" s="201" t="s">
        <v>93</v>
      </c>
      <c r="BP96" s="202" t="s">
        <v>93</v>
      </c>
      <c r="BQ96" s="236" t="s">
        <v>93</v>
      </c>
      <c r="BR96" s="245"/>
    </row>
    <row r="97" spans="62:70" x14ac:dyDescent="0.2">
      <c r="BJ97" s="227"/>
      <c r="BK97" s="229" t="s">
        <v>293</v>
      </c>
      <c r="BL97" s="202">
        <v>1</v>
      </c>
      <c r="BM97" s="199" t="s">
        <v>291</v>
      </c>
      <c r="BN97" s="200"/>
      <c r="BO97" s="201" t="s">
        <v>93</v>
      </c>
      <c r="BP97" s="202" t="s">
        <v>93</v>
      </c>
      <c r="BQ97" s="236" t="s">
        <v>93</v>
      </c>
      <c r="BR97" s="245"/>
    </row>
    <row r="98" spans="62:70" x14ac:dyDescent="0.2">
      <c r="BJ98" s="227"/>
      <c r="BK98" s="229" t="s">
        <v>294</v>
      </c>
      <c r="BL98" s="202">
        <v>1</v>
      </c>
      <c r="BM98" s="199" t="s">
        <v>295</v>
      </c>
      <c r="BN98" s="200"/>
      <c r="BO98" s="201" t="s">
        <v>93</v>
      </c>
      <c r="BP98" s="202" t="s">
        <v>93</v>
      </c>
      <c r="BQ98" s="236" t="s">
        <v>93</v>
      </c>
      <c r="BR98" s="245"/>
    </row>
    <row r="99" spans="62:70" x14ac:dyDescent="0.2">
      <c r="BJ99" s="227"/>
      <c r="BK99" s="229" t="s">
        <v>296</v>
      </c>
      <c r="BL99" s="202">
        <v>1</v>
      </c>
      <c r="BM99" s="199" t="s">
        <v>295</v>
      </c>
      <c r="BN99" s="200"/>
      <c r="BO99" s="201" t="s">
        <v>93</v>
      </c>
      <c r="BP99" s="203" t="s">
        <v>93</v>
      </c>
      <c r="BQ99" s="236" t="s">
        <v>93</v>
      </c>
      <c r="BR99" s="245"/>
    </row>
    <row r="100" spans="62:70" x14ac:dyDescent="0.2">
      <c r="BJ100" s="227"/>
      <c r="BK100" s="229" t="s">
        <v>297</v>
      </c>
      <c r="BL100" s="202">
        <v>1</v>
      </c>
      <c r="BM100" s="199" t="s">
        <v>298</v>
      </c>
      <c r="BN100" s="200"/>
      <c r="BO100" s="201" t="s">
        <v>93</v>
      </c>
      <c r="BP100" s="202" t="s">
        <v>93</v>
      </c>
      <c r="BQ100" s="236" t="s">
        <v>93</v>
      </c>
      <c r="BR100" s="245"/>
    </row>
    <row r="101" spans="62:70" x14ac:dyDescent="0.2">
      <c r="BJ101" s="227"/>
      <c r="BK101" s="229" t="s">
        <v>299</v>
      </c>
      <c r="BL101" s="202">
        <v>1</v>
      </c>
      <c r="BM101" s="199" t="s">
        <v>298</v>
      </c>
      <c r="BN101" s="200"/>
      <c r="BO101" s="201" t="s">
        <v>93</v>
      </c>
      <c r="BP101" s="203" t="s">
        <v>93</v>
      </c>
      <c r="BQ101" s="236" t="s">
        <v>93</v>
      </c>
      <c r="BR101" s="245"/>
    </row>
    <row r="102" spans="62:70" x14ac:dyDescent="0.2">
      <c r="BJ102" s="227"/>
      <c r="BK102" s="229" t="s">
        <v>300</v>
      </c>
      <c r="BL102" s="202">
        <v>1</v>
      </c>
      <c r="BM102" s="199" t="s">
        <v>301</v>
      </c>
      <c r="BN102" s="200"/>
      <c r="BO102" s="201" t="s">
        <v>93</v>
      </c>
      <c r="BP102" s="202" t="s">
        <v>93</v>
      </c>
      <c r="BQ102" s="236" t="s">
        <v>93</v>
      </c>
      <c r="BR102" s="245"/>
    </row>
    <row r="103" spans="62:70" x14ac:dyDescent="0.2">
      <c r="BJ103" s="227"/>
      <c r="BK103" s="229" t="s">
        <v>302</v>
      </c>
      <c r="BL103" s="202">
        <v>1</v>
      </c>
      <c r="BM103" s="199" t="s">
        <v>301</v>
      </c>
      <c r="BN103" s="200"/>
      <c r="BO103" s="201" t="s">
        <v>93</v>
      </c>
      <c r="BP103" s="202" t="s">
        <v>93</v>
      </c>
      <c r="BQ103" s="236" t="s">
        <v>93</v>
      </c>
      <c r="BR103" s="245"/>
    </row>
    <row r="104" spans="62:70" x14ac:dyDescent="0.2">
      <c r="BJ104" s="227"/>
      <c r="BK104" s="229" t="s">
        <v>303</v>
      </c>
      <c r="BL104" s="202">
        <v>1</v>
      </c>
      <c r="BM104" s="199" t="s">
        <v>304</v>
      </c>
      <c r="BN104" s="200"/>
      <c r="BO104" s="201" t="s">
        <v>93</v>
      </c>
      <c r="BP104" s="202" t="s">
        <v>93</v>
      </c>
      <c r="BQ104" s="236" t="s">
        <v>93</v>
      </c>
      <c r="BR104" s="245"/>
    </row>
    <row r="105" spans="62:70" x14ac:dyDescent="0.2">
      <c r="BJ105" s="227"/>
      <c r="BK105" s="229" t="s">
        <v>305</v>
      </c>
      <c r="BL105" s="202">
        <v>1</v>
      </c>
      <c r="BM105" s="199" t="s">
        <v>304</v>
      </c>
      <c r="BN105" s="200"/>
      <c r="BO105" s="201" t="s">
        <v>93</v>
      </c>
      <c r="BP105" s="202" t="s">
        <v>93</v>
      </c>
      <c r="BQ105" s="236" t="s">
        <v>93</v>
      </c>
      <c r="BR105" s="245"/>
    </row>
    <row r="106" spans="62:70" x14ac:dyDescent="0.2">
      <c r="BJ106" s="227"/>
      <c r="BK106" s="229" t="s">
        <v>306</v>
      </c>
      <c r="BL106" s="202">
        <v>1</v>
      </c>
      <c r="BM106" s="199" t="s">
        <v>307</v>
      </c>
      <c r="BN106" s="200"/>
      <c r="BO106" s="201" t="s">
        <v>93</v>
      </c>
      <c r="BP106" s="202" t="s">
        <v>93</v>
      </c>
      <c r="BQ106" s="236" t="s">
        <v>93</v>
      </c>
      <c r="BR106" s="245"/>
    </row>
    <row r="107" spans="62:70" x14ac:dyDescent="0.2">
      <c r="BJ107" s="227"/>
      <c r="BK107" s="229" t="s">
        <v>308</v>
      </c>
      <c r="BL107" s="202">
        <v>1</v>
      </c>
      <c r="BM107" s="199" t="s">
        <v>307</v>
      </c>
      <c r="BN107" s="200"/>
      <c r="BO107" s="201" t="s">
        <v>93</v>
      </c>
      <c r="BP107" s="202" t="s">
        <v>93</v>
      </c>
      <c r="BQ107" s="236" t="s">
        <v>93</v>
      </c>
      <c r="BR107" s="245"/>
    </row>
    <row r="108" spans="62:70" x14ac:dyDescent="0.2">
      <c r="BJ108" s="227"/>
      <c r="BK108" s="229" t="s">
        <v>309</v>
      </c>
      <c r="BL108" s="202">
        <v>1</v>
      </c>
      <c r="BM108" s="199" t="s">
        <v>307</v>
      </c>
      <c r="BN108" s="200"/>
      <c r="BO108" s="201" t="s">
        <v>93</v>
      </c>
      <c r="BP108" s="202" t="s">
        <v>93</v>
      </c>
      <c r="BQ108" s="236" t="s">
        <v>93</v>
      </c>
      <c r="BR108" s="245"/>
    </row>
    <row r="109" spans="62:70" x14ac:dyDescent="0.2">
      <c r="BJ109" s="227"/>
      <c r="BK109" s="229" t="s">
        <v>310</v>
      </c>
      <c r="BL109" s="202">
        <v>1</v>
      </c>
      <c r="BM109" s="199" t="s">
        <v>307</v>
      </c>
      <c r="BN109" s="200"/>
      <c r="BO109" s="201" t="s">
        <v>93</v>
      </c>
      <c r="BP109" s="202" t="s">
        <v>93</v>
      </c>
      <c r="BQ109" s="236" t="s">
        <v>93</v>
      </c>
      <c r="BR109" s="245"/>
    </row>
    <row r="110" spans="62:70" x14ac:dyDescent="0.2">
      <c r="BJ110" s="227"/>
      <c r="BK110" s="229" t="s">
        <v>311</v>
      </c>
      <c r="BL110" s="202">
        <v>1</v>
      </c>
      <c r="BM110" s="199" t="s">
        <v>312</v>
      </c>
      <c r="BN110" s="200"/>
      <c r="BO110" s="201" t="s">
        <v>93</v>
      </c>
      <c r="BP110" s="202" t="s">
        <v>93</v>
      </c>
      <c r="BQ110" s="236" t="s">
        <v>93</v>
      </c>
      <c r="BR110" s="245"/>
    </row>
    <row r="111" spans="62:70" x14ac:dyDescent="0.2">
      <c r="BJ111" s="227"/>
      <c r="BK111" s="229" t="s">
        <v>313</v>
      </c>
      <c r="BL111" s="202">
        <v>1</v>
      </c>
      <c r="BM111" s="199" t="s">
        <v>312</v>
      </c>
      <c r="BN111" s="200"/>
      <c r="BO111" s="201" t="s">
        <v>93</v>
      </c>
      <c r="BP111" s="202" t="s">
        <v>93</v>
      </c>
      <c r="BQ111" s="236" t="s">
        <v>93</v>
      </c>
      <c r="BR111" s="245"/>
    </row>
    <row r="112" spans="62:70" x14ac:dyDescent="0.2">
      <c r="BJ112" s="227"/>
      <c r="BK112" s="229" t="s">
        <v>314</v>
      </c>
      <c r="BL112" s="202">
        <v>1</v>
      </c>
      <c r="BM112" s="199" t="s">
        <v>312</v>
      </c>
      <c r="BN112" s="200"/>
      <c r="BO112" s="201" t="s">
        <v>93</v>
      </c>
      <c r="BP112" s="202" t="s">
        <v>93</v>
      </c>
      <c r="BQ112" s="236" t="s">
        <v>93</v>
      </c>
      <c r="BR112" s="245"/>
    </row>
    <row r="113" spans="62:70" x14ac:dyDescent="0.2">
      <c r="BJ113" s="227"/>
      <c r="BK113" s="229" t="s">
        <v>315</v>
      </c>
      <c r="BL113" s="202">
        <v>1</v>
      </c>
      <c r="BM113" s="199" t="s">
        <v>312</v>
      </c>
      <c r="BN113" s="200"/>
      <c r="BO113" s="201" t="s">
        <v>93</v>
      </c>
      <c r="BP113" s="202" t="s">
        <v>93</v>
      </c>
      <c r="BQ113" s="236" t="s">
        <v>93</v>
      </c>
      <c r="BR113" s="245"/>
    </row>
    <row r="114" spans="62:70" x14ac:dyDescent="0.2">
      <c r="BJ114" s="227"/>
      <c r="BK114" s="229" t="s">
        <v>316</v>
      </c>
      <c r="BL114" s="202">
        <v>1</v>
      </c>
      <c r="BM114" s="199" t="s">
        <v>317</v>
      </c>
      <c r="BN114" s="200"/>
      <c r="BO114" s="201" t="s">
        <v>318</v>
      </c>
      <c r="BP114" s="202" t="s">
        <v>93</v>
      </c>
      <c r="BQ114" s="236" t="s">
        <v>93</v>
      </c>
      <c r="BR114" s="245"/>
    </row>
    <row r="115" spans="62:70" x14ac:dyDescent="0.2">
      <c r="BJ115" s="227"/>
      <c r="BK115" s="229" t="s">
        <v>319</v>
      </c>
      <c r="BL115" s="202">
        <v>1</v>
      </c>
      <c r="BM115" s="199" t="s">
        <v>320</v>
      </c>
      <c r="BN115" s="200"/>
      <c r="BO115" s="201" t="s">
        <v>318</v>
      </c>
      <c r="BP115" s="202" t="s">
        <v>93</v>
      </c>
      <c r="BQ115" s="236" t="s">
        <v>93</v>
      </c>
      <c r="BR115" s="245"/>
    </row>
    <row r="116" spans="62:70" x14ac:dyDescent="0.2">
      <c r="BJ116" s="227"/>
      <c r="BK116" s="229" t="s">
        <v>321</v>
      </c>
      <c r="BL116" s="202">
        <v>1</v>
      </c>
      <c r="BM116" s="199" t="s">
        <v>322</v>
      </c>
      <c r="BN116" s="200"/>
      <c r="BO116" s="201" t="s">
        <v>93</v>
      </c>
      <c r="BP116" s="202" t="s">
        <v>93</v>
      </c>
      <c r="BQ116" s="236" t="s">
        <v>93</v>
      </c>
      <c r="BR116" s="245"/>
    </row>
    <row r="117" spans="62:70" x14ac:dyDescent="0.2">
      <c r="BJ117" s="227"/>
      <c r="BK117" s="229" t="s">
        <v>323</v>
      </c>
      <c r="BL117" s="202">
        <v>1</v>
      </c>
      <c r="BM117" s="199" t="s">
        <v>324</v>
      </c>
      <c r="BN117" s="200"/>
      <c r="BO117" s="201" t="s">
        <v>93</v>
      </c>
      <c r="BP117" s="202" t="s">
        <v>93</v>
      </c>
      <c r="BQ117" s="236" t="s">
        <v>93</v>
      </c>
      <c r="BR117" s="245"/>
    </row>
    <row r="118" spans="62:70" x14ac:dyDescent="0.2">
      <c r="BJ118" s="227"/>
      <c r="BK118" s="229" t="s">
        <v>325</v>
      </c>
      <c r="BL118" s="202">
        <v>1</v>
      </c>
      <c r="BM118" s="199" t="s">
        <v>326</v>
      </c>
      <c r="BN118" s="200"/>
      <c r="BO118" s="201" t="s">
        <v>93</v>
      </c>
      <c r="BP118" s="202" t="s">
        <v>93</v>
      </c>
      <c r="BQ118" s="236" t="s">
        <v>93</v>
      </c>
      <c r="BR118" s="245"/>
    </row>
    <row r="119" spans="62:70" x14ac:dyDescent="0.2">
      <c r="BJ119" s="227"/>
      <c r="BK119" s="229" t="s">
        <v>327</v>
      </c>
      <c r="BL119" s="202">
        <v>1</v>
      </c>
      <c r="BM119" s="199" t="s">
        <v>328</v>
      </c>
      <c r="BN119" s="200"/>
      <c r="BO119" s="201" t="s">
        <v>93</v>
      </c>
      <c r="BP119" s="202" t="s">
        <v>93</v>
      </c>
      <c r="BQ119" s="236" t="s">
        <v>93</v>
      </c>
      <c r="BR119" s="245"/>
    </row>
    <row r="120" spans="62:70" x14ac:dyDescent="0.2">
      <c r="BJ120" s="227"/>
      <c r="BK120" s="229" t="s">
        <v>329</v>
      </c>
      <c r="BL120" s="202">
        <v>1</v>
      </c>
      <c r="BM120" s="199" t="s">
        <v>328</v>
      </c>
      <c r="BN120" s="200"/>
      <c r="BO120" s="201" t="s">
        <v>93</v>
      </c>
      <c r="BP120" s="202" t="s">
        <v>93</v>
      </c>
      <c r="BQ120" s="236" t="s">
        <v>93</v>
      </c>
      <c r="BR120" s="245"/>
    </row>
    <row r="121" spans="62:70" x14ac:dyDescent="0.2">
      <c r="BJ121" s="227"/>
      <c r="BK121" s="229" t="s">
        <v>330</v>
      </c>
      <c r="BL121" s="202">
        <v>1</v>
      </c>
      <c r="BM121" s="199" t="s">
        <v>328</v>
      </c>
      <c r="BN121" s="200"/>
      <c r="BO121" s="201" t="s">
        <v>93</v>
      </c>
      <c r="BP121" s="202" t="s">
        <v>93</v>
      </c>
      <c r="BQ121" s="236" t="s">
        <v>93</v>
      </c>
      <c r="BR121" s="245"/>
    </row>
    <row r="122" spans="62:70" x14ac:dyDescent="0.2">
      <c r="BJ122" s="227"/>
      <c r="BK122" s="229" t="s">
        <v>331</v>
      </c>
      <c r="BL122" s="202">
        <v>1</v>
      </c>
      <c r="BM122" s="199" t="s">
        <v>332</v>
      </c>
      <c r="BN122" s="200"/>
      <c r="BO122" s="201" t="s">
        <v>93</v>
      </c>
      <c r="BP122" s="202" t="s">
        <v>93</v>
      </c>
      <c r="BQ122" s="236" t="s">
        <v>93</v>
      </c>
      <c r="BR122" s="245"/>
    </row>
    <row r="123" spans="62:70" x14ac:dyDescent="0.2">
      <c r="BJ123" s="227"/>
      <c r="BK123" s="229" t="s">
        <v>333</v>
      </c>
      <c r="BL123" s="202">
        <v>1</v>
      </c>
      <c r="BM123" s="199" t="s">
        <v>332</v>
      </c>
      <c r="BN123" s="200"/>
      <c r="BO123" s="201" t="s">
        <v>93</v>
      </c>
      <c r="BP123" s="202" t="s">
        <v>93</v>
      </c>
      <c r="BQ123" s="236" t="s">
        <v>93</v>
      </c>
      <c r="BR123" s="245"/>
    </row>
    <row r="124" spans="62:70" x14ac:dyDescent="0.2">
      <c r="BJ124" s="227"/>
      <c r="BK124" s="229" t="s">
        <v>334</v>
      </c>
      <c r="BL124" s="202">
        <v>1</v>
      </c>
      <c r="BM124" s="199" t="s">
        <v>335</v>
      </c>
      <c r="BN124" s="200"/>
      <c r="BO124" s="201" t="s">
        <v>336</v>
      </c>
      <c r="BP124" s="202" t="s">
        <v>93</v>
      </c>
      <c r="BQ124" s="236" t="s">
        <v>93</v>
      </c>
      <c r="BR124" s="245"/>
    </row>
    <row r="125" spans="62:70" x14ac:dyDescent="0.2">
      <c r="BJ125" s="227"/>
      <c r="BK125" s="229" t="s">
        <v>337</v>
      </c>
      <c r="BL125" s="202">
        <v>1</v>
      </c>
      <c r="BM125" s="199" t="s">
        <v>338</v>
      </c>
      <c r="BN125" s="200"/>
      <c r="BO125" s="201" t="s">
        <v>339</v>
      </c>
      <c r="BP125" s="202" t="s">
        <v>93</v>
      </c>
      <c r="BQ125" s="236" t="s">
        <v>93</v>
      </c>
      <c r="BR125" s="245"/>
    </row>
    <row r="126" spans="62:70" x14ac:dyDescent="0.2">
      <c r="BJ126" s="227"/>
      <c r="BK126" s="229" t="s">
        <v>340</v>
      </c>
      <c r="BL126" s="202">
        <v>1</v>
      </c>
      <c r="BM126" s="199" t="s">
        <v>341</v>
      </c>
      <c r="BN126" s="200"/>
      <c r="BO126" s="201" t="s">
        <v>93</v>
      </c>
      <c r="BP126" s="202" t="s">
        <v>93</v>
      </c>
      <c r="BQ126" s="236" t="s">
        <v>93</v>
      </c>
      <c r="BR126" s="245"/>
    </row>
    <row r="127" spans="62:70" x14ac:dyDescent="0.2">
      <c r="BJ127" s="227"/>
      <c r="BK127" s="229" t="s">
        <v>342</v>
      </c>
      <c r="BL127" s="202">
        <v>1</v>
      </c>
      <c r="BM127" s="199" t="s">
        <v>341</v>
      </c>
      <c r="BN127" s="200"/>
      <c r="BO127" s="201" t="s">
        <v>93</v>
      </c>
      <c r="BP127" s="202" t="s">
        <v>93</v>
      </c>
      <c r="BQ127" s="236" t="s">
        <v>93</v>
      </c>
      <c r="BR127" s="245"/>
    </row>
    <row r="128" spans="62:70" x14ac:dyDescent="0.2">
      <c r="BJ128" s="227"/>
      <c r="BK128" s="229" t="s">
        <v>343</v>
      </c>
      <c r="BL128" s="202">
        <v>1</v>
      </c>
      <c r="BM128" s="199" t="s">
        <v>341</v>
      </c>
      <c r="BN128" s="200"/>
      <c r="BO128" s="201" t="s">
        <v>93</v>
      </c>
      <c r="BP128" s="202" t="s">
        <v>93</v>
      </c>
      <c r="BQ128" s="236" t="s">
        <v>93</v>
      </c>
      <c r="BR128" s="245"/>
    </row>
    <row r="129" spans="62:70" x14ac:dyDescent="0.2">
      <c r="BJ129" s="227"/>
      <c r="BK129" s="229" t="s">
        <v>344</v>
      </c>
      <c r="BL129" s="202">
        <v>1</v>
      </c>
      <c r="BM129" s="199" t="s">
        <v>341</v>
      </c>
      <c r="BN129" s="200"/>
      <c r="BO129" s="201" t="s">
        <v>93</v>
      </c>
      <c r="BP129" s="202" t="s">
        <v>93</v>
      </c>
      <c r="BQ129" s="236" t="s">
        <v>93</v>
      </c>
      <c r="BR129" s="245"/>
    </row>
    <row r="130" spans="62:70" x14ac:dyDescent="0.2">
      <c r="BJ130" s="227"/>
      <c r="BK130" s="229" t="s">
        <v>345</v>
      </c>
      <c r="BL130" s="202">
        <v>1</v>
      </c>
      <c r="BM130" s="199" t="s">
        <v>341</v>
      </c>
      <c r="BN130" s="200"/>
      <c r="BO130" s="201" t="s">
        <v>93</v>
      </c>
      <c r="BP130" s="202" t="s">
        <v>93</v>
      </c>
      <c r="BQ130" s="236" t="s">
        <v>93</v>
      </c>
      <c r="BR130" s="245"/>
    </row>
    <row r="131" spans="62:70" x14ac:dyDescent="0.2">
      <c r="BJ131" s="227"/>
      <c r="BK131" s="229" t="s">
        <v>346</v>
      </c>
      <c r="BL131" s="202">
        <v>1</v>
      </c>
      <c r="BM131" s="199" t="s">
        <v>341</v>
      </c>
      <c r="BN131" s="200"/>
      <c r="BO131" s="201" t="s">
        <v>93</v>
      </c>
      <c r="BP131" s="202" t="s">
        <v>93</v>
      </c>
      <c r="BQ131" s="236" t="s">
        <v>93</v>
      </c>
      <c r="BR131" s="245"/>
    </row>
    <row r="132" spans="62:70" x14ac:dyDescent="0.2">
      <c r="BJ132" s="227"/>
      <c r="BK132" s="229" t="s">
        <v>347</v>
      </c>
      <c r="BL132" s="202">
        <v>1</v>
      </c>
      <c r="BM132" s="199" t="s">
        <v>341</v>
      </c>
      <c r="BN132" s="200"/>
      <c r="BO132" s="201" t="s">
        <v>93</v>
      </c>
      <c r="BP132" s="202" t="s">
        <v>93</v>
      </c>
      <c r="BQ132" s="236" t="s">
        <v>93</v>
      </c>
      <c r="BR132" s="245"/>
    </row>
    <row r="133" spans="62:70" x14ac:dyDescent="0.2">
      <c r="BJ133" s="227"/>
      <c r="BK133" s="229" t="s">
        <v>348</v>
      </c>
      <c r="BL133" s="202">
        <v>1</v>
      </c>
      <c r="BM133" s="199" t="s">
        <v>341</v>
      </c>
      <c r="BN133" s="200"/>
      <c r="BO133" s="201" t="s">
        <v>93</v>
      </c>
      <c r="BP133" s="202" t="s">
        <v>93</v>
      </c>
      <c r="BQ133" s="236" t="s">
        <v>93</v>
      </c>
      <c r="BR133" s="245"/>
    </row>
    <row r="134" spans="62:70" x14ac:dyDescent="0.2">
      <c r="BJ134" s="227"/>
      <c r="BK134" s="229" t="s">
        <v>349</v>
      </c>
      <c r="BL134" s="202">
        <v>1</v>
      </c>
      <c r="BM134" s="199" t="s">
        <v>341</v>
      </c>
      <c r="BN134" s="200"/>
      <c r="BO134" s="201" t="s">
        <v>93</v>
      </c>
      <c r="BP134" s="202" t="s">
        <v>93</v>
      </c>
      <c r="BQ134" s="236" t="s">
        <v>93</v>
      </c>
      <c r="BR134" s="245"/>
    </row>
    <row r="135" spans="62:70" x14ac:dyDescent="0.2">
      <c r="BJ135" s="227"/>
      <c r="BK135" s="229" t="s">
        <v>350</v>
      </c>
      <c r="BL135" s="202">
        <v>1</v>
      </c>
      <c r="BM135" s="199" t="s">
        <v>341</v>
      </c>
      <c r="BN135" s="200"/>
      <c r="BO135" s="201" t="s">
        <v>93</v>
      </c>
      <c r="BP135" s="202" t="s">
        <v>93</v>
      </c>
      <c r="BQ135" s="236" t="s">
        <v>93</v>
      </c>
      <c r="BR135" s="245"/>
    </row>
    <row r="136" spans="62:70" x14ac:dyDescent="0.2">
      <c r="BJ136" s="227"/>
      <c r="BK136" s="229" t="s">
        <v>351</v>
      </c>
      <c r="BL136" s="202">
        <v>1</v>
      </c>
      <c r="BM136" s="199" t="s">
        <v>341</v>
      </c>
      <c r="BN136" s="200"/>
      <c r="BO136" s="201" t="s">
        <v>93</v>
      </c>
      <c r="BP136" s="202" t="s">
        <v>93</v>
      </c>
      <c r="BQ136" s="236" t="s">
        <v>93</v>
      </c>
      <c r="BR136" s="245"/>
    </row>
    <row r="137" spans="62:70" x14ac:dyDescent="0.2">
      <c r="BJ137" s="227"/>
      <c r="BK137" s="229" t="s">
        <v>352</v>
      </c>
      <c r="BL137" s="202">
        <v>1</v>
      </c>
      <c r="BM137" s="199" t="s">
        <v>353</v>
      </c>
      <c r="BN137" s="200"/>
      <c r="BO137" s="201" t="s">
        <v>354</v>
      </c>
      <c r="BP137" s="202" t="s">
        <v>93</v>
      </c>
      <c r="BQ137" s="236" t="s">
        <v>93</v>
      </c>
      <c r="BR137" s="245"/>
    </row>
    <row r="138" spans="62:70" x14ac:dyDescent="0.2">
      <c r="BJ138" s="227"/>
      <c r="BK138" s="229" t="s">
        <v>355</v>
      </c>
      <c r="BL138" s="202">
        <v>1</v>
      </c>
      <c r="BM138" s="199" t="s">
        <v>356</v>
      </c>
      <c r="BN138" s="200"/>
      <c r="BO138" s="201" t="s">
        <v>339</v>
      </c>
      <c r="BP138" s="202" t="s">
        <v>93</v>
      </c>
      <c r="BQ138" s="236" t="s">
        <v>93</v>
      </c>
      <c r="BR138" s="245"/>
    </row>
    <row r="139" spans="62:70" x14ac:dyDescent="0.2">
      <c r="BJ139" s="227"/>
      <c r="BK139" s="229" t="s">
        <v>357</v>
      </c>
      <c r="BL139" s="202">
        <v>1</v>
      </c>
      <c r="BM139" s="199" t="s">
        <v>358</v>
      </c>
      <c r="BN139" s="200"/>
      <c r="BO139" s="201" t="s">
        <v>251</v>
      </c>
      <c r="BP139" s="202" t="s">
        <v>359</v>
      </c>
      <c r="BQ139" s="236">
        <v>2014642</v>
      </c>
      <c r="BR139" s="245"/>
    </row>
    <row r="140" spans="62:70" x14ac:dyDescent="0.2">
      <c r="BJ140" s="227"/>
      <c r="BK140" s="229" t="s">
        <v>360</v>
      </c>
      <c r="BL140" s="202">
        <v>1</v>
      </c>
      <c r="BM140" s="199" t="s">
        <v>361</v>
      </c>
      <c r="BN140" s="200"/>
      <c r="BO140" s="201" t="s">
        <v>93</v>
      </c>
      <c r="BP140" s="202" t="s">
        <v>93</v>
      </c>
      <c r="BQ140" s="236" t="s">
        <v>93</v>
      </c>
      <c r="BR140" s="245"/>
    </row>
    <row r="141" spans="62:70" x14ac:dyDescent="0.2">
      <c r="BJ141" s="227"/>
      <c r="BK141" s="229" t="s">
        <v>362</v>
      </c>
      <c r="BL141" s="202">
        <v>1</v>
      </c>
      <c r="BM141" s="199" t="s">
        <v>363</v>
      </c>
      <c r="BN141" s="200"/>
      <c r="BO141" s="201" t="s">
        <v>93</v>
      </c>
      <c r="BP141" s="202" t="s">
        <v>364</v>
      </c>
      <c r="BQ141" s="236" t="s">
        <v>93</v>
      </c>
      <c r="BR141" s="245"/>
    </row>
    <row r="142" spans="62:70" x14ac:dyDescent="0.2">
      <c r="BJ142" s="227"/>
      <c r="BK142" s="229" t="s">
        <v>365</v>
      </c>
      <c r="BL142" s="202">
        <v>1</v>
      </c>
      <c r="BM142" s="199" t="s">
        <v>366</v>
      </c>
      <c r="BN142" s="200"/>
      <c r="BO142" s="201" t="s">
        <v>93</v>
      </c>
      <c r="BP142" s="202" t="s">
        <v>93</v>
      </c>
      <c r="BQ142" s="236" t="s">
        <v>93</v>
      </c>
      <c r="BR142" s="245"/>
    </row>
    <row r="143" spans="62:70" x14ac:dyDescent="0.2">
      <c r="BJ143" s="227"/>
      <c r="BK143" s="229" t="s">
        <v>367</v>
      </c>
      <c r="BL143" s="202">
        <v>1</v>
      </c>
      <c r="BM143" s="199" t="s">
        <v>368</v>
      </c>
      <c r="BN143" s="200"/>
      <c r="BO143" s="201" t="s">
        <v>93</v>
      </c>
      <c r="BP143" s="202" t="s">
        <v>93</v>
      </c>
      <c r="BQ143" s="236" t="s">
        <v>93</v>
      </c>
      <c r="BR143" s="245"/>
    </row>
    <row r="144" spans="62:70" x14ac:dyDescent="0.2">
      <c r="BJ144" s="227"/>
      <c r="BK144" s="229" t="s">
        <v>369</v>
      </c>
      <c r="BL144" s="202">
        <v>1</v>
      </c>
      <c r="BM144" s="199" t="s">
        <v>368</v>
      </c>
      <c r="BN144" s="200"/>
      <c r="BO144" s="201" t="s">
        <v>93</v>
      </c>
      <c r="BP144" s="202" t="s">
        <v>93</v>
      </c>
      <c r="BQ144" s="236" t="s">
        <v>93</v>
      </c>
      <c r="BR144" s="245"/>
    </row>
    <row r="145" spans="62:70" x14ac:dyDescent="0.2">
      <c r="BJ145" s="227"/>
      <c r="BK145" s="229" t="s">
        <v>370</v>
      </c>
      <c r="BL145" s="202">
        <v>1</v>
      </c>
      <c r="BM145" s="199" t="s">
        <v>368</v>
      </c>
      <c r="BN145" s="200"/>
      <c r="BO145" s="201" t="s">
        <v>93</v>
      </c>
      <c r="BP145" s="202" t="s">
        <v>93</v>
      </c>
      <c r="BQ145" s="236" t="s">
        <v>93</v>
      </c>
      <c r="BR145" s="245"/>
    </row>
    <row r="146" spans="62:70" x14ac:dyDescent="0.2">
      <c r="BJ146" s="227"/>
      <c r="BK146" s="229" t="s">
        <v>371</v>
      </c>
      <c r="BL146" s="202">
        <v>1</v>
      </c>
      <c r="BM146" s="199" t="s">
        <v>368</v>
      </c>
      <c r="BN146" s="200"/>
      <c r="BO146" s="201" t="s">
        <v>93</v>
      </c>
      <c r="BP146" s="202" t="s">
        <v>93</v>
      </c>
      <c r="BQ146" s="236" t="s">
        <v>93</v>
      </c>
      <c r="BR146" s="245"/>
    </row>
    <row r="147" spans="62:70" x14ac:dyDescent="0.2">
      <c r="BJ147" s="227"/>
      <c r="BK147" s="229" t="s">
        <v>372</v>
      </c>
      <c r="BL147" s="202">
        <v>1</v>
      </c>
      <c r="BM147" s="199" t="s">
        <v>368</v>
      </c>
      <c r="BN147" s="200"/>
      <c r="BO147" s="201" t="s">
        <v>93</v>
      </c>
      <c r="BP147" s="202" t="s">
        <v>93</v>
      </c>
      <c r="BQ147" s="236" t="s">
        <v>93</v>
      </c>
      <c r="BR147" s="245"/>
    </row>
    <row r="148" spans="62:70" x14ac:dyDescent="0.2">
      <c r="BJ148" s="227"/>
      <c r="BK148" s="229" t="s">
        <v>373</v>
      </c>
      <c r="BL148" s="202">
        <v>1</v>
      </c>
      <c r="BM148" s="199" t="s">
        <v>368</v>
      </c>
      <c r="BN148" s="200"/>
      <c r="BO148" s="201" t="s">
        <v>93</v>
      </c>
      <c r="BP148" s="202" t="s">
        <v>93</v>
      </c>
      <c r="BQ148" s="236" t="s">
        <v>93</v>
      </c>
      <c r="BR148" s="245"/>
    </row>
    <row r="149" spans="62:70" x14ac:dyDescent="0.2">
      <c r="BJ149" s="227"/>
      <c r="BK149" s="229" t="s">
        <v>374</v>
      </c>
      <c r="BL149" s="202">
        <v>1</v>
      </c>
      <c r="BM149" s="199" t="s">
        <v>368</v>
      </c>
      <c r="BN149" s="200"/>
      <c r="BO149" s="201" t="s">
        <v>93</v>
      </c>
      <c r="BP149" s="202" t="s">
        <v>93</v>
      </c>
      <c r="BQ149" s="236" t="s">
        <v>93</v>
      </c>
      <c r="BR149" s="245"/>
    </row>
    <row r="150" spans="62:70" x14ac:dyDescent="0.2">
      <c r="BJ150" s="227"/>
      <c r="BK150" s="229" t="s">
        <v>375</v>
      </c>
      <c r="BL150" s="202">
        <v>1</v>
      </c>
      <c r="BM150" s="199" t="s">
        <v>368</v>
      </c>
      <c r="BN150" s="200"/>
      <c r="BO150" s="201" t="s">
        <v>93</v>
      </c>
      <c r="BP150" s="202" t="s">
        <v>93</v>
      </c>
      <c r="BQ150" s="236" t="s">
        <v>93</v>
      </c>
      <c r="BR150" s="245"/>
    </row>
    <row r="151" spans="62:70" x14ac:dyDescent="0.2">
      <c r="BJ151" s="227"/>
      <c r="BK151" s="229" t="s">
        <v>376</v>
      </c>
      <c r="BL151" s="202">
        <v>1</v>
      </c>
      <c r="BM151" s="199" t="s">
        <v>368</v>
      </c>
      <c r="BN151" s="200"/>
      <c r="BO151" s="201" t="s">
        <v>93</v>
      </c>
      <c r="BP151" s="202" t="s">
        <v>93</v>
      </c>
      <c r="BQ151" s="236" t="s">
        <v>93</v>
      </c>
      <c r="BR151" s="245"/>
    </row>
    <row r="152" spans="62:70" x14ac:dyDescent="0.2">
      <c r="BJ152" s="227"/>
      <c r="BK152" s="229" t="s">
        <v>377</v>
      </c>
      <c r="BL152" s="202">
        <v>1</v>
      </c>
      <c r="BM152" s="199" t="s">
        <v>368</v>
      </c>
      <c r="BN152" s="200"/>
      <c r="BO152" s="201" t="s">
        <v>93</v>
      </c>
      <c r="BP152" s="202" t="s">
        <v>93</v>
      </c>
      <c r="BQ152" s="236" t="s">
        <v>93</v>
      </c>
      <c r="BR152" s="245"/>
    </row>
    <row r="153" spans="62:70" x14ac:dyDescent="0.2">
      <c r="BJ153" s="227"/>
      <c r="BK153" s="229" t="s">
        <v>378</v>
      </c>
      <c r="BL153" s="202">
        <v>1</v>
      </c>
      <c r="BM153" s="199" t="s">
        <v>368</v>
      </c>
      <c r="BN153" s="200"/>
      <c r="BO153" s="201" t="s">
        <v>93</v>
      </c>
      <c r="BP153" s="202" t="s">
        <v>93</v>
      </c>
      <c r="BQ153" s="236" t="s">
        <v>93</v>
      </c>
      <c r="BR153" s="245"/>
    </row>
    <row r="154" spans="62:70" x14ac:dyDescent="0.2">
      <c r="BJ154" s="227"/>
      <c r="BK154" s="229" t="s">
        <v>379</v>
      </c>
      <c r="BL154" s="202">
        <v>1</v>
      </c>
      <c r="BM154" s="199" t="s">
        <v>368</v>
      </c>
      <c r="BN154" s="200"/>
      <c r="BO154" s="201" t="s">
        <v>93</v>
      </c>
      <c r="BP154" s="202" t="s">
        <v>93</v>
      </c>
      <c r="BQ154" s="236" t="s">
        <v>93</v>
      </c>
      <c r="BR154" s="245"/>
    </row>
    <row r="155" spans="62:70" x14ac:dyDescent="0.2">
      <c r="BJ155" s="227"/>
      <c r="BK155" s="229" t="s">
        <v>380</v>
      </c>
      <c r="BL155" s="202">
        <v>1</v>
      </c>
      <c r="BM155" s="199" t="s">
        <v>368</v>
      </c>
      <c r="BN155" s="200"/>
      <c r="BO155" s="201" t="s">
        <v>93</v>
      </c>
      <c r="BP155" s="202" t="s">
        <v>93</v>
      </c>
      <c r="BQ155" s="236" t="s">
        <v>93</v>
      </c>
      <c r="BR155" s="245"/>
    </row>
    <row r="156" spans="62:70" x14ac:dyDescent="0.2">
      <c r="BJ156" s="227"/>
      <c r="BK156" s="229" t="s">
        <v>381</v>
      </c>
      <c r="BL156" s="202">
        <v>1</v>
      </c>
      <c r="BM156" s="199" t="s">
        <v>368</v>
      </c>
      <c r="BN156" s="200"/>
      <c r="BO156" s="201" t="s">
        <v>93</v>
      </c>
      <c r="BP156" s="202" t="s">
        <v>93</v>
      </c>
      <c r="BQ156" s="236" t="s">
        <v>93</v>
      </c>
      <c r="BR156" s="245"/>
    </row>
    <row r="157" spans="62:70" x14ac:dyDescent="0.2">
      <c r="BJ157" s="227"/>
      <c r="BK157" s="229" t="s">
        <v>382</v>
      </c>
      <c r="BL157" s="202">
        <v>1</v>
      </c>
      <c r="BM157" s="199" t="s">
        <v>368</v>
      </c>
      <c r="BN157" s="200"/>
      <c r="BO157" s="201" t="s">
        <v>93</v>
      </c>
      <c r="BP157" s="202" t="s">
        <v>93</v>
      </c>
      <c r="BQ157" s="236" t="s">
        <v>93</v>
      </c>
      <c r="BR157" s="245"/>
    </row>
    <row r="158" spans="62:70" x14ac:dyDescent="0.2">
      <c r="BJ158" s="227"/>
      <c r="BK158" s="229" t="s">
        <v>383</v>
      </c>
      <c r="BL158" s="202">
        <v>1</v>
      </c>
      <c r="BM158" s="199" t="s">
        <v>368</v>
      </c>
      <c r="BN158" s="200"/>
      <c r="BO158" s="201" t="s">
        <v>93</v>
      </c>
      <c r="BP158" s="202" t="s">
        <v>93</v>
      </c>
      <c r="BQ158" s="236" t="s">
        <v>93</v>
      </c>
      <c r="BR158" s="245"/>
    </row>
    <row r="159" spans="62:70" x14ac:dyDescent="0.2">
      <c r="BJ159" s="227"/>
      <c r="BK159" s="229" t="s">
        <v>384</v>
      </c>
      <c r="BL159" s="202">
        <v>1</v>
      </c>
      <c r="BM159" s="199" t="s">
        <v>385</v>
      </c>
      <c r="BN159" s="200"/>
      <c r="BO159" s="201" t="s">
        <v>93</v>
      </c>
      <c r="BP159" s="202" t="s">
        <v>93</v>
      </c>
      <c r="BQ159" s="236" t="s">
        <v>93</v>
      </c>
      <c r="BR159" s="245"/>
    </row>
    <row r="160" spans="62:70" x14ac:dyDescent="0.2">
      <c r="BJ160" s="227"/>
      <c r="BK160" s="229" t="s">
        <v>386</v>
      </c>
      <c r="BL160" s="202">
        <v>1</v>
      </c>
      <c r="BM160" s="199" t="s">
        <v>387</v>
      </c>
      <c r="BN160" s="200"/>
      <c r="BO160" s="201" t="s">
        <v>93</v>
      </c>
      <c r="BP160" s="202" t="s">
        <v>93</v>
      </c>
      <c r="BQ160" s="236" t="s">
        <v>93</v>
      </c>
      <c r="BR160" s="245"/>
    </row>
    <row r="161" spans="62:70" x14ac:dyDescent="0.2">
      <c r="BJ161" s="227"/>
      <c r="BK161" s="229" t="s">
        <v>388</v>
      </c>
      <c r="BL161" s="202">
        <v>1</v>
      </c>
      <c r="BM161" s="199" t="s">
        <v>387</v>
      </c>
      <c r="BN161" s="200"/>
      <c r="BO161" s="201" t="s">
        <v>93</v>
      </c>
      <c r="BP161" s="202" t="s">
        <v>93</v>
      </c>
      <c r="BQ161" s="236" t="s">
        <v>93</v>
      </c>
      <c r="BR161" s="245"/>
    </row>
    <row r="162" spans="62:70" x14ac:dyDescent="0.2">
      <c r="BJ162" s="227"/>
      <c r="BK162" s="229" t="s">
        <v>389</v>
      </c>
      <c r="BL162" s="202">
        <v>1</v>
      </c>
      <c r="BM162" s="199" t="s">
        <v>390</v>
      </c>
      <c r="BN162" s="200"/>
      <c r="BO162" s="201" t="s">
        <v>93</v>
      </c>
      <c r="BP162" s="202" t="s">
        <v>93</v>
      </c>
      <c r="BQ162" s="236" t="s">
        <v>93</v>
      </c>
      <c r="BR162" s="245"/>
    </row>
    <row r="163" spans="62:70" x14ac:dyDescent="0.2">
      <c r="BJ163" s="227"/>
      <c r="BK163" s="229" t="s">
        <v>391</v>
      </c>
      <c r="BL163" s="202">
        <v>1</v>
      </c>
      <c r="BM163" s="199" t="s">
        <v>390</v>
      </c>
      <c r="BN163" s="200"/>
      <c r="BO163" s="201" t="s">
        <v>93</v>
      </c>
      <c r="BP163" s="202" t="s">
        <v>93</v>
      </c>
      <c r="BQ163" s="236" t="s">
        <v>93</v>
      </c>
      <c r="BR163" s="245"/>
    </row>
    <row r="164" spans="62:70" x14ac:dyDescent="0.2">
      <c r="BJ164" s="227"/>
      <c r="BK164" s="229" t="s">
        <v>392</v>
      </c>
      <c r="BL164" s="202">
        <v>1</v>
      </c>
      <c r="BM164" s="199" t="s">
        <v>393</v>
      </c>
      <c r="BN164" s="200"/>
      <c r="BO164" s="201" t="s">
        <v>93</v>
      </c>
      <c r="BP164" s="202" t="s">
        <v>93</v>
      </c>
      <c r="BQ164" s="236" t="s">
        <v>93</v>
      </c>
      <c r="BR164" s="245"/>
    </row>
    <row r="165" spans="62:70" x14ac:dyDescent="0.2">
      <c r="BJ165" s="227"/>
      <c r="BK165" s="229" t="s">
        <v>394</v>
      </c>
      <c r="BL165" s="202">
        <v>1</v>
      </c>
      <c r="BM165" s="199" t="s">
        <v>395</v>
      </c>
      <c r="BN165" s="200"/>
      <c r="BO165" s="201" t="s">
        <v>93</v>
      </c>
      <c r="BP165" s="202" t="s">
        <v>93</v>
      </c>
      <c r="BQ165" s="236" t="s">
        <v>93</v>
      </c>
      <c r="BR165" s="245"/>
    </row>
    <row r="166" spans="62:70" x14ac:dyDescent="0.2">
      <c r="BJ166" s="227"/>
      <c r="BK166" s="229" t="s">
        <v>396</v>
      </c>
      <c r="BL166" s="202">
        <v>1</v>
      </c>
      <c r="BM166" s="199" t="s">
        <v>397</v>
      </c>
      <c r="BN166" s="200"/>
      <c r="BO166" s="201" t="s">
        <v>398</v>
      </c>
      <c r="BP166" s="202" t="s">
        <v>93</v>
      </c>
      <c r="BQ166" s="236" t="s">
        <v>93</v>
      </c>
      <c r="BR166" s="245"/>
    </row>
    <row r="167" spans="62:70" x14ac:dyDescent="0.2">
      <c r="BJ167" s="227"/>
      <c r="BK167" s="229" t="s">
        <v>399</v>
      </c>
      <c r="BL167" s="202">
        <v>1</v>
      </c>
      <c r="BM167" s="199" t="s">
        <v>397</v>
      </c>
      <c r="BN167" s="200"/>
      <c r="BO167" s="201" t="s">
        <v>398</v>
      </c>
      <c r="BP167" s="202" t="s">
        <v>93</v>
      </c>
      <c r="BQ167" s="236" t="s">
        <v>93</v>
      </c>
      <c r="BR167" s="245"/>
    </row>
    <row r="168" spans="62:70" x14ac:dyDescent="0.2">
      <c r="BJ168" s="227"/>
      <c r="BK168" s="229" t="s">
        <v>400</v>
      </c>
      <c r="BL168" s="202">
        <v>1</v>
      </c>
      <c r="BM168" s="199" t="s">
        <v>397</v>
      </c>
      <c r="BN168" s="200"/>
      <c r="BO168" s="201" t="s">
        <v>401</v>
      </c>
      <c r="BP168" s="202" t="s">
        <v>93</v>
      </c>
      <c r="BQ168" s="236" t="s">
        <v>93</v>
      </c>
      <c r="BR168" s="245"/>
    </row>
    <row r="169" spans="62:70" x14ac:dyDescent="0.2">
      <c r="BJ169" s="227"/>
      <c r="BK169" s="229" t="s">
        <v>402</v>
      </c>
      <c r="BL169" s="202">
        <v>5</v>
      </c>
      <c r="BM169" s="199" t="s">
        <v>403</v>
      </c>
      <c r="BN169" s="200"/>
      <c r="BO169" s="201" t="s">
        <v>93</v>
      </c>
      <c r="BP169" s="202" t="s">
        <v>93</v>
      </c>
      <c r="BQ169" s="236" t="s">
        <v>93</v>
      </c>
      <c r="BR169" s="245"/>
    </row>
    <row r="170" spans="62:70" x14ac:dyDescent="0.2">
      <c r="BJ170" s="227"/>
      <c r="BK170" s="229" t="s">
        <v>404</v>
      </c>
      <c r="BL170" s="202">
        <v>1</v>
      </c>
      <c r="BM170" s="199" t="s">
        <v>405</v>
      </c>
      <c r="BN170" s="200"/>
      <c r="BO170" s="201" t="s">
        <v>406</v>
      </c>
      <c r="BP170" s="202" t="s">
        <v>407</v>
      </c>
      <c r="BQ170" s="236" t="s">
        <v>93</v>
      </c>
      <c r="BR170" s="245"/>
    </row>
    <row r="171" spans="62:70" x14ac:dyDescent="0.2">
      <c r="BJ171" s="227"/>
      <c r="BK171" s="229" t="s">
        <v>408</v>
      </c>
      <c r="BL171" s="202">
        <v>1</v>
      </c>
      <c r="BM171" s="199" t="s">
        <v>409</v>
      </c>
      <c r="BN171" s="200"/>
      <c r="BO171" s="201" t="s">
        <v>410</v>
      </c>
      <c r="BP171" s="202" t="s">
        <v>411</v>
      </c>
      <c r="BQ171" s="236" t="s">
        <v>412</v>
      </c>
      <c r="BR171" s="245"/>
    </row>
    <row r="172" spans="62:70" x14ac:dyDescent="0.2">
      <c r="BJ172" s="227"/>
      <c r="BK172" s="229" t="s">
        <v>413</v>
      </c>
      <c r="BL172" s="202">
        <v>1</v>
      </c>
      <c r="BM172" s="199" t="s">
        <v>414</v>
      </c>
      <c r="BN172" s="200"/>
      <c r="BO172" s="201" t="s">
        <v>415</v>
      </c>
      <c r="BP172" s="202" t="s">
        <v>416</v>
      </c>
      <c r="BQ172" s="236"/>
      <c r="BR172" s="245"/>
    </row>
    <row r="173" spans="62:70" x14ac:dyDescent="0.2">
      <c r="BJ173" s="227"/>
      <c r="BK173" s="229" t="s">
        <v>417</v>
      </c>
      <c r="BL173" s="202">
        <v>1</v>
      </c>
      <c r="BM173" s="199" t="s">
        <v>418</v>
      </c>
      <c r="BN173" s="200"/>
      <c r="BO173" s="201" t="s">
        <v>410</v>
      </c>
      <c r="BP173" s="202" t="s">
        <v>419</v>
      </c>
      <c r="BQ173" s="236" t="s">
        <v>93</v>
      </c>
      <c r="BR173" s="245"/>
    </row>
    <row r="174" spans="62:70" x14ac:dyDescent="0.2">
      <c r="BJ174" s="227"/>
      <c r="BK174" s="229" t="s">
        <v>420</v>
      </c>
      <c r="BL174" s="202">
        <v>1</v>
      </c>
      <c r="BM174" s="199" t="s">
        <v>421</v>
      </c>
      <c r="BN174" s="200"/>
      <c r="BO174" s="201" t="s">
        <v>410</v>
      </c>
      <c r="BP174" s="202" t="s">
        <v>422</v>
      </c>
      <c r="BQ174" s="236" t="s">
        <v>423</v>
      </c>
      <c r="BR174" s="245"/>
    </row>
    <row r="175" spans="62:70" x14ac:dyDescent="0.2">
      <c r="BJ175" s="227"/>
      <c r="BK175" s="229" t="s">
        <v>424</v>
      </c>
      <c r="BL175" s="202">
        <v>1</v>
      </c>
      <c r="BM175" s="199" t="s">
        <v>425</v>
      </c>
      <c r="BN175" s="200"/>
      <c r="BO175" s="201" t="s">
        <v>415</v>
      </c>
      <c r="BP175" s="202" t="s">
        <v>426</v>
      </c>
      <c r="BQ175" s="236" t="s">
        <v>93</v>
      </c>
      <c r="BR175" s="245"/>
    </row>
    <row r="176" spans="62:70" x14ac:dyDescent="0.2">
      <c r="BJ176" s="227"/>
      <c r="BK176" s="229" t="s">
        <v>427</v>
      </c>
      <c r="BL176" s="202">
        <v>1</v>
      </c>
      <c r="BM176" s="199" t="s">
        <v>428</v>
      </c>
      <c r="BN176" s="200"/>
      <c r="BO176" s="201" t="s">
        <v>93</v>
      </c>
      <c r="BP176" s="202" t="s">
        <v>429</v>
      </c>
      <c r="BQ176" s="236" t="s">
        <v>93</v>
      </c>
      <c r="BR176" s="245"/>
    </row>
    <row r="177" spans="62:70" x14ac:dyDescent="0.2">
      <c r="BJ177" s="227"/>
      <c r="BK177" s="229" t="s">
        <v>430</v>
      </c>
      <c r="BL177" s="202">
        <v>1</v>
      </c>
      <c r="BM177" s="199" t="s">
        <v>431</v>
      </c>
      <c r="BN177" s="200"/>
      <c r="BO177" s="201" t="s">
        <v>93</v>
      </c>
      <c r="BP177" s="202" t="s">
        <v>93</v>
      </c>
      <c r="BQ177" s="236" t="s">
        <v>93</v>
      </c>
      <c r="BR177" s="245"/>
    </row>
    <row r="178" spans="62:70" x14ac:dyDescent="0.2">
      <c r="BJ178" s="227"/>
      <c r="BK178" s="229" t="s">
        <v>432</v>
      </c>
      <c r="BL178" s="202">
        <v>1</v>
      </c>
      <c r="BM178" s="199" t="s">
        <v>431</v>
      </c>
      <c r="BN178" s="200"/>
      <c r="BO178" s="201" t="s">
        <v>93</v>
      </c>
      <c r="BP178" s="202" t="s">
        <v>93</v>
      </c>
      <c r="BQ178" s="236" t="s">
        <v>93</v>
      </c>
      <c r="BR178" s="245"/>
    </row>
    <row r="179" spans="62:70" x14ac:dyDescent="0.2">
      <c r="BJ179" s="227"/>
      <c r="BK179" s="229" t="s">
        <v>433</v>
      </c>
      <c r="BL179" s="202">
        <v>1</v>
      </c>
      <c r="BM179" s="199" t="s">
        <v>431</v>
      </c>
      <c r="BN179" s="200"/>
      <c r="BO179" s="201" t="s">
        <v>93</v>
      </c>
      <c r="BP179" s="202" t="s">
        <v>93</v>
      </c>
      <c r="BQ179" s="236" t="s">
        <v>93</v>
      </c>
      <c r="BR179" s="245"/>
    </row>
    <row r="180" spans="62:70" x14ac:dyDescent="0.2">
      <c r="BJ180" s="227"/>
      <c r="BK180" s="229" t="s">
        <v>434</v>
      </c>
      <c r="BL180" s="202">
        <v>1</v>
      </c>
      <c r="BM180" s="199" t="s">
        <v>431</v>
      </c>
      <c r="BN180" s="200"/>
      <c r="BO180" s="201" t="s">
        <v>93</v>
      </c>
      <c r="BP180" s="202" t="s">
        <v>93</v>
      </c>
      <c r="BQ180" s="236" t="s">
        <v>93</v>
      </c>
      <c r="BR180" s="245"/>
    </row>
    <row r="181" spans="62:70" x14ac:dyDescent="0.2">
      <c r="BJ181" s="227"/>
      <c r="BK181" s="229" t="s">
        <v>435</v>
      </c>
      <c r="BL181" s="202">
        <v>1</v>
      </c>
      <c r="BM181" s="199" t="s">
        <v>431</v>
      </c>
      <c r="BN181" s="200"/>
      <c r="BO181" s="201" t="s">
        <v>93</v>
      </c>
      <c r="BP181" s="202" t="s">
        <v>93</v>
      </c>
      <c r="BQ181" s="236" t="s">
        <v>93</v>
      </c>
      <c r="BR181" s="245"/>
    </row>
    <row r="182" spans="62:70" x14ac:dyDescent="0.2">
      <c r="BJ182" s="227"/>
      <c r="BK182" s="229" t="s">
        <v>436</v>
      </c>
      <c r="BL182" s="202">
        <v>1</v>
      </c>
      <c r="BM182" s="199" t="s">
        <v>431</v>
      </c>
      <c r="BN182" s="200"/>
      <c r="BO182" s="201" t="s">
        <v>93</v>
      </c>
      <c r="BP182" s="202" t="s">
        <v>93</v>
      </c>
      <c r="BQ182" s="236" t="s">
        <v>93</v>
      </c>
      <c r="BR182" s="245"/>
    </row>
    <row r="183" spans="62:70" x14ac:dyDescent="0.2">
      <c r="BJ183" s="227"/>
      <c r="BK183" s="229" t="s">
        <v>437</v>
      </c>
      <c r="BL183" s="202">
        <v>1</v>
      </c>
      <c r="BM183" s="199" t="s">
        <v>431</v>
      </c>
      <c r="BN183" s="200"/>
      <c r="BO183" s="201" t="s">
        <v>93</v>
      </c>
      <c r="BP183" s="202" t="s">
        <v>93</v>
      </c>
      <c r="BQ183" s="236" t="s">
        <v>93</v>
      </c>
      <c r="BR183" s="245"/>
    </row>
    <row r="184" spans="62:70" x14ac:dyDescent="0.2">
      <c r="BJ184" s="227"/>
      <c r="BK184" s="229" t="s">
        <v>438</v>
      </c>
      <c r="BL184" s="202">
        <v>1</v>
      </c>
      <c r="BM184" s="199" t="s">
        <v>431</v>
      </c>
      <c r="BN184" s="200"/>
      <c r="BO184" s="201" t="s">
        <v>93</v>
      </c>
      <c r="BP184" s="202" t="s">
        <v>93</v>
      </c>
      <c r="BQ184" s="236" t="s">
        <v>93</v>
      </c>
      <c r="BR184" s="245"/>
    </row>
    <row r="185" spans="62:70" x14ac:dyDescent="0.2">
      <c r="BJ185" s="227"/>
      <c r="BK185" s="229" t="s">
        <v>439</v>
      </c>
      <c r="BL185" s="202">
        <v>1</v>
      </c>
      <c r="BM185" s="199" t="s">
        <v>440</v>
      </c>
      <c r="BN185" s="200"/>
      <c r="BO185" s="201" t="s">
        <v>93</v>
      </c>
      <c r="BP185" s="202" t="s">
        <v>93</v>
      </c>
      <c r="BQ185" s="236" t="s">
        <v>93</v>
      </c>
      <c r="BR185" s="245"/>
    </row>
    <row r="186" spans="62:70" x14ac:dyDescent="0.2">
      <c r="BJ186" s="227"/>
      <c r="BK186" s="229" t="s">
        <v>441</v>
      </c>
      <c r="BL186" s="202">
        <v>1</v>
      </c>
      <c r="BM186" s="199" t="s">
        <v>440</v>
      </c>
      <c r="BN186" s="200"/>
      <c r="BO186" s="201" t="s">
        <v>93</v>
      </c>
      <c r="BP186" s="202" t="s">
        <v>93</v>
      </c>
      <c r="BQ186" s="236" t="s">
        <v>93</v>
      </c>
      <c r="BR186" s="245"/>
    </row>
    <row r="187" spans="62:70" x14ac:dyDescent="0.2">
      <c r="BJ187" s="227"/>
      <c r="BK187" s="229" t="s">
        <v>442</v>
      </c>
      <c r="BL187" s="202">
        <v>1</v>
      </c>
      <c r="BM187" s="199" t="s">
        <v>440</v>
      </c>
      <c r="BN187" s="200"/>
      <c r="BO187" s="201" t="s">
        <v>93</v>
      </c>
      <c r="BP187" s="202" t="s">
        <v>93</v>
      </c>
      <c r="BQ187" s="236" t="s">
        <v>93</v>
      </c>
      <c r="BR187" s="245"/>
    </row>
    <row r="188" spans="62:70" x14ac:dyDescent="0.2">
      <c r="BJ188" s="227"/>
      <c r="BK188" s="229" t="s">
        <v>443</v>
      </c>
      <c r="BL188" s="202">
        <v>1</v>
      </c>
      <c r="BM188" s="199" t="s">
        <v>440</v>
      </c>
      <c r="BN188" s="200"/>
      <c r="BO188" s="201" t="s">
        <v>93</v>
      </c>
      <c r="BP188" s="202" t="s">
        <v>93</v>
      </c>
      <c r="BQ188" s="236" t="s">
        <v>93</v>
      </c>
      <c r="BR188" s="245"/>
    </row>
    <row r="189" spans="62:70" x14ac:dyDescent="0.2">
      <c r="BJ189" s="227"/>
      <c r="BK189" s="229" t="s">
        <v>444</v>
      </c>
      <c r="BL189" s="202">
        <v>1</v>
      </c>
      <c r="BM189" s="199" t="s">
        <v>445</v>
      </c>
      <c r="BN189" s="200"/>
      <c r="BO189" s="201" t="s">
        <v>93</v>
      </c>
      <c r="BP189" s="202" t="s">
        <v>93</v>
      </c>
      <c r="BQ189" s="236" t="s">
        <v>93</v>
      </c>
      <c r="BR189" s="245"/>
    </row>
    <row r="190" spans="62:70" x14ac:dyDescent="0.2">
      <c r="BJ190" s="227"/>
      <c r="BK190" s="229" t="s">
        <v>446</v>
      </c>
      <c r="BL190" s="202">
        <v>1</v>
      </c>
      <c r="BM190" s="199" t="s">
        <v>445</v>
      </c>
      <c r="BN190" s="200"/>
      <c r="BO190" s="201" t="s">
        <v>93</v>
      </c>
      <c r="BP190" s="202" t="s">
        <v>93</v>
      </c>
      <c r="BQ190" s="238" t="s">
        <v>93</v>
      </c>
      <c r="BR190" s="245"/>
    </row>
    <row r="191" spans="62:70" x14ac:dyDescent="0.2">
      <c r="BJ191" s="227"/>
      <c r="BK191" s="229" t="s">
        <v>447</v>
      </c>
      <c r="BL191" s="202">
        <v>1</v>
      </c>
      <c r="BM191" s="199" t="s">
        <v>448</v>
      </c>
      <c r="BN191" s="200"/>
      <c r="BO191" s="201" t="s">
        <v>93</v>
      </c>
      <c r="BP191" s="202" t="s">
        <v>93</v>
      </c>
      <c r="BQ191" s="238" t="s">
        <v>93</v>
      </c>
      <c r="BR191" s="245"/>
    </row>
    <row r="192" spans="62:70" x14ac:dyDescent="0.2">
      <c r="BJ192" s="227"/>
      <c r="BK192" s="229" t="s">
        <v>449</v>
      </c>
      <c r="BL192" s="202">
        <v>1</v>
      </c>
      <c r="BM192" s="199" t="s">
        <v>448</v>
      </c>
      <c r="BN192" s="200"/>
      <c r="BO192" s="201" t="s">
        <v>93</v>
      </c>
      <c r="BP192" s="202" t="s">
        <v>93</v>
      </c>
      <c r="BQ192" s="236" t="s">
        <v>93</v>
      </c>
      <c r="BR192" s="245"/>
    </row>
    <row r="193" spans="62:70" x14ac:dyDescent="0.2">
      <c r="BJ193" s="227"/>
      <c r="BK193" s="229" t="s">
        <v>450</v>
      </c>
      <c r="BL193" s="202">
        <v>1</v>
      </c>
      <c r="BM193" s="199" t="s">
        <v>448</v>
      </c>
      <c r="BN193" s="200"/>
      <c r="BO193" s="201" t="s">
        <v>93</v>
      </c>
      <c r="BP193" s="202" t="s">
        <v>93</v>
      </c>
      <c r="BQ193" s="238" t="s">
        <v>93</v>
      </c>
      <c r="BR193" s="245"/>
    </row>
    <row r="194" spans="62:70" x14ac:dyDescent="0.2">
      <c r="BJ194" s="227"/>
      <c r="BK194" s="229" t="s">
        <v>451</v>
      </c>
      <c r="BL194" s="202">
        <v>1</v>
      </c>
      <c r="BM194" s="199" t="s">
        <v>448</v>
      </c>
      <c r="BN194" s="200"/>
      <c r="BO194" s="201" t="s">
        <v>93</v>
      </c>
      <c r="BP194" s="202" t="s">
        <v>93</v>
      </c>
      <c r="BQ194" s="236" t="s">
        <v>93</v>
      </c>
      <c r="BR194" s="245"/>
    </row>
    <row r="195" spans="62:70" x14ac:dyDescent="0.2">
      <c r="BJ195" s="227"/>
      <c r="BK195" s="229" t="s">
        <v>452</v>
      </c>
      <c r="BL195" s="202">
        <v>1</v>
      </c>
      <c r="BM195" s="199" t="s">
        <v>448</v>
      </c>
      <c r="BN195" s="200"/>
      <c r="BO195" s="201" t="s">
        <v>93</v>
      </c>
      <c r="BP195" s="202" t="s">
        <v>93</v>
      </c>
      <c r="BQ195" s="236" t="s">
        <v>93</v>
      </c>
      <c r="BR195" s="245"/>
    </row>
    <row r="196" spans="62:70" x14ac:dyDescent="0.2">
      <c r="BJ196" s="227"/>
      <c r="BK196" s="229" t="s">
        <v>453</v>
      </c>
      <c r="BL196" s="202">
        <v>1</v>
      </c>
      <c r="BM196" s="199" t="s">
        <v>448</v>
      </c>
      <c r="BN196" s="200"/>
      <c r="BO196" s="201" t="s">
        <v>93</v>
      </c>
      <c r="BP196" s="202" t="s">
        <v>93</v>
      </c>
      <c r="BQ196" s="238" t="s">
        <v>93</v>
      </c>
      <c r="BR196" s="245"/>
    </row>
    <row r="197" spans="62:70" x14ac:dyDescent="0.2">
      <c r="BJ197" s="227"/>
      <c r="BK197" s="229" t="s">
        <v>454</v>
      </c>
      <c r="BL197" s="202">
        <v>1</v>
      </c>
      <c r="BM197" s="199" t="s">
        <v>448</v>
      </c>
      <c r="BN197" s="200"/>
      <c r="BO197" s="201" t="s">
        <v>93</v>
      </c>
      <c r="BP197" s="202" t="s">
        <v>93</v>
      </c>
      <c r="BQ197" s="238" t="s">
        <v>93</v>
      </c>
      <c r="BR197" s="245"/>
    </row>
    <row r="198" spans="62:70" x14ac:dyDescent="0.2">
      <c r="BJ198" s="227"/>
      <c r="BK198" s="229" t="s">
        <v>455</v>
      </c>
      <c r="BL198" s="202">
        <v>1</v>
      </c>
      <c r="BM198" s="199" t="s">
        <v>456</v>
      </c>
      <c r="BN198" s="200"/>
      <c r="BO198" s="201" t="s">
        <v>457</v>
      </c>
      <c r="BP198" s="202" t="s">
        <v>458</v>
      </c>
      <c r="BQ198" s="238" t="s">
        <v>93</v>
      </c>
      <c r="BR198" s="245"/>
    </row>
    <row r="199" spans="62:70" x14ac:dyDescent="0.2">
      <c r="BJ199" s="227"/>
      <c r="BK199" s="229" t="s">
        <v>459</v>
      </c>
      <c r="BL199" s="202">
        <v>1</v>
      </c>
      <c r="BM199" s="199" t="s">
        <v>460</v>
      </c>
      <c r="BN199" s="200"/>
      <c r="BO199" s="201" t="s">
        <v>461</v>
      </c>
      <c r="BP199" s="202" t="s">
        <v>462</v>
      </c>
      <c r="BQ199" s="238" t="s">
        <v>93</v>
      </c>
      <c r="BR199" s="245"/>
    </row>
    <row r="200" spans="62:70" x14ac:dyDescent="0.2">
      <c r="BJ200" s="227"/>
      <c r="BK200" s="229" t="s">
        <v>463</v>
      </c>
      <c r="BL200" s="202">
        <v>1</v>
      </c>
      <c r="BM200" s="199" t="s">
        <v>464</v>
      </c>
      <c r="BN200" s="200"/>
      <c r="BO200" s="201" t="s">
        <v>465</v>
      </c>
      <c r="BP200" s="202" t="s">
        <v>466</v>
      </c>
      <c r="BQ200" s="238" t="s">
        <v>93</v>
      </c>
      <c r="BR200" s="245"/>
    </row>
    <row r="201" spans="62:70" x14ac:dyDescent="0.2">
      <c r="BJ201" s="227"/>
      <c r="BK201" s="229" t="s">
        <v>467</v>
      </c>
      <c r="BL201" s="202">
        <v>1</v>
      </c>
      <c r="BM201" s="199" t="s">
        <v>468</v>
      </c>
      <c r="BN201" s="200"/>
      <c r="BO201" s="201" t="s">
        <v>93</v>
      </c>
      <c r="BP201" s="202" t="s">
        <v>93</v>
      </c>
      <c r="BQ201" s="238" t="s">
        <v>93</v>
      </c>
      <c r="BR201" s="245"/>
    </row>
    <row r="202" spans="62:70" x14ac:dyDescent="0.2">
      <c r="BJ202" s="227"/>
      <c r="BK202" s="229" t="s">
        <v>469</v>
      </c>
      <c r="BL202" s="202">
        <v>1</v>
      </c>
      <c r="BM202" s="199" t="s">
        <v>470</v>
      </c>
      <c r="BN202" s="200"/>
      <c r="BO202" s="201" t="s">
        <v>93</v>
      </c>
      <c r="BP202" s="202" t="s">
        <v>93</v>
      </c>
      <c r="BQ202" s="238" t="s">
        <v>93</v>
      </c>
      <c r="BR202" s="245"/>
    </row>
    <row r="203" spans="62:70" x14ac:dyDescent="0.2">
      <c r="BJ203" s="227"/>
      <c r="BK203" s="229" t="s">
        <v>471</v>
      </c>
      <c r="BL203" s="202">
        <v>1</v>
      </c>
      <c r="BM203" s="199" t="s">
        <v>472</v>
      </c>
      <c r="BN203" s="200"/>
      <c r="BO203" s="201" t="s">
        <v>93</v>
      </c>
      <c r="BP203" s="202" t="s">
        <v>93</v>
      </c>
      <c r="BQ203" s="238" t="s">
        <v>93</v>
      </c>
      <c r="BR203" s="245"/>
    </row>
    <row r="204" spans="62:70" x14ac:dyDescent="0.2">
      <c r="BJ204" s="227"/>
      <c r="BK204" s="229" t="s">
        <v>473</v>
      </c>
      <c r="BL204" s="202">
        <v>1</v>
      </c>
      <c r="BM204" s="199" t="s">
        <v>474</v>
      </c>
      <c r="BN204" s="200"/>
      <c r="BO204" s="201" t="s">
        <v>93</v>
      </c>
      <c r="BP204" s="202" t="s">
        <v>93</v>
      </c>
      <c r="BQ204" s="238" t="s">
        <v>93</v>
      </c>
      <c r="BR204" s="245"/>
    </row>
    <row r="205" spans="62:70" x14ac:dyDescent="0.2">
      <c r="BJ205" s="227"/>
      <c r="BK205" s="229" t="s">
        <v>475</v>
      </c>
      <c r="BL205" s="202">
        <v>1</v>
      </c>
      <c r="BM205" s="199" t="s">
        <v>476</v>
      </c>
      <c r="BN205" s="200"/>
      <c r="BO205" s="201" t="s">
        <v>93</v>
      </c>
      <c r="BP205" s="202" t="s">
        <v>93</v>
      </c>
      <c r="BQ205" s="238" t="s">
        <v>93</v>
      </c>
      <c r="BR205" s="245"/>
    </row>
    <row r="206" spans="62:70" x14ac:dyDescent="0.2">
      <c r="BJ206" s="227"/>
      <c r="BK206" s="229" t="s">
        <v>477</v>
      </c>
      <c r="BL206" s="202">
        <v>1</v>
      </c>
      <c r="BM206" s="199" t="s">
        <v>476</v>
      </c>
      <c r="BN206" s="200"/>
      <c r="BO206" s="201" t="s">
        <v>93</v>
      </c>
      <c r="BP206" s="202" t="s">
        <v>93</v>
      </c>
      <c r="BQ206" s="238" t="s">
        <v>93</v>
      </c>
      <c r="BR206" s="245"/>
    </row>
    <row r="207" spans="62:70" x14ac:dyDescent="0.2">
      <c r="BJ207" s="227"/>
      <c r="BK207" s="229" t="s">
        <v>478</v>
      </c>
      <c r="BL207" s="202">
        <v>1</v>
      </c>
      <c r="BM207" s="199" t="s">
        <v>476</v>
      </c>
      <c r="BN207" s="200"/>
      <c r="BO207" s="201" t="s">
        <v>93</v>
      </c>
      <c r="BP207" s="202" t="s">
        <v>93</v>
      </c>
      <c r="BQ207" s="238" t="s">
        <v>93</v>
      </c>
      <c r="BR207" s="245"/>
    </row>
    <row r="208" spans="62:70" x14ac:dyDescent="0.25">
      <c r="BJ208" s="227"/>
      <c r="BK208" s="230" t="s">
        <v>479</v>
      </c>
      <c r="BL208" s="207">
        <v>1</v>
      </c>
      <c r="BM208" s="204" t="s">
        <v>480</v>
      </c>
      <c r="BN208" s="205"/>
      <c r="BO208" s="206" t="s">
        <v>481</v>
      </c>
      <c r="BP208" s="207" t="s">
        <v>482</v>
      </c>
      <c r="BQ208" s="239" t="s">
        <v>93</v>
      </c>
      <c r="BR208" s="245"/>
    </row>
    <row r="209" spans="62:70" x14ac:dyDescent="0.2">
      <c r="BJ209" s="227"/>
      <c r="BK209" s="229" t="s">
        <v>483</v>
      </c>
      <c r="BL209" s="202">
        <v>1</v>
      </c>
      <c r="BM209" s="199" t="s">
        <v>484</v>
      </c>
      <c r="BN209" s="200"/>
      <c r="BO209" s="201" t="s">
        <v>93</v>
      </c>
      <c r="BP209" s="202" t="s">
        <v>93</v>
      </c>
      <c r="BQ209" s="238" t="s">
        <v>93</v>
      </c>
      <c r="BR209" s="245"/>
    </row>
    <row r="210" spans="62:70" x14ac:dyDescent="0.2">
      <c r="BJ210" s="227"/>
      <c r="BK210" s="229" t="s">
        <v>485</v>
      </c>
      <c r="BL210" s="202">
        <v>1</v>
      </c>
      <c r="BM210" s="199" t="s">
        <v>484</v>
      </c>
      <c r="BN210" s="200"/>
      <c r="BO210" s="201" t="s">
        <v>93</v>
      </c>
      <c r="BP210" s="202" t="s">
        <v>93</v>
      </c>
      <c r="BQ210" s="238" t="s">
        <v>93</v>
      </c>
      <c r="BR210" s="245"/>
    </row>
    <row r="211" spans="62:70" x14ac:dyDescent="0.2">
      <c r="BJ211" s="227"/>
      <c r="BK211" s="229" t="s">
        <v>486</v>
      </c>
      <c r="BL211" s="202">
        <v>1</v>
      </c>
      <c r="BM211" s="199" t="s">
        <v>487</v>
      </c>
      <c r="BN211" s="200"/>
      <c r="BO211" s="201" t="s">
        <v>488</v>
      </c>
      <c r="BP211" s="202" t="s">
        <v>489</v>
      </c>
      <c r="BQ211" s="238" t="s">
        <v>93</v>
      </c>
      <c r="BR211" s="245"/>
    </row>
    <row r="212" spans="62:70" x14ac:dyDescent="0.2">
      <c r="BJ212" s="227"/>
      <c r="BK212" s="229" t="s">
        <v>490</v>
      </c>
      <c r="BL212" s="202">
        <v>1</v>
      </c>
      <c r="BM212" s="199" t="s">
        <v>491</v>
      </c>
      <c r="BN212" s="200"/>
      <c r="BO212" s="201" t="s">
        <v>492</v>
      </c>
      <c r="BP212" s="202" t="s">
        <v>493</v>
      </c>
      <c r="BQ212" s="238" t="s">
        <v>93</v>
      </c>
      <c r="BR212" s="245"/>
    </row>
    <row r="213" spans="62:70" x14ac:dyDescent="0.2">
      <c r="BJ213" s="227"/>
      <c r="BK213" s="229" t="s">
        <v>494</v>
      </c>
      <c r="BL213" s="202">
        <v>1</v>
      </c>
      <c r="BM213" s="199" t="s">
        <v>495</v>
      </c>
      <c r="BN213" s="200"/>
      <c r="BO213" s="201" t="s">
        <v>93</v>
      </c>
      <c r="BP213" s="202" t="s">
        <v>93</v>
      </c>
      <c r="BQ213" s="238" t="s">
        <v>93</v>
      </c>
      <c r="BR213" s="245"/>
    </row>
    <row r="214" spans="62:70" x14ac:dyDescent="0.2">
      <c r="BJ214" s="227"/>
      <c r="BK214" s="229" t="s">
        <v>496</v>
      </c>
      <c r="BL214" s="202">
        <v>1</v>
      </c>
      <c r="BM214" s="199" t="s">
        <v>495</v>
      </c>
      <c r="BN214" s="200"/>
      <c r="BO214" s="201" t="s">
        <v>93</v>
      </c>
      <c r="BP214" s="202" t="s">
        <v>93</v>
      </c>
      <c r="BQ214" s="238" t="s">
        <v>93</v>
      </c>
      <c r="BR214" s="245"/>
    </row>
    <row r="215" spans="62:70" x14ac:dyDescent="0.2">
      <c r="BJ215" s="227"/>
      <c r="BK215" s="229" t="s">
        <v>497</v>
      </c>
      <c r="BL215" s="202">
        <v>1</v>
      </c>
      <c r="BM215" s="199" t="s">
        <v>498</v>
      </c>
      <c r="BN215" s="200"/>
      <c r="BO215" s="201" t="s">
        <v>499</v>
      </c>
      <c r="BP215" s="202" t="s">
        <v>500</v>
      </c>
      <c r="BQ215" s="238" t="s">
        <v>93</v>
      </c>
      <c r="BR215" s="245"/>
    </row>
    <row r="216" spans="62:70" x14ac:dyDescent="0.2">
      <c r="BJ216" s="227"/>
      <c r="BK216" s="229" t="s">
        <v>501</v>
      </c>
      <c r="BL216" s="202">
        <v>1</v>
      </c>
      <c r="BM216" s="199" t="s">
        <v>498</v>
      </c>
      <c r="BN216" s="200"/>
      <c r="BO216" s="201" t="s">
        <v>499</v>
      </c>
      <c r="BP216" s="202" t="s">
        <v>500</v>
      </c>
      <c r="BQ216" s="238" t="s">
        <v>93</v>
      </c>
      <c r="BR216" s="245"/>
    </row>
    <row r="217" spans="62:70" x14ac:dyDescent="0.2">
      <c r="BJ217" s="227"/>
      <c r="BK217" s="229" t="s">
        <v>502</v>
      </c>
      <c r="BL217" s="202">
        <v>1</v>
      </c>
      <c r="BM217" s="199" t="s">
        <v>503</v>
      </c>
      <c r="BN217" s="200"/>
      <c r="BO217" s="201" t="s">
        <v>93</v>
      </c>
      <c r="BP217" s="202" t="s">
        <v>93</v>
      </c>
      <c r="BQ217" s="238" t="s">
        <v>93</v>
      </c>
      <c r="BR217" s="245"/>
    </row>
    <row r="218" spans="62:70" x14ac:dyDescent="0.2">
      <c r="BJ218" s="227"/>
      <c r="BK218" s="229" t="s">
        <v>504</v>
      </c>
      <c r="BL218" s="202">
        <v>1</v>
      </c>
      <c r="BM218" s="199" t="s">
        <v>503</v>
      </c>
      <c r="BN218" s="200"/>
      <c r="BO218" s="201" t="s">
        <v>93</v>
      </c>
      <c r="BP218" s="202" t="s">
        <v>93</v>
      </c>
      <c r="BQ218" s="238" t="s">
        <v>93</v>
      </c>
      <c r="BR218" s="245"/>
    </row>
    <row r="219" spans="62:70" x14ac:dyDescent="0.2">
      <c r="BJ219" s="227"/>
      <c r="BK219" s="229" t="s">
        <v>505</v>
      </c>
      <c r="BL219" s="202">
        <v>252</v>
      </c>
      <c r="BM219" s="199" t="s">
        <v>506</v>
      </c>
      <c r="BN219" s="200"/>
      <c r="BO219" s="201" t="s">
        <v>93</v>
      </c>
      <c r="BP219" s="202" t="s">
        <v>93</v>
      </c>
      <c r="BQ219" s="238" t="s">
        <v>93</v>
      </c>
      <c r="BR219" s="245"/>
    </row>
    <row r="220" spans="62:70" x14ac:dyDescent="0.2">
      <c r="BJ220" s="227"/>
      <c r="BK220" s="229" t="s">
        <v>507</v>
      </c>
      <c r="BL220" s="202">
        <v>1</v>
      </c>
      <c r="BM220" s="199" t="s">
        <v>508</v>
      </c>
      <c r="BN220" s="200"/>
      <c r="BO220" s="201" t="s">
        <v>93</v>
      </c>
      <c r="BP220" s="202" t="s">
        <v>93</v>
      </c>
      <c r="BQ220" s="238" t="s">
        <v>93</v>
      </c>
      <c r="BR220" s="245"/>
    </row>
    <row r="221" spans="62:70" x14ac:dyDescent="0.2">
      <c r="BJ221" s="227"/>
      <c r="BK221" s="229" t="s">
        <v>509</v>
      </c>
      <c r="BL221" s="202">
        <v>1</v>
      </c>
      <c r="BM221" s="199" t="s">
        <v>508</v>
      </c>
      <c r="BN221" s="200"/>
      <c r="BO221" s="201" t="s">
        <v>93</v>
      </c>
      <c r="BP221" s="202" t="s">
        <v>93</v>
      </c>
      <c r="BQ221" s="238" t="s">
        <v>93</v>
      </c>
      <c r="BR221" s="245"/>
    </row>
    <row r="222" spans="62:70" x14ac:dyDescent="0.2">
      <c r="BJ222" s="227"/>
      <c r="BK222" s="229" t="s">
        <v>510</v>
      </c>
      <c r="BL222" s="202">
        <v>1</v>
      </c>
      <c r="BM222" s="199" t="s">
        <v>511</v>
      </c>
      <c r="BN222" s="200"/>
      <c r="BO222" s="201" t="s">
        <v>93</v>
      </c>
      <c r="BP222" s="202" t="s">
        <v>93</v>
      </c>
      <c r="BQ222" s="238" t="s">
        <v>93</v>
      </c>
      <c r="BR222" s="245"/>
    </row>
    <row r="223" spans="62:70" x14ac:dyDescent="0.2">
      <c r="BJ223" s="227"/>
      <c r="BK223" s="229" t="s">
        <v>512</v>
      </c>
      <c r="BL223" s="202">
        <v>1</v>
      </c>
      <c r="BM223" s="199" t="s">
        <v>513</v>
      </c>
      <c r="BN223" s="200"/>
      <c r="BO223" s="201" t="s">
        <v>93</v>
      </c>
      <c r="BP223" s="202" t="s">
        <v>93</v>
      </c>
      <c r="BQ223" s="238" t="s">
        <v>93</v>
      </c>
      <c r="BR223" s="245"/>
    </row>
    <row r="224" spans="62:70" x14ac:dyDescent="0.2">
      <c r="BJ224" s="227"/>
      <c r="BK224" s="229" t="s">
        <v>514</v>
      </c>
      <c r="BL224" s="202">
        <v>1</v>
      </c>
      <c r="BM224" s="199" t="s">
        <v>515</v>
      </c>
      <c r="BN224" s="200"/>
      <c r="BO224" s="201" t="s">
        <v>93</v>
      </c>
      <c r="BP224" s="202" t="s">
        <v>93</v>
      </c>
      <c r="BQ224" s="238" t="s">
        <v>93</v>
      </c>
      <c r="BR224" s="245"/>
    </row>
    <row r="225" spans="62:70" x14ac:dyDescent="0.2">
      <c r="BJ225" s="227"/>
      <c r="BK225" s="229" t="s">
        <v>516</v>
      </c>
      <c r="BL225" s="202">
        <v>1</v>
      </c>
      <c r="BM225" s="199" t="s">
        <v>515</v>
      </c>
      <c r="BN225" s="200"/>
      <c r="BO225" s="201" t="s">
        <v>93</v>
      </c>
      <c r="BP225" s="202" t="s">
        <v>93</v>
      </c>
      <c r="BQ225" s="238" t="s">
        <v>93</v>
      </c>
      <c r="BR225" s="245"/>
    </row>
    <row r="226" spans="62:70" x14ac:dyDescent="0.2">
      <c r="BJ226" s="227"/>
      <c r="BK226" s="229" t="s">
        <v>517</v>
      </c>
      <c r="BL226" s="202">
        <v>1</v>
      </c>
      <c r="BM226" s="199" t="s">
        <v>518</v>
      </c>
      <c r="BN226" s="200"/>
      <c r="BO226" s="201" t="s">
        <v>93</v>
      </c>
      <c r="BP226" s="202" t="s">
        <v>93</v>
      </c>
      <c r="BQ226" s="238" t="s">
        <v>93</v>
      </c>
      <c r="BR226" s="245"/>
    </row>
    <row r="227" spans="62:70" x14ac:dyDescent="0.2">
      <c r="BJ227" s="227"/>
      <c r="BK227" s="229" t="s">
        <v>519</v>
      </c>
      <c r="BL227" s="202">
        <v>1</v>
      </c>
      <c r="BM227" s="199" t="s">
        <v>518</v>
      </c>
      <c r="BN227" s="200"/>
      <c r="BO227" s="201" t="s">
        <v>93</v>
      </c>
      <c r="BP227" s="202" t="s">
        <v>93</v>
      </c>
      <c r="BQ227" s="238" t="s">
        <v>93</v>
      </c>
      <c r="BR227" s="245"/>
    </row>
    <row r="228" spans="62:70" x14ac:dyDescent="0.2">
      <c r="BJ228" s="227"/>
      <c r="BK228" s="229" t="s">
        <v>520</v>
      </c>
      <c r="BL228" s="202">
        <v>1</v>
      </c>
      <c r="BM228" s="199" t="s">
        <v>518</v>
      </c>
      <c r="BN228" s="200"/>
      <c r="BO228" s="201" t="s">
        <v>93</v>
      </c>
      <c r="BP228" s="202" t="s">
        <v>93</v>
      </c>
      <c r="BQ228" s="238" t="s">
        <v>93</v>
      </c>
      <c r="BR228" s="245"/>
    </row>
    <row r="229" spans="62:70" x14ac:dyDescent="0.2">
      <c r="BJ229" s="227"/>
      <c r="BK229" s="229" t="s">
        <v>521</v>
      </c>
      <c r="BL229" s="202">
        <v>1</v>
      </c>
      <c r="BM229" s="199" t="s">
        <v>522</v>
      </c>
      <c r="BN229" s="200"/>
      <c r="BO229" s="201" t="s">
        <v>93</v>
      </c>
      <c r="BP229" s="202" t="s">
        <v>93</v>
      </c>
      <c r="BQ229" s="238" t="s">
        <v>93</v>
      </c>
      <c r="BR229" s="245"/>
    </row>
    <row r="230" spans="62:70" x14ac:dyDescent="0.2">
      <c r="BJ230" s="227"/>
      <c r="BK230" s="229" t="s">
        <v>523</v>
      </c>
      <c r="BL230" s="202">
        <v>1</v>
      </c>
      <c r="BM230" s="199" t="s">
        <v>522</v>
      </c>
      <c r="BN230" s="200"/>
      <c r="BO230" s="201" t="s">
        <v>93</v>
      </c>
      <c r="BP230" s="202" t="s">
        <v>93</v>
      </c>
      <c r="BQ230" s="238" t="s">
        <v>93</v>
      </c>
      <c r="BR230" s="245"/>
    </row>
    <row r="231" spans="62:70" x14ac:dyDescent="0.2">
      <c r="BJ231" s="227"/>
      <c r="BK231" s="229" t="s">
        <v>524</v>
      </c>
      <c r="BL231" s="202">
        <v>1</v>
      </c>
      <c r="BM231" s="199" t="s">
        <v>522</v>
      </c>
      <c r="BN231" s="200"/>
      <c r="BO231" s="201" t="s">
        <v>93</v>
      </c>
      <c r="BP231" s="202" t="s">
        <v>93</v>
      </c>
      <c r="BQ231" s="238" t="s">
        <v>93</v>
      </c>
      <c r="BR231" s="245"/>
    </row>
    <row r="232" spans="62:70" x14ac:dyDescent="0.2">
      <c r="BJ232" s="227"/>
      <c r="BK232" s="229" t="s">
        <v>525</v>
      </c>
      <c r="BL232" s="202">
        <v>1</v>
      </c>
      <c r="BM232" s="199" t="s">
        <v>522</v>
      </c>
      <c r="BN232" s="200"/>
      <c r="BO232" s="201" t="s">
        <v>93</v>
      </c>
      <c r="BP232" s="202" t="s">
        <v>93</v>
      </c>
      <c r="BQ232" s="238" t="s">
        <v>93</v>
      </c>
      <c r="BR232" s="245"/>
    </row>
    <row r="233" spans="62:70" x14ac:dyDescent="0.2">
      <c r="BJ233" s="227"/>
      <c r="BK233" s="229" t="s">
        <v>526</v>
      </c>
      <c r="BL233" s="202">
        <v>1</v>
      </c>
      <c r="BM233" s="199" t="s">
        <v>522</v>
      </c>
      <c r="BN233" s="200"/>
      <c r="BO233" s="201" t="s">
        <v>93</v>
      </c>
      <c r="BP233" s="202" t="s">
        <v>93</v>
      </c>
      <c r="BQ233" s="238" t="s">
        <v>93</v>
      </c>
      <c r="BR233" s="245"/>
    </row>
    <row r="234" spans="62:70" x14ac:dyDescent="0.2">
      <c r="BJ234" s="227"/>
      <c r="BK234" s="229" t="s">
        <v>527</v>
      </c>
      <c r="BL234" s="202">
        <v>1</v>
      </c>
      <c r="BM234" s="199" t="s">
        <v>522</v>
      </c>
      <c r="BN234" s="200"/>
      <c r="BO234" s="201" t="s">
        <v>93</v>
      </c>
      <c r="BP234" s="202" t="s">
        <v>93</v>
      </c>
      <c r="BQ234" s="238" t="s">
        <v>93</v>
      </c>
      <c r="BR234" s="245"/>
    </row>
    <row r="235" spans="62:70" x14ac:dyDescent="0.2">
      <c r="BJ235" s="227"/>
      <c r="BK235" s="229" t="s">
        <v>528</v>
      </c>
      <c r="BL235" s="202">
        <v>1</v>
      </c>
      <c r="BM235" s="199" t="s">
        <v>522</v>
      </c>
      <c r="BN235" s="200"/>
      <c r="BO235" s="201" t="s">
        <v>93</v>
      </c>
      <c r="BP235" s="202" t="s">
        <v>93</v>
      </c>
      <c r="BQ235" s="238" t="s">
        <v>93</v>
      </c>
      <c r="BR235" s="245"/>
    </row>
    <row r="236" spans="62:70" x14ac:dyDescent="0.2">
      <c r="BJ236" s="227"/>
      <c r="BK236" s="229" t="s">
        <v>529</v>
      </c>
      <c r="BL236" s="202">
        <v>1</v>
      </c>
      <c r="BM236" s="199" t="s">
        <v>530</v>
      </c>
      <c r="BN236" s="200"/>
      <c r="BO236" s="201" t="s">
        <v>93</v>
      </c>
      <c r="BP236" s="202" t="s">
        <v>93</v>
      </c>
      <c r="BQ236" s="238" t="s">
        <v>93</v>
      </c>
      <c r="BR236" s="245"/>
    </row>
    <row r="237" spans="62:70" x14ac:dyDescent="0.2">
      <c r="BJ237" s="227"/>
      <c r="BK237" s="229" t="s">
        <v>531</v>
      </c>
      <c r="BL237" s="202">
        <v>1</v>
      </c>
      <c r="BM237" s="199" t="s">
        <v>532</v>
      </c>
      <c r="BN237" s="200"/>
      <c r="BO237" s="201" t="s">
        <v>93</v>
      </c>
      <c r="BP237" s="202" t="s">
        <v>93</v>
      </c>
      <c r="BQ237" s="238" t="s">
        <v>93</v>
      </c>
      <c r="BR237" s="245"/>
    </row>
    <row r="238" spans="62:70" x14ac:dyDescent="0.2">
      <c r="BJ238" s="227"/>
      <c r="BK238" s="229" t="s">
        <v>533</v>
      </c>
      <c r="BL238" s="202">
        <v>1</v>
      </c>
      <c r="BM238" s="199" t="s">
        <v>534</v>
      </c>
      <c r="BN238" s="200"/>
      <c r="BO238" s="201" t="s">
        <v>93</v>
      </c>
      <c r="BP238" s="202" t="s">
        <v>93</v>
      </c>
      <c r="BQ238" s="238" t="s">
        <v>93</v>
      </c>
      <c r="BR238" s="245"/>
    </row>
    <row r="239" spans="62:70" x14ac:dyDescent="0.2">
      <c r="BJ239" s="227"/>
      <c r="BK239" s="229" t="s">
        <v>535</v>
      </c>
      <c r="BL239" s="202">
        <v>1</v>
      </c>
      <c r="BM239" s="199" t="s">
        <v>536</v>
      </c>
      <c r="BN239" s="200"/>
      <c r="BO239" s="201" t="s">
        <v>93</v>
      </c>
      <c r="BP239" s="202" t="s">
        <v>93</v>
      </c>
      <c r="BQ239" s="238" t="s">
        <v>93</v>
      </c>
      <c r="BR239" s="245"/>
    </row>
    <row r="240" spans="62:70" x14ac:dyDescent="0.2">
      <c r="BJ240" s="227"/>
      <c r="BK240" s="229" t="s">
        <v>537</v>
      </c>
      <c r="BL240" s="202">
        <v>1</v>
      </c>
      <c r="BM240" s="199" t="s">
        <v>538</v>
      </c>
      <c r="BN240" s="200"/>
      <c r="BO240" s="201" t="s">
        <v>93</v>
      </c>
      <c r="BP240" s="202" t="s">
        <v>93</v>
      </c>
      <c r="BQ240" s="238" t="s">
        <v>93</v>
      </c>
      <c r="BR240" s="245"/>
    </row>
    <row r="241" spans="62:70" x14ac:dyDescent="0.2">
      <c r="BJ241" s="227"/>
      <c r="BK241" s="229" t="s">
        <v>539</v>
      </c>
      <c r="BL241" s="202">
        <v>1</v>
      </c>
      <c r="BM241" s="199" t="s">
        <v>540</v>
      </c>
      <c r="BN241" s="200"/>
      <c r="BO241" s="201" t="s">
        <v>93</v>
      </c>
      <c r="BP241" s="202" t="s">
        <v>93</v>
      </c>
      <c r="BQ241" s="238" t="s">
        <v>93</v>
      </c>
      <c r="BR241" s="245"/>
    </row>
    <row r="242" spans="62:70" x14ac:dyDescent="0.2">
      <c r="BJ242" s="227"/>
      <c r="BK242" s="229" t="s">
        <v>541</v>
      </c>
      <c r="BL242" s="202">
        <v>1</v>
      </c>
      <c r="BM242" s="199" t="s">
        <v>542</v>
      </c>
      <c r="BN242" s="200"/>
      <c r="BO242" s="201" t="s">
        <v>93</v>
      </c>
      <c r="BP242" s="202" t="s">
        <v>93</v>
      </c>
      <c r="BQ242" s="238" t="s">
        <v>93</v>
      </c>
      <c r="BR242" s="245"/>
    </row>
    <row r="243" spans="62:70" x14ac:dyDescent="0.2">
      <c r="BJ243" s="227"/>
      <c r="BK243" s="229" t="s">
        <v>543</v>
      </c>
      <c r="BL243" s="202">
        <v>1</v>
      </c>
      <c r="BM243" s="199" t="s">
        <v>544</v>
      </c>
      <c r="BN243" s="200"/>
      <c r="BO243" s="201" t="s">
        <v>93</v>
      </c>
      <c r="BP243" s="202" t="s">
        <v>93</v>
      </c>
      <c r="BQ243" s="238" t="s">
        <v>93</v>
      </c>
      <c r="BR243" s="245"/>
    </row>
    <row r="244" spans="62:70" x14ac:dyDescent="0.2">
      <c r="BJ244" s="227"/>
      <c r="BK244" s="229" t="s">
        <v>545</v>
      </c>
      <c r="BL244" s="202">
        <v>1</v>
      </c>
      <c r="BM244" s="199" t="s">
        <v>546</v>
      </c>
      <c r="BN244" s="200"/>
      <c r="BO244" s="201" t="s">
        <v>93</v>
      </c>
      <c r="BP244" s="202" t="s">
        <v>93</v>
      </c>
      <c r="BQ244" s="238" t="s">
        <v>93</v>
      </c>
      <c r="BR244" s="245"/>
    </row>
    <row r="245" spans="62:70" x14ac:dyDescent="0.2">
      <c r="BJ245" s="227"/>
      <c r="BK245" s="229" t="s">
        <v>547</v>
      </c>
      <c r="BL245" s="202">
        <v>1</v>
      </c>
      <c r="BM245" s="199" t="s">
        <v>548</v>
      </c>
      <c r="BN245" s="200"/>
      <c r="BO245" s="201" t="s">
        <v>93</v>
      </c>
      <c r="BP245" s="202" t="s">
        <v>93</v>
      </c>
      <c r="BQ245" s="238" t="s">
        <v>93</v>
      </c>
      <c r="BR245" s="245"/>
    </row>
    <row r="246" spans="62:70" x14ac:dyDescent="0.2">
      <c r="BJ246" s="227"/>
      <c r="BK246" s="229" t="s">
        <v>549</v>
      </c>
      <c r="BL246" s="202">
        <v>1</v>
      </c>
      <c r="BM246" s="199" t="s">
        <v>550</v>
      </c>
      <c r="BN246" s="200"/>
      <c r="BO246" s="201" t="s">
        <v>93</v>
      </c>
      <c r="BP246" s="202" t="s">
        <v>93</v>
      </c>
      <c r="BQ246" s="238" t="s">
        <v>93</v>
      </c>
      <c r="BR246" s="245"/>
    </row>
    <row r="247" spans="62:70" x14ac:dyDescent="0.2">
      <c r="BJ247" s="227"/>
      <c r="BK247" s="229" t="s">
        <v>551</v>
      </c>
      <c r="BL247" s="202">
        <v>1</v>
      </c>
      <c r="BM247" s="199" t="s">
        <v>552</v>
      </c>
      <c r="BN247" s="200"/>
      <c r="BO247" s="201" t="s">
        <v>93</v>
      </c>
      <c r="BP247" s="202" t="s">
        <v>93</v>
      </c>
      <c r="BQ247" s="238" t="s">
        <v>93</v>
      </c>
      <c r="BR247" s="245"/>
    </row>
    <row r="248" spans="62:70" x14ac:dyDescent="0.2">
      <c r="BJ248" s="227"/>
      <c r="BK248" s="229" t="s">
        <v>553</v>
      </c>
      <c r="BL248" s="202">
        <v>19</v>
      </c>
      <c r="BM248" s="199" t="s">
        <v>554</v>
      </c>
      <c r="BN248" s="200"/>
      <c r="BO248" s="201" t="s">
        <v>93</v>
      </c>
      <c r="BP248" s="202" t="s">
        <v>93</v>
      </c>
      <c r="BQ248" s="238" t="s">
        <v>93</v>
      </c>
      <c r="BR248" s="245"/>
    </row>
    <row r="249" spans="62:70" x14ac:dyDescent="0.2">
      <c r="BJ249" s="227"/>
      <c r="BK249" s="229" t="s">
        <v>555</v>
      </c>
      <c r="BL249" s="202">
        <v>237</v>
      </c>
      <c r="BM249" s="199" t="s">
        <v>556</v>
      </c>
      <c r="BN249" s="200"/>
      <c r="BO249" s="201" t="s">
        <v>93</v>
      </c>
      <c r="BP249" s="202" t="s">
        <v>93</v>
      </c>
      <c r="BQ249" s="238" t="s">
        <v>93</v>
      </c>
      <c r="BR249" s="245"/>
    </row>
    <row r="250" spans="62:70" x14ac:dyDescent="0.2">
      <c r="BJ250" s="227"/>
      <c r="BK250" s="229" t="s">
        <v>557</v>
      </c>
      <c r="BL250" s="202">
        <v>1</v>
      </c>
      <c r="BM250" s="199" t="s">
        <v>558</v>
      </c>
      <c r="BN250" s="200"/>
      <c r="BO250" s="201" t="s">
        <v>93</v>
      </c>
      <c r="BP250" s="202" t="s">
        <v>93</v>
      </c>
      <c r="BQ250" s="240" t="s">
        <v>93</v>
      </c>
      <c r="BR250" s="245"/>
    </row>
    <row r="251" spans="62:70" x14ac:dyDescent="0.2">
      <c r="BJ251" s="227"/>
      <c r="BK251" s="229" t="s">
        <v>559</v>
      </c>
      <c r="BL251" s="202">
        <v>10</v>
      </c>
      <c r="BM251" s="199" t="s">
        <v>560</v>
      </c>
      <c r="BN251" s="200"/>
      <c r="BO251" s="201" t="s">
        <v>93</v>
      </c>
      <c r="BP251" s="202" t="s">
        <v>93</v>
      </c>
      <c r="BQ251" s="238" t="s">
        <v>93</v>
      </c>
      <c r="BR251" s="245"/>
    </row>
    <row r="252" spans="62:70" x14ac:dyDescent="0.2">
      <c r="BJ252" s="227"/>
      <c r="BK252" s="229" t="s">
        <v>561</v>
      </c>
      <c r="BL252" s="202">
        <v>2</v>
      </c>
      <c r="BM252" s="199" t="s">
        <v>562</v>
      </c>
      <c r="BN252" s="200"/>
      <c r="BO252" s="201" t="s">
        <v>93</v>
      </c>
      <c r="BP252" s="202" t="s">
        <v>93</v>
      </c>
      <c r="BQ252" s="238" t="s">
        <v>93</v>
      </c>
      <c r="BR252" s="245"/>
    </row>
    <row r="253" spans="62:70" x14ac:dyDescent="0.2">
      <c r="BJ253" s="227"/>
      <c r="BK253" s="229" t="s">
        <v>563</v>
      </c>
      <c r="BL253" s="202">
        <v>1</v>
      </c>
      <c r="BM253" s="199" t="s">
        <v>564</v>
      </c>
      <c r="BN253" s="200"/>
      <c r="BO253" s="201" t="s">
        <v>93</v>
      </c>
      <c r="BP253" s="202" t="s">
        <v>93</v>
      </c>
      <c r="BQ253" s="238" t="s">
        <v>93</v>
      </c>
      <c r="BR253" s="245"/>
    </row>
    <row r="254" spans="62:70" x14ac:dyDescent="0.2">
      <c r="BJ254" s="227"/>
      <c r="BK254" s="229" t="s">
        <v>565</v>
      </c>
      <c r="BL254" s="202">
        <v>1</v>
      </c>
      <c r="BM254" s="199" t="s">
        <v>566</v>
      </c>
      <c r="BN254" s="200"/>
      <c r="BO254" s="201" t="s">
        <v>93</v>
      </c>
      <c r="BP254" s="202" t="s">
        <v>93</v>
      </c>
      <c r="BQ254" s="238" t="s">
        <v>93</v>
      </c>
      <c r="BR254" s="245"/>
    </row>
    <row r="255" spans="62:70" x14ac:dyDescent="0.2">
      <c r="BJ255" s="227"/>
      <c r="BK255" s="229" t="s">
        <v>567</v>
      </c>
      <c r="BL255" s="202">
        <v>1</v>
      </c>
      <c r="BM255" s="199" t="s">
        <v>568</v>
      </c>
      <c r="BN255" s="200"/>
      <c r="BO255" s="201" t="s">
        <v>569</v>
      </c>
      <c r="BP255" s="202" t="s">
        <v>93</v>
      </c>
      <c r="BQ255" s="238" t="s">
        <v>93</v>
      </c>
      <c r="BR255" s="245"/>
    </row>
    <row r="256" spans="62:70" x14ac:dyDescent="0.2">
      <c r="BJ256" s="227"/>
      <c r="BK256" s="229" t="s">
        <v>570</v>
      </c>
      <c r="BL256" s="202">
        <v>1</v>
      </c>
      <c r="BM256" s="199" t="s">
        <v>571</v>
      </c>
      <c r="BN256" s="200"/>
      <c r="BO256" s="201" t="s">
        <v>93</v>
      </c>
      <c r="BP256" s="202" t="s">
        <v>93</v>
      </c>
      <c r="BQ256" s="238" t="s">
        <v>93</v>
      </c>
      <c r="BR256" s="245"/>
    </row>
    <row r="257" spans="62:70" x14ac:dyDescent="0.2">
      <c r="BJ257" s="227"/>
      <c r="BK257" s="229" t="s">
        <v>572</v>
      </c>
      <c r="BL257" s="202">
        <v>1</v>
      </c>
      <c r="BM257" s="199" t="s">
        <v>573</v>
      </c>
      <c r="BN257" s="200"/>
      <c r="BO257" s="201" t="s">
        <v>93</v>
      </c>
      <c r="BP257" s="202" t="s">
        <v>93</v>
      </c>
      <c r="BQ257" s="238" t="s">
        <v>93</v>
      </c>
      <c r="BR257" s="245"/>
    </row>
    <row r="258" spans="62:70" x14ac:dyDescent="0.2">
      <c r="BJ258" s="227"/>
      <c r="BK258" s="229" t="s">
        <v>574</v>
      </c>
      <c r="BL258" s="202">
        <v>1</v>
      </c>
      <c r="BM258" s="199" t="s">
        <v>575</v>
      </c>
      <c r="BN258" s="200"/>
      <c r="BO258" s="201" t="s">
        <v>93</v>
      </c>
      <c r="BP258" s="202" t="s">
        <v>93</v>
      </c>
      <c r="BQ258" s="238" t="s">
        <v>93</v>
      </c>
      <c r="BR258" s="245"/>
    </row>
    <row r="259" spans="62:70" x14ac:dyDescent="0.2">
      <c r="BJ259" s="227"/>
      <c r="BK259" s="229" t="s">
        <v>576</v>
      </c>
      <c r="BL259" s="202">
        <v>1</v>
      </c>
      <c r="BM259" s="199" t="s">
        <v>577</v>
      </c>
      <c r="BN259" s="200"/>
      <c r="BO259" s="201" t="s">
        <v>93</v>
      </c>
      <c r="BP259" s="202" t="s">
        <v>93</v>
      </c>
      <c r="BQ259" s="238" t="s">
        <v>93</v>
      </c>
      <c r="BR259" s="245"/>
    </row>
    <row r="260" spans="62:70" x14ac:dyDescent="0.2">
      <c r="BJ260" s="227"/>
      <c r="BK260" s="229" t="s">
        <v>578</v>
      </c>
      <c r="BL260" s="202">
        <v>1</v>
      </c>
      <c r="BM260" s="199" t="s">
        <v>579</v>
      </c>
      <c r="BN260" s="200"/>
      <c r="BO260" s="201" t="s">
        <v>93</v>
      </c>
      <c r="BP260" s="202" t="s">
        <v>93</v>
      </c>
      <c r="BQ260" s="238" t="s">
        <v>93</v>
      </c>
      <c r="BR260" s="245"/>
    </row>
    <row r="261" spans="62:70" x14ac:dyDescent="0.2">
      <c r="BJ261" s="227"/>
      <c r="BK261" s="229" t="s">
        <v>580</v>
      </c>
      <c r="BL261" s="202">
        <v>1</v>
      </c>
      <c r="BM261" s="199" t="s">
        <v>581</v>
      </c>
      <c r="BN261" s="200"/>
      <c r="BO261" s="201" t="s">
        <v>93</v>
      </c>
      <c r="BP261" s="202" t="s">
        <v>93</v>
      </c>
      <c r="BQ261" s="238" t="s">
        <v>93</v>
      </c>
      <c r="BR261" s="245"/>
    </row>
    <row r="262" spans="62:70" x14ac:dyDescent="0.2">
      <c r="BJ262" s="227"/>
      <c r="BK262" s="229" t="s">
        <v>582</v>
      </c>
      <c r="BL262" s="202">
        <v>1</v>
      </c>
      <c r="BM262" s="199" t="s">
        <v>583</v>
      </c>
      <c r="BN262" s="200"/>
      <c r="BO262" s="201" t="s">
        <v>93</v>
      </c>
      <c r="BP262" s="202" t="s">
        <v>93</v>
      </c>
      <c r="BQ262" s="240" t="s">
        <v>93</v>
      </c>
      <c r="BR262" s="245"/>
    </row>
    <row r="263" spans="62:70" x14ac:dyDescent="0.2">
      <c r="BJ263" s="227"/>
      <c r="BK263" s="229" t="s">
        <v>584</v>
      </c>
      <c r="BL263" s="202">
        <v>1</v>
      </c>
      <c r="BM263" s="199" t="s">
        <v>585</v>
      </c>
      <c r="BN263" s="200"/>
      <c r="BO263" s="201" t="s">
        <v>586</v>
      </c>
      <c r="BP263" s="202" t="s">
        <v>587</v>
      </c>
      <c r="BQ263" s="238">
        <v>185912</v>
      </c>
      <c r="BR263" s="245"/>
    </row>
    <row r="264" spans="62:70" x14ac:dyDescent="0.2">
      <c r="BJ264" s="227"/>
      <c r="BK264" s="229" t="s">
        <v>588</v>
      </c>
      <c r="BL264" s="202">
        <v>1</v>
      </c>
      <c r="BM264" s="199" t="s">
        <v>589</v>
      </c>
      <c r="BN264" s="200"/>
      <c r="BO264" s="201" t="s">
        <v>590</v>
      </c>
      <c r="BP264" s="202" t="s">
        <v>591</v>
      </c>
      <c r="BQ264" s="238" t="s">
        <v>93</v>
      </c>
      <c r="BR264" s="245"/>
    </row>
    <row r="265" spans="62:70" x14ac:dyDescent="0.2">
      <c r="BJ265" s="227"/>
      <c r="BK265" s="229" t="s">
        <v>592</v>
      </c>
      <c r="BL265" s="202">
        <v>2</v>
      </c>
      <c r="BM265" s="199" t="s">
        <v>593</v>
      </c>
      <c r="BN265" s="200"/>
      <c r="BO265" s="201" t="s">
        <v>93</v>
      </c>
      <c r="BP265" s="202" t="s">
        <v>93</v>
      </c>
      <c r="BQ265" s="238" t="s">
        <v>93</v>
      </c>
      <c r="BR265" s="245"/>
    </row>
    <row r="266" spans="62:70" x14ac:dyDescent="0.2">
      <c r="BJ266" s="227"/>
      <c r="BK266" s="229" t="s">
        <v>594</v>
      </c>
      <c r="BL266" s="202">
        <v>3</v>
      </c>
      <c r="BM266" s="199" t="s">
        <v>595</v>
      </c>
      <c r="BN266" s="200"/>
      <c r="BO266" s="201" t="s">
        <v>93</v>
      </c>
      <c r="BP266" s="202" t="s">
        <v>93</v>
      </c>
      <c r="BQ266" s="238" t="s">
        <v>93</v>
      </c>
      <c r="BR266" s="245"/>
    </row>
    <row r="267" spans="62:70" x14ac:dyDescent="0.2">
      <c r="BJ267" s="227"/>
      <c r="BK267" s="229" t="s">
        <v>596</v>
      </c>
      <c r="BL267" s="202">
        <v>1</v>
      </c>
      <c r="BM267" s="199" t="s">
        <v>597</v>
      </c>
      <c r="BN267" s="200"/>
      <c r="BO267" s="201" t="s">
        <v>93</v>
      </c>
      <c r="BP267" s="202" t="s">
        <v>93</v>
      </c>
      <c r="BQ267" s="238" t="s">
        <v>93</v>
      </c>
      <c r="BR267" s="245"/>
    </row>
    <row r="268" spans="62:70" x14ac:dyDescent="0.2">
      <c r="BJ268" s="227"/>
      <c r="BK268" s="229" t="s">
        <v>598</v>
      </c>
      <c r="BL268" s="202">
        <v>1</v>
      </c>
      <c r="BM268" s="199" t="s">
        <v>599</v>
      </c>
      <c r="BN268" s="200"/>
      <c r="BO268" s="201" t="s">
        <v>93</v>
      </c>
      <c r="BP268" s="202" t="s">
        <v>93</v>
      </c>
      <c r="BQ268" s="238" t="s">
        <v>93</v>
      </c>
      <c r="BR268" s="245"/>
    </row>
    <row r="269" spans="62:70" x14ac:dyDescent="0.2">
      <c r="BJ269" s="227"/>
      <c r="BK269" s="229" t="s">
        <v>600</v>
      </c>
      <c r="BL269" s="202">
        <v>1</v>
      </c>
      <c r="BM269" s="199" t="s">
        <v>601</v>
      </c>
      <c r="BN269" s="200"/>
      <c r="BO269" s="201" t="s">
        <v>93</v>
      </c>
      <c r="BP269" s="202" t="s">
        <v>93</v>
      </c>
      <c r="BQ269" s="238" t="s">
        <v>93</v>
      </c>
      <c r="BR269" s="245"/>
    </row>
    <row r="270" spans="62:70" x14ac:dyDescent="0.2">
      <c r="BJ270" s="227"/>
      <c r="BK270" s="229" t="s">
        <v>602</v>
      </c>
      <c r="BL270" s="202">
        <v>1</v>
      </c>
      <c r="BM270" s="199" t="s">
        <v>603</v>
      </c>
      <c r="BN270" s="200"/>
      <c r="BO270" s="201" t="s">
        <v>93</v>
      </c>
      <c r="BP270" s="202" t="s">
        <v>93</v>
      </c>
      <c r="BQ270" s="238" t="s">
        <v>93</v>
      </c>
      <c r="BR270" s="245"/>
    </row>
    <row r="271" spans="62:70" x14ac:dyDescent="0.2">
      <c r="BJ271" s="227"/>
      <c r="BK271" s="229" t="s">
        <v>604</v>
      </c>
      <c r="BL271" s="202">
        <v>1</v>
      </c>
      <c r="BM271" s="199" t="s">
        <v>605</v>
      </c>
      <c r="BN271" s="200"/>
      <c r="BO271" s="201" t="s">
        <v>93</v>
      </c>
      <c r="BP271" s="202" t="s">
        <v>93</v>
      </c>
      <c r="BQ271" s="238" t="s">
        <v>93</v>
      </c>
      <c r="BR271" s="245"/>
    </row>
    <row r="272" spans="62:70" x14ac:dyDescent="0.2">
      <c r="BJ272" s="227"/>
      <c r="BK272" s="229" t="s">
        <v>606</v>
      </c>
      <c r="BL272" s="202">
        <v>1</v>
      </c>
      <c r="BM272" s="199" t="s">
        <v>605</v>
      </c>
      <c r="BN272" s="200"/>
      <c r="BO272" s="201" t="s">
        <v>93</v>
      </c>
      <c r="BP272" s="202" t="s">
        <v>93</v>
      </c>
      <c r="BQ272" s="238" t="s">
        <v>93</v>
      </c>
      <c r="BR272" s="245"/>
    </row>
    <row r="273" spans="62:70" x14ac:dyDescent="0.2">
      <c r="BJ273" s="227"/>
      <c r="BK273" s="229" t="s">
        <v>607</v>
      </c>
      <c r="BL273" s="202">
        <v>1</v>
      </c>
      <c r="BM273" s="199" t="s">
        <v>605</v>
      </c>
      <c r="BN273" s="200"/>
      <c r="BO273" s="201" t="s">
        <v>93</v>
      </c>
      <c r="BP273" s="202" t="s">
        <v>93</v>
      </c>
      <c r="BQ273" s="238" t="s">
        <v>93</v>
      </c>
      <c r="BR273" s="245"/>
    </row>
    <row r="274" spans="62:70" x14ac:dyDescent="0.2">
      <c r="BJ274" s="227"/>
      <c r="BK274" s="229" t="s">
        <v>608</v>
      </c>
      <c r="BL274" s="202">
        <v>1</v>
      </c>
      <c r="BM274" s="199" t="s">
        <v>605</v>
      </c>
      <c r="BN274" s="200"/>
      <c r="BO274" s="201" t="s">
        <v>93</v>
      </c>
      <c r="BP274" s="202" t="s">
        <v>93</v>
      </c>
      <c r="BQ274" s="238" t="s">
        <v>93</v>
      </c>
      <c r="BR274" s="245"/>
    </row>
    <row r="275" spans="62:70" x14ac:dyDescent="0.2">
      <c r="BJ275" s="227"/>
      <c r="BK275" s="229" t="s">
        <v>609</v>
      </c>
      <c r="BL275" s="202">
        <v>1</v>
      </c>
      <c r="BM275" s="199" t="s">
        <v>605</v>
      </c>
      <c r="BN275" s="200"/>
      <c r="BO275" s="201" t="s">
        <v>93</v>
      </c>
      <c r="BP275" s="202" t="s">
        <v>93</v>
      </c>
      <c r="BQ275" s="238" t="s">
        <v>93</v>
      </c>
      <c r="BR275" s="245"/>
    </row>
    <row r="276" spans="62:70" x14ac:dyDescent="0.2">
      <c r="BJ276" s="227"/>
      <c r="BK276" s="229" t="s">
        <v>610</v>
      </c>
      <c r="BL276" s="202">
        <v>1</v>
      </c>
      <c r="BM276" s="199" t="s">
        <v>605</v>
      </c>
      <c r="BN276" s="200"/>
      <c r="BO276" s="201" t="s">
        <v>93</v>
      </c>
      <c r="BP276" s="202" t="s">
        <v>93</v>
      </c>
      <c r="BQ276" s="238" t="s">
        <v>93</v>
      </c>
      <c r="BR276" s="245"/>
    </row>
    <row r="277" spans="62:70" x14ac:dyDescent="0.2">
      <c r="BJ277" s="227"/>
      <c r="BK277" s="229" t="s">
        <v>611</v>
      </c>
      <c r="BL277" s="202">
        <v>1</v>
      </c>
      <c r="BM277" s="199" t="s">
        <v>605</v>
      </c>
      <c r="BN277" s="200"/>
      <c r="BO277" s="201" t="s">
        <v>93</v>
      </c>
      <c r="BP277" s="202" t="s">
        <v>93</v>
      </c>
      <c r="BQ277" s="238" t="s">
        <v>93</v>
      </c>
      <c r="BR277" s="245"/>
    </row>
    <row r="278" spans="62:70" x14ac:dyDescent="0.2">
      <c r="BJ278" s="227"/>
      <c r="BK278" s="229" t="s">
        <v>612</v>
      </c>
      <c r="BL278" s="202">
        <v>1</v>
      </c>
      <c r="BM278" s="199" t="s">
        <v>605</v>
      </c>
      <c r="BN278" s="200"/>
      <c r="BO278" s="201" t="s">
        <v>93</v>
      </c>
      <c r="BP278" s="202" t="s">
        <v>93</v>
      </c>
      <c r="BQ278" s="238" t="s">
        <v>93</v>
      </c>
      <c r="BR278" s="245"/>
    </row>
    <row r="279" spans="62:70" x14ac:dyDescent="0.2">
      <c r="BJ279" s="227"/>
      <c r="BK279" s="229" t="s">
        <v>613</v>
      </c>
      <c r="BL279" s="202">
        <v>1</v>
      </c>
      <c r="BM279" s="199" t="s">
        <v>605</v>
      </c>
      <c r="BN279" s="200"/>
      <c r="BO279" s="201" t="s">
        <v>93</v>
      </c>
      <c r="BP279" s="202" t="s">
        <v>93</v>
      </c>
      <c r="BQ279" s="238" t="s">
        <v>93</v>
      </c>
      <c r="BR279" s="245"/>
    </row>
    <row r="280" spans="62:70" x14ac:dyDescent="0.2">
      <c r="BJ280" s="227"/>
      <c r="BK280" s="229" t="s">
        <v>614</v>
      </c>
      <c r="BL280" s="202">
        <v>1</v>
      </c>
      <c r="BM280" s="199" t="s">
        <v>605</v>
      </c>
      <c r="BN280" s="200"/>
      <c r="BO280" s="201" t="s">
        <v>93</v>
      </c>
      <c r="BP280" s="202" t="s">
        <v>93</v>
      </c>
      <c r="BQ280" s="238" t="s">
        <v>93</v>
      </c>
      <c r="BR280" s="245"/>
    </row>
    <row r="281" spans="62:70" x14ac:dyDescent="0.2">
      <c r="BJ281" s="227"/>
      <c r="BK281" s="229" t="s">
        <v>615</v>
      </c>
      <c r="BL281" s="202">
        <v>1</v>
      </c>
      <c r="BM281" s="199" t="s">
        <v>605</v>
      </c>
      <c r="BN281" s="200"/>
      <c r="BO281" s="201" t="s">
        <v>93</v>
      </c>
      <c r="BP281" s="202" t="s">
        <v>93</v>
      </c>
      <c r="BQ281" s="238" t="s">
        <v>93</v>
      </c>
      <c r="BR281" s="245"/>
    </row>
    <row r="282" spans="62:70" x14ac:dyDescent="0.2">
      <c r="BJ282" s="227"/>
      <c r="BK282" s="229" t="s">
        <v>616</v>
      </c>
      <c r="BL282" s="202">
        <v>1</v>
      </c>
      <c r="BM282" s="199" t="s">
        <v>605</v>
      </c>
      <c r="BN282" s="200"/>
      <c r="BO282" s="201" t="s">
        <v>93</v>
      </c>
      <c r="BP282" s="202" t="s">
        <v>93</v>
      </c>
      <c r="BQ282" s="238" t="s">
        <v>93</v>
      </c>
      <c r="BR282" s="245"/>
    </row>
    <row r="283" spans="62:70" x14ac:dyDescent="0.2">
      <c r="BJ283" s="227"/>
      <c r="BK283" s="229" t="s">
        <v>617</v>
      </c>
      <c r="BL283" s="202">
        <v>1</v>
      </c>
      <c r="BM283" s="199" t="s">
        <v>605</v>
      </c>
      <c r="BN283" s="200"/>
      <c r="BO283" s="201" t="s">
        <v>93</v>
      </c>
      <c r="BP283" s="202" t="s">
        <v>93</v>
      </c>
      <c r="BQ283" s="238" t="s">
        <v>93</v>
      </c>
      <c r="BR283" s="245"/>
    </row>
    <row r="284" spans="62:70" x14ac:dyDescent="0.2">
      <c r="BJ284" s="227"/>
      <c r="BK284" s="229" t="s">
        <v>618</v>
      </c>
      <c r="BL284" s="202">
        <v>1</v>
      </c>
      <c r="BM284" s="199" t="s">
        <v>605</v>
      </c>
      <c r="BN284" s="200"/>
      <c r="BO284" s="201" t="s">
        <v>93</v>
      </c>
      <c r="BP284" s="202" t="s">
        <v>93</v>
      </c>
      <c r="BQ284" s="238" t="s">
        <v>93</v>
      </c>
      <c r="BR284" s="245"/>
    </row>
    <row r="285" spans="62:70" x14ac:dyDescent="0.2">
      <c r="BJ285" s="227"/>
      <c r="BK285" s="229" t="s">
        <v>619</v>
      </c>
      <c r="BL285" s="202">
        <v>1</v>
      </c>
      <c r="BM285" s="199" t="s">
        <v>605</v>
      </c>
      <c r="BN285" s="200"/>
      <c r="BO285" s="201" t="s">
        <v>93</v>
      </c>
      <c r="BP285" s="202" t="s">
        <v>93</v>
      </c>
      <c r="BQ285" s="238" t="s">
        <v>93</v>
      </c>
      <c r="BR285" s="245"/>
    </row>
    <row r="286" spans="62:70" x14ac:dyDescent="0.2">
      <c r="BJ286" s="227"/>
      <c r="BK286" s="229" t="s">
        <v>620</v>
      </c>
      <c r="BL286" s="202">
        <v>1</v>
      </c>
      <c r="BM286" s="199" t="s">
        <v>605</v>
      </c>
      <c r="BN286" s="200"/>
      <c r="BO286" s="201" t="s">
        <v>93</v>
      </c>
      <c r="BP286" s="202" t="s">
        <v>93</v>
      </c>
      <c r="BQ286" s="238" t="s">
        <v>93</v>
      </c>
      <c r="BR286" s="245"/>
    </row>
    <row r="287" spans="62:70" x14ac:dyDescent="0.2">
      <c r="BJ287" s="227"/>
      <c r="BK287" s="229" t="s">
        <v>621</v>
      </c>
      <c r="BL287" s="202">
        <v>1</v>
      </c>
      <c r="BM287" s="199" t="s">
        <v>605</v>
      </c>
      <c r="BN287" s="200"/>
      <c r="BO287" s="201" t="s">
        <v>93</v>
      </c>
      <c r="BP287" s="202" t="s">
        <v>93</v>
      </c>
      <c r="BQ287" s="238" t="s">
        <v>93</v>
      </c>
      <c r="BR287" s="245"/>
    </row>
    <row r="288" spans="62:70" x14ac:dyDescent="0.2">
      <c r="BJ288" s="227"/>
      <c r="BK288" s="229" t="s">
        <v>622</v>
      </c>
      <c r="BL288" s="202">
        <v>1</v>
      </c>
      <c r="BM288" s="199" t="s">
        <v>605</v>
      </c>
      <c r="BN288" s="200"/>
      <c r="BO288" s="201" t="s">
        <v>93</v>
      </c>
      <c r="BP288" s="202" t="s">
        <v>93</v>
      </c>
      <c r="BQ288" s="238" t="s">
        <v>93</v>
      </c>
      <c r="BR288" s="245"/>
    </row>
    <row r="289" spans="62:70" x14ac:dyDescent="0.2">
      <c r="BJ289" s="227"/>
      <c r="BK289" s="229" t="s">
        <v>623</v>
      </c>
      <c r="BL289" s="202">
        <v>1</v>
      </c>
      <c r="BM289" s="199" t="s">
        <v>605</v>
      </c>
      <c r="BN289" s="200"/>
      <c r="BO289" s="201" t="s">
        <v>93</v>
      </c>
      <c r="BP289" s="202" t="s">
        <v>93</v>
      </c>
      <c r="BQ289" s="238" t="s">
        <v>93</v>
      </c>
      <c r="BR289" s="245"/>
    </row>
    <row r="290" spans="62:70" x14ac:dyDescent="0.2">
      <c r="BJ290" s="227"/>
      <c r="BK290" s="229" t="s">
        <v>624</v>
      </c>
      <c r="BL290" s="202">
        <v>1</v>
      </c>
      <c r="BM290" s="199" t="s">
        <v>605</v>
      </c>
      <c r="BN290" s="200"/>
      <c r="BO290" s="201" t="s">
        <v>93</v>
      </c>
      <c r="BP290" s="202" t="s">
        <v>93</v>
      </c>
      <c r="BQ290" s="238" t="s">
        <v>93</v>
      </c>
      <c r="BR290" s="245"/>
    </row>
    <row r="291" spans="62:70" x14ac:dyDescent="0.2">
      <c r="BJ291" s="227"/>
      <c r="BK291" s="229" t="s">
        <v>625</v>
      </c>
      <c r="BL291" s="202">
        <v>1</v>
      </c>
      <c r="BM291" s="199" t="s">
        <v>605</v>
      </c>
      <c r="BN291" s="200"/>
      <c r="BO291" s="201" t="s">
        <v>93</v>
      </c>
      <c r="BP291" s="202" t="s">
        <v>93</v>
      </c>
      <c r="BQ291" s="238" t="s">
        <v>93</v>
      </c>
      <c r="BR291" s="245"/>
    </row>
    <row r="292" spans="62:70" x14ac:dyDescent="0.2">
      <c r="BJ292" s="227"/>
      <c r="BK292" s="229" t="s">
        <v>626</v>
      </c>
      <c r="BL292" s="202">
        <v>1</v>
      </c>
      <c r="BM292" s="199" t="s">
        <v>605</v>
      </c>
      <c r="BN292" s="200"/>
      <c r="BO292" s="201" t="s">
        <v>93</v>
      </c>
      <c r="BP292" s="202" t="s">
        <v>93</v>
      </c>
      <c r="BQ292" s="238" t="s">
        <v>93</v>
      </c>
      <c r="BR292" s="245"/>
    </row>
    <row r="293" spans="62:70" x14ac:dyDescent="0.2">
      <c r="BJ293" s="227"/>
      <c r="BK293" s="229" t="s">
        <v>627</v>
      </c>
      <c r="BL293" s="202">
        <v>1</v>
      </c>
      <c r="BM293" s="199" t="s">
        <v>605</v>
      </c>
      <c r="BN293" s="200"/>
      <c r="BO293" s="201" t="s">
        <v>93</v>
      </c>
      <c r="BP293" s="202" t="s">
        <v>93</v>
      </c>
      <c r="BQ293" s="238" t="s">
        <v>93</v>
      </c>
      <c r="BR293" s="245"/>
    </row>
    <row r="294" spans="62:70" x14ac:dyDescent="0.2">
      <c r="BJ294" s="227"/>
      <c r="BK294" s="229" t="s">
        <v>628</v>
      </c>
      <c r="BL294" s="202">
        <v>1</v>
      </c>
      <c r="BM294" s="199" t="s">
        <v>605</v>
      </c>
      <c r="BN294" s="200"/>
      <c r="BO294" s="201" t="s">
        <v>93</v>
      </c>
      <c r="BP294" s="202" t="s">
        <v>93</v>
      </c>
      <c r="BQ294" s="238" t="s">
        <v>93</v>
      </c>
      <c r="BR294" s="245"/>
    </row>
    <row r="295" spans="62:70" x14ac:dyDescent="0.2">
      <c r="BJ295" s="227"/>
      <c r="BK295" s="229" t="s">
        <v>629</v>
      </c>
      <c r="BL295" s="202">
        <v>1</v>
      </c>
      <c r="BM295" s="199" t="s">
        <v>605</v>
      </c>
      <c r="BN295" s="200"/>
      <c r="BO295" s="201" t="s">
        <v>93</v>
      </c>
      <c r="BP295" s="202" t="s">
        <v>93</v>
      </c>
      <c r="BQ295" s="238" t="s">
        <v>93</v>
      </c>
      <c r="BR295" s="245"/>
    </row>
    <row r="296" spans="62:70" x14ac:dyDescent="0.2">
      <c r="BJ296" s="227"/>
      <c r="BK296" s="229" t="s">
        <v>630</v>
      </c>
      <c r="BL296" s="202">
        <v>1</v>
      </c>
      <c r="BM296" s="199" t="s">
        <v>605</v>
      </c>
      <c r="BN296" s="200"/>
      <c r="BO296" s="201" t="s">
        <v>93</v>
      </c>
      <c r="BP296" s="202" t="s">
        <v>93</v>
      </c>
      <c r="BQ296" s="238" t="s">
        <v>93</v>
      </c>
      <c r="BR296" s="245"/>
    </row>
    <row r="297" spans="62:70" x14ac:dyDescent="0.2">
      <c r="BJ297" s="227"/>
      <c r="BK297" s="229" t="s">
        <v>631</v>
      </c>
      <c r="BL297" s="202">
        <v>1</v>
      </c>
      <c r="BM297" s="199" t="s">
        <v>605</v>
      </c>
      <c r="BN297" s="200"/>
      <c r="BO297" s="201" t="s">
        <v>93</v>
      </c>
      <c r="BP297" s="202" t="s">
        <v>93</v>
      </c>
      <c r="BQ297" s="238" t="s">
        <v>93</v>
      </c>
      <c r="BR297" s="245"/>
    </row>
    <row r="298" spans="62:70" x14ac:dyDescent="0.2">
      <c r="BJ298" s="227"/>
      <c r="BK298" s="229" t="s">
        <v>632</v>
      </c>
      <c r="BL298" s="202">
        <v>1</v>
      </c>
      <c r="BM298" s="199" t="s">
        <v>605</v>
      </c>
      <c r="BN298" s="200"/>
      <c r="BO298" s="201" t="s">
        <v>93</v>
      </c>
      <c r="BP298" s="202" t="s">
        <v>93</v>
      </c>
      <c r="BQ298" s="238" t="s">
        <v>93</v>
      </c>
      <c r="BR298" s="245"/>
    </row>
    <row r="299" spans="62:70" x14ac:dyDescent="0.2">
      <c r="BJ299" s="227"/>
      <c r="BK299" s="229" t="s">
        <v>633</v>
      </c>
      <c r="BL299" s="202">
        <v>1</v>
      </c>
      <c r="BM299" s="199" t="s">
        <v>605</v>
      </c>
      <c r="BN299" s="200"/>
      <c r="BO299" s="201" t="s">
        <v>93</v>
      </c>
      <c r="BP299" s="202" t="s">
        <v>93</v>
      </c>
      <c r="BQ299" s="238" t="s">
        <v>93</v>
      </c>
      <c r="BR299" s="245"/>
    </row>
    <row r="300" spans="62:70" x14ac:dyDescent="0.2">
      <c r="BJ300" s="227"/>
      <c r="BK300" s="229" t="s">
        <v>634</v>
      </c>
      <c r="BL300" s="202">
        <v>1</v>
      </c>
      <c r="BM300" s="199" t="s">
        <v>605</v>
      </c>
      <c r="BN300" s="200"/>
      <c r="BO300" s="201" t="s">
        <v>93</v>
      </c>
      <c r="BP300" s="202" t="s">
        <v>93</v>
      </c>
      <c r="BQ300" s="238" t="s">
        <v>93</v>
      </c>
      <c r="BR300" s="245"/>
    </row>
    <row r="301" spans="62:70" x14ac:dyDescent="0.2">
      <c r="BJ301" s="227"/>
      <c r="BK301" s="229" t="s">
        <v>635</v>
      </c>
      <c r="BL301" s="202">
        <v>1</v>
      </c>
      <c r="BM301" s="199" t="s">
        <v>605</v>
      </c>
      <c r="BN301" s="200"/>
      <c r="BO301" s="201" t="s">
        <v>93</v>
      </c>
      <c r="BP301" s="202" t="s">
        <v>93</v>
      </c>
      <c r="BQ301" s="238" t="s">
        <v>93</v>
      </c>
      <c r="BR301" s="245"/>
    </row>
    <row r="302" spans="62:70" x14ac:dyDescent="0.2">
      <c r="BJ302" s="227"/>
      <c r="BK302" s="229" t="s">
        <v>636</v>
      </c>
      <c r="BL302" s="202">
        <v>1</v>
      </c>
      <c r="BM302" s="199" t="s">
        <v>605</v>
      </c>
      <c r="BN302" s="200"/>
      <c r="BO302" s="201" t="s">
        <v>93</v>
      </c>
      <c r="BP302" s="202" t="s">
        <v>93</v>
      </c>
      <c r="BQ302" s="238" t="s">
        <v>93</v>
      </c>
      <c r="BR302" s="245"/>
    </row>
    <row r="303" spans="62:70" x14ac:dyDescent="0.2">
      <c r="BJ303" s="227"/>
      <c r="BK303" s="229" t="s">
        <v>637</v>
      </c>
      <c r="BL303" s="202">
        <v>1</v>
      </c>
      <c r="BM303" s="199" t="s">
        <v>605</v>
      </c>
      <c r="BN303" s="200"/>
      <c r="BO303" s="201" t="s">
        <v>93</v>
      </c>
      <c r="BP303" s="202" t="s">
        <v>93</v>
      </c>
      <c r="BQ303" s="238" t="s">
        <v>93</v>
      </c>
      <c r="BR303" s="245"/>
    </row>
    <row r="304" spans="62:70" x14ac:dyDescent="0.2">
      <c r="BJ304" s="227"/>
      <c r="BK304" s="229" t="s">
        <v>638</v>
      </c>
      <c r="BL304" s="202">
        <v>1</v>
      </c>
      <c r="BM304" s="199" t="s">
        <v>605</v>
      </c>
      <c r="BN304" s="200"/>
      <c r="BO304" s="201" t="s">
        <v>93</v>
      </c>
      <c r="BP304" s="202" t="s">
        <v>93</v>
      </c>
      <c r="BQ304" s="238" t="s">
        <v>93</v>
      </c>
      <c r="BR304" s="245"/>
    </row>
    <row r="305" spans="62:70" x14ac:dyDescent="0.2">
      <c r="BJ305" s="227"/>
      <c r="BK305" s="229" t="s">
        <v>639</v>
      </c>
      <c r="BL305" s="202">
        <v>1</v>
      </c>
      <c r="BM305" s="199" t="s">
        <v>605</v>
      </c>
      <c r="BN305" s="200"/>
      <c r="BO305" s="201" t="s">
        <v>93</v>
      </c>
      <c r="BP305" s="202" t="s">
        <v>93</v>
      </c>
      <c r="BQ305" s="238" t="s">
        <v>93</v>
      </c>
      <c r="BR305" s="245"/>
    </row>
    <row r="306" spans="62:70" x14ac:dyDescent="0.2">
      <c r="BJ306" s="227"/>
      <c r="BK306" s="229" t="s">
        <v>640</v>
      </c>
      <c r="BL306" s="202">
        <v>1</v>
      </c>
      <c r="BM306" s="199" t="s">
        <v>605</v>
      </c>
      <c r="BN306" s="200"/>
      <c r="BO306" s="201" t="s">
        <v>93</v>
      </c>
      <c r="BP306" s="202" t="s">
        <v>93</v>
      </c>
      <c r="BQ306" s="238" t="s">
        <v>93</v>
      </c>
      <c r="BR306" s="245"/>
    </row>
    <row r="307" spans="62:70" x14ac:dyDescent="0.2">
      <c r="BJ307" s="227"/>
      <c r="BK307" s="229" t="s">
        <v>641</v>
      </c>
      <c r="BL307" s="202">
        <v>1</v>
      </c>
      <c r="BM307" s="199" t="s">
        <v>605</v>
      </c>
      <c r="BN307" s="200"/>
      <c r="BO307" s="201" t="s">
        <v>93</v>
      </c>
      <c r="BP307" s="202" t="s">
        <v>93</v>
      </c>
      <c r="BQ307" s="238" t="s">
        <v>93</v>
      </c>
      <c r="BR307" s="245"/>
    </row>
    <row r="308" spans="62:70" x14ac:dyDescent="0.2">
      <c r="BJ308" s="227"/>
      <c r="BK308" s="229" t="s">
        <v>642</v>
      </c>
      <c r="BL308" s="202">
        <v>1</v>
      </c>
      <c r="BM308" s="199" t="s">
        <v>605</v>
      </c>
      <c r="BN308" s="200"/>
      <c r="BO308" s="201" t="s">
        <v>93</v>
      </c>
      <c r="BP308" s="202" t="s">
        <v>93</v>
      </c>
      <c r="BQ308" s="238" t="s">
        <v>93</v>
      </c>
      <c r="BR308" s="245"/>
    </row>
    <row r="309" spans="62:70" x14ac:dyDescent="0.2">
      <c r="BJ309" s="227"/>
      <c r="BK309" s="229" t="s">
        <v>643</v>
      </c>
      <c r="BL309" s="202">
        <v>1</v>
      </c>
      <c r="BM309" s="199" t="s">
        <v>605</v>
      </c>
      <c r="BN309" s="200"/>
      <c r="BO309" s="201" t="s">
        <v>93</v>
      </c>
      <c r="BP309" s="202" t="s">
        <v>93</v>
      </c>
      <c r="BQ309" s="238" t="s">
        <v>93</v>
      </c>
      <c r="BR309" s="245"/>
    </row>
    <row r="310" spans="62:70" x14ac:dyDescent="0.2">
      <c r="BJ310" s="227"/>
      <c r="BK310" s="229" t="s">
        <v>644</v>
      </c>
      <c r="BL310" s="202">
        <v>1</v>
      </c>
      <c r="BM310" s="199" t="s">
        <v>605</v>
      </c>
      <c r="BN310" s="200"/>
      <c r="BO310" s="201" t="s">
        <v>93</v>
      </c>
      <c r="BP310" s="202" t="s">
        <v>93</v>
      </c>
      <c r="BQ310" s="238" t="s">
        <v>93</v>
      </c>
      <c r="BR310" s="245"/>
    </row>
    <row r="311" spans="62:70" x14ac:dyDescent="0.2">
      <c r="BJ311" s="227"/>
      <c r="BK311" s="229" t="s">
        <v>645</v>
      </c>
      <c r="BL311" s="202">
        <v>1</v>
      </c>
      <c r="BM311" s="199" t="s">
        <v>605</v>
      </c>
      <c r="BN311" s="200"/>
      <c r="BO311" s="201" t="s">
        <v>93</v>
      </c>
      <c r="BP311" s="202" t="s">
        <v>93</v>
      </c>
      <c r="BQ311" s="238" t="s">
        <v>93</v>
      </c>
      <c r="BR311" s="245"/>
    </row>
    <row r="312" spans="62:70" x14ac:dyDescent="0.2">
      <c r="BJ312" s="227"/>
      <c r="BK312" s="229" t="s">
        <v>646</v>
      </c>
      <c r="BL312" s="202">
        <v>1</v>
      </c>
      <c r="BM312" s="199" t="s">
        <v>605</v>
      </c>
      <c r="BN312" s="200"/>
      <c r="BO312" s="201" t="s">
        <v>93</v>
      </c>
      <c r="BP312" s="202" t="s">
        <v>93</v>
      </c>
      <c r="BQ312" s="238" t="s">
        <v>93</v>
      </c>
      <c r="BR312" s="245"/>
    </row>
    <row r="313" spans="62:70" x14ac:dyDescent="0.2">
      <c r="BJ313" s="227"/>
      <c r="BK313" s="229" t="s">
        <v>647</v>
      </c>
      <c r="BL313" s="202">
        <v>1</v>
      </c>
      <c r="BM313" s="199" t="s">
        <v>605</v>
      </c>
      <c r="BN313" s="200"/>
      <c r="BO313" s="201" t="s">
        <v>93</v>
      </c>
      <c r="BP313" s="202" t="s">
        <v>93</v>
      </c>
      <c r="BQ313" s="238" t="s">
        <v>93</v>
      </c>
      <c r="BR313" s="245"/>
    </row>
    <row r="314" spans="62:70" x14ac:dyDescent="0.2">
      <c r="BJ314" s="227"/>
      <c r="BK314" s="229" t="s">
        <v>648</v>
      </c>
      <c r="BL314" s="202">
        <v>1</v>
      </c>
      <c r="BM314" s="199" t="s">
        <v>605</v>
      </c>
      <c r="BN314" s="200"/>
      <c r="BO314" s="201" t="s">
        <v>93</v>
      </c>
      <c r="BP314" s="202" t="s">
        <v>93</v>
      </c>
      <c r="BQ314" s="238" t="s">
        <v>93</v>
      </c>
      <c r="BR314" s="245"/>
    </row>
    <row r="315" spans="62:70" x14ac:dyDescent="0.2">
      <c r="BJ315" s="227"/>
      <c r="BK315" s="229" t="s">
        <v>649</v>
      </c>
      <c r="BL315" s="202">
        <v>1</v>
      </c>
      <c r="BM315" s="199" t="s">
        <v>605</v>
      </c>
      <c r="BN315" s="200"/>
      <c r="BO315" s="201" t="s">
        <v>93</v>
      </c>
      <c r="BP315" s="202" t="s">
        <v>93</v>
      </c>
      <c r="BQ315" s="238" t="s">
        <v>93</v>
      </c>
      <c r="BR315" s="245"/>
    </row>
    <row r="316" spans="62:70" x14ac:dyDescent="0.2">
      <c r="BJ316" s="227"/>
      <c r="BK316" s="229" t="s">
        <v>650</v>
      </c>
      <c r="BL316" s="202">
        <v>1</v>
      </c>
      <c r="BM316" s="199" t="s">
        <v>605</v>
      </c>
      <c r="BN316" s="200"/>
      <c r="BO316" s="201" t="s">
        <v>93</v>
      </c>
      <c r="BP316" s="202" t="s">
        <v>93</v>
      </c>
      <c r="BQ316" s="238" t="s">
        <v>93</v>
      </c>
      <c r="BR316" s="245"/>
    </row>
    <row r="317" spans="62:70" x14ac:dyDescent="0.2">
      <c r="BJ317" s="227"/>
      <c r="BK317" s="229" t="s">
        <v>651</v>
      </c>
      <c r="BL317" s="202">
        <v>1</v>
      </c>
      <c r="BM317" s="199" t="s">
        <v>605</v>
      </c>
      <c r="BN317" s="200"/>
      <c r="BO317" s="201" t="s">
        <v>93</v>
      </c>
      <c r="BP317" s="202" t="s">
        <v>93</v>
      </c>
      <c r="BQ317" s="238" t="s">
        <v>93</v>
      </c>
      <c r="BR317" s="245"/>
    </row>
    <row r="318" spans="62:70" x14ac:dyDescent="0.2">
      <c r="BJ318" s="227"/>
      <c r="BK318" s="229" t="s">
        <v>652</v>
      </c>
      <c r="BL318" s="202">
        <v>1</v>
      </c>
      <c r="BM318" s="199" t="s">
        <v>653</v>
      </c>
      <c r="BN318" s="200"/>
      <c r="BO318" s="201" t="s">
        <v>93</v>
      </c>
      <c r="BP318" s="202" t="s">
        <v>93</v>
      </c>
      <c r="BQ318" s="238" t="s">
        <v>93</v>
      </c>
      <c r="BR318" s="245"/>
    </row>
    <row r="319" spans="62:70" x14ac:dyDescent="0.2">
      <c r="BJ319" s="227"/>
      <c r="BK319" s="229" t="s">
        <v>654</v>
      </c>
      <c r="BL319" s="202">
        <v>1</v>
      </c>
      <c r="BM319" s="199" t="s">
        <v>653</v>
      </c>
      <c r="BN319" s="200"/>
      <c r="BO319" s="201" t="s">
        <v>93</v>
      </c>
      <c r="BP319" s="202" t="s">
        <v>93</v>
      </c>
      <c r="BQ319" s="238" t="s">
        <v>93</v>
      </c>
      <c r="BR319" s="245"/>
    </row>
    <row r="320" spans="62:70" x14ac:dyDescent="0.2">
      <c r="BJ320" s="227"/>
      <c r="BK320" s="229" t="s">
        <v>655</v>
      </c>
      <c r="BL320" s="202">
        <v>1</v>
      </c>
      <c r="BM320" s="199" t="s">
        <v>653</v>
      </c>
      <c r="BN320" s="200"/>
      <c r="BO320" s="201" t="s">
        <v>93</v>
      </c>
      <c r="BP320" s="202" t="s">
        <v>93</v>
      </c>
      <c r="BQ320" s="238" t="s">
        <v>93</v>
      </c>
      <c r="BR320" s="245"/>
    </row>
    <row r="321" spans="62:70" x14ac:dyDescent="0.2">
      <c r="BJ321" s="227"/>
      <c r="BK321" s="229" t="s">
        <v>656</v>
      </c>
      <c r="BL321" s="202">
        <v>1</v>
      </c>
      <c r="BM321" s="199" t="s">
        <v>653</v>
      </c>
      <c r="BN321" s="200"/>
      <c r="BO321" s="201" t="s">
        <v>93</v>
      </c>
      <c r="BP321" s="202" t="s">
        <v>93</v>
      </c>
      <c r="BQ321" s="238" t="s">
        <v>93</v>
      </c>
      <c r="BR321" s="245"/>
    </row>
    <row r="322" spans="62:70" x14ac:dyDescent="0.2">
      <c r="BJ322" s="227"/>
      <c r="BK322" s="229" t="s">
        <v>657</v>
      </c>
      <c r="BL322" s="202">
        <v>1</v>
      </c>
      <c r="BM322" s="199" t="s">
        <v>653</v>
      </c>
      <c r="BN322" s="200"/>
      <c r="BO322" s="201" t="s">
        <v>93</v>
      </c>
      <c r="BP322" s="202" t="s">
        <v>93</v>
      </c>
      <c r="BQ322" s="238" t="s">
        <v>93</v>
      </c>
      <c r="BR322" s="245"/>
    </row>
    <row r="323" spans="62:70" x14ac:dyDescent="0.2">
      <c r="BJ323" s="227"/>
      <c r="BK323" s="229" t="s">
        <v>658</v>
      </c>
      <c r="BL323" s="202">
        <v>1</v>
      </c>
      <c r="BM323" s="199" t="s">
        <v>653</v>
      </c>
      <c r="BN323" s="200"/>
      <c r="BO323" s="201" t="s">
        <v>93</v>
      </c>
      <c r="BP323" s="202" t="s">
        <v>93</v>
      </c>
      <c r="BQ323" s="238" t="s">
        <v>93</v>
      </c>
      <c r="BR323" s="245"/>
    </row>
    <row r="324" spans="62:70" x14ac:dyDescent="0.2">
      <c r="BJ324" s="227"/>
      <c r="BK324" s="229" t="s">
        <v>659</v>
      </c>
      <c r="BL324" s="202">
        <v>1</v>
      </c>
      <c r="BM324" s="199" t="s">
        <v>653</v>
      </c>
      <c r="BN324" s="200"/>
      <c r="BO324" s="201" t="s">
        <v>93</v>
      </c>
      <c r="BP324" s="202" t="s">
        <v>93</v>
      </c>
      <c r="BQ324" s="238" t="s">
        <v>93</v>
      </c>
      <c r="BR324" s="245"/>
    </row>
    <row r="325" spans="62:70" x14ac:dyDescent="0.2">
      <c r="BJ325" s="227"/>
      <c r="BK325" s="229" t="s">
        <v>660</v>
      </c>
      <c r="BL325" s="202">
        <v>1</v>
      </c>
      <c r="BM325" s="199" t="s">
        <v>653</v>
      </c>
      <c r="BN325" s="200"/>
      <c r="BO325" s="201" t="s">
        <v>93</v>
      </c>
      <c r="BP325" s="202" t="s">
        <v>93</v>
      </c>
      <c r="BQ325" s="238" t="s">
        <v>93</v>
      </c>
      <c r="BR325" s="245"/>
    </row>
    <row r="326" spans="62:70" x14ac:dyDescent="0.2">
      <c r="BJ326" s="227"/>
      <c r="BK326" s="229" t="s">
        <v>661</v>
      </c>
      <c r="BL326" s="202">
        <v>1</v>
      </c>
      <c r="BM326" s="199" t="s">
        <v>653</v>
      </c>
      <c r="BN326" s="200"/>
      <c r="BO326" s="201" t="s">
        <v>93</v>
      </c>
      <c r="BP326" s="202" t="s">
        <v>93</v>
      </c>
      <c r="BQ326" s="238" t="s">
        <v>93</v>
      </c>
      <c r="BR326" s="245"/>
    </row>
    <row r="327" spans="62:70" x14ac:dyDescent="0.2">
      <c r="BJ327" s="227"/>
      <c r="BK327" s="229" t="s">
        <v>662</v>
      </c>
      <c r="BL327" s="202">
        <v>1</v>
      </c>
      <c r="BM327" s="199" t="s">
        <v>653</v>
      </c>
      <c r="BN327" s="200"/>
      <c r="BO327" s="201" t="s">
        <v>93</v>
      </c>
      <c r="BP327" s="202" t="s">
        <v>93</v>
      </c>
      <c r="BQ327" s="238" t="s">
        <v>93</v>
      </c>
      <c r="BR327" s="245"/>
    </row>
    <row r="328" spans="62:70" x14ac:dyDescent="0.2">
      <c r="BJ328" s="227"/>
      <c r="BK328" s="229" t="s">
        <v>663</v>
      </c>
      <c r="BL328" s="202">
        <v>1</v>
      </c>
      <c r="BM328" s="199" t="s">
        <v>653</v>
      </c>
      <c r="BN328" s="200"/>
      <c r="BO328" s="201" t="s">
        <v>93</v>
      </c>
      <c r="BP328" s="202" t="s">
        <v>93</v>
      </c>
      <c r="BQ328" s="238" t="s">
        <v>93</v>
      </c>
      <c r="BR328" s="245"/>
    </row>
    <row r="329" spans="62:70" x14ac:dyDescent="0.2">
      <c r="BJ329" s="227"/>
      <c r="BK329" s="229" t="s">
        <v>664</v>
      </c>
      <c r="BL329" s="202">
        <v>1</v>
      </c>
      <c r="BM329" s="199" t="s">
        <v>653</v>
      </c>
      <c r="BN329" s="200"/>
      <c r="BO329" s="201" t="s">
        <v>93</v>
      </c>
      <c r="BP329" s="202" t="s">
        <v>93</v>
      </c>
      <c r="BQ329" s="238" t="s">
        <v>93</v>
      </c>
      <c r="BR329" s="245"/>
    </row>
    <row r="330" spans="62:70" x14ac:dyDescent="0.2">
      <c r="BJ330" s="227"/>
      <c r="BK330" s="229" t="s">
        <v>665</v>
      </c>
      <c r="BL330" s="202">
        <v>1</v>
      </c>
      <c r="BM330" s="199" t="s">
        <v>653</v>
      </c>
      <c r="BN330" s="200"/>
      <c r="BO330" s="201" t="s">
        <v>93</v>
      </c>
      <c r="BP330" s="202" t="s">
        <v>93</v>
      </c>
      <c r="BQ330" s="238" t="s">
        <v>93</v>
      </c>
      <c r="BR330" s="245"/>
    </row>
    <row r="331" spans="62:70" x14ac:dyDescent="0.2">
      <c r="BJ331" s="227"/>
      <c r="BK331" s="229" t="s">
        <v>666</v>
      </c>
      <c r="BL331" s="202">
        <v>1</v>
      </c>
      <c r="BM331" s="199" t="s">
        <v>653</v>
      </c>
      <c r="BN331" s="200"/>
      <c r="BO331" s="201" t="s">
        <v>93</v>
      </c>
      <c r="BP331" s="202" t="s">
        <v>93</v>
      </c>
      <c r="BQ331" s="236" t="s">
        <v>93</v>
      </c>
      <c r="BR331" s="245"/>
    </row>
    <row r="332" spans="62:70" x14ac:dyDescent="0.2">
      <c r="BJ332" s="227"/>
      <c r="BK332" s="229" t="s">
        <v>667</v>
      </c>
      <c r="BL332" s="202">
        <v>1</v>
      </c>
      <c r="BM332" s="199" t="s">
        <v>653</v>
      </c>
      <c r="BN332" s="200"/>
      <c r="BO332" s="201" t="s">
        <v>93</v>
      </c>
      <c r="BP332" s="202" t="s">
        <v>93</v>
      </c>
      <c r="BQ332" s="236" t="s">
        <v>93</v>
      </c>
      <c r="BR332" s="245"/>
    </row>
    <row r="333" spans="62:70" x14ac:dyDescent="0.2">
      <c r="BJ333" s="227"/>
      <c r="BK333" s="229" t="s">
        <v>668</v>
      </c>
      <c r="BL333" s="202">
        <v>1</v>
      </c>
      <c r="BM333" s="199" t="s">
        <v>653</v>
      </c>
      <c r="BN333" s="200"/>
      <c r="BO333" s="201" t="s">
        <v>93</v>
      </c>
      <c r="BP333" s="202" t="s">
        <v>93</v>
      </c>
      <c r="BQ333" s="238" t="s">
        <v>93</v>
      </c>
      <c r="BR333" s="245"/>
    </row>
    <row r="334" spans="62:70" x14ac:dyDescent="0.2">
      <c r="BJ334" s="227"/>
      <c r="BK334" s="229" t="s">
        <v>669</v>
      </c>
      <c r="BL334" s="202">
        <v>1</v>
      </c>
      <c r="BM334" s="199" t="s">
        <v>653</v>
      </c>
      <c r="BN334" s="200"/>
      <c r="BO334" s="201" t="s">
        <v>93</v>
      </c>
      <c r="BP334" s="202" t="s">
        <v>93</v>
      </c>
      <c r="BQ334" s="236" t="s">
        <v>93</v>
      </c>
      <c r="BR334" s="245"/>
    </row>
    <row r="335" spans="62:70" x14ac:dyDescent="0.2">
      <c r="BJ335" s="227"/>
      <c r="BK335" s="229" t="s">
        <v>670</v>
      </c>
      <c r="BL335" s="202">
        <v>1</v>
      </c>
      <c r="BM335" s="199" t="s">
        <v>653</v>
      </c>
      <c r="BN335" s="200"/>
      <c r="BO335" s="201" t="s">
        <v>93</v>
      </c>
      <c r="BP335" s="202" t="s">
        <v>93</v>
      </c>
      <c r="BQ335" s="236" t="s">
        <v>93</v>
      </c>
      <c r="BR335" s="245"/>
    </row>
    <row r="336" spans="62:70" x14ac:dyDescent="0.2">
      <c r="BJ336" s="227"/>
      <c r="BK336" s="229" t="s">
        <v>671</v>
      </c>
      <c r="BL336" s="202">
        <v>1</v>
      </c>
      <c r="BM336" s="199" t="s">
        <v>653</v>
      </c>
      <c r="BN336" s="200"/>
      <c r="BO336" s="201" t="s">
        <v>93</v>
      </c>
      <c r="BP336" s="202" t="s">
        <v>93</v>
      </c>
      <c r="BQ336" s="238" t="s">
        <v>93</v>
      </c>
      <c r="BR336" s="245"/>
    </row>
    <row r="337" spans="62:70" x14ac:dyDescent="0.2">
      <c r="BJ337" s="227"/>
      <c r="BK337" s="229" t="s">
        <v>672</v>
      </c>
      <c r="BL337" s="202">
        <v>1</v>
      </c>
      <c r="BM337" s="199" t="s">
        <v>653</v>
      </c>
      <c r="BN337" s="200"/>
      <c r="BO337" s="201" t="s">
        <v>93</v>
      </c>
      <c r="BP337" s="202" t="s">
        <v>93</v>
      </c>
      <c r="BQ337" s="236" t="s">
        <v>93</v>
      </c>
      <c r="BR337" s="245"/>
    </row>
    <row r="338" spans="62:70" x14ac:dyDescent="0.2">
      <c r="BJ338" s="227"/>
      <c r="BK338" s="229" t="s">
        <v>673</v>
      </c>
      <c r="BL338" s="202">
        <v>1</v>
      </c>
      <c r="BM338" s="199" t="s">
        <v>674</v>
      </c>
      <c r="BN338" s="200"/>
      <c r="BO338" s="201" t="s">
        <v>93</v>
      </c>
      <c r="BP338" s="202" t="s">
        <v>93</v>
      </c>
      <c r="BQ338" s="238" t="s">
        <v>93</v>
      </c>
      <c r="BR338" s="245"/>
    </row>
    <row r="339" spans="62:70" x14ac:dyDescent="0.2">
      <c r="BJ339" s="227"/>
      <c r="BK339" s="229" t="s">
        <v>675</v>
      </c>
      <c r="BL339" s="202">
        <v>1</v>
      </c>
      <c r="BM339" s="199" t="s">
        <v>674</v>
      </c>
      <c r="BN339" s="200"/>
      <c r="BO339" s="201" t="s">
        <v>93</v>
      </c>
      <c r="BP339" s="202" t="s">
        <v>93</v>
      </c>
      <c r="BQ339" s="236" t="s">
        <v>93</v>
      </c>
      <c r="BR339" s="245"/>
    </row>
    <row r="340" spans="62:70" x14ac:dyDescent="0.2">
      <c r="BJ340" s="227"/>
      <c r="BK340" s="229" t="s">
        <v>676</v>
      </c>
      <c r="BL340" s="202">
        <v>1</v>
      </c>
      <c r="BM340" s="199" t="s">
        <v>674</v>
      </c>
      <c r="BN340" s="200"/>
      <c r="BO340" s="201" t="s">
        <v>93</v>
      </c>
      <c r="BP340" s="202" t="s">
        <v>93</v>
      </c>
      <c r="BQ340" s="238" t="s">
        <v>93</v>
      </c>
      <c r="BR340" s="245"/>
    </row>
    <row r="341" spans="62:70" x14ac:dyDescent="0.2">
      <c r="BJ341" s="227"/>
      <c r="BK341" s="229" t="s">
        <v>677</v>
      </c>
      <c r="BL341" s="202">
        <v>1</v>
      </c>
      <c r="BM341" s="199" t="s">
        <v>674</v>
      </c>
      <c r="BN341" s="200"/>
      <c r="BO341" s="201" t="s">
        <v>93</v>
      </c>
      <c r="BP341" s="202" t="s">
        <v>93</v>
      </c>
      <c r="BQ341" s="236" t="s">
        <v>93</v>
      </c>
      <c r="BR341" s="245"/>
    </row>
    <row r="342" spans="62:70" x14ac:dyDescent="0.2">
      <c r="BJ342" s="227"/>
      <c r="BK342" s="229" t="s">
        <v>678</v>
      </c>
      <c r="BL342" s="202">
        <v>1</v>
      </c>
      <c r="BM342" s="199" t="s">
        <v>674</v>
      </c>
      <c r="BN342" s="200"/>
      <c r="BO342" s="201" t="s">
        <v>93</v>
      </c>
      <c r="BP342" s="202" t="s">
        <v>93</v>
      </c>
      <c r="BQ342" s="238" t="s">
        <v>93</v>
      </c>
      <c r="BR342" s="245"/>
    </row>
    <row r="343" spans="62:70" x14ac:dyDescent="0.2">
      <c r="BJ343" s="227"/>
      <c r="BK343" s="229" t="s">
        <v>679</v>
      </c>
      <c r="BL343" s="202">
        <v>1</v>
      </c>
      <c r="BM343" s="199" t="s">
        <v>674</v>
      </c>
      <c r="BN343" s="200"/>
      <c r="BO343" s="201" t="s">
        <v>93</v>
      </c>
      <c r="BP343" s="202" t="s">
        <v>93</v>
      </c>
      <c r="BQ343" s="238" t="s">
        <v>93</v>
      </c>
      <c r="BR343" s="245"/>
    </row>
    <row r="344" spans="62:70" x14ac:dyDescent="0.2">
      <c r="BJ344" s="227"/>
      <c r="BK344" s="229" t="s">
        <v>680</v>
      </c>
      <c r="BL344" s="202">
        <v>1</v>
      </c>
      <c r="BM344" s="199" t="s">
        <v>674</v>
      </c>
      <c r="BN344" s="200"/>
      <c r="BO344" s="201" t="s">
        <v>93</v>
      </c>
      <c r="BP344" s="202" t="s">
        <v>93</v>
      </c>
      <c r="BQ344" s="238" t="s">
        <v>93</v>
      </c>
      <c r="BR344" s="245"/>
    </row>
    <row r="345" spans="62:70" x14ac:dyDescent="0.2">
      <c r="BJ345" s="227"/>
      <c r="BK345" s="229" t="s">
        <v>681</v>
      </c>
      <c r="BL345" s="202">
        <v>1</v>
      </c>
      <c r="BM345" s="199" t="s">
        <v>674</v>
      </c>
      <c r="BN345" s="200"/>
      <c r="BO345" s="201" t="s">
        <v>93</v>
      </c>
      <c r="BP345" s="202" t="s">
        <v>93</v>
      </c>
      <c r="BQ345" s="238" t="s">
        <v>93</v>
      </c>
      <c r="BR345" s="245"/>
    </row>
    <row r="346" spans="62:70" x14ac:dyDescent="0.2">
      <c r="BJ346" s="227"/>
      <c r="BK346" s="229" t="s">
        <v>682</v>
      </c>
      <c r="BL346" s="202">
        <v>1</v>
      </c>
      <c r="BM346" s="199" t="s">
        <v>674</v>
      </c>
      <c r="BN346" s="200"/>
      <c r="BO346" s="201" t="s">
        <v>93</v>
      </c>
      <c r="BP346" s="202" t="s">
        <v>93</v>
      </c>
      <c r="BQ346" s="238" t="s">
        <v>93</v>
      </c>
      <c r="BR346" s="245"/>
    </row>
    <row r="347" spans="62:70" x14ac:dyDescent="0.2">
      <c r="BJ347" s="227"/>
      <c r="BK347" s="229" t="s">
        <v>683</v>
      </c>
      <c r="BL347" s="202">
        <v>1</v>
      </c>
      <c r="BM347" s="199" t="s">
        <v>674</v>
      </c>
      <c r="BN347" s="200"/>
      <c r="BO347" s="201" t="s">
        <v>93</v>
      </c>
      <c r="BP347" s="202" t="s">
        <v>93</v>
      </c>
      <c r="BQ347" s="236" t="s">
        <v>93</v>
      </c>
      <c r="BR347" s="245"/>
    </row>
    <row r="348" spans="62:70" x14ac:dyDescent="0.2">
      <c r="BJ348" s="227"/>
      <c r="BK348" s="229" t="s">
        <v>684</v>
      </c>
      <c r="BL348" s="202">
        <v>1</v>
      </c>
      <c r="BM348" s="199" t="s">
        <v>674</v>
      </c>
      <c r="BN348" s="200"/>
      <c r="BO348" s="201" t="s">
        <v>93</v>
      </c>
      <c r="BP348" s="202" t="s">
        <v>93</v>
      </c>
      <c r="BQ348" s="238" t="s">
        <v>93</v>
      </c>
      <c r="BR348" s="245"/>
    </row>
    <row r="349" spans="62:70" x14ac:dyDescent="0.2">
      <c r="BJ349" s="227"/>
      <c r="BK349" s="229" t="s">
        <v>685</v>
      </c>
      <c r="BL349" s="202">
        <v>1</v>
      </c>
      <c r="BM349" s="199" t="s">
        <v>674</v>
      </c>
      <c r="BN349" s="200"/>
      <c r="BO349" s="201" t="s">
        <v>93</v>
      </c>
      <c r="BP349" s="202" t="s">
        <v>93</v>
      </c>
      <c r="BQ349" s="238" t="s">
        <v>93</v>
      </c>
      <c r="BR349" s="245"/>
    </row>
    <row r="350" spans="62:70" x14ac:dyDescent="0.2">
      <c r="BJ350" s="227"/>
      <c r="BK350" s="229" t="s">
        <v>686</v>
      </c>
      <c r="BL350" s="202">
        <v>1</v>
      </c>
      <c r="BM350" s="199" t="s">
        <v>674</v>
      </c>
      <c r="BN350" s="200"/>
      <c r="BO350" s="201" t="s">
        <v>93</v>
      </c>
      <c r="BP350" s="202" t="s">
        <v>93</v>
      </c>
      <c r="BQ350" s="238" t="s">
        <v>93</v>
      </c>
      <c r="BR350" s="245"/>
    </row>
    <row r="351" spans="62:70" x14ac:dyDescent="0.2">
      <c r="BJ351" s="227"/>
      <c r="BK351" s="229" t="s">
        <v>687</v>
      </c>
      <c r="BL351" s="202">
        <v>1</v>
      </c>
      <c r="BM351" s="199" t="s">
        <v>674</v>
      </c>
      <c r="BN351" s="200"/>
      <c r="BO351" s="201" t="s">
        <v>93</v>
      </c>
      <c r="BP351" s="202" t="s">
        <v>93</v>
      </c>
      <c r="BQ351" s="238" t="s">
        <v>93</v>
      </c>
      <c r="BR351" s="245"/>
    </row>
    <row r="352" spans="62:70" x14ac:dyDescent="0.2">
      <c r="BJ352" s="227"/>
      <c r="BK352" s="229" t="s">
        <v>688</v>
      </c>
      <c r="BL352" s="202">
        <v>1</v>
      </c>
      <c r="BM352" s="199" t="s">
        <v>674</v>
      </c>
      <c r="BN352" s="200"/>
      <c r="BO352" s="201" t="s">
        <v>93</v>
      </c>
      <c r="BP352" s="202" t="s">
        <v>93</v>
      </c>
      <c r="BQ352" s="238" t="s">
        <v>93</v>
      </c>
      <c r="BR352" s="245"/>
    </row>
    <row r="353" spans="62:70" x14ac:dyDescent="0.2">
      <c r="BJ353" s="227"/>
      <c r="BK353" s="229" t="s">
        <v>689</v>
      </c>
      <c r="BL353" s="202">
        <v>1</v>
      </c>
      <c r="BM353" s="199" t="s">
        <v>674</v>
      </c>
      <c r="BN353" s="200"/>
      <c r="BO353" s="201" t="s">
        <v>93</v>
      </c>
      <c r="BP353" s="202" t="s">
        <v>93</v>
      </c>
      <c r="BQ353" s="238" t="s">
        <v>93</v>
      </c>
      <c r="BR353" s="245"/>
    </row>
    <row r="354" spans="62:70" x14ac:dyDescent="0.2">
      <c r="BJ354" s="227"/>
      <c r="BK354" s="229" t="s">
        <v>690</v>
      </c>
      <c r="BL354" s="202">
        <v>1</v>
      </c>
      <c r="BM354" s="199" t="s">
        <v>674</v>
      </c>
      <c r="BN354" s="200"/>
      <c r="BO354" s="201" t="s">
        <v>93</v>
      </c>
      <c r="BP354" s="202" t="s">
        <v>93</v>
      </c>
      <c r="BQ354" s="238" t="s">
        <v>93</v>
      </c>
      <c r="BR354" s="245"/>
    </row>
    <row r="355" spans="62:70" x14ac:dyDescent="0.2">
      <c r="BJ355" s="227"/>
      <c r="BK355" s="229" t="s">
        <v>691</v>
      </c>
      <c r="BL355" s="202">
        <v>1</v>
      </c>
      <c r="BM355" s="199" t="s">
        <v>674</v>
      </c>
      <c r="BN355" s="200"/>
      <c r="BO355" s="201" t="s">
        <v>93</v>
      </c>
      <c r="BP355" s="202" t="s">
        <v>93</v>
      </c>
      <c r="BQ355" s="238" t="s">
        <v>93</v>
      </c>
      <c r="BR355" s="245"/>
    </row>
    <row r="356" spans="62:70" x14ac:dyDescent="0.2">
      <c r="BJ356" s="227"/>
      <c r="BK356" s="229" t="s">
        <v>692</v>
      </c>
      <c r="BL356" s="202">
        <v>1</v>
      </c>
      <c r="BM356" s="199" t="s">
        <v>674</v>
      </c>
      <c r="BN356" s="200"/>
      <c r="BO356" s="201" t="s">
        <v>93</v>
      </c>
      <c r="BP356" s="202" t="s">
        <v>93</v>
      </c>
      <c r="BQ356" s="238" t="s">
        <v>93</v>
      </c>
      <c r="BR356" s="245"/>
    </row>
    <row r="357" spans="62:70" x14ac:dyDescent="0.2">
      <c r="BJ357" s="227"/>
      <c r="BK357" s="229" t="s">
        <v>693</v>
      </c>
      <c r="BL357" s="202">
        <v>1</v>
      </c>
      <c r="BM357" s="199" t="s">
        <v>674</v>
      </c>
      <c r="BN357" s="200"/>
      <c r="BO357" s="201" t="s">
        <v>93</v>
      </c>
      <c r="BP357" s="202" t="s">
        <v>93</v>
      </c>
      <c r="BQ357" s="238" t="s">
        <v>93</v>
      </c>
      <c r="BR357" s="245"/>
    </row>
    <row r="358" spans="62:70" x14ac:dyDescent="0.2">
      <c r="BJ358" s="227"/>
      <c r="BK358" s="229" t="s">
        <v>694</v>
      </c>
      <c r="BL358" s="202">
        <v>1</v>
      </c>
      <c r="BM358" s="199" t="s">
        <v>695</v>
      </c>
      <c r="BN358" s="200"/>
      <c r="BO358" s="201" t="s">
        <v>93</v>
      </c>
      <c r="BP358" s="202" t="s">
        <v>93</v>
      </c>
      <c r="BQ358" s="238" t="s">
        <v>93</v>
      </c>
      <c r="BR358" s="245"/>
    </row>
    <row r="359" spans="62:70" x14ac:dyDescent="0.2">
      <c r="BJ359" s="227"/>
      <c r="BK359" s="229" t="s">
        <v>696</v>
      </c>
      <c r="BL359" s="202">
        <v>1</v>
      </c>
      <c r="BM359" s="199" t="s">
        <v>695</v>
      </c>
      <c r="BN359" s="200"/>
      <c r="BO359" s="201" t="s">
        <v>93</v>
      </c>
      <c r="BP359" s="202" t="s">
        <v>93</v>
      </c>
      <c r="BQ359" s="238" t="s">
        <v>93</v>
      </c>
      <c r="BR359" s="245"/>
    </row>
    <row r="360" spans="62:70" x14ac:dyDescent="0.2">
      <c r="BJ360" s="227"/>
      <c r="BK360" s="229" t="s">
        <v>697</v>
      </c>
      <c r="BL360" s="202">
        <v>1</v>
      </c>
      <c r="BM360" s="199" t="s">
        <v>695</v>
      </c>
      <c r="BN360" s="200"/>
      <c r="BO360" s="201" t="s">
        <v>93</v>
      </c>
      <c r="BP360" s="202" t="s">
        <v>93</v>
      </c>
      <c r="BQ360" s="238" t="s">
        <v>93</v>
      </c>
      <c r="BR360" s="245"/>
    </row>
    <row r="361" spans="62:70" x14ac:dyDescent="0.2">
      <c r="BJ361" s="227"/>
      <c r="BK361" s="229" t="s">
        <v>698</v>
      </c>
      <c r="BL361" s="202">
        <v>1</v>
      </c>
      <c r="BM361" s="199" t="s">
        <v>695</v>
      </c>
      <c r="BN361" s="200"/>
      <c r="BO361" s="201" t="s">
        <v>93</v>
      </c>
      <c r="BP361" s="202" t="s">
        <v>93</v>
      </c>
      <c r="BQ361" s="238" t="s">
        <v>93</v>
      </c>
      <c r="BR361" s="245"/>
    </row>
    <row r="362" spans="62:70" x14ac:dyDescent="0.2">
      <c r="BJ362" s="227"/>
      <c r="BK362" s="229" t="s">
        <v>699</v>
      </c>
      <c r="BL362" s="202">
        <v>1</v>
      </c>
      <c r="BM362" s="199" t="s">
        <v>695</v>
      </c>
      <c r="BN362" s="200"/>
      <c r="BO362" s="201" t="s">
        <v>93</v>
      </c>
      <c r="BP362" s="202" t="s">
        <v>93</v>
      </c>
      <c r="BQ362" s="238" t="s">
        <v>93</v>
      </c>
      <c r="BR362" s="245"/>
    </row>
    <row r="363" spans="62:70" x14ac:dyDescent="0.2">
      <c r="BJ363" s="227"/>
      <c r="BK363" s="229" t="s">
        <v>700</v>
      </c>
      <c r="BL363" s="202">
        <v>1</v>
      </c>
      <c r="BM363" s="199" t="s">
        <v>695</v>
      </c>
      <c r="BN363" s="200"/>
      <c r="BO363" s="201" t="s">
        <v>93</v>
      </c>
      <c r="BP363" s="202" t="s">
        <v>93</v>
      </c>
      <c r="BQ363" s="238" t="s">
        <v>93</v>
      </c>
      <c r="BR363" s="245"/>
    </row>
    <row r="364" spans="62:70" x14ac:dyDescent="0.2">
      <c r="BJ364" s="227"/>
      <c r="BK364" s="229" t="s">
        <v>701</v>
      </c>
      <c r="BL364" s="202">
        <v>1</v>
      </c>
      <c r="BM364" s="199" t="s">
        <v>695</v>
      </c>
      <c r="BN364" s="200"/>
      <c r="BO364" s="201" t="s">
        <v>93</v>
      </c>
      <c r="BP364" s="202" t="s">
        <v>93</v>
      </c>
      <c r="BQ364" s="238" t="s">
        <v>93</v>
      </c>
      <c r="BR364" s="245"/>
    </row>
    <row r="365" spans="62:70" x14ac:dyDescent="0.2">
      <c r="BJ365" s="227"/>
      <c r="BK365" s="229" t="s">
        <v>702</v>
      </c>
      <c r="BL365" s="202">
        <v>1</v>
      </c>
      <c r="BM365" s="199" t="s">
        <v>695</v>
      </c>
      <c r="BN365" s="200"/>
      <c r="BO365" s="201" t="s">
        <v>93</v>
      </c>
      <c r="BP365" s="202" t="s">
        <v>93</v>
      </c>
      <c r="BQ365" s="238" t="s">
        <v>93</v>
      </c>
      <c r="BR365" s="245"/>
    </row>
    <row r="366" spans="62:70" x14ac:dyDescent="0.2">
      <c r="BJ366" s="227"/>
      <c r="BK366" s="229" t="s">
        <v>703</v>
      </c>
      <c r="BL366" s="202">
        <v>1</v>
      </c>
      <c r="BM366" s="199" t="s">
        <v>695</v>
      </c>
      <c r="BN366" s="200"/>
      <c r="BO366" s="201" t="s">
        <v>93</v>
      </c>
      <c r="BP366" s="202" t="s">
        <v>93</v>
      </c>
      <c r="BQ366" s="238" t="s">
        <v>93</v>
      </c>
      <c r="BR366" s="245"/>
    </row>
    <row r="367" spans="62:70" x14ac:dyDescent="0.2">
      <c r="BJ367" s="227"/>
      <c r="BK367" s="229" t="s">
        <v>704</v>
      </c>
      <c r="BL367" s="202">
        <v>1</v>
      </c>
      <c r="BM367" s="199" t="s">
        <v>695</v>
      </c>
      <c r="BN367" s="200"/>
      <c r="BO367" s="201" t="s">
        <v>93</v>
      </c>
      <c r="BP367" s="202" t="s">
        <v>93</v>
      </c>
      <c r="BQ367" s="238" t="s">
        <v>93</v>
      </c>
      <c r="BR367" s="245"/>
    </row>
    <row r="368" spans="62:70" x14ac:dyDescent="0.2">
      <c r="BJ368" s="227"/>
      <c r="BK368" s="229" t="s">
        <v>705</v>
      </c>
      <c r="BL368" s="202">
        <v>1</v>
      </c>
      <c r="BM368" s="199" t="s">
        <v>695</v>
      </c>
      <c r="BN368" s="200"/>
      <c r="BO368" s="201" t="s">
        <v>93</v>
      </c>
      <c r="BP368" s="202" t="s">
        <v>93</v>
      </c>
      <c r="BQ368" s="238" t="s">
        <v>93</v>
      </c>
      <c r="BR368" s="245"/>
    </row>
    <row r="369" spans="62:70" x14ac:dyDescent="0.2">
      <c r="BJ369" s="227"/>
      <c r="BK369" s="229" t="s">
        <v>706</v>
      </c>
      <c r="BL369" s="202">
        <v>1</v>
      </c>
      <c r="BM369" s="199" t="s">
        <v>695</v>
      </c>
      <c r="BN369" s="200"/>
      <c r="BO369" s="201" t="s">
        <v>93</v>
      </c>
      <c r="BP369" s="202" t="s">
        <v>93</v>
      </c>
      <c r="BQ369" s="238" t="s">
        <v>93</v>
      </c>
      <c r="BR369" s="245"/>
    </row>
    <row r="370" spans="62:70" x14ac:dyDescent="0.2">
      <c r="BJ370" s="227"/>
      <c r="BK370" s="229" t="s">
        <v>707</v>
      </c>
      <c r="BL370" s="202">
        <v>1</v>
      </c>
      <c r="BM370" s="199" t="s">
        <v>695</v>
      </c>
      <c r="BN370" s="200"/>
      <c r="BO370" s="201" t="s">
        <v>93</v>
      </c>
      <c r="BP370" s="202" t="s">
        <v>93</v>
      </c>
      <c r="BQ370" s="238" t="s">
        <v>93</v>
      </c>
      <c r="BR370" s="245"/>
    </row>
    <row r="371" spans="62:70" x14ac:dyDescent="0.2">
      <c r="BJ371" s="227"/>
      <c r="BK371" s="229" t="s">
        <v>708</v>
      </c>
      <c r="BL371" s="202">
        <v>1</v>
      </c>
      <c r="BM371" s="199" t="s">
        <v>695</v>
      </c>
      <c r="BN371" s="200"/>
      <c r="BO371" s="201" t="s">
        <v>93</v>
      </c>
      <c r="BP371" s="202" t="s">
        <v>93</v>
      </c>
      <c r="BQ371" s="238" t="s">
        <v>93</v>
      </c>
      <c r="BR371" s="245"/>
    </row>
    <row r="372" spans="62:70" x14ac:dyDescent="0.2">
      <c r="BJ372" s="227"/>
      <c r="BK372" s="229" t="s">
        <v>709</v>
      </c>
      <c r="BL372" s="202">
        <v>1</v>
      </c>
      <c r="BM372" s="199" t="s">
        <v>695</v>
      </c>
      <c r="BN372" s="200"/>
      <c r="BO372" s="201" t="s">
        <v>93</v>
      </c>
      <c r="BP372" s="202" t="s">
        <v>93</v>
      </c>
      <c r="BQ372" s="238" t="s">
        <v>93</v>
      </c>
      <c r="BR372" s="245"/>
    </row>
    <row r="373" spans="62:70" x14ac:dyDescent="0.2">
      <c r="BJ373" s="227"/>
      <c r="BK373" s="229" t="s">
        <v>710</v>
      </c>
      <c r="BL373" s="202">
        <v>1</v>
      </c>
      <c r="BM373" s="199" t="s">
        <v>695</v>
      </c>
      <c r="BN373" s="200"/>
      <c r="BO373" s="201" t="s">
        <v>93</v>
      </c>
      <c r="BP373" s="202" t="s">
        <v>93</v>
      </c>
      <c r="BQ373" s="238" t="s">
        <v>93</v>
      </c>
      <c r="BR373" s="245"/>
    </row>
    <row r="374" spans="62:70" x14ac:dyDescent="0.2">
      <c r="BJ374" s="227"/>
      <c r="BK374" s="229" t="s">
        <v>711</v>
      </c>
      <c r="BL374" s="202">
        <v>1</v>
      </c>
      <c r="BM374" s="199" t="s">
        <v>695</v>
      </c>
      <c r="BN374" s="200"/>
      <c r="BO374" s="201" t="s">
        <v>93</v>
      </c>
      <c r="BP374" s="202" t="s">
        <v>93</v>
      </c>
      <c r="BQ374" s="238" t="s">
        <v>93</v>
      </c>
      <c r="BR374" s="245"/>
    </row>
    <row r="375" spans="62:70" x14ac:dyDescent="0.2">
      <c r="BJ375" s="227"/>
      <c r="BK375" s="229" t="s">
        <v>712</v>
      </c>
      <c r="BL375" s="202">
        <v>1</v>
      </c>
      <c r="BM375" s="199" t="s">
        <v>695</v>
      </c>
      <c r="BN375" s="200"/>
      <c r="BO375" s="201" t="s">
        <v>93</v>
      </c>
      <c r="BP375" s="202" t="s">
        <v>93</v>
      </c>
      <c r="BQ375" s="238" t="s">
        <v>93</v>
      </c>
      <c r="BR375" s="245"/>
    </row>
    <row r="376" spans="62:70" x14ac:dyDescent="0.2">
      <c r="BJ376" s="227"/>
      <c r="BK376" s="229" t="s">
        <v>713</v>
      </c>
      <c r="BL376" s="202">
        <v>1</v>
      </c>
      <c r="BM376" s="199" t="s">
        <v>695</v>
      </c>
      <c r="BN376" s="200"/>
      <c r="BO376" s="201" t="s">
        <v>93</v>
      </c>
      <c r="BP376" s="202" t="s">
        <v>93</v>
      </c>
      <c r="BQ376" s="238" t="s">
        <v>93</v>
      </c>
      <c r="BR376" s="245"/>
    </row>
    <row r="377" spans="62:70" x14ac:dyDescent="0.2">
      <c r="BJ377" s="227"/>
      <c r="BK377" s="229" t="s">
        <v>714</v>
      </c>
      <c r="BL377" s="202">
        <v>1</v>
      </c>
      <c r="BM377" s="199" t="s">
        <v>695</v>
      </c>
      <c r="BN377" s="200"/>
      <c r="BO377" s="201" t="s">
        <v>93</v>
      </c>
      <c r="BP377" s="202" t="s">
        <v>93</v>
      </c>
      <c r="BQ377" s="238" t="s">
        <v>93</v>
      </c>
      <c r="BR377" s="245"/>
    </row>
    <row r="378" spans="62:70" x14ac:dyDescent="0.2">
      <c r="BJ378" s="227"/>
      <c r="BK378" s="229" t="s">
        <v>715</v>
      </c>
      <c r="BL378" s="202">
        <v>1</v>
      </c>
      <c r="BM378" s="199" t="s">
        <v>716</v>
      </c>
      <c r="BN378" s="200"/>
      <c r="BO378" s="201" t="s">
        <v>93</v>
      </c>
      <c r="BP378" s="202" t="s">
        <v>93</v>
      </c>
      <c r="BQ378" s="238" t="s">
        <v>93</v>
      </c>
      <c r="BR378" s="245"/>
    </row>
    <row r="379" spans="62:70" x14ac:dyDescent="0.2">
      <c r="BJ379" s="227"/>
      <c r="BK379" s="229" t="s">
        <v>717</v>
      </c>
      <c r="BL379" s="202">
        <v>1</v>
      </c>
      <c r="BM379" s="199" t="s">
        <v>581</v>
      </c>
      <c r="BN379" s="200"/>
      <c r="BO379" s="201" t="s">
        <v>93</v>
      </c>
      <c r="BP379" s="202" t="s">
        <v>93</v>
      </c>
      <c r="BQ379" s="238" t="s">
        <v>93</v>
      </c>
      <c r="BR379" s="245"/>
    </row>
    <row r="380" spans="62:70" x14ac:dyDescent="0.2">
      <c r="BJ380" s="227"/>
      <c r="BK380" s="229" t="s">
        <v>718</v>
      </c>
      <c r="BL380" s="202">
        <v>1</v>
      </c>
      <c r="BM380" s="199" t="s">
        <v>581</v>
      </c>
      <c r="BN380" s="200"/>
      <c r="BO380" s="201" t="s">
        <v>93</v>
      </c>
      <c r="BP380" s="202" t="s">
        <v>93</v>
      </c>
      <c r="BQ380" s="238" t="s">
        <v>93</v>
      </c>
      <c r="BR380" s="245"/>
    </row>
    <row r="381" spans="62:70" x14ac:dyDescent="0.2">
      <c r="BJ381" s="227"/>
      <c r="BK381" s="229" t="s">
        <v>719</v>
      </c>
      <c r="BL381" s="202">
        <v>3</v>
      </c>
      <c r="BM381" s="199" t="s">
        <v>720</v>
      </c>
      <c r="BN381" s="200"/>
      <c r="BO381" s="201" t="s">
        <v>93</v>
      </c>
      <c r="BP381" s="202" t="s">
        <v>93</v>
      </c>
      <c r="BQ381" s="238" t="s">
        <v>93</v>
      </c>
      <c r="BR381" s="245"/>
    </row>
    <row r="382" spans="62:70" x14ac:dyDescent="0.2">
      <c r="BJ382" s="227"/>
      <c r="BK382" s="229" t="s">
        <v>721</v>
      </c>
      <c r="BL382" s="202">
        <v>1</v>
      </c>
      <c r="BM382" s="199" t="s">
        <v>722</v>
      </c>
      <c r="BN382" s="200"/>
      <c r="BO382" s="201" t="s">
        <v>93</v>
      </c>
      <c r="BP382" s="202" t="s">
        <v>93</v>
      </c>
      <c r="BQ382" s="238" t="s">
        <v>93</v>
      </c>
      <c r="BR382" s="245"/>
    </row>
    <row r="383" spans="62:70" x14ac:dyDescent="0.2">
      <c r="BJ383" s="227"/>
      <c r="BK383" s="229" t="s">
        <v>723</v>
      </c>
      <c r="BL383" s="202">
        <v>6</v>
      </c>
      <c r="BM383" s="199" t="s">
        <v>724</v>
      </c>
      <c r="BN383" s="200"/>
      <c r="BO383" s="201" t="s">
        <v>93</v>
      </c>
      <c r="BP383" s="202" t="s">
        <v>93</v>
      </c>
      <c r="BQ383" s="238" t="s">
        <v>93</v>
      </c>
      <c r="BR383" s="245"/>
    </row>
    <row r="384" spans="62:70" x14ac:dyDescent="0.2">
      <c r="BJ384" s="227"/>
      <c r="BK384" s="229" t="s">
        <v>725</v>
      </c>
      <c r="BL384" s="202">
        <v>1</v>
      </c>
      <c r="BM384" s="199" t="s">
        <v>726</v>
      </c>
      <c r="BN384" s="200"/>
      <c r="BO384" s="201" t="s">
        <v>93</v>
      </c>
      <c r="BP384" s="202" t="s">
        <v>93</v>
      </c>
      <c r="BQ384" s="238" t="s">
        <v>727</v>
      </c>
      <c r="BR384" s="245"/>
    </row>
    <row r="385" spans="62:70" x14ac:dyDescent="0.2">
      <c r="BJ385" s="227"/>
      <c r="BK385" s="229" t="s">
        <v>728</v>
      </c>
      <c r="BL385" s="202">
        <v>1</v>
      </c>
      <c r="BM385" s="199" t="s">
        <v>729</v>
      </c>
      <c r="BN385" s="200"/>
      <c r="BO385" s="201" t="s">
        <v>93</v>
      </c>
      <c r="BP385" s="202" t="s">
        <v>93</v>
      </c>
      <c r="BQ385" s="238" t="s">
        <v>93</v>
      </c>
      <c r="BR385" s="245"/>
    </row>
    <row r="386" spans="62:70" x14ac:dyDescent="0.2">
      <c r="BJ386" s="227"/>
      <c r="BK386" s="229" t="s">
        <v>730</v>
      </c>
      <c r="BL386" s="202">
        <v>1</v>
      </c>
      <c r="BM386" s="199" t="s">
        <v>731</v>
      </c>
      <c r="BN386" s="200"/>
      <c r="BO386" s="201" t="s">
        <v>732</v>
      </c>
      <c r="BP386" s="202" t="s">
        <v>733</v>
      </c>
      <c r="BQ386" s="236" t="s">
        <v>93</v>
      </c>
      <c r="BR386" s="245"/>
    </row>
    <row r="387" spans="62:70" x14ac:dyDescent="0.2">
      <c r="BJ387" s="227"/>
      <c r="BK387" s="229" t="s">
        <v>734</v>
      </c>
      <c r="BL387" s="202">
        <v>1</v>
      </c>
      <c r="BM387" s="199" t="s">
        <v>735</v>
      </c>
      <c r="BN387" s="200"/>
      <c r="BO387" s="201" t="s">
        <v>93</v>
      </c>
      <c r="BP387" s="202" t="s">
        <v>736</v>
      </c>
      <c r="BQ387" s="236" t="s">
        <v>93</v>
      </c>
      <c r="BR387" s="245"/>
    </row>
    <row r="388" spans="62:70" x14ac:dyDescent="0.2">
      <c r="BJ388" s="227"/>
      <c r="BK388" s="229" t="s">
        <v>737</v>
      </c>
      <c r="BL388" s="202">
        <v>1</v>
      </c>
      <c r="BM388" s="199" t="s">
        <v>738</v>
      </c>
      <c r="BN388" s="200"/>
      <c r="BO388" s="201" t="s">
        <v>739</v>
      </c>
      <c r="BP388" s="202" t="s">
        <v>93</v>
      </c>
      <c r="BQ388" s="238">
        <v>37461</v>
      </c>
      <c r="BR388" s="245"/>
    </row>
    <row r="389" spans="62:70" x14ac:dyDescent="0.2">
      <c r="BJ389" s="227"/>
      <c r="BK389" s="229" t="s">
        <v>740</v>
      </c>
      <c r="BL389" s="202">
        <v>1</v>
      </c>
      <c r="BM389" s="199" t="s">
        <v>741</v>
      </c>
      <c r="BN389" s="200"/>
      <c r="BO389" s="201" t="s">
        <v>93</v>
      </c>
      <c r="BP389" s="202" t="s">
        <v>93</v>
      </c>
      <c r="BQ389" s="236" t="s">
        <v>93</v>
      </c>
      <c r="BR389" s="245"/>
    </row>
    <row r="390" spans="62:70" x14ac:dyDescent="0.2">
      <c r="BJ390" s="227"/>
      <c r="BK390" s="229" t="s">
        <v>742</v>
      </c>
      <c r="BL390" s="202">
        <v>1</v>
      </c>
      <c r="BM390" s="199" t="s">
        <v>743</v>
      </c>
      <c r="BN390" s="200"/>
      <c r="BO390" s="201" t="s">
        <v>93</v>
      </c>
      <c r="BP390" s="202" t="s">
        <v>93</v>
      </c>
      <c r="BQ390" s="238" t="s">
        <v>93</v>
      </c>
      <c r="BR390" s="245"/>
    </row>
    <row r="391" spans="62:70" x14ac:dyDescent="0.2">
      <c r="BJ391" s="227"/>
      <c r="BK391" s="229" t="s">
        <v>744</v>
      </c>
      <c r="BL391" s="202">
        <v>1</v>
      </c>
      <c r="BM391" s="199" t="s">
        <v>745</v>
      </c>
      <c r="BN391" s="200"/>
      <c r="BO391" s="201" t="s">
        <v>746</v>
      </c>
      <c r="BP391" s="202" t="s">
        <v>93</v>
      </c>
      <c r="BQ391" s="236" t="s">
        <v>93</v>
      </c>
      <c r="BR391" s="245"/>
    </row>
    <row r="392" spans="62:70" x14ac:dyDescent="0.2">
      <c r="BJ392" s="227"/>
      <c r="BK392" s="229" t="s">
        <v>747</v>
      </c>
      <c r="BL392" s="202">
        <v>1</v>
      </c>
      <c r="BM392" s="199" t="s">
        <v>748</v>
      </c>
      <c r="BN392" s="200"/>
      <c r="BO392" s="201" t="s">
        <v>749</v>
      </c>
      <c r="BP392" s="202" t="s">
        <v>93</v>
      </c>
      <c r="BQ392" s="236" t="s">
        <v>93</v>
      </c>
      <c r="BR392" s="245"/>
    </row>
    <row r="393" spans="62:70" x14ac:dyDescent="0.2">
      <c r="BJ393" s="227"/>
      <c r="BK393" s="229" t="s">
        <v>750</v>
      </c>
      <c r="BL393" s="202">
        <v>1</v>
      </c>
      <c r="BM393" s="199" t="s">
        <v>751</v>
      </c>
      <c r="BN393" s="200"/>
      <c r="BO393" s="201" t="s">
        <v>92</v>
      </c>
      <c r="BP393" s="202" t="s">
        <v>93</v>
      </c>
      <c r="BQ393" s="236" t="s">
        <v>93</v>
      </c>
      <c r="BR393" s="245"/>
    </row>
    <row r="394" spans="62:70" x14ac:dyDescent="0.2">
      <c r="BJ394" s="227"/>
      <c r="BK394" s="229" t="s">
        <v>752</v>
      </c>
      <c r="BL394" s="202">
        <v>1</v>
      </c>
      <c r="BM394" s="199" t="s">
        <v>753</v>
      </c>
      <c r="BN394" s="200"/>
      <c r="BO394" s="201" t="s">
        <v>93</v>
      </c>
      <c r="BP394" s="202" t="s">
        <v>93</v>
      </c>
      <c r="BQ394" s="236" t="s">
        <v>93</v>
      </c>
      <c r="BR394" s="245"/>
    </row>
    <row r="395" spans="62:70" ht="60" x14ac:dyDescent="0.2">
      <c r="BJ395" s="227"/>
      <c r="BK395" s="229" t="s">
        <v>754</v>
      </c>
      <c r="BL395" s="202">
        <v>1</v>
      </c>
      <c r="BM395" s="208" t="s">
        <v>741</v>
      </c>
      <c r="BN395" s="209"/>
      <c r="BO395" s="201" t="s">
        <v>93</v>
      </c>
      <c r="BP395" s="202" t="s">
        <v>93</v>
      </c>
      <c r="BQ395" s="236" t="s">
        <v>93</v>
      </c>
      <c r="BR395" s="245"/>
    </row>
    <row r="396" spans="62:70" x14ac:dyDescent="0.2">
      <c r="BJ396" s="227"/>
      <c r="BK396" s="229" t="s">
        <v>755</v>
      </c>
      <c r="BL396" s="202">
        <v>1</v>
      </c>
      <c r="BM396" s="210" t="s">
        <v>756</v>
      </c>
      <c r="BN396" s="211"/>
      <c r="BO396" s="201" t="s">
        <v>93</v>
      </c>
      <c r="BP396" s="202" t="s">
        <v>93</v>
      </c>
      <c r="BQ396" s="236" t="s">
        <v>93</v>
      </c>
      <c r="BR396" s="245"/>
    </row>
    <row r="397" spans="62:70" ht="30" x14ac:dyDescent="0.2">
      <c r="BJ397" s="227"/>
      <c r="BK397" s="229" t="s">
        <v>757</v>
      </c>
      <c r="BL397" s="202">
        <v>1</v>
      </c>
      <c r="BM397" s="208" t="s">
        <v>758</v>
      </c>
      <c r="BN397" s="209"/>
      <c r="BO397" s="201"/>
      <c r="BP397" s="202" t="s">
        <v>759</v>
      </c>
      <c r="BQ397" s="236">
        <v>2308200907</v>
      </c>
      <c r="BR397" s="245"/>
    </row>
    <row r="398" spans="62:70" ht="45" x14ac:dyDescent="0.2">
      <c r="BJ398" s="227"/>
      <c r="BK398" s="229" t="s">
        <v>760</v>
      </c>
      <c r="BL398" s="202">
        <v>1</v>
      </c>
      <c r="BM398" s="208" t="s">
        <v>761</v>
      </c>
      <c r="BN398" s="209"/>
      <c r="BO398" s="201"/>
      <c r="BP398" s="202"/>
      <c r="BQ398" s="238"/>
      <c r="BR398" s="245"/>
    </row>
    <row r="399" spans="62:70" x14ac:dyDescent="0.2">
      <c r="BJ399" s="227"/>
      <c r="BK399" s="229" t="s">
        <v>762</v>
      </c>
      <c r="BL399" s="202">
        <v>1</v>
      </c>
      <c r="BM399" s="210" t="s">
        <v>763</v>
      </c>
      <c r="BN399" s="211"/>
      <c r="BO399" s="201"/>
      <c r="BP399" s="202"/>
      <c r="BQ399" s="236"/>
      <c r="BR399" s="245"/>
    </row>
    <row r="400" spans="62:70" x14ac:dyDescent="0.2">
      <c r="BJ400" s="227"/>
      <c r="BK400" s="229" t="s">
        <v>764</v>
      </c>
      <c r="BL400" s="202">
        <v>1</v>
      </c>
      <c r="BM400" s="210" t="s">
        <v>765</v>
      </c>
      <c r="BN400" s="211"/>
      <c r="BO400" s="201"/>
      <c r="BP400" s="202"/>
      <c r="BQ400" s="238"/>
      <c r="BR400" s="245"/>
    </row>
    <row r="401" spans="62:70" ht="45" x14ac:dyDescent="0.2">
      <c r="BJ401" s="227"/>
      <c r="BK401" s="229" t="s">
        <v>766</v>
      </c>
      <c r="BL401" s="202">
        <v>1</v>
      </c>
      <c r="BM401" s="208" t="s">
        <v>767</v>
      </c>
      <c r="BN401" s="209"/>
      <c r="BO401" s="201"/>
      <c r="BP401" s="202"/>
      <c r="BQ401" s="236"/>
      <c r="BR401" s="245"/>
    </row>
    <row r="402" spans="62:70" x14ac:dyDescent="0.2">
      <c r="BJ402" s="227"/>
      <c r="BK402" s="229" t="s">
        <v>768</v>
      </c>
      <c r="BL402" s="202">
        <v>1</v>
      </c>
      <c r="BM402" s="210" t="s">
        <v>769</v>
      </c>
      <c r="BN402" s="211"/>
      <c r="BO402" s="201"/>
      <c r="BP402" s="202"/>
      <c r="BQ402" s="236"/>
      <c r="BR402" s="245"/>
    </row>
    <row r="403" spans="62:70" ht="30" x14ac:dyDescent="0.2">
      <c r="BJ403" s="227"/>
      <c r="BK403" s="229" t="s">
        <v>770</v>
      </c>
      <c r="BL403" s="202">
        <v>1</v>
      </c>
      <c r="BM403" s="208" t="s">
        <v>771</v>
      </c>
      <c r="BN403" s="209"/>
      <c r="BO403" s="201"/>
      <c r="BP403" s="202"/>
      <c r="BQ403" s="238"/>
      <c r="BR403" s="245"/>
    </row>
    <row r="404" spans="62:70" ht="45" x14ac:dyDescent="0.2">
      <c r="BJ404" s="227"/>
      <c r="BK404" s="229" t="s">
        <v>772</v>
      </c>
      <c r="BL404" s="202">
        <v>1</v>
      </c>
      <c r="BM404" s="208" t="s">
        <v>208</v>
      </c>
      <c r="BN404" s="209"/>
      <c r="BO404" s="201"/>
      <c r="BP404" s="202"/>
      <c r="BQ404" s="236"/>
      <c r="BR404" s="245"/>
    </row>
    <row r="405" spans="62:70" ht="45" x14ac:dyDescent="0.2">
      <c r="BJ405" s="227"/>
      <c r="BK405" s="229" t="s">
        <v>773</v>
      </c>
      <c r="BL405" s="202">
        <v>1</v>
      </c>
      <c r="BM405" s="208" t="s">
        <v>774</v>
      </c>
      <c r="BN405" s="209"/>
      <c r="BO405" s="201" t="s">
        <v>96</v>
      </c>
      <c r="BP405" s="202" t="s">
        <v>775</v>
      </c>
      <c r="BQ405" s="240" t="s">
        <v>776</v>
      </c>
      <c r="BR405" s="245"/>
    </row>
    <row r="406" spans="62:70" ht="45" x14ac:dyDescent="0.2">
      <c r="BJ406" s="227"/>
      <c r="BK406" s="229" t="s">
        <v>777</v>
      </c>
      <c r="BL406" s="202">
        <v>1</v>
      </c>
      <c r="BM406" s="208" t="s">
        <v>778</v>
      </c>
      <c r="BN406" s="209"/>
      <c r="BO406" s="201" t="s">
        <v>96</v>
      </c>
      <c r="BP406" s="202" t="s">
        <v>779</v>
      </c>
      <c r="BQ406" s="240" t="s">
        <v>776</v>
      </c>
      <c r="BR406" s="245"/>
    </row>
    <row r="407" spans="62:70" x14ac:dyDescent="0.2">
      <c r="BJ407" s="227"/>
      <c r="BK407" s="229" t="s">
        <v>780</v>
      </c>
      <c r="BL407" s="202">
        <v>1</v>
      </c>
      <c r="BM407" s="210" t="s">
        <v>781</v>
      </c>
      <c r="BN407" s="211"/>
      <c r="BO407" s="201"/>
      <c r="BP407" s="202"/>
      <c r="BQ407" s="236"/>
      <c r="BR407" s="245"/>
    </row>
    <row r="408" spans="62:70" x14ac:dyDescent="0.2">
      <c r="BJ408" s="227"/>
      <c r="BK408" s="229" t="s">
        <v>782</v>
      </c>
      <c r="BL408" s="202">
        <v>1</v>
      </c>
      <c r="BM408" s="210" t="s">
        <v>783</v>
      </c>
      <c r="BN408" s="211"/>
      <c r="BO408" s="201"/>
      <c r="BP408" s="202"/>
      <c r="BQ408" s="238"/>
      <c r="BR408" s="245"/>
    </row>
    <row r="409" spans="62:70" x14ac:dyDescent="0.2">
      <c r="BJ409" s="227"/>
      <c r="BK409" s="229" t="s">
        <v>784</v>
      </c>
      <c r="BL409" s="202">
        <v>1</v>
      </c>
      <c r="BM409" s="210" t="s">
        <v>540</v>
      </c>
      <c r="BN409" s="211"/>
      <c r="BO409" s="201"/>
      <c r="BP409" s="202"/>
      <c r="BQ409" s="236"/>
      <c r="BR409" s="245"/>
    </row>
    <row r="410" spans="62:70" x14ac:dyDescent="0.2">
      <c r="BJ410" s="227"/>
      <c r="BK410" s="229" t="s">
        <v>785</v>
      </c>
      <c r="BL410" s="202">
        <v>1</v>
      </c>
      <c r="BM410" s="210" t="s">
        <v>540</v>
      </c>
      <c r="BN410" s="211"/>
      <c r="BO410" s="201"/>
      <c r="BP410" s="202"/>
      <c r="BQ410" s="238"/>
      <c r="BR410" s="245"/>
    </row>
    <row r="411" spans="62:70" ht="30" x14ac:dyDescent="0.2">
      <c r="BJ411" s="227"/>
      <c r="BK411" s="229" t="s">
        <v>786</v>
      </c>
      <c r="BL411" s="202">
        <v>1</v>
      </c>
      <c r="BM411" s="208" t="s">
        <v>787</v>
      </c>
      <c r="BN411" s="209"/>
      <c r="BO411" s="201" t="s">
        <v>410</v>
      </c>
      <c r="BP411" s="202"/>
      <c r="BQ411" s="236"/>
      <c r="BR411" s="245"/>
    </row>
    <row r="412" spans="62:70" ht="45" x14ac:dyDescent="0.2">
      <c r="BJ412" s="227"/>
      <c r="BK412" s="229" t="s">
        <v>788</v>
      </c>
      <c r="BL412" s="202">
        <v>1</v>
      </c>
      <c r="BM412" s="208" t="s">
        <v>238</v>
      </c>
      <c r="BN412" s="209"/>
      <c r="BO412" s="201"/>
      <c r="BP412" s="202"/>
      <c r="BQ412" s="236"/>
      <c r="BR412" s="245"/>
    </row>
    <row r="413" spans="62:70" ht="60" x14ac:dyDescent="0.2">
      <c r="BJ413" s="227"/>
      <c r="BK413" s="229" t="s">
        <v>789</v>
      </c>
      <c r="BL413" s="202">
        <v>1</v>
      </c>
      <c r="BM413" s="208" t="s">
        <v>790</v>
      </c>
      <c r="BN413" s="209"/>
      <c r="BO413" s="201" t="s">
        <v>791</v>
      </c>
      <c r="BP413" s="202"/>
      <c r="BQ413" s="236"/>
      <c r="BR413" s="245"/>
    </row>
    <row r="414" spans="62:70" ht="60" x14ac:dyDescent="0.2">
      <c r="BJ414" s="227"/>
      <c r="BK414" s="229" t="s">
        <v>792</v>
      </c>
      <c r="BL414" s="202">
        <v>1</v>
      </c>
      <c r="BM414" s="208" t="s">
        <v>793</v>
      </c>
      <c r="BN414" s="209"/>
      <c r="BO414" s="201" t="s">
        <v>791</v>
      </c>
      <c r="BP414" s="202"/>
      <c r="BQ414" s="236"/>
      <c r="BR414" s="245"/>
    </row>
    <row r="415" spans="62:70" x14ac:dyDescent="0.2">
      <c r="BJ415" s="227"/>
      <c r="BK415" s="229" t="s">
        <v>794</v>
      </c>
      <c r="BL415" s="202">
        <v>1</v>
      </c>
      <c r="BM415" s="208" t="s">
        <v>795</v>
      </c>
      <c r="BN415" s="209"/>
      <c r="BO415" s="201" t="s">
        <v>791</v>
      </c>
      <c r="BP415" s="202" t="s">
        <v>796</v>
      </c>
      <c r="BQ415" s="236">
        <v>168</v>
      </c>
      <c r="BR415" s="245"/>
    </row>
    <row r="416" spans="62:70" x14ac:dyDescent="0.2">
      <c r="BJ416" s="227"/>
      <c r="BK416" s="229" t="s">
        <v>797</v>
      </c>
      <c r="BL416" s="202">
        <v>1</v>
      </c>
      <c r="BM416" s="199" t="s">
        <v>113</v>
      </c>
      <c r="BN416" s="200"/>
      <c r="BO416" s="201" t="s">
        <v>96</v>
      </c>
      <c r="BP416" s="202" t="s">
        <v>114</v>
      </c>
      <c r="BQ416" s="236">
        <v>132</v>
      </c>
      <c r="BR416" s="245"/>
    </row>
    <row r="417" spans="62:70" x14ac:dyDescent="0.2">
      <c r="BJ417" s="227"/>
      <c r="BK417" s="229" t="s">
        <v>798</v>
      </c>
      <c r="BL417" s="202">
        <v>1</v>
      </c>
      <c r="BM417" s="199" t="s">
        <v>799</v>
      </c>
      <c r="BN417" s="200"/>
      <c r="BO417" s="201" t="s">
        <v>800</v>
      </c>
      <c r="BP417" s="202" t="s">
        <v>801</v>
      </c>
      <c r="BQ417" s="236"/>
      <c r="BR417" s="245"/>
    </row>
    <row r="418" spans="62:70" x14ac:dyDescent="0.2">
      <c r="BJ418" s="227"/>
      <c r="BK418" s="231" t="s">
        <v>802</v>
      </c>
      <c r="BL418" s="215">
        <v>3</v>
      </c>
      <c r="BM418" s="212" t="s">
        <v>803</v>
      </c>
      <c r="BN418" s="213"/>
      <c r="BO418" s="214" t="s">
        <v>804</v>
      </c>
      <c r="BP418" s="215" t="s">
        <v>805</v>
      </c>
      <c r="BQ418" s="241"/>
      <c r="BR418" s="245"/>
    </row>
    <row r="419" spans="62:70" ht="15.75" thickBot="1" x14ac:dyDescent="0.25">
      <c r="BJ419" s="232"/>
      <c r="BK419" s="233" t="s">
        <v>806</v>
      </c>
      <c r="BL419" s="224">
        <v>1</v>
      </c>
      <c r="BM419" s="217" t="s">
        <v>122</v>
      </c>
      <c r="BN419" s="218"/>
      <c r="BO419" s="216" t="s">
        <v>123</v>
      </c>
      <c r="BP419" s="216" t="s">
        <v>124</v>
      </c>
      <c r="BQ419" s="242" t="s">
        <v>807</v>
      </c>
      <c r="BR419" s="246">
        <v>0.01</v>
      </c>
    </row>
  </sheetData>
  <dataConsolidate/>
  <mergeCells count="624">
    <mergeCell ref="BM409:BN409"/>
    <mergeCell ref="BM410:BN410"/>
    <mergeCell ref="BM416:BN416"/>
    <mergeCell ref="BM417:BN417"/>
    <mergeCell ref="BM418:BN418"/>
    <mergeCell ref="BM419:BN419"/>
    <mergeCell ref="BM13:BN13"/>
    <mergeCell ref="BM392:BN392"/>
    <mergeCell ref="BM393:BN393"/>
    <mergeCell ref="BM394:BN394"/>
    <mergeCell ref="BM396:BN396"/>
    <mergeCell ref="BM399:BN399"/>
    <mergeCell ref="BM400:BN400"/>
    <mergeCell ref="BM402:BN402"/>
    <mergeCell ref="BM407:BN407"/>
    <mergeCell ref="BM408:BN408"/>
    <mergeCell ref="BM383:BN383"/>
    <mergeCell ref="BM384:BN384"/>
    <mergeCell ref="BM385:BN385"/>
    <mergeCell ref="BM386:BN386"/>
    <mergeCell ref="BM387:BN387"/>
    <mergeCell ref="BM388:BN388"/>
    <mergeCell ref="BM389:BN389"/>
    <mergeCell ref="BM390:BN390"/>
    <mergeCell ref="BM391:BN391"/>
    <mergeCell ref="BM374:BN374"/>
    <mergeCell ref="BM375:BN375"/>
    <mergeCell ref="BM376:BN376"/>
    <mergeCell ref="BM377:BN377"/>
    <mergeCell ref="BM378:BN378"/>
    <mergeCell ref="BM379:BN379"/>
    <mergeCell ref="BM380:BN380"/>
    <mergeCell ref="BM381:BN381"/>
    <mergeCell ref="BM382:BN382"/>
    <mergeCell ref="BM365:BN365"/>
    <mergeCell ref="BM366:BN366"/>
    <mergeCell ref="BM367:BN367"/>
    <mergeCell ref="BM368:BN368"/>
    <mergeCell ref="BM369:BN369"/>
    <mergeCell ref="BM370:BN370"/>
    <mergeCell ref="BM371:BN371"/>
    <mergeCell ref="BM372:BN372"/>
    <mergeCell ref="BM373:BN373"/>
    <mergeCell ref="BM356:BN356"/>
    <mergeCell ref="BM357:BN357"/>
    <mergeCell ref="BM358:BN358"/>
    <mergeCell ref="BM359:BN359"/>
    <mergeCell ref="BM360:BN360"/>
    <mergeCell ref="BM361:BN361"/>
    <mergeCell ref="BM362:BN362"/>
    <mergeCell ref="BM363:BN363"/>
    <mergeCell ref="BM364:BN364"/>
    <mergeCell ref="BM347:BN347"/>
    <mergeCell ref="BM348:BN348"/>
    <mergeCell ref="BM349:BN349"/>
    <mergeCell ref="BM350:BN350"/>
    <mergeCell ref="BM351:BN351"/>
    <mergeCell ref="BM352:BN352"/>
    <mergeCell ref="BM353:BN353"/>
    <mergeCell ref="BM354:BN354"/>
    <mergeCell ref="BM355:BN355"/>
    <mergeCell ref="BM338:BN338"/>
    <mergeCell ref="BM339:BN339"/>
    <mergeCell ref="BM340:BN340"/>
    <mergeCell ref="BM341:BN341"/>
    <mergeCell ref="BM342:BN342"/>
    <mergeCell ref="BM343:BN343"/>
    <mergeCell ref="BM344:BN344"/>
    <mergeCell ref="BM345:BN345"/>
    <mergeCell ref="BM346:BN346"/>
    <mergeCell ref="BM329:BN329"/>
    <mergeCell ref="BM330:BN330"/>
    <mergeCell ref="BM331:BN331"/>
    <mergeCell ref="BM332:BN332"/>
    <mergeCell ref="BM333:BN333"/>
    <mergeCell ref="BM334:BN334"/>
    <mergeCell ref="BM335:BN335"/>
    <mergeCell ref="BM336:BN336"/>
    <mergeCell ref="BM337:BN337"/>
    <mergeCell ref="BM320:BN320"/>
    <mergeCell ref="BM321:BN321"/>
    <mergeCell ref="BM322:BN322"/>
    <mergeCell ref="BM323:BN323"/>
    <mergeCell ref="BM324:BN324"/>
    <mergeCell ref="BM325:BN325"/>
    <mergeCell ref="BM326:BN326"/>
    <mergeCell ref="BM327:BN327"/>
    <mergeCell ref="BM328:BN328"/>
    <mergeCell ref="BM311:BN311"/>
    <mergeCell ref="BM312:BN312"/>
    <mergeCell ref="BM313:BN313"/>
    <mergeCell ref="BM314:BN314"/>
    <mergeCell ref="BM315:BN315"/>
    <mergeCell ref="BM316:BN316"/>
    <mergeCell ref="BM317:BN317"/>
    <mergeCell ref="BM318:BN318"/>
    <mergeCell ref="BM319:BN319"/>
    <mergeCell ref="BM302:BN302"/>
    <mergeCell ref="BM303:BN303"/>
    <mergeCell ref="BM304:BN304"/>
    <mergeCell ref="BM305:BN305"/>
    <mergeCell ref="BM306:BN306"/>
    <mergeCell ref="BM307:BN307"/>
    <mergeCell ref="BM308:BN308"/>
    <mergeCell ref="BM309:BN309"/>
    <mergeCell ref="BM310:BN310"/>
    <mergeCell ref="BM293:BN293"/>
    <mergeCell ref="BM294:BN294"/>
    <mergeCell ref="BM295:BN295"/>
    <mergeCell ref="BM296:BN296"/>
    <mergeCell ref="BM297:BN297"/>
    <mergeCell ref="BM298:BN298"/>
    <mergeCell ref="BM299:BN299"/>
    <mergeCell ref="BM300:BN300"/>
    <mergeCell ref="BM301:BN301"/>
    <mergeCell ref="BM284:BN284"/>
    <mergeCell ref="BM285:BN285"/>
    <mergeCell ref="BM286:BN286"/>
    <mergeCell ref="BM287:BN287"/>
    <mergeCell ref="BM288:BN288"/>
    <mergeCell ref="BM289:BN289"/>
    <mergeCell ref="BM290:BN290"/>
    <mergeCell ref="BM291:BN291"/>
    <mergeCell ref="BM292:BN292"/>
    <mergeCell ref="BM275:BN275"/>
    <mergeCell ref="BM276:BN276"/>
    <mergeCell ref="BM277:BN277"/>
    <mergeCell ref="BM278:BN278"/>
    <mergeCell ref="BM279:BN279"/>
    <mergeCell ref="BM280:BN280"/>
    <mergeCell ref="BM281:BN281"/>
    <mergeCell ref="BM282:BN282"/>
    <mergeCell ref="BM283:BN283"/>
    <mergeCell ref="BM266:BN266"/>
    <mergeCell ref="BM267:BN267"/>
    <mergeCell ref="BM268:BN268"/>
    <mergeCell ref="BM269:BN269"/>
    <mergeCell ref="BM270:BN270"/>
    <mergeCell ref="BM271:BN271"/>
    <mergeCell ref="BM272:BN272"/>
    <mergeCell ref="BM273:BN273"/>
    <mergeCell ref="BM274:BN274"/>
    <mergeCell ref="BM257:BN257"/>
    <mergeCell ref="BM258:BN258"/>
    <mergeCell ref="BM259:BN259"/>
    <mergeCell ref="BM260:BN260"/>
    <mergeCell ref="BM261:BN261"/>
    <mergeCell ref="BM262:BN262"/>
    <mergeCell ref="BM263:BN263"/>
    <mergeCell ref="BM264:BN264"/>
    <mergeCell ref="BM265:BN265"/>
    <mergeCell ref="BM248:BN248"/>
    <mergeCell ref="BM249:BN249"/>
    <mergeCell ref="BM250:BN250"/>
    <mergeCell ref="BM251:BN251"/>
    <mergeCell ref="BM252:BN252"/>
    <mergeCell ref="BM253:BN253"/>
    <mergeCell ref="BM254:BN254"/>
    <mergeCell ref="BM255:BN255"/>
    <mergeCell ref="BM256:BN256"/>
    <mergeCell ref="BM239:BN239"/>
    <mergeCell ref="BM240:BN240"/>
    <mergeCell ref="BM241:BN241"/>
    <mergeCell ref="BM242:BN242"/>
    <mergeCell ref="BM243:BN243"/>
    <mergeCell ref="BM244:BN244"/>
    <mergeCell ref="BM245:BN245"/>
    <mergeCell ref="BM246:BN246"/>
    <mergeCell ref="BM247:BN247"/>
    <mergeCell ref="BM230:BN230"/>
    <mergeCell ref="BM231:BN231"/>
    <mergeCell ref="BM232:BN232"/>
    <mergeCell ref="BM233:BN233"/>
    <mergeCell ref="BM234:BN234"/>
    <mergeCell ref="BM235:BN235"/>
    <mergeCell ref="BM236:BN236"/>
    <mergeCell ref="BM237:BN237"/>
    <mergeCell ref="BM238:BN238"/>
    <mergeCell ref="BM221:BN221"/>
    <mergeCell ref="BM222:BN222"/>
    <mergeCell ref="BM223:BN223"/>
    <mergeCell ref="BM224:BN224"/>
    <mergeCell ref="BM225:BN225"/>
    <mergeCell ref="BM226:BN226"/>
    <mergeCell ref="BM227:BN227"/>
    <mergeCell ref="BM228:BN228"/>
    <mergeCell ref="BM229:BN229"/>
    <mergeCell ref="BM212:BN212"/>
    <mergeCell ref="BM213:BN213"/>
    <mergeCell ref="BM214:BN214"/>
    <mergeCell ref="BM215:BN215"/>
    <mergeCell ref="BM216:BN216"/>
    <mergeCell ref="BM217:BN217"/>
    <mergeCell ref="BM218:BN218"/>
    <mergeCell ref="BM219:BN219"/>
    <mergeCell ref="BM220:BN220"/>
    <mergeCell ref="BM203:BN203"/>
    <mergeCell ref="BM204:BN204"/>
    <mergeCell ref="BM205:BN205"/>
    <mergeCell ref="BM206:BN206"/>
    <mergeCell ref="BM207:BN207"/>
    <mergeCell ref="BM208:BN208"/>
    <mergeCell ref="BM209:BN209"/>
    <mergeCell ref="BM210:BN210"/>
    <mergeCell ref="BM211:BN211"/>
    <mergeCell ref="BM194:BN194"/>
    <mergeCell ref="BM195:BN195"/>
    <mergeCell ref="BM196:BN196"/>
    <mergeCell ref="BM197:BN197"/>
    <mergeCell ref="BM198:BN198"/>
    <mergeCell ref="BM199:BN199"/>
    <mergeCell ref="BM200:BN200"/>
    <mergeCell ref="BM201:BN201"/>
    <mergeCell ref="BM202:BN202"/>
    <mergeCell ref="BM185:BN185"/>
    <mergeCell ref="BM186:BN186"/>
    <mergeCell ref="BM187:BN187"/>
    <mergeCell ref="BM188:BN188"/>
    <mergeCell ref="BM189:BN189"/>
    <mergeCell ref="BM190:BN190"/>
    <mergeCell ref="BM191:BN191"/>
    <mergeCell ref="BM192:BN192"/>
    <mergeCell ref="BM193:BN193"/>
    <mergeCell ref="BM176:BN176"/>
    <mergeCell ref="BM177:BN177"/>
    <mergeCell ref="BM178:BN178"/>
    <mergeCell ref="BM179:BN179"/>
    <mergeCell ref="BM180:BN180"/>
    <mergeCell ref="BM181:BN181"/>
    <mergeCell ref="BM182:BN182"/>
    <mergeCell ref="BM183:BN183"/>
    <mergeCell ref="BM184:BN184"/>
    <mergeCell ref="BM167:BN167"/>
    <mergeCell ref="BM168:BN168"/>
    <mergeCell ref="BM169:BN169"/>
    <mergeCell ref="BM170:BN170"/>
    <mergeCell ref="BM171:BN171"/>
    <mergeCell ref="BM172:BN172"/>
    <mergeCell ref="BM173:BN173"/>
    <mergeCell ref="BM174:BN174"/>
    <mergeCell ref="BM175:BN175"/>
    <mergeCell ref="BM158:BN158"/>
    <mergeCell ref="BM159:BN159"/>
    <mergeCell ref="BM160:BN160"/>
    <mergeCell ref="BM161:BN161"/>
    <mergeCell ref="BM162:BN162"/>
    <mergeCell ref="BM163:BN163"/>
    <mergeCell ref="BM164:BN164"/>
    <mergeCell ref="BM165:BN165"/>
    <mergeCell ref="BM166:BN166"/>
    <mergeCell ref="BM149:BN149"/>
    <mergeCell ref="BM150:BN150"/>
    <mergeCell ref="BM151:BN151"/>
    <mergeCell ref="BM152:BN152"/>
    <mergeCell ref="BM153:BN153"/>
    <mergeCell ref="BM154:BN154"/>
    <mergeCell ref="BM155:BN155"/>
    <mergeCell ref="BM156:BN156"/>
    <mergeCell ref="BM157:BN157"/>
    <mergeCell ref="BM140:BN140"/>
    <mergeCell ref="BM141:BN141"/>
    <mergeCell ref="BM142:BN142"/>
    <mergeCell ref="BM143:BN143"/>
    <mergeCell ref="BM144:BN144"/>
    <mergeCell ref="BM145:BN145"/>
    <mergeCell ref="BM146:BN146"/>
    <mergeCell ref="BM147:BN147"/>
    <mergeCell ref="BM148:BN148"/>
    <mergeCell ref="BM131:BN131"/>
    <mergeCell ref="BM132:BN132"/>
    <mergeCell ref="BM133:BN133"/>
    <mergeCell ref="BM134:BN134"/>
    <mergeCell ref="BM135:BN135"/>
    <mergeCell ref="BM136:BN136"/>
    <mergeCell ref="BM137:BN137"/>
    <mergeCell ref="BM138:BN138"/>
    <mergeCell ref="BM139:BN139"/>
    <mergeCell ref="BM122:BN122"/>
    <mergeCell ref="BM123:BN123"/>
    <mergeCell ref="BM124:BN124"/>
    <mergeCell ref="BM125:BN125"/>
    <mergeCell ref="BM126:BN126"/>
    <mergeCell ref="BM127:BN127"/>
    <mergeCell ref="BM128:BN128"/>
    <mergeCell ref="BM129:BN129"/>
    <mergeCell ref="BM130:BN130"/>
    <mergeCell ref="BM113:BN113"/>
    <mergeCell ref="BM114:BN114"/>
    <mergeCell ref="BM115:BN115"/>
    <mergeCell ref="BM116:BN116"/>
    <mergeCell ref="BM117:BN117"/>
    <mergeCell ref="BM118:BN118"/>
    <mergeCell ref="BM119:BN119"/>
    <mergeCell ref="BM120:BN120"/>
    <mergeCell ref="BM121:BN121"/>
    <mergeCell ref="BM104:BN104"/>
    <mergeCell ref="BM105:BN105"/>
    <mergeCell ref="BM106:BN106"/>
    <mergeCell ref="BM107:BN107"/>
    <mergeCell ref="BM108:BN108"/>
    <mergeCell ref="BM109:BN109"/>
    <mergeCell ref="BM110:BN110"/>
    <mergeCell ref="BM111:BN111"/>
    <mergeCell ref="BM112:BN112"/>
    <mergeCell ref="BM95:BN95"/>
    <mergeCell ref="BM96:BN96"/>
    <mergeCell ref="BM97:BN97"/>
    <mergeCell ref="BM98:BN98"/>
    <mergeCell ref="BM99:BN99"/>
    <mergeCell ref="BM100:BN100"/>
    <mergeCell ref="BM101:BN101"/>
    <mergeCell ref="BM102:BN102"/>
    <mergeCell ref="BM103:BN103"/>
    <mergeCell ref="BM86:BN86"/>
    <mergeCell ref="BM87:BN87"/>
    <mergeCell ref="BM88:BN88"/>
    <mergeCell ref="BM89:BN89"/>
    <mergeCell ref="BM90:BN90"/>
    <mergeCell ref="BM91:BN91"/>
    <mergeCell ref="BM92:BN92"/>
    <mergeCell ref="BM93:BN93"/>
    <mergeCell ref="BM94:BN94"/>
    <mergeCell ref="BM77:BN77"/>
    <mergeCell ref="BM78:BN78"/>
    <mergeCell ref="BM79:BN79"/>
    <mergeCell ref="BM80:BN80"/>
    <mergeCell ref="BM81:BN81"/>
    <mergeCell ref="BM82:BN82"/>
    <mergeCell ref="BM83:BN83"/>
    <mergeCell ref="BM84:BN84"/>
    <mergeCell ref="BM85:BN85"/>
    <mergeCell ref="BM68:BN68"/>
    <mergeCell ref="BM69:BN69"/>
    <mergeCell ref="BM70:BN70"/>
    <mergeCell ref="BM71:BN71"/>
    <mergeCell ref="BM72:BN72"/>
    <mergeCell ref="BM73:BN73"/>
    <mergeCell ref="BM74:BN74"/>
    <mergeCell ref="BM75:BN75"/>
    <mergeCell ref="BM76:BN76"/>
    <mergeCell ref="BM59:BN59"/>
    <mergeCell ref="BM60:BN60"/>
    <mergeCell ref="BM61:BN61"/>
    <mergeCell ref="BM62:BN62"/>
    <mergeCell ref="BM63:BN63"/>
    <mergeCell ref="BM64:BN64"/>
    <mergeCell ref="BM65:BN65"/>
    <mergeCell ref="BM66:BN66"/>
    <mergeCell ref="BM67:BN67"/>
    <mergeCell ref="BM50:BN50"/>
    <mergeCell ref="BM51:BN51"/>
    <mergeCell ref="BM52:BN52"/>
    <mergeCell ref="BM53:BN53"/>
    <mergeCell ref="BM54:BN54"/>
    <mergeCell ref="BM55:BN55"/>
    <mergeCell ref="BM56:BN56"/>
    <mergeCell ref="BM57:BN57"/>
    <mergeCell ref="BM58:BN58"/>
    <mergeCell ref="BM41:BN41"/>
    <mergeCell ref="BM42:BN42"/>
    <mergeCell ref="BM43:BN43"/>
    <mergeCell ref="BM44:BN44"/>
    <mergeCell ref="BM45:BN45"/>
    <mergeCell ref="BM46:BN46"/>
    <mergeCell ref="BM47:BN47"/>
    <mergeCell ref="BM48:BN48"/>
    <mergeCell ref="BM49:BN49"/>
    <mergeCell ref="BM32:BN32"/>
    <mergeCell ref="BM33:BN33"/>
    <mergeCell ref="BM34:BN34"/>
    <mergeCell ref="BM35:BN35"/>
    <mergeCell ref="BM36:BN36"/>
    <mergeCell ref="BM37:BN37"/>
    <mergeCell ref="BM38:BN38"/>
    <mergeCell ref="BM39:BN39"/>
    <mergeCell ref="BM40:BN40"/>
    <mergeCell ref="BM23:BN23"/>
    <mergeCell ref="BM24:BN24"/>
    <mergeCell ref="BM25:BN25"/>
    <mergeCell ref="BM26:BN26"/>
    <mergeCell ref="BM27:BN27"/>
    <mergeCell ref="BM28:BN28"/>
    <mergeCell ref="BM29:BN29"/>
    <mergeCell ref="BM30:BN30"/>
    <mergeCell ref="BM31:BN31"/>
    <mergeCell ref="BM14:BN14"/>
    <mergeCell ref="BM15:BN15"/>
    <mergeCell ref="BM16:BN16"/>
    <mergeCell ref="BM17:BN17"/>
    <mergeCell ref="BM18:BN18"/>
    <mergeCell ref="BM19:BN19"/>
    <mergeCell ref="BM20:BN20"/>
    <mergeCell ref="BM21:BN21"/>
    <mergeCell ref="BM22:BN22"/>
    <mergeCell ref="A58:N58"/>
    <mergeCell ref="O58:AV58"/>
    <mergeCell ref="A55:N55"/>
    <mergeCell ref="O55:AV55"/>
    <mergeCell ref="A56:N56"/>
    <mergeCell ref="O56:AV56"/>
    <mergeCell ref="A57:N57"/>
    <mergeCell ref="O57:AV57"/>
    <mergeCell ref="A52:N52"/>
    <mergeCell ref="O52:AV52"/>
    <mergeCell ref="A53:N53"/>
    <mergeCell ref="O53:AV53"/>
    <mergeCell ref="A54:N54"/>
    <mergeCell ref="O54:AV54"/>
    <mergeCell ref="A49:N49"/>
    <mergeCell ref="O49:AV49"/>
    <mergeCell ref="A50:N50"/>
    <mergeCell ref="O50:AV50"/>
    <mergeCell ref="A51:N51"/>
    <mergeCell ref="O51:AV51"/>
    <mergeCell ref="A46:N46"/>
    <mergeCell ref="O46:AV46"/>
    <mergeCell ref="A47:N47"/>
    <mergeCell ref="O47:AV47"/>
    <mergeCell ref="A48:N48"/>
    <mergeCell ref="O48:AV48"/>
    <mergeCell ref="Q26:S26"/>
    <mergeCell ref="T26:V26"/>
    <mergeCell ref="W26:Y26"/>
    <mergeCell ref="N27:P27"/>
    <mergeCell ref="Q27:S27"/>
    <mergeCell ref="N30:P30"/>
    <mergeCell ref="Q30:S30"/>
    <mergeCell ref="T30:V30"/>
    <mergeCell ref="W30:Y30"/>
    <mergeCell ref="K30:M30"/>
    <mergeCell ref="H31:J31"/>
    <mergeCell ref="K31:M31"/>
    <mergeCell ref="H27:J27"/>
    <mergeCell ref="K27:M27"/>
    <mergeCell ref="W29:Y29"/>
    <mergeCell ref="W27:Y27"/>
    <mergeCell ref="H29:J29"/>
    <mergeCell ref="K29:M29"/>
    <mergeCell ref="N29:P29"/>
    <mergeCell ref="Q29:S29"/>
    <mergeCell ref="T29:V29"/>
    <mergeCell ref="T28:V28"/>
    <mergeCell ref="W28:Y28"/>
    <mergeCell ref="N31:P31"/>
    <mergeCell ref="Q31:S31"/>
    <mergeCell ref="T31:V31"/>
    <mergeCell ref="W31:Y31"/>
    <mergeCell ref="Z29:AC29"/>
    <mergeCell ref="AD29:AG29"/>
    <mergeCell ref="AH29:AK29"/>
    <mergeCell ref="Z24:AC24"/>
    <mergeCell ref="AD24:AG24"/>
    <mergeCell ref="AH24:AK24"/>
    <mergeCell ref="Z26:AC26"/>
    <mergeCell ref="Z27:AC27"/>
    <mergeCell ref="Z25:AC25"/>
    <mergeCell ref="AD25:AG25"/>
    <mergeCell ref="AH25:AK25"/>
    <mergeCell ref="AD22:AK22"/>
    <mergeCell ref="AD23:AG23"/>
    <mergeCell ref="H21:AK21"/>
    <mergeCell ref="H22:J23"/>
    <mergeCell ref="K22:M23"/>
    <mergeCell ref="H24:J24"/>
    <mergeCell ref="K24:M24"/>
    <mergeCell ref="AH18:AJ18"/>
    <mergeCell ref="AE19:AG19"/>
    <mergeCell ref="AH19:AJ19"/>
    <mergeCell ref="AK19:AM19"/>
    <mergeCell ref="T19:Y19"/>
    <mergeCell ref="AN15:AS15"/>
    <mergeCell ref="AN16:AS16"/>
    <mergeCell ref="AN17:AS17"/>
    <mergeCell ref="Z31:AC31"/>
    <mergeCell ref="AD26:AG26"/>
    <mergeCell ref="AH26:AK26"/>
    <mergeCell ref="AD27:AG27"/>
    <mergeCell ref="AH27:AK27"/>
    <mergeCell ref="AD31:AG31"/>
    <mergeCell ref="AH31:AK31"/>
    <mergeCell ref="Z28:AC28"/>
    <mergeCell ref="AD28:AG28"/>
    <mergeCell ref="AH28:AK28"/>
    <mergeCell ref="Z30:AC30"/>
    <mergeCell ref="AD30:AG30"/>
    <mergeCell ref="AH30:AK30"/>
    <mergeCell ref="AE17:AG17"/>
    <mergeCell ref="AH23:AK23"/>
    <mergeCell ref="AK16:AM16"/>
    <mergeCell ref="AB15:AD15"/>
    <mergeCell ref="AN18:AS18"/>
    <mergeCell ref="AN19:AS19"/>
    <mergeCell ref="AB19:AD19"/>
    <mergeCell ref="Z22:AC23"/>
    <mergeCell ref="W25:Y25"/>
    <mergeCell ref="H26:J26"/>
    <mergeCell ref="K26:M26"/>
    <mergeCell ref="T27:V27"/>
    <mergeCell ref="H19:J19"/>
    <mergeCell ref="H28:J28"/>
    <mergeCell ref="K28:M28"/>
    <mergeCell ref="N28:P28"/>
    <mergeCell ref="Q28:S28"/>
    <mergeCell ref="N23:P23"/>
    <mergeCell ref="Q23:S23"/>
    <mergeCell ref="N24:P24"/>
    <mergeCell ref="Q24:S24"/>
    <mergeCell ref="T24:V24"/>
    <mergeCell ref="W24:Y24"/>
    <mergeCell ref="T22:Y22"/>
    <mergeCell ref="T23:V23"/>
    <mergeCell ref="W23:Y23"/>
    <mergeCell ref="H25:J25"/>
    <mergeCell ref="K25:M25"/>
    <mergeCell ref="N25:P25"/>
    <mergeCell ref="Q25:S25"/>
    <mergeCell ref="T25:V25"/>
    <mergeCell ref="N26:P26"/>
    <mergeCell ref="H15:J15"/>
    <mergeCell ref="H16:J16"/>
    <mergeCell ref="H17:J17"/>
    <mergeCell ref="H18:J18"/>
    <mergeCell ref="K19:M19"/>
    <mergeCell ref="N19:P19"/>
    <mergeCell ref="Q19:S19"/>
    <mergeCell ref="N22:S22"/>
    <mergeCell ref="T15:Y15"/>
    <mergeCell ref="T16:Y16"/>
    <mergeCell ref="T17:Y17"/>
    <mergeCell ref="K18:M18"/>
    <mergeCell ref="K16:M16"/>
    <mergeCell ref="K17:M17"/>
    <mergeCell ref="T18:Y18"/>
    <mergeCell ref="AE15:AG15"/>
    <mergeCell ref="AH15:AJ15"/>
    <mergeCell ref="AH17:AJ17"/>
    <mergeCell ref="AK17:AM17"/>
    <mergeCell ref="N16:P16"/>
    <mergeCell ref="Q16:S16"/>
    <mergeCell ref="AB16:AD16"/>
    <mergeCell ref="AE16:AG16"/>
    <mergeCell ref="AH16:AJ16"/>
    <mergeCell ref="N17:P17"/>
    <mergeCell ref="Q17:S17"/>
    <mergeCell ref="AB17:AD17"/>
    <mergeCell ref="AK15:AM15"/>
    <mergeCell ref="A6:I6"/>
    <mergeCell ref="J6:W6"/>
    <mergeCell ref="X6:AF6"/>
    <mergeCell ref="AG6:AV6"/>
    <mergeCell ref="A1:N4"/>
    <mergeCell ref="O1:AP1"/>
    <mergeCell ref="AQ1:AV1"/>
    <mergeCell ref="O2:AP4"/>
    <mergeCell ref="AQ2:AV2"/>
    <mergeCell ref="AQ3:AV3"/>
    <mergeCell ref="AQ4:AV4"/>
    <mergeCell ref="AC33:AK33"/>
    <mergeCell ref="AL33:AV33"/>
    <mergeCell ref="A34:E34"/>
    <mergeCell ref="F34:S34"/>
    <mergeCell ref="T34:AB34"/>
    <mergeCell ref="AC34:AK34"/>
    <mergeCell ref="AL34:AV34"/>
    <mergeCell ref="AC35:AK35"/>
    <mergeCell ref="AL35:AV35"/>
    <mergeCell ref="AC36:AK36"/>
    <mergeCell ref="AL36:AV36"/>
    <mergeCell ref="Y44:AV44"/>
    <mergeCell ref="A41:X41"/>
    <mergeCell ref="Y41:AV41"/>
    <mergeCell ref="A42:X42"/>
    <mergeCell ref="Y42:AV42"/>
    <mergeCell ref="A43:X43"/>
    <mergeCell ref="Y43:AV43"/>
    <mergeCell ref="A39:D39"/>
    <mergeCell ref="A38:D38"/>
    <mergeCell ref="A44:X44"/>
    <mergeCell ref="A35:E35"/>
    <mergeCell ref="F35:S35"/>
    <mergeCell ref="T35:AB35"/>
    <mergeCell ref="A33:E33"/>
    <mergeCell ref="F33:S33"/>
    <mergeCell ref="T33:AB33"/>
    <mergeCell ref="AB11:AS11"/>
    <mergeCell ref="AH13:AJ14"/>
    <mergeCell ref="AK13:AM14"/>
    <mergeCell ref="K13:M14"/>
    <mergeCell ref="N13:P14"/>
    <mergeCell ref="K15:M15"/>
    <mergeCell ref="N15:P15"/>
    <mergeCell ref="Q15:S15"/>
    <mergeCell ref="AK18:AM18"/>
    <mergeCell ref="N18:P18"/>
    <mergeCell ref="Q18:S18"/>
    <mergeCell ref="AB18:AD18"/>
    <mergeCell ref="AE18:AG18"/>
    <mergeCell ref="A36:E36"/>
    <mergeCell ref="F36:S36"/>
    <mergeCell ref="T36:AB36"/>
    <mergeCell ref="Q8:Y8"/>
    <mergeCell ref="Z8:AV8"/>
    <mergeCell ref="T13:Y14"/>
    <mergeCell ref="H12:R12"/>
    <mergeCell ref="S12:Y12"/>
    <mergeCell ref="Q13:S14"/>
    <mergeCell ref="AB13:AD14"/>
    <mergeCell ref="Q9:Y9"/>
    <mergeCell ref="AG9:AO9"/>
    <mergeCell ref="J8:P8"/>
    <mergeCell ref="Z9:AF9"/>
    <mergeCell ref="AP9:AV9"/>
    <mergeCell ref="J9:P9"/>
    <mergeCell ref="A8:I8"/>
    <mergeCell ref="A9:I9"/>
    <mergeCell ref="H13:J14"/>
    <mergeCell ref="H11:Y11"/>
    <mergeCell ref="AM12:AS12"/>
    <mergeCell ref="AN13:AS14"/>
    <mergeCell ref="AB12:AL12"/>
    <mergeCell ref="AE13:AG14"/>
    <mergeCell ref="A13:G31"/>
    <mergeCell ref="A11:G12"/>
    <mergeCell ref="H30:J30"/>
  </mergeCells>
  <conditionalFormatting sqref="K24:M31">
    <cfRule type="containsBlanks" dxfId="2" priority="1">
      <formula>LEN(TRIM(K24))=0</formula>
    </cfRule>
  </conditionalFormatting>
  <conditionalFormatting sqref="S12:Y12 K15:M19">
    <cfRule type="containsBlanks" dxfId="1" priority="4">
      <formula>LEN(TRIM(K12))=0</formula>
    </cfRule>
  </conditionalFormatting>
  <conditionalFormatting sqref="AM12:AS12 AE15:AG19">
    <cfRule type="containsBlanks" dxfId="0" priority="3">
      <formula>LEN(TRIM(AE12))=0</formula>
    </cfRule>
  </conditionalFormatting>
  <dataValidations count="1">
    <dataValidation type="list" allowBlank="1" showInputMessage="1" showErrorMessage="1" sqref="J8:P8" xr:uid="{00000000-0002-0000-0000-000000000000}">
      <formula1>$BO$4:$BO$8</formula1>
    </dataValidation>
  </dataValidations>
  <pageMargins left="0.7" right="0.7" top="0.75" bottom="0.75" header="0.3" footer="0.3"/>
  <pageSetup paperSize="9" scale="51" fitToHeight="0" orientation="landscape" r:id="rId1"/>
  <rowBreaks count="1" manualBreakCount="1">
    <brk id="44" max="47" man="1"/>
  </row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64"/>
  <sheetViews>
    <sheetView showGridLines="0" workbookViewId="0">
      <pane ySplit="5" topLeftCell="A6" activePane="bottomLeft" state="frozen"/>
      <selection pane="bottomLeft" activeCell="A2" sqref="A2:H2"/>
    </sheetView>
  </sheetViews>
  <sheetFormatPr baseColWidth="10" defaultColWidth="9.140625" defaultRowHeight="15" x14ac:dyDescent="0.25"/>
  <cols>
    <col min="1" max="6" width="22" customWidth="1"/>
    <col min="7" max="8" width="38" customWidth="1"/>
  </cols>
  <sheetData>
    <row r="1" spans="1:8" ht="30" customHeight="1" x14ac:dyDescent="0.25">
      <c r="A1" s="194" t="s">
        <v>80</v>
      </c>
      <c r="B1" s="194"/>
      <c r="C1" s="194"/>
      <c r="D1" s="194"/>
      <c r="E1" s="194"/>
      <c r="F1" s="194"/>
      <c r="G1" s="194"/>
      <c r="H1" s="194"/>
    </row>
    <row r="2" spans="1:8" ht="30" customHeight="1" x14ac:dyDescent="0.25">
      <c r="A2" s="194" t="s">
        <v>61</v>
      </c>
      <c r="B2" s="194"/>
      <c r="C2" s="194"/>
      <c r="D2" s="194"/>
      <c r="E2" s="194"/>
      <c r="F2" s="194"/>
      <c r="G2" s="194"/>
      <c r="H2" s="194"/>
    </row>
    <row r="3" spans="1:8" ht="30" customHeight="1" x14ac:dyDescent="0.25">
      <c r="A3" s="194" t="s">
        <v>62</v>
      </c>
      <c r="B3" s="194"/>
      <c r="C3" s="194"/>
      <c r="D3" s="194"/>
      <c r="E3" s="194"/>
      <c r="F3" s="194"/>
      <c r="G3" s="194"/>
      <c r="H3" s="194"/>
    </row>
    <row r="4" spans="1:8" x14ac:dyDescent="0.25">
      <c r="A4" s="11"/>
      <c r="B4" s="11"/>
      <c r="C4" s="11"/>
      <c r="D4" s="11"/>
      <c r="E4" s="11"/>
      <c r="F4" s="11"/>
      <c r="G4" s="11"/>
      <c r="H4" s="11"/>
    </row>
    <row r="5" spans="1:8" ht="39.950000000000003" customHeight="1" x14ac:dyDescent="0.25">
      <c r="A5" s="12" t="s">
        <v>63</v>
      </c>
      <c r="B5" s="12" t="s">
        <v>64</v>
      </c>
      <c r="C5" s="12" t="s">
        <v>65</v>
      </c>
      <c r="D5" s="12" t="s">
        <v>66</v>
      </c>
      <c r="E5" s="12" t="s">
        <v>67</v>
      </c>
      <c r="F5" s="12" t="s">
        <v>68</v>
      </c>
      <c r="G5" s="12" t="s">
        <v>69</v>
      </c>
      <c r="H5" s="12" t="s">
        <v>70</v>
      </c>
    </row>
    <row r="6" spans="1:8" ht="39.950000000000003" customHeight="1" x14ac:dyDescent="0.25">
      <c r="A6" s="14"/>
      <c r="B6" s="13"/>
      <c r="C6" s="14"/>
      <c r="D6" s="14"/>
      <c r="E6" s="13"/>
      <c r="F6" s="13"/>
      <c r="G6" s="13"/>
      <c r="H6" s="13"/>
    </row>
    <row r="7" spans="1:8" ht="39.950000000000003" customHeight="1" x14ac:dyDescent="0.25">
      <c r="A7" s="14"/>
      <c r="B7" s="13"/>
      <c r="C7" s="14"/>
      <c r="D7" s="14"/>
      <c r="E7" s="13"/>
      <c r="F7" s="13"/>
      <c r="G7" s="13"/>
      <c r="H7" s="13"/>
    </row>
    <row r="8" spans="1:8" ht="39.950000000000003" customHeight="1" x14ac:dyDescent="0.25">
      <c r="A8" s="14"/>
      <c r="B8" s="13"/>
      <c r="C8" s="14"/>
      <c r="D8" s="14"/>
      <c r="E8" s="13"/>
      <c r="F8" s="13"/>
      <c r="G8" s="13"/>
      <c r="H8" s="13"/>
    </row>
    <row r="9" spans="1:8" ht="39.950000000000003" customHeight="1" x14ac:dyDescent="0.25">
      <c r="A9" s="14"/>
      <c r="B9" s="13"/>
      <c r="C9" s="14"/>
      <c r="D9" s="14"/>
      <c r="E9" s="13"/>
      <c r="F9" s="13"/>
      <c r="G9" s="13"/>
      <c r="H9" s="13"/>
    </row>
    <row r="10" spans="1:8" ht="39.950000000000003" customHeight="1" x14ac:dyDescent="0.25">
      <c r="A10" s="14"/>
      <c r="B10" s="13"/>
      <c r="C10" s="14"/>
      <c r="D10" s="14"/>
      <c r="E10" s="13"/>
      <c r="F10" s="13"/>
      <c r="G10" s="13"/>
      <c r="H10" s="13"/>
    </row>
    <row r="11" spans="1:8" ht="39.950000000000003" customHeight="1" x14ac:dyDescent="0.25">
      <c r="A11" s="14"/>
      <c r="B11" s="13"/>
      <c r="C11" s="14"/>
      <c r="D11" s="14"/>
      <c r="E11" s="13"/>
      <c r="F11" s="13"/>
      <c r="G11" s="13"/>
      <c r="H11" s="13"/>
    </row>
    <row r="12" spans="1:8" ht="39.950000000000003" customHeight="1" x14ac:dyDescent="0.25">
      <c r="A12" s="14"/>
      <c r="B12" s="13"/>
      <c r="C12" s="14"/>
      <c r="D12" s="14"/>
      <c r="E12" s="13"/>
      <c r="F12" s="13"/>
      <c r="G12" s="13"/>
      <c r="H12" s="13"/>
    </row>
    <row r="13" spans="1:8" ht="39.950000000000003" customHeight="1" x14ac:dyDescent="0.25">
      <c r="A13" s="14"/>
      <c r="B13" s="13"/>
      <c r="C13" s="14"/>
      <c r="D13" s="14"/>
      <c r="E13" s="13"/>
      <c r="F13" s="13"/>
      <c r="G13" s="13"/>
      <c r="H13" s="13"/>
    </row>
    <row r="14" spans="1:8" ht="39.950000000000003" customHeight="1" x14ac:dyDescent="0.25">
      <c r="A14" s="14"/>
      <c r="B14" s="13"/>
      <c r="C14" s="14"/>
      <c r="D14" s="14"/>
      <c r="E14" s="13"/>
      <c r="F14" s="13"/>
      <c r="G14" s="13"/>
      <c r="H14" s="13"/>
    </row>
    <row r="15" spans="1:8" ht="39.950000000000003" customHeight="1" x14ac:dyDescent="0.25">
      <c r="A15" s="14"/>
      <c r="B15" s="13"/>
      <c r="C15" s="14"/>
      <c r="D15" s="14"/>
      <c r="E15" s="13"/>
      <c r="F15" s="13"/>
      <c r="G15" s="13"/>
      <c r="H15" s="13"/>
    </row>
    <row r="16" spans="1:8" ht="39.950000000000003" customHeight="1" x14ac:dyDescent="0.25">
      <c r="A16" s="14"/>
      <c r="B16" s="13"/>
      <c r="C16" s="14"/>
      <c r="D16" s="14"/>
      <c r="E16" s="13"/>
      <c r="F16" s="13"/>
      <c r="G16" s="13"/>
      <c r="H16" s="13"/>
    </row>
    <row r="17" spans="1:8" ht="39.950000000000003" customHeight="1" x14ac:dyDescent="0.25">
      <c r="A17" s="14"/>
      <c r="B17" s="13"/>
      <c r="C17" s="14"/>
      <c r="D17" s="14"/>
      <c r="E17" s="13"/>
      <c r="F17" s="13"/>
      <c r="G17" s="13"/>
      <c r="H17" s="13"/>
    </row>
    <row r="18" spans="1:8" ht="39.950000000000003" customHeight="1" x14ac:dyDescent="0.25">
      <c r="A18" s="14"/>
      <c r="B18" s="13"/>
      <c r="C18" s="14"/>
      <c r="D18" s="14"/>
      <c r="E18" s="13"/>
      <c r="F18" s="13"/>
      <c r="G18" s="13"/>
      <c r="H18" s="13"/>
    </row>
    <row r="19" spans="1:8" ht="39.950000000000003" customHeight="1" x14ac:dyDescent="0.25">
      <c r="A19" s="14"/>
      <c r="B19" s="13"/>
      <c r="C19" s="14"/>
      <c r="D19" s="14"/>
      <c r="E19" s="13"/>
      <c r="F19" s="13"/>
      <c r="G19" s="13"/>
      <c r="H19" s="13"/>
    </row>
    <row r="20" spans="1:8" ht="39.950000000000003" customHeight="1" x14ac:dyDescent="0.25">
      <c r="A20" s="14"/>
      <c r="B20" s="13"/>
      <c r="C20" s="14"/>
      <c r="D20" s="14"/>
      <c r="E20" s="13"/>
      <c r="F20" s="13"/>
      <c r="G20" s="13"/>
      <c r="H20" s="13"/>
    </row>
    <row r="21" spans="1:8" ht="39.950000000000003" customHeight="1" x14ac:dyDescent="0.25">
      <c r="A21" s="14"/>
      <c r="B21" s="13"/>
      <c r="C21" s="14"/>
      <c r="D21" s="14"/>
      <c r="E21" s="13"/>
      <c r="F21" s="13"/>
      <c r="G21" s="13"/>
      <c r="H21" s="13"/>
    </row>
    <row r="22" spans="1:8" ht="39.950000000000003" customHeight="1" x14ac:dyDescent="0.25">
      <c r="A22" s="14"/>
      <c r="B22" s="13"/>
      <c r="C22" s="14"/>
      <c r="D22" s="14"/>
      <c r="E22" s="13"/>
      <c r="F22" s="13"/>
      <c r="G22" s="13"/>
      <c r="H22" s="13"/>
    </row>
    <row r="23" spans="1:8" ht="39.950000000000003" customHeight="1" x14ac:dyDescent="0.25">
      <c r="A23" s="14"/>
      <c r="B23" s="13"/>
      <c r="C23" s="14"/>
      <c r="D23" s="14"/>
      <c r="E23" s="13"/>
      <c r="F23" s="13"/>
      <c r="G23" s="13"/>
      <c r="H23" s="13"/>
    </row>
    <row r="24" spans="1:8" ht="39.950000000000003" customHeight="1" x14ac:dyDescent="0.25">
      <c r="A24" s="14"/>
      <c r="B24" s="13"/>
      <c r="C24" s="14"/>
      <c r="D24" s="14"/>
      <c r="E24" s="13"/>
      <c r="F24" s="13"/>
      <c r="G24" s="13"/>
      <c r="H24" s="13"/>
    </row>
    <row r="25" spans="1:8" ht="39.950000000000003" customHeight="1" x14ac:dyDescent="0.25">
      <c r="A25" s="14"/>
      <c r="B25" s="13"/>
      <c r="C25" s="14"/>
      <c r="D25" s="14"/>
      <c r="E25" s="13"/>
      <c r="F25" s="13"/>
      <c r="G25" s="13"/>
      <c r="H25" s="13"/>
    </row>
    <row r="26" spans="1:8" ht="39.950000000000003" customHeight="1" x14ac:dyDescent="0.25">
      <c r="A26" s="14"/>
      <c r="B26" s="13"/>
      <c r="C26" s="14"/>
      <c r="D26" s="14"/>
      <c r="E26" s="13"/>
      <c r="F26" s="13"/>
      <c r="G26" s="13"/>
      <c r="H26" s="13"/>
    </row>
    <row r="27" spans="1:8" ht="39.950000000000003" customHeight="1" x14ac:dyDescent="0.25">
      <c r="A27" s="14"/>
      <c r="B27" s="13"/>
      <c r="C27" s="14"/>
      <c r="D27" s="14"/>
      <c r="E27" s="13"/>
      <c r="F27" s="13"/>
      <c r="G27" s="13"/>
      <c r="H27" s="13"/>
    </row>
    <row r="28" spans="1:8" ht="39.950000000000003" customHeight="1" x14ac:dyDescent="0.25">
      <c r="A28" s="14"/>
      <c r="B28" s="13"/>
      <c r="C28" s="14"/>
      <c r="D28" s="14"/>
      <c r="E28" s="13"/>
      <c r="F28" s="13"/>
      <c r="G28" s="13"/>
      <c r="H28" s="13"/>
    </row>
    <row r="29" spans="1:8" ht="39.950000000000003" customHeight="1" x14ac:dyDescent="0.25">
      <c r="A29" s="14"/>
      <c r="B29" s="13"/>
      <c r="C29" s="14"/>
      <c r="D29" s="14"/>
      <c r="E29" s="13"/>
      <c r="F29" s="13"/>
      <c r="G29" s="13"/>
      <c r="H29" s="13"/>
    </row>
    <row r="30" spans="1:8" ht="39.950000000000003" customHeight="1" x14ac:dyDescent="0.25">
      <c r="A30" s="14"/>
      <c r="B30" s="13"/>
      <c r="C30" s="14"/>
      <c r="D30" s="14"/>
      <c r="E30" s="13"/>
      <c r="F30" s="13"/>
      <c r="G30" s="13"/>
      <c r="H30" s="13"/>
    </row>
    <row r="31" spans="1:8" ht="39.950000000000003" customHeight="1" x14ac:dyDescent="0.25">
      <c r="A31" s="14"/>
      <c r="B31" s="13"/>
      <c r="C31" s="14"/>
      <c r="D31" s="14"/>
      <c r="E31" s="13"/>
      <c r="F31" s="13"/>
      <c r="G31" s="13"/>
      <c r="H31" s="13"/>
    </row>
    <row r="32" spans="1:8" ht="39.950000000000003" customHeight="1" x14ac:dyDescent="0.25">
      <c r="A32" s="14"/>
      <c r="B32" s="13"/>
      <c r="C32" s="14"/>
      <c r="D32" s="14"/>
      <c r="E32" s="13"/>
      <c r="F32" s="13"/>
      <c r="G32" s="13"/>
      <c r="H32" s="13"/>
    </row>
    <row r="33" spans="1:8" ht="39.950000000000003" customHeight="1" x14ac:dyDescent="0.25">
      <c r="A33" s="14"/>
      <c r="B33" s="13"/>
      <c r="C33" s="14"/>
      <c r="D33" s="14"/>
      <c r="E33" s="13"/>
      <c r="F33" s="13"/>
      <c r="G33" s="13"/>
      <c r="H33" s="13"/>
    </row>
    <row r="34" spans="1:8" ht="39.950000000000003" customHeight="1" x14ac:dyDescent="0.25">
      <c r="A34" s="14"/>
      <c r="B34" s="13"/>
      <c r="C34" s="14"/>
      <c r="D34" s="14"/>
      <c r="E34" s="13"/>
      <c r="F34" s="13"/>
      <c r="G34" s="13"/>
      <c r="H34" s="13"/>
    </row>
    <row r="35" spans="1:8" ht="39.950000000000003" customHeight="1" x14ac:dyDescent="0.25">
      <c r="A35" s="14"/>
      <c r="B35" s="13"/>
      <c r="C35" s="14"/>
      <c r="D35" s="14"/>
      <c r="E35" s="13"/>
      <c r="F35" s="13"/>
      <c r="G35" s="13"/>
      <c r="H35" s="13"/>
    </row>
    <row r="36" spans="1:8" ht="39.950000000000003" customHeight="1" x14ac:dyDescent="0.25">
      <c r="A36" s="14"/>
      <c r="B36" s="13"/>
      <c r="C36" s="14"/>
      <c r="D36" s="14"/>
      <c r="E36" s="13"/>
      <c r="F36" s="13"/>
      <c r="G36" s="13"/>
      <c r="H36" s="13"/>
    </row>
    <row r="37" spans="1:8" ht="39.950000000000003" customHeight="1" x14ac:dyDescent="0.25">
      <c r="A37" s="14"/>
      <c r="B37" s="13"/>
      <c r="C37" s="14"/>
      <c r="D37" s="14"/>
      <c r="E37" s="13"/>
      <c r="F37" s="13"/>
      <c r="G37" s="13"/>
      <c r="H37" s="13"/>
    </row>
    <row r="38" spans="1:8" ht="39.950000000000003" customHeight="1" x14ac:dyDescent="0.25">
      <c r="A38" s="14"/>
      <c r="B38" s="13"/>
      <c r="C38" s="14"/>
      <c r="D38" s="14"/>
      <c r="E38" s="13"/>
      <c r="F38" s="13"/>
      <c r="G38" s="13"/>
      <c r="H38" s="13"/>
    </row>
    <row r="39" spans="1:8" ht="39.950000000000003" customHeight="1" x14ac:dyDescent="0.25">
      <c r="A39" s="14"/>
      <c r="B39" s="13"/>
      <c r="C39" s="14"/>
      <c r="D39" s="14"/>
      <c r="E39" s="13"/>
      <c r="F39" s="13"/>
      <c r="G39" s="13"/>
      <c r="H39" s="13"/>
    </row>
    <row r="40" spans="1:8" ht="39.950000000000003" customHeight="1" x14ac:dyDescent="0.25">
      <c r="A40" s="14"/>
      <c r="B40" s="13"/>
      <c r="C40" s="14"/>
      <c r="D40" s="14"/>
      <c r="E40" s="13"/>
      <c r="F40" s="13"/>
      <c r="G40" s="13"/>
      <c r="H40" s="13"/>
    </row>
    <row r="41" spans="1:8" ht="39.950000000000003" customHeight="1" x14ac:dyDescent="0.25">
      <c r="A41" s="14"/>
      <c r="B41" s="13"/>
      <c r="C41" s="14"/>
      <c r="D41" s="14"/>
      <c r="E41" s="13"/>
      <c r="F41" s="13"/>
      <c r="G41" s="13"/>
      <c r="H41" s="13"/>
    </row>
    <row r="42" spans="1:8" ht="39.950000000000003" customHeight="1" x14ac:dyDescent="0.25">
      <c r="A42" s="14"/>
      <c r="B42" s="13"/>
      <c r="C42" s="14"/>
      <c r="D42" s="14"/>
      <c r="E42" s="13"/>
      <c r="F42" s="13"/>
      <c r="G42" s="13"/>
      <c r="H42" s="13"/>
    </row>
    <row r="43" spans="1:8" ht="39.950000000000003" customHeight="1" x14ac:dyDescent="0.25">
      <c r="A43" s="14"/>
      <c r="B43" s="13"/>
      <c r="C43" s="14"/>
      <c r="D43" s="14"/>
      <c r="E43" s="13"/>
      <c r="F43" s="13"/>
      <c r="G43" s="13"/>
      <c r="H43" s="13"/>
    </row>
    <row r="44" spans="1:8" ht="39.950000000000003" customHeight="1" x14ac:dyDescent="0.25">
      <c r="A44" s="14"/>
      <c r="B44" s="13"/>
      <c r="C44" s="14"/>
      <c r="D44" s="14"/>
      <c r="E44" s="13"/>
      <c r="F44" s="13"/>
      <c r="G44" s="13"/>
      <c r="H44" s="13"/>
    </row>
    <row r="45" spans="1:8" ht="39.950000000000003" customHeight="1" x14ac:dyDescent="0.25">
      <c r="A45" s="14"/>
      <c r="B45" s="13"/>
      <c r="C45" s="14"/>
      <c r="D45" s="14"/>
      <c r="E45" s="13"/>
      <c r="F45" s="13"/>
      <c r="G45" s="13"/>
      <c r="H45" s="13"/>
    </row>
    <row r="46" spans="1:8" ht="39.950000000000003" customHeight="1" x14ac:dyDescent="0.25">
      <c r="A46" s="14"/>
      <c r="B46" s="13"/>
      <c r="C46" s="14"/>
      <c r="D46" s="14"/>
      <c r="E46" s="13"/>
      <c r="F46" s="13"/>
      <c r="G46" s="13"/>
      <c r="H46" s="13"/>
    </row>
    <row r="47" spans="1:8" ht="39.950000000000003" customHeight="1" x14ac:dyDescent="0.25">
      <c r="A47" s="14"/>
      <c r="B47" s="13"/>
      <c r="C47" s="14"/>
      <c r="D47" s="14"/>
      <c r="E47" s="13"/>
      <c r="F47" s="13"/>
      <c r="G47" s="13"/>
      <c r="H47" s="13"/>
    </row>
    <row r="48" spans="1:8" ht="39.950000000000003" customHeight="1" x14ac:dyDescent="0.25">
      <c r="A48" s="14"/>
      <c r="B48" s="13"/>
      <c r="C48" s="14"/>
      <c r="D48" s="14"/>
      <c r="E48" s="13"/>
      <c r="F48" s="13"/>
      <c r="G48" s="13"/>
      <c r="H48" s="13"/>
    </row>
    <row r="49" spans="1:8" ht="39.950000000000003" customHeight="1" x14ac:dyDescent="0.25">
      <c r="A49" s="14"/>
      <c r="B49" s="13"/>
      <c r="C49" s="14"/>
      <c r="D49" s="14"/>
      <c r="E49" s="13"/>
      <c r="F49" s="13"/>
      <c r="G49" s="13"/>
      <c r="H49" s="13"/>
    </row>
    <row r="50" spans="1:8" ht="39.950000000000003" customHeight="1" x14ac:dyDescent="0.25">
      <c r="A50" s="14"/>
      <c r="B50" s="13"/>
      <c r="C50" s="14"/>
      <c r="D50" s="14"/>
      <c r="E50" s="13"/>
      <c r="F50" s="13"/>
      <c r="G50" s="13"/>
      <c r="H50" s="13"/>
    </row>
    <row r="51" spans="1:8" ht="39.950000000000003" customHeight="1" x14ac:dyDescent="0.25">
      <c r="A51" s="14"/>
      <c r="B51" s="13"/>
      <c r="C51" s="14"/>
      <c r="D51" s="14"/>
      <c r="E51" s="13"/>
      <c r="F51" s="13"/>
      <c r="G51" s="13"/>
      <c r="H51" s="13"/>
    </row>
    <row r="52" spans="1:8" ht="39.950000000000003" customHeight="1" x14ac:dyDescent="0.25">
      <c r="A52" s="14"/>
      <c r="B52" s="13"/>
      <c r="C52" s="14"/>
      <c r="D52" s="14"/>
      <c r="E52" s="13"/>
      <c r="F52" s="13"/>
      <c r="G52" s="13"/>
      <c r="H52" s="13"/>
    </row>
    <row r="53" spans="1:8" ht="39.950000000000003" customHeight="1" x14ac:dyDescent="0.25">
      <c r="A53" s="14"/>
      <c r="B53" s="13"/>
      <c r="C53" s="14"/>
      <c r="D53" s="14"/>
      <c r="E53" s="13"/>
      <c r="F53" s="13"/>
      <c r="G53" s="13"/>
      <c r="H53" s="13"/>
    </row>
    <row r="54" spans="1:8" ht="39.950000000000003" customHeight="1" x14ac:dyDescent="0.25">
      <c r="A54" s="14"/>
      <c r="B54" s="13"/>
      <c r="C54" s="14"/>
      <c r="D54" s="14"/>
      <c r="E54" s="13"/>
      <c r="F54" s="13"/>
      <c r="G54" s="13"/>
      <c r="H54" s="13"/>
    </row>
    <row r="55" spans="1:8" ht="39.950000000000003" customHeight="1" x14ac:dyDescent="0.25">
      <c r="A55" s="14"/>
      <c r="B55" s="13"/>
      <c r="C55" s="14"/>
      <c r="D55" s="14"/>
      <c r="E55" s="13"/>
      <c r="F55" s="13"/>
      <c r="G55" s="13"/>
      <c r="H55" s="13"/>
    </row>
    <row r="56" spans="1:8" ht="39.950000000000003" customHeight="1" x14ac:dyDescent="0.25">
      <c r="A56" s="14"/>
      <c r="B56" s="13"/>
      <c r="C56" s="14"/>
      <c r="D56" s="14"/>
      <c r="E56" s="13"/>
      <c r="F56" s="13"/>
      <c r="G56" s="13"/>
      <c r="H56" s="13"/>
    </row>
    <row r="57" spans="1:8" ht="39.950000000000003" customHeight="1" x14ac:dyDescent="0.25">
      <c r="A57" s="14"/>
      <c r="B57" s="13"/>
      <c r="C57" s="14"/>
      <c r="D57" s="14"/>
      <c r="E57" s="13"/>
      <c r="F57" s="13"/>
      <c r="G57" s="13"/>
      <c r="H57" s="13"/>
    </row>
    <row r="60" spans="1:8" ht="36" customHeight="1" x14ac:dyDescent="0.25">
      <c r="A60" s="193" t="s">
        <v>71</v>
      </c>
      <c r="B60" s="193"/>
      <c r="C60" s="193"/>
      <c r="D60" s="193"/>
      <c r="E60" s="193"/>
      <c r="F60" s="193"/>
      <c r="G60" s="193"/>
      <c r="H60" s="193"/>
    </row>
    <row r="61" spans="1:8" ht="36" customHeight="1" x14ac:dyDescent="0.25">
      <c r="A61" s="193" t="s">
        <v>72</v>
      </c>
      <c r="B61" s="193"/>
      <c r="C61" s="193"/>
      <c r="D61" s="193"/>
      <c r="E61" s="193"/>
      <c r="F61" s="193"/>
      <c r="G61" s="193"/>
      <c r="H61" s="193"/>
    </row>
    <row r="62" spans="1:8" ht="36" customHeight="1" x14ac:dyDescent="0.25">
      <c r="A62" s="193" t="s">
        <v>73</v>
      </c>
      <c r="B62" s="193"/>
      <c r="C62" s="193"/>
      <c r="D62" s="193"/>
      <c r="E62" s="193"/>
      <c r="F62" s="193"/>
      <c r="G62" s="193"/>
      <c r="H62" s="193"/>
    </row>
    <row r="63" spans="1:8" ht="36" customHeight="1" x14ac:dyDescent="0.25">
      <c r="A63" s="193" t="s">
        <v>74</v>
      </c>
      <c r="B63" s="193"/>
      <c r="C63" s="193"/>
      <c r="D63" s="193"/>
      <c r="E63" s="193"/>
      <c r="F63" s="193"/>
      <c r="G63" s="193"/>
      <c r="H63" s="193"/>
    </row>
    <row r="64" spans="1:8" ht="36" customHeight="1" x14ac:dyDescent="0.25">
      <c r="A64" s="193" t="s">
        <v>75</v>
      </c>
      <c r="B64" s="193"/>
      <c r="C64" s="193"/>
      <c r="D64" s="193"/>
      <c r="E64" s="193"/>
      <c r="F64" s="193"/>
      <c r="G64" s="193"/>
      <c r="H64" s="193"/>
    </row>
  </sheetData>
  <mergeCells count="8">
    <mergeCell ref="A62:H62"/>
    <mergeCell ref="A63:H63"/>
    <mergeCell ref="A64:H64"/>
    <mergeCell ref="A1:H1"/>
    <mergeCell ref="A2:H2"/>
    <mergeCell ref="A3:H3"/>
    <mergeCell ref="A60:H60"/>
    <mergeCell ref="A61:H61"/>
  </mergeCells>
  <pageMargins left="0.7" right="0.7" top="0.75" bottom="0.7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A9EF7-EE6E-41ED-8AA0-F5B76CE31830}">
  <dimension ref="C2:E12"/>
  <sheetViews>
    <sheetView workbookViewId="0">
      <selection activeCell="E17" sqref="E17"/>
    </sheetView>
  </sheetViews>
  <sheetFormatPr baseColWidth="10" defaultRowHeight="15" x14ac:dyDescent="0.25"/>
  <cols>
    <col min="3" max="3" width="9.7109375" bestFit="1" customWidth="1"/>
    <col min="4" max="4" width="12.7109375" bestFit="1" customWidth="1"/>
    <col min="5" max="5" width="81.5703125" customWidth="1"/>
  </cols>
  <sheetData>
    <row r="2" spans="3:5" ht="15.75" thickBot="1" x14ac:dyDescent="0.3"/>
    <row r="3" spans="3:5" ht="15.75" thickBot="1" x14ac:dyDescent="0.3">
      <c r="C3" s="15"/>
      <c r="D3" s="15"/>
      <c r="E3" s="15"/>
    </row>
    <row r="4" spans="3:5" ht="15.75" thickBot="1" x14ac:dyDescent="0.3">
      <c r="C4" s="15"/>
      <c r="D4" s="15"/>
      <c r="E4" s="15"/>
    </row>
    <row r="5" spans="3:5" ht="15.75" thickBot="1" x14ac:dyDescent="0.3">
      <c r="C5" s="15"/>
      <c r="D5" s="15"/>
      <c r="E5" s="15"/>
    </row>
    <row r="6" spans="3:5" ht="16.5" thickBot="1" x14ac:dyDescent="0.3">
      <c r="C6" s="23" t="s">
        <v>81</v>
      </c>
      <c r="D6" s="24"/>
      <c r="E6" s="25"/>
    </row>
    <row r="7" spans="3:5" ht="32.25" thickBot="1" x14ac:dyDescent="0.3">
      <c r="C7" s="16" t="s">
        <v>82</v>
      </c>
      <c r="D7" s="17" t="s">
        <v>83</v>
      </c>
      <c r="E7" s="17" t="s">
        <v>84</v>
      </c>
    </row>
    <row r="8" spans="3:5" ht="15.75" thickBot="1" x14ac:dyDescent="0.3">
      <c r="C8" s="21" t="s">
        <v>86</v>
      </c>
      <c r="D8" s="19">
        <v>45590</v>
      </c>
      <c r="E8" s="20" t="s">
        <v>85</v>
      </c>
    </row>
    <row r="9" spans="3:5" ht="15.75" thickBot="1" x14ac:dyDescent="0.3">
      <c r="C9" s="21" t="s">
        <v>87</v>
      </c>
      <c r="D9" s="19">
        <v>46281</v>
      </c>
      <c r="E9" s="20" t="s">
        <v>88</v>
      </c>
    </row>
    <row r="10" spans="3:5" ht="15.75" thickBot="1" x14ac:dyDescent="0.3">
      <c r="C10" s="22"/>
      <c r="D10" s="18"/>
      <c r="E10" s="18"/>
    </row>
    <row r="11" spans="3:5" ht="15.75" thickBot="1" x14ac:dyDescent="0.3">
      <c r="C11" s="22"/>
      <c r="D11" s="18"/>
      <c r="E11" s="18"/>
    </row>
    <row r="12" spans="3:5" ht="15.75" thickBot="1" x14ac:dyDescent="0.3">
      <c r="C12" s="15"/>
      <c r="D12" s="15"/>
      <c r="E12" s="15"/>
    </row>
  </sheetData>
  <mergeCells count="1">
    <mergeCell ref="C6:E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Balanzas</vt:lpstr>
      <vt:lpstr>Control semanal</vt:lpstr>
      <vt:lpstr>CONTROL DE CAMBIOS</vt:lpstr>
      <vt:lpstr>Balanzas!Área_de_impresión</vt:lpstr>
      <vt:lpstr>'Control semanal'!Área_de_impresión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GeoDelta Jef Laborat</dc:creator>
  <cp:lastModifiedBy>GeoDelta Jef Laborat</cp:lastModifiedBy>
  <dcterms:created xsi:type="dcterms:W3CDTF">2026-09-08T20:58:21Z</dcterms:created>
  <dcterms:modified xsi:type="dcterms:W3CDTF">2026-09-21T16:38:30Z</dcterms:modified>
</cp:coreProperties>
</file>