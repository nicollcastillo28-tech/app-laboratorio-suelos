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50A0878A-DF86-47C0-BCBF-CFC8151CDB1A}" xr6:coauthVersionLast="47" xr6:coauthVersionMax="47" xr10:uidLastSave="{00000000-0000-0000-0000-000000000000}"/>
  <bookViews>
    <workbookView xWindow="-120" yWindow="-120" windowWidth="29040" windowHeight="15720" tabRatio="583" xr2:uid="{00000000-000D-0000-FFFF-FFFF00000000}"/>
  </bookViews>
  <sheets>
    <sheet name="1" sheetId="3" r:id="rId1"/>
    <sheet name="2" sheetId="2" r:id="rId2"/>
    <sheet name="CARGA1" sheetId="5" r:id="rId3"/>
    <sheet name="Fuente" sheetId="4" r:id="rId4"/>
    <sheet name="GRAVEDAD ESPECIFICA" sheetId="6" r:id="rId5"/>
  </sheets>
  <externalReferences>
    <externalReference r:id="rId6"/>
    <externalReference r:id="rId7"/>
    <externalReference r:id="rId8"/>
  </externalReferences>
  <definedNames>
    <definedName name="__123Graph_AYO" localSheetId="4" hidden="1">#REF!</definedName>
    <definedName name="__123Graph_AYO" hidden="1">#REF!</definedName>
    <definedName name="__123Graph_XYO" localSheetId="4" hidden="1">#REF!</definedName>
    <definedName name="__123Graph_XYO" hidden="1">#REF!</definedName>
    <definedName name="_Fill" localSheetId="4" hidden="1">#REF!</definedName>
    <definedName name="_Fill" hidden="1">#REF!</definedName>
    <definedName name="_Regression_Out" localSheetId="4" hidden="1">[1]L!#REF!</definedName>
    <definedName name="_Regression_Out" hidden="1">[1]L!#REF!</definedName>
    <definedName name="_Regression_X" localSheetId="4" hidden="1">#REF!</definedName>
    <definedName name="_Regression_X" hidden="1">#REF!</definedName>
    <definedName name="_Regression_Y" localSheetId="4" hidden="1">#REF!</definedName>
    <definedName name="_Regression_Y" hidden="1">#REF!</definedName>
    <definedName name="_xlnm.Print_Area" localSheetId="0">'1'!$A$1:$L$66</definedName>
    <definedName name="_xlnm.Print_Area" localSheetId="1">'2'!$A$1:$M$61</definedName>
    <definedName name="_xlnm.Print_Area" localSheetId="2">CARGA1!$A$1:$M$74</definedName>
    <definedName name="_xlnm.Print_Area" localSheetId="4">'GRAVEDAD ESPECIFICA'!$A$1</definedName>
    <definedName name="Ensayo1">Fuente!$A$1:$E$163</definedName>
    <definedName name="Ensayo2">Fuente!$H$1:$L$163</definedName>
    <definedName name="Ensayo3">Fuente!$O$1:$S$163</definedName>
    <definedName name="GFDGSD" localSheetId="4" hidden="1">[1]L!#REF!</definedName>
    <definedName name="GFDGSD" hidden="1">[1]L!#REF!</definedName>
    <definedName name="k.Temp.">'[2]K Temp.'!$A$1:$B$161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4" i="2" l="1"/>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1" i="2"/>
  <c r="H22" i="2"/>
  <c r="H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21" i="2"/>
  <c r="G22" i="2"/>
  <c r="G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21" i="2"/>
  <c r="F22" i="2"/>
  <c r="F23" i="2"/>
  <c r="C8" i="5"/>
  <c r="C8" i="2"/>
  <c r="D28" i="2" l="1"/>
  <c r="D22" i="2"/>
  <c r="E22" i="2"/>
  <c r="D23" i="2"/>
  <c r="E23" i="2"/>
  <c r="D24" i="2"/>
  <c r="E24" i="2"/>
  <c r="D25" i="2"/>
  <c r="E25" i="2"/>
  <c r="D26" i="2"/>
  <c r="E26" i="2"/>
  <c r="D27" i="2"/>
  <c r="E27" i="2"/>
  <c r="E28" i="2"/>
  <c r="D29" i="2"/>
  <c r="E29" i="2"/>
  <c r="D30" i="2"/>
  <c r="E30" i="2"/>
  <c r="D31" i="2"/>
  <c r="E31" i="2"/>
  <c r="D32" i="2"/>
  <c r="E32" i="2"/>
  <c r="D33" i="2"/>
  <c r="E33" i="2"/>
  <c r="D34" i="2"/>
  <c r="E34" i="2"/>
  <c r="D35" i="2"/>
  <c r="E35" i="2"/>
  <c r="D36" i="2"/>
  <c r="E36" i="2"/>
  <c r="D37" i="2"/>
  <c r="E37" i="2"/>
  <c r="D38" i="2"/>
  <c r="E38" i="2"/>
  <c r="D39" i="2"/>
  <c r="E39" i="2"/>
  <c r="D40" i="2"/>
  <c r="E40" i="2"/>
  <c r="D41" i="2"/>
  <c r="E41" i="2"/>
  <c r="D42" i="2"/>
  <c r="E42" i="2"/>
  <c r="D43" i="2"/>
  <c r="E43" i="2"/>
  <c r="D44" i="2"/>
  <c r="E44" i="2"/>
  <c r="D45" i="2"/>
  <c r="E45" i="2"/>
  <c r="D46" i="2"/>
  <c r="E46" i="2"/>
  <c r="D47" i="2"/>
  <c r="E47" i="2"/>
  <c r="D48" i="2"/>
  <c r="E48" i="2"/>
  <c r="D49" i="2"/>
  <c r="E49" i="2"/>
  <c r="D50" i="2"/>
  <c r="E50" i="2"/>
  <c r="D51" i="2"/>
  <c r="E51" i="2"/>
  <c r="D52" i="2"/>
  <c r="E52" i="2"/>
  <c r="E21" i="2"/>
  <c r="D21" i="2"/>
  <c r="J24" i="2" l="1"/>
  <c r="K24" i="2"/>
  <c r="K22" i="2"/>
  <c r="J22" i="2"/>
  <c r="C21" i="2" l="1"/>
  <c r="J23"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I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21" i="5" l="1"/>
  <c r="C22" i="5"/>
  <c r="C23" i="5"/>
  <c r="C24" i="5"/>
  <c r="C25" i="5"/>
  <c r="C26" i="5"/>
  <c r="C27" i="5"/>
  <c r="C28" i="5"/>
  <c r="C29" i="5"/>
  <c r="C30" i="5"/>
  <c r="D24" i="3" l="1"/>
  <c r="D29" i="3" l="1"/>
  <c r="G24" i="6"/>
  <c r="N36" i="6" s="1"/>
  <c r="N38" i="6" s="1"/>
  <c r="G26" i="6" s="1"/>
  <c r="C88" i="6"/>
  <c r="G80" i="6"/>
  <c r="G81" i="6" s="1"/>
  <c r="F80" i="6"/>
  <c r="F81" i="6" s="1"/>
  <c r="E80" i="6"/>
  <c r="E81" i="6" s="1"/>
  <c r="D80" i="6"/>
  <c r="D81" i="6" s="1"/>
  <c r="C80" i="6"/>
  <c r="C81" i="6" s="1"/>
  <c r="B80" i="6"/>
  <c r="B81" i="6" s="1"/>
  <c r="AC66" i="6"/>
  <c r="N42" i="6"/>
  <c r="O36" i="6"/>
  <c r="F32" i="6"/>
  <c r="G25" i="6"/>
  <c r="I10" i="6"/>
  <c r="M8" i="6"/>
  <c r="D89" i="6" l="1"/>
  <c r="C89" i="6"/>
  <c r="N37" i="6"/>
  <c r="P21" i="5"/>
  <c r="P22" i="5"/>
  <c r="P23" i="5"/>
  <c r="P24" i="5"/>
  <c r="P25" i="5"/>
  <c r="P26" i="5"/>
  <c r="P27" i="5"/>
  <c r="P28" i="5"/>
  <c r="P29" i="5"/>
  <c r="P30" i="5"/>
  <c r="P31" i="5"/>
  <c r="P32" i="5"/>
  <c r="P33" i="5"/>
  <c r="P34" i="5"/>
  <c r="P35" i="5"/>
  <c r="P36" i="5"/>
  <c r="P37" i="5"/>
  <c r="P38" i="5"/>
  <c r="P39" i="5"/>
  <c r="P40" i="5"/>
  <c r="P41" i="5"/>
  <c r="P42" i="5"/>
  <c r="P43" i="5"/>
  <c r="P44" i="5"/>
  <c r="P45" i="5"/>
  <c r="P46" i="5"/>
  <c r="P47" i="5"/>
  <c r="P48" i="5"/>
  <c r="P49" i="5"/>
  <c r="P50" i="5"/>
  <c r="P51" i="5"/>
  <c r="P52" i="5"/>
  <c r="P53" i="5"/>
  <c r="P54" i="5"/>
  <c r="P55" i="5"/>
  <c r="P56" i="5"/>
  <c r="P57" i="5"/>
  <c r="P58" i="5"/>
  <c r="P59" i="5"/>
  <c r="P60" i="5"/>
  <c r="P61" i="5"/>
  <c r="P62" i="5"/>
  <c r="P63" i="5"/>
  <c r="P64" i="5"/>
  <c r="P65" i="5"/>
  <c r="P66" i="5"/>
  <c r="P67" i="5"/>
  <c r="P68" i="5"/>
  <c r="P69" i="5"/>
  <c r="P70" i="5"/>
  <c r="P71" i="5"/>
  <c r="P72" i="5"/>
  <c r="P73" i="5"/>
  <c r="P74" i="5"/>
  <c r="P75" i="5"/>
  <c r="P76" i="5"/>
  <c r="P77" i="5"/>
  <c r="P78" i="5"/>
  <c r="P79" i="5"/>
  <c r="P80" i="5"/>
  <c r="P81" i="5"/>
  <c r="P82" i="5"/>
  <c r="P83" i="5"/>
  <c r="P84" i="5"/>
  <c r="P85" i="5"/>
  <c r="P86" i="5"/>
  <c r="P87" i="5"/>
  <c r="P88" i="5"/>
  <c r="P89" i="5"/>
  <c r="P90" i="5"/>
  <c r="P91" i="5"/>
  <c r="P92" i="5"/>
  <c r="P93" i="5"/>
  <c r="P94" i="5"/>
  <c r="P95" i="5"/>
  <c r="P96" i="5"/>
  <c r="P97" i="5"/>
  <c r="P98" i="5"/>
  <c r="P99" i="5"/>
  <c r="P100" i="5"/>
  <c r="P101" i="5"/>
  <c r="P102" i="5"/>
  <c r="P103" i="5"/>
  <c r="P104" i="5"/>
  <c r="P105" i="5"/>
  <c r="P106" i="5"/>
  <c r="P107" i="5"/>
  <c r="P108" i="5"/>
  <c r="P109" i="5"/>
  <c r="P110" i="5"/>
  <c r="P111" i="5"/>
  <c r="P112" i="5"/>
  <c r="P113" i="5"/>
  <c r="P114" i="5"/>
  <c r="P115" i="5"/>
  <c r="P116" i="5"/>
  <c r="P117" i="5"/>
  <c r="P118" i="5"/>
  <c r="P119" i="5"/>
  <c r="P120" i="5"/>
  <c r="P121" i="5"/>
  <c r="P122" i="5"/>
  <c r="P123" i="5"/>
  <c r="P124" i="5"/>
  <c r="P125" i="5"/>
  <c r="P126" i="5"/>
  <c r="P127" i="5"/>
  <c r="P128" i="5"/>
  <c r="P129" i="5"/>
  <c r="P130" i="5"/>
  <c r="P131" i="5"/>
  <c r="P132" i="5"/>
  <c r="P133" i="5"/>
  <c r="P134" i="5"/>
  <c r="P135" i="5"/>
  <c r="P136" i="5"/>
  <c r="P137" i="5"/>
  <c r="P138" i="5"/>
  <c r="P139" i="5"/>
  <c r="P140" i="5"/>
  <c r="P141" i="5"/>
  <c r="P142" i="5"/>
  <c r="P143" i="5"/>
  <c r="P144" i="5"/>
  <c r="P145" i="5"/>
  <c r="P146" i="5"/>
  <c r="P147" i="5"/>
  <c r="P148" i="5"/>
  <c r="P149" i="5"/>
  <c r="P150" i="5"/>
  <c r="P151" i="5"/>
  <c r="P152" i="5"/>
  <c r="P153" i="5"/>
  <c r="P154" i="5"/>
  <c r="P155" i="5"/>
  <c r="P156" i="5"/>
  <c r="P157" i="5"/>
  <c r="P158" i="5"/>
  <c r="P159" i="5"/>
  <c r="P160" i="5"/>
  <c r="P161" i="5"/>
  <c r="P162" i="5"/>
  <c r="P163" i="5"/>
  <c r="P164" i="5"/>
  <c r="P165" i="5"/>
  <c r="P166" i="5"/>
  <c r="P167" i="5"/>
  <c r="P168" i="5"/>
  <c r="P169" i="5"/>
  <c r="P170" i="5"/>
  <c r="P171" i="5"/>
  <c r="P172" i="5"/>
  <c r="P173" i="5"/>
  <c r="P174" i="5"/>
  <c r="P175" i="5"/>
  <c r="P176" i="5"/>
  <c r="P177" i="5"/>
  <c r="P178" i="5"/>
  <c r="P179" i="5"/>
  <c r="P180" i="5"/>
  <c r="P181" i="5"/>
  <c r="P182" i="5"/>
  <c r="P183" i="5"/>
  <c r="P184" i="5"/>
  <c r="P185" i="5"/>
  <c r="P186" i="5"/>
  <c r="P187" i="5"/>
  <c r="P188" i="5"/>
  <c r="P189" i="5"/>
  <c r="P190" i="5"/>
  <c r="P191" i="5"/>
  <c r="P192" i="5"/>
  <c r="P193" i="5"/>
  <c r="P194" i="5"/>
  <c r="P195" i="5"/>
  <c r="P196" i="5"/>
  <c r="P197" i="5"/>
  <c r="P198" i="5"/>
  <c r="P199" i="5"/>
  <c r="P200" i="5"/>
  <c r="P201" i="5"/>
  <c r="P202" i="5"/>
  <c r="P203" i="5"/>
  <c r="P204" i="5"/>
  <c r="P205" i="5"/>
  <c r="P206" i="5"/>
  <c r="P207" i="5"/>
  <c r="P208" i="5"/>
  <c r="P209" i="5"/>
  <c r="P210" i="5"/>
  <c r="P211" i="5"/>
  <c r="P212" i="5"/>
  <c r="P213" i="5"/>
  <c r="P214" i="5"/>
  <c r="P215" i="5"/>
  <c r="P216" i="5"/>
  <c r="P217" i="5"/>
  <c r="P218" i="5"/>
  <c r="P219" i="5"/>
  <c r="P220" i="5"/>
  <c r="P221" i="5"/>
  <c r="P222" i="5"/>
  <c r="P223" i="5"/>
  <c r="P224" i="5"/>
  <c r="P225" i="5"/>
  <c r="P226" i="5"/>
  <c r="P227" i="5"/>
  <c r="P228" i="5"/>
  <c r="P229" i="5"/>
  <c r="P230" i="5"/>
  <c r="P231" i="5"/>
  <c r="P232" i="5"/>
  <c r="P233" i="5"/>
  <c r="P234" i="5"/>
  <c r="P235" i="5"/>
  <c r="P236" i="5"/>
  <c r="P237" i="5"/>
  <c r="P238" i="5"/>
  <c r="P239" i="5"/>
  <c r="P240" i="5"/>
  <c r="P241" i="5"/>
  <c r="P242" i="5"/>
  <c r="P243" i="5"/>
  <c r="P244" i="5"/>
  <c r="P245" i="5"/>
  <c r="P246" i="5"/>
  <c r="P247" i="5"/>
  <c r="P248" i="5"/>
  <c r="P249" i="5"/>
  <c r="P250" i="5"/>
  <c r="P251" i="5"/>
  <c r="P252" i="5"/>
  <c r="P253" i="5"/>
  <c r="P254" i="5"/>
  <c r="P255" i="5"/>
  <c r="P256" i="5"/>
  <c r="P257" i="5"/>
  <c r="P258" i="5"/>
  <c r="P259" i="5"/>
  <c r="P260" i="5"/>
  <c r="P261" i="5"/>
  <c r="P262" i="5"/>
  <c r="P263" i="5"/>
  <c r="P264" i="5"/>
  <c r="P265" i="5"/>
  <c r="P266" i="5"/>
  <c r="P267" i="5"/>
  <c r="P268" i="5"/>
  <c r="P269" i="5"/>
  <c r="P270" i="5"/>
  <c r="P271" i="5"/>
  <c r="P272" i="5"/>
  <c r="P273" i="5"/>
  <c r="P274" i="5"/>
  <c r="P275" i="5"/>
  <c r="P276" i="5"/>
  <c r="P277" i="5"/>
  <c r="P278" i="5"/>
  <c r="P279" i="5"/>
  <c r="P280" i="5"/>
  <c r="P281" i="5"/>
  <c r="P282" i="5"/>
  <c r="P283" i="5"/>
  <c r="P284" i="5"/>
  <c r="P285" i="5"/>
  <c r="P286" i="5"/>
  <c r="P287" i="5"/>
  <c r="P288" i="5"/>
  <c r="P289" i="5"/>
  <c r="P290" i="5"/>
  <c r="P291" i="5"/>
  <c r="P292" i="5"/>
  <c r="P293" i="5"/>
  <c r="P294" i="5"/>
  <c r="P295" i="5"/>
  <c r="P296" i="5"/>
  <c r="P297" i="5"/>
  <c r="P298" i="5"/>
  <c r="P299" i="5"/>
  <c r="P300" i="5"/>
  <c r="P301" i="5"/>
  <c r="P302" i="5"/>
  <c r="P303" i="5"/>
  <c r="P304" i="5"/>
  <c r="P305" i="5"/>
  <c r="P306" i="5"/>
  <c r="P307" i="5"/>
  <c r="P308" i="5"/>
  <c r="P309" i="5"/>
  <c r="P310" i="5"/>
  <c r="P311" i="5"/>
  <c r="P312" i="5"/>
  <c r="P313" i="5"/>
  <c r="P314" i="5"/>
  <c r="P315" i="5"/>
  <c r="P316" i="5"/>
  <c r="P317" i="5"/>
  <c r="P318" i="5"/>
  <c r="P319" i="5"/>
  <c r="P320" i="5"/>
  <c r="P321" i="5"/>
  <c r="P322" i="5"/>
  <c r="P323" i="5"/>
  <c r="P324" i="5"/>
  <c r="P325" i="5"/>
  <c r="P326" i="5"/>
  <c r="P327" i="5"/>
  <c r="P328" i="5"/>
  <c r="P329" i="5"/>
  <c r="P330" i="5"/>
  <c r="P331" i="5"/>
  <c r="P332" i="5"/>
  <c r="P333" i="5"/>
  <c r="P334" i="5"/>
  <c r="P335" i="5"/>
  <c r="P336" i="5"/>
  <c r="P337" i="5"/>
  <c r="P338" i="5"/>
  <c r="P339" i="5"/>
  <c r="P340" i="5"/>
  <c r="P341" i="5"/>
  <c r="P342" i="5"/>
  <c r="P343" i="5"/>
  <c r="P344" i="5"/>
  <c r="P345" i="5"/>
  <c r="P346" i="5"/>
  <c r="P347" i="5"/>
  <c r="P348" i="5"/>
  <c r="P349" i="5"/>
  <c r="P350" i="5"/>
  <c r="P351" i="5"/>
  <c r="P352" i="5"/>
  <c r="P353" i="5"/>
  <c r="P354" i="5"/>
  <c r="P355" i="5"/>
  <c r="P356" i="5"/>
  <c r="P357" i="5"/>
  <c r="P358" i="5"/>
  <c r="P359" i="5"/>
  <c r="P360" i="5"/>
  <c r="P361" i="5"/>
  <c r="P362" i="5"/>
  <c r="P363" i="5"/>
  <c r="P364" i="5"/>
  <c r="P365" i="5"/>
  <c r="P366" i="5"/>
  <c r="P367" i="5"/>
  <c r="P368" i="5"/>
  <c r="P369" i="5"/>
  <c r="P370" i="5"/>
  <c r="P371" i="5"/>
  <c r="P372" i="5"/>
  <c r="P373" i="5"/>
  <c r="P374" i="5"/>
  <c r="P375" i="5"/>
  <c r="P376" i="5"/>
  <c r="P377" i="5"/>
  <c r="P378" i="5"/>
  <c r="P379" i="5"/>
  <c r="P380" i="5"/>
  <c r="P381" i="5"/>
  <c r="P382" i="5"/>
  <c r="P383" i="5"/>
  <c r="P384" i="5"/>
  <c r="P385" i="5"/>
  <c r="P386" i="5"/>
  <c r="P387" i="5"/>
  <c r="P388" i="5"/>
  <c r="P389" i="5"/>
  <c r="P390" i="5"/>
  <c r="P391" i="5"/>
  <c r="P392" i="5"/>
  <c r="P393" i="5"/>
  <c r="P394" i="5"/>
  <c r="P395" i="5"/>
  <c r="P396" i="5"/>
  <c r="P397" i="5"/>
  <c r="P398" i="5"/>
  <c r="P399" i="5"/>
  <c r="P400" i="5"/>
  <c r="P401" i="5"/>
  <c r="P402" i="5"/>
  <c r="P403" i="5"/>
  <c r="P404" i="5"/>
  <c r="P405" i="5"/>
  <c r="P406" i="5"/>
  <c r="P407" i="5"/>
  <c r="P408" i="5"/>
  <c r="P409" i="5"/>
  <c r="P410" i="5"/>
  <c r="P411" i="5"/>
  <c r="P412" i="5"/>
  <c r="P413" i="5"/>
  <c r="P414" i="5"/>
  <c r="P415" i="5"/>
  <c r="P416" i="5"/>
  <c r="P417" i="5"/>
  <c r="P418" i="5"/>
  <c r="P419" i="5"/>
  <c r="P420" i="5"/>
  <c r="P421" i="5"/>
  <c r="P422" i="5"/>
  <c r="P423" i="5"/>
  <c r="P424" i="5"/>
  <c r="P425" i="5"/>
  <c r="P426" i="5"/>
  <c r="P427" i="5"/>
  <c r="P428" i="5"/>
  <c r="P429" i="5"/>
  <c r="P430" i="5"/>
  <c r="P431" i="5"/>
  <c r="P432" i="5"/>
  <c r="P433" i="5"/>
  <c r="P434" i="5"/>
  <c r="P435" i="5"/>
  <c r="P436" i="5"/>
  <c r="P437" i="5"/>
  <c r="P438" i="5"/>
  <c r="P439" i="5"/>
  <c r="P440" i="5"/>
  <c r="P441" i="5"/>
  <c r="P442" i="5"/>
  <c r="P443" i="5"/>
  <c r="P444" i="5"/>
  <c r="P445" i="5"/>
  <c r="P446" i="5"/>
  <c r="P447" i="5"/>
  <c r="P448" i="5"/>
  <c r="P449" i="5"/>
  <c r="P450" i="5"/>
  <c r="P451" i="5"/>
  <c r="P452" i="5"/>
  <c r="P453" i="5"/>
  <c r="P454" i="5"/>
  <c r="P455" i="5"/>
  <c r="P456" i="5"/>
  <c r="P457" i="5"/>
  <c r="P458" i="5"/>
  <c r="P459" i="5"/>
  <c r="P460" i="5"/>
  <c r="P461" i="5"/>
  <c r="P462" i="5"/>
  <c r="P463" i="5"/>
  <c r="P464" i="5"/>
  <c r="P465" i="5"/>
  <c r="P466" i="5"/>
  <c r="P467" i="5"/>
  <c r="P468" i="5"/>
  <c r="P469" i="5"/>
  <c r="P470" i="5"/>
  <c r="P471" i="5"/>
  <c r="P472" i="5"/>
  <c r="P473" i="5"/>
  <c r="P474" i="5"/>
  <c r="P475" i="5"/>
  <c r="P476" i="5"/>
  <c r="P477" i="5"/>
  <c r="P478" i="5"/>
  <c r="P479" i="5"/>
  <c r="P480" i="5"/>
  <c r="P481" i="5"/>
  <c r="P482" i="5"/>
  <c r="P483" i="5"/>
  <c r="P484" i="5"/>
  <c r="P485" i="5"/>
  <c r="P486" i="5"/>
  <c r="P487" i="5"/>
  <c r="P488" i="5"/>
  <c r="P489" i="5"/>
  <c r="P490" i="5"/>
  <c r="P491" i="5"/>
  <c r="P492" i="5"/>
  <c r="P493" i="5"/>
  <c r="P494" i="5"/>
  <c r="P495" i="5"/>
  <c r="P496" i="5"/>
  <c r="P497" i="5"/>
  <c r="P498" i="5"/>
  <c r="P499" i="5"/>
  <c r="P500" i="5"/>
  <c r="P501" i="5"/>
  <c r="P502" i="5"/>
  <c r="P503" i="5"/>
  <c r="P504" i="5"/>
  <c r="P505" i="5"/>
  <c r="P506" i="5"/>
  <c r="P507" i="5"/>
  <c r="P508" i="5"/>
  <c r="P509" i="5"/>
  <c r="P510" i="5"/>
  <c r="P511" i="5"/>
  <c r="P512" i="5"/>
  <c r="P513" i="5"/>
  <c r="P514" i="5"/>
  <c r="P515" i="5"/>
  <c r="P516" i="5"/>
  <c r="P517" i="5"/>
  <c r="P518" i="5"/>
  <c r="P519" i="5"/>
  <c r="P520" i="5"/>
  <c r="P521" i="5"/>
  <c r="P522" i="5"/>
  <c r="P523" i="5"/>
  <c r="P524" i="5"/>
  <c r="P525" i="5"/>
  <c r="P526" i="5"/>
  <c r="P527" i="5"/>
  <c r="P528" i="5"/>
  <c r="P529" i="5"/>
  <c r="P530" i="5"/>
  <c r="P531" i="5"/>
  <c r="P532" i="5"/>
  <c r="P533" i="5"/>
  <c r="P534" i="5"/>
  <c r="P535" i="5"/>
  <c r="P536" i="5"/>
  <c r="P537" i="5"/>
  <c r="P538" i="5"/>
  <c r="P539" i="5"/>
  <c r="P540" i="5"/>
  <c r="P541" i="5"/>
  <c r="P542" i="5"/>
  <c r="P543" i="5"/>
  <c r="P544" i="5"/>
  <c r="P545" i="5"/>
  <c r="P546" i="5"/>
  <c r="P547" i="5"/>
  <c r="P548" i="5"/>
  <c r="P549" i="5"/>
  <c r="P550" i="5"/>
  <c r="P551" i="5"/>
  <c r="P552" i="5"/>
  <c r="P553" i="5"/>
  <c r="P554" i="5"/>
  <c r="P555" i="5"/>
  <c r="P556" i="5"/>
  <c r="P557" i="5"/>
  <c r="I28" i="3"/>
  <c r="J21" i="2" l="1"/>
  <c r="G53" i="3" l="1"/>
  <c r="H53" i="3"/>
  <c r="I53" i="3"/>
  <c r="J53" i="3"/>
  <c r="K53" i="3"/>
  <c r="L53" i="3"/>
  <c r="J10" i="3"/>
  <c r="C9" i="5" l="1"/>
  <c r="C7" i="5"/>
  <c r="C6" i="5"/>
  <c r="J8" i="5"/>
  <c r="J7" i="5"/>
  <c r="J7" i="2"/>
  <c r="J8" i="2"/>
  <c r="J6" i="2"/>
  <c r="J6" i="5" s="1"/>
  <c r="C9" i="2"/>
  <c r="C7" i="2"/>
  <c r="C6" i="2"/>
  <c r="L12" i="2" l="1"/>
  <c r="L12" i="5" s="1"/>
  <c r="J12" i="2"/>
  <c r="J12" i="5" s="1"/>
  <c r="C13" i="2"/>
  <c r="C13" i="5" s="1"/>
  <c r="G12" i="2"/>
  <c r="G12" i="5" s="1"/>
  <c r="V21" i="5" l="1"/>
  <c r="V511" i="5"/>
  <c r="I24" i="3"/>
  <c r="K24" i="3" l="1"/>
  <c r="I25" i="3"/>
  <c r="D20" i="3"/>
  <c r="D21" i="3" s="1"/>
  <c r="I21" i="3" l="1"/>
  <c r="I55" i="2" l="1"/>
  <c r="J53" i="5" l="1"/>
  <c r="I22" i="3" l="1"/>
  <c r="I29" i="3" l="1"/>
  <c r="J19" i="5"/>
  <c r="D68" i="5" l="1"/>
  <c r="I42" i="2"/>
  <c r="I43" i="2"/>
  <c r="I44" i="2"/>
  <c r="I45" i="2"/>
  <c r="I46" i="2"/>
  <c r="I47" i="2"/>
  <c r="I48" i="2"/>
  <c r="I49" i="2"/>
  <c r="I50" i="2"/>
  <c r="I51" i="2"/>
  <c r="I52" i="2"/>
  <c r="I23" i="3" l="1"/>
  <c r="I20" i="3"/>
  <c r="J24" i="3" l="1"/>
  <c r="S4" i="4" l="1"/>
  <c r="K21" i="2" s="1"/>
  <c r="V22" i="5"/>
  <c r="V23" i="5"/>
  <c r="V24" i="5"/>
  <c r="V25" i="5"/>
  <c r="V26" i="5"/>
  <c r="V27" i="5"/>
  <c r="V28" i="5"/>
  <c r="V29" i="5"/>
  <c r="V30" i="5"/>
  <c r="V31" i="5"/>
  <c r="V32" i="5"/>
  <c r="V33" i="5"/>
  <c r="V34" i="5"/>
  <c r="V35" i="5"/>
  <c r="V36" i="5"/>
  <c r="V37" i="5"/>
  <c r="V38" i="5"/>
  <c r="V39" i="5"/>
  <c r="V40" i="5"/>
  <c r="V41" i="5"/>
  <c r="V42" i="5"/>
  <c r="V43" i="5"/>
  <c r="V44" i="5"/>
  <c r="V45" i="5"/>
  <c r="V46" i="5"/>
  <c r="V47" i="5"/>
  <c r="V48" i="5"/>
  <c r="V49" i="5"/>
  <c r="V50" i="5"/>
  <c r="V51" i="5"/>
  <c r="V52" i="5"/>
  <c r="V53" i="5"/>
  <c r="V54" i="5"/>
  <c r="V55" i="5"/>
  <c r="V56" i="5"/>
  <c r="V57" i="5"/>
  <c r="V58" i="5"/>
  <c r="V59" i="5"/>
  <c r="V60" i="5"/>
  <c r="V61" i="5"/>
  <c r="V62" i="5"/>
  <c r="V63" i="5"/>
  <c r="V64" i="5"/>
  <c r="V65" i="5"/>
  <c r="V66" i="5"/>
  <c r="V67" i="5"/>
  <c r="V68" i="5"/>
  <c r="V69" i="5"/>
  <c r="V70" i="5"/>
  <c r="V71" i="5"/>
  <c r="V72" i="5"/>
  <c r="V73" i="5"/>
  <c r="V74" i="5"/>
  <c r="V75" i="5"/>
  <c r="V76" i="5"/>
  <c r="V77" i="5"/>
  <c r="V78" i="5"/>
  <c r="V79" i="5"/>
  <c r="V80" i="5"/>
  <c r="V81" i="5"/>
  <c r="V82" i="5"/>
  <c r="V83" i="5"/>
  <c r="V84" i="5"/>
  <c r="V85" i="5"/>
  <c r="V86" i="5"/>
  <c r="V87" i="5"/>
  <c r="V88" i="5"/>
  <c r="V89" i="5"/>
  <c r="V90" i="5"/>
  <c r="V91" i="5"/>
  <c r="V92" i="5"/>
  <c r="V93" i="5"/>
  <c r="V94" i="5"/>
  <c r="V95" i="5"/>
  <c r="V96" i="5"/>
  <c r="V97" i="5"/>
  <c r="V98" i="5"/>
  <c r="V99" i="5"/>
  <c r="V100" i="5"/>
  <c r="V101" i="5"/>
  <c r="V102" i="5"/>
  <c r="V103" i="5"/>
  <c r="V104" i="5"/>
  <c r="V105" i="5"/>
  <c r="V106" i="5"/>
  <c r="V107" i="5"/>
  <c r="V108" i="5"/>
  <c r="V109" i="5"/>
  <c r="V110" i="5"/>
  <c r="V111" i="5"/>
  <c r="V112" i="5"/>
  <c r="V113" i="5"/>
  <c r="V114" i="5"/>
  <c r="V115" i="5"/>
  <c r="V116" i="5"/>
  <c r="V117" i="5"/>
  <c r="V118" i="5"/>
  <c r="V119" i="5"/>
  <c r="V120" i="5"/>
  <c r="V121" i="5"/>
  <c r="V122" i="5"/>
  <c r="V123" i="5"/>
  <c r="V124" i="5"/>
  <c r="V125" i="5"/>
  <c r="V126" i="5"/>
  <c r="V127" i="5"/>
  <c r="V128" i="5"/>
  <c r="V129" i="5"/>
  <c r="V130" i="5"/>
  <c r="V131" i="5"/>
  <c r="V132" i="5"/>
  <c r="V133" i="5"/>
  <c r="V134" i="5"/>
  <c r="V135" i="5"/>
  <c r="V136" i="5"/>
  <c r="V137" i="5"/>
  <c r="V138" i="5"/>
  <c r="V139" i="5"/>
  <c r="V140" i="5"/>
  <c r="V141" i="5"/>
  <c r="V142" i="5"/>
  <c r="V143" i="5"/>
  <c r="V144" i="5"/>
  <c r="V145" i="5"/>
  <c r="V146" i="5"/>
  <c r="V147" i="5"/>
  <c r="V148" i="5"/>
  <c r="V149" i="5"/>
  <c r="V150" i="5"/>
  <c r="V151" i="5"/>
  <c r="V152" i="5"/>
  <c r="V153" i="5"/>
  <c r="V154" i="5"/>
  <c r="V155" i="5"/>
  <c r="V156" i="5"/>
  <c r="V157" i="5"/>
  <c r="V158" i="5"/>
  <c r="V159" i="5"/>
  <c r="V160" i="5"/>
  <c r="V161" i="5"/>
  <c r="V162" i="5"/>
  <c r="V163" i="5"/>
  <c r="V164" i="5"/>
  <c r="V165" i="5"/>
  <c r="V166" i="5"/>
  <c r="V167" i="5"/>
  <c r="V168" i="5"/>
  <c r="V169" i="5"/>
  <c r="V170" i="5"/>
  <c r="V171" i="5"/>
  <c r="V172" i="5"/>
  <c r="V173" i="5"/>
  <c r="V174" i="5"/>
  <c r="V175" i="5"/>
  <c r="V176" i="5"/>
  <c r="V177" i="5"/>
  <c r="L6" i="4" l="1"/>
  <c r="V178" i="5" l="1"/>
  <c r="V179" i="5"/>
  <c r="V180" i="5"/>
  <c r="V181" i="5"/>
  <c r="V182" i="5"/>
  <c r="V183" i="5"/>
  <c r="V184" i="5"/>
  <c r="V185" i="5"/>
  <c r="V186" i="5"/>
  <c r="V187" i="5"/>
  <c r="V188" i="5"/>
  <c r="V189" i="5"/>
  <c r="V190" i="5"/>
  <c r="V191" i="5"/>
  <c r="V192" i="5"/>
  <c r="V193" i="5"/>
  <c r="V194" i="5"/>
  <c r="V195" i="5"/>
  <c r="V196" i="5"/>
  <c r="V197" i="5"/>
  <c r="V198" i="5"/>
  <c r="V199" i="5"/>
  <c r="V200" i="5"/>
  <c r="V201" i="5"/>
  <c r="V202" i="5"/>
  <c r="V203" i="5"/>
  <c r="V204" i="5"/>
  <c r="V205" i="5"/>
  <c r="V206" i="5"/>
  <c r="V207" i="5"/>
  <c r="V208" i="5"/>
  <c r="V209" i="5"/>
  <c r="V210" i="5"/>
  <c r="V211" i="5"/>
  <c r="V212" i="5"/>
  <c r="V213" i="5"/>
  <c r="V214" i="5"/>
  <c r="V215" i="5"/>
  <c r="V216" i="5"/>
  <c r="V217" i="5"/>
  <c r="V218" i="5"/>
  <c r="V219" i="5"/>
  <c r="V220" i="5"/>
  <c r="V221" i="5"/>
  <c r="V222" i="5"/>
  <c r="V223" i="5"/>
  <c r="I19" i="5" s="1"/>
  <c r="V224" i="5"/>
  <c r="I20" i="5" s="1"/>
  <c r="V225" i="5"/>
  <c r="V226" i="5"/>
  <c r="I22" i="5" s="1"/>
  <c r="V227" i="5"/>
  <c r="J23" i="5" s="1"/>
  <c r="V228" i="5"/>
  <c r="I24" i="5" s="1"/>
  <c r="V229" i="5"/>
  <c r="I25" i="5" s="1"/>
  <c r="V230" i="5"/>
  <c r="I26" i="5" s="1"/>
  <c r="V231" i="5"/>
  <c r="I27" i="5" s="1"/>
  <c r="V232" i="5"/>
  <c r="I28" i="5" s="1"/>
  <c r="V233" i="5"/>
  <c r="I29" i="5" s="1"/>
  <c r="V234" i="5"/>
  <c r="I30" i="5" s="1"/>
  <c r="V235" i="5"/>
  <c r="I31" i="5" s="1"/>
  <c r="V236" i="5"/>
  <c r="I32" i="5" s="1"/>
  <c r="V237" i="5"/>
  <c r="V238" i="5"/>
  <c r="V239" i="5"/>
  <c r="V240" i="5"/>
  <c r="V241" i="5"/>
  <c r="V242" i="5"/>
  <c r="V243" i="5"/>
  <c r="V244" i="5"/>
  <c r="V245" i="5"/>
  <c r="V246" i="5"/>
  <c r="V247" i="5"/>
  <c r="V248" i="5"/>
  <c r="V249" i="5"/>
  <c r="V250" i="5"/>
  <c r="V251" i="5"/>
  <c r="V252" i="5"/>
  <c r="V253" i="5"/>
  <c r="V254" i="5"/>
  <c r="V255" i="5"/>
  <c r="V256" i="5"/>
  <c r="V257" i="5"/>
  <c r="V258" i="5"/>
  <c r="V259" i="5"/>
  <c r="V260" i="5"/>
  <c r="V261" i="5"/>
  <c r="V262" i="5"/>
  <c r="V263" i="5"/>
  <c r="V264" i="5"/>
  <c r="V265" i="5"/>
  <c r="V266" i="5"/>
  <c r="V267" i="5"/>
  <c r="V268" i="5"/>
  <c r="V269" i="5"/>
  <c r="V270" i="5"/>
  <c r="V271" i="5"/>
  <c r="V272" i="5"/>
  <c r="V273" i="5"/>
  <c r="V274" i="5"/>
  <c r="V275" i="5"/>
  <c r="V276" i="5"/>
  <c r="V277" i="5"/>
  <c r="V278" i="5"/>
  <c r="V279" i="5"/>
  <c r="V280" i="5"/>
  <c r="V281" i="5"/>
  <c r="V282" i="5"/>
  <c r="V283" i="5"/>
  <c r="V284" i="5"/>
  <c r="V285" i="5"/>
  <c r="V286" i="5"/>
  <c r="V287" i="5"/>
  <c r="V288" i="5"/>
  <c r="V289" i="5"/>
  <c r="V290" i="5"/>
  <c r="V291" i="5"/>
  <c r="V292" i="5"/>
  <c r="V293" i="5"/>
  <c r="V294" i="5"/>
  <c r="V295" i="5"/>
  <c r="V296" i="5"/>
  <c r="V297" i="5"/>
  <c r="V298" i="5"/>
  <c r="V299" i="5"/>
  <c r="V300" i="5"/>
  <c r="V301" i="5"/>
  <c r="V302" i="5"/>
  <c r="V303" i="5"/>
  <c r="V304" i="5"/>
  <c r="V305" i="5"/>
  <c r="V306" i="5"/>
  <c r="V307" i="5"/>
  <c r="V308" i="5"/>
  <c r="V309" i="5"/>
  <c r="V310" i="5"/>
  <c r="V311" i="5"/>
  <c r="V312" i="5"/>
  <c r="V313" i="5"/>
  <c r="V314" i="5"/>
  <c r="V315" i="5"/>
  <c r="V316" i="5"/>
  <c r="V317" i="5"/>
  <c r="V318" i="5"/>
  <c r="V319" i="5"/>
  <c r="V320" i="5"/>
  <c r="V321" i="5"/>
  <c r="V322" i="5"/>
  <c r="V323" i="5"/>
  <c r="V324" i="5"/>
  <c r="V325" i="5"/>
  <c r="V326" i="5"/>
  <c r="V327" i="5"/>
  <c r="V328" i="5"/>
  <c r="V329" i="5"/>
  <c r="V330" i="5"/>
  <c r="V331" i="5"/>
  <c r="V332" i="5"/>
  <c r="V333" i="5"/>
  <c r="V334" i="5"/>
  <c r="V335" i="5"/>
  <c r="V336" i="5"/>
  <c r="V337" i="5"/>
  <c r="V338" i="5"/>
  <c r="V339" i="5"/>
  <c r="V340" i="5"/>
  <c r="V341" i="5"/>
  <c r="V342" i="5"/>
  <c r="V343" i="5"/>
  <c r="F30" i="5" l="1"/>
  <c r="K30" i="5"/>
  <c r="J30" i="5"/>
  <c r="F26" i="5"/>
  <c r="K26" i="5"/>
  <c r="J26" i="5"/>
  <c r="I33" i="5"/>
  <c r="K29" i="5"/>
  <c r="F29" i="5"/>
  <c r="J29" i="5"/>
  <c r="K25" i="5"/>
  <c r="F25" i="5"/>
  <c r="J25" i="5"/>
  <c r="K32" i="5"/>
  <c r="F32" i="5"/>
  <c r="J32" i="5"/>
  <c r="K28" i="5"/>
  <c r="F28" i="5"/>
  <c r="J28" i="5"/>
  <c r="F24" i="5"/>
  <c r="J24" i="5"/>
  <c r="K31" i="5"/>
  <c r="F31" i="5"/>
  <c r="J31" i="5"/>
  <c r="K27" i="5"/>
  <c r="F27" i="5"/>
  <c r="J27" i="5"/>
  <c r="K20" i="5"/>
  <c r="L392" i="4"/>
  <c r="L4" i="4"/>
  <c r="S384" i="4"/>
  <c r="S5" i="4"/>
  <c r="S6" i="4"/>
  <c r="S7" i="4"/>
  <c r="K23" i="2" s="1"/>
  <c r="S8" i="4"/>
  <c r="S9" i="4"/>
  <c r="S10" i="4"/>
  <c r="S11" i="4"/>
  <c r="S12" i="4"/>
  <c r="S13" i="4"/>
  <c r="S14" i="4"/>
  <c r="S15" i="4"/>
  <c r="S16" i="4"/>
  <c r="S17" i="4"/>
  <c r="S18" i="4"/>
  <c r="K25" i="2" s="1"/>
  <c r="S19" i="4"/>
  <c r="S20" i="4"/>
  <c r="S21" i="4"/>
  <c r="S22" i="4"/>
  <c r="S23" i="4"/>
  <c r="K26" i="2" s="1"/>
  <c r="S24" i="4"/>
  <c r="S25" i="4"/>
  <c r="S26" i="4"/>
  <c r="S27" i="4"/>
  <c r="S28" i="4"/>
  <c r="K27" i="2" s="1"/>
  <c r="S29" i="4"/>
  <c r="S30" i="4"/>
  <c r="S31" i="4"/>
  <c r="S32" i="4"/>
  <c r="S33" i="4"/>
  <c r="K28" i="2" s="1"/>
  <c r="S34" i="4"/>
  <c r="S35" i="4"/>
  <c r="S36" i="4"/>
  <c r="S37" i="4"/>
  <c r="S38" i="4"/>
  <c r="K29" i="2" s="1"/>
  <c r="S39" i="4"/>
  <c r="S40" i="4"/>
  <c r="S41" i="4"/>
  <c r="S42" i="4"/>
  <c r="S43" i="4"/>
  <c r="K30" i="2" s="1"/>
  <c r="S44" i="4"/>
  <c r="S45" i="4"/>
  <c r="S46" i="4"/>
  <c r="S47" i="4"/>
  <c r="S48" i="4"/>
  <c r="S49" i="4"/>
  <c r="S50" i="4"/>
  <c r="S51" i="4"/>
  <c r="S52" i="4"/>
  <c r="S53" i="4"/>
  <c r="K31" i="2" s="1"/>
  <c r="S54" i="4"/>
  <c r="S55" i="4"/>
  <c r="S56" i="4"/>
  <c r="S57" i="4"/>
  <c r="S58" i="4"/>
  <c r="K32" i="2" s="1"/>
  <c r="S59" i="4"/>
  <c r="S60" i="4"/>
  <c r="S61" i="4"/>
  <c r="S62" i="4"/>
  <c r="S63" i="4"/>
  <c r="K33" i="2" s="1"/>
  <c r="S64" i="4"/>
  <c r="S65" i="4"/>
  <c r="S66" i="4"/>
  <c r="S67" i="4"/>
  <c r="S68" i="4"/>
  <c r="K34" i="2" s="1"/>
  <c r="S69" i="4"/>
  <c r="S70" i="4"/>
  <c r="S71" i="4"/>
  <c r="S72" i="4"/>
  <c r="S73" i="4"/>
  <c r="S74" i="4"/>
  <c r="S75" i="4"/>
  <c r="S76" i="4"/>
  <c r="S77" i="4"/>
  <c r="S78" i="4"/>
  <c r="K35" i="2" s="1"/>
  <c r="S79" i="4"/>
  <c r="S80" i="4"/>
  <c r="S81" i="4"/>
  <c r="S82" i="4"/>
  <c r="S83" i="4"/>
  <c r="K36" i="2" s="1"/>
  <c r="S84" i="4"/>
  <c r="S85" i="4"/>
  <c r="S86" i="4"/>
  <c r="S87" i="4"/>
  <c r="S88" i="4"/>
  <c r="K37" i="2" s="1"/>
  <c r="S89" i="4"/>
  <c r="S90" i="4"/>
  <c r="S91" i="4"/>
  <c r="S92" i="4"/>
  <c r="S93" i="4"/>
  <c r="K38" i="2" s="1"/>
  <c r="S94" i="4"/>
  <c r="S95" i="4"/>
  <c r="S96" i="4"/>
  <c r="S97" i="4"/>
  <c r="S98" i="4"/>
  <c r="K39" i="2" s="1"/>
  <c r="S99" i="4"/>
  <c r="S100" i="4"/>
  <c r="S101" i="4"/>
  <c r="S102" i="4"/>
  <c r="S103" i="4"/>
  <c r="K40" i="2" s="1"/>
  <c r="S104" i="4"/>
  <c r="S105" i="4"/>
  <c r="S106" i="4"/>
  <c r="S107" i="4"/>
  <c r="S108" i="4"/>
  <c r="K41" i="2" s="1"/>
  <c r="S109" i="4"/>
  <c r="S110" i="4"/>
  <c r="S111" i="4"/>
  <c r="S112" i="4"/>
  <c r="S113" i="4"/>
  <c r="K42" i="2" s="1"/>
  <c r="S114" i="4"/>
  <c r="S115" i="4"/>
  <c r="S116" i="4"/>
  <c r="S117" i="4"/>
  <c r="S118" i="4"/>
  <c r="K43" i="2" s="1"/>
  <c r="S119" i="4"/>
  <c r="S120" i="4"/>
  <c r="S121" i="4"/>
  <c r="S122" i="4"/>
  <c r="S123" i="4"/>
  <c r="K44" i="2" s="1"/>
  <c r="S124" i="4"/>
  <c r="S125" i="4"/>
  <c r="S126" i="4"/>
  <c r="S127" i="4"/>
  <c r="S128" i="4"/>
  <c r="K45" i="2" s="1"/>
  <c r="S129" i="4"/>
  <c r="S130" i="4"/>
  <c r="S131" i="4"/>
  <c r="S132" i="4"/>
  <c r="S133" i="4"/>
  <c r="K46" i="2" s="1"/>
  <c r="S134" i="4"/>
  <c r="S135" i="4"/>
  <c r="S136" i="4"/>
  <c r="S137" i="4"/>
  <c r="S138" i="4"/>
  <c r="K47" i="2" s="1"/>
  <c r="S139" i="4"/>
  <c r="S140" i="4"/>
  <c r="S141" i="4"/>
  <c r="S142" i="4"/>
  <c r="S143" i="4"/>
  <c r="K48" i="2" s="1"/>
  <c r="S144" i="4"/>
  <c r="S145" i="4"/>
  <c r="S146" i="4"/>
  <c r="S147" i="4"/>
  <c r="S148" i="4"/>
  <c r="K49" i="2" s="1"/>
  <c r="S149" i="4"/>
  <c r="S150" i="4"/>
  <c r="S151" i="4"/>
  <c r="S152" i="4"/>
  <c r="S153" i="4"/>
  <c r="K50" i="2" s="1"/>
  <c r="S154" i="4"/>
  <c r="S155" i="4"/>
  <c r="S156" i="4"/>
  <c r="S157" i="4"/>
  <c r="S158" i="4"/>
  <c r="K51" i="2" s="1"/>
  <c r="S159" i="4"/>
  <c r="S160" i="4"/>
  <c r="S161" i="4"/>
  <c r="S162" i="4"/>
  <c r="S163" i="4"/>
  <c r="K52" i="2" s="1"/>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K33" i="5" l="1"/>
  <c r="F33" i="5"/>
  <c r="J33" i="5"/>
  <c r="J25" i="3"/>
  <c r="J68" i="5"/>
  <c r="G68" i="5"/>
  <c r="C55" i="2"/>
  <c r="D19" i="5"/>
  <c r="D28" i="5" s="1"/>
  <c r="D23" i="5" l="1"/>
  <c r="D27" i="5"/>
  <c r="D31" i="5"/>
  <c r="D24" i="5"/>
  <c r="D32" i="5"/>
  <c r="D34" i="5"/>
  <c r="D25" i="5"/>
  <c r="D29" i="5"/>
  <c r="D33" i="5"/>
  <c r="D26" i="5"/>
  <c r="D30" i="5"/>
  <c r="E29" i="5"/>
  <c r="E25" i="5"/>
  <c r="E28" i="5"/>
  <c r="E23" i="5"/>
  <c r="E27" i="5"/>
  <c r="E24" i="5"/>
  <c r="E34" i="5"/>
  <c r="E31" i="5"/>
  <c r="E26" i="5"/>
  <c r="E32" i="5"/>
  <c r="E30" i="5"/>
  <c r="E33" i="5"/>
  <c r="D69" i="5"/>
  <c r="I22" i="2"/>
  <c r="I23" i="2"/>
  <c r="I24" i="2"/>
  <c r="I25" i="2"/>
  <c r="I26" i="2"/>
  <c r="I27" i="2"/>
  <c r="I28" i="2"/>
  <c r="I29" i="2"/>
  <c r="I30" i="2"/>
  <c r="I31" i="2"/>
  <c r="I32" i="2"/>
  <c r="I33" i="2"/>
  <c r="I34" i="2"/>
  <c r="I35" i="2"/>
  <c r="I36" i="2"/>
  <c r="I37" i="2"/>
  <c r="I38" i="2"/>
  <c r="I39" i="2"/>
  <c r="I40" i="2"/>
  <c r="I41" i="2"/>
  <c r="G41" i="3" l="1"/>
  <c r="E5"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4" i="4"/>
  <c r="V344" i="5" l="1"/>
  <c r="V345" i="5"/>
  <c r="V346" i="5"/>
  <c r="V347" i="5"/>
  <c r="V348" i="5"/>
  <c r="V349" i="5"/>
  <c r="V350" i="5"/>
  <c r="V351" i="5"/>
  <c r="V352" i="5"/>
  <c r="V353" i="5"/>
  <c r="V354" i="5"/>
  <c r="V355" i="5"/>
  <c r="V356" i="5"/>
  <c r="V357" i="5"/>
  <c r="V358" i="5"/>
  <c r="V359" i="5"/>
  <c r="V360" i="5"/>
  <c r="V361" i="5"/>
  <c r="V362" i="5"/>
  <c r="V363" i="5"/>
  <c r="V364" i="5"/>
  <c r="V365" i="5"/>
  <c r="V366" i="5"/>
  <c r="V367" i="5"/>
  <c r="V368" i="5"/>
  <c r="V369" i="5"/>
  <c r="V370" i="5"/>
  <c r="V371" i="5"/>
  <c r="V372" i="5"/>
  <c r="V373" i="5"/>
  <c r="V374" i="5"/>
  <c r="V375" i="5"/>
  <c r="V376" i="5"/>
  <c r="V377" i="5"/>
  <c r="V378" i="5"/>
  <c r="V379" i="5"/>
  <c r="V380" i="5"/>
  <c r="V381" i="5"/>
  <c r="V382" i="5"/>
  <c r="V383" i="5"/>
  <c r="V384" i="5"/>
  <c r="V385" i="5"/>
  <c r="V386" i="5"/>
  <c r="V387" i="5"/>
  <c r="V388" i="5"/>
  <c r="V389" i="5"/>
  <c r="V390" i="5"/>
  <c r="V391" i="5"/>
  <c r="V392" i="5"/>
  <c r="V393" i="5"/>
  <c r="V394" i="5"/>
  <c r="V395" i="5"/>
  <c r="V396" i="5"/>
  <c r="V397" i="5"/>
  <c r="V398" i="5"/>
  <c r="V399" i="5"/>
  <c r="V400" i="5"/>
  <c r="V401" i="5"/>
  <c r="V402" i="5"/>
  <c r="V403" i="5"/>
  <c r="V404" i="5"/>
  <c r="V405" i="5"/>
  <c r="V406" i="5"/>
  <c r="V407" i="5"/>
  <c r="V408" i="5"/>
  <c r="V409" i="5"/>
  <c r="V410" i="5"/>
  <c r="V411" i="5"/>
  <c r="V412" i="5"/>
  <c r="V413" i="5"/>
  <c r="V414" i="5"/>
  <c r="V415" i="5"/>
  <c r="V416" i="5"/>
  <c r="V417" i="5"/>
  <c r="V418" i="5"/>
  <c r="V419" i="5"/>
  <c r="V420" i="5"/>
  <c r="V421" i="5"/>
  <c r="V422" i="5"/>
  <c r="V423" i="5"/>
  <c r="V424" i="5"/>
  <c r="V425" i="5"/>
  <c r="V426" i="5"/>
  <c r="V427" i="5"/>
  <c r="V428" i="5"/>
  <c r="V429" i="5"/>
  <c r="V430" i="5"/>
  <c r="V431" i="5"/>
  <c r="V432" i="5"/>
  <c r="V433" i="5"/>
  <c r="V434" i="5"/>
  <c r="V435" i="5"/>
  <c r="V436" i="5"/>
  <c r="V437" i="5"/>
  <c r="V438" i="5"/>
  <c r="V439" i="5"/>
  <c r="V440" i="5"/>
  <c r="V441" i="5"/>
  <c r="V442" i="5"/>
  <c r="V443" i="5"/>
  <c r="V444" i="5"/>
  <c r="V445" i="5"/>
  <c r="V446" i="5"/>
  <c r="V447" i="5"/>
  <c r="V448" i="5"/>
  <c r="V449" i="5"/>
  <c r="V450" i="5"/>
  <c r="V451" i="5"/>
  <c r="V452" i="5"/>
  <c r="V453" i="5"/>
  <c r="V454" i="5"/>
  <c r="V455" i="5"/>
  <c r="V456" i="5"/>
  <c r="V457" i="5"/>
  <c r="V458" i="5"/>
  <c r="V459" i="5"/>
  <c r="V460" i="5"/>
  <c r="V461" i="5"/>
  <c r="V462" i="5"/>
  <c r="V463" i="5"/>
  <c r="V464" i="5"/>
  <c r="V465" i="5"/>
  <c r="V466" i="5"/>
  <c r="V467" i="5"/>
  <c r="V468" i="5"/>
  <c r="V469" i="5"/>
  <c r="V470" i="5"/>
  <c r="V471" i="5"/>
  <c r="V472" i="5"/>
  <c r="V473" i="5"/>
  <c r="V474" i="5"/>
  <c r="V475" i="5"/>
  <c r="V476" i="5"/>
  <c r="V477" i="5"/>
  <c r="V478" i="5"/>
  <c r="V479" i="5"/>
  <c r="V480" i="5"/>
  <c r="V481" i="5"/>
  <c r="V482" i="5"/>
  <c r="V483" i="5"/>
  <c r="V484" i="5"/>
  <c r="V485" i="5"/>
  <c r="V486" i="5"/>
  <c r="V487" i="5"/>
  <c r="V488" i="5"/>
  <c r="V489" i="5"/>
  <c r="V490" i="5"/>
  <c r="V491" i="5"/>
  <c r="V492" i="5"/>
  <c r="V493" i="5"/>
  <c r="V494" i="5"/>
  <c r="V495" i="5"/>
  <c r="V496" i="5"/>
  <c r="V497" i="5"/>
  <c r="V498" i="5"/>
  <c r="V499" i="5"/>
  <c r="V500" i="5"/>
  <c r="V501" i="5"/>
  <c r="V502" i="5"/>
  <c r="V503" i="5"/>
  <c r="V504" i="5"/>
  <c r="V505" i="5"/>
  <c r="V506" i="5"/>
  <c r="V507" i="5"/>
  <c r="V508" i="5"/>
  <c r="V509" i="5"/>
  <c r="V510" i="5"/>
  <c r="V512" i="5"/>
  <c r="V513" i="5"/>
  <c r="V514" i="5"/>
  <c r="V515" i="5"/>
  <c r="V516" i="5"/>
  <c r="V517" i="5"/>
  <c r="V518" i="5"/>
  <c r="V519" i="5"/>
  <c r="V520" i="5"/>
  <c r="V521" i="5"/>
  <c r="V522" i="5"/>
  <c r="V523" i="5"/>
  <c r="V524" i="5"/>
  <c r="V525" i="5"/>
  <c r="V526" i="5"/>
  <c r="V527" i="5"/>
  <c r="V528" i="5"/>
  <c r="V529" i="5"/>
  <c r="V530" i="5"/>
  <c r="V531" i="5"/>
  <c r="V532" i="5"/>
  <c r="V533" i="5"/>
  <c r="V534" i="5"/>
  <c r="R22" i="5"/>
  <c r="R21" i="5"/>
  <c r="S21" i="5"/>
  <c r="B36" i="5"/>
  <c r="E22" i="5" l="1"/>
  <c r="F22" i="5"/>
  <c r="C20" i="5"/>
  <c r="F20" i="5" s="1"/>
  <c r="D22" i="5"/>
  <c r="J21" i="5"/>
  <c r="J69" i="5"/>
  <c r="B39" i="5"/>
  <c r="B40" i="5"/>
  <c r="B41" i="5"/>
  <c r="B42" i="5"/>
  <c r="B43" i="5"/>
  <c r="B44" i="5"/>
  <c r="B45" i="5"/>
  <c r="B46" i="5"/>
  <c r="B47" i="5"/>
  <c r="B48" i="5"/>
  <c r="B49" i="5"/>
  <c r="F55" i="2"/>
  <c r="S22" i="5"/>
  <c r="R23" i="5"/>
  <c r="S23" i="5"/>
  <c r="R24" i="5"/>
  <c r="S24" i="5"/>
  <c r="R25" i="5"/>
  <c r="S25" i="5"/>
  <c r="R26" i="5"/>
  <c r="S26" i="5"/>
  <c r="R27" i="5"/>
  <c r="S27" i="5"/>
  <c r="R28" i="5"/>
  <c r="S28" i="5"/>
  <c r="R29" i="5"/>
  <c r="S29" i="5"/>
  <c r="R30" i="5"/>
  <c r="S30" i="5"/>
  <c r="R31" i="5"/>
  <c r="S31" i="5"/>
  <c r="R32" i="5"/>
  <c r="S32" i="5"/>
  <c r="R33" i="5"/>
  <c r="S33" i="5"/>
  <c r="R34" i="5"/>
  <c r="S34" i="5"/>
  <c r="R35" i="5"/>
  <c r="S35" i="5"/>
  <c r="R36" i="5"/>
  <c r="S36" i="5"/>
  <c r="R37" i="5"/>
  <c r="S37" i="5"/>
  <c r="R38" i="5"/>
  <c r="S38" i="5"/>
  <c r="R39" i="5"/>
  <c r="S39" i="5"/>
  <c r="R40" i="5"/>
  <c r="S40" i="5"/>
  <c r="R41" i="5"/>
  <c r="S41" i="5"/>
  <c r="R42" i="5"/>
  <c r="S42" i="5"/>
  <c r="R43" i="5"/>
  <c r="S43" i="5"/>
  <c r="R44" i="5"/>
  <c r="S44" i="5"/>
  <c r="R45" i="5"/>
  <c r="S45" i="5"/>
  <c r="R46" i="5"/>
  <c r="S46" i="5"/>
  <c r="R47" i="5"/>
  <c r="S47" i="5"/>
  <c r="R48" i="5"/>
  <c r="S48" i="5"/>
  <c r="R49" i="5"/>
  <c r="S49" i="5"/>
  <c r="R50" i="5"/>
  <c r="S50" i="5"/>
  <c r="R51" i="5"/>
  <c r="S51" i="5"/>
  <c r="R52" i="5"/>
  <c r="S52" i="5"/>
  <c r="R53" i="5"/>
  <c r="S53" i="5"/>
  <c r="R54" i="5"/>
  <c r="S54" i="5"/>
  <c r="R55" i="5"/>
  <c r="S55" i="5"/>
  <c r="R56" i="5"/>
  <c r="S56" i="5"/>
  <c r="R57" i="5"/>
  <c r="S57" i="5"/>
  <c r="R58" i="5"/>
  <c r="S58" i="5"/>
  <c r="R59" i="5"/>
  <c r="S59" i="5"/>
  <c r="R60" i="5"/>
  <c r="S60" i="5"/>
  <c r="R61" i="5"/>
  <c r="S61" i="5"/>
  <c r="R62" i="5"/>
  <c r="S62" i="5"/>
  <c r="R63" i="5"/>
  <c r="S63" i="5"/>
  <c r="R64" i="5"/>
  <c r="S64" i="5"/>
  <c r="R65" i="5"/>
  <c r="S65" i="5"/>
  <c r="R66" i="5"/>
  <c r="S66" i="5"/>
  <c r="R67" i="5"/>
  <c r="S67" i="5"/>
  <c r="R68" i="5"/>
  <c r="S68" i="5"/>
  <c r="R69" i="5"/>
  <c r="S69" i="5"/>
  <c r="R70" i="5"/>
  <c r="S70" i="5"/>
  <c r="R71" i="5"/>
  <c r="S71" i="5"/>
  <c r="R72" i="5"/>
  <c r="S72" i="5"/>
  <c r="R73" i="5"/>
  <c r="S73" i="5"/>
  <c r="R74" i="5"/>
  <c r="S74" i="5"/>
  <c r="R75" i="5"/>
  <c r="S75" i="5"/>
  <c r="R76" i="5"/>
  <c r="S76" i="5"/>
  <c r="R77" i="5"/>
  <c r="S77" i="5"/>
  <c r="R78" i="5"/>
  <c r="S78" i="5"/>
  <c r="R79" i="5"/>
  <c r="S79" i="5"/>
  <c r="R80" i="5"/>
  <c r="S80" i="5"/>
  <c r="R81" i="5"/>
  <c r="S81" i="5"/>
  <c r="R82" i="5"/>
  <c r="S82" i="5"/>
  <c r="R83" i="5"/>
  <c r="S83" i="5"/>
  <c r="R84" i="5"/>
  <c r="S84" i="5"/>
  <c r="R85" i="5"/>
  <c r="S85" i="5"/>
  <c r="R86" i="5"/>
  <c r="S86" i="5"/>
  <c r="R87" i="5"/>
  <c r="S87" i="5"/>
  <c r="R88" i="5"/>
  <c r="S88" i="5"/>
  <c r="R89" i="5"/>
  <c r="S89" i="5"/>
  <c r="R90" i="5"/>
  <c r="S90" i="5"/>
  <c r="R91" i="5"/>
  <c r="S91" i="5"/>
  <c r="R92" i="5"/>
  <c r="S92" i="5"/>
  <c r="R93" i="5"/>
  <c r="S93" i="5"/>
  <c r="R94" i="5"/>
  <c r="S94" i="5"/>
  <c r="R95" i="5"/>
  <c r="S95" i="5"/>
  <c r="R96" i="5"/>
  <c r="S96" i="5"/>
  <c r="R97" i="5"/>
  <c r="S97" i="5"/>
  <c r="R98" i="5"/>
  <c r="S98" i="5"/>
  <c r="R99" i="5"/>
  <c r="S99" i="5"/>
  <c r="R100" i="5"/>
  <c r="S100" i="5"/>
  <c r="R101" i="5"/>
  <c r="S101" i="5"/>
  <c r="R102" i="5"/>
  <c r="S102" i="5"/>
  <c r="R103" i="5"/>
  <c r="S103" i="5"/>
  <c r="R104" i="5"/>
  <c r="S104" i="5"/>
  <c r="R105" i="5"/>
  <c r="S105" i="5"/>
  <c r="R106" i="5"/>
  <c r="S106" i="5"/>
  <c r="R107" i="5"/>
  <c r="S107" i="5"/>
  <c r="R108" i="5"/>
  <c r="S108" i="5"/>
  <c r="R109" i="5"/>
  <c r="S109" i="5"/>
  <c r="R110" i="5"/>
  <c r="S110" i="5"/>
  <c r="R111" i="5"/>
  <c r="S111" i="5"/>
  <c r="R112" i="5"/>
  <c r="S112" i="5"/>
  <c r="R113" i="5"/>
  <c r="S113" i="5"/>
  <c r="R114" i="5"/>
  <c r="S114" i="5"/>
  <c r="R115" i="5"/>
  <c r="S115" i="5"/>
  <c r="R116" i="5"/>
  <c r="S116" i="5"/>
  <c r="R117" i="5"/>
  <c r="S117" i="5"/>
  <c r="R118" i="5"/>
  <c r="S118" i="5"/>
  <c r="R119" i="5"/>
  <c r="S119" i="5"/>
  <c r="R120" i="5"/>
  <c r="S120" i="5"/>
  <c r="R121" i="5"/>
  <c r="S121" i="5"/>
  <c r="R122" i="5"/>
  <c r="S122" i="5"/>
  <c r="R123" i="5"/>
  <c r="S123" i="5"/>
  <c r="R124" i="5"/>
  <c r="S124" i="5"/>
  <c r="R125" i="5"/>
  <c r="S125" i="5"/>
  <c r="R126" i="5"/>
  <c r="S126" i="5"/>
  <c r="R127" i="5"/>
  <c r="S127" i="5"/>
  <c r="R128" i="5"/>
  <c r="S128" i="5"/>
  <c r="R129" i="5"/>
  <c r="S129" i="5"/>
  <c r="R130" i="5"/>
  <c r="S130" i="5"/>
  <c r="R131" i="5"/>
  <c r="S131" i="5"/>
  <c r="R132" i="5"/>
  <c r="S132" i="5"/>
  <c r="R133" i="5"/>
  <c r="S133" i="5"/>
  <c r="R134" i="5"/>
  <c r="S134" i="5"/>
  <c r="R135" i="5"/>
  <c r="S135" i="5"/>
  <c r="R136" i="5"/>
  <c r="S136" i="5"/>
  <c r="R137" i="5"/>
  <c r="S137" i="5"/>
  <c r="R138" i="5"/>
  <c r="S138" i="5"/>
  <c r="R139" i="5"/>
  <c r="S139" i="5"/>
  <c r="R140" i="5"/>
  <c r="S140" i="5"/>
  <c r="R141" i="5"/>
  <c r="S141" i="5"/>
  <c r="R142" i="5"/>
  <c r="S142" i="5"/>
  <c r="R143" i="5"/>
  <c r="S143" i="5"/>
  <c r="R144" i="5"/>
  <c r="S144" i="5"/>
  <c r="R145" i="5"/>
  <c r="S145" i="5"/>
  <c r="R146" i="5"/>
  <c r="S146" i="5"/>
  <c r="R147" i="5"/>
  <c r="S147" i="5"/>
  <c r="R148" i="5"/>
  <c r="S148" i="5"/>
  <c r="R149" i="5"/>
  <c r="S149" i="5"/>
  <c r="R150" i="5"/>
  <c r="S150" i="5"/>
  <c r="R151" i="5"/>
  <c r="S151" i="5"/>
  <c r="R152" i="5"/>
  <c r="S152" i="5"/>
  <c r="R153" i="5"/>
  <c r="S153" i="5"/>
  <c r="R154" i="5"/>
  <c r="S154" i="5"/>
  <c r="R155" i="5"/>
  <c r="S155" i="5"/>
  <c r="R156" i="5"/>
  <c r="S156" i="5"/>
  <c r="R157" i="5"/>
  <c r="S157" i="5"/>
  <c r="R158" i="5"/>
  <c r="S158" i="5"/>
  <c r="R159" i="5"/>
  <c r="S159" i="5"/>
  <c r="R160" i="5"/>
  <c r="S160" i="5"/>
  <c r="R161" i="5"/>
  <c r="S161" i="5"/>
  <c r="R162" i="5"/>
  <c r="S162" i="5"/>
  <c r="R163" i="5"/>
  <c r="S163" i="5"/>
  <c r="R164" i="5"/>
  <c r="S164" i="5"/>
  <c r="R165" i="5"/>
  <c r="S165" i="5"/>
  <c r="R166" i="5"/>
  <c r="S166" i="5"/>
  <c r="R167" i="5"/>
  <c r="S167" i="5"/>
  <c r="R168" i="5"/>
  <c r="S168" i="5"/>
  <c r="R169" i="5"/>
  <c r="S169" i="5"/>
  <c r="R170" i="5"/>
  <c r="S170" i="5"/>
  <c r="R171" i="5"/>
  <c r="S171" i="5"/>
  <c r="R172" i="5"/>
  <c r="S172" i="5"/>
  <c r="R173" i="5"/>
  <c r="S173" i="5"/>
  <c r="R174" i="5"/>
  <c r="S174" i="5"/>
  <c r="R175" i="5"/>
  <c r="S175" i="5"/>
  <c r="R176" i="5"/>
  <c r="S176" i="5"/>
  <c r="R177" i="5"/>
  <c r="S177" i="5"/>
  <c r="R178" i="5"/>
  <c r="S178" i="5"/>
  <c r="R179" i="5"/>
  <c r="S179" i="5"/>
  <c r="R180" i="5"/>
  <c r="S180" i="5"/>
  <c r="R181" i="5"/>
  <c r="S181" i="5"/>
  <c r="R182" i="5"/>
  <c r="S182" i="5"/>
  <c r="R183" i="5"/>
  <c r="S183" i="5"/>
  <c r="R184" i="5"/>
  <c r="S184" i="5"/>
  <c r="R185" i="5"/>
  <c r="S185" i="5"/>
  <c r="R186" i="5"/>
  <c r="S186" i="5"/>
  <c r="R187" i="5"/>
  <c r="S187" i="5"/>
  <c r="R188" i="5"/>
  <c r="S188" i="5"/>
  <c r="R189" i="5"/>
  <c r="S189" i="5"/>
  <c r="R190" i="5"/>
  <c r="S190" i="5"/>
  <c r="R191" i="5"/>
  <c r="S191" i="5"/>
  <c r="R192" i="5"/>
  <c r="S192" i="5"/>
  <c r="R193" i="5"/>
  <c r="S193" i="5"/>
  <c r="R194" i="5"/>
  <c r="S194" i="5"/>
  <c r="R195" i="5"/>
  <c r="S195" i="5"/>
  <c r="R196" i="5"/>
  <c r="S196" i="5"/>
  <c r="R197" i="5"/>
  <c r="S197" i="5"/>
  <c r="R198" i="5"/>
  <c r="S198" i="5"/>
  <c r="R199" i="5"/>
  <c r="S199" i="5"/>
  <c r="R200" i="5"/>
  <c r="S200" i="5"/>
  <c r="R201" i="5"/>
  <c r="S201" i="5"/>
  <c r="R202" i="5"/>
  <c r="S202" i="5"/>
  <c r="R203" i="5"/>
  <c r="S203" i="5"/>
  <c r="R204" i="5"/>
  <c r="S204" i="5"/>
  <c r="R205" i="5"/>
  <c r="S205" i="5"/>
  <c r="R206" i="5"/>
  <c r="S206" i="5"/>
  <c r="R207" i="5"/>
  <c r="S207" i="5"/>
  <c r="R208" i="5"/>
  <c r="S208" i="5"/>
  <c r="R209" i="5"/>
  <c r="S209" i="5"/>
  <c r="R210" i="5"/>
  <c r="S210" i="5"/>
  <c r="R211" i="5"/>
  <c r="S211" i="5"/>
  <c r="R212" i="5"/>
  <c r="S212" i="5"/>
  <c r="R213" i="5"/>
  <c r="S213" i="5"/>
  <c r="R214" i="5"/>
  <c r="S214" i="5"/>
  <c r="R215" i="5"/>
  <c r="S215" i="5"/>
  <c r="R216" i="5"/>
  <c r="S216" i="5"/>
  <c r="R217" i="5"/>
  <c r="S217" i="5"/>
  <c r="R218" i="5"/>
  <c r="S218" i="5"/>
  <c r="R219" i="5"/>
  <c r="S219" i="5"/>
  <c r="R220" i="5"/>
  <c r="S220" i="5"/>
  <c r="R221" i="5"/>
  <c r="S221" i="5"/>
  <c r="R222" i="5"/>
  <c r="S222" i="5"/>
  <c r="R223" i="5"/>
  <c r="S223" i="5"/>
  <c r="R224" i="5"/>
  <c r="S224" i="5"/>
  <c r="R225" i="5"/>
  <c r="S225" i="5"/>
  <c r="R226" i="5"/>
  <c r="S226" i="5"/>
  <c r="R227" i="5"/>
  <c r="S227" i="5"/>
  <c r="R228" i="5"/>
  <c r="S228" i="5"/>
  <c r="R229" i="5"/>
  <c r="S229" i="5"/>
  <c r="R230" i="5"/>
  <c r="S230" i="5"/>
  <c r="R231" i="5"/>
  <c r="S231" i="5"/>
  <c r="R232" i="5"/>
  <c r="S232" i="5"/>
  <c r="R233" i="5"/>
  <c r="S233" i="5"/>
  <c r="R234" i="5"/>
  <c r="S234" i="5"/>
  <c r="R235" i="5"/>
  <c r="S235" i="5"/>
  <c r="R236" i="5"/>
  <c r="S236" i="5"/>
  <c r="R237" i="5"/>
  <c r="S237" i="5"/>
  <c r="R238" i="5"/>
  <c r="S238" i="5"/>
  <c r="R239" i="5"/>
  <c r="S239" i="5"/>
  <c r="R240" i="5"/>
  <c r="S240" i="5"/>
  <c r="R241" i="5"/>
  <c r="S241" i="5"/>
  <c r="R242" i="5"/>
  <c r="S242" i="5"/>
  <c r="R243" i="5"/>
  <c r="S243" i="5"/>
  <c r="R244" i="5"/>
  <c r="S244" i="5"/>
  <c r="R245" i="5"/>
  <c r="S245" i="5"/>
  <c r="R246" i="5"/>
  <c r="S246" i="5"/>
  <c r="R247" i="5"/>
  <c r="S247" i="5"/>
  <c r="R248" i="5"/>
  <c r="S248" i="5"/>
  <c r="R249" i="5"/>
  <c r="S249" i="5"/>
  <c r="R250" i="5"/>
  <c r="S250" i="5"/>
  <c r="R251" i="5"/>
  <c r="S251" i="5"/>
  <c r="R252" i="5"/>
  <c r="S252" i="5"/>
  <c r="R253" i="5"/>
  <c r="S253" i="5"/>
  <c r="R254" i="5"/>
  <c r="S254" i="5"/>
  <c r="R255" i="5"/>
  <c r="S255" i="5"/>
  <c r="R256" i="5"/>
  <c r="S256" i="5"/>
  <c r="R257" i="5"/>
  <c r="S257" i="5"/>
  <c r="R258" i="5"/>
  <c r="S258" i="5"/>
  <c r="R259" i="5"/>
  <c r="S259" i="5"/>
  <c r="R260" i="5"/>
  <c r="S260" i="5"/>
  <c r="R261" i="5"/>
  <c r="S261" i="5"/>
  <c r="R262" i="5"/>
  <c r="S262" i="5"/>
  <c r="R263" i="5"/>
  <c r="S263" i="5"/>
  <c r="R264" i="5"/>
  <c r="S264" i="5"/>
  <c r="R265" i="5"/>
  <c r="S265" i="5"/>
  <c r="R266" i="5"/>
  <c r="S266" i="5"/>
  <c r="R267" i="5"/>
  <c r="S267" i="5"/>
  <c r="R268" i="5"/>
  <c r="S268" i="5"/>
  <c r="R269" i="5"/>
  <c r="S269" i="5"/>
  <c r="R270" i="5"/>
  <c r="S270" i="5"/>
  <c r="R271" i="5"/>
  <c r="S271" i="5"/>
  <c r="R272" i="5"/>
  <c r="S272" i="5"/>
  <c r="R273" i="5"/>
  <c r="S273" i="5"/>
  <c r="R274" i="5"/>
  <c r="S274" i="5"/>
  <c r="R275" i="5"/>
  <c r="S275" i="5"/>
  <c r="R276" i="5"/>
  <c r="S276" i="5"/>
  <c r="R277" i="5"/>
  <c r="S277" i="5"/>
  <c r="R278" i="5"/>
  <c r="S278" i="5"/>
  <c r="R279" i="5"/>
  <c r="S279" i="5"/>
  <c r="R280" i="5"/>
  <c r="S280" i="5"/>
  <c r="R281" i="5"/>
  <c r="S281" i="5"/>
  <c r="R282" i="5"/>
  <c r="S282" i="5"/>
  <c r="R283" i="5"/>
  <c r="S283" i="5"/>
  <c r="R284" i="5"/>
  <c r="S284" i="5"/>
  <c r="R285" i="5"/>
  <c r="S285" i="5"/>
  <c r="R286" i="5"/>
  <c r="S286" i="5"/>
  <c r="R287" i="5"/>
  <c r="S287" i="5"/>
  <c r="R288" i="5"/>
  <c r="S288" i="5"/>
  <c r="R289" i="5"/>
  <c r="S289" i="5"/>
  <c r="R290" i="5"/>
  <c r="S290" i="5"/>
  <c r="R291" i="5"/>
  <c r="S291" i="5"/>
  <c r="R292" i="5"/>
  <c r="S292" i="5"/>
  <c r="R293" i="5"/>
  <c r="S293" i="5"/>
  <c r="R294" i="5"/>
  <c r="S294" i="5"/>
  <c r="R295" i="5"/>
  <c r="S295" i="5"/>
  <c r="R296" i="5"/>
  <c r="S296" i="5"/>
  <c r="R297" i="5"/>
  <c r="S297" i="5"/>
  <c r="R298" i="5"/>
  <c r="S298" i="5"/>
  <c r="R299" i="5"/>
  <c r="S299" i="5"/>
  <c r="R300" i="5"/>
  <c r="S300" i="5"/>
  <c r="R301" i="5"/>
  <c r="S301" i="5"/>
  <c r="R302" i="5"/>
  <c r="S302" i="5"/>
  <c r="R303" i="5"/>
  <c r="S303" i="5"/>
  <c r="R304" i="5"/>
  <c r="S304" i="5"/>
  <c r="R305" i="5"/>
  <c r="S305" i="5"/>
  <c r="R306" i="5"/>
  <c r="S306" i="5"/>
  <c r="R307" i="5"/>
  <c r="S307" i="5"/>
  <c r="R308" i="5"/>
  <c r="S308" i="5"/>
  <c r="R309" i="5"/>
  <c r="S309" i="5"/>
  <c r="R310" i="5"/>
  <c r="S310" i="5"/>
  <c r="R311" i="5"/>
  <c r="S311" i="5"/>
  <c r="R312" i="5"/>
  <c r="S312" i="5"/>
  <c r="R313" i="5"/>
  <c r="S313" i="5"/>
  <c r="R314" i="5"/>
  <c r="S314" i="5"/>
  <c r="R315" i="5"/>
  <c r="S315" i="5"/>
  <c r="R316" i="5"/>
  <c r="S316" i="5"/>
  <c r="R317" i="5"/>
  <c r="S317" i="5"/>
  <c r="R318" i="5"/>
  <c r="S318" i="5"/>
  <c r="R319" i="5"/>
  <c r="S319" i="5"/>
  <c r="R320" i="5"/>
  <c r="S320" i="5"/>
  <c r="R321" i="5"/>
  <c r="S321" i="5"/>
  <c r="R322" i="5"/>
  <c r="S322" i="5"/>
  <c r="R323" i="5"/>
  <c r="S323" i="5"/>
  <c r="R324" i="5"/>
  <c r="S324" i="5"/>
  <c r="R325" i="5"/>
  <c r="S325" i="5"/>
  <c r="R326" i="5"/>
  <c r="S326" i="5"/>
  <c r="R327" i="5"/>
  <c r="S327" i="5"/>
  <c r="R328" i="5"/>
  <c r="S328" i="5"/>
  <c r="R329" i="5"/>
  <c r="S329" i="5"/>
  <c r="R330" i="5"/>
  <c r="S330" i="5"/>
  <c r="R331" i="5"/>
  <c r="S331" i="5"/>
  <c r="R332" i="5"/>
  <c r="S332" i="5"/>
  <c r="R333" i="5"/>
  <c r="S333" i="5"/>
  <c r="R334" i="5"/>
  <c r="S334" i="5"/>
  <c r="R335" i="5"/>
  <c r="S335" i="5"/>
  <c r="R336" i="5"/>
  <c r="S336" i="5"/>
  <c r="R337" i="5"/>
  <c r="S337" i="5"/>
  <c r="R338" i="5"/>
  <c r="S338" i="5"/>
  <c r="R339" i="5"/>
  <c r="S339" i="5"/>
  <c r="R340" i="5"/>
  <c r="S340" i="5"/>
  <c r="R341" i="5"/>
  <c r="S341" i="5"/>
  <c r="R342" i="5"/>
  <c r="S342" i="5"/>
  <c r="R343" i="5"/>
  <c r="S343" i="5"/>
  <c r="R344" i="5"/>
  <c r="S344" i="5"/>
  <c r="R345" i="5"/>
  <c r="S345" i="5"/>
  <c r="R346" i="5"/>
  <c r="S346" i="5"/>
  <c r="R347" i="5"/>
  <c r="S347" i="5"/>
  <c r="R348" i="5"/>
  <c r="S348" i="5"/>
  <c r="R349" i="5"/>
  <c r="S349" i="5"/>
  <c r="R350" i="5"/>
  <c r="S350" i="5"/>
  <c r="R351" i="5"/>
  <c r="S351" i="5"/>
  <c r="R352" i="5"/>
  <c r="S352" i="5"/>
  <c r="R353" i="5"/>
  <c r="S353" i="5"/>
  <c r="R354" i="5"/>
  <c r="S354" i="5"/>
  <c r="R355" i="5"/>
  <c r="S355" i="5"/>
  <c r="R356" i="5"/>
  <c r="S356" i="5"/>
  <c r="R357" i="5"/>
  <c r="S357" i="5"/>
  <c r="R358" i="5"/>
  <c r="S358" i="5"/>
  <c r="R359" i="5"/>
  <c r="S359" i="5"/>
  <c r="R360" i="5"/>
  <c r="S360" i="5"/>
  <c r="R361" i="5"/>
  <c r="S361" i="5"/>
  <c r="R362" i="5"/>
  <c r="S362" i="5"/>
  <c r="R363" i="5"/>
  <c r="S363" i="5"/>
  <c r="R364" i="5"/>
  <c r="S364" i="5"/>
  <c r="R365" i="5"/>
  <c r="S365" i="5"/>
  <c r="R366" i="5"/>
  <c r="S366" i="5"/>
  <c r="R367" i="5"/>
  <c r="S367" i="5"/>
  <c r="R368" i="5"/>
  <c r="S368" i="5"/>
  <c r="R369" i="5"/>
  <c r="S369" i="5"/>
  <c r="R370" i="5"/>
  <c r="S370" i="5"/>
  <c r="R371" i="5"/>
  <c r="S371" i="5"/>
  <c r="R372" i="5"/>
  <c r="S372" i="5"/>
  <c r="R373" i="5"/>
  <c r="S373" i="5"/>
  <c r="R374" i="5"/>
  <c r="S374" i="5"/>
  <c r="R375" i="5"/>
  <c r="S375" i="5"/>
  <c r="R376" i="5"/>
  <c r="S376" i="5"/>
  <c r="R377" i="5"/>
  <c r="S377" i="5"/>
  <c r="R378" i="5"/>
  <c r="S378" i="5"/>
  <c r="R379" i="5"/>
  <c r="S379" i="5"/>
  <c r="R380" i="5"/>
  <c r="S380" i="5"/>
  <c r="R381" i="5"/>
  <c r="S381" i="5"/>
  <c r="R382" i="5"/>
  <c r="S382" i="5"/>
  <c r="R383" i="5"/>
  <c r="S383" i="5"/>
  <c r="R384" i="5"/>
  <c r="S384" i="5"/>
  <c r="R385" i="5"/>
  <c r="S385" i="5"/>
  <c r="R386" i="5"/>
  <c r="S386" i="5"/>
  <c r="R387" i="5"/>
  <c r="S387" i="5"/>
  <c r="R388" i="5"/>
  <c r="S388" i="5"/>
  <c r="R389" i="5"/>
  <c r="S389" i="5"/>
  <c r="R390" i="5"/>
  <c r="S390" i="5"/>
  <c r="R391" i="5"/>
  <c r="S391" i="5"/>
  <c r="R392" i="5"/>
  <c r="S392" i="5"/>
  <c r="R393" i="5"/>
  <c r="S393" i="5"/>
  <c r="R394" i="5"/>
  <c r="S394" i="5"/>
  <c r="R395" i="5"/>
  <c r="S395" i="5"/>
  <c r="R396" i="5"/>
  <c r="S396" i="5"/>
  <c r="R397" i="5"/>
  <c r="S397" i="5"/>
  <c r="R398" i="5"/>
  <c r="S398" i="5"/>
  <c r="R399" i="5"/>
  <c r="S399" i="5"/>
  <c r="R400" i="5"/>
  <c r="S400" i="5"/>
  <c r="R401" i="5"/>
  <c r="S401" i="5"/>
  <c r="R402" i="5"/>
  <c r="S402" i="5"/>
  <c r="R403" i="5"/>
  <c r="S403" i="5"/>
  <c r="R404" i="5"/>
  <c r="S404" i="5"/>
  <c r="R405" i="5"/>
  <c r="S405" i="5"/>
  <c r="R406" i="5"/>
  <c r="S406" i="5"/>
  <c r="R407" i="5"/>
  <c r="S407" i="5"/>
  <c r="R408" i="5"/>
  <c r="S408" i="5"/>
  <c r="R409" i="5"/>
  <c r="S409" i="5"/>
  <c r="R410" i="5"/>
  <c r="S410" i="5"/>
  <c r="R411" i="5"/>
  <c r="S411" i="5"/>
  <c r="R412" i="5"/>
  <c r="S412" i="5"/>
  <c r="R413" i="5"/>
  <c r="S413" i="5"/>
  <c r="R414" i="5"/>
  <c r="S414" i="5"/>
  <c r="R415" i="5"/>
  <c r="S415" i="5"/>
  <c r="R416" i="5"/>
  <c r="S416" i="5"/>
  <c r="R417" i="5"/>
  <c r="S417" i="5"/>
  <c r="R418" i="5"/>
  <c r="S418" i="5"/>
  <c r="R419" i="5"/>
  <c r="S419" i="5"/>
  <c r="R420" i="5"/>
  <c r="S420" i="5"/>
  <c r="R421" i="5"/>
  <c r="S421" i="5"/>
  <c r="R422" i="5"/>
  <c r="S422" i="5"/>
  <c r="R423" i="5"/>
  <c r="S423" i="5"/>
  <c r="R424" i="5"/>
  <c r="S424" i="5"/>
  <c r="R425" i="5"/>
  <c r="S425" i="5"/>
  <c r="R426" i="5"/>
  <c r="S426" i="5"/>
  <c r="R427" i="5"/>
  <c r="S427" i="5"/>
  <c r="R428" i="5"/>
  <c r="S428" i="5"/>
  <c r="R429" i="5"/>
  <c r="S429" i="5"/>
  <c r="R430" i="5"/>
  <c r="S430" i="5"/>
  <c r="R431" i="5"/>
  <c r="S431" i="5"/>
  <c r="R432" i="5"/>
  <c r="S432" i="5"/>
  <c r="R433" i="5"/>
  <c r="S433" i="5"/>
  <c r="R434" i="5"/>
  <c r="S434" i="5"/>
  <c r="R435" i="5"/>
  <c r="S435" i="5"/>
  <c r="R436" i="5"/>
  <c r="S436" i="5"/>
  <c r="R437" i="5"/>
  <c r="S437" i="5"/>
  <c r="R438" i="5"/>
  <c r="S438" i="5"/>
  <c r="R439" i="5"/>
  <c r="S439" i="5"/>
  <c r="R440" i="5"/>
  <c r="S440" i="5"/>
  <c r="R441" i="5"/>
  <c r="S441" i="5"/>
  <c r="R442" i="5"/>
  <c r="S442" i="5"/>
  <c r="R443" i="5"/>
  <c r="S443" i="5"/>
  <c r="R444" i="5"/>
  <c r="S444" i="5"/>
  <c r="R445" i="5"/>
  <c r="S445" i="5"/>
  <c r="R446" i="5"/>
  <c r="S446" i="5"/>
  <c r="R447" i="5"/>
  <c r="S447" i="5"/>
  <c r="R448" i="5"/>
  <c r="S448" i="5"/>
  <c r="R449" i="5"/>
  <c r="S449" i="5"/>
  <c r="R450" i="5"/>
  <c r="S450" i="5"/>
  <c r="R451" i="5"/>
  <c r="S451" i="5"/>
  <c r="R452" i="5"/>
  <c r="S452" i="5"/>
  <c r="R453" i="5"/>
  <c r="S453" i="5"/>
  <c r="R454" i="5"/>
  <c r="S454" i="5"/>
  <c r="R455" i="5"/>
  <c r="S455" i="5"/>
  <c r="R456" i="5"/>
  <c r="S456" i="5"/>
  <c r="R457" i="5"/>
  <c r="S457" i="5"/>
  <c r="R458" i="5"/>
  <c r="S458" i="5"/>
  <c r="R459" i="5"/>
  <c r="S459" i="5"/>
  <c r="R460" i="5"/>
  <c r="S460" i="5"/>
  <c r="R461" i="5"/>
  <c r="S461" i="5"/>
  <c r="R462" i="5"/>
  <c r="S462" i="5"/>
  <c r="R463" i="5"/>
  <c r="S463" i="5"/>
  <c r="R464" i="5"/>
  <c r="S464" i="5"/>
  <c r="R465" i="5"/>
  <c r="S465" i="5"/>
  <c r="R466" i="5"/>
  <c r="S466" i="5"/>
  <c r="R467" i="5"/>
  <c r="S467" i="5"/>
  <c r="R468" i="5"/>
  <c r="S468" i="5"/>
  <c r="R469" i="5"/>
  <c r="S469" i="5"/>
  <c r="R470" i="5"/>
  <c r="S470" i="5"/>
  <c r="R471" i="5"/>
  <c r="S471" i="5"/>
  <c r="R472" i="5"/>
  <c r="S472" i="5"/>
  <c r="R473" i="5"/>
  <c r="S473" i="5"/>
  <c r="R474" i="5"/>
  <c r="S474" i="5"/>
  <c r="R475" i="5"/>
  <c r="S475" i="5"/>
  <c r="R476" i="5"/>
  <c r="S476" i="5"/>
  <c r="R477" i="5"/>
  <c r="S477" i="5"/>
  <c r="R478" i="5"/>
  <c r="S478" i="5"/>
  <c r="R479" i="5"/>
  <c r="S479" i="5"/>
  <c r="R480" i="5"/>
  <c r="S480" i="5"/>
  <c r="R481" i="5"/>
  <c r="S481" i="5"/>
  <c r="R482" i="5"/>
  <c r="S482" i="5"/>
  <c r="R483" i="5"/>
  <c r="S483" i="5"/>
  <c r="R484" i="5"/>
  <c r="S484" i="5"/>
  <c r="R485" i="5"/>
  <c r="S485" i="5"/>
  <c r="R486" i="5"/>
  <c r="S486" i="5"/>
  <c r="R487" i="5"/>
  <c r="S487" i="5"/>
  <c r="R488" i="5"/>
  <c r="S488" i="5"/>
  <c r="R489" i="5"/>
  <c r="S489" i="5"/>
  <c r="R490" i="5"/>
  <c r="S490" i="5"/>
  <c r="R491" i="5"/>
  <c r="S491" i="5"/>
  <c r="R492" i="5"/>
  <c r="S492" i="5"/>
  <c r="R493" i="5"/>
  <c r="S493" i="5"/>
  <c r="R494" i="5"/>
  <c r="S494" i="5"/>
  <c r="R495" i="5"/>
  <c r="S495" i="5"/>
  <c r="R496" i="5"/>
  <c r="S496" i="5"/>
  <c r="R497" i="5"/>
  <c r="S497" i="5"/>
  <c r="R498" i="5"/>
  <c r="S498" i="5"/>
  <c r="R499" i="5"/>
  <c r="S499" i="5"/>
  <c r="R500" i="5"/>
  <c r="S500" i="5"/>
  <c r="R501" i="5"/>
  <c r="S501" i="5"/>
  <c r="R502" i="5"/>
  <c r="S502" i="5"/>
  <c r="R503" i="5"/>
  <c r="S503" i="5"/>
  <c r="R504" i="5"/>
  <c r="S504" i="5"/>
  <c r="R505" i="5"/>
  <c r="S505" i="5"/>
  <c r="R506" i="5"/>
  <c r="S506" i="5"/>
  <c r="R507" i="5"/>
  <c r="S507" i="5"/>
  <c r="R508" i="5"/>
  <c r="S508" i="5"/>
  <c r="R509" i="5"/>
  <c r="S509" i="5"/>
  <c r="R510" i="5"/>
  <c r="S510" i="5"/>
  <c r="R511" i="5"/>
  <c r="S511" i="5"/>
  <c r="R512" i="5"/>
  <c r="S512" i="5"/>
  <c r="R513" i="5"/>
  <c r="S513" i="5"/>
  <c r="R514" i="5"/>
  <c r="S514" i="5"/>
  <c r="R515" i="5"/>
  <c r="S515" i="5"/>
  <c r="R516" i="5"/>
  <c r="S516" i="5"/>
  <c r="R517" i="5"/>
  <c r="S517" i="5"/>
  <c r="R518" i="5"/>
  <c r="S518" i="5"/>
  <c r="R519" i="5"/>
  <c r="S519" i="5"/>
  <c r="R520" i="5"/>
  <c r="S520" i="5"/>
  <c r="R521" i="5"/>
  <c r="S521" i="5"/>
  <c r="R522" i="5"/>
  <c r="S522" i="5"/>
  <c r="R523" i="5"/>
  <c r="S523" i="5"/>
  <c r="R524" i="5"/>
  <c r="S524" i="5"/>
  <c r="R525" i="5"/>
  <c r="S525" i="5"/>
  <c r="R526" i="5"/>
  <c r="S526" i="5"/>
  <c r="R527" i="5"/>
  <c r="S527" i="5"/>
  <c r="R528" i="5"/>
  <c r="S528" i="5"/>
  <c r="R529" i="5"/>
  <c r="S529" i="5"/>
  <c r="R530" i="5"/>
  <c r="S530" i="5"/>
  <c r="R531" i="5"/>
  <c r="S531" i="5"/>
  <c r="R532" i="5"/>
  <c r="S532" i="5"/>
  <c r="R533" i="5"/>
  <c r="S533" i="5"/>
  <c r="R534" i="5"/>
  <c r="S534" i="5"/>
  <c r="R535" i="5"/>
  <c r="S535" i="5"/>
  <c r="R536" i="5"/>
  <c r="S536" i="5"/>
  <c r="R537" i="5"/>
  <c r="S537" i="5"/>
  <c r="R538" i="5"/>
  <c r="S538" i="5"/>
  <c r="E21" i="5" l="1"/>
  <c r="F21" i="5"/>
  <c r="F23" i="5"/>
  <c r="D21" i="5"/>
  <c r="F19" i="5"/>
  <c r="L1022" i="4"/>
  <c r="L409" i="4"/>
  <c r="L425" i="4"/>
  <c r="L441" i="4"/>
  <c r="L457" i="4"/>
  <c r="L473" i="4"/>
  <c r="L489" i="4"/>
  <c r="L505" i="4"/>
  <c r="L521" i="4"/>
  <c r="L537" i="4"/>
  <c r="L553" i="4"/>
  <c r="L569" i="4"/>
  <c r="L585" i="4"/>
  <c r="L600" i="4"/>
  <c r="L602" i="4"/>
  <c r="L603" i="4"/>
  <c r="L604" i="4"/>
  <c r="L606" i="4"/>
  <c r="L607" i="4"/>
  <c r="L608" i="4"/>
  <c r="L612" i="4"/>
  <c r="L614" i="4"/>
  <c r="L615" i="4"/>
  <c r="L616" i="4"/>
  <c r="L618" i="4"/>
  <c r="L619" i="4"/>
  <c r="L620" i="4"/>
  <c r="L622" i="4"/>
  <c r="L623" i="4"/>
  <c r="L624" i="4"/>
  <c r="L626" i="4"/>
  <c r="L627" i="4"/>
  <c r="L628" i="4"/>
  <c r="L630" i="4"/>
  <c r="L631" i="4"/>
  <c r="L632" i="4"/>
  <c r="L634" i="4"/>
  <c r="L635" i="4"/>
  <c r="L636" i="4"/>
  <c r="L638" i="4"/>
  <c r="L639" i="4"/>
  <c r="L640" i="4"/>
  <c r="L644" i="4"/>
  <c r="L646" i="4"/>
  <c r="L647" i="4"/>
  <c r="L648" i="4"/>
  <c r="L650" i="4"/>
  <c r="L651" i="4"/>
  <c r="L652" i="4"/>
  <c r="L654" i="4"/>
  <c r="L655" i="4"/>
  <c r="L656" i="4"/>
  <c r="L658" i="4"/>
  <c r="L659" i="4"/>
  <c r="L660" i="4"/>
  <c r="L662" i="4"/>
  <c r="L663" i="4"/>
  <c r="L664" i="4"/>
  <c r="L666" i="4"/>
  <c r="L667" i="4"/>
  <c r="L668" i="4"/>
  <c r="L670" i="4"/>
  <c r="L671" i="4"/>
  <c r="L672" i="4"/>
  <c r="L676" i="4"/>
  <c r="L678" i="4"/>
  <c r="L679" i="4"/>
  <c r="L680" i="4"/>
  <c r="L682" i="4"/>
  <c r="L683" i="4"/>
  <c r="L684" i="4"/>
  <c r="L686" i="4"/>
  <c r="L687" i="4"/>
  <c r="L688" i="4"/>
  <c r="L690" i="4"/>
  <c r="L691" i="4"/>
  <c r="L692" i="4"/>
  <c r="L694" i="4"/>
  <c r="L695" i="4"/>
  <c r="L696" i="4"/>
  <c r="L698" i="4"/>
  <c r="L699" i="4"/>
  <c r="L700" i="4"/>
  <c r="L702" i="4"/>
  <c r="L703" i="4"/>
  <c r="L704" i="4"/>
  <c r="L708" i="4"/>
  <c r="L710" i="4"/>
  <c r="L711" i="4"/>
  <c r="L712" i="4"/>
  <c r="L714" i="4"/>
  <c r="L715" i="4"/>
  <c r="L716" i="4"/>
  <c r="L718" i="4"/>
  <c r="L719" i="4"/>
  <c r="L720" i="4"/>
  <c r="L722" i="4"/>
  <c r="L723" i="4"/>
  <c r="L724" i="4"/>
  <c r="L726" i="4"/>
  <c r="L727" i="4"/>
  <c r="L728" i="4"/>
  <c r="L730" i="4"/>
  <c r="L731" i="4"/>
  <c r="L732" i="4"/>
  <c r="L734" i="4"/>
  <c r="L735" i="4"/>
  <c r="L736" i="4"/>
  <c r="L740" i="4"/>
  <c r="L742" i="4"/>
  <c r="L743" i="4"/>
  <c r="L744" i="4"/>
  <c r="L746" i="4"/>
  <c r="L747" i="4"/>
  <c r="L748" i="4"/>
  <c r="L750" i="4"/>
  <c r="L751" i="4"/>
  <c r="L752" i="4"/>
  <c r="L754" i="4"/>
  <c r="L755" i="4"/>
  <c r="L756" i="4"/>
  <c r="L758" i="4"/>
  <c r="L759" i="4"/>
  <c r="L762" i="4"/>
  <c r="L763" i="4"/>
  <c r="L766" i="4"/>
  <c r="L770" i="4"/>
  <c r="L771" i="4"/>
  <c r="L774" i="4"/>
  <c r="L775" i="4"/>
  <c r="L778" i="4"/>
  <c r="L779" i="4"/>
  <c r="L782" i="4"/>
  <c r="L783" i="4"/>
  <c r="L786" i="4"/>
  <c r="L787" i="4"/>
  <c r="L790" i="4"/>
  <c r="L791" i="4"/>
  <c r="L794" i="4"/>
  <c r="L795" i="4"/>
  <c r="L798" i="4"/>
  <c r="L799" i="4"/>
  <c r="L802" i="4"/>
  <c r="L803" i="4"/>
  <c r="L806" i="4"/>
  <c r="L807" i="4"/>
  <c r="L810" i="4"/>
  <c r="L811" i="4"/>
  <c r="L814" i="4"/>
  <c r="L815" i="4"/>
  <c r="L818" i="4"/>
  <c r="L819" i="4"/>
  <c r="L822" i="4"/>
  <c r="L823" i="4"/>
  <c r="L826" i="4"/>
  <c r="L827" i="4"/>
  <c r="L830" i="4"/>
  <c r="L834" i="4"/>
  <c r="L835" i="4"/>
  <c r="L838" i="4"/>
  <c r="L839" i="4"/>
  <c r="L842" i="4"/>
  <c r="L843" i="4"/>
  <c r="L846" i="4"/>
  <c r="L847" i="4"/>
  <c r="L850" i="4"/>
  <c r="L851" i="4"/>
  <c r="L854" i="4"/>
  <c r="L855" i="4"/>
  <c r="L858" i="4"/>
  <c r="L859" i="4"/>
  <c r="L862" i="4"/>
  <c r="L863" i="4"/>
  <c r="L866" i="4"/>
  <c r="L867" i="4"/>
  <c r="L870" i="4"/>
  <c r="L871" i="4"/>
  <c r="L874" i="4"/>
  <c r="L875" i="4"/>
  <c r="L878" i="4"/>
  <c r="L879" i="4"/>
  <c r="L882" i="4"/>
  <c r="L883" i="4"/>
  <c r="L886" i="4"/>
  <c r="L887" i="4"/>
  <c r="L890" i="4"/>
  <c r="L891" i="4"/>
  <c r="L894" i="4"/>
  <c r="L898" i="4"/>
  <c r="L899" i="4"/>
  <c r="L902" i="4"/>
  <c r="L903" i="4"/>
  <c r="L906" i="4"/>
  <c r="L907" i="4"/>
  <c r="L910" i="4"/>
  <c r="L911" i="4"/>
  <c r="L914" i="4"/>
  <c r="L915" i="4"/>
  <c r="L918" i="4"/>
  <c r="L919" i="4"/>
  <c r="L922" i="4"/>
  <c r="L923" i="4"/>
  <c r="L926" i="4"/>
  <c r="L927" i="4"/>
  <c r="L930" i="4"/>
  <c r="L931" i="4"/>
  <c r="L934" i="4"/>
  <c r="L935" i="4"/>
  <c r="L938" i="4"/>
  <c r="L939" i="4"/>
  <c r="L942" i="4"/>
  <c r="L943" i="4"/>
  <c r="L946" i="4"/>
  <c r="L947" i="4"/>
  <c r="L950" i="4"/>
  <c r="L951" i="4"/>
  <c r="L954" i="4"/>
  <c r="L955" i="4"/>
  <c r="L958" i="4"/>
  <c r="L959" i="4"/>
  <c r="L962" i="4"/>
  <c r="L963" i="4"/>
  <c r="L966" i="4"/>
  <c r="L967" i="4"/>
  <c r="L970" i="4"/>
  <c r="L971" i="4"/>
  <c r="L974" i="4"/>
  <c r="L975" i="4"/>
  <c r="L978" i="4"/>
  <c r="L979" i="4"/>
  <c r="L982" i="4"/>
  <c r="L983" i="4"/>
  <c r="L986" i="4"/>
  <c r="L987" i="4"/>
  <c r="L990" i="4"/>
  <c r="L991" i="4"/>
  <c r="L994" i="4"/>
  <c r="L995" i="4"/>
  <c r="L998" i="4"/>
  <c r="L999" i="4"/>
  <c r="L1002" i="4"/>
  <c r="L1003" i="4"/>
  <c r="L1006" i="4"/>
  <c r="L1007" i="4"/>
  <c r="L1010" i="4"/>
  <c r="L1011" i="4"/>
  <c r="L1014" i="4"/>
  <c r="L1015" i="4"/>
  <c r="L1018" i="4"/>
  <c r="L1019" i="4"/>
  <c r="L3" i="4"/>
  <c r="E6" i="4"/>
  <c r="E7" i="4"/>
  <c r="E8" i="4"/>
  <c r="E9" i="4"/>
  <c r="E10" i="4"/>
  <c r="E11" i="4"/>
  <c r="E12" i="4"/>
  <c r="E13" i="4"/>
  <c r="E14" i="4"/>
  <c r="E15" i="4"/>
  <c r="E16" i="4"/>
  <c r="E17" i="4"/>
  <c r="E18" i="4"/>
  <c r="E19" i="4"/>
  <c r="E20" i="4"/>
  <c r="E21" i="4"/>
  <c r="E22" i="4"/>
  <c r="E23" i="4"/>
  <c r="E24" i="4"/>
  <c r="E25" i="4"/>
  <c r="E26" i="4"/>
  <c r="E27" i="4"/>
  <c r="E1003" i="4"/>
  <c r="E1004" i="4"/>
  <c r="E1005" i="4"/>
  <c r="E1006" i="4"/>
  <c r="E1007" i="4"/>
  <c r="E1008" i="4"/>
  <c r="E1009" i="4"/>
  <c r="E1010" i="4"/>
  <c r="E1011" i="4"/>
  <c r="E1012" i="4"/>
  <c r="E1013" i="4"/>
  <c r="E1014" i="4"/>
  <c r="E1015" i="4"/>
  <c r="E1016" i="4"/>
  <c r="E1017" i="4"/>
  <c r="E1018" i="4"/>
  <c r="E1019" i="4"/>
  <c r="E1020" i="4"/>
  <c r="E102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L419" i="4"/>
  <c r="L450" i="4"/>
  <c r="L451" i="4"/>
  <c r="L482" i="4"/>
  <c r="L483" i="4"/>
  <c r="L514" i="4"/>
  <c r="L515" i="4"/>
  <c r="L546" i="4"/>
  <c r="L547" i="4"/>
  <c r="L578" i="4"/>
  <c r="L579" i="4"/>
  <c r="L610" i="4"/>
  <c r="L611" i="4"/>
  <c r="L642" i="4"/>
  <c r="L643" i="4"/>
  <c r="L673" i="4"/>
  <c r="L674" i="4"/>
  <c r="L675" i="4"/>
  <c r="L685" i="4"/>
  <c r="L697" i="4"/>
  <c r="L706" i="4"/>
  <c r="L707" i="4"/>
  <c r="L709" i="4"/>
  <c r="L737" i="4"/>
  <c r="L738" i="4"/>
  <c r="L739" i="4"/>
  <c r="L749" i="4"/>
  <c r="L760" i="4"/>
  <c r="L764" i="4"/>
  <c r="L767" i="4"/>
  <c r="L768" i="4"/>
  <c r="L772" i="4"/>
  <c r="L776" i="4"/>
  <c r="L780" i="4"/>
  <c r="L784" i="4"/>
  <c r="L788" i="4"/>
  <c r="L789" i="4"/>
  <c r="L792" i="4"/>
  <c r="L796" i="4"/>
  <c r="L797" i="4"/>
  <c r="L800" i="4"/>
  <c r="L804" i="4"/>
  <c r="L808" i="4"/>
  <c r="L812" i="4"/>
  <c r="L816" i="4"/>
  <c r="L820" i="4"/>
  <c r="L821" i="4"/>
  <c r="L824" i="4"/>
  <c r="L828" i="4"/>
  <c r="L829" i="4"/>
  <c r="L831" i="4"/>
  <c r="L832" i="4"/>
  <c r="L836" i="4"/>
  <c r="L837" i="4"/>
  <c r="L840" i="4"/>
  <c r="L844" i="4"/>
  <c r="L845" i="4"/>
  <c r="L848" i="4"/>
  <c r="L852" i="4"/>
  <c r="L853" i="4"/>
  <c r="L856" i="4"/>
  <c r="L860" i="4"/>
  <c r="L861" i="4"/>
  <c r="L864" i="4"/>
  <c r="L868" i="4"/>
  <c r="L869" i="4"/>
  <c r="L872" i="4"/>
  <c r="L876" i="4"/>
  <c r="L877" i="4"/>
  <c r="L880" i="4"/>
  <c r="L884" i="4"/>
  <c r="L885" i="4"/>
  <c r="L888" i="4"/>
  <c r="L892" i="4"/>
  <c r="L893" i="4"/>
  <c r="L895" i="4"/>
  <c r="L896" i="4"/>
  <c r="L897" i="4"/>
  <c r="L900" i="4"/>
  <c r="L904" i="4"/>
  <c r="L905" i="4"/>
  <c r="L908" i="4"/>
  <c r="L912" i="4"/>
  <c r="L913" i="4"/>
  <c r="L916" i="4"/>
  <c r="L920" i="4"/>
  <c r="L921" i="4"/>
  <c r="L924" i="4"/>
  <c r="L928" i="4"/>
  <c r="L929" i="4"/>
  <c r="L932" i="4"/>
  <c r="L936" i="4"/>
  <c r="L937" i="4"/>
  <c r="L940" i="4"/>
  <c r="L944" i="4"/>
  <c r="L945" i="4"/>
  <c r="L948" i="4"/>
  <c r="L952" i="4"/>
  <c r="L953" i="4"/>
  <c r="L956" i="4"/>
  <c r="L960" i="4"/>
  <c r="L961" i="4"/>
  <c r="L964" i="4"/>
  <c r="L968" i="4"/>
  <c r="L969" i="4"/>
  <c r="L972" i="4"/>
  <c r="L976" i="4"/>
  <c r="L977" i="4"/>
  <c r="L980" i="4"/>
  <c r="L984" i="4"/>
  <c r="L985" i="4"/>
  <c r="L988" i="4"/>
  <c r="L992" i="4"/>
  <c r="L993" i="4"/>
  <c r="L996" i="4"/>
  <c r="L1000" i="4"/>
  <c r="L1001" i="4"/>
  <c r="L1004" i="4"/>
  <c r="L1008" i="4"/>
  <c r="L1009" i="4"/>
  <c r="L1012" i="4"/>
  <c r="L1016" i="4"/>
  <c r="L1017" i="4"/>
  <c r="L1020" i="4"/>
  <c r="L404" i="4"/>
  <c r="L405" i="4"/>
  <c r="L408" i="4"/>
  <c r="L412" i="4"/>
  <c r="L413" i="4"/>
  <c r="L416" i="4"/>
  <c r="B80" i="5" l="1"/>
  <c r="B79" i="5"/>
  <c r="E20" i="2"/>
  <c r="L825" i="4"/>
  <c r="L809" i="4"/>
  <c r="L801" i="4"/>
  <c r="L793" i="4"/>
  <c r="L777" i="4"/>
  <c r="L769" i="4"/>
  <c r="L753" i="4"/>
  <c r="L729" i="4"/>
  <c r="L693" i="4"/>
  <c r="L677" i="4"/>
  <c r="L669" i="4"/>
  <c r="L665" i="4"/>
  <c r="L657" i="4"/>
  <c r="L641" i="4"/>
  <c r="L629" i="4"/>
  <c r="L617" i="4"/>
  <c r="L609" i="4"/>
  <c r="L589" i="4"/>
  <c r="L565" i="4"/>
  <c r="L549" i="4"/>
  <c r="L541" i="4"/>
  <c r="L525" i="4"/>
  <c r="L497" i="4"/>
  <c r="L485" i="4"/>
  <c r="L477" i="4"/>
  <c r="L461" i="4"/>
  <c r="L437" i="4"/>
  <c r="L421" i="4"/>
  <c r="L889" i="4"/>
  <c r="L881" i="4"/>
  <c r="L873" i="4"/>
  <c r="L865" i="4"/>
  <c r="L857" i="4"/>
  <c r="L849" i="4"/>
  <c r="L841" i="4"/>
  <c r="L833" i="4"/>
  <c r="L805" i="4"/>
  <c r="L773" i="4"/>
  <c r="L745" i="4"/>
  <c r="L725" i="4"/>
  <c r="L681" i="4"/>
  <c r="L661" i="4"/>
  <c r="L637" i="4"/>
  <c r="L597" i="4"/>
  <c r="L573" i="4"/>
  <c r="L533" i="4"/>
  <c r="L509" i="4"/>
  <c r="L469" i="4"/>
  <c r="L445" i="4"/>
  <c r="L817" i="4"/>
  <c r="L785" i="4"/>
  <c r="L765" i="4"/>
  <c r="L757" i="4"/>
  <c r="L741" i="4"/>
  <c r="L733" i="4"/>
  <c r="L717" i="4"/>
  <c r="L713" i="4"/>
  <c r="L705" i="4"/>
  <c r="L689" i="4"/>
  <c r="L653" i="4"/>
  <c r="L649" i="4"/>
  <c r="L633" i="4"/>
  <c r="L625" i="4"/>
  <c r="L613" i="4"/>
  <c r="L605" i="4"/>
  <c r="L601" i="4"/>
  <c r="L593" i="4"/>
  <c r="L577" i="4"/>
  <c r="L561" i="4"/>
  <c r="L545" i="4"/>
  <c r="L529" i="4"/>
  <c r="L513" i="4"/>
  <c r="L501" i="4"/>
  <c r="L481" i="4"/>
  <c r="L465" i="4"/>
  <c r="L449" i="4"/>
  <c r="L433" i="4"/>
  <c r="L417" i="4"/>
  <c r="L1021" i="4"/>
  <c r="L1013" i="4"/>
  <c r="L1005" i="4"/>
  <c r="L997" i="4"/>
  <c r="L989" i="4"/>
  <c r="L981" i="4"/>
  <c r="L973" i="4"/>
  <c r="L965" i="4"/>
  <c r="L957" i="4"/>
  <c r="L949" i="4"/>
  <c r="L941" i="4"/>
  <c r="L933" i="4"/>
  <c r="L925" i="4"/>
  <c r="L917" i="4"/>
  <c r="L909" i="4"/>
  <c r="L901" i="4"/>
  <c r="L813" i="4"/>
  <c r="L781" i="4"/>
  <c r="L761" i="4"/>
  <c r="L721" i="4"/>
  <c r="L701" i="4"/>
  <c r="L645" i="4"/>
  <c r="L621" i="4"/>
  <c r="L581" i="4"/>
  <c r="L557" i="4"/>
  <c r="L517" i="4"/>
  <c r="L493" i="4"/>
  <c r="L453" i="4"/>
  <c r="L429" i="4"/>
  <c r="L596" i="4"/>
  <c r="L592" i="4"/>
  <c r="L588" i="4"/>
  <c r="L584" i="4"/>
  <c r="L580" i="4"/>
  <c r="L576" i="4"/>
  <c r="L572" i="4"/>
  <c r="L568" i="4"/>
  <c r="L564" i="4"/>
  <c r="L560" i="4"/>
  <c r="L556" i="4"/>
  <c r="L552" i="4"/>
  <c r="L548" i="4"/>
  <c r="L544" i="4"/>
  <c r="L540" i="4"/>
  <c r="L536" i="4"/>
  <c r="L532" i="4"/>
  <c r="L528" i="4"/>
  <c r="L524" i="4"/>
  <c r="L520" i="4"/>
  <c r="L516" i="4"/>
  <c r="L512" i="4"/>
  <c r="L508" i="4"/>
  <c r="L504" i="4"/>
  <c r="L500" i="4"/>
  <c r="L496" i="4"/>
  <c r="L492" i="4"/>
  <c r="L488" i="4"/>
  <c r="L484" i="4"/>
  <c r="L480" i="4"/>
  <c r="L476" i="4"/>
  <c r="L472" i="4"/>
  <c r="L468" i="4"/>
  <c r="L464" i="4"/>
  <c r="L460" i="4"/>
  <c r="L456" i="4"/>
  <c r="L452" i="4"/>
  <c r="L448" i="4"/>
  <c r="L444" i="4"/>
  <c r="L440" i="4"/>
  <c r="L436" i="4"/>
  <c r="L432" i="4"/>
  <c r="L428" i="4"/>
  <c r="L424" i="4"/>
  <c r="L420" i="4"/>
  <c r="L599" i="4"/>
  <c r="L595" i="4"/>
  <c r="L591" i="4"/>
  <c r="L587" i="4"/>
  <c r="L583" i="4"/>
  <c r="L575" i="4"/>
  <c r="L571" i="4"/>
  <c r="L567" i="4"/>
  <c r="L563" i="4"/>
  <c r="L559" i="4"/>
  <c r="L555" i="4"/>
  <c r="L551" i="4"/>
  <c r="L543" i="4"/>
  <c r="L539" i="4"/>
  <c r="L535" i="4"/>
  <c r="L531" i="4"/>
  <c r="L527" i="4"/>
  <c r="L523" i="4"/>
  <c r="L519" i="4"/>
  <c r="L511" i="4"/>
  <c r="L507" i="4"/>
  <c r="L503" i="4"/>
  <c r="L499" i="4"/>
  <c r="L495" i="4"/>
  <c r="L491" i="4"/>
  <c r="L487" i="4"/>
  <c r="L479" i="4"/>
  <c r="L475" i="4"/>
  <c r="L471" i="4"/>
  <c r="L467" i="4"/>
  <c r="L463" i="4"/>
  <c r="L459" i="4"/>
  <c r="L455" i="4"/>
  <c r="L447" i="4"/>
  <c r="L443" i="4"/>
  <c r="L439" i="4"/>
  <c r="L435" i="4"/>
  <c r="L431" i="4"/>
  <c r="L427" i="4"/>
  <c r="L423" i="4"/>
  <c r="L415" i="4"/>
  <c r="L411" i="4"/>
  <c r="L407" i="4"/>
  <c r="L598" i="4"/>
  <c r="L594" i="4"/>
  <c r="L590" i="4"/>
  <c r="L586" i="4"/>
  <c r="L582" i="4"/>
  <c r="L574" i="4"/>
  <c r="L570" i="4"/>
  <c r="L566" i="4"/>
  <c r="L562" i="4"/>
  <c r="L558" i="4"/>
  <c r="L554" i="4"/>
  <c r="L550" i="4"/>
  <c r="L542" i="4"/>
  <c r="L538" i="4"/>
  <c r="L534" i="4"/>
  <c r="L530" i="4"/>
  <c r="L526" i="4"/>
  <c r="L522" i="4"/>
  <c r="L518" i="4"/>
  <c r="L510" i="4"/>
  <c r="L506" i="4"/>
  <c r="L502" i="4"/>
  <c r="L498" i="4"/>
  <c r="L494" i="4"/>
  <c r="L490" i="4"/>
  <c r="L486" i="4"/>
  <c r="L478" i="4"/>
  <c r="L474" i="4"/>
  <c r="L470" i="4"/>
  <c r="L466" i="4"/>
  <c r="L462" i="4"/>
  <c r="L458" i="4"/>
  <c r="L454" i="4"/>
  <c r="L446" i="4"/>
  <c r="L442" i="4"/>
  <c r="L438" i="4"/>
  <c r="L434" i="4"/>
  <c r="L430" i="4"/>
  <c r="L426" i="4"/>
  <c r="L422" i="4"/>
  <c r="L418" i="4"/>
  <c r="L414" i="4"/>
  <c r="L410" i="4"/>
  <c r="L406" i="4"/>
  <c r="I100" i="5"/>
  <c r="K28" i="3" l="1"/>
  <c r="D115" i="3"/>
  <c r="D116" i="3" s="1"/>
  <c r="E115" i="3"/>
  <c r="E116" i="3" s="1"/>
  <c r="F115" i="3"/>
  <c r="F116" i="3" s="1"/>
  <c r="G115" i="3"/>
  <c r="G116" i="3" s="1"/>
  <c r="H115" i="3"/>
  <c r="H116" i="3" s="1"/>
  <c r="C115" i="3"/>
  <c r="C116" i="3" s="1"/>
  <c r="D123" i="3"/>
  <c r="D124" i="3" l="1"/>
  <c r="E124" i="3"/>
  <c r="J21" i="3" l="1"/>
  <c r="J20" i="3"/>
  <c r="K2" i="5"/>
  <c r="K1" i="5"/>
  <c r="K1" i="2"/>
  <c r="K2" i="2"/>
  <c r="E71" i="2"/>
  <c r="G19" i="5" l="1"/>
  <c r="G34" i="5" l="1"/>
  <c r="G24" i="5"/>
  <c r="G26" i="5"/>
  <c r="G31" i="5"/>
  <c r="G27" i="5"/>
  <c r="G30" i="5"/>
  <c r="H34" i="5"/>
  <c r="H24" i="5"/>
  <c r="H31" i="5"/>
  <c r="H28" i="5"/>
  <c r="G25" i="5"/>
  <c r="G32" i="5"/>
  <c r="G29" i="5"/>
  <c r="H25" i="5"/>
  <c r="H32" i="5"/>
  <c r="H27" i="5"/>
  <c r="H29" i="5"/>
  <c r="H26" i="5"/>
  <c r="G28" i="5"/>
  <c r="H30" i="5"/>
  <c r="G33" i="5"/>
  <c r="H33" i="5"/>
  <c r="H23" i="5"/>
  <c r="G23" i="5"/>
  <c r="H22" i="5"/>
  <c r="H20" i="5"/>
  <c r="G69" i="5"/>
  <c r="B21" i="5"/>
  <c r="B22" i="5"/>
  <c r="B23" i="5"/>
  <c r="B24" i="5"/>
  <c r="B25" i="5"/>
  <c r="B26" i="5"/>
  <c r="B27" i="5"/>
  <c r="B28" i="5"/>
  <c r="B29" i="5"/>
  <c r="B30" i="5"/>
  <c r="B31" i="5"/>
  <c r="B32" i="5"/>
  <c r="B33" i="5"/>
  <c r="B34" i="5"/>
  <c r="B35" i="5"/>
  <c r="B37" i="5"/>
  <c r="B38" i="5"/>
  <c r="B20" i="5"/>
  <c r="B19" i="5"/>
  <c r="I95" i="5"/>
  <c r="E100" i="5"/>
  <c r="E95" i="5"/>
  <c r="M9" i="5"/>
  <c r="C10" i="5"/>
  <c r="M9" i="2"/>
  <c r="R1" i="3"/>
  <c r="O1" i="3"/>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3" i="4"/>
  <c r="L394" i="4"/>
  <c r="L395" i="4"/>
  <c r="L396" i="4"/>
  <c r="L397" i="4"/>
  <c r="L398" i="4"/>
  <c r="L399" i="4"/>
  <c r="L400" i="4"/>
  <c r="L401" i="4"/>
  <c r="L402" i="4"/>
  <c r="L403" i="4"/>
  <c r="S3" i="4"/>
  <c r="L5"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P8" i="5"/>
  <c r="Q1" i="5"/>
  <c r="C12" i="2" l="1"/>
  <c r="C12" i="5" s="1"/>
  <c r="O48" i="2" l="1"/>
  <c r="I18" i="2"/>
  <c r="F18" i="2"/>
  <c r="C18" i="2"/>
  <c r="P8" i="2"/>
  <c r="Q1" i="2"/>
  <c r="J112" i="5" l="1"/>
  <c r="C51" i="3"/>
  <c r="C50" i="3"/>
  <c r="C49" i="3"/>
  <c r="D54" i="3" l="1"/>
  <c r="D53" i="3"/>
  <c r="N8" i="3" l="1"/>
  <c r="J10" i="2" l="1"/>
  <c r="J10" i="5"/>
  <c r="D20" i="5" l="1"/>
  <c r="E20" i="5"/>
  <c r="S65" i="3"/>
  <c r="AD50" i="5" l="1"/>
  <c r="AD49" i="5"/>
  <c r="AD48" i="5"/>
  <c r="AD47" i="5"/>
  <c r="AD46" i="5"/>
  <c r="AD45" i="5"/>
  <c r="AD44" i="5"/>
  <c r="AD43" i="5"/>
  <c r="AD42" i="5"/>
  <c r="AF44" i="5"/>
  <c r="AD41" i="5"/>
  <c r="AF43" i="5"/>
  <c r="AD40" i="5"/>
  <c r="AF42" i="5"/>
  <c r="AD39" i="5"/>
  <c r="A100" i="5"/>
  <c r="AF41" i="5"/>
  <c r="AD38" i="5"/>
  <c r="AF40" i="5"/>
  <c r="AD37" i="5"/>
  <c r="AF39" i="5"/>
  <c r="AD36" i="5"/>
  <c r="AF38" i="5"/>
  <c r="AD35" i="5"/>
  <c r="AF37" i="5"/>
  <c r="AD34" i="5"/>
  <c r="A95" i="5"/>
  <c r="AF36" i="5"/>
  <c r="AD33" i="5"/>
  <c r="AF35" i="5"/>
  <c r="AD32" i="5"/>
  <c r="AF34" i="5"/>
  <c r="AD31" i="5"/>
  <c r="AF33" i="5"/>
  <c r="AD30" i="5"/>
  <c r="AF32" i="5"/>
  <c r="AD29" i="5"/>
  <c r="AF31" i="5"/>
  <c r="AD28" i="5"/>
  <c r="AF30" i="5"/>
  <c r="AD27" i="5"/>
  <c r="AF29" i="5"/>
  <c r="AD26" i="5"/>
  <c r="AF28" i="5"/>
  <c r="AD25" i="5"/>
  <c r="AF27" i="5"/>
  <c r="AD24" i="5"/>
  <c r="AF26" i="5"/>
  <c r="AD23" i="5"/>
  <c r="AF25" i="5"/>
  <c r="AD22" i="5"/>
  <c r="AF24" i="5"/>
  <c r="AD21" i="5"/>
  <c r="AF23" i="5"/>
  <c r="AD20" i="5"/>
  <c r="AF22" i="5"/>
  <c r="AD19" i="5"/>
  <c r="AF21" i="5"/>
  <c r="AD18" i="5"/>
  <c r="AF20" i="5"/>
  <c r="AF19" i="5"/>
  <c r="AF18" i="5"/>
  <c r="F112" i="5" l="1"/>
  <c r="A96" i="5" l="1"/>
  <c r="B87" i="5"/>
  <c r="D66" i="5"/>
  <c r="B112" i="5"/>
  <c r="B109" i="5"/>
  <c r="C112" i="5"/>
  <c r="C109" i="5" l="1"/>
  <c r="B88" i="5"/>
  <c r="B90" i="5" s="1"/>
  <c r="B100" i="5" s="1"/>
  <c r="B83" i="5"/>
  <c r="B95" i="5" s="1"/>
  <c r="A101" i="5" l="1"/>
  <c r="W65" i="3"/>
  <c r="J28" i="3" l="1"/>
  <c r="V65" i="3"/>
  <c r="U65" i="3"/>
  <c r="T65" i="3"/>
  <c r="K25" i="3" l="1"/>
  <c r="K21" i="3" s="1"/>
  <c r="J29" i="3"/>
  <c r="K29" i="3"/>
  <c r="K20" i="3" l="1"/>
  <c r="J23" i="3"/>
  <c r="K23" i="3"/>
  <c r="J22" i="3"/>
  <c r="K22" i="3"/>
  <c r="E72" i="2" l="1"/>
  <c r="J109" i="5"/>
  <c r="K23" i="5"/>
  <c r="K21" i="5"/>
  <c r="K112" i="5"/>
  <c r="K24" i="5"/>
  <c r="G22" i="5"/>
  <c r="J20" i="5"/>
  <c r="H21" i="5"/>
  <c r="F109" i="5"/>
  <c r="K22" i="5"/>
  <c r="J22" i="5"/>
  <c r="J80" i="5" l="1"/>
  <c r="J79" i="5"/>
  <c r="F80" i="5"/>
  <c r="F79" i="5"/>
  <c r="I96" i="5"/>
  <c r="J87" i="5"/>
  <c r="J66" i="5"/>
  <c r="G21" i="5"/>
  <c r="K109" i="5"/>
  <c r="F83" i="5" l="1"/>
  <c r="J88" i="5"/>
  <c r="J90" i="5" s="1"/>
  <c r="J100" i="5" s="1"/>
  <c r="G112" i="5"/>
  <c r="G109" i="5" s="1"/>
  <c r="G66" i="5"/>
  <c r="J83" i="5"/>
  <c r="J95" i="5" s="1"/>
  <c r="I101" i="5" l="1"/>
  <c r="G20" i="5"/>
  <c r="F87" i="5" l="1"/>
  <c r="F88" i="5" l="1"/>
  <c r="E96" i="5"/>
  <c r="F95" i="5"/>
  <c r="E101" i="5" l="1"/>
  <c r="F90" i="5"/>
  <c r="F10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000-000001000000}">
      <text>
        <r>
          <rPr>
            <sz val="9"/>
            <color indexed="81"/>
            <rFont val="Tahoma"/>
            <family val="2"/>
          </rPr>
          <t>CONSECUTIVO DE INGRESO</t>
        </r>
      </text>
    </comment>
    <comment ref="L9" authorId="0" shapeId="0" xr:uid="{00000000-0006-0000-0000-000002000000}">
      <text>
        <r>
          <rPr>
            <sz val="9"/>
            <color indexed="81"/>
            <rFont val="Tahoma"/>
            <family val="2"/>
          </rPr>
          <t>DOS ÚLTIMOS DÍGITOS DEL AÑO DE INGRESO</t>
        </r>
      </text>
    </comment>
    <comment ref="D12" authorId="0" shapeId="0" xr:uid="{00000000-0006-0000-0000-000003000000}">
      <text>
        <r>
          <rPr>
            <b/>
            <sz val="9"/>
            <color indexed="81"/>
            <rFont val="Tahoma"/>
            <family val="2"/>
          </rPr>
          <t xml:space="preserve"># DE LA PERFORACIÓN
</t>
        </r>
      </text>
    </comment>
    <comment ref="D23" authorId="0" shapeId="0" xr:uid="{00000000-0006-0000-0000-000004000000}">
      <text>
        <r>
          <rPr>
            <b/>
            <sz val="11"/>
            <color indexed="81"/>
            <rFont val="Tahoma"/>
            <family val="2"/>
          </rPr>
          <t>INGRESAR EL PICNÓMETRO USADO PARA EL ENSAYO</t>
        </r>
        <r>
          <rPr>
            <b/>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100-000001000000}">
      <text>
        <r>
          <rPr>
            <sz val="9"/>
            <color indexed="81"/>
            <rFont val="Tahoma"/>
            <family val="2"/>
          </rPr>
          <t>CONSECUTIVO DE INGRESO</t>
        </r>
      </text>
    </comment>
    <comment ref="M9" authorId="0" shapeId="0" xr:uid="{00000000-0006-0000-0100-000002000000}">
      <text>
        <r>
          <rPr>
            <sz val="9"/>
            <color indexed="81"/>
            <rFont val="Tahoma"/>
            <family val="2"/>
          </rPr>
          <t>DOS ÚLTIMOS DÍGITOS DEL AÑO DE INGRESO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Ing Maria Fernanda</author>
    <author>GeoDelta</author>
  </authors>
  <commentList>
    <comment ref="K9" authorId="0" shapeId="0" xr:uid="{00000000-0006-0000-0200-000001000000}">
      <text>
        <r>
          <rPr>
            <sz val="9"/>
            <color indexed="81"/>
            <rFont val="Tahoma"/>
            <family val="2"/>
          </rPr>
          <t>CONSECUTIVO DE INGRESO</t>
        </r>
      </text>
    </comment>
    <comment ref="M9" authorId="0" shapeId="0" xr:uid="{00000000-0006-0000-0200-000002000000}">
      <text>
        <r>
          <rPr>
            <sz val="9"/>
            <color indexed="81"/>
            <rFont val="Tahoma"/>
            <family val="2"/>
          </rPr>
          <t>DOS ÚLTIMOS DÍGITOS DEL AÑO DE INGRESO</t>
        </r>
      </text>
    </comment>
    <comment ref="A108" authorId="1" shapeId="0" xr:uid="{00000000-0006-0000-0200-000003000000}">
      <text>
        <r>
          <rPr>
            <b/>
            <sz val="9"/>
            <color indexed="81"/>
            <rFont val="Tahoma"/>
            <family val="2"/>
          </rPr>
          <t xml:space="preserve">Raíz de tiempo donde corta 
</t>
        </r>
      </text>
    </comment>
    <comment ref="E108" authorId="1" shapeId="0" xr:uid="{00000000-0006-0000-0200-000004000000}">
      <text>
        <r>
          <rPr>
            <b/>
            <sz val="9"/>
            <color indexed="81"/>
            <rFont val="Tahoma"/>
            <family val="2"/>
          </rPr>
          <t xml:space="preserve">Raíz de tiempo donde corta 
</t>
        </r>
      </text>
    </comment>
    <comment ref="I108" authorId="1" shapeId="0" xr:uid="{00000000-0006-0000-0200-000005000000}">
      <text>
        <r>
          <rPr>
            <b/>
            <sz val="9"/>
            <color indexed="81"/>
            <rFont val="Tahoma"/>
            <family val="2"/>
          </rPr>
          <t xml:space="preserve">Raíz de tiempo donde corta 
</t>
        </r>
      </text>
    </comment>
    <comment ref="A112" authorId="2" shapeId="0" xr:uid="{00000000-0006-0000-0200-000006000000}">
      <text>
        <r>
          <rPr>
            <b/>
            <sz val="9"/>
            <color indexed="81"/>
            <rFont val="Tahoma"/>
            <family val="2"/>
          </rPr>
          <t>Geodelta:</t>
        </r>
        <r>
          <rPr>
            <sz val="9"/>
            <color indexed="81"/>
            <rFont val="Tahoma"/>
            <family val="2"/>
          </rPr>
          <t xml:space="preserve">
Raíz de tiempo después que corta </t>
        </r>
      </text>
    </comment>
    <comment ref="E112" authorId="2" shapeId="0" xr:uid="{00000000-0006-0000-0200-000007000000}">
      <text>
        <r>
          <rPr>
            <b/>
            <sz val="9"/>
            <color indexed="81"/>
            <rFont val="Tahoma"/>
            <family val="2"/>
          </rPr>
          <t>Geodelta:</t>
        </r>
        <r>
          <rPr>
            <sz val="9"/>
            <color indexed="81"/>
            <rFont val="Tahoma"/>
            <family val="2"/>
          </rPr>
          <t xml:space="preserve">
Raíz de tiempo después que corta </t>
        </r>
      </text>
    </comment>
    <comment ref="I112" authorId="2" shapeId="0" xr:uid="{00000000-0006-0000-0200-000008000000}">
      <text>
        <r>
          <rPr>
            <b/>
            <sz val="9"/>
            <color indexed="81"/>
            <rFont val="Tahoma"/>
            <family val="2"/>
          </rPr>
          <t>Geodelta:</t>
        </r>
        <r>
          <rPr>
            <sz val="9"/>
            <color indexed="81"/>
            <rFont val="Tahoma"/>
            <family val="2"/>
          </rPr>
          <t xml:space="preserve">
Raíz de tiempo después que corta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J9" authorId="0" shapeId="0" xr:uid="{00000000-0006-0000-0400-000001000000}">
      <text>
        <r>
          <rPr>
            <sz val="9"/>
            <color indexed="81"/>
            <rFont val="Tahoma"/>
            <family val="2"/>
          </rPr>
          <t>CONSECUTIVO DE INGRESO</t>
        </r>
      </text>
    </comment>
    <comment ref="K9" authorId="0" shapeId="0" xr:uid="{00000000-0006-0000-0400-000002000000}">
      <text>
        <r>
          <rPr>
            <sz val="9"/>
            <color indexed="81"/>
            <rFont val="Tahoma"/>
            <family val="2"/>
          </rPr>
          <t>DOS ÚLTIMOS DÍGITOS DEL AÑO DE INGRESO</t>
        </r>
      </text>
    </comment>
    <comment ref="D12" authorId="0" shapeId="0" xr:uid="{00000000-0006-0000-0400-000003000000}">
      <text>
        <r>
          <rPr>
            <b/>
            <sz val="9"/>
            <color indexed="81"/>
            <rFont val="Tahoma"/>
            <family val="2"/>
          </rPr>
          <t xml:space="preserve"># DE LA PERFORACIÓN
</t>
        </r>
      </text>
    </comment>
    <comment ref="E33" authorId="0" shapeId="0" xr:uid="{00000000-0006-0000-0400-000004000000}">
      <text>
        <r>
          <rPr>
            <sz val="9"/>
            <color indexed="81"/>
            <rFont val="Tahoma"/>
            <family val="2"/>
          </rPr>
          <t>SI NO SE EXCLUYO NINGÚN MATERIAL PONER</t>
        </r>
        <r>
          <rPr>
            <b/>
            <sz val="9"/>
            <color indexed="81"/>
            <rFont val="Tahoma"/>
            <family val="2"/>
          </rPr>
          <t xml:space="preserve"> N/A</t>
        </r>
      </text>
    </comment>
    <comment ref="Q36" authorId="0" shapeId="0" xr:uid="{00000000-0006-0000-0400-000005000000}">
      <text>
        <r>
          <rPr>
            <sz val="9"/>
            <color indexed="81"/>
            <rFont val="Tahoma"/>
            <family val="2"/>
          </rPr>
          <t>TAMAÑO DEL MATERIAL EXCLUIDO DEL ENSAYO CUANDO NO TIENE PONER</t>
        </r>
        <r>
          <rPr>
            <b/>
            <sz val="9"/>
            <color indexed="81"/>
            <rFont val="Tahoma"/>
            <family val="2"/>
          </rPr>
          <t xml:space="preserve"> N/A</t>
        </r>
      </text>
    </comment>
    <comment ref="R36" authorId="0" shapeId="0" xr:uid="{00000000-0006-0000-0400-000006000000}">
      <text>
        <r>
          <rPr>
            <sz val="9"/>
            <color indexed="81"/>
            <rFont val="Tahoma"/>
            <family val="2"/>
          </rPr>
          <t>MASA DE LA MUESTRA EXCLUIDA PARA EL ENSAYO CUANDO NO TIENE PONER</t>
        </r>
        <r>
          <rPr>
            <b/>
            <sz val="9"/>
            <color indexed="81"/>
            <rFont val="Tahoma"/>
            <family val="2"/>
          </rPr>
          <t xml:space="preserve"> N/A</t>
        </r>
      </text>
    </comment>
  </commentList>
</comments>
</file>

<file path=xl/sharedStrings.xml><?xml version="1.0" encoding="utf-8"?>
<sst xmlns="http://schemas.openxmlformats.org/spreadsheetml/2006/main" count="598" uniqueCount="205">
  <si>
    <t xml:space="preserve">Def. Horizontal </t>
  </si>
  <si>
    <t xml:space="preserve">Deformación Normal </t>
  </si>
  <si>
    <t xml:space="preserve">Fuerza </t>
  </si>
  <si>
    <t xml:space="preserve">Esfuerzo Cortante </t>
  </si>
  <si>
    <t>(mm)</t>
  </si>
  <si>
    <t>(%)</t>
  </si>
  <si>
    <t>(N)</t>
  </si>
  <si>
    <t>Velocidad del Corte (mm/min)</t>
  </si>
  <si>
    <t>Resistencia al corte (kg/cm²)</t>
  </si>
  <si>
    <t>Esfuerzo Normal Aplicado  (kg/cm²)</t>
  </si>
  <si>
    <t>(Kg/cm2)</t>
  </si>
  <si>
    <t>CLIENTE:</t>
  </si>
  <si>
    <t>PROYECTO:</t>
  </si>
  <si>
    <t>PERFORACIÓN:</t>
  </si>
  <si>
    <t>(kPa)</t>
  </si>
  <si>
    <t>INICIAL</t>
  </si>
  <si>
    <t>FINAL</t>
  </si>
  <si>
    <t xml:space="preserve">Recipiente </t>
  </si>
  <si>
    <t>%</t>
  </si>
  <si>
    <t>DIMENSIONES DE LA MUESTRA</t>
  </si>
  <si>
    <t>-</t>
  </si>
  <si>
    <t xml:space="preserve">Diámetro </t>
  </si>
  <si>
    <t>cm</t>
  </si>
  <si>
    <t>°C</t>
  </si>
  <si>
    <t>Área</t>
  </si>
  <si>
    <t>Altura</t>
  </si>
  <si>
    <t>Volumen</t>
  </si>
  <si>
    <t>Relación Brazo</t>
  </si>
  <si>
    <t>MUESTRA 1</t>
  </si>
  <si>
    <t>MUESTRA 2</t>
  </si>
  <si>
    <t>MUESTRA 3</t>
  </si>
  <si>
    <t>Masa  muestra  + Anillo</t>
  </si>
  <si>
    <t>g</t>
  </si>
  <si>
    <t>Grado de saturación</t>
  </si>
  <si>
    <t>Densidad Húmeda</t>
  </si>
  <si>
    <t>Densidad Seca</t>
  </si>
  <si>
    <t>kg</t>
  </si>
  <si>
    <t>Carga Normal</t>
  </si>
  <si>
    <t>Presión Normal</t>
  </si>
  <si>
    <t>kPa</t>
  </si>
  <si>
    <t xml:space="preserve">GRAVEDAD ESPECIFICA </t>
  </si>
  <si>
    <r>
      <t>g/cm</t>
    </r>
    <r>
      <rPr>
        <vertAlign val="superscript"/>
        <sz val="16"/>
        <color indexed="8"/>
        <rFont val="Calibri"/>
        <family val="2"/>
        <scheme val="minor"/>
      </rPr>
      <t>3</t>
    </r>
  </si>
  <si>
    <r>
      <t>e</t>
    </r>
    <r>
      <rPr>
        <i/>
        <vertAlign val="subscript"/>
        <sz val="16"/>
        <rFont val="Calibri"/>
        <family val="2"/>
        <scheme val="minor"/>
      </rPr>
      <t>0</t>
    </r>
  </si>
  <si>
    <t>Masa del anillo</t>
  </si>
  <si>
    <r>
      <t>cm</t>
    </r>
    <r>
      <rPr>
        <vertAlign val="superscript"/>
        <sz val="18"/>
        <color indexed="8"/>
        <rFont val="Calibri"/>
        <family val="2"/>
        <scheme val="minor"/>
      </rPr>
      <t>2</t>
    </r>
  </si>
  <si>
    <r>
      <t>cm</t>
    </r>
    <r>
      <rPr>
        <vertAlign val="superscript"/>
        <sz val="18"/>
        <color indexed="8"/>
        <rFont val="Calibri"/>
        <family val="2"/>
        <scheme val="minor"/>
      </rPr>
      <t>3</t>
    </r>
  </si>
  <si>
    <t xml:space="preserve">Muestra </t>
  </si>
  <si>
    <t xml:space="preserve">HUMEDAD </t>
  </si>
  <si>
    <t>Masa Muestra Seca</t>
  </si>
  <si>
    <t>Masa especifico suelo</t>
  </si>
  <si>
    <t>Masa de la muestra</t>
  </si>
  <si>
    <t>Masa de la muestra seca</t>
  </si>
  <si>
    <t>Masa estribo + émbolo</t>
  </si>
  <si>
    <t>Masa en Brazo</t>
  </si>
  <si>
    <t>Factor de corrección</t>
  </si>
  <si>
    <t xml:space="preserve">Relación de vacíos </t>
  </si>
  <si>
    <t>OBSERVACIONES:</t>
  </si>
  <si>
    <t>TIEMPO (min)</t>
  </si>
  <si>
    <t xml:space="preserve">RAÍZ DE TIEMPO </t>
  </si>
  <si>
    <t>ASENTAMIENTO (mm)</t>
  </si>
  <si>
    <t>ALTURA DE LA MUESTRA  (mm)</t>
  </si>
  <si>
    <t>DEFORMACIÓN UNITARIA (%)</t>
  </si>
  <si>
    <t>Y =</t>
  </si>
  <si>
    <t>MX+B</t>
  </si>
  <si>
    <t>M</t>
  </si>
  <si>
    <t>B</t>
  </si>
  <si>
    <t>INT. EN Y</t>
  </si>
  <si>
    <t>X=</t>
  </si>
  <si>
    <t>LINE 2</t>
  </si>
  <si>
    <t>Y=</t>
  </si>
  <si>
    <t xml:space="preserve">GRAFICA LINE A </t>
  </si>
  <si>
    <t>Y</t>
  </si>
  <si>
    <t>X</t>
  </si>
  <si>
    <t>D90</t>
  </si>
  <si>
    <t>x0</t>
  </si>
  <si>
    <t>y0</t>
  </si>
  <si>
    <t>x=?</t>
  </si>
  <si>
    <t>y</t>
  </si>
  <si>
    <t>x1</t>
  </si>
  <si>
    <t>y1</t>
  </si>
  <si>
    <t>tiempo (mm)</t>
  </si>
  <si>
    <t>deformación (mm)</t>
  </si>
  <si>
    <t>INFORME DE RESULTADOS</t>
  </si>
  <si>
    <t xml:space="preserve">tipo de perforación </t>
  </si>
  <si>
    <t>FECHA DE RECEPCIÓN:</t>
  </si>
  <si>
    <t>SONDEO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</si>
  <si>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</si>
  <si>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</si>
  <si>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</si>
  <si>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</si>
  <si>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</si>
  <si>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</si>
  <si>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</si>
  <si>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</si>
  <si>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</si>
  <si>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</si>
  <si>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</si>
  <si>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</si>
  <si>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MUESTRA No. :</t>
  </si>
  <si>
    <t xml:space="preserve">PROFUNDIDAD: </t>
  </si>
  <si>
    <t xml:space="preserve">DESCRIPCIÓN VISUAL: </t>
  </si>
  <si>
    <t>ENSAYO DE CORTE DIRECTO EN CONDICIÓN CONSOLIDADA DRENADA (CD) INV. E -154 -13</t>
  </si>
  <si>
    <t>DATOS DE ENSAYO</t>
  </si>
  <si>
    <r>
      <t>COHESIÓN (kg/cm</t>
    </r>
    <r>
      <rPr>
        <b/>
        <sz val="16"/>
        <color rgb="FF002060"/>
        <rFont val="Calibri"/>
        <family val="2"/>
      </rPr>
      <t>²</t>
    </r>
    <r>
      <rPr>
        <b/>
        <sz val="16"/>
        <color rgb="FF002060"/>
        <rFont val="Arial"/>
        <family val="2"/>
      </rPr>
      <t>)</t>
    </r>
  </si>
  <si>
    <r>
      <t>ÁNGULO DE FRICCIÓN (</t>
    </r>
    <r>
      <rPr>
        <b/>
        <sz val="16"/>
        <color rgb="FF002060"/>
        <rFont val="Calibri"/>
        <family val="2"/>
      </rPr>
      <t>°</t>
    </r>
    <r>
      <rPr>
        <b/>
        <sz val="16"/>
        <color rgb="FF002060"/>
        <rFont val="Arial"/>
        <family val="2"/>
      </rPr>
      <t>)</t>
    </r>
  </si>
  <si>
    <t>Masa suelo húmedo (g)</t>
  </si>
  <si>
    <t>Masa suelo seco (g)</t>
  </si>
  <si>
    <t>Masa del recipiente (g)</t>
  </si>
  <si>
    <t>Humedad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</si>
  <si>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</si>
  <si>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</si>
  <si>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 xml:space="preserve">CONDICIONES DEL ENSAYO </t>
  </si>
  <si>
    <t xml:space="preserve">TIPO DE ENSAYO </t>
  </si>
  <si>
    <t xml:space="preserve">PREPARACIÓN  </t>
  </si>
  <si>
    <t>σ
(Kg/cm²)</t>
  </si>
  <si>
    <t>DEFORMACIÓN HORIZONTAL (mm)</t>
  </si>
  <si>
    <t>Esfuerzo Cortante (Kg/cm²)</t>
  </si>
  <si>
    <t>Esfuerzo Normal (Kg/cm²)</t>
  </si>
  <si>
    <t>Lectura de Carga
(N)</t>
  </si>
  <si>
    <t>VELOCIDAD DE CORTE mm/min</t>
  </si>
  <si>
    <t xml:space="preserve">DATOS DE CORTE </t>
  </si>
  <si>
    <t xml:space="preserve">DATOS DE CONSOLIDACIÓN </t>
  </si>
  <si>
    <t>--------------- FIN DEL INFORME -------------------</t>
  </si>
  <si>
    <t>CARGA 1</t>
  </si>
  <si>
    <t>CARGA 2</t>
  </si>
  <si>
    <t>CARGA 3</t>
  </si>
  <si>
    <t>RESULTADOS DEL ENSAYO</t>
  </si>
  <si>
    <t>Página: 1 de 1</t>
  </si>
  <si>
    <t>Código: GDA-FLC-007</t>
  </si>
  <si>
    <t>Temperatura °C</t>
  </si>
  <si>
    <t>Densidad (g/cm3)</t>
  </si>
  <si>
    <t>Coeficiente (K)</t>
  </si>
  <si>
    <t>TABLA 1. Densidad de agua y coeficiente de corrección por temperatura</t>
  </si>
  <si>
    <t>TEMP (°C)</t>
  </si>
  <si>
    <t>PESO (gr)</t>
  </si>
  <si>
    <t xml:space="preserve">PONER LA CANTIDAD DE LAS MUESTRAS QUE VIENEN DEL SONDEO </t>
  </si>
  <si>
    <t xml:space="preserve">CANTIDAD DE MODIFICACIONES </t>
  </si>
  <si>
    <t>Temperatura del ensayo</t>
  </si>
  <si>
    <t>Página 1 de 3</t>
  </si>
  <si>
    <t>Masa Picnómetro + agua</t>
  </si>
  <si>
    <r>
      <t>Masa</t>
    </r>
    <r>
      <rPr>
        <vertAlign val="subscript"/>
        <sz val="18"/>
        <rFont val="Calibri"/>
        <family val="2"/>
        <scheme val="minor"/>
      </rPr>
      <t xml:space="preserve"> picnómetro </t>
    </r>
    <r>
      <rPr>
        <sz val="18"/>
        <rFont val="Calibri"/>
        <family val="2"/>
        <scheme val="minor"/>
      </rPr>
      <t>+Muestra agua</t>
    </r>
  </si>
  <si>
    <t>Página 2 DE 3</t>
  </si>
  <si>
    <t>Página 3 DE 3</t>
  </si>
  <si>
    <t>APROBÓ</t>
  </si>
  <si>
    <t>REVISÓ</t>
  </si>
  <si>
    <t>Ing. SERGIO DURAN NÚÑEZ</t>
  </si>
  <si>
    <t>Director Técnico</t>
  </si>
  <si>
    <t xml:space="preserve">Jefe laboratorio </t>
  </si>
  <si>
    <t>CLIENTE</t>
  </si>
  <si>
    <t xml:space="preserve">Cv (cm²/seg) </t>
  </si>
  <si>
    <t>CONSOLIDADO DRENADO (CD)</t>
  </si>
  <si>
    <t>25</t>
  </si>
  <si>
    <t xml:space="preserve">Deformación Vertical mm </t>
  </si>
  <si>
    <t>Deformación Vertical 
mm</t>
  </si>
  <si>
    <t>MIGUEL BARÓN</t>
  </si>
  <si>
    <t xml:space="preserve">Deformación VERTICAL </t>
  </si>
  <si>
    <t>T90 (min)</t>
  </si>
  <si>
    <t>Raíz de T90</t>
  </si>
  <si>
    <t>Versión :02</t>
  </si>
  <si>
    <t>Fecha: 19-04-2024</t>
  </si>
  <si>
    <t>INALTERADA</t>
  </si>
  <si>
    <t>061</t>
  </si>
  <si>
    <t>por el cliente. 0,25 mm/min</t>
  </si>
  <si>
    <t>Se realiza el ensayo de corte directo (CD) con la velocidad solicitada</t>
  </si>
  <si>
    <t>Código: GDA-FLC-006</t>
  </si>
  <si>
    <t>GRAVEDAD ESPECÍFICA RELATIVA EN ARCILLAS Y LIMOS
INV. E-128-13</t>
  </si>
  <si>
    <t>Página 1 de 1</t>
  </si>
  <si>
    <t>056</t>
  </si>
  <si>
    <t>BARRENO</t>
  </si>
  <si>
    <t>GRAVEDAD ESPECIFICA</t>
  </si>
  <si>
    <t>Muestra No. / Ensayo No</t>
  </si>
  <si>
    <t>MÉTODO DEL ENSAYO</t>
  </si>
  <si>
    <t>PICNÓMETRO</t>
  </si>
  <si>
    <t>No.</t>
  </si>
  <si>
    <t xml:space="preserve">MASA EN EL AIRE DE LA MUESTRA </t>
  </si>
  <si>
    <t>(g)</t>
  </si>
  <si>
    <t xml:space="preserve">MÉTODO A </t>
  </si>
  <si>
    <t xml:space="preserve">MASA DEL PICNÓMETRO LLENO DE AGUA </t>
  </si>
  <si>
    <t>MÉTODO B</t>
  </si>
  <si>
    <t xml:space="preserve">MASA DEL PICNÓMETRO AFORADO + MUESTRA </t>
  </si>
  <si>
    <t xml:space="preserve">TEMPERATURA DEL ENSAYO </t>
  </si>
  <si>
    <t xml:space="preserve">PESO ESPECIFICO DEL AGUA </t>
  </si>
  <si>
    <t>g/cm³</t>
  </si>
  <si>
    <t xml:space="preserve">VOLUMEN DEL PICNÓMETRO </t>
  </si>
  <si>
    <t>GRAVEDAD ESPECIFICA TOTAL CORREGIDA  a 20°C</t>
  </si>
  <si>
    <t>CONDICIONES DEL ENSAYO</t>
  </si>
  <si>
    <t xml:space="preserve">MÉTODO DEL ENSAYO </t>
  </si>
  <si>
    <t xml:space="preserve">(%)  MATERIAL RETENIDO EN EL TAMIZ N. 4 </t>
  </si>
  <si>
    <t>(%)  MATERIAL PASA EN EL  TAMIZ N.4</t>
  </si>
  <si>
    <t xml:space="preserve">MATERIAL EXCLUIDO DE LA MUESTRA ENSAYADA </t>
  </si>
  <si>
    <t>No Aplica</t>
  </si>
  <si>
    <r>
      <t>G</t>
    </r>
    <r>
      <rPr>
        <vertAlign val="subscript"/>
        <sz val="12"/>
        <color theme="1"/>
        <rFont val="Arial"/>
        <family val="2"/>
      </rPr>
      <t>T</t>
    </r>
  </si>
  <si>
    <t>K</t>
  </si>
  <si>
    <t>AIRE</t>
  </si>
  <si>
    <t>SUMERGIDA</t>
  </si>
  <si>
    <t>SSS</t>
  </si>
  <si>
    <t>Jefe de laboratorio</t>
  </si>
  <si>
    <t xml:space="preserve">GRAVEDAD ESPECIFICA APARENTE </t>
  </si>
  <si>
    <t xml:space="preserve">  --------------------FIN DEL INFORME--------------------</t>
  </si>
  <si>
    <t>CALIBRACIÓN 2024</t>
  </si>
  <si>
    <t>PIC 1</t>
  </si>
  <si>
    <t>PIC 2</t>
  </si>
  <si>
    <t>PIC 6</t>
  </si>
  <si>
    <t>PIC 7</t>
  </si>
  <si>
    <t>PIC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</si>
</sst>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0&quot; m&quot;"/>
    <numFmt numFmtId="166" formatCode="0.000"/>
    <numFmt numFmtId="167" formatCode="0.0000"/>
    <numFmt numFmtId="168" formatCode="[$-200A]d&quot; de &quot;mmmm&quot; de &quot;yyyy;@"/>
    <numFmt numFmtId="169" formatCode="#,##0.000"/>
    <numFmt numFmtId="170" formatCode="&quot;$&quot;\ #,##0.00"/>
    <numFmt numFmtId="171" formatCode="0.00&quot; -&quot;"/>
    <numFmt numFmtId="172" formatCode="@\ \ \ \ \ \ \ &quot;-&quot;"/>
    <numFmt numFmtId="173" formatCode="@\ &quot;-&quot;"/>
    <numFmt numFmtId="174" formatCode="0.0000000"/>
  </numFmts>
  <fonts count="83" x14ac:knownFonts="1">
    <font>
      <sz val="11"/>
      <color theme="1"/>
      <name val="Calibri"/>
      <family val="2"/>
      <scheme val="minor"/>
    </font>
    <font>
      <b/>
      <sz val="8"/>
      <color rgb="FF000000"/>
      <name val="Verdana"/>
      <family val="2"/>
      <charset val="1"/>
    </font>
    <font>
      <b/>
      <sz val="8"/>
      <name val="Verdana"/>
      <family val="2"/>
      <charset val="1"/>
    </font>
    <font>
      <sz val="8"/>
      <color rgb="FF000000"/>
      <name val="Verdana"/>
      <family val="2"/>
      <charset val="1"/>
    </font>
    <font>
      <sz val="8"/>
      <name val="Verdana"/>
      <family val="2"/>
      <charset val="1"/>
    </font>
    <font>
      <sz val="10"/>
      <name val="Arial"/>
      <family val="2"/>
    </font>
    <font>
      <sz val="14"/>
      <color theme="1"/>
      <name val="Calibri"/>
      <family val="2"/>
      <scheme val="minor"/>
    </font>
    <font>
      <b/>
      <sz val="14"/>
      <color theme="1"/>
      <name val="Calibri"/>
      <family val="2"/>
      <scheme val="minor"/>
    </font>
    <font>
      <sz val="18"/>
      <color theme="1"/>
      <name val="Calibri"/>
      <family val="2"/>
      <scheme val="minor"/>
    </font>
    <font>
      <b/>
      <sz val="18"/>
      <color theme="1"/>
      <name val="Calibri"/>
      <family val="2"/>
      <scheme val="minor"/>
    </font>
    <font>
      <b/>
      <sz val="18"/>
      <name val="Arial"/>
      <family val="2"/>
    </font>
    <font>
      <b/>
      <sz val="18"/>
      <color theme="4" tint="-0.499984740745262"/>
      <name val="Calibri"/>
      <family val="2"/>
      <scheme val="minor"/>
    </font>
    <font>
      <sz val="16"/>
      <name val="Calibri"/>
      <family val="2"/>
      <scheme val="minor"/>
    </font>
    <font>
      <sz val="18"/>
      <name val="Calibri"/>
      <family val="2"/>
      <scheme val="minor"/>
    </font>
    <font>
      <sz val="16"/>
      <color theme="1"/>
      <name val="Calibri"/>
      <family val="2"/>
      <scheme val="minor"/>
    </font>
    <font>
      <vertAlign val="superscript"/>
      <sz val="18"/>
      <color indexed="8"/>
      <name val="Calibri"/>
      <family val="2"/>
      <scheme val="minor"/>
    </font>
    <font>
      <b/>
      <sz val="18"/>
      <name val="Calibri"/>
      <family val="2"/>
      <scheme val="minor"/>
    </font>
    <font>
      <vertAlign val="superscript"/>
      <sz val="16"/>
      <color indexed="8"/>
      <name val="Calibri"/>
      <family val="2"/>
      <scheme val="minor"/>
    </font>
    <font>
      <i/>
      <sz val="16"/>
      <name val="Calibri"/>
      <family val="2"/>
      <scheme val="minor"/>
    </font>
    <font>
      <i/>
      <vertAlign val="subscript"/>
      <sz val="16"/>
      <name val="Calibri"/>
      <family val="2"/>
      <scheme val="minor"/>
    </font>
    <font>
      <sz val="18"/>
      <name val="Arial"/>
      <family val="2"/>
    </font>
    <font>
      <sz val="12"/>
      <color theme="1"/>
      <name val="Arial"/>
      <family val="2"/>
    </font>
    <font>
      <b/>
      <sz val="8"/>
      <color rgb="FF000000"/>
      <name val="Verdana"/>
      <family val="2"/>
    </font>
    <font>
      <b/>
      <sz val="8"/>
      <color theme="1"/>
      <name val="Verdana"/>
      <family val="2"/>
    </font>
    <font>
      <sz val="8"/>
      <name val="Arial"/>
      <family val="2"/>
    </font>
    <font>
      <sz val="7"/>
      <color indexed="10"/>
      <name val="Arial"/>
      <family val="2"/>
    </font>
    <font>
      <sz val="12"/>
      <color indexed="24"/>
      <name val="Arial"/>
      <family val="2"/>
    </font>
    <font>
      <sz val="7"/>
      <color indexed="8"/>
      <name val="Arial"/>
      <family val="2"/>
    </font>
    <font>
      <sz val="7"/>
      <name val="Arial"/>
      <family val="2"/>
    </font>
    <font>
      <b/>
      <sz val="7"/>
      <color indexed="8"/>
      <name val="Arial"/>
      <family val="2"/>
    </font>
    <font>
      <b/>
      <sz val="6"/>
      <name val="Arial"/>
      <family val="2"/>
    </font>
    <font>
      <sz val="6"/>
      <name val="Arial"/>
      <family val="2"/>
    </font>
    <font>
      <b/>
      <sz val="6"/>
      <color indexed="10"/>
      <name val="Arial"/>
      <family val="2"/>
    </font>
    <font>
      <b/>
      <sz val="7"/>
      <name val="Arial"/>
      <family val="2"/>
    </font>
    <font>
      <sz val="12"/>
      <color indexed="8"/>
      <name val="Arial"/>
      <family val="2"/>
    </font>
    <font>
      <b/>
      <i/>
      <sz val="8"/>
      <name val="Arial"/>
      <family val="2"/>
    </font>
    <font>
      <i/>
      <sz val="8"/>
      <name val="Arial"/>
      <family val="2"/>
    </font>
    <font>
      <sz val="11"/>
      <color theme="1"/>
      <name val="Open Sans Light"/>
      <family val="2"/>
    </font>
    <font>
      <b/>
      <sz val="11"/>
      <color rgb="FFFF0000"/>
      <name val="Open Sans Light"/>
      <family val="2"/>
    </font>
    <font>
      <sz val="11"/>
      <name val="Open Sans Light"/>
      <family val="2"/>
    </font>
    <font>
      <b/>
      <sz val="9"/>
      <color indexed="81"/>
      <name val="Tahoma"/>
      <family val="2"/>
    </font>
    <font>
      <sz val="9"/>
      <color indexed="81"/>
      <name val="Tahoma"/>
      <family val="2"/>
    </font>
    <font>
      <sz val="11"/>
      <color theme="1"/>
      <name val="Calibri"/>
      <family val="2"/>
      <scheme val="minor"/>
    </font>
    <font>
      <b/>
      <sz val="12"/>
      <color theme="1"/>
      <name val="Arial"/>
      <family val="2"/>
    </font>
    <font>
      <sz val="12"/>
      <color rgb="FFFF0000"/>
      <name val="Arial"/>
      <family val="2"/>
    </font>
    <font>
      <b/>
      <sz val="12"/>
      <name val="Arial"/>
      <family val="2"/>
    </font>
    <font>
      <b/>
      <sz val="14"/>
      <color theme="1"/>
      <name val="Arial"/>
      <family val="2"/>
    </font>
    <font>
      <b/>
      <sz val="18"/>
      <color rgb="FF002060"/>
      <name val="Calibri"/>
      <family val="2"/>
      <scheme val="minor"/>
    </font>
    <font>
      <b/>
      <sz val="16"/>
      <color rgb="FF002060"/>
      <name val="Arial"/>
      <family val="2"/>
    </font>
    <font>
      <b/>
      <sz val="16"/>
      <color rgb="FF002060"/>
      <name val="Calibri"/>
      <family val="2"/>
    </font>
    <font>
      <sz val="18"/>
      <color rgb="FF002060"/>
      <name val="Calibri"/>
      <family val="2"/>
      <scheme val="minor"/>
    </font>
    <font>
      <b/>
      <sz val="18"/>
      <color rgb="FF002060"/>
      <name val="Arial"/>
      <family val="2"/>
    </font>
    <font>
      <b/>
      <sz val="14"/>
      <color theme="4" tint="-0.499984740745262"/>
      <name val="Calibri"/>
      <family val="2"/>
      <scheme val="minor"/>
    </font>
    <font>
      <sz val="12"/>
      <name val="Arial"/>
      <family val="2"/>
    </font>
    <font>
      <sz val="14"/>
      <name val="Arial"/>
      <family val="2"/>
    </font>
    <font>
      <b/>
      <sz val="12"/>
      <color rgb="FF002060"/>
      <name val="Arial"/>
      <family val="2"/>
    </font>
    <font>
      <b/>
      <sz val="14"/>
      <color rgb="FF002060"/>
      <name val="Arial"/>
      <family val="2"/>
    </font>
    <font>
      <b/>
      <sz val="10"/>
      <color rgb="FF002060"/>
      <name val="Arial"/>
      <family val="2"/>
    </font>
    <font>
      <b/>
      <sz val="11"/>
      <color theme="1"/>
      <name val="Arial"/>
      <family val="2"/>
    </font>
    <font>
      <sz val="10"/>
      <color rgb="FFFF0000"/>
      <name val="Calibri"/>
      <family val="2"/>
      <scheme val="minor"/>
    </font>
    <font>
      <sz val="11"/>
      <color theme="1"/>
      <name val="Arial"/>
      <family val="2"/>
    </font>
    <font>
      <b/>
      <sz val="9"/>
      <color theme="1"/>
      <name val="Arial"/>
      <family val="2"/>
    </font>
    <font>
      <sz val="8"/>
      <color indexed="8"/>
      <name val="Arial"/>
      <family val="2"/>
    </font>
    <font>
      <b/>
      <sz val="16"/>
      <color rgb="FFFF0000"/>
      <name val="Calibri"/>
      <family val="2"/>
      <scheme val="minor"/>
    </font>
    <font>
      <sz val="11"/>
      <color rgb="FFFF0000"/>
      <name val="Calibri"/>
      <family val="2"/>
      <scheme val="minor"/>
    </font>
    <font>
      <b/>
      <sz val="11"/>
      <color indexed="81"/>
      <name val="Tahoma"/>
      <family val="2"/>
    </font>
    <font>
      <sz val="11"/>
      <color rgb="FFFF0000"/>
      <name val="Arial"/>
      <family val="2"/>
    </font>
    <font>
      <sz val="14"/>
      <color rgb="FFFF0000"/>
      <name val="Arial"/>
      <family val="2"/>
    </font>
    <font>
      <vertAlign val="subscript"/>
      <sz val="18"/>
      <name val="Calibri"/>
      <family val="2"/>
      <scheme val="minor"/>
    </font>
    <font>
      <b/>
      <sz val="14"/>
      <name val="Arial"/>
      <family val="2"/>
    </font>
    <font>
      <sz val="14"/>
      <color theme="1"/>
      <name val="Arial"/>
      <family val="2"/>
    </font>
    <font>
      <u/>
      <sz val="11"/>
      <color theme="10"/>
      <name val="Calibri"/>
      <family val="2"/>
      <scheme val="minor"/>
    </font>
    <font>
      <b/>
      <sz val="8"/>
      <color rgb="FFFF0000"/>
      <name val="Verdana"/>
      <family val="2"/>
      <charset val="1"/>
    </font>
    <font>
      <sz val="12"/>
      <color theme="1"/>
      <name val="Calibri"/>
      <family val="2"/>
      <scheme val="minor"/>
    </font>
    <font>
      <sz val="12"/>
      <color theme="1" tint="4.9989318521683403E-2"/>
      <name val="Arial"/>
      <family val="2"/>
    </font>
    <font>
      <sz val="18"/>
      <color rgb="FF001D35"/>
      <name val="Calibri"/>
      <family val="2"/>
      <scheme val="minor"/>
    </font>
    <font>
      <b/>
      <sz val="18"/>
      <color rgb="FFFF0000"/>
      <name val="Calibri"/>
      <family val="2"/>
      <scheme val="minor"/>
    </font>
    <font>
      <vertAlign val="subscript"/>
      <sz val="12"/>
      <color theme="1"/>
      <name val="Arial"/>
      <family val="2"/>
    </font>
    <font>
      <sz val="10"/>
      <color theme="1"/>
      <name val="Arial"/>
      <family val="2"/>
    </font>
    <font>
      <b/>
      <sz val="10"/>
      <color theme="1"/>
      <name val="Arial"/>
      <family val="2"/>
    </font>
    <font>
      <i/>
      <sz val="11"/>
      <color theme="1"/>
      <name val="Arial"/>
      <family val="2"/>
    </font>
    <font>
      <sz val="26"/>
      <color rgb="FFFF0000"/>
      <name val="Calibri"/>
      <family val="2"/>
      <scheme val="minor"/>
    </font>
    <font>
      <sz val="11"/>
      <color rgb="FFC00000"/>
      <name val="Calibri"/>
      <family val="2"/>
      <scheme val="minor"/>
    </font>
  </fonts>
  <fills count="17">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indexed="9"/>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5" tint="0.79998168889431442"/>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right style="medium">
        <color indexed="64"/>
      </right>
      <top/>
      <bottom style="medium">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medium">
        <color theme="0" tint="-0.499984740745262"/>
      </left>
      <right/>
      <top style="medium">
        <color theme="0" tint="-0.499984740745262"/>
      </top>
      <bottom/>
      <diagonal/>
    </border>
    <border>
      <left/>
      <right/>
      <top style="thin">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thin">
        <color theme="0" tint="-0.499984740745262"/>
      </bottom>
      <diagonal/>
    </border>
    <border>
      <left/>
      <right style="thin">
        <color theme="0" tint="-0.499984740745262"/>
      </right>
      <top/>
      <bottom/>
      <diagonal/>
    </border>
    <border>
      <left/>
      <right style="thin">
        <color theme="0" tint="-0.499984740745262"/>
      </right>
      <top style="medium">
        <color theme="0" tint="-0.499984740745262"/>
      </top>
      <bottom/>
      <diagonal/>
    </border>
    <border>
      <left/>
      <right style="thin">
        <color theme="0" tint="-0.499984740745262"/>
      </right>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right style="medium">
        <color theme="0" tint="-0.499984740745262"/>
      </right>
      <top style="medium">
        <color theme="0" tint="-0.499984740745262"/>
      </top>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right style="thin">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medium">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style="thin">
        <color theme="0" tint="-0.499984740745262"/>
      </right>
      <top style="thin">
        <color theme="0" tint="-0.499984740745262"/>
      </top>
      <bottom/>
      <diagonal/>
    </border>
    <border>
      <left/>
      <right style="thin">
        <color theme="0" tint="-0.499984740745262"/>
      </right>
      <top style="medium">
        <color theme="0" tint="-0.499984740745262"/>
      </top>
      <bottom style="medium">
        <color theme="0" tint="-0.499984740745262"/>
      </bottom>
      <diagonal/>
    </border>
    <border>
      <left style="thin">
        <color theme="0" tint="-0.499984740745262"/>
      </left>
      <right/>
      <top style="medium">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medium">
        <color theme="0" tint="-0.499984740745262"/>
      </top>
      <bottom/>
      <diagonal/>
    </border>
    <border>
      <left style="thin">
        <color theme="0" tint="-0.499984740745262"/>
      </left>
      <right/>
      <top style="medium">
        <color theme="0" tint="-0.499984740745262"/>
      </top>
      <bottom style="medium">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bottom style="medium">
        <color theme="0" tint="-0.499984740745262"/>
      </bottom>
      <diagonal/>
    </border>
    <border>
      <left style="medium">
        <color theme="0" tint="-0.499984740745262"/>
      </left>
      <right style="medium">
        <color theme="0" tint="-0.499984740745262"/>
      </right>
      <top style="thin">
        <color theme="0" tint="-0.499984740745262"/>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style="medium">
        <color theme="0" tint="-0.499984740745262"/>
      </left>
      <right style="thin">
        <color theme="0" tint="-0.499984740745262"/>
      </right>
      <top/>
      <bottom style="thin">
        <color theme="0" tint="-0.499984740745262"/>
      </bottom>
      <diagonal/>
    </border>
    <border>
      <left style="medium">
        <color theme="0" tint="-0.499984740745262"/>
      </left>
      <right style="medium">
        <color theme="0" tint="-0.499984740745262"/>
      </right>
      <top/>
      <bottom/>
      <diagonal/>
    </border>
    <border>
      <left/>
      <right style="medium">
        <color theme="0" tint="-0.499984740745262"/>
      </right>
      <top style="thin">
        <color theme="0" tint="-0.499984740745262"/>
      </top>
      <bottom style="medium">
        <color theme="0" tint="-0.499984740745262"/>
      </bottom>
      <diagonal/>
    </border>
    <border>
      <left style="medium">
        <color indexed="64"/>
      </left>
      <right style="medium">
        <color indexed="64"/>
      </right>
      <top style="medium">
        <color indexed="64"/>
      </top>
      <bottom style="medium">
        <color indexed="64"/>
      </bottom>
      <diagonal/>
    </border>
    <border>
      <left/>
      <right/>
      <top style="thin">
        <color theme="0" tint="-0.499984740745262"/>
      </top>
      <bottom style="medium">
        <color theme="0" tint="-0.499984740745262"/>
      </bottom>
      <diagonal/>
    </border>
    <border>
      <left/>
      <right/>
      <top style="thin">
        <color indexed="64"/>
      </top>
      <bottom/>
      <diagonal/>
    </border>
    <border>
      <left style="thin">
        <color theme="0" tint="-0.499984740745262"/>
      </left>
      <right style="thin">
        <color theme="0" tint="-0.499984740745262"/>
      </right>
      <top style="medium">
        <color theme="0" tint="-0.499984740745262"/>
      </top>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right style="medium">
        <color theme="0" tint="-0.499984740745262"/>
      </right>
      <top style="thin">
        <color theme="0" tint="-0.499984740745262"/>
      </top>
      <bottom/>
      <diagonal/>
    </border>
    <border>
      <left/>
      <right style="thin">
        <color theme="0" tint="-0.499984740745262"/>
      </right>
      <top style="medium">
        <color theme="0" tint="-0.499984740745262"/>
      </top>
      <bottom style="thin">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bottom style="medium">
        <color theme="0" tint="-0.499984740745262"/>
      </bottom>
      <diagonal/>
    </border>
    <border>
      <left/>
      <right style="medium">
        <color theme="0" tint="-0.499984740745262"/>
      </right>
      <top/>
      <bottom style="thin">
        <color theme="0" tint="-0.499984740745262"/>
      </bottom>
      <diagonal/>
    </border>
    <border>
      <left style="thin">
        <color theme="0" tint="-0.499984740745262"/>
      </left>
      <right style="medium">
        <color theme="0" tint="-0.499984740745262"/>
      </right>
      <top/>
      <bottom style="medium">
        <color theme="0" tint="-0.499984740745262"/>
      </bottom>
      <diagonal/>
    </border>
    <border>
      <left/>
      <right style="medium">
        <color theme="0" tint="-0.499984740745262"/>
      </right>
      <top style="thin">
        <color indexed="64"/>
      </top>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thin">
        <color indexed="64"/>
      </left>
      <right/>
      <top style="thin">
        <color indexed="64"/>
      </top>
      <bottom style="thin">
        <color indexed="64"/>
      </bottom>
      <diagonal/>
    </border>
    <border>
      <left/>
      <right style="thin">
        <color indexed="64"/>
      </right>
      <top/>
      <bottom/>
      <diagonal/>
    </border>
    <border>
      <left/>
      <right/>
      <top style="thin">
        <color theme="0" tint="-0.499984740745262"/>
      </top>
      <bottom/>
      <diagonal/>
    </border>
    <border>
      <left style="thin">
        <color theme="0" tint="-0.499984740745262"/>
      </left>
      <right/>
      <top/>
      <bottom/>
      <diagonal/>
    </border>
  </borders>
  <cellStyleXfs count="7">
    <xf numFmtId="0" fontId="0" fillId="0" borderId="0"/>
    <xf numFmtId="0" fontId="5" fillId="0" borderId="0"/>
    <xf numFmtId="0" fontId="26" fillId="0" borderId="0"/>
    <xf numFmtId="0" fontId="42" fillId="0" borderId="0"/>
    <xf numFmtId="0" fontId="5" fillId="0" borderId="0"/>
    <xf numFmtId="0" fontId="71" fillId="0" borderId="0" applyNumberFormat="0" applyFill="0" applyBorder="0" applyAlignment="0" applyProtection="0"/>
    <xf numFmtId="0" fontId="21" fillId="0" borderId="0"/>
  </cellStyleXfs>
  <cellXfs count="693">
    <xf numFmtId="0" fontId="0" fillId="0" borderId="0" xfId="0"/>
    <xf numFmtId="0" fontId="2"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left"/>
    </xf>
    <xf numFmtId="2" fontId="4" fillId="0" borderId="0" xfId="0" applyNumberFormat="1" applyFont="1" applyAlignment="1">
      <alignment horizontal="center"/>
    </xf>
    <xf numFmtId="0" fontId="8" fillId="0" borderId="0" xfId="0" applyFont="1"/>
    <xf numFmtId="0" fontId="8" fillId="0" borderId="0" xfId="0" applyFont="1" applyAlignment="1">
      <alignment horizontal="center"/>
    </xf>
    <xf numFmtId="2" fontId="1" fillId="0" borderId="3" xfId="0" applyNumberFormat="1" applyFont="1" applyBorder="1" applyAlignment="1">
      <alignment horizontal="center" vertical="center"/>
    </xf>
    <xf numFmtId="0" fontId="2" fillId="0" borderId="3" xfId="0" applyFont="1" applyBorder="1" applyAlignment="1">
      <alignment horizontal="center" vertical="center"/>
    </xf>
    <xf numFmtId="2" fontId="1" fillId="0" borderId="4" xfId="0" applyNumberFormat="1" applyFont="1" applyBorder="1" applyAlignment="1">
      <alignment horizontal="center" vertical="center"/>
    </xf>
    <xf numFmtId="0" fontId="1" fillId="0" borderId="4" xfId="0" applyFont="1" applyBorder="1" applyAlignment="1">
      <alignment horizontal="center" vertical="center"/>
    </xf>
    <xf numFmtId="2" fontId="3" fillId="0" borderId="0" xfId="0" applyNumberFormat="1" applyFont="1" applyAlignment="1">
      <alignment horizontal="center" vertical="center"/>
    </xf>
    <xf numFmtId="0" fontId="3" fillId="0" borderId="0" xfId="0" applyFont="1" applyAlignment="1">
      <alignment horizontal="center" vertical="center"/>
    </xf>
    <xf numFmtId="2" fontId="22" fillId="0" borderId="18" xfId="0" applyNumberFormat="1" applyFont="1" applyBorder="1" applyAlignment="1">
      <alignment horizontal="center" vertical="center"/>
    </xf>
    <xf numFmtId="0" fontId="23" fillId="0" borderId="18" xfId="0" applyFont="1" applyBorder="1" applyAlignment="1">
      <alignment horizontal="center" vertical="center"/>
    </xf>
    <xf numFmtId="2" fontId="22" fillId="0" borderId="19" xfId="0" applyNumberFormat="1" applyFont="1" applyBorder="1" applyAlignment="1">
      <alignment horizontal="center" vertical="center"/>
    </xf>
    <xf numFmtId="0" fontId="22" fillId="0" borderId="19" xfId="0" applyFont="1" applyBorder="1" applyAlignment="1">
      <alignment horizontal="center" vertical="center"/>
    </xf>
    <xf numFmtId="0" fontId="28" fillId="0" borderId="0" xfId="0" applyFont="1"/>
    <xf numFmtId="0" fontId="37" fillId="0" borderId="0" xfId="0" applyFont="1" applyAlignment="1">
      <alignment horizontal="center" vertical="center"/>
    </xf>
    <xf numFmtId="166" fontId="39" fillId="0" borderId="0" xfId="0" applyNumberFormat="1" applyFont="1" applyAlignment="1">
      <alignment horizontal="center" vertical="center"/>
    </xf>
    <xf numFmtId="0" fontId="21" fillId="0" borderId="0" xfId="3" applyFont="1" applyAlignment="1" applyProtection="1">
      <alignment vertical="center"/>
      <protection locked="0"/>
    </xf>
    <xf numFmtId="0" fontId="21" fillId="0" borderId="0" xfId="3" applyFont="1" applyAlignment="1" applyProtection="1">
      <alignment horizontal="center" vertical="center"/>
      <protection locked="0"/>
    </xf>
    <xf numFmtId="0" fontId="44" fillId="0" borderId="0" xfId="3" applyFont="1" applyAlignment="1" applyProtection="1">
      <alignment horizontal="center" vertical="center"/>
      <protection locked="0"/>
    </xf>
    <xf numFmtId="0" fontId="21" fillId="0" borderId="21" xfId="3" applyFont="1" applyBorder="1" applyAlignment="1" applyProtection="1">
      <alignment vertical="center"/>
      <protection hidden="1"/>
    </xf>
    <xf numFmtId="0" fontId="21" fillId="0" borderId="25" xfId="3" applyFont="1" applyBorder="1" applyAlignment="1" applyProtection="1">
      <alignment vertical="center"/>
      <protection hidden="1"/>
    </xf>
    <xf numFmtId="0" fontId="21" fillId="0" borderId="34" xfId="3" applyFont="1" applyBorder="1" applyAlignment="1" applyProtection="1">
      <alignment vertical="center"/>
      <protection locked="0"/>
    </xf>
    <xf numFmtId="168" fontId="21" fillId="3" borderId="35" xfId="3" applyNumberFormat="1" applyFont="1" applyFill="1" applyBorder="1" applyAlignment="1" applyProtection="1">
      <alignment horizontal="right" vertical="center"/>
      <protection hidden="1"/>
    </xf>
    <xf numFmtId="0" fontId="21" fillId="0" borderId="23" xfId="3" applyFont="1" applyBorder="1" applyAlignment="1" applyProtection="1">
      <alignment vertical="center"/>
      <protection hidden="1"/>
    </xf>
    <xf numFmtId="0" fontId="43" fillId="3" borderId="24" xfId="3" applyFont="1" applyFill="1" applyBorder="1" applyAlignment="1" applyProtection="1">
      <alignment horizontal="left" vertical="center"/>
      <protection hidden="1"/>
    </xf>
    <xf numFmtId="0" fontId="21" fillId="3" borderId="24" xfId="3" applyFont="1" applyFill="1" applyBorder="1" applyAlignment="1" applyProtection="1">
      <alignment horizontal="left" vertical="center"/>
      <protection hidden="1"/>
    </xf>
    <xf numFmtId="0" fontId="21" fillId="3" borderId="25" xfId="3" applyFont="1" applyFill="1" applyBorder="1" applyAlignment="1" applyProtection="1">
      <alignment horizontal="left" vertical="center"/>
      <protection hidden="1"/>
    </xf>
    <xf numFmtId="49" fontId="21" fillId="0" borderId="0" xfId="3" applyNumberFormat="1" applyFont="1" applyAlignment="1" applyProtection="1">
      <alignment horizontal="center" vertical="center"/>
      <protection locked="0"/>
    </xf>
    <xf numFmtId="0" fontId="14" fillId="0" borderId="0" xfId="0" applyFont="1" applyAlignment="1">
      <alignment horizontal="center" vertical="center"/>
    </xf>
    <xf numFmtId="0" fontId="14" fillId="0" borderId="24" xfId="0" applyFont="1" applyBorder="1" applyAlignment="1">
      <alignment horizontal="center" vertical="center"/>
    </xf>
    <xf numFmtId="0" fontId="20" fillId="5" borderId="20" xfId="0" applyFont="1" applyFill="1" applyBorder="1" applyAlignment="1">
      <alignment horizontal="center"/>
    </xf>
    <xf numFmtId="0" fontId="20" fillId="5" borderId="40" xfId="0" applyFont="1" applyFill="1" applyBorder="1" applyAlignment="1">
      <alignment horizontal="center"/>
    </xf>
    <xf numFmtId="1" fontId="13" fillId="8" borderId="34" xfId="0" applyNumberFormat="1" applyFont="1" applyFill="1" applyBorder="1" applyAlignment="1" applyProtection="1">
      <alignment horizontal="center"/>
      <protection locked="0"/>
    </xf>
    <xf numFmtId="2" fontId="13" fillId="8" borderId="34" xfId="0" applyNumberFormat="1" applyFont="1" applyFill="1" applyBorder="1" applyAlignment="1" applyProtection="1">
      <alignment horizontal="center"/>
      <protection locked="0"/>
    </xf>
    <xf numFmtId="2" fontId="13" fillId="8" borderId="44" xfId="0" applyNumberFormat="1" applyFont="1" applyFill="1" applyBorder="1" applyAlignment="1" applyProtection="1">
      <alignment horizontal="center"/>
      <protection locked="0"/>
    </xf>
    <xf numFmtId="1" fontId="13" fillId="8" borderId="49" xfId="0" applyNumberFormat="1" applyFont="1" applyFill="1" applyBorder="1" applyAlignment="1" applyProtection="1">
      <alignment horizontal="center"/>
      <protection locked="0"/>
    </xf>
    <xf numFmtId="2" fontId="13" fillId="8" borderId="48" xfId="0" applyNumberFormat="1" applyFont="1" applyFill="1" applyBorder="1" applyAlignment="1" applyProtection="1">
      <alignment horizontal="center"/>
      <protection locked="0"/>
    </xf>
    <xf numFmtId="2" fontId="13" fillId="8" borderId="49" xfId="0" applyNumberFormat="1" applyFont="1" applyFill="1" applyBorder="1" applyAlignment="1" applyProtection="1">
      <alignment horizontal="center"/>
      <protection locked="0"/>
    </xf>
    <xf numFmtId="0" fontId="13" fillId="8" borderId="49" xfId="0" applyFont="1" applyFill="1" applyBorder="1" applyAlignment="1" applyProtection="1">
      <alignment horizontal="center"/>
      <protection locked="0"/>
    </xf>
    <xf numFmtId="1" fontId="13" fillId="8" borderId="48" xfId="0" applyNumberFormat="1" applyFont="1" applyFill="1" applyBorder="1" applyAlignment="1" applyProtection="1">
      <alignment horizontal="center"/>
      <protection locked="0"/>
    </xf>
    <xf numFmtId="2" fontId="13" fillId="8" borderId="54" xfId="0" applyNumberFormat="1" applyFont="1" applyFill="1" applyBorder="1" applyAlignment="1">
      <alignment horizontal="center" vertical="center"/>
    </xf>
    <xf numFmtId="2" fontId="13" fillId="8" borderId="55" xfId="0" applyNumberFormat="1" applyFont="1" applyFill="1" applyBorder="1" applyAlignment="1">
      <alignment horizontal="center" vertical="center"/>
    </xf>
    <xf numFmtId="2" fontId="13" fillId="8" borderId="53" xfId="0" applyNumberFormat="1" applyFont="1" applyFill="1" applyBorder="1" applyAlignment="1">
      <alignment horizontal="center" vertical="center"/>
    </xf>
    <xf numFmtId="2" fontId="13" fillId="8" borderId="54" xfId="0" applyNumberFormat="1" applyFont="1" applyFill="1" applyBorder="1" applyAlignment="1" applyProtection="1">
      <alignment horizontal="center"/>
      <protection locked="0"/>
    </xf>
    <xf numFmtId="2" fontId="9" fillId="0" borderId="56" xfId="0" applyNumberFormat="1" applyFont="1" applyBorder="1" applyAlignment="1">
      <alignment horizontal="center" vertical="center"/>
    </xf>
    <xf numFmtId="2" fontId="9" fillId="0" borderId="57" xfId="0" applyNumberFormat="1" applyFont="1" applyBorder="1" applyAlignment="1">
      <alignment horizontal="center" vertical="center"/>
    </xf>
    <xf numFmtId="2" fontId="9" fillId="0" borderId="58" xfId="0" applyNumberFormat="1" applyFont="1" applyBorder="1" applyAlignment="1">
      <alignment horizontal="center" vertical="center"/>
    </xf>
    <xf numFmtId="0" fontId="13" fillId="8" borderId="44" xfId="0" applyFont="1" applyFill="1" applyBorder="1" applyAlignment="1" applyProtection="1">
      <alignment horizontal="center"/>
      <protection locked="0"/>
    </xf>
    <xf numFmtId="2" fontId="13" fillId="8" borderId="59" xfId="0" applyNumberFormat="1" applyFont="1" applyFill="1" applyBorder="1" applyAlignment="1" applyProtection="1">
      <alignment horizontal="center"/>
      <protection locked="0"/>
    </xf>
    <xf numFmtId="2" fontId="9" fillId="0" borderId="60" xfId="0" applyNumberFormat="1" applyFont="1" applyBorder="1" applyAlignment="1">
      <alignment horizontal="center" vertical="center"/>
    </xf>
    <xf numFmtId="0" fontId="6" fillId="0" borderId="0" xfId="0" applyFont="1" applyAlignment="1">
      <alignment horizontal="center"/>
    </xf>
    <xf numFmtId="0" fontId="21" fillId="0" borderId="0" xfId="0" applyFont="1"/>
    <xf numFmtId="0" fontId="21" fillId="0" borderId="0" xfId="0" applyFont="1" applyAlignment="1">
      <alignment vertical="center"/>
    </xf>
    <xf numFmtId="0" fontId="21" fillId="0" borderId="0" xfId="0" applyFont="1" applyAlignment="1">
      <alignment wrapText="1"/>
    </xf>
    <xf numFmtId="0" fontId="53" fillId="0" borderId="0" xfId="0" applyFont="1" applyAlignment="1">
      <alignment horizontal="center"/>
    </xf>
    <xf numFmtId="166" fontId="21" fillId="0" borderId="15" xfId="0" applyNumberFormat="1" applyFont="1" applyBorder="1" applyAlignment="1">
      <alignment horizontal="center" vertical="center" wrapText="1"/>
    </xf>
    <xf numFmtId="2" fontId="21" fillId="0" borderId="9" xfId="0" applyNumberFormat="1" applyFont="1" applyBorder="1" applyAlignment="1">
      <alignment horizontal="center" vertical="center" wrapText="1"/>
    </xf>
    <xf numFmtId="2" fontId="21" fillId="8" borderId="10" xfId="0" applyNumberFormat="1" applyFont="1" applyFill="1" applyBorder="1" applyAlignment="1">
      <alignment horizontal="center" vertical="center" wrapText="1"/>
    </xf>
    <xf numFmtId="164" fontId="31" fillId="2" borderId="0" xfId="0" applyNumberFormat="1" applyFont="1" applyFill="1" applyAlignment="1" applyProtection="1">
      <alignment horizontal="center" vertical="center" wrapText="1"/>
      <protection locked="0"/>
    </xf>
    <xf numFmtId="167" fontId="32" fillId="0" borderId="0" xfId="0" applyNumberFormat="1" applyFont="1" applyAlignment="1" applyProtection="1">
      <alignment horizontal="center" vertical="center"/>
      <protection locked="0"/>
    </xf>
    <xf numFmtId="167" fontId="30" fillId="0" borderId="0" xfId="0" applyNumberFormat="1" applyFont="1" applyAlignment="1" applyProtection="1">
      <alignment horizontal="center" vertical="center"/>
      <protection locked="0"/>
    </xf>
    <xf numFmtId="167" fontId="30" fillId="0" borderId="0" xfId="0" applyNumberFormat="1" applyFont="1" applyAlignment="1">
      <alignment horizontal="center" vertical="center" wrapText="1"/>
    </xf>
    <xf numFmtId="170" fontId="21" fillId="0" borderId="0" xfId="3" applyNumberFormat="1" applyFont="1" applyAlignment="1" applyProtection="1">
      <alignment horizontal="center" vertical="center"/>
      <protection locked="0"/>
    </xf>
    <xf numFmtId="2" fontId="13" fillId="0" borderId="34" xfId="0" applyNumberFormat="1" applyFont="1" applyBorder="1" applyAlignment="1" applyProtection="1">
      <alignment horizontal="center"/>
      <protection locked="0"/>
    </xf>
    <xf numFmtId="0" fontId="21" fillId="3" borderId="22" xfId="3" applyFont="1" applyFill="1" applyBorder="1" applyAlignment="1" applyProtection="1">
      <alignment horizontal="left" vertical="center"/>
      <protection hidden="1"/>
    </xf>
    <xf numFmtId="0" fontId="60" fillId="0" borderId="0" xfId="0" applyFont="1"/>
    <xf numFmtId="165" fontId="21" fillId="3" borderId="32" xfId="3" applyNumberFormat="1" applyFont="1" applyFill="1" applyBorder="1" applyAlignment="1" applyProtection="1">
      <alignment horizontal="right" vertical="center"/>
      <protection hidden="1"/>
    </xf>
    <xf numFmtId="0" fontId="8" fillId="0" borderId="21" xfId="0" applyFont="1" applyBorder="1" applyProtection="1">
      <protection hidden="1"/>
    </xf>
    <xf numFmtId="0" fontId="8" fillId="0" borderId="0" xfId="0" applyFont="1" applyProtection="1">
      <protection hidden="1"/>
    </xf>
    <xf numFmtId="0" fontId="8" fillId="6" borderId="45" xfId="0" applyFont="1" applyFill="1" applyBorder="1" applyAlignment="1" applyProtection="1">
      <alignment horizontal="center" vertical="center"/>
      <protection hidden="1"/>
    </xf>
    <xf numFmtId="0" fontId="8" fillId="6" borderId="46" xfId="0" applyFont="1" applyFill="1" applyBorder="1" applyAlignment="1" applyProtection="1">
      <alignment horizontal="center" vertical="center"/>
      <protection hidden="1"/>
    </xf>
    <xf numFmtId="0" fontId="8" fillId="6" borderId="48" xfId="0" applyFont="1" applyFill="1" applyBorder="1" applyAlignment="1" applyProtection="1">
      <alignment horizontal="center" vertical="center"/>
      <protection hidden="1"/>
    </xf>
    <xf numFmtId="0" fontId="8" fillId="6" borderId="34" xfId="0" applyFont="1" applyFill="1" applyBorder="1" applyAlignment="1" applyProtection="1">
      <alignment horizontal="center" vertical="center"/>
      <protection hidden="1"/>
    </xf>
    <xf numFmtId="0" fontId="14" fillId="0" borderId="61" xfId="0" applyFont="1" applyBorder="1" applyAlignment="1" applyProtection="1">
      <alignment horizontal="center" vertical="center"/>
      <protection hidden="1"/>
    </xf>
    <xf numFmtId="0" fontId="47" fillId="4" borderId="39" xfId="0" applyFont="1" applyFill="1" applyBorder="1" applyAlignment="1" applyProtection="1">
      <alignment horizontal="center" vertical="center"/>
      <protection hidden="1"/>
    </xf>
    <xf numFmtId="0" fontId="8" fillId="0" borderId="48" xfId="0" applyFont="1" applyBorder="1" applyAlignment="1" applyProtection="1">
      <alignment horizontal="center"/>
      <protection hidden="1"/>
    </xf>
    <xf numFmtId="0" fontId="8" fillId="0" borderId="34" xfId="0" applyFont="1" applyBorder="1" applyAlignment="1" applyProtection="1">
      <alignment horizontal="center"/>
      <protection hidden="1"/>
    </xf>
    <xf numFmtId="0" fontId="8" fillId="0" borderId="0" xfId="0" applyFont="1" applyAlignment="1" applyProtection="1">
      <alignment horizontal="center"/>
      <protection hidden="1"/>
    </xf>
    <xf numFmtId="0" fontId="14" fillId="0" borderId="34" xfId="0" applyFont="1" applyBorder="1" applyAlignment="1" applyProtection="1">
      <alignment horizontal="center"/>
      <protection hidden="1"/>
    </xf>
    <xf numFmtId="2" fontId="8" fillId="0" borderId="49" xfId="0" applyNumberFormat="1" applyFont="1" applyBorder="1" applyAlignment="1" applyProtection="1">
      <alignment horizontal="center" vertical="center"/>
      <protection hidden="1"/>
    </xf>
    <xf numFmtId="1" fontId="18" fillId="0" borderId="34" xfId="0" applyNumberFormat="1" applyFont="1" applyBorder="1" applyAlignment="1" applyProtection="1">
      <alignment horizontal="center"/>
      <protection hidden="1"/>
    </xf>
    <xf numFmtId="166" fontId="13" fillId="0" borderId="34" xfId="0" applyNumberFormat="1" applyFont="1" applyBorder="1" applyAlignment="1" applyProtection="1">
      <alignment horizontal="center" vertical="center"/>
      <protection hidden="1"/>
    </xf>
    <xf numFmtId="166" fontId="13" fillId="0" borderId="49" xfId="0" applyNumberFormat="1" applyFont="1" applyBorder="1" applyAlignment="1" applyProtection="1">
      <alignment horizontal="center" vertical="center"/>
      <protection hidden="1"/>
    </xf>
    <xf numFmtId="0" fontId="8" fillId="6" borderId="50" xfId="0" applyFont="1" applyFill="1" applyBorder="1" applyAlignment="1" applyProtection="1">
      <alignment horizontal="center" vertical="center"/>
      <protection hidden="1"/>
    </xf>
    <xf numFmtId="0" fontId="8" fillId="6" borderId="51" xfId="0" applyFont="1" applyFill="1" applyBorder="1" applyAlignment="1" applyProtection="1">
      <alignment horizontal="center" vertical="center"/>
      <protection hidden="1"/>
    </xf>
    <xf numFmtId="2" fontId="8" fillId="0" borderId="52" xfId="0" applyNumberFormat="1" applyFont="1" applyBorder="1" applyAlignment="1" applyProtection="1">
      <alignment horizontal="center" vertical="center"/>
      <protection hidden="1"/>
    </xf>
    <xf numFmtId="2" fontId="13" fillId="0" borderId="34" xfId="0" applyNumberFormat="1" applyFont="1" applyBorder="1" applyAlignment="1" applyProtection="1">
      <alignment horizontal="center" vertical="center"/>
      <protection hidden="1"/>
    </xf>
    <xf numFmtId="2" fontId="13" fillId="0" borderId="49" xfId="0" applyNumberFormat="1" applyFont="1" applyBorder="1" applyAlignment="1" applyProtection="1">
      <alignment horizontal="center" vertical="center"/>
      <protection hidden="1"/>
    </xf>
    <xf numFmtId="0" fontId="13" fillId="0" borderId="45" xfId="0" applyFont="1" applyBorder="1" applyProtection="1">
      <protection hidden="1"/>
    </xf>
    <xf numFmtId="0" fontId="12" fillId="0" borderId="46" xfId="0" applyFont="1" applyBorder="1" applyAlignment="1" applyProtection="1">
      <alignment horizontal="center"/>
      <protection hidden="1"/>
    </xf>
    <xf numFmtId="0" fontId="13" fillId="0" borderId="48" xfId="0" applyFont="1" applyBorder="1" applyProtection="1">
      <protection hidden="1"/>
    </xf>
    <xf numFmtId="0" fontId="12" fillId="0" borderId="34" xfId="0" applyFont="1" applyBorder="1" applyAlignment="1" applyProtection="1">
      <alignment horizontal="center"/>
      <protection hidden="1"/>
    </xf>
    <xf numFmtId="0" fontId="13" fillId="0" borderId="34" xfId="0" applyFont="1" applyBorder="1" applyAlignment="1" applyProtection="1">
      <alignment horizontal="center" vertical="center"/>
      <protection hidden="1"/>
    </xf>
    <xf numFmtId="0" fontId="13" fillId="0" borderId="49" xfId="0" applyFont="1" applyBorder="1" applyAlignment="1" applyProtection="1">
      <alignment horizontal="center" vertical="center"/>
      <protection hidden="1"/>
    </xf>
    <xf numFmtId="0" fontId="13" fillId="0" borderId="50" xfId="0" applyFont="1" applyBorder="1" applyProtection="1">
      <protection hidden="1"/>
    </xf>
    <xf numFmtId="0" fontId="14" fillId="0" borderId="51" xfId="0" applyFont="1" applyBorder="1" applyAlignment="1" applyProtection="1">
      <alignment horizontal="center"/>
      <protection hidden="1"/>
    </xf>
    <xf numFmtId="2" fontId="13" fillId="0" borderId="51" xfId="0" applyNumberFormat="1" applyFont="1" applyBorder="1" applyAlignment="1" applyProtection="1">
      <alignment horizontal="center" vertical="center"/>
      <protection hidden="1"/>
    </xf>
    <xf numFmtId="2" fontId="13" fillId="0" borderId="52" xfId="0" applyNumberFormat="1" applyFont="1" applyBorder="1" applyAlignment="1" applyProtection="1">
      <alignment horizontal="center" vertical="center"/>
      <protection hidden="1"/>
    </xf>
    <xf numFmtId="0" fontId="50" fillId="0" borderId="69" xfId="0" applyFont="1" applyBorder="1" applyAlignment="1" applyProtection="1">
      <alignment horizontal="center"/>
      <protection hidden="1"/>
    </xf>
    <xf numFmtId="2" fontId="10" fillId="0" borderId="39" xfId="1" applyNumberFormat="1" applyFont="1" applyBorder="1" applyAlignment="1" applyProtection="1">
      <alignment horizontal="center" vertical="center"/>
      <protection hidden="1"/>
    </xf>
    <xf numFmtId="0" fontId="8" fillId="0" borderId="50" xfId="0" applyFont="1" applyBorder="1" applyAlignment="1" applyProtection="1">
      <alignment horizontal="left" vertical="center"/>
      <protection hidden="1"/>
    </xf>
    <xf numFmtId="164" fontId="10" fillId="0" borderId="39" xfId="1" applyNumberFormat="1" applyFont="1" applyBorder="1" applyAlignment="1" applyProtection="1">
      <alignment horizontal="center" vertical="center"/>
      <protection hidden="1"/>
    </xf>
    <xf numFmtId="0" fontId="8" fillId="0" borderId="23" xfId="0" applyFont="1" applyBorder="1" applyProtection="1">
      <protection hidden="1"/>
    </xf>
    <xf numFmtId="2" fontId="13" fillId="0" borderId="71" xfId="0" applyNumberFormat="1" applyFont="1" applyBorder="1" applyAlignment="1" applyProtection="1">
      <alignment horizontal="center" vertical="center"/>
      <protection locked="0"/>
    </xf>
    <xf numFmtId="0" fontId="13" fillId="0" borderId="71" xfId="0" applyFont="1" applyBorder="1" applyAlignment="1" applyProtection="1">
      <alignment horizontal="center" vertical="center"/>
      <protection locked="0"/>
    </xf>
    <xf numFmtId="2" fontId="8" fillId="0" borderId="47" xfId="0" applyNumberFormat="1" applyFont="1" applyBorder="1" applyAlignment="1" applyProtection="1">
      <alignment horizontal="center" vertical="center"/>
      <protection locked="0"/>
    </xf>
    <xf numFmtId="0" fontId="8" fillId="0" borderId="49" xfId="0" applyFont="1" applyBorder="1" applyAlignment="1" applyProtection="1">
      <alignment horizontal="center" vertical="center"/>
      <protection locked="0"/>
    </xf>
    <xf numFmtId="0" fontId="8" fillId="0" borderId="49" xfId="0" applyFont="1" applyBorder="1" applyAlignment="1" applyProtection="1">
      <alignment horizontal="center"/>
      <protection locked="0"/>
    </xf>
    <xf numFmtId="2" fontId="8" fillId="0" borderId="49" xfId="0" applyNumberFormat="1" applyFont="1" applyBorder="1" applyAlignment="1" applyProtection="1">
      <alignment horizontal="center" vertical="center"/>
      <protection locked="0"/>
    </xf>
    <xf numFmtId="2" fontId="8" fillId="0" borderId="52" xfId="0" applyNumberFormat="1" applyFont="1" applyBorder="1" applyAlignment="1" applyProtection="1">
      <alignment horizontal="center" vertical="center"/>
      <protection locked="0"/>
    </xf>
    <xf numFmtId="0" fontId="21" fillId="0" borderId="21" xfId="0" applyFont="1" applyBorder="1" applyProtection="1">
      <protection hidden="1"/>
    </xf>
    <xf numFmtId="0" fontId="21" fillId="0" borderId="22" xfId="0" applyFont="1" applyBorder="1" applyProtection="1">
      <protection hidden="1"/>
    </xf>
    <xf numFmtId="0" fontId="21" fillId="0" borderId="21" xfId="0" applyFont="1" applyBorder="1" applyAlignment="1" applyProtection="1">
      <alignment vertical="center"/>
      <protection hidden="1"/>
    </xf>
    <xf numFmtId="0" fontId="21" fillId="0" borderId="22" xfId="0" applyFont="1" applyBorder="1" applyAlignment="1" applyProtection="1">
      <alignment vertical="center"/>
      <protection hidden="1"/>
    </xf>
    <xf numFmtId="0" fontId="21" fillId="0" borderId="21" xfId="0" applyFont="1" applyBorder="1" applyAlignment="1" applyProtection="1">
      <alignment wrapText="1"/>
      <protection hidden="1"/>
    </xf>
    <xf numFmtId="0" fontId="21" fillId="0" borderId="22" xfId="0" applyFont="1" applyBorder="1" applyAlignment="1" applyProtection="1">
      <alignment wrapText="1"/>
      <protection hidden="1"/>
    </xf>
    <xf numFmtId="0" fontId="21" fillId="0" borderId="0" xfId="0" applyFont="1" applyProtection="1">
      <protection hidden="1"/>
    </xf>
    <xf numFmtId="0" fontId="21" fillId="0" borderId="23" xfId="0" applyFont="1" applyBorder="1" applyProtection="1">
      <protection hidden="1"/>
    </xf>
    <xf numFmtId="0" fontId="21" fillId="0" borderId="24" xfId="0" applyFont="1" applyBorder="1" applyProtection="1">
      <protection hidden="1"/>
    </xf>
    <xf numFmtId="0" fontId="53" fillId="0" borderId="24" xfId="0" applyFont="1" applyBorder="1" applyAlignment="1" applyProtection="1">
      <alignment horizontal="center"/>
      <protection hidden="1"/>
    </xf>
    <xf numFmtId="0" fontId="21" fillId="0" borderId="25" xfId="0" applyFont="1" applyBorder="1" applyProtection="1">
      <protection hidden="1"/>
    </xf>
    <xf numFmtId="0" fontId="0" fillId="0" borderId="21" xfId="0" applyBorder="1" applyProtection="1">
      <protection hidden="1"/>
    </xf>
    <xf numFmtId="0" fontId="0" fillId="0" borderId="22" xfId="0" applyBorder="1" applyProtection="1">
      <protection hidden="1"/>
    </xf>
    <xf numFmtId="2" fontId="31" fillId="0" borderId="21" xfId="0" applyNumberFormat="1" applyFont="1" applyBorder="1" applyProtection="1">
      <protection hidden="1"/>
    </xf>
    <xf numFmtId="2" fontId="31" fillId="0" borderId="22" xfId="0" applyNumberFormat="1" applyFont="1" applyBorder="1" applyProtection="1">
      <protection hidden="1"/>
    </xf>
    <xf numFmtId="167" fontId="28" fillId="0" borderId="22" xfId="0" applyNumberFormat="1" applyFont="1" applyBorder="1" applyProtection="1">
      <protection hidden="1"/>
    </xf>
    <xf numFmtId="0" fontId="28" fillId="0" borderId="21" xfId="0" applyFont="1" applyBorder="1" applyProtection="1">
      <protection hidden="1"/>
    </xf>
    <xf numFmtId="0" fontId="34" fillId="0" borderId="21" xfId="2" applyFont="1" applyBorder="1" applyProtection="1">
      <protection hidden="1"/>
    </xf>
    <xf numFmtId="0" fontId="27" fillId="0" borderId="21" xfId="2" applyFont="1" applyBorder="1" applyProtection="1">
      <protection hidden="1"/>
    </xf>
    <xf numFmtId="0" fontId="35" fillId="0" borderId="21" xfId="0" applyFont="1" applyBorder="1" applyProtection="1">
      <protection hidden="1"/>
    </xf>
    <xf numFmtId="0" fontId="28" fillId="0" borderId="22" xfId="0" applyFont="1" applyBorder="1" applyProtection="1">
      <protection hidden="1"/>
    </xf>
    <xf numFmtId="0" fontId="24" fillId="0" borderId="21" xfId="0" applyFont="1" applyBorder="1" applyProtection="1">
      <protection hidden="1"/>
    </xf>
    <xf numFmtId="0" fontId="28" fillId="0" borderId="21" xfId="0" applyFont="1" applyBorder="1" applyAlignment="1" applyProtection="1">
      <alignment vertical="center" wrapText="1"/>
      <protection hidden="1"/>
    </xf>
    <xf numFmtId="0" fontId="36" fillId="0" borderId="22" xfId="0" applyFont="1" applyBorder="1" applyAlignment="1" applyProtection="1">
      <alignment vertical="top"/>
      <protection hidden="1"/>
    </xf>
    <xf numFmtId="0" fontId="36" fillId="0" borderId="21" xfId="0" applyFont="1" applyBorder="1" applyAlignment="1" applyProtection="1">
      <alignment vertical="top"/>
      <protection hidden="1"/>
    </xf>
    <xf numFmtId="0" fontId="36" fillId="0" borderId="21" xfId="0" applyFont="1" applyBorder="1" applyAlignment="1" applyProtection="1">
      <alignment horizontal="center" vertical="top"/>
      <protection hidden="1"/>
    </xf>
    <xf numFmtId="0" fontId="36" fillId="0" borderId="22" xfId="0" applyFont="1" applyBorder="1" applyAlignment="1" applyProtection="1">
      <alignment horizontal="center" vertical="top"/>
      <protection hidden="1"/>
    </xf>
    <xf numFmtId="167" fontId="28" fillId="2" borderId="64" xfId="0" applyNumberFormat="1" applyFont="1" applyFill="1" applyBorder="1" applyAlignment="1" applyProtection="1">
      <alignment horizontal="center"/>
      <protection hidden="1"/>
    </xf>
    <xf numFmtId="166" fontId="28" fillId="0" borderId="44" xfId="0" applyNumberFormat="1" applyFont="1" applyBorder="1" applyAlignment="1" applyProtection="1">
      <alignment horizontal="center"/>
      <protection hidden="1"/>
    </xf>
    <xf numFmtId="167" fontId="28" fillId="2" borderId="65" xfId="0" applyNumberFormat="1" applyFont="1" applyFill="1" applyBorder="1" applyAlignment="1" applyProtection="1">
      <alignment horizontal="center"/>
      <protection hidden="1"/>
    </xf>
    <xf numFmtId="0" fontId="28" fillId="2" borderId="65" xfId="0" applyFont="1" applyFill="1" applyBorder="1" applyAlignment="1" applyProtection="1">
      <alignment horizontal="center"/>
      <protection hidden="1"/>
    </xf>
    <xf numFmtId="0" fontId="0" fillId="0" borderId="0" xfId="0" applyProtection="1">
      <protection locked="0"/>
    </xf>
    <xf numFmtId="0" fontId="0" fillId="0" borderId="0" xfId="0"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7" borderId="1" xfId="0" applyFill="1" applyBorder="1" applyAlignment="1" applyProtection="1">
      <alignment horizontal="center" vertical="center"/>
      <protection locked="0"/>
    </xf>
    <xf numFmtId="166" fontId="0" fillId="7" borderId="1" xfId="0" applyNumberFormat="1" applyFill="1" applyBorder="1" applyAlignment="1" applyProtection="1">
      <alignment horizontal="center" vertical="center"/>
      <protection locked="0"/>
    </xf>
    <xf numFmtId="166" fontId="0" fillId="0" borderId="1" xfId="0" applyNumberFormat="1" applyBorder="1" applyAlignment="1" applyProtection="1">
      <alignment horizontal="center" vertical="center"/>
      <protection locked="0"/>
    </xf>
    <xf numFmtId="0" fontId="0" fillId="3" borderId="1" xfId="0" applyFill="1" applyBorder="1" applyAlignment="1" applyProtection="1">
      <alignment horizontal="center" vertical="center"/>
      <protection locked="0"/>
    </xf>
    <xf numFmtId="0" fontId="37" fillId="0" borderId="0" xfId="0" applyFont="1" applyAlignment="1" applyProtection="1">
      <alignment horizontal="center" vertical="center"/>
      <protection locked="0"/>
    </xf>
    <xf numFmtId="166" fontId="39" fillId="0" borderId="0" xfId="0" applyNumberFormat="1" applyFont="1" applyAlignment="1" applyProtection="1">
      <alignment horizontal="center" vertical="center"/>
      <protection locked="0"/>
    </xf>
    <xf numFmtId="0" fontId="60" fillId="0" borderId="0" xfId="0" applyFont="1" applyProtection="1">
      <protection locked="0"/>
    </xf>
    <xf numFmtId="0" fontId="21" fillId="0" borderId="0" xfId="0" applyFont="1" applyProtection="1">
      <protection locked="0"/>
    </xf>
    <xf numFmtId="1" fontId="0" fillId="0" borderId="1" xfId="0" applyNumberFormat="1" applyBorder="1" applyAlignment="1" applyProtection="1">
      <alignment horizontal="center" vertical="center"/>
      <protection locked="0"/>
    </xf>
    <xf numFmtId="0" fontId="28" fillId="0" borderId="0" xfId="0" applyFont="1" applyProtection="1">
      <protection locked="0"/>
    </xf>
    <xf numFmtId="0" fontId="0" fillId="0" borderId="5" xfId="0" applyBorder="1" applyProtection="1">
      <protection locked="0"/>
    </xf>
    <xf numFmtId="0" fontId="0" fillId="0" borderId="6" xfId="0" applyBorder="1" applyProtection="1">
      <protection locked="0"/>
    </xf>
    <xf numFmtId="0" fontId="0" fillId="0" borderId="7" xfId="0" applyBorder="1" applyProtection="1">
      <protection locked="0"/>
    </xf>
    <xf numFmtId="0" fontId="0" fillId="0" borderId="26" xfId="0" applyBorder="1" applyProtection="1">
      <protection locked="0"/>
    </xf>
    <xf numFmtId="0" fontId="0" fillId="0" borderId="16" xfId="0" applyBorder="1" applyProtection="1">
      <protection locked="0"/>
    </xf>
    <xf numFmtId="0" fontId="5" fillId="0" borderId="26" xfId="0" applyFont="1" applyBorder="1" applyProtection="1">
      <protection locked="0"/>
    </xf>
    <xf numFmtId="0" fontId="5" fillId="0" borderId="0" xfId="0" applyFont="1" applyProtection="1">
      <protection locked="0"/>
    </xf>
    <xf numFmtId="2" fontId="0" fillId="0" borderId="16" xfId="0" applyNumberFormat="1" applyBorder="1" applyProtection="1">
      <protection locked="0"/>
    </xf>
    <xf numFmtId="0" fontId="0" fillId="0" borderId="27" xfId="0" applyBorder="1" applyProtection="1">
      <protection locked="0"/>
    </xf>
    <xf numFmtId="0" fontId="0" fillId="0" borderId="28" xfId="0" applyBorder="1" applyProtection="1">
      <protection locked="0"/>
    </xf>
    <xf numFmtId="0" fontId="0" fillId="0" borderId="17" xfId="0" applyBorder="1" applyProtection="1">
      <protection locked="0"/>
    </xf>
    <xf numFmtId="0" fontId="0" fillId="0" borderId="26" xfId="0" applyBorder="1" applyAlignment="1" applyProtection="1">
      <alignment horizontal="center"/>
      <protection locked="0"/>
    </xf>
    <xf numFmtId="0" fontId="0" fillId="0" borderId="16" xfId="0" applyBorder="1" applyAlignment="1" applyProtection="1">
      <alignment horizontal="center"/>
      <protection locked="0"/>
    </xf>
    <xf numFmtId="2" fontId="0" fillId="0" borderId="26" xfId="0" applyNumberFormat="1" applyBorder="1" applyAlignment="1" applyProtection="1">
      <alignment horizontal="center"/>
      <protection locked="0"/>
    </xf>
    <xf numFmtId="0" fontId="37" fillId="0" borderId="26" xfId="0" applyFont="1" applyBorder="1" applyAlignment="1" applyProtection="1">
      <alignment horizontal="center" vertical="center"/>
      <protection locked="0"/>
    </xf>
    <xf numFmtId="0" fontId="37" fillId="0" borderId="16" xfId="0" applyFont="1" applyBorder="1" applyAlignment="1" applyProtection="1">
      <alignment horizontal="center" vertical="center"/>
      <protection locked="0"/>
    </xf>
    <xf numFmtId="2" fontId="38" fillId="0" borderId="26" xfId="0" applyNumberFormat="1" applyFont="1" applyBorder="1" applyAlignment="1" applyProtection="1">
      <alignment horizontal="center" vertical="center"/>
      <protection locked="0"/>
    </xf>
    <xf numFmtId="166" fontId="37" fillId="0" borderId="16" xfId="0" applyNumberFormat="1" applyFont="1" applyBorder="1" applyAlignment="1">
      <alignment horizontal="center" vertical="center"/>
    </xf>
    <xf numFmtId="166" fontId="39" fillId="0" borderId="16" xfId="0" applyNumberFormat="1" applyFont="1" applyBorder="1" applyAlignment="1">
      <alignment horizontal="center" vertical="center"/>
    </xf>
    <xf numFmtId="166" fontId="37" fillId="0" borderId="0" xfId="0" applyNumberFormat="1" applyFont="1" applyAlignment="1">
      <alignment horizontal="center" vertical="center"/>
    </xf>
    <xf numFmtId="0" fontId="0" fillId="0" borderId="62" xfId="0" applyBorder="1" applyProtection="1">
      <protection hidden="1"/>
    </xf>
    <xf numFmtId="0" fontId="0" fillId="0" borderId="44" xfId="0" applyBorder="1" applyProtection="1">
      <protection hidden="1"/>
    </xf>
    <xf numFmtId="0" fontId="0" fillId="0" borderId="34" xfId="0" applyBorder="1" applyAlignment="1" applyProtection="1">
      <alignment horizontal="center"/>
      <protection hidden="1"/>
    </xf>
    <xf numFmtId="0" fontId="0" fillId="0" borderId="34" xfId="0" applyBorder="1" applyProtection="1">
      <protection hidden="1"/>
    </xf>
    <xf numFmtId="0" fontId="21" fillId="0" borderId="34" xfId="0" applyFont="1" applyBorder="1" applyProtection="1">
      <protection hidden="1"/>
    </xf>
    <xf numFmtId="0" fontId="0" fillId="0" borderId="34" xfId="0" applyBorder="1"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vertical="center"/>
      <protection hidden="1"/>
    </xf>
    <xf numFmtId="0" fontId="0" fillId="0" borderId="56" xfId="0" applyBorder="1" applyAlignment="1" applyProtection="1">
      <alignment horizontal="center"/>
      <protection hidden="1"/>
    </xf>
    <xf numFmtId="0" fontId="0" fillId="0" borderId="57" xfId="0" applyBorder="1" applyAlignment="1" applyProtection="1">
      <alignment horizontal="center"/>
      <protection hidden="1"/>
    </xf>
    <xf numFmtId="0" fontId="21" fillId="0" borderId="57" xfId="0" applyFont="1" applyBorder="1" applyAlignment="1" applyProtection="1">
      <alignment horizontal="center"/>
      <protection hidden="1"/>
    </xf>
    <xf numFmtId="0" fontId="21" fillId="0" borderId="58" xfId="0" applyFont="1" applyBorder="1" applyAlignment="1" applyProtection="1">
      <alignment horizontal="center"/>
      <protection hidden="1"/>
    </xf>
    <xf numFmtId="0" fontId="64" fillId="10" borderId="73" xfId="0" applyFont="1" applyFill="1" applyBorder="1" applyAlignment="1" applyProtection="1">
      <alignment horizontal="center"/>
      <protection hidden="1"/>
    </xf>
    <xf numFmtId="0" fontId="64" fillId="11" borderId="50" xfId="0" applyFont="1" applyFill="1" applyBorder="1" applyAlignment="1" applyProtection="1">
      <alignment horizontal="center"/>
      <protection hidden="1"/>
    </xf>
    <xf numFmtId="0" fontId="64" fillId="12" borderId="51" xfId="0" applyFont="1" applyFill="1" applyBorder="1" applyAlignment="1" applyProtection="1">
      <alignment horizontal="center"/>
      <protection hidden="1"/>
    </xf>
    <xf numFmtId="2" fontId="64" fillId="13" borderId="51" xfId="0" applyNumberFormat="1" applyFont="1" applyFill="1" applyBorder="1" applyAlignment="1" applyProtection="1">
      <alignment horizontal="center" vertical="center"/>
      <protection hidden="1"/>
    </xf>
    <xf numFmtId="2" fontId="64" fillId="12" borderId="51" xfId="0" applyNumberFormat="1" applyFont="1" applyFill="1" applyBorder="1" applyAlignment="1" applyProtection="1">
      <alignment horizontal="center"/>
      <protection hidden="1"/>
    </xf>
    <xf numFmtId="2" fontId="64" fillId="14" borderId="51" xfId="0" applyNumberFormat="1" applyFont="1" applyFill="1" applyBorder="1" applyProtection="1">
      <protection hidden="1"/>
    </xf>
    <xf numFmtId="0" fontId="64" fillId="14" borderId="52" xfId="0" applyFont="1" applyFill="1" applyBorder="1" applyProtection="1">
      <protection hidden="1"/>
    </xf>
    <xf numFmtId="0" fontId="0" fillId="0" borderId="41" xfId="0" applyBorder="1" applyAlignment="1" applyProtection="1">
      <alignment vertical="center"/>
      <protection hidden="1"/>
    </xf>
    <xf numFmtId="0" fontId="0" fillId="0" borderId="43" xfId="0" applyBorder="1" applyAlignment="1" applyProtection="1">
      <alignment vertical="center"/>
      <protection hidden="1"/>
    </xf>
    <xf numFmtId="0" fontId="21" fillId="0" borderId="56" xfId="0" applyFont="1" applyBorder="1" applyProtection="1">
      <protection hidden="1"/>
    </xf>
    <xf numFmtId="0" fontId="60" fillId="0" borderId="76" xfId="3" applyFont="1" applyBorder="1" applyAlignment="1" applyProtection="1">
      <alignment vertical="center"/>
      <protection hidden="1"/>
    </xf>
    <xf numFmtId="0" fontId="66" fillId="0" borderId="0" xfId="3" applyFont="1" applyAlignment="1" applyProtection="1">
      <alignment horizontal="center" vertical="center" wrapText="1"/>
      <protection hidden="1"/>
    </xf>
    <xf numFmtId="0" fontId="66" fillId="0" borderId="0" xfId="3" applyFont="1" applyAlignment="1" applyProtection="1">
      <alignment vertical="center" wrapText="1"/>
      <protection hidden="1"/>
    </xf>
    <xf numFmtId="171" fontId="21" fillId="3" borderId="30" xfId="3" applyNumberFormat="1" applyFont="1" applyFill="1" applyBorder="1" applyAlignment="1" applyProtection="1">
      <alignment horizontal="center" vertical="center"/>
      <protection hidden="1"/>
    </xf>
    <xf numFmtId="0" fontId="43" fillId="3" borderId="20" xfId="3" applyFont="1" applyFill="1" applyBorder="1" applyAlignment="1" applyProtection="1">
      <alignment vertical="center"/>
      <protection hidden="1"/>
    </xf>
    <xf numFmtId="165" fontId="21" fillId="3" borderId="35" xfId="3" applyNumberFormat="1" applyFont="1" applyFill="1" applyBorder="1" applyAlignment="1" applyProtection="1">
      <alignment horizontal="center" vertical="center"/>
      <protection hidden="1"/>
    </xf>
    <xf numFmtId="49" fontId="21" fillId="3" borderId="35" xfId="3" applyNumberFormat="1" applyFont="1" applyFill="1" applyBorder="1" applyAlignment="1" applyProtection="1">
      <alignment horizontal="right" vertical="center"/>
      <protection locked="0"/>
    </xf>
    <xf numFmtId="165" fontId="21" fillId="3" borderId="35" xfId="3" applyNumberFormat="1" applyFont="1" applyFill="1" applyBorder="1" applyAlignment="1" applyProtection="1">
      <alignment horizontal="right" vertical="center"/>
      <protection locked="0"/>
    </xf>
    <xf numFmtId="0" fontId="43" fillId="3" borderId="35" xfId="3" applyFont="1" applyFill="1" applyBorder="1" applyAlignment="1" applyProtection="1">
      <alignment vertical="center"/>
      <protection hidden="1"/>
    </xf>
    <xf numFmtId="0" fontId="21" fillId="0" borderId="22" xfId="3" applyFont="1" applyBorder="1" applyAlignment="1" applyProtection="1">
      <alignment vertical="center"/>
      <protection hidden="1"/>
    </xf>
    <xf numFmtId="172" fontId="21" fillId="3" borderId="30" xfId="3" applyNumberFormat="1" applyFont="1" applyFill="1" applyBorder="1" applyAlignment="1" applyProtection="1">
      <alignment horizontal="center" vertical="center"/>
      <protection locked="0"/>
    </xf>
    <xf numFmtId="0" fontId="21" fillId="3" borderId="22" xfId="3" applyFont="1" applyFill="1" applyBorder="1" applyAlignment="1" applyProtection="1">
      <alignment vertical="center"/>
      <protection hidden="1"/>
    </xf>
    <xf numFmtId="0" fontId="21" fillId="0" borderId="20" xfId="3" applyFont="1" applyBorder="1" applyAlignment="1" applyProtection="1">
      <alignment vertical="center"/>
      <protection locked="0"/>
    </xf>
    <xf numFmtId="2" fontId="0" fillId="0" borderId="0" xfId="0" applyNumberFormat="1" applyProtection="1">
      <protection locked="0"/>
    </xf>
    <xf numFmtId="2" fontId="21" fillId="3" borderId="30" xfId="3" applyNumberFormat="1" applyFont="1" applyFill="1" applyBorder="1" applyAlignment="1" applyProtection="1">
      <alignment horizontal="left" vertical="center"/>
      <protection hidden="1"/>
    </xf>
    <xf numFmtId="0" fontId="67" fillId="0" borderId="76" xfId="3" applyFont="1" applyBorder="1" applyAlignment="1" applyProtection="1">
      <alignment vertical="center"/>
      <protection locked="0" hidden="1"/>
    </xf>
    <xf numFmtId="2" fontId="21" fillId="3" borderId="31" xfId="3" applyNumberFormat="1" applyFont="1" applyFill="1" applyBorder="1" applyAlignment="1" applyProtection="1">
      <alignment horizontal="left" vertical="center"/>
      <protection hidden="1"/>
    </xf>
    <xf numFmtId="0" fontId="60" fillId="0" borderId="0" xfId="3" applyFont="1" applyAlignment="1" applyProtection="1">
      <alignment vertical="center"/>
      <protection locked="0" hidden="1"/>
    </xf>
    <xf numFmtId="0" fontId="60" fillId="0" borderId="0" xfId="3" applyFont="1" applyAlignment="1" applyProtection="1">
      <alignment vertical="center"/>
      <protection hidden="1"/>
    </xf>
    <xf numFmtId="0" fontId="60" fillId="0" borderId="0" xfId="3" applyFont="1" applyAlignment="1" applyProtection="1">
      <alignment horizontal="center" vertical="center"/>
      <protection locked="0" hidden="1"/>
    </xf>
    <xf numFmtId="0" fontId="46" fillId="0" borderId="2" xfId="3" applyFont="1" applyBorder="1" applyAlignment="1" applyProtection="1">
      <alignment vertical="center"/>
      <protection hidden="1"/>
    </xf>
    <xf numFmtId="0" fontId="47" fillId="4" borderId="58" xfId="0" applyFont="1" applyFill="1" applyBorder="1" applyAlignment="1" applyProtection="1">
      <alignment horizontal="center" vertical="center"/>
      <protection locked="0"/>
    </xf>
    <xf numFmtId="0" fontId="4" fillId="0" borderId="0" xfId="0" applyFont="1" applyAlignment="1">
      <alignment horizontal="center"/>
    </xf>
    <xf numFmtId="2" fontId="0" fillId="0" borderId="0" xfId="0" applyNumberFormat="1"/>
    <xf numFmtId="0" fontId="72" fillId="0" borderId="0" xfId="0" applyFont="1" applyAlignment="1">
      <alignment horizontal="center" vertical="center"/>
    </xf>
    <xf numFmtId="0" fontId="1" fillId="0" borderId="0" xfId="0" applyFont="1" applyAlignment="1">
      <alignment horizontal="center" vertical="center"/>
    </xf>
    <xf numFmtId="0" fontId="64" fillId="0" borderId="0" xfId="0" applyFont="1"/>
    <xf numFmtId="166" fontId="0" fillId="0" borderId="0" xfId="0" applyNumberFormat="1"/>
    <xf numFmtId="0" fontId="0" fillId="15" borderId="0" xfId="0" applyFill="1"/>
    <xf numFmtId="0" fontId="43" fillId="3" borderId="0" xfId="3" applyFont="1" applyFill="1" applyAlignment="1" applyProtection="1">
      <alignment horizontal="left" vertical="center"/>
      <protection hidden="1"/>
    </xf>
    <xf numFmtId="0" fontId="43" fillId="3" borderId="0" xfId="3" applyFont="1" applyFill="1" applyAlignment="1" applyProtection="1">
      <alignment vertical="center"/>
      <protection hidden="1"/>
    </xf>
    <xf numFmtId="0" fontId="45" fillId="0" borderId="0" xfId="3" applyFont="1" applyAlignment="1" applyProtection="1">
      <alignment horizontal="left" vertical="center"/>
      <protection hidden="1"/>
    </xf>
    <xf numFmtId="0" fontId="43" fillId="3" borderId="0" xfId="3" applyFont="1" applyFill="1" applyAlignment="1" applyProtection="1">
      <alignment horizontal="center" vertical="center"/>
      <protection hidden="1"/>
    </xf>
    <xf numFmtId="0" fontId="21" fillId="0" borderId="0" xfId="3" applyFont="1" applyAlignment="1" applyProtection="1">
      <alignment vertical="center"/>
      <protection hidden="1"/>
    </xf>
    <xf numFmtId="0" fontId="47" fillId="0" borderId="0" xfId="0" applyFont="1" applyAlignment="1" applyProtection="1">
      <alignment horizontal="center" vertical="center"/>
      <protection hidden="1"/>
    </xf>
    <xf numFmtId="2" fontId="8" fillId="0" borderId="0" xfId="0" applyNumberFormat="1" applyFont="1" applyAlignment="1" applyProtection="1">
      <alignment horizontal="center" vertical="center"/>
      <protection hidden="1"/>
    </xf>
    <xf numFmtId="0" fontId="8" fillId="0" borderId="0" xfId="0" applyFont="1" applyAlignment="1" applyProtection="1">
      <alignment horizontal="center" vertical="center"/>
      <protection hidden="1"/>
    </xf>
    <xf numFmtId="167" fontId="8" fillId="0" borderId="0" xfId="0" applyNumberFormat="1" applyFont="1" applyAlignment="1" applyProtection="1">
      <alignment horizontal="center"/>
      <protection hidden="1"/>
    </xf>
    <xf numFmtId="2" fontId="8" fillId="0" borderId="0" xfId="0" applyNumberFormat="1" applyFont="1" applyAlignment="1" applyProtection="1">
      <alignment horizontal="center"/>
      <protection hidden="1"/>
    </xf>
    <xf numFmtId="166" fontId="16" fillId="0" borderId="0" xfId="0" applyNumberFormat="1" applyFont="1" applyAlignment="1" applyProtection="1">
      <alignment horizontal="center"/>
      <protection hidden="1"/>
    </xf>
    <xf numFmtId="0" fontId="8" fillId="0" borderId="0" xfId="0" applyFont="1" applyAlignment="1" applyProtection="1">
      <alignment horizontal="left"/>
      <protection hidden="1"/>
    </xf>
    <xf numFmtId="0" fontId="14" fillId="0" borderId="0" xfId="0"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0" fontId="46" fillId="0" borderId="0" xfId="3" applyFont="1" applyAlignment="1" applyProtection="1">
      <alignment vertical="center"/>
      <protection hidden="1"/>
    </xf>
    <xf numFmtId="0" fontId="11" fillId="0" borderId="0" xfId="0" applyFont="1" applyAlignment="1" applyProtection="1">
      <alignment vertical="center"/>
      <protection hidden="1"/>
    </xf>
    <xf numFmtId="0" fontId="70" fillId="0" borderId="0" xfId="3" applyFont="1" applyAlignment="1" applyProtection="1">
      <alignment vertical="center"/>
      <protection hidden="1"/>
    </xf>
    <xf numFmtId="0" fontId="6" fillId="0" borderId="0" xfId="0" applyFont="1" applyAlignment="1" applyProtection="1">
      <alignment horizontal="center"/>
      <protection hidden="1"/>
    </xf>
    <xf numFmtId="0" fontId="9" fillId="0" borderId="0" xfId="0" applyFont="1" applyAlignment="1" applyProtection="1">
      <alignment horizontal="center"/>
      <protection hidden="1"/>
    </xf>
    <xf numFmtId="0" fontId="9" fillId="0" borderId="0" xfId="0" applyFont="1" applyAlignment="1" applyProtection="1">
      <alignment vertical="center"/>
      <protection hidden="1"/>
    </xf>
    <xf numFmtId="0" fontId="0" fillId="0" borderId="0" xfId="0" applyProtection="1">
      <protection hidden="1"/>
    </xf>
    <xf numFmtId="2" fontId="31" fillId="0" borderId="0" xfId="0" applyNumberFormat="1" applyFont="1" applyAlignment="1" applyProtection="1">
      <alignment horizontal="center"/>
      <protection hidden="1"/>
    </xf>
    <xf numFmtId="2" fontId="28" fillId="0" borderId="0" xfId="0" applyNumberFormat="1" applyFont="1" applyAlignment="1" applyProtection="1">
      <alignment horizontal="left" vertical="top"/>
      <protection hidden="1"/>
    </xf>
    <xf numFmtId="0" fontId="25" fillId="0" borderId="0" xfId="2" applyFont="1" applyAlignment="1" applyProtection="1">
      <alignment horizontal="left"/>
      <protection hidden="1"/>
    </xf>
    <xf numFmtId="166" fontId="62" fillId="3" borderId="34" xfId="0" applyNumberFormat="1" applyFont="1" applyFill="1" applyBorder="1" applyAlignment="1" applyProtection="1">
      <alignment horizontal="center"/>
      <protection hidden="1"/>
    </xf>
    <xf numFmtId="2" fontId="24" fillId="3" borderId="34" xfId="0" applyNumberFormat="1" applyFont="1" applyFill="1" applyBorder="1" applyAlignment="1" applyProtection="1">
      <alignment horizontal="center"/>
      <protection hidden="1"/>
    </xf>
    <xf numFmtId="166" fontId="62" fillId="9" borderId="34" xfId="0" applyNumberFormat="1" applyFont="1" applyFill="1" applyBorder="1" applyAlignment="1" applyProtection="1">
      <alignment horizontal="center"/>
      <protection hidden="1"/>
    </xf>
    <xf numFmtId="2" fontId="24" fillId="9" borderId="34" xfId="0" applyNumberFormat="1" applyFont="1" applyFill="1" applyBorder="1" applyAlignment="1" applyProtection="1">
      <alignment horizontal="center"/>
      <protection hidden="1"/>
    </xf>
    <xf numFmtId="167" fontId="62" fillId="0" borderId="34" xfId="0" applyNumberFormat="1" applyFont="1" applyBorder="1" applyAlignment="1" applyProtection="1">
      <alignment horizontal="center"/>
      <protection locked="0" hidden="1"/>
    </xf>
    <xf numFmtId="167" fontId="62" fillId="9" borderId="34" xfId="0" applyNumberFormat="1" applyFont="1" applyFill="1" applyBorder="1" applyAlignment="1" applyProtection="1">
      <alignment horizontal="center"/>
      <protection locked="0" hidden="1"/>
    </xf>
    <xf numFmtId="2" fontId="24" fillId="0" borderId="34" xfId="0" applyNumberFormat="1" applyFont="1" applyBorder="1" applyAlignment="1" applyProtection="1">
      <alignment horizontal="center"/>
      <protection hidden="1"/>
    </xf>
    <xf numFmtId="164" fontId="24" fillId="0" borderId="48" xfId="0" applyNumberFormat="1" applyFont="1" applyBorder="1" applyAlignment="1" applyProtection="1">
      <alignment horizontal="center"/>
      <protection hidden="1"/>
    </xf>
    <xf numFmtId="164" fontId="24" fillId="0" borderId="50" xfId="0" applyNumberFormat="1" applyFont="1" applyBorder="1" applyAlignment="1" applyProtection="1">
      <alignment horizontal="center"/>
      <protection hidden="1"/>
    </xf>
    <xf numFmtId="2" fontId="24" fillId="0" borderId="51" xfId="0" applyNumberFormat="1" applyFont="1" applyBorder="1" applyAlignment="1" applyProtection="1">
      <alignment horizontal="center"/>
      <protection hidden="1"/>
    </xf>
    <xf numFmtId="166" fontId="62" fillId="3" borderId="51" xfId="0" applyNumberFormat="1" applyFont="1" applyFill="1" applyBorder="1" applyAlignment="1" applyProtection="1">
      <alignment horizontal="center"/>
      <protection hidden="1"/>
    </xf>
    <xf numFmtId="167" fontId="62" fillId="0" borderId="51" xfId="0" applyNumberFormat="1" applyFont="1" applyBorder="1" applyAlignment="1" applyProtection="1">
      <alignment horizontal="center"/>
      <protection locked="0" hidden="1"/>
    </xf>
    <xf numFmtId="49" fontId="21" fillId="3" borderId="30" xfId="3" applyNumberFormat="1" applyFont="1" applyFill="1" applyBorder="1" applyAlignment="1" applyProtection="1">
      <alignment horizontal="center" vertical="center"/>
      <protection hidden="1"/>
    </xf>
    <xf numFmtId="4" fontId="53" fillId="9" borderId="34" xfId="0" applyNumberFormat="1" applyFont="1" applyFill="1" applyBorder="1" applyAlignment="1" applyProtection="1">
      <alignment horizontal="center" vertical="center" wrapText="1"/>
      <protection hidden="1"/>
    </xf>
    <xf numFmtId="4" fontId="53" fillId="0" borderId="34" xfId="0" applyNumberFormat="1" applyFont="1" applyBorder="1" applyAlignment="1" applyProtection="1">
      <alignment horizontal="center" vertical="center" wrapText="1"/>
      <protection hidden="1"/>
    </xf>
    <xf numFmtId="2" fontId="13" fillId="3" borderId="34" xfId="0" applyNumberFormat="1" applyFont="1" applyFill="1" applyBorder="1" applyAlignment="1" applyProtection="1">
      <alignment horizontal="center"/>
      <protection locked="0"/>
    </xf>
    <xf numFmtId="169" fontId="53" fillId="0" borderId="34" xfId="0" applyNumberFormat="1" applyFont="1" applyBorder="1" applyAlignment="1" applyProtection="1">
      <alignment horizontal="center" vertical="center" wrapText="1"/>
      <protection hidden="1"/>
    </xf>
    <xf numFmtId="169" fontId="53" fillId="9" borderId="34" xfId="0" applyNumberFormat="1" applyFont="1" applyFill="1" applyBorder="1" applyAlignment="1" applyProtection="1">
      <alignment horizontal="center" vertical="center" wrapText="1"/>
      <protection hidden="1"/>
    </xf>
    <xf numFmtId="166" fontId="53" fillId="0" borderId="34" xfId="0" applyNumberFormat="1" applyFont="1" applyBorder="1" applyAlignment="1" applyProtection="1">
      <alignment horizontal="center" vertical="center"/>
      <protection hidden="1"/>
    </xf>
    <xf numFmtId="2" fontId="53" fillId="0" borderId="48" xfId="0" applyNumberFormat="1" applyFont="1" applyBorder="1" applyAlignment="1" applyProtection="1">
      <alignment horizontal="center" vertical="center"/>
      <protection hidden="1"/>
    </xf>
    <xf numFmtId="2" fontId="21" fillId="0" borderId="48" xfId="0" applyNumberFormat="1" applyFont="1" applyBorder="1" applyAlignment="1" applyProtection="1">
      <alignment horizontal="center" vertical="center" wrapText="1"/>
      <protection hidden="1"/>
    </xf>
    <xf numFmtId="2" fontId="21" fillId="0" borderId="48" xfId="0" applyNumberFormat="1" applyFont="1" applyBorder="1" applyAlignment="1" applyProtection="1">
      <alignment horizontal="center" vertical="center"/>
      <protection hidden="1"/>
    </xf>
    <xf numFmtId="2" fontId="21" fillId="0" borderId="50" xfId="0" applyNumberFormat="1" applyFont="1" applyBorder="1" applyAlignment="1" applyProtection="1">
      <alignment horizontal="center" vertical="center"/>
      <protection hidden="1"/>
    </xf>
    <xf numFmtId="169" fontId="53" fillId="0" borderId="51" xfId="0" applyNumberFormat="1" applyFont="1" applyBorder="1" applyAlignment="1" applyProtection="1">
      <alignment horizontal="center" vertical="center" wrapText="1"/>
      <protection hidden="1"/>
    </xf>
    <xf numFmtId="4" fontId="53" fillId="0" borderId="51" xfId="0" applyNumberFormat="1" applyFont="1" applyBorder="1" applyAlignment="1" applyProtection="1">
      <alignment horizontal="center" vertical="center" wrapText="1"/>
      <protection hidden="1"/>
    </xf>
    <xf numFmtId="166" fontId="53" fillId="0" borderId="51" xfId="0" applyNumberFormat="1" applyFont="1" applyBorder="1" applyAlignment="1" applyProtection="1">
      <alignment horizontal="center" vertical="center"/>
      <protection hidden="1"/>
    </xf>
    <xf numFmtId="0" fontId="54" fillId="9" borderId="71" xfId="0" applyFont="1" applyFill="1" applyBorder="1" applyAlignment="1" applyProtection="1">
      <alignment horizontal="center" vertical="center" wrapText="1"/>
      <protection hidden="1"/>
    </xf>
    <xf numFmtId="0" fontId="54" fillId="0" borderId="68" xfId="0" applyFont="1" applyBorder="1" applyAlignment="1" applyProtection="1">
      <alignment horizontal="center" vertical="center" wrapText="1"/>
      <protection hidden="1"/>
    </xf>
    <xf numFmtId="2" fontId="53" fillId="0" borderId="73" xfId="0" applyNumberFormat="1" applyFont="1" applyBorder="1" applyAlignment="1" applyProtection="1">
      <alignment horizontal="center" vertical="center"/>
      <protection hidden="1"/>
    </xf>
    <xf numFmtId="164" fontId="24" fillId="0" borderId="73" xfId="0" applyNumberFormat="1" applyFont="1" applyBorder="1" applyAlignment="1" applyProtection="1">
      <alignment horizontal="center"/>
      <protection hidden="1"/>
    </xf>
    <xf numFmtId="2" fontId="24" fillId="0" borderId="71" xfId="0" applyNumberFormat="1" applyFont="1" applyBorder="1" applyAlignment="1" applyProtection="1">
      <alignment horizontal="center"/>
      <protection hidden="1"/>
    </xf>
    <xf numFmtId="166" fontId="62" fillId="3" borderId="71" xfId="0" applyNumberFormat="1" applyFont="1" applyFill="1" applyBorder="1" applyAlignment="1" applyProtection="1">
      <alignment horizontal="center"/>
      <protection hidden="1"/>
    </xf>
    <xf numFmtId="2" fontId="62" fillId="3" borderId="71" xfId="0" applyNumberFormat="1" applyFont="1" applyFill="1" applyBorder="1" applyAlignment="1" applyProtection="1">
      <alignment horizontal="center"/>
      <protection hidden="1"/>
    </xf>
    <xf numFmtId="166" fontId="62" fillId="9" borderId="71" xfId="0" applyNumberFormat="1" applyFont="1" applyFill="1" applyBorder="1" applyAlignment="1" applyProtection="1">
      <alignment horizontal="center"/>
      <protection hidden="1"/>
    </xf>
    <xf numFmtId="2" fontId="62" fillId="9" borderId="71" xfId="0" applyNumberFormat="1" applyFont="1" applyFill="1" applyBorder="1" applyAlignment="1" applyProtection="1">
      <alignment horizontal="center"/>
      <protection hidden="1"/>
    </xf>
    <xf numFmtId="166" fontId="57" fillId="2" borderId="56" xfId="0" applyNumberFormat="1" applyFont="1" applyFill="1" applyBorder="1" applyAlignment="1" applyProtection="1">
      <alignment horizontal="center" vertical="center" wrapText="1"/>
      <protection hidden="1"/>
    </xf>
    <xf numFmtId="2" fontId="13" fillId="0" borderId="72" xfId="0" applyNumberFormat="1" applyFont="1" applyBorder="1" applyAlignment="1" applyProtection="1">
      <alignment horizontal="center" vertical="center"/>
      <protection locked="0"/>
    </xf>
    <xf numFmtId="2" fontId="21" fillId="0" borderId="0" xfId="0" applyNumberFormat="1" applyFont="1"/>
    <xf numFmtId="2" fontId="57" fillId="2" borderId="57" xfId="0" applyNumberFormat="1" applyFont="1" applyFill="1" applyBorder="1" applyAlignment="1" applyProtection="1">
      <alignment horizontal="center" vertical="center" wrapText="1"/>
      <protection hidden="1"/>
    </xf>
    <xf numFmtId="167" fontId="62" fillId="9" borderId="51" xfId="0" applyNumberFormat="1" applyFont="1" applyFill="1" applyBorder="1" applyAlignment="1" applyProtection="1">
      <alignment horizontal="center"/>
      <protection locked="0" hidden="1"/>
    </xf>
    <xf numFmtId="166" fontId="0" fillId="15" borderId="0" xfId="0" applyNumberFormat="1" applyFill="1"/>
    <xf numFmtId="0" fontId="21" fillId="3" borderId="35" xfId="3" applyFont="1" applyFill="1" applyBorder="1" applyAlignment="1" applyProtection="1">
      <alignment horizontal="center" vertical="center"/>
      <protection locked="0"/>
    </xf>
    <xf numFmtId="167" fontId="13" fillId="0" borderId="47" xfId="0" applyNumberFormat="1" applyFont="1" applyBorder="1" applyAlignment="1" applyProtection="1">
      <alignment horizontal="center"/>
      <protection hidden="1"/>
    </xf>
    <xf numFmtId="0" fontId="13" fillId="0" borderId="49" xfId="0" applyFont="1" applyBorder="1" applyAlignment="1" applyProtection="1">
      <alignment horizontal="center"/>
      <protection locked="0"/>
    </xf>
    <xf numFmtId="2" fontId="13" fillId="0" borderId="49" xfId="0" applyNumberFormat="1" applyFont="1" applyBorder="1" applyAlignment="1" applyProtection="1">
      <alignment horizontal="center"/>
      <protection hidden="1"/>
    </xf>
    <xf numFmtId="166" fontId="0" fillId="0" borderId="0" xfId="0" applyNumberFormat="1" applyAlignment="1" applyProtection="1">
      <alignment horizontal="center" vertical="center"/>
      <protection locked="0"/>
    </xf>
    <xf numFmtId="0" fontId="8" fillId="0" borderId="48" xfId="0" applyFont="1" applyBorder="1" applyAlignment="1" applyProtection="1">
      <alignment horizontal="left" vertical="center"/>
      <protection hidden="1"/>
    </xf>
    <xf numFmtId="0" fontId="21" fillId="0" borderId="0" xfId="3" applyFont="1" applyAlignment="1" applyProtection="1">
      <alignment horizontal="center" vertical="center"/>
      <protection hidden="1"/>
    </xf>
    <xf numFmtId="0" fontId="43" fillId="3" borderId="20" xfId="3" applyFont="1" applyFill="1" applyBorder="1" applyAlignment="1" applyProtection="1">
      <alignment horizontal="left" vertical="center"/>
      <protection hidden="1"/>
    </xf>
    <xf numFmtId="2" fontId="21" fillId="3" borderId="31" xfId="3" applyNumberFormat="1" applyFont="1" applyFill="1" applyBorder="1" applyAlignment="1" applyProtection="1">
      <alignment horizontal="center" vertical="center"/>
      <protection hidden="1"/>
    </xf>
    <xf numFmtId="0" fontId="21" fillId="3" borderId="32" xfId="3" applyFont="1" applyFill="1" applyBorder="1" applyAlignment="1" applyProtection="1">
      <alignment horizontal="center" vertical="center"/>
      <protection hidden="1"/>
    </xf>
    <xf numFmtId="0" fontId="43" fillId="3" borderId="20" xfId="3" applyFont="1" applyFill="1" applyBorder="1" applyAlignment="1" applyProtection="1">
      <alignment horizontal="center" vertical="center"/>
      <protection hidden="1"/>
    </xf>
    <xf numFmtId="165" fontId="21" fillId="3" borderId="32" xfId="3" applyNumberFormat="1" applyFont="1" applyFill="1" applyBorder="1" applyAlignment="1" applyProtection="1">
      <alignment horizontal="center" vertical="center"/>
      <protection hidden="1"/>
    </xf>
    <xf numFmtId="2" fontId="8" fillId="0" borderId="82" xfId="0" applyNumberFormat="1" applyFont="1" applyBorder="1" applyAlignment="1" applyProtection="1">
      <alignment horizontal="center" vertical="center"/>
      <protection hidden="1"/>
    </xf>
    <xf numFmtId="2" fontId="8" fillId="0" borderId="44" xfId="0" applyNumberFormat="1" applyFont="1" applyBorder="1" applyAlignment="1" applyProtection="1">
      <alignment horizontal="center" vertical="center"/>
      <protection hidden="1"/>
    </xf>
    <xf numFmtId="2" fontId="8" fillId="0" borderId="83" xfId="0" applyNumberFormat="1" applyFont="1" applyBorder="1" applyAlignment="1" applyProtection="1">
      <alignment horizontal="center" vertical="center"/>
      <protection hidden="1"/>
    </xf>
    <xf numFmtId="0" fontId="11" fillId="4" borderId="66" xfId="0" applyFont="1" applyFill="1" applyBorder="1" applyAlignment="1" applyProtection="1">
      <alignment horizontal="center"/>
      <protection hidden="1"/>
    </xf>
    <xf numFmtId="0" fontId="11" fillId="4" borderId="65" xfId="0" applyFont="1" applyFill="1" applyBorder="1" applyAlignment="1" applyProtection="1">
      <alignment horizontal="center"/>
      <protection hidden="1"/>
    </xf>
    <xf numFmtId="0" fontId="11" fillId="4" borderId="84" xfId="0" applyFont="1" applyFill="1" applyBorder="1" applyAlignment="1" applyProtection="1">
      <alignment horizontal="center"/>
      <protection hidden="1"/>
    </xf>
    <xf numFmtId="0" fontId="50" fillId="0" borderId="38" xfId="0" applyFont="1" applyBorder="1" applyAlignment="1" applyProtection="1">
      <alignment horizontal="center"/>
      <protection hidden="1"/>
    </xf>
    <xf numFmtId="0" fontId="21" fillId="0" borderId="29" xfId="3" applyFont="1" applyBorder="1" applyAlignment="1" applyProtection="1">
      <alignment vertical="center"/>
      <protection hidden="1"/>
    </xf>
    <xf numFmtId="49" fontId="21" fillId="3" borderId="31" xfId="3" applyNumberFormat="1" applyFont="1" applyFill="1" applyBorder="1" applyAlignment="1" applyProtection="1">
      <alignment vertical="center"/>
      <protection locked="0"/>
    </xf>
    <xf numFmtId="0" fontId="21" fillId="3" borderId="25" xfId="3" applyFont="1" applyFill="1" applyBorder="1" applyAlignment="1" applyProtection="1">
      <alignment vertical="center"/>
      <protection hidden="1"/>
    </xf>
    <xf numFmtId="165" fontId="21" fillId="3" borderId="85" xfId="3" applyNumberFormat="1" applyFont="1" applyFill="1" applyBorder="1" applyAlignment="1" applyProtection="1">
      <alignment horizontal="left" vertical="center"/>
      <protection locked="0"/>
    </xf>
    <xf numFmtId="0" fontId="8" fillId="0" borderId="22" xfId="0" applyFont="1" applyBorder="1" applyProtection="1">
      <protection hidden="1"/>
    </xf>
    <xf numFmtId="0" fontId="50" fillId="0" borderId="86" xfId="0" applyFont="1" applyBorder="1" applyAlignment="1" applyProtection="1">
      <alignment horizontal="center"/>
      <protection hidden="1"/>
    </xf>
    <xf numFmtId="2" fontId="13" fillId="0" borderId="49" xfId="0" applyNumberFormat="1" applyFont="1" applyBorder="1" applyAlignment="1" applyProtection="1">
      <alignment horizontal="center"/>
      <protection locked="0"/>
    </xf>
    <xf numFmtId="0" fontId="70" fillId="0" borderId="22" xfId="3" applyFont="1" applyBorder="1" applyAlignment="1" applyProtection="1">
      <alignment vertical="center"/>
      <protection hidden="1"/>
    </xf>
    <xf numFmtId="0" fontId="6" fillId="0" borderId="22" xfId="0" applyFont="1" applyBorder="1" applyProtection="1">
      <protection hidden="1"/>
    </xf>
    <xf numFmtId="0" fontId="9" fillId="0" borderId="22" xfId="0" applyFont="1" applyBorder="1" applyAlignment="1" applyProtection="1">
      <alignment vertical="center"/>
      <protection hidden="1"/>
    </xf>
    <xf numFmtId="0" fontId="21" fillId="3" borderId="0" xfId="3" applyFont="1" applyFill="1" applyAlignment="1" applyProtection="1">
      <alignment horizontal="center" vertical="center"/>
      <protection hidden="1"/>
    </xf>
    <xf numFmtId="0" fontId="21" fillId="3" borderId="0" xfId="3" applyFont="1" applyFill="1" applyAlignment="1" applyProtection="1">
      <alignment horizontal="left" vertical="center"/>
      <protection hidden="1"/>
    </xf>
    <xf numFmtId="0" fontId="21" fillId="0" borderId="0" xfId="0" applyFont="1" applyAlignment="1" applyProtection="1">
      <alignment horizontal="center"/>
      <protection hidden="1"/>
    </xf>
    <xf numFmtId="0" fontId="21" fillId="0" borderId="0" xfId="0" applyFont="1" applyAlignment="1" applyProtection="1">
      <alignment horizontal="center" vertical="center"/>
      <protection hidden="1"/>
    </xf>
    <xf numFmtId="2" fontId="21" fillId="0" borderId="0" xfId="0" applyNumberFormat="1" applyFont="1" applyAlignment="1" applyProtection="1">
      <alignment horizontal="center" vertical="center" wrapText="1"/>
      <protection hidden="1"/>
    </xf>
    <xf numFmtId="2" fontId="31" fillId="0" borderId="0" xfId="0" applyNumberFormat="1" applyFont="1" applyProtection="1">
      <protection hidden="1"/>
    </xf>
    <xf numFmtId="0" fontId="28" fillId="0" borderId="0" xfId="0" applyFont="1" applyProtection="1">
      <protection hidden="1"/>
    </xf>
    <xf numFmtId="0" fontId="34" fillId="0" borderId="0" xfId="2" applyFont="1" applyProtection="1">
      <protection hidden="1"/>
    </xf>
    <xf numFmtId="0" fontId="35" fillId="0" borderId="0" xfId="0" applyFont="1" applyProtection="1">
      <protection hidden="1"/>
    </xf>
    <xf numFmtId="0" fontId="35" fillId="0" borderId="0" xfId="0" applyFont="1" applyAlignment="1" applyProtection="1">
      <alignment horizontal="center"/>
      <protection hidden="1"/>
    </xf>
    <xf numFmtId="0" fontId="33" fillId="0" borderId="0" xfId="0" applyFont="1" applyProtection="1">
      <protection hidden="1"/>
    </xf>
    <xf numFmtId="0" fontId="24" fillId="0" borderId="0" xfId="0" applyFont="1" applyProtection="1">
      <protection hidden="1"/>
    </xf>
    <xf numFmtId="0" fontId="28" fillId="0" borderId="0" xfId="0" applyFont="1" applyAlignment="1" applyProtection="1">
      <alignment vertical="center" wrapText="1"/>
      <protection hidden="1"/>
    </xf>
    <xf numFmtId="0" fontId="36" fillId="0" borderId="0" xfId="0" applyFont="1" applyAlignment="1" applyProtection="1">
      <alignment vertical="top"/>
      <protection hidden="1"/>
    </xf>
    <xf numFmtId="0" fontId="36" fillId="0" borderId="0" xfId="0" applyFont="1" applyAlignment="1" applyProtection="1">
      <alignment horizontal="center" vertical="top"/>
      <protection hidden="1"/>
    </xf>
    <xf numFmtId="2" fontId="9" fillId="0" borderId="51" xfId="0" applyNumberFormat="1" applyFont="1" applyBorder="1" applyAlignment="1" applyProtection="1">
      <alignment horizontal="center" vertical="center"/>
      <protection hidden="1"/>
    </xf>
    <xf numFmtId="2" fontId="9" fillId="0" borderId="52" xfId="0" applyNumberFormat="1" applyFont="1" applyBorder="1" applyAlignment="1" applyProtection="1">
      <alignment horizontal="center" vertical="center"/>
      <protection hidden="1"/>
    </xf>
    <xf numFmtId="0" fontId="75" fillId="0" borderId="22" xfId="0" applyFont="1" applyBorder="1" applyAlignment="1">
      <alignment horizontal="center"/>
    </xf>
    <xf numFmtId="2" fontId="16" fillId="0" borderId="51" xfId="0" applyNumberFormat="1" applyFont="1" applyBorder="1" applyAlignment="1" applyProtection="1">
      <alignment horizontal="center" vertical="center"/>
      <protection hidden="1"/>
    </xf>
    <xf numFmtId="0" fontId="9" fillId="0" borderId="35" xfId="0" applyFont="1" applyBorder="1" applyProtection="1">
      <protection hidden="1"/>
    </xf>
    <xf numFmtId="0" fontId="9" fillId="0" borderId="30" xfId="0" applyFont="1" applyBorder="1" applyAlignment="1" applyProtection="1">
      <alignment horizontal="center"/>
      <protection hidden="1"/>
    </xf>
    <xf numFmtId="0" fontId="9" fillId="0" borderId="30" xfId="0" applyFont="1" applyBorder="1" applyProtection="1">
      <protection hidden="1"/>
    </xf>
    <xf numFmtId="0" fontId="21" fillId="3" borderId="32" xfId="3" applyFont="1" applyFill="1" applyBorder="1" applyAlignment="1" applyProtection="1">
      <alignment horizontal="center" vertical="center"/>
      <protection locked="0"/>
    </xf>
    <xf numFmtId="0" fontId="58" fillId="0" borderId="2" xfId="4" applyFont="1" applyBorder="1" applyAlignment="1" applyProtection="1">
      <alignment vertical="center" wrapText="1"/>
      <protection hidden="1"/>
    </xf>
    <xf numFmtId="0" fontId="44" fillId="0" borderId="0" xfId="3" applyFont="1" applyAlignment="1" applyProtection="1">
      <alignment horizontal="center" vertical="center"/>
      <protection hidden="1"/>
    </xf>
    <xf numFmtId="0" fontId="58" fillId="0" borderId="1" xfId="4" applyFont="1" applyBorder="1" applyAlignment="1" applyProtection="1">
      <alignment horizontal="center"/>
      <protection hidden="1"/>
    </xf>
    <xf numFmtId="0" fontId="60" fillId="16" borderId="90" xfId="4" applyFont="1" applyFill="1" applyBorder="1" applyAlignment="1" applyProtection="1">
      <alignment horizontal="center"/>
      <protection hidden="1"/>
    </xf>
    <xf numFmtId="0" fontId="60" fillId="16" borderId="1" xfId="4" applyFont="1" applyFill="1" applyBorder="1" applyAlignment="1" applyProtection="1">
      <alignment horizontal="center"/>
      <protection hidden="1"/>
    </xf>
    <xf numFmtId="0" fontId="60" fillId="0" borderId="90" xfId="4" applyFont="1" applyBorder="1" applyAlignment="1" applyProtection="1">
      <alignment horizontal="center"/>
      <protection hidden="1"/>
    </xf>
    <xf numFmtId="0" fontId="60" fillId="0" borderId="1" xfId="4" applyFont="1" applyBorder="1" applyAlignment="1" applyProtection="1">
      <alignment horizontal="center"/>
      <protection hidden="1"/>
    </xf>
    <xf numFmtId="0" fontId="21" fillId="0" borderId="34" xfId="3" applyFont="1" applyBorder="1" applyAlignment="1" applyProtection="1">
      <alignment vertical="center"/>
      <protection hidden="1"/>
    </xf>
    <xf numFmtId="0" fontId="60" fillId="0" borderId="34" xfId="3" applyFont="1" applyBorder="1" applyAlignment="1" applyProtection="1">
      <alignment vertical="center"/>
      <protection hidden="1"/>
    </xf>
    <xf numFmtId="0" fontId="60" fillId="0" borderId="0" xfId="3" applyFont="1" applyAlignment="1" applyProtection="1">
      <alignment horizontal="center" vertical="center"/>
      <protection hidden="1"/>
    </xf>
    <xf numFmtId="173" fontId="21" fillId="3" borderId="30" xfId="3" applyNumberFormat="1" applyFont="1" applyFill="1" applyBorder="1" applyAlignment="1" applyProtection="1">
      <alignment horizontal="center" vertical="center"/>
      <protection hidden="1"/>
    </xf>
    <xf numFmtId="49" fontId="21" fillId="3" borderId="31" xfId="3" applyNumberFormat="1" applyFont="1" applyFill="1" applyBorder="1" applyAlignment="1" applyProtection="1">
      <alignment vertical="center"/>
      <protection hidden="1"/>
    </xf>
    <xf numFmtId="49" fontId="21" fillId="3" borderId="32" xfId="3" applyNumberFormat="1" applyFont="1" applyFill="1" applyBorder="1" applyAlignment="1" applyProtection="1">
      <alignment horizontal="right" vertical="center"/>
      <protection hidden="1"/>
    </xf>
    <xf numFmtId="0" fontId="21" fillId="3" borderId="32" xfId="3" applyFont="1" applyFill="1" applyBorder="1" applyAlignment="1" applyProtection="1">
      <alignment horizontal="left" vertical="center"/>
      <protection locked="0"/>
    </xf>
    <xf numFmtId="165" fontId="21" fillId="3" borderId="32" xfId="3" applyNumberFormat="1" applyFont="1" applyFill="1" applyBorder="1" applyAlignment="1">
      <alignment horizontal="right" vertical="center"/>
    </xf>
    <xf numFmtId="165" fontId="21" fillId="3" borderId="33" xfId="3" applyNumberFormat="1" applyFont="1" applyFill="1" applyBorder="1" applyAlignment="1">
      <alignment horizontal="left" vertical="center"/>
    </xf>
    <xf numFmtId="0" fontId="60" fillId="3" borderId="0" xfId="3" applyFont="1" applyFill="1" applyAlignment="1">
      <alignment vertical="center"/>
    </xf>
    <xf numFmtId="0" fontId="55" fillId="2" borderId="66" xfId="6" applyFont="1" applyFill="1" applyBorder="1" applyAlignment="1" applyProtection="1">
      <alignment horizontal="center" vertical="center"/>
      <protection hidden="1"/>
    </xf>
    <xf numFmtId="0" fontId="55" fillId="0" borderId="0" xfId="6" applyFont="1" applyAlignment="1" applyProtection="1">
      <alignment vertical="center"/>
      <protection hidden="1"/>
    </xf>
    <xf numFmtId="0" fontId="64" fillId="0" borderId="29" xfId="0" applyFont="1" applyBorder="1" applyAlignment="1" applyProtection="1">
      <alignment vertical="center"/>
      <protection hidden="1"/>
    </xf>
    <xf numFmtId="0" fontId="64" fillId="0" borderId="40" xfId="0" applyFont="1" applyBorder="1" applyAlignment="1" applyProtection="1">
      <alignment vertical="center"/>
      <protection hidden="1"/>
    </xf>
    <xf numFmtId="0" fontId="21" fillId="0" borderId="46" xfId="0" applyFont="1" applyBorder="1" applyAlignment="1" applyProtection="1">
      <alignment horizontal="center" vertical="center"/>
      <protection hidden="1"/>
    </xf>
    <xf numFmtId="0" fontId="21" fillId="0" borderId="47" xfId="0" applyFont="1" applyBorder="1" applyAlignment="1" applyProtection="1">
      <alignment horizontal="center" vertical="center"/>
      <protection hidden="1"/>
    </xf>
    <xf numFmtId="0" fontId="53" fillId="0" borderId="0" xfId="6" applyFont="1" applyAlignment="1" applyProtection="1">
      <alignment vertical="center"/>
      <protection hidden="1"/>
    </xf>
    <xf numFmtId="0" fontId="53" fillId="0" borderId="34" xfId="6" applyFont="1" applyBorder="1" applyAlignment="1" applyProtection="1">
      <alignment horizontal="center" vertical="center"/>
      <protection hidden="1"/>
    </xf>
    <xf numFmtId="2" fontId="53" fillId="0" borderId="49" xfId="6" applyNumberFormat="1" applyFont="1" applyBorder="1" applyAlignment="1" applyProtection="1">
      <alignment horizontal="center" vertical="center"/>
      <protection hidden="1"/>
    </xf>
    <xf numFmtId="0" fontId="0" fillId="0" borderId="21" xfId="0" applyBorder="1" applyAlignment="1" applyProtection="1">
      <alignment vertical="center"/>
      <protection hidden="1"/>
    </xf>
    <xf numFmtId="0" fontId="0" fillId="0" borderId="22" xfId="0" applyBorder="1" applyAlignment="1" applyProtection="1">
      <alignment vertical="center"/>
      <protection hidden="1"/>
    </xf>
    <xf numFmtId="2" fontId="21" fillId="0" borderId="35" xfId="0" applyNumberFormat="1" applyFont="1" applyBorder="1" applyAlignment="1" applyProtection="1">
      <alignment horizontal="center"/>
      <protection hidden="1"/>
    </xf>
    <xf numFmtId="0" fontId="0" fillId="0" borderId="23" xfId="0" applyBorder="1" applyAlignment="1" applyProtection="1">
      <alignment vertical="center"/>
      <protection hidden="1"/>
    </xf>
    <xf numFmtId="0" fontId="0" fillId="0" borderId="25" xfId="0" applyBorder="1" applyAlignment="1" applyProtection="1">
      <alignment vertical="center"/>
      <protection hidden="1"/>
    </xf>
    <xf numFmtId="0" fontId="53" fillId="0" borderId="49" xfId="6" applyFont="1" applyBorder="1" applyAlignment="1" applyProtection="1">
      <alignment horizontal="center" vertical="center"/>
      <protection hidden="1"/>
    </xf>
    <xf numFmtId="164" fontId="53" fillId="0" borderId="49" xfId="6" applyNumberFormat="1" applyFont="1" applyBorder="1" applyAlignment="1" applyProtection="1">
      <alignment horizontal="center" vertical="center"/>
      <protection hidden="1"/>
    </xf>
    <xf numFmtId="0" fontId="0" fillId="0" borderId="21" xfId="0" applyBorder="1" applyAlignment="1" applyProtection="1">
      <alignment horizontal="left" vertical="center"/>
      <protection hidden="1"/>
    </xf>
    <xf numFmtId="0" fontId="0" fillId="0" borderId="22" xfId="0" applyBorder="1" applyAlignment="1" applyProtection="1">
      <alignment horizontal="left" vertical="center"/>
      <protection hidden="1"/>
    </xf>
    <xf numFmtId="0" fontId="53" fillId="0" borderId="55" xfId="6" applyFont="1" applyBorder="1" applyAlignment="1" applyProtection="1">
      <alignment horizontal="center" vertical="center"/>
      <protection hidden="1"/>
    </xf>
    <xf numFmtId="0" fontId="0" fillId="0" borderId="23" xfId="0" applyBorder="1" applyAlignment="1" applyProtection="1">
      <alignment horizontal="left" vertical="center"/>
      <protection hidden="1"/>
    </xf>
    <xf numFmtId="0" fontId="0" fillId="0" borderId="25" xfId="0" applyBorder="1" applyAlignment="1" applyProtection="1">
      <alignment horizontal="left" vertical="center"/>
      <protection hidden="1"/>
    </xf>
    <xf numFmtId="2" fontId="46" fillId="0" borderId="39" xfId="0" applyNumberFormat="1" applyFont="1" applyBorder="1" applyAlignment="1" applyProtection="1">
      <alignment horizontal="center" vertical="center"/>
      <protection hidden="1"/>
    </xf>
    <xf numFmtId="0" fontId="55" fillId="0" borderId="22" xfId="0" applyFont="1" applyBorder="1" applyAlignment="1" applyProtection="1">
      <alignment vertical="center"/>
      <protection hidden="1"/>
    </xf>
    <xf numFmtId="0" fontId="55" fillId="0" borderId="0" xfId="0" applyFont="1" applyAlignment="1" applyProtection="1">
      <alignment vertical="center"/>
      <protection hidden="1"/>
    </xf>
    <xf numFmtId="0" fontId="58" fillId="0" borderId="0" xfId="3" applyFont="1" applyAlignment="1" applyProtection="1">
      <alignment vertical="center"/>
      <protection hidden="1"/>
    </xf>
    <xf numFmtId="2" fontId="60" fillId="2" borderId="0" xfId="3" applyNumberFormat="1" applyFont="1" applyFill="1" applyAlignment="1" applyProtection="1">
      <alignment horizontal="center" vertical="center"/>
      <protection hidden="1"/>
    </xf>
    <xf numFmtId="2" fontId="60" fillId="0" borderId="0" xfId="3" applyNumberFormat="1" applyFont="1" applyAlignment="1" applyProtection="1">
      <alignment vertical="center"/>
      <protection hidden="1"/>
    </xf>
    <xf numFmtId="0" fontId="58" fillId="0" borderId="0" xfId="3" applyFont="1" applyAlignment="1" applyProtection="1">
      <alignment horizontal="center" vertical="center"/>
      <protection hidden="1"/>
    </xf>
    <xf numFmtId="0" fontId="60" fillId="2" borderId="0" xfId="3" applyFont="1" applyFill="1" applyAlignment="1" applyProtection="1">
      <alignment horizontal="center" vertical="center"/>
      <protection hidden="1"/>
    </xf>
    <xf numFmtId="0" fontId="21" fillId="0" borderId="45" xfId="0" applyFont="1" applyBorder="1" applyAlignment="1" applyProtection="1">
      <alignment horizontal="center" vertical="center" wrapText="1"/>
      <protection hidden="1"/>
    </xf>
    <xf numFmtId="0" fontId="70" fillId="0" borderId="0" xfId="0" applyFont="1" applyProtection="1">
      <protection hidden="1"/>
    </xf>
    <xf numFmtId="0" fontId="43" fillId="0" borderId="53" xfId="0" applyFont="1" applyBorder="1" applyAlignment="1" applyProtection="1">
      <alignment horizontal="center" vertical="center"/>
      <protection hidden="1"/>
    </xf>
    <xf numFmtId="0" fontId="58" fillId="2" borderId="0" xfId="3" quotePrefix="1" applyFont="1" applyFill="1" applyAlignment="1" applyProtection="1">
      <alignment horizontal="center" vertical="center"/>
      <protection hidden="1"/>
    </xf>
    <xf numFmtId="0" fontId="58" fillId="0" borderId="91" xfId="3" applyFont="1" applyBorder="1" applyAlignment="1" applyProtection="1">
      <alignment vertical="center"/>
      <protection hidden="1"/>
    </xf>
    <xf numFmtId="0" fontId="60" fillId="0" borderId="21" xfId="3" applyFont="1" applyBorder="1" applyAlignment="1" applyProtection="1">
      <alignment vertical="center"/>
      <protection hidden="1"/>
    </xf>
    <xf numFmtId="0" fontId="60" fillId="0" borderId="22" xfId="3" applyFont="1" applyBorder="1" applyAlignment="1" applyProtection="1">
      <alignment vertical="center"/>
      <protection hidden="1"/>
    </xf>
    <xf numFmtId="0" fontId="78" fillId="0" borderId="0" xfId="3" applyFont="1" applyAlignment="1" applyProtection="1">
      <alignment vertical="center" wrapText="1"/>
      <protection hidden="1"/>
    </xf>
    <xf numFmtId="166" fontId="69" fillId="0" borderId="34" xfId="6" applyNumberFormat="1" applyFont="1" applyBorder="1" applyAlignment="1" applyProtection="1">
      <alignment horizontal="center" vertical="center"/>
      <protection hidden="1"/>
    </xf>
    <xf numFmtId="0" fontId="78" fillId="0" borderId="34" xfId="3" applyFont="1" applyBorder="1" applyAlignment="1" applyProtection="1">
      <alignment horizontal="center" vertical="center" wrapText="1"/>
      <protection hidden="1"/>
    </xf>
    <xf numFmtId="0" fontId="21" fillId="0" borderId="51" xfId="0" applyFont="1" applyBorder="1" applyAlignment="1" applyProtection="1">
      <alignment horizontal="center" vertical="center"/>
      <protection hidden="1"/>
    </xf>
    <xf numFmtId="2" fontId="21" fillId="0" borderId="52" xfId="0" applyNumberFormat="1" applyFont="1" applyBorder="1" applyAlignment="1" applyProtection="1">
      <alignment horizontal="center" vertical="center"/>
      <protection hidden="1"/>
    </xf>
    <xf numFmtId="0" fontId="79" fillId="0" borderId="0" xfId="3" applyFont="1" applyAlignment="1" applyProtection="1">
      <alignment vertical="center"/>
      <protection hidden="1"/>
    </xf>
    <xf numFmtId="0" fontId="21" fillId="0" borderId="0" xfId="3" applyFont="1" applyAlignment="1" applyProtection="1">
      <alignment vertical="center" wrapText="1"/>
      <protection hidden="1"/>
    </xf>
    <xf numFmtId="174" fontId="43" fillId="0" borderId="34" xfId="0" applyNumberFormat="1" applyFont="1" applyBorder="1" applyAlignment="1" applyProtection="1">
      <alignment horizontal="center" vertical="center"/>
      <protection hidden="1"/>
    </xf>
    <xf numFmtId="0" fontId="60" fillId="0" borderId="34" xfId="3" applyFont="1" applyBorder="1" applyAlignment="1" applyProtection="1">
      <alignment horizontal="center" vertical="center"/>
      <protection hidden="1"/>
    </xf>
    <xf numFmtId="0" fontId="79" fillId="0" borderId="0" xfId="3" applyFont="1" applyAlignment="1" applyProtection="1">
      <alignment vertical="center" wrapText="1"/>
      <protection hidden="1"/>
    </xf>
    <xf numFmtId="174" fontId="60" fillId="0" borderId="34" xfId="3" applyNumberFormat="1" applyFont="1" applyBorder="1" applyAlignment="1" applyProtection="1">
      <alignment horizontal="center" vertical="center"/>
      <protection hidden="1"/>
    </xf>
    <xf numFmtId="0" fontId="66" fillId="0" borderId="0" xfId="3" applyFont="1" applyAlignment="1" applyProtection="1">
      <alignment vertical="center"/>
      <protection hidden="1"/>
    </xf>
    <xf numFmtId="0" fontId="21" fillId="0" borderId="71" xfId="0" applyFont="1" applyBorder="1" applyProtection="1">
      <protection hidden="1"/>
    </xf>
    <xf numFmtId="49" fontId="66" fillId="0" borderId="0" xfId="3" applyNumberFormat="1" applyFont="1" applyAlignment="1" applyProtection="1">
      <alignment vertical="center"/>
      <protection hidden="1"/>
    </xf>
    <xf numFmtId="0" fontId="58" fillId="0" borderId="22" xfId="3" applyFont="1" applyBorder="1" applyAlignment="1" applyProtection="1">
      <alignment vertical="center"/>
      <protection hidden="1"/>
    </xf>
    <xf numFmtId="0" fontId="58" fillId="0" borderId="34" xfId="3" applyFont="1" applyBorder="1" applyAlignment="1" applyProtection="1">
      <alignment vertical="center"/>
      <protection hidden="1"/>
    </xf>
    <xf numFmtId="0" fontId="80" fillId="0" borderId="0" xfId="3" applyFont="1" applyAlignment="1" applyProtection="1">
      <alignment vertical="center"/>
      <protection hidden="1"/>
    </xf>
    <xf numFmtId="0" fontId="80" fillId="0" borderId="0" xfId="3" applyFont="1" applyAlignment="1" applyProtection="1">
      <alignment horizontal="center" vertical="center"/>
      <protection hidden="1"/>
    </xf>
    <xf numFmtId="0" fontId="78" fillId="0" borderId="34" xfId="3" applyFont="1" applyBorder="1" applyAlignment="1" applyProtection="1">
      <alignment vertical="center" wrapText="1"/>
      <protection hidden="1"/>
    </xf>
    <xf numFmtId="0" fontId="63" fillId="0" borderId="0" xfId="0" applyFont="1" applyAlignment="1" applyProtection="1">
      <alignment horizontal="center" vertical="center"/>
      <protection hidden="1"/>
    </xf>
    <xf numFmtId="0" fontId="82" fillId="0" borderId="0" xfId="0" applyFont="1" applyProtection="1">
      <protection hidden="1"/>
    </xf>
    <xf numFmtId="0" fontId="64" fillId="15" borderId="0" xfId="0" applyFont="1" applyFill="1" applyProtection="1">
      <protection hidden="1"/>
    </xf>
    <xf numFmtId="0" fontId="5" fillId="0" borderId="0" xfId="4" applyProtection="1">
      <protection hidden="1"/>
    </xf>
    <xf numFmtId="167" fontId="62" fillId="9" borderId="69" xfId="0" applyNumberFormat="1" applyFont="1" applyFill="1" applyBorder="1" applyAlignment="1" applyProtection="1">
      <alignment horizontal="center"/>
      <protection locked="0" hidden="1"/>
    </xf>
    <xf numFmtId="166" fontId="62" fillId="9" borderId="51" xfId="0" applyNumberFormat="1" applyFont="1" applyFill="1" applyBorder="1" applyAlignment="1" applyProtection="1">
      <alignment horizontal="center"/>
      <protection hidden="1"/>
    </xf>
    <xf numFmtId="0" fontId="54" fillId="0" borderId="71" xfId="0" applyFont="1" applyBorder="1" applyAlignment="1" applyProtection="1">
      <alignment horizontal="center" vertical="center" wrapText="1"/>
      <protection hidden="1"/>
    </xf>
    <xf numFmtId="2" fontId="53" fillId="0" borderId="34" xfId="0" applyNumberFormat="1" applyFont="1" applyBorder="1" applyAlignment="1" applyProtection="1">
      <alignment horizontal="center" vertical="center"/>
      <protection hidden="1"/>
    </xf>
    <xf numFmtId="166" fontId="62" fillId="0" borderId="34" xfId="0" applyNumberFormat="1" applyFont="1" applyBorder="1" applyAlignment="1" applyProtection="1">
      <alignment horizontal="center"/>
      <protection hidden="1"/>
    </xf>
    <xf numFmtId="0" fontId="57" fillId="2" borderId="57" xfId="0" applyFont="1" applyFill="1" applyBorder="1" applyAlignment="1" applyProtection="1">
      <alignment horizontal="center" vertical="center" wrapText="1"/>
      <protection hidden="1"/>
    </xf>
    <xf numFmtId="166" fontId="62" fillId="0" borderId="71" xfId="0" applyNumberFormat="1" applyFont="1" applyBorder="1" applyAlignment="1" applyProtection="1">
      <alignment horizontal="center"/>
      <protection hidden="1"/>
    </xf>
    <xf numFmtId="2" fontId="53" fillId="0" borderId="51" xfId="0" applyNumberFormat="1" applyFont="1" applyBorder="1" applyAlignment="1" applyProtection="1">
      <alignment horizontal="center" vertical="center"/>
      <protection hidden="1"/>
    </xf>
    <xf numFmtId="2" fontId="9" fillId="0" borderId="52" xfId="0" applyNumberFormat="1" applyFont="1" applyBorder="1" applyAlignment="1" applyProtection="1">
      <alignment horizontal="center"/>
      <protection hidden="1"/>
    </xf>
    <xf numFmtId="166" fontId="3" fillId="0" borderId="1" xfId="0" applyNumberFormat="1" applyFont="1" applyBorder="1" applyAlignment="1">
      <alignment horizontal="center" vertical="center"/>
    </xf>
    <xf numFmtId="0" fontId="46" fillId="0" borderId="78" xfId="3" applyFont="1" applyBorder="1" applyAlignment="1" applyProtection="1">
      <alignment horizontal="center" vertical="center"/>
      <protection hidden="1"/>
    </xf>
    <xf numFmtId="0" fontId="46" fillId="0" borderId="87" xfId="3" applyFont="1" applyBorder="1" applyAlignment="1" applyProtection="1">
      <alignment horizontal="center" vertical="center"/>
      <protection hidden="1"/>
    </xf>
    <xf numFmtId="0" fontId="70" fillId="0" borderId="0" xfId="3" applyFont="1" applyAlignment="1" applyProtection="1">
      <alignment horizontal="center" vertical="center"/>
      <protection hidden="1"/>
    </xf>
    <xf numFmtId="0" fontId="70" fillId="0" borderId="22" xfId="3" applyFont="1" applyBorder="1" applyAlignment="1" applyProtection="1">
      <alignment horizontal="center" vertical="center"/>
      <protection hidden="1"/>
    </xf>
    <xf numFmtId="0" fontId="46" fillId="0" borderId="0" xfId="3" applyFont="1" applyAlignment="1" applyProtection="1">
      <alignment horizontal="center" vertical="center"/>
      <protection hidden="1"/>
    </xf>
    <xf numFmtId="0" fontId="46" fillId="0" borderId="22" xfId="3" applyFont="1" applyBorder="1" applyAlignment="1" applyProtection="1">
      <alignment horizontal="center" vertical="center"/>
      <protection hidden="1"/>
    </xf>
    <xf numFmtId="0" fontId="11" fillId="4" borderId="41" xfId="0" applyFont="1" applyFill="1" applyBorder="1" applyAlignment="1" applyProtection="1">
      <alignment horizontal="center" vertical="center"/>
      <protection hidden="1"/>
    </xf>
    <xf numFmtId="0" fontId="11" fillId="4" borderId="42" xfId="0" applyFont="1" applyFill="1" applyBorder="1" applyAlignment="1" applyProtection="1">
      <alignment horizontal="center" vertical="center"/>
      <protection hidden="1"/>
    </xf>
    <xf numFmtId="0" fontId="11" fillId="4" borderId="43" xfId="0" applyFont="1" applyFill="1" applyBorder="1" applyAlignment="1" applyProtection="1">
      <alignment horizontal="center" vertical="center"/>
      <protection hidden="1"/>
    </xf>
    <xf numFmtId="0" fontId="8" fillId="0" borderId="20" xfId="0" applyFont="1" applyBorder="1" applyAlignment="1" applyProtection="1">
      <alignment horizontal="left"/>
      <protection locked="0"/>
    </xf>
    <xf numFmtId="0" fontId="8" fillId="0" borderId="40" xfId="0" applyFont="1" applyBorder="1" applyAlignment="1" applyProtection="1">
      <alignment horizontal="left"/>
      <protection locked="0"/>
    </xf>
    <xf numFmtId="0" fontId="8" fillId="0" borderId="24" xfId="0" applyFont="1" applyBorder="1" applyAlignment="1" applyProtection="1">
      <alignment horizontal="left"/>
      <protection locked="0"/>
    </xf>
    <xf numFmtId="0" fontId="8" fillId="0" borderId="25" xfId="0" applyFont="1" applyBorder="1" applyAlignment="1" applyProtection="1">
      <alignment horizontal="left"/>
      <protection locked="0"/>
    </xf>
    <xf numFmtId="0" fontId="9" fillId="0" borderId="30" xfId="0" applyFont="1" applyBorder="1" applyAlignment="1" applyProtection="1">
      <alignment horizontal="left"/>
      <protection hidden="1"/>
    </xf>
    <xf numFmtId="0" fontId="8" fillId="0" borderId="48" xfId="0" applyFont="1" applyBorder="1" applyAlignment="1" applyProtection="1">
      <alignment horizontal="left" indent="3"/>
      <protection hidden="1"/>
    </xf>
    <xf numFmtId="0" fontId="8" fillId="0" borderId="34" xfId="0" applyFont="1" applyBorder="1" applyAlignment="1" applyProtection="1">
      <alignment horizontal="left" indent="3"/>
      <protection hidden="1"/>
    </xf>
    <xf numFmtId="1" fontId="13" fillId="0" borderId="79" xfId="0" applyNumberFormat="1" applyFont="1" applyBorder="1" applyAlignment="1" applyProtection="1">
      <alignment horizontal="center"/>
      <protection locked="0"/>
    </xf>
    <xf numFmtId="1" fontId="13" fillId="0" borderId="71" xfId="0" applyNumberFormat="1" applyFont="1" applyBorder="1" applyAlignment="1" applyProtection="1">
      <alignment horizontal="center"/>
      <protection locked="0"/>
    </xf>
    <xf numFmtId="0" fontId="11" fillId="4" borderId="66" xfId="0" applyFont="1" applyFill="1" applyBorder="1" applyAlignment="1" applyProtection="1">
      <alignment horizontal="center" vertical="center"/>
      <protection hidden="1"/>
    </xf>
    <xf numFmtId="0" fontId="11" fillId="4" borderId="74" xfId="0" applyFont="1" applyFill="1" applyBorder="1" applyAlignment="1" applyProtection="1">
      <alignment horizontal="center" vertical="center"/>
      <protection hidden="1"/>
    </xf>
    <xf numFmtId="1" fontId="13" fillId="0" borderId="34" xfId="0" applyNumberFormat="1" applyFont="1" applyBorder="1" applyAlignment="1" applyProtection="1">
      <alignment horizontal="center"/>
      <protection locked="0"/>
    </xf>
    <xf numFmtId="0" fontId="8" fillId="0" borderId="73" xfId="0" applyFont="1" applyBorder="1" applyAlignment="1" applyProtection="1">
      <alignment horizontal="left" vertical="center"/>
      <protection hidden="1"/>
    </xf>
    <xf numFmtId="0" fontId="8" fillId="0" borderId="48" xfId="0" applyFont="1" applyBorder="1" applyAlignment="1" applyProtection="1">
      <alignment horizontal="left" vertical="center"/>
      <protection hidden="1"/>
    </xf>
    <xf numFmtId="0" fontId="47" fillId="4" borderId="64" xfId="0" applyFont="1" applyFill="1" applyBorder="1" applyAlignment="1" applyProtection="1">
      <alignment horizontal="center" vertical="center"/>
      <protection hidden="1"/>
    </xf>
    <xf numFmtId="0" fontId="47" fillId="4" borderId="65" xfId="0" applyFont="1" applyFill="1" applyBorder="1" applyAlignment="1" applyProtection="1">
      <alignment horizontal="center" vertical="center"/>
      <protection hidden="1"/>
    </xf>
    <xf numFmtId="0" fontId="47" fillId="4" borderId="80" xfId="0" applyFont="1" applyFill="1" applyBorder="1" applyAlignment="1" applyProtection="1">
      <alignment horizontal="center" vertical="center"/>
      <protection hidden="1"/>
    </xf>
    <xf numFmtId="0" fontId="51" fillId="4" borderId="82" xfId="0" applyFont="1" applyFill="1" applyBorder="1" applyAlignment="1" applyProtection="1">
      <alignment horizontal="center" vertical="center"/>
      <protection hidden="1"/>
    </xf>
    <xf numFmtId="0" fontId="51" fillId="4" borderId="46" xfId="0" applyFont="1" applyFill="1" applyBorder="1" applyAlignment="1" applyProtection="1">
      <alignment horizontal="center" vertical="center"/>
      <protection hidden="1"/>
    </xf>
    <xf numFmtId="0" fontId="51" fillId="4" borderId="47" xfId="0" applyFont="1" applyFill="1" applyBorder="1" applyAlignment="1" applyProtection="1">
      <alignment horizontal="center" vertical="center"/>
      <protection hidden="1"/>
    </xf>
    <xf numFmtId="0" fontId="51" fillId="4" borderId="83" xfId="0" applyFont="1" applyFill="1" applyBorder="1" applyAlignment="1" applyProtection="1">
      <alignment horizontal="center" vertical="center"/>
      <protection hidden="1"/>
    </xf>
    <xf numFmtId="0" fontId="51" fillId="4" borderId="51" xfId="0" applyFont="1" applyFill="1" applyBorder="1" applyAlignment="1" applyProtection="1">
      <alignment horizontal="center" vertical="center"/>
      <protection hidden="1"/>
    </xf>
    <xf numFmtId="0" fontId="51" fillId="4" borderId="52" xfId="0" applyFont="1" applyFill="1" applyBorder="1" applyAlignment="1" applyProtection="1">
      <alignment horizontal="center" vertical="center"/>
      <protection hidden="1"/>
    </xf>
    <xf numFmtId="0" fontId="52" fillId="4" borderId="33" xfId="0" applyFont="1" applyFill="1" applyBorder="1" applyAlignment="1" applyProtection="1">
      <alignment horizontal="center" vertical="center" wrapText="1"/>
      <protection hidden="1"/>
    </xf>
    <xf numFmtId="0" fontId="52" fillId="4" borderId="81" xfId="0" applyFont="1" applyFill="1" applyBorder="1" applyAlignment="1" applyProtection="1">
      <alignment horizontal="center" vertical="center" wrapText="1"/>
      <protection hidden="1"/>
    </xf>
    <xf numFmtId="0" fontId="52" fillId="4" borderId="64" xfId="0" applyFont="1" applyFill="1" applyBorder="1" applyAlignment="1" applyProtection="1">
      <alignment horizontal="center" vertical="center" wrapText="1"/>
      <protection hidden="1"/>
    </xf>
    <xf numFmtId="0" fontId="52" fillId="4" borderId="70" xfId="0" applyFont="1" applyFill="1" applyBorder="1" applyAlignment="1" applyProtection="1">
      <alignment horizontal="center" vertical="center" wrapText="1"/>
      <protection hidden="1"/>
    </xf>
    <xf numFmtId="0" fontId="74" fillId="3" borderId="30" xfId="3" applyFont="1" applyFill="1" applyBorder="1" applyAlignment="1" applyProtection="1">
      <alignment horizontal="center" vertical="center"/>
      <protection locked="0"/>
    </xf>
    <xf numFmtId="0" fontId="44" fillId="3" borderId="30" xfId="3" applyFont="1" applyFill="1" applyBorder="1" applyAlignment="1" applyProtection="1">
      <alignment horizontal="center" vertical="center"/>
      <protection locked="0"/>
    </xf>
    <xf numFmtId="0" fontId="44" fillId="3" borderId="35" xfId="3" applyFont="1" applyFill="1" applyBorder="1" applyAlignment="1" applyProtection="1">
      <alignment horizontal="center" vertical="center"/>
      <protection locked="0"/>
    </xf>
    <xf numFmtId="0" fontId="44" fillId="3" borderId="31" xfId="3" applyFont="1" applyFill="1" applyBorder="1" applyAlignment="1" applyProtection="1">
      <alignment horizontal="center" vertical="center"/>
      <protection locked="0"/>
    </xf>
    <xf numFmtId="0" fontId="21" fillId="3" borderId="30" xfId="3" applyFont="1" applyFill="1" applyBorder="1" applyAlignment="1" applyProtection="1">
      <alignment horizontal="center" vertical="center"/>
      <protection hidden="1"/>
    </xf>
    <xf numFmtId="0" fontId="21" fillId="3" borderId="31" xfId="3" applyFont="1" applyFill="1" applyBorder="1" applyAlignment="1" applyProtection="1">
      <alignment horizontal="center" vertical="center"/>
      <protection hidden="1"/>
    </xf>
    <xf numFmtId="0" fontId="21" fillId="3" borderId="24" xfId="3" applyFont="1" applyFill="1" applyBorder="1" applyAlignment="1" applyProtection="1">
      <alignment horizontal="center" vertical="center"/>
      <protection hidden="1"/>
    </xf>
    <xf numFmtId="0" fontId="21" fillId="3" borderId="35" xfId="3" applyFont="1" applyFill="1" applyBorder="1" applyAlignment="1" applyProtection="1">
      <alignment horizontal="left" vertical="center"/>
      <protection locked="0"/>
    </xf>
    <xf numFmtId="0" fontId="47" fillId="4" borderId="29" xfId="0" applyFont="1" applyFill="1" applyBorder="1" applyAlignment="1" applyProtection="1">
      <alignment horizontal="center" vertical="center"/>
      <protection hidden="1"/>
    </xf>
    <xf numFmtId="0" fontId="47" fillId="4" borderId="20" xfId="0" applyFont="1" applyFill="1" applyBorder="1" applyAlignment="1" applyProtection="1">
      <alignment horizontal="center" vertical="center"/>
      <protection hidden="1"/>
    </xf>
    <xf numFmtId="0" fontId="47" fillId="4" borderId="40"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22" xfId="0" applyFont="1" applyFill="1" applyBorder="1" applyAlignment="1" applyProtection="1">
      <alignment horizontal="center" vertical="center"/>
      <protection hidden="1"/>
    </xf>
    <xf numFmtId="0" fontId="8" fillId="0" borderId="45" xfId="0" applyFont="1" applyBorder="1" applyAlignment="1" applyProtection="1">
      <alignment horizontal="left" indent="3"/>
      <protection hidden="1"/>
    </xf>
    <xf numFmtId="0" fontId="8" fillId="0" borderId="46" xfId="0" applyFont="1" applyBorder="1" applyAlignment="1" applyProtection="1">
      <alignment horizontal="left" indent="3"/>
      <protection hidden="1"/>
    </xf>
    <xf numFmtId="0" fontId="21" fillId="3" borderId="30" xfId="3" applyFont="1" applyFill="1" applyBorder="1" applyAlignment="1" applyProtection="1">
      <alignment horizontal="center" vertical="center" wrapText="1"/>
      <protection locked="0"/>
    </xf>
    <xf numFmtId="0" fontId="53" fillId="3" borderId="30" xfId="5" applyFont="1" applyFill="1" applyBorder="1" applyAlignment="1" applyProtection="1">
      <alignment horizontal="center" vertical="center"/>
      <protection locked="0"/>
    </xf>
    <xf numFmtId="0" fontId="53" fillId="3" borderId="30" xfId="3" applyFont="1" applyFill="1" applyBorder="1" applyAlignment="1" applyProtection="1">
      <alignment horizontal="center" vertical="center"/>
      <protection locked="0"/>
    </xf>
    <xf numFmtId="0" fontId="21" fillId="3" borderId="30" xfId="3" applyFont="1" applyFill="1" applyBorder="1" applyAlignment="1" applyProtection="1">
      <alignment horizontal="center" vertical="center"/>
      <protection locked="0"/>
    </xf>
    <xf numFmtId="168" fontId="21" fillId="3" borderId="30" xfId="3" applyNumberFormat="1" applyFont="1" applyFill="1" applyBorder="1" applyAlignment="1" applyProtection="1">
      <alignment horizontal="center" vertical="center"/>
      <protection locked="0" hidden="1"/>
    </xf>
    <xf numFmtId="168" fontId="21" fillId="3" borderId="31" xfId="3" applyNumberFormat="1" applyFont="1" applyFill="1" applyBorder="1" applyAlignment="1" applyProtection="1">
      <alignment horizontal="center" vertical="center"/>
      <protection locked="0" hidden="1"/>
    </xf>
    <xf numFmtId="0" fontId="60" fillId="0" borderId="45" xfId="3" applyFont="1" applyBorder="1" applyAlignment="1" applyProtection="1">
      <alignment horizontal="center" vertical="center"/>
      <protection hidden="1"/>
    </xf>
    <xf numFmtId="0" fontId="60" fillId="0" borderId="47" xfId="3" applyFont="1" applyBorder="1" applyAlignment="1" applyProtection="1">
      <alignment horizontal="center" vertical="center"/>
      <protection hidden="1"/>
    </xf>
    <xf numFmtId="0" fontId="60" fillId="0" borderId="48" xfId="3" applyFont="1" applyBorder="1" applyAlignment="1" applyProtection="1">
      <alignment horizontal="center" vertical="center"/>
      <protection hidden="1"/>
    </xf>
    <xf numFmtId="0" fontId="60" fillId="0" borderId="49" xfId="3" applyFont="1" applyBorder="1" applyAlignment="1" applyProtection="1">
      <alignment horizontal="center" vertical="center"/>
      <protection hidden="1"/>
    </xf>
    <xf numFmtId="0" fontId="60" fillId="0" borderId="50" xfId="3" applyFont="1" applyBorder="1" applyAlignment="1" applyProtection="1">
      <alignment horizontal="center" vertical="center"/>
      <protection hidden="1"/>
    </xf>
    <xf numFmtId="0" fontId="60" fillId="0" borderId="52" xfId="3" applyFont="1" applyBorder="1" applyAlignment="1" applyProtection="1">
      <alignment horizontal="center" vertical="center"/>
      <protection hidden="1"/>
    </xf>
    <xf numFmtId="0" fontId="21" fillId="3" borderId="32" xfId="3" applyFont="1" applyFill="1" applyBorder="1" applyAlignment="1" applyProtection="1">
      <alignment horizontal="center" vertical="center"/>
      <protection locked="0"/>
    </xf>
    <xf numFmtId="0" fontId="21" fillId="0" borderId="29" xfId="3" applyFont="1" applyBorder="1" applyAlignment="1" applyProtection="1">
      <alignment horizontal="center" vertical="center"/>
      <protection hidden="1"/>
    </xf>
    <xf numFmtId="0" fontId="21" fillId="0" borderId="20" xfId="3" applyFont="1" applyBorder="1" applyAlignment="1" applyProtection="1">
      <alignment horizontal="center" vertical="center"/>
      <protection hidden="1"/>
    </xf>
    <xf numFmtId="0" fontId="21" fillId="0" borderId="21" xfId="3" applyFont="1" applyBorder="1" applyAlignment="1" applyProtection="1">
      <alignment horizontal="center" vertical="center"/>
      <protection hidden="1"/>
    </xf>
    <xf numFmtId="0" fontId="21" fillId="0" borderId="0" xfId="3" applyFont="1" applyAlignment="1" applyProtection="1">
      <alignment horizontal="center" vertical="center"/>
      <protection hidden="1"/>
    </xf>
    <xf numFmtId="0" fontId="21" fillId="0" borderId="23" xfId="3" applyFont="1" applyBorder="1" applyAlignment="1" applyProtection="1">
      <alignment horizontal="center" vertical="center"/>
      <protection hidden="1"/>
    </xf>
    <xf numFmtId="0" fontId="21" fillId="0" borderId="24" xfId="3" applyFont="1" applyBorder="1" applyAlignment="1" applyProtection="1">
      <alignment horizontal="center" vertical="center"/>
      <protection hidden="1"/>
    </xf>
    <xf numFmtId="0" fontId="43" fillId="0" borderId="20" xfId="3" applyFont="1" applyBorder="1" applyAlignment="1" applyProtection="1">
      <alignment horizontal="center" vertical="center"/>
      <protection hidden="1"/>
    </xf>
    <xf numFmtId="0" fontId="46" fillId="0" borderId="24" xfId="3" applyFont="1" applyBorder="1" applyAlignment="1" applyProtection="1">
      <alignment horizontal="center" vertical="center"/>
      <protection hidden="1"/>
    </xf>
    <xf numFmtId="168" fontId="21" fillId="3" borderId="32" xfId="3" applyNumberFormat="1" applyFont="1" applyFill="1" applyBorder="1" applyAlignment="1" applyProtection="1">
      <alignment horizontal="center" vertical="center"/>
      <protection locked="0" hidden="1"/>
    </xf>
    <xf numFmtId="168" fontId="21" fillId="3" borderId="33" xfId="3" applyNumberFormat="1" applyFont="1" applyFill="1" applyBorder="1" applyAlignment="1" applyProtection="1">
      <alignment horizontal="center" vertical="center"/>
      <protection locked="0" hidden="1"/>
    </xf>
    <xf numFmtId="0" fontId="43" fillId="0" borderId="0" xfId="4" applyFont="1" applyAlignment="1" applyProtection="1">
      <alignment horizontal="center" vertical="center" wrapText="1"/>
      <protection hidden="1"/>
    </xf>
    <xf numFmtId="0" fontId="47" fillId="4" borderId="41"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66" fillId="0" borderId="0" xfId="3" applyFont="1" applyAlignment="1" applyProtection="1">
      <alignment horizontal="center" vertical="center" wrapText="1"/>
      <protection hidden="1"/>
    </xf>
    <xf numFmtId="0" fontId="51" fillId="4" borderId="45" xfId="0" applyFont="1" applyFill="1" applyBorder="1" applyAlignment="1" applyProtection="1">
      <alignment horizontal="center" vertical="center"/>
      <protection hidden="1"/>
    </xf>
    <xf numFmtId="0" fontId="51" fillId="4" borderId="50" xfId="0" applyFont="1" applyFill="1" applyBorder="1" applyAlignment="1" applyProtection="1">
      <alignment horizontal="center" vertical="center"/>
      <protection hidden="1"/>
    </xf>
    <xf numFmtId="0" fontId="7" fillId="0" borderId="21" xfId="0" applyFont="1" applyBorder="1" applyAlignment="1" applyProtection="1">
      <alignment horizontal="center" wrapText="1"/>
      <protection hidden="1"/>
    </xf>
    <xf numFmtId="0" fontId="7" fillId="0" borderId="0" xfId="0" applyFont="1" applyAlignment="1" applyProtection="1">
      <alignment horizontal="center" wrapText="1"/>
      <protection hidden="1"/>
    </xf>
    <xf numFmtId="0" fontId="7" fillId="0" borderId="22" xfId="0" applyFont="1" applyBorder="1" applyAlignment="1" applyProtection="1">
      <alignment horizontal="center" wrapText="1"/>
      <protection hidden="1"/>
    </xf>
    <xf numFmtId="0" fontId="7" fillId="0" borderId="23" xfId="0" applyFont="1" applyBorder="1" applyAlignment="1" applyProtection="1">
      <alignment horizontal="center" wrapText="1"/>
      <protection hidden="1"/>
    </xf>
    <xf numFmtId="0" fontId="7" fillId="0" borderId="24" xfId="0" applyFont="1" applyBorder="1" applyAlignment="1" applyProtection="1">
      <alignment horizontal="center" wrapText="1"/>
      <protection hidden="1"/>
    </xf>
    <xf numFmtId="0" fontId="7" fillId="0" borderId="25" xfId="0" applyFont="1" applyBorder="1" applyAlignment="1" applyProtection="1">
      <alignment horizontal="center" wrapText="1"/>
      <protection hidden="1"/>
    </xf>
    <xf numFmtId="0" fontId="7" fillId="0" borderId="21" xfId="0" applyFont="1" applyBorder="1" applyAlignment="1" applyProtection="1">
      <alignment horizontal="center"/>
      <protection hidden="1"/>
    </xf>
    <xf numFmtId="0" fontId="7" fillId="0" borderId="0" xfId="0" applyFont="1" applyAlignment="1" applyProtection="1">
      <alignment horizontal="center"/>
      <protection hidden="1"/>
    </xf>
    <xf numFmtId="0" fontId="7" fillId="0" borderId="22" xfId="0" applyFont="1" applyBorder="1" applyAlignment="1" applyProtection="1">
      <alignment horizontal="center"/>
      <protection hidden="1"/>
    </xf>
    <xf numFmtId="1" fontId="13" fillId="0" borderId="72" xfId="0" applyNumberFormat="1" applyFont="1" applyBorder="1" applyAlignment="1" applyProtection="1">
      <alignment horizontal="center"/>
      <protection locked="0"/>
    </xf>
    <xf numFmtId="1" fontId="13" fillId="0" borderId="49" xfId="0" applyNumberFormat="1" applyFont="1" applyBorder="1" applyAlignment="1" applyProtection="1">
      <alignment horizontal="center"/>
      <protection locked="0"/>
    </xf>
    <xf numFmtId="0" fontId="48" fillId="4" borderId="56" xfId="1" applyFont="1" applyFill="1" applyBorder="1" applyAlignment="1" applyProtection="1">
      <alignment horizontal="center" vertical="center"/>
      <protection hidden="1"/>
    </xf>
    <xf numFmtId="0" fontId="48" fillId="4" borderId="67" xfId="1" applyFont="1" applyFill="1" applyBorder="1" applyAlignment="1" applyProtection="1">
      <alignment horizontal="center" vertical="center"/>
      <protection hidden="1"/>
    </xf>
    <xf numFmtId="0" fontId="8" fillId="0" borderId="50" xfId="0" applyFont="1" applyBorder="1" applyAlignment="1" applyProtection="1">
      <alignment horizontal="left" indent="3"/>
      <protection hidden="1"/>
    </xf>
    <xf numFmtId="0" fontId="8" fillId="0" borderId="51" xfId="0" applyFont="1" applyBorder="1" applyAlignment="1" applyProtection="1">
      <alignment horizontal="left" indent="3"/>
      <protection hidden="1"/>
    </xf>
    <xf numFmtId="0" fontId="55" fillId="4" borderId="56" xfId="0" applyFont="1" applyFill="1" applyBorder="1" applyAlignment="1" applyProtection="1">
      <alignment horizontal="center" vertical="center"/>
      <protection hidden="1"/>
    </xf>
    <xf numFmtId="0" fontId="55" fillId="4" borderId="57" xfId="0" applyFont="1" applyFill="1" applyBorder="1" applyAlignment="1" applyProtection="1">
      <alignment horizontal="center" vertical="center"/>
      <protection hidden="1"/>
    </xf>
    <xf numFmtId="0" fontId="55" fillId="4" borderId="58" xfId="0" applyFont="1" applyFill="1" applyBorder="1" applyAlignment="1" applyProtection="1">
      <alignment horizontal="center" vertical="center"/>
      <protection hidden="1"/>
    </xf>
    <xf numFmtId="166" fontId="21" fillId="0" borderId="41" xfId="0" applyNumberFormat="1" applyFont="1" applyBorder="1" applyAlignment="1" applyProtection="1">
      <alignment horizontal="center" vertical="center"/>
      <protection hidden="1"/>
    </xf>
    <xf numFmtId="166" fontId="21" fillId="0" borderId="42" xfId="0" applyNumberFormat="1" applyFont="1" applyBorder="1" applyAlignment="1" applyProtection="1">
      <alignment horizontal="center" vertical="center"/>
      <protection hidden="1"/>
    </xf>
    <xf numFmtId="166" fontId="21" fillId="0" borderId="43" xfId="0" applyNumberFormat="1" applyFont="1" applyBorder="1" applyAlignment="1" applyProtection="1">
      <alignment horizontal="center" vertical="center"/>
      <protection hidden="1"/>
    </xf>
    <xf numFmtId="0" fontId="55" fillId="4" borderId="41" xfId="0" applyFont="1" applyFill="1" applyBorder="1" applyAlignment="1" applyProtection="1">
      <alignment horizontal="center" vertical="center"/>
      <protection hidden="1"/>
    </xf>
    <xf numFmtId="0" fontId="55" fillId="4" borderId="42" xfId="0" applyFont="1" applyFill="1" applyBorder="1" applyAlignment="1" applyProtection="1">
      <alignment horizontal="center" vertical="center"/>
      <protection hidden="1"/>
    </xf>
    <xf numFmtId="0" fontId="55" fillId="4" borderId="43" xfId="0" applyFont="1" applyFill="1" applyBorder="1" applyAlignment="1" applyProtection="1">
      <alignment horizontal="center" vertical="center"/>
      <protection hidden="1"/>
    </xf>
    <xf numFmtId="165" fontId="21" fillId="3" borderId="32" xfId="3" applyNumberFormat="1" applyFont="1" applyFill="1" applyBorder="1" applyAlignment="1" applyProtection="1">
      <alignment horizontal="left" vertical="center"/>
      <protection hidden="1"/>
    </xf>
    <xf numFmtId="165" fontId="21" fillId="3" borderId="33" xfId="3" applyNumberFormat="1" applyFont="1" applyFill="1" applyBorder="1" applyAlignment="1" applyProtection="1">
      <alignment horizontal="left" vertical="center"/>
      <protection hidden="1"/>
    </xf>
    <xf numFmtId="0" fontId="73" fillId="3" borderId="30" xfId="5" applyFont="1" applyFill="1" applyBorder="1" applyAlignment="1" applyProtection="1">
      <alignment horizontal="center" vertical="center" wrapText="1"/>
      <protection locked="0"/>
    </xf>
    <xf numFmtId="0" fontId="43" fillId="3" borderId="29" xfId="3" applyFont="1" applyFill="1" applyBorder="1" applyAlignment="1" applyProtection="1">
      <alignment horizontal="left" vertical="center"/>
      <protection hidden="1"/>
    </xf>
    <xf numFmtId="0" fontId="43" fillId="3" borderId="20" xfId="3" applyFont="1" applyFill="1" applyBorder="1" applyAlignment="1" applyProtection="1">
      <alignment horizontal="left" vertical="center"/>
      <protection hidden="1"/>
    </xf>
    <xf numFmtId="0" fontId="43" fillId="3" borderId="21" xfId="3" applyFont="1" applyFill="1" applyBorder="1" applyAlignment="1" applyProtection="1">
      <alignment horizontal="left" vertical="center"/>
      <protection hidden="1"/>
    </xf>
    <xf numFmtId="0" fontId="43" fillId="3" borderId="0" xfId="3" applyFont="1" applyFill="1" applyAlignment="1" applyProtection="1">
      <alignment horizontal="left" vertical="center"/>
      <protection hidden="1"/>
    </xf>
    <xf numFmtId="168" fontId="21" fillId="3" borderId="32" xfId="3" applyNumberFormat="1" applyFont="1" applyFill="1" applyBorder="1" applyAlignment="1" applyProtection="1">
      <alignment horizontal="center" vertical="center"/>
      <protection hidden="1"/>
    </xf>
    <xf numFmtId="168" fontId="21" fillId="3" borderId="33" xfId="3" applyNumberFormat="1" applyFont="1" applyFill="1" applyBorder="1" applyAlignment="1" applyProtection="1">
      <alignment horizontal="center" vertical="center"/>
      <protection hidden="1"/>
    </xf>
    <xf numFmtId="0" fontId="69" fillId="4" borderId="64" xfId="0" applyFont="1" applyFill="1" applyBorder="1" applyAlignment="1" applyProtection="1">
      <alignment horizontal="center" vertical="center" wrapText="1"/>
      <protection hidden="1"/>
    </xf>
    <xf numFmtId="0" fontId="69" fillId="4" borderId="80" xfId="0" applyFont="1" applyFill="1" applyBorder="1" applyAlignment="1" applyProtection="1">
      <alignment horizontal="center" vertical="center" wrapText="1"/>
      <protection hidden="1"/>
    </xf>
    <xf numFmtId="0" fontId="56" fillId="4" borderId="60" xfId="0" applyFont="1" applyFill="1" applyBorder="1" applyAlignment="1" applyProtection="1">
      <alignment horizontal="center" vertical="center" wrapText="1"/>
      <protection hidden="1"/>
    </xf>
    <xf numFmtId="0" fontId="56" fillId="4" borderId="57" xfId="0" applyFont="1" applyFill="1" applyBorder="1" applyAlignment="1" applyProtection="1">
      <alignment horizontal="center" vertical="center" wrapText="1"/>
      <protection hidden="1"/>
    </xf>
    <xf numFmtId="168" fontId="21" fillId="3" borderId="30" xfId="3" applyNumberFormat="1" applyFont="1" applyFill="1" applyBorder="1" applyAlignment="1" applyProtection="1">
      <alignment horizontal="center" vertical="center"/>
      <protection hidden="1"/>
    </xf>
    <xf numFmtId="168" fontId="21" fillId="3" borderId="31" xfId="3" applyNumberFormat="1" applyFont="1" applyFill="1" applyBorder="1" applyAlignment="1" applyProtection="1">
      <alignment horizontal="center" vertical="center"/>
      <protection hidden="1"/>
    </xf>
    <xf numFmtId="2" fontId="21" fillId="3" borderId="30" xfId="3" applyNumberFormat="1" applyFont="1" applyFill="1" applyBorder="1" applyAlignment="1" applyProtection="1">
      <alignment horizontal="center" vertical="center"/>
      <protection hidden="1"/>
    </xf>
    <xf numFmtId="2" fontId="21" fillId="3" borderId="31" xfId="3" applyNumberFormat="1" applyFont="1" applyFill="1" applyBorder="1" applyAlignment="1" applyProtection="1">
      <alignment horizontal="center" vertical="center"/>
      <protection hidden="1"/>
    </xf>
    <xf numFmtId="0" fontId="56" fillId="4" borderId="41" xfId="0" applyFont="1" applyFill="1" applyBorder="1" applyAlignment="1" applyProtection="1">
      <alignment horizontal="center" vertical="center" wrapText="1"/>
      <protection hidden="1"/>
    </xf>
    <xf numFmtId="0" fontId="56" fillId="4" borderId="42" xfId="0" applyFont="1" applyFill="1" applyBorder="1" applyAlignment="1" applyProtection="1">
      <alignment horizontal="center" vertical="center" wrapText="1"/>
      <protection hidden="1"/>
    </xf>
    <xf numFmtId="0" fontId="56" fillId="4" borderId="43" xfId="0" applyFont="1" applyFill="1" applyBorder="1" applyAlignment="1" applyProtection="1">
      <alignment horizontal="center" vertical="center" wrapText="1"/>
      <protection hidden="1"/>
    </xf>
    <xf numFmtId="0" fontId="56" fillId="4" borderId="58" xfId="0" applyFont="1" applyFill="1" applyBorder="1" applyAlignment="1" applyProtection="1">
      <alignment horizontal="center" vertical="center" wrapText="1"/>
      <protection hidden="1"/>
    </xf>
    <xf numFmtId="0" fontId="54" fillId="0" borderId="71" xfId="0" applyFont="1" applyBorder="1" applyAlignment="1" applyProtection="1">
      <alignment horizontal="center" vertical="center" wrapText="1"/>
      <protection hidden="1"/>
    </xf>
    <xf numFmtId="0" fontId="54" fillId="0" borderId="72" xfId="0" applyFont="1" applyBorder="1" applyAlignment="1" applyProtection="1">
      <alignment horizontal="center" vertical="center" wrapText="1"/>
      <protection hidden="1"/>
    </xf>
    <xf numFmtId="2" fontId="21" fillId="3" borderId="32" xfId="3" applyNumberFormat="1" applyFont="1" applyFill="1" applyBorder="1" applyAlignment="1" applyProtection="1">
      <alignment horizontal="center" vertical="center"/>
      <protection hidden="1"/>
    </xf>
    <xf numFmtId="0" fontId="21" fillId="3" borderId="0" xfId="3" applyFont="1" applyFill="1" applyAlignment="1" applyProtection="1">
      <alignment horizontal="center" vertical="center"/>
      <protection hidden="1"/>
    </xf>
    <xf numFmtId="0" fontId="21" fillId="3" borderId="35" xfId="3" applyFont="1" applyFill="1" applyBorder="1" applyAlignment="1" applyProtection="1">
      <alignment horizontal="center" vertical="center"/>
      <protection hidden="1"/>
    </xf>
    <xf numFmtId="0" fontId="43" fillId="0" borderId="37" xfId="3" applyFont="1" applyBorder="1" applyAlignment="1" applyProtection="1">
      <alignment horizontal="center" vertical="center"/>
      <protection hidden="1"/>
    </xf>
    <xf numFmtId="0" fontId="21" fillId="0" borderId="61" xfId="3" applyFont="1" applyBorder="1" applyAlignment="1" applyProtection="1">
      <alignment horizontal="center" vertical="center"/>
      <protection hidden="1"/>
    </xf>
    <xf numFmtId="0" fontId="21" fillId="0" borderId="32" xfId="3" applyFont="1" applyBorder="1" applyAlignment="1" applyProtection="1">
      <alignment horizontal="center" vertical="center"/>
      <protection hidden="1"/>
    </xf>
    <xf numFmtId="0" fontId="21" fillId="0" borderId="33" xfId="3" applyFont="1" applyBorder="1" applyAlignment="1" applyProtection="1">
      <alignment horizontal="center" vertical="center"/>
      <protection hidden="1"/>
    </xf>
    <xf numFmtId="0" fontId="46" fillId="0" borderId="36" xfId="3" applyFont="1" applyBorder="1" applyAlignment="1" applyProtection="1">
      <alignment horizontal="center" vertical="center"/>
      <protection hidden="1"/>
    </xf>
    <xf numFmtId="0" fontId="46" fillId="0" borderId="38" xfId="3" applyFont="1" applyBorder="1" applyAlignment="1" applyProtection="1">
      <alignment horizontal="center" vertical="center"/>
      <protection hidden="1"/>
    </xf>
    <xf numFmtId="0" fontId="21" fillId="0" borderId="62" xfId="3" applyFont="1" applyBorder="1" applyAlignment="1" applyProtection="1">
      <alignment horizontal="center" vertical="center"/>
      <protection hidden="1"/>
    </xf>
    <xf numFmtId="0" fontId="21" fillId="0" borderId="30" xfId="3" applyFont="1" applyBorder="1" applyAlignment="1" applyProtection="1">
      <alignment horizontal="center" vertical="center"/>
      <protection hidden="1"/>
    </xf>
    <xf numFmtId="0" fontId="21" fillId="0" borderId="31" xfId="3" applyFont="1" applyBorder="1" applyAlignment="1" applyProtection="1">
      <alignment horizontal="center" vertical="center"/>
      <protection hidden="1"/>
    </xf>
    <xf numFmtId="0" fontId="21" fillId="0" borderId="63" xfId="3" applyFont="1" applyBorder="1" applyAlignment="1" applyProtection="1">
      <alignment horizontal="center" vertical="center"/>
      <protection hidden="1"/>
    </xf>
    <xf numFmtId="0" fontId="21" fillId="0" borderId="77" xfId="3" applyFont="1" applyBorder="1" applyAlignment="1" applyProtection="1">
      <alignment horizontal="center" vertical="center"/>
      <protection hidden="1"/>
    </xf>
    <xf numFmtId="0" fontId="21" fillId="0" borderId="75" xfId="3" applyFont="1" applyBorder="1" applyAlignment="1" applyProtection="1">
      <alignment horizontal="center" vertical="center"/>
      <protection hidden="1"/>
    </xf>
    <xf numFmtId="0" fontId="43" fillId="0" borderId="11" xfId="0" applyFont="1" applyBorder="1" applyAlignment="1">
      <alignment horizontal="center" vertical="center" wrapText="1"/>
    </xf>
    <xf numFmtId="0" fontId="43" fillId="0" borderId="12" xfId="0" applyFont="1" applyBorder="1" applyAlignment="1">
      <alignment horizontal="center" vertical="center" wrapText="1"/>
    </xf>
    <xf numFmtId="0" fontId="21" fillId="0" borderId="0" xfId="0" applyFont="1" applyAlignment="1" applyProtection="1">
      <alignment horizontal="center" vertical="center" wrapText="1"/>
      <protection hidden="1"/>
    </xf>
    <xf numFmtId="0" fontId="43" fillId="0" borderId="13" xfId="0" applyFont="1" applyBorder="1" applyAlignment="1">
      <alignment horizontal="center" vertical="center" wrapText="1"/>
    </xf>
    <xf numFmtId="0" fontId="43" fillId="0" borderId="14"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 xfId="0" applyFont="1" applyBorder="1" applyAlignment="1">
      <alignment horizontal="center" vertical="center" wrapText="1"/>
    </xf>
    <xf numFmtId="0" fontId="43" fillId="0" borderId="21" xfId="0" applyFont="1" applyBorder="1" applyAlignment="1" applyProtection="1">
      <alignment horizontal="center"/>
      <protection hidden="1"/>
    </xf>
    <xf numFmtId="0" fontId="43" fillId="0" borderId="0" xfId="0" applyFont="1" applyAlignment="1" applyProtection="1">
      <alignment horizontal="center"/>
      <protection hidden="1"/>
    </xf>
    <xf numFmtId="0" fontId="43" fillId="0" borderId="22" xfId="0" applyFont="1" applyBorder="1" applyAlignment="1" applyProtection="1">
      <alignment horizontal="center"/>
      <protection hidden="1"/>
    </xf>
    <xf numFmtId="0" fontId="43" fillId="0" borderId="21" xfId="0" applyFont="1" applyBorder="1" applyAlignment="1" applyProtection="1">
      <alignment horizontal="center" wrapText="1"/>
      <protection hidden="1"/>
    </xf>
    <xf numFmtId="0" fontId="43" fillId="0" borderId="0" xfId="0" applyFont="1" applyAlignment="1" applyProtection="1">
      <alignment horizontal="center" wrapText="1"/>
      <protection hidden="1"/>
    </xf>
    <xf numFmtId="0" fontId="43" fillId="0" borderId="22" xfId="0" applyFont="1" applyBorder="1" applyAlignment="1" applyProtection="1">
      <alignment horizontal="center" wrapText="1"/>
      <protection hidden="1"/>
    </xf>
    <xf numFmtId="2" fontId="53" fillId="0" borderId="34" xfId="0" applyNumberFormat="1" applyFont="1" applyBorder="1" applyAlignment="1" applyProtection="1">
      <alignment horizontal="center" vertical="center"/>
      <protection hidden="1"/>
    </xf>
    <xf numFmtId="2" fontId="53" fillId="0" borderId="49" xfId="0" applyNumberFormat="1" applyFont="1" applyBorder="1" applyAlignment="1" applyProtection="1">
      <alignment horizontal="center" vertical="center"/>
      <protection hidden="1"/>
    </xf>
    <xf numFmtId="0" fontId="21" fillId="0" borderId="0" xfId="3" applyFont="1" applyAlignment="1" applyProtection="1">
      <alignment horizontal="center" vertical="center" wrapText="1"/>
      <protection locked="0"/>
    </xf>
    <xf numFmtId="2" fontId="53" fillId="0" borderId="51" xfId="0" applyNumberFormat="1" applyFont="1" applyBorder="1" applyAlignment="1" applyProtection="1">
      <alignment horizontal="center" vertical="center"/>
      <protection hidden="1"/>
    </xf>
    <xf numFmtId="2" fontId="53" fillId="0" borderId="52" xfId="0" applyNumberFormat="1" applyFont="1" applyBorder="1" applyAlignment="1" applyProtection="1">
      <alignment horizontal="center" vertical="center"/>
      <protection hidden="1"/>
    </xf>
    <xf numFmtId="0" fontId="58" fillId="0" borderId="21" xfId="0" applyFont="1" applyBorder="1" applyAlignment="1" applyProtection="1">
      <alignment horizontal="center"/>
      <protection hidden="1"/>
    </xf>
    <xf numFmtId="0" fontId="58" fillId="0" borderId="0" xfId="0" applyFont="1" applyAlignment="1" applyProtection="1">
      <alignment horizontal="center"/>
      <protection hidden="1"/>
    </xf>
    <xf numFmtId="0" fontId="58" fillId="0" borderId="22" xfId="0" applyFont="1" applyBorder="1" applyAlignment="1" applyProtection="1">
      <alignment horizontal="center"/>
      <protection hidden="1"/>
    </xf>
    <xf numFmtId="0" fontId="61" fillId="0" borderId="21" xfId="0" applyFont="1" applyBorder="1" applyAlignment="1" applyProtection="1">
      <alignment horizontal="center" wrapText="1"/>
      <protection hidden="1"/>
    </xf>
    <xf numFmtId="0" fontId="61" fillId="0" borderId="0" xfId="0" applyFont="1" applyAlignment="1" applyProtection="1">
      <alignment horizontal="center" wrapText="1"/>
      <protection hidden="1"/>
    </xf>
    <xf numFmtId="0" fontId="61" fillId="0" borderId="22" xfId="0" applyFont="1" applyBorder="1" applyAlignment="1" applyProtection="1">
      <alignment horizontal="center" wrapText="1"/>
      <protection hidden="1"/>
    </xf>
    <xf numFmtId="49" fontId="59" fillId="0" borderId="23" xfId="0" applyNumberFormat="1" applyFont="1" applyBorder="1" applyAlignment="1" applyProtection="1">
      <alignment horizontal="center"/>
      <protection hidden="1"/>
    </xf>
    <xf numFmtId="49" fontId="59" fillId="0" borderId="24" xfId="0" applyNumberFormat="1" applyFont="1" applyBorder="1" applyAlignment="1" applyProtection="1">
      <alignment horizontal="center"/>
      <protection hidden="1"/>
    </xf>
    <xf numFmtId="49" fontId="59" fillId="0" borderId="25" xfId="0" applyNumberFormat="1" applyFont="1" applyBorder="1" applyAlignment="1" applyProtection="1">
      <alignment horizontal="center"/>
      <protection hidden="1"/>
    </xf>
    <xf numFmtId="167" fontId="62" fillId="0" borderId="34" xfId="0" applyNumberFormat="1" applyFont="1" applyBorder="1" applyAlignment="1" applyProtection="1">
      <alignment horizontal="center"/>
      <protection hidden="1"/>
    </xf>
    <xf numFmtId="167" fontId="62" fillId="0" borderId="49" xfId="0" applyNumberFormat="1" applyFont="1" applyBorder="1" applyAlignment="1" applyProtection="1">
      <alignment horizontal="center"/>
      <protection hidden="1"/>
    </xf>
    <xf numFmtId="167" fontId="62" fillId="0" borderId="51" xfId="0" applyNumberFormat="1" applyFont="1" applyBorder="1" applyAlignment="1" applyProtection="1">
      <alignment horizontal="center"/>
      <protection hidden="1"/>
    </xf>
    <xf numFmtId="167" fontId="62" fillId="0" borderId="52" xfId="0" applyNumberFormat="1" applyFont="1" applyBorder="1" applyAlignment="1" applyProtection="1">
      <alignment horizontal="center"/>
      <protection hidden="1"/>
    </xf>
    <xf numFmtId="0" fontId="0" fillId="0" borderId="21" xfId="0" applyBorder="1" applyAlignment="1" applyProtection="1">
      <alignment horizontal="center"/>
      <protection hidden="1"/>
    </xf>
    <xf numFmtId="166" fontId="62" fillId="0" borderId="34" xfId="0" applyNumberFormat="1" applyFont="1" applyBorder="1" applyAlignment="1" applyProtection="1">
      <alignment horizontal="center"/>
      <protection hidden="1"/>
    </xf>
    <xf numFmtId="166" fontId="62" fillId="0" borderId="49" xfId="0" applyNumberFormat="1" applyFont="1" applyBorder="1" applyAlignment="1" applyProtection="1">
      <alignment horizontal="center"/>
      <protection hidden="1"/>
    </xf>
    <xf numFmtId="0" fontId="57" fillId="2" borderId="57" xfId="0" applyFont="1" applyFill="1" applyBorder="1" applyAlignment="1" applyProtection="1">
      <alignment horizontal="center" vertical="center" wrapText="1"/>
      <protection hidden="1"/>
    </xf>
    <xf numFmtId="0" fontId="57" fillId="2" borderId="58" xfId="0" applyFont="1" applyFill="1" applyBorder="1" applyAlignment="1" applyProtection="1">
      <alignment horizontal="center" vertical="center" wrapText="1"/>
      <protection hidden="1"/>
    </xf>
    <xf numFmtId="166" fontId="62" fillId="0" borderId="71" xfId="0" applyNumberFormat="1" applyFont="1" applyBorder="1" applyAlignment="1" applyProtection="1">
      <alignment horizontal="center"/>
      <protection hidden="1"/>
    </xf>
    <xf numFmtId="166" fontId="62" fillId="0" borderId="72" xfId="0" applyNumberFormat="1" applyFont="1" applyBorder="1" applyAlignment="1" applyProtection="1">
      <alignment horizontal="center"/>
      <protection hidden="1"/>
    </xf>
    <xf numFmtId="0" fontId="55" fillId="4" borderId="41" xfId="0" applyFont="1" applyFill="1" applyBorder="1" applyAlignment="1" applyProtection="1">
      <alignment horizontal="center" vertical="center" wrapText="1"/>
      <protection hidden="1"/>
    </xf>
    <xf numFmtId="0" fontId="55" fillId="4" borderId="42" xfId="0" applyFont="1" applyFill="1" applyBorder="1" applyAlignment="1" applyProtection="1">
      <alignment horizontal="center" vertical="center" wrapText="1"/>
      <protection hidden="1"/>
    </xf>
    <xf numFmtId="0" fontId="55" fillId="4" borderId="43" xfId="0" applyFont="1" applyFill="1" applyBorder="1" applyAlignment="1" applyProtection="1">
      <alignment horizontal="center" vertical="center" wrapText="1"/>
      <protection hidden="1"/>
    </xf>
    <xf numFmtId="0" fontId="29" fillId="0" borderId="0" xfId="2" applyFont="1" applyAlignment="1" applyProtection="1">
      <alignment horizontal="center" vertical="top"/>
      <protection hidden="1"/>
    </xf>
    <xf numFmtId="0" fontId="21" fillId="3" borderId="32" xfId="3" applyFont="1" applyFill="1" applyBorder="1" applyAlignment="1" applyProtection="1">
      <alignment horizontal="center" vertical="center"/>
      <protection hidden="1"/>
    </xf>
    <xf numFmtId="0" fontId="43" fillId="0" borderId="0" xfId="3" applyFont="1" applyAlignment="1" applyProtection="1">
      <alignment horizontal="center" vertical="center"/>
      <protection hidden="1"/>
    </xf>
    <xf numFmtId="0" fontId="43" fillId="0" borderId="36" xfId="3" applyFont="1" applyBorder="1" applyAlignment="1" applyProtection="1">
      <alignment horizontal="center" vertical="center"/>
      <protection hidden="1"/>
    </xf>
    <xf numFmtId="0" fontId="43" fillId="0" borderId="24" xfId="3" applyFont="1" applyBorder="1" applyAlignment="1" applyProtection="1">
      <alignment horizontal="center" vertical="center"/>
      <protection hidden="1"/>
    </xf>
    <xf numFmtId="0" fontId="43" fillId="0" borderId="38" xfId="3" applyFont="1" applyBorder="1" applyAlignment="1" applyProtection="1">
      <alignment horizontal="center" vertical="center"/>
      <protection hidden="1"/>
    </xf>
    <xf numFmtId="0" fontId="63" fillId="0" borderId="1" xfId="0" applyFont="1" applyBorder="1" applyAlignment="1" applyProtection="1">
      <alignment horizontal="center" vertical="center"/>
      <protection locked="0"/>
    </xf>
    <xf numFmtId="0" fontId="63" fillId="7" borderId="1" xfId="0" applyFont="1" applyFill="1" applyBorder="1" applyAlignment="1" applyProtection="1">
      <alignment horizontal="center" vertical="center"/>
      <protection locked="0"/>
    </xf>
    <xf numFmtId="0" fontId="21" fillId="3" borderId="30" xfId="3" applyFont="1" applyFill="1" applyBorder="1" applyAlignment="1" applyProtection="1">
      <alignment horizontal="center" vertical="center" wrapText="1"/>
      <protection hidden="1"/>
    </xf>
    <xf numFmtId="0" fontId="21" fillId="3" borderId="30" xfId="5" applyFont="1" applyFill="1" applyBorder="1" applyAlignment="1" applyProtection="1">
      <alignment horizontal="center" vertical="center"/>
      <protection hidden="1"/>
    </xf>
    <xf numFmtId="0" fontId="43" fillId="3" borderId="20" xfId="3" applyFont="1" applyFill="1" applyBorder="1" applyAlignment="1" applyProtection="1">
      <alignment horizontal="center" vertical="center"/>
      <protection hidden="1"/>
    </xf>
    <xf numFmtId="0" fontId="43" fillId="3" borderId="35" xfId="3" applyFont="1" applyFill="1" applyBorder="1" applyAlignment="1" applyProtection="1">
      <alignment horizontal="left" vertical="center"/>
      <protection hidden="1"/>
    </xf>
    <xf numFmtId="165" fontId="21" fillId="3" borderId="32" xfId="3" applyNumberFormat="1" applyFont="1" applyFill="1" applyBorder="1" applyAlignment="1" applyProtection="1">
      <alignment horizontal="center" vertical="center"/>
      <protection hidden="1"/>
    </xf>
    <xf numFmtId="165" fontId="21" fillId="3" borderId="33" xfId="3" applyNumberFormat="1" applyFont="1" applyFill="1" applyBorder="1" applyAlignment="1" applyProtection="1">
      <alignment horizontal="center" vertical="center"/>
      <protection hidden="1"/>
    </xf>
    <xf numFmtId="0" fontId="60" fillId="0" borderId="88" xfId="3" applyFont="1" applyBorder="1" applyAlignment="1" applyProtection="1">
      <alignment horizontal="center" vertical="center"/>
      <protection hidden="1"/>
    </xf>
    <xf numFmtId="0" fontId="60" fillId="0" borderId="32" xfId="3" applyFont="1" applyBorder="1" applyAlignment="1" applyProtection="1">
      <alignment horizontal="center" vertical="center"/>
      <protection hidden="1"/>
    </xf>
    <xf numFmtId="0" fontId="60" fillId="0" borderId="33" xfId="3" applyFont="1" applyBorder="1" applyAlignment="1" applyProtection="1">
      <alignment horizontal="center" vertical="center"/>
      <protection hidden="1"/>
    </xf>
    <xf numFmtId="0" fontId="58" fillId="0" borderId="0" xfId="4" applyFont="1" applyAlignment="1" applyProtection="1">
      <alignment horizontal="center" vertical="center" wrapText="1"/>
      <protection hidden="1"/>
    </xf>
    <xf numFmtId="0" fontId="46" fillId="0" borderId="0" xfId="3" applyFont="1" applyAlignment="1" applyProtection="1">
      <alignment horizontal="center" vertical="center" wrapText="1"/>
      <protection hidden="1"/>
    </xf>
    <xf numFmtId="0" fontId="46" fillId="0" borderId="24" xfId="3" applyFont="1" applyBorder="1" applyAlignment="1" applyProtection="1">
      <alignment horizontal="center" vertical="center" wrapText="1"/>
      <protection hidden="1"/>
    </xf>
    <xf numFmtId="0" fontId="60" fillId="0" borderId="89" xfId="3" applyFont="1" applyBorder="1" applyAlignment="1" applyProtection="1">
      <alignment horizontal="center" vertical="center"/>
      <protection hidden="1"/>
    </xf>
    <xf numFmtId="0" fontId="60" fillId="0" borderId="30" xfId="3" applyFont="1" applyBorder="1" applyAlignment="1" applyProtection="1">
      <alignment horizontal="center" vertical="center"/>
      <protection hidden="1"/>
    </xf>
    <xf numFmtId="0" fontId="60" fillId="0" borderId="31" xfId="3" applyFont="1" applyBorder="1" applyAlignment="1" applyProtection="1">
      <alignment horizontal="center" vertical="center"/>
      <protection hidden="1"/>
    </xf>
    <xf numFmtId="0" fontId="67" fillId="0" borderId="0" xfId="3" applyFont="1" applyAlignment="1" applyProtection="1">
      <alignment horizontal="center" vertical="center"/>
      <protection hidden="1"/>
    </xf>
    <xf numFmtId="0" fontId="60" fillId="0" borderId="23" xfId="3" applyFont="1" applyBorder="1" applyAlignment="1" applyProtection="1">
      <alignment horizontal="center" vertical="center"/>
      <protection hidden="1"/>
    </xf>
    <xf numFmtId="0" fontId="60" fillId="0" borderId="24" xfId="3" applyFont="1" applyBorder="1" applyAlignment="1" applyProtection="1">
      <alignment horizontal="center" vertical="center"/>
      <protection hidden="1"/>
    </xf>
    <xf numFmtId="0" fontId="60" fillId="0" borderId="25" xfId="3" applyFont="1" applyBorder="1" applyAlignment="1" applyProtection="1">
      <alignment horizontal="center" vertical="center"/>
      <protection hidden="1"/>
    </xf>
    <xf numFmtId="0" fontId="21" fillId="0" borderId="45" xfId="0" applyFont="1" applyBorder="1" applyAlignment="1" applyProtection="1">
      <alignment horizontal="left" vertical="center"/>
      <protection locked="0"/>
    </xf>
    <xf numFmtId="0" fontId="21" fillId="0" borderId="46" xfId="0" applyFont="1" applyBorder="1" applyAlignment="1" applyProtection="1">
      <alignment horizontal="left" vertical="center"/>
      <protection locked="0"/>
    </xf>
    <xf numFmtId="0" fontId="53" fillId="3" borderId="30" xfId="5" applyFont="1" applyFill="1" applyBorder="1" applyAlignment="1" applyProtection="1">
      <alignment horizontal="center" vertical="center"/>
      <protection hidden="1"/>
    </xf>
    <xf numFmtId="0" fontId="53" fillId="3" borderId="30" xfId="3" applyFont="1" applyFill="1" applyBorder="1" applyAlignment="1" applyProtection="1">
      <alignment horizontal="center" vertical="center"/>
      <protection hidden="1"/>
    </xf>
    <xf numFmtId="0" fontId="21" fillId="3" borderId="30" xfId="3" applyFont="1" applyFill="1" applyBorder="1" applyAlignment="1">
      <alignment horizontal="center" vertical="center"/>
    </xf>
    <xf numFmtId="0" fontId="21" fillId="3" borderId="31" xfId="3" applyFont="1" applyFill="1" applyBorder="1" applyAlignment="1">
      <alignment horizontal="center" vertical="center"/>
    </xf>
    <xf numFmtId="0" fontId="55" fillId="2" borderId="41" xfId="0" applyFont="1" applyFill="1" applyBorder="1" applyAlignment="1" applyProtection="1">
      <alignment horizontal="center" vertical="center"/>
      <protection hidden="1"/>
    </xf>
    <xf numFmtId="0" fontId="55" fillId="2" borderId="42" xfId="0" applyFont="1" applyFill="1" applyBorder="1" applyAlignment="1" applyProtection="1">
      <alignment horizontal="center" vertical="center"/>
      <protection hidden="1"/>
    </xf>
    <xf numFmtId="0" fontId="55" fillId="2" borderId="43" xfId="0" applyFont="1" applyFill="1" applyBorder="1" applyAlignment="1" applyProtection="1">
      <alignment horizontal="center" vertical="center"/>
      <protection hidden="1"/>
    </xf>
    <xf numFmtId="0" fontId="55" fillId="2" borderId="29" xfId="6" applyFont="1" applyFill="1" applyBorder="1" applyAlignment="1" applyProtection="1">
      <alignment horizontal="center" vertical="center"/>
      <protection hidden="1"/>
    </xf>
    <xf numFmtId="0" fontId="55" fillId="2" borderId="20" xfId="6" applyFont="1" applyFill="1" applyBorder="1" applyAlignment="1" applyProtection="1">
      <alignment horizontal="center" vertical="center"/>
      <protection hidden="1"/>
    </xf>
    <xf numFmtId="0" fontId="55" fillId="2" borderId="40" xfId="6" applyFont="1" applyFill="1" applyBorder="1" applyAlignment="1" applyProtection="1">
      <alignment horizontal="center" vertical="center"/>
      <protection hidden="1"/>
    </xf>
    <xf numFmtId="0" fontId="43" fillId="0" borderId="54" xfId="0" applyFont="1" applyBorder="1" applyAlignment="1" applyProtection="1">
      <alignment horizontal="center" vertical="center"/>
      <protection hidden="1"/>
    </xf>
    <xf numFmtId="0" fontId="43" fillId="0" borderId="55" xfId="0" applyFont="1" applyBorder="1" applyAlignment="1" applyProtection="1">
      <alignment horizontal="center" vertical="center"/>
      <protection hidden="1"/>
    </xf>
    <xf numFmtId="0" fontId="53" fillId="0" borderId="48" xfId="6" applyFont="1" applyBorder="1" applyAlignment="1" applyProtection="1">
      <alignment horizontal="left" vertical="center"/>
      <protection hidden="1"/>
    </xf>
    <xf numFmtId="0" fontId="53" fillId="0" borderId="34" xfId="6" applyFont="1" applyBorder="1" applyAlignment="1" applyProtection="1">
      <alignment horizontal="left" vertical="center"/>
      <protection hidden="1"/>
    </xf>
    <xf numFmtId="0" fontId="55" fillId="2" borderId="23" xfId="6" applyFont="1" applyFill="1" applyBorder="1" applyAlignment="1" applyProtection="1">
      <alignment horizontal="center" vertical="center"/>
      <protection hidden="1"/>
    </xf>
    <xf numFmtId="0" fontId="55" fillId="2" borderId="24" xfId="6" applyFont="1" applyFill="1" applyBorder="1" applyAlignment="1" applyProtection="1">
      <alignment horizontal="center" vertical="center"/>
      <protection hidden="1"/>
    </xf>
    <xf numFmtId="0" fontId="55" fillId="2" borderId="25" xfId="6" applyFont="1" applyFill="1" applyBorder="1" applyAlignment="1" applyProtection="1">
      <alignment horizontal="center" vertical="center"/>
      <protection hidden="1"/>
    </xf>
    <xf numFmtId="0" fontId="21" fillId="0" borderId="0" xfId="0" applyFont="1" applyAlignment="1" applyProtection="1">
      <alignment horizontal="left"/>
      <protection hidden="1"/>
    </xf>
    <xf numFmtId="0" fontId="55" fillId="2" borderId="29" xfId="0" applyFont="1" applyFill="1" applyBorder="1" applyAlignment="1" applyProtection="1">
      <alignment horizontal="center" vertical="center"/>
      <protection hidden="1"/>
    </xf>
    <xf numFmtId="0" fontId="55" fillId="2" borderId="20" xfId="0" applyFont="1" applyFill="1" applyBorder="1" applyAlignment="1" applyProtection="1">
      <alignment horizontal="center" vertical="center"/>
      <protection hidden="1"/>
    </xf>
    <xf numFmtId="0" fontId="55" fillId="2" borderId="40" xfId="0" applyFont="1" applyFill="1" applyBorder="1" applyAlignment="1" applyProtection="1">
      <alignment horizontal="center" vertical="center"/>
      <protection hidden="1"/>
    </xf>
    <xf numFmtId="0" fontId="21" fillId="0" borderId="46" xfId="0" applyFont="1" applyBorder="1" applyAlignment="1" applyProtection="1">
      <alignment horizontal="center" vertical="center" wrapText="1"/>
      <protection hidden="1"/>
    </xf>
    <xf numFmtId="0" fontId="21" fillId="0" borderId="47" xfId="0" applyFont="1" applyBorder="1" applyAlignment="1" applyProtection="1">
      <alignment horizontal="center" vertical="center" wrapText="1"/>
      <protection hidden="1"/>
    </xf>
    <xf numFmtId="0" fontId="21" fillId="0" borderId="48" xfId="0" applyFont="1" applyBorder="1" applyAlignment="1" applyProtection="1">
      <alignment horizontal="center" vertical="center" wrapText="1"/>
      <protection hidden="1"/>
    </xf>
    <xf numFmtId="0" fontId="21" fillId="0" borderId="34" xfId="0" applyFont="1" applyBorder="1" applyAlignment="1" applyProtection="1">
      <alignment horizontal="center" vertical="center" wrapText="1"/>
      <protection hidden="1"/>
    </xf>
    <xf numFmtId="0" fontId="21" fillId="0" borderId="50" xfId="0" applyFont="1" applyBorder="1" applyAlignment="1" applyProtection="1">
      <alignment horizontal="center" vertical="center" wrapText="1"/>
      <protection hidden="1"/>
    </xf>
    <xf numFmtId="0" fontId="21" fillId="0" borderId="51" xfId="0" applyFont="1" applyBorder="1" applyAlignment="1" applyProtection="1">
      <alignment horizontal="center" vertical="center" wrapText="1"/>
      <protection hidden="1"/>
    </xf>
    <xf numFmtId="0" fontId="21" fillId="0" borderId="34" xfId="0" applyFont="1" applyBorder="1" applyAlignment="1" applyProtection="1">
      <alignment horizontal="center" vertical="center"/>
      <protection hidden="1"/>
    </xf>
    <xf numFmtId="0" fontId="21" fillId="0" borderId="49" xfId="0" applyFont="1" applyBorder="1" applyAlignment="1" applyProtection="1">
      <alignment horizontal="center" vertical="center"/>
      <protection hidden="1"/>
    </xf>
    <xf numFmtId="0" fontId="21" fillId="0" borderId="51" xfId="0" applyFont="1" applyBorder="1" applyAlignment="1" applyProtection="1">
      <alignment horizontal="center" vertical="center"/>
      <protection hidden="1"/>
    </xf>
    <xf numFmtId="0" fontId="21" fillId="0" borderId="52" xfId="0" applyFont="1" applyBorder="1" applyAlignment="1" applyProtection="1">
      <alignment horizontal="center" vertical="center"/>
      <protection hidden="1"/>
    </xf>
    <xf numFmtId="0" fontId="79" fillId="0" borderId="21" xfId="3" applyFont="1" applyBorder="1" applyAlignment="1" applyProtection="1">
      <alignment horizontal="center" vertical="center"/>
      <protection hidden="1"/>
    </xf>
    <xf numFmtId="0" fontId="79" fillId="0" borderId="0" xfId="3" applyFont="1" applyAlignment="1" applyProtection="1">
      <alignment horizontal="center" vertical="center"/>
      <protection hidden="1"/>
    </xf>
    <xf numFmtId="0" fontId="60" fillId="0" borderId="0" xfId="3" applyFont="1" applyAlignment="1" applyProtection="1">
      <alignment horizontal="center" vertical="center"/>
      <protection hidden="1"/>
    </xf>
    <xf numFmtId="0" fontId="60" fillId="0" borderId="22" xfId="3" applyFont="1" applyBorder="1" applyAlignment="1" applyProtection="1">
      <alignment horizontal="center" vertical="center"/>
      <protection hidden="1"/>
    </xf>
    <xf numFmtId="0" fontId="76" fillId="0" borderId="0" xfId="0" applyFont="1" applyAlignment="1" applyProtection="1">
      <alignment horizontal="center"/>
      <protection hidden="1"/>
    </xf>
    <xf numFmtId="0" fontId="78" fillId="0" borderId="93" xfId="3" applyFont="1" applyBorder="1" applyAlignment="1" applyProtection="1">
      <alignment horizontal="center" vertical="center" wrapText="1"/>
      <protection hidden="1"/>
    </xf>
    <xf numFmtId="0" fontId="78" fillId="0" borderId="0" xfId="3" applyFont="1" applyAlignment="1" applyProtection="1">
      <alignment horizontal="center" vertical="center" wrapText="1"/>
      <protection hidden="1"/>
    </xf>
    <xf numFmtId="49" fontId="66" fillId="0" borderId="23" xfId="3" applyNumberFormat="1" applyFont="1" applyBorder="1" applyAlignment="1" applyProtection="1">
      <alignment horizontal="center" vertical="center" wrapText="1"/>
      <protection hidden="1"/>
    </xf>
    <xf numFmtId="49" fontId="66" fillId="0" borderId="24" xfId="3" applyNumberFormat="1" applyFont="1" applyBorder="1" applyAlignment="1" applyProtection="1">
      <alignment horizontal="center" vertical="center" wrapText="1"/>
      <protection hidden="1"/>
    </xf>
    <xf numFmtId="49" fontId="66" fillId="0" borderId="25" xfId="3" applyNumberFormat="1" applyFont="1" applyBorder="1" applyAlignment="1" applyProtection="1">
      <alignment horizontal="center" vertical="center" wrapText="1"/>
      <protection hidden="1"/>
    </xf>
    <xf numFmtId="0" fontId="81" fillId="0" borderId="0" xfId="0" applyFont="1" applyAlignment="1" applyProtection="1">
      <alignment horizontal="center" vertical="center"/>
      <protection hidden="1"/>
    </xf>
    <xf numFmtId="0" fontId="63" fillId="0" borderId="0" xfId="0" applyFont="1" applyAlignment="1" applyProtection="1">
      <alignment horizontal="center" vertical="center"/>
      <protection hidden="1"/>
    </xf>
    <xf numFmtId="0" fontId="76" fillId="0" borderId="0" xfId="0" applyFont="1" applyAlignment="1" applyProtection="1">
      <alignment horizontal="center" vertical="center"/>
      <protection hidden="1"/>
    </xf>
    <xf numFmtId="0" fontId="79" fillId="0" borderId="21" xfId="3" applyFont="1" applyBorder="1" applyAlignment="1" applyProtection="1">
      <alignment horizontal="center" vertical="center" wrapText="1"/>
      <protection hidden="1"/>
    </xf>
    <xf numFmtId="0" fontId="79" fillId="0" borderId="0" xfId="3" applyFont="1" applyAlignment="1" applyProtection="1">
      <alignment horizontal="center" vertical="center" wrapText="1"/>
      <protection hidden="1"/>
    </xf>
    <xf numFmtId="0" fontId="58" fillId="0" borderId="92" xfId="3" applyFont="1" applyBorder="1" applyAlignment="1" applyProtection="1">
      <alignment horizontal="center" vertical="center"/>
      <protection hidden="1"/>
    </xf>
    <xf numFmtId="0" fontId="58" fillId="0" borderId="81" xfId="3" applyFont="1" applyBorder="1" applyAlignment="1" applyProtection="1">
      <alignment horizontal="center" vertical="center"/>
      <protection hidden="1"/>
    </xf>
  </cellXfs>
  <cellStyles count="7">
    <cellStyle name="Hipervínculo" xfId="5" builtinId="8"/>
    <cellStyle name="Normal" xfId="0" builtinId="0"/>
    <cellStyle name="Normal 10" xfId="1" xr:uid="{00000000-0005-0000-0000-000002000000}"/>
    <cellStyle name="Normal 2 2" xfId="4" xr:uid="{00000000-0005-0000-0000-000003000000}"/>
    <cellStyle name="Normal 5" xfId="3" xr:uid="{00000000-0005-0000-0000-000004000000}"/>
    <cellStyle name="Normal 9 2 2" xfId="6" xr:uid="{00000000-0005-0000-0000-000005000000}"/>
    <cellStyle name="Normal_1 (2)" xfId="2" xr:uid="{00000000-0005-0000-0000-000006000000}"/>
  </cellStyles>
  <dxfs count="41">
    <dxf>
      <font>
        <color rgb="FF9C0006"/>
      </font>
      <fill>
        <patternFill>
          <bgColor rgb="FFFFC7CE"/>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mruColors>
      <color rgb="FF99FFCC"/>
      <color rgb="FFA1E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Esfuerzo Normal Vs Esfuerzo Cortante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s-MX"/>
        </a:p>
      </c:txPr>
    </c:title>
    <c:autoTitleDeleted val="0"/>
    <c:plotArea>
      <c:layout>
        <c:manualLayout>
          <c:layoutTarget val="inner"/>
          <c:xMode val="edge"/>
          <c:yMode val="edge"/>
          <c:x val="6.444740504358254E-2"/>
          <c:y val="0.13899519034883182"/>
          <c:w val="0.90307684413486"/>
          <c:h val="0.74134022722926152"/>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6350" cap="flat" cmpd="sng" algn="ctr">
                <a:solidFill>
                  <a:schemeClr val="accent1"/>
                </a:solidFill>
                <a:prstDash val="solid"/>
                <a:miter lim="800000"/>
              </a:ln>
              <a:effectLst/>
            </c:spPr>
            <c:trendlineType val="linear"/>
            <c:dispRSqr val="0"/>
            <c:dispEq val="0"/>
          </c:trendline>
          <c:xVal>
            <c:numRef>
              <c:f>'1'!$D$49:$D$51</c:f>
              <c:numCache>
                <c:formatCode>0.00</c:formatCode>
                <c:ptCount val="3"/>
                <c:pt idx="0">
                  <c:v>0.25</c:v>
                </c:pt>
                <c:pt idx="1">
                  <c:v>0.5</c:v>
                </c:pt>
                <c:pt idx="2">
                  <c:v>1.02</c:v>
                </c:pt>
              </c:numCache>
            </c:numRef>
          </c:xVal>
          <c:yVal>
            <c:numRef>
              <c:f>'1'!$C$49:$C$51</c:f>
              <c:numCache>
                <c:formatCode>0.00</c:formatCode>
                <c:ptCount val="3"/>
                <c:pt idx="0">
                  <c:v>#N/A</c:v>
                </c:pt>
                <c:pt idx="1">
                  <c:v>#N/A</c:v>
                </c:pt>
                <c:pt idx="2">
                  <c:v>#N/A</c:v>
                </c:pt>
              </c:numCache>
            </c:numRef>
          </c:yVal>
          <c:smooth val="0"/>
          <c:extLst>
            <c:ext xmlns:c16="http://schemas.microsoft.com/office/drawing/2014/chart" uri="{C3380CC4-5D6E-409C-BE32-E72D297353CC}">
              <c16:uniqueId val="{00000001-B183-400E-B789-7BD82CB38A69}"/>
            </c:ext>
          </c:extLst>
        </c:ser>
        <c:dLbls>
          <c:showLegendKey val="0"/>
          <c:showVal val="0"/>
          <c:showCatName val="0"/>
          <c:showSerName val="0"/>
          <c:showPercent val="0"/>
          <c:showBubbleSize val="0"/>
        </c:dLbls>
        <c:axId val="102465008"/>
        <c:axId val="2008606272"/>
      </c:scatterChart>
      <c:valAx>
        <c:axId val="10246500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Esfuerzo Normal (Kg/cm2)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s-MX"/>
          </a:p>
        </c:txPr>
        <c:crossAx val="2008606272"/>
        <c:crosses val="autoZero"/>
        <c:crossBetween val="midCat"/>
      </c:valAx>
      <c:valAx>
        <c:axId val="200860627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s-CO"/>
                  <a:t>Esfuerzo cortante  (Kg/cm2)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s-MX"/>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s-MX"/>
          </a:p>
        </c:txPr>
        <c:crossAx val="10246500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accent6"/>
      </a:solidFill>
      <a:prstDash val="solid"/>
      <a:miter lim="800000"/>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defRPr/>
            </a:pPr>
            <a:r>
              <a:rPr lang="en-US"/>
              <a:t>ESFUERZO Vs DEFORMACIÓN</a:t>
            </a:r>
            <a:endParaRPr lang="es-CO"/>
          </a:p>
        </c:rich>
      </c:tx>
      <c:layout>
        <c:manualLayout>
          <c:xMode val="edge"/>
          <c:yMode val="edge"/>
          <c:x val="0.30862443770400749"/>
          <c:y val="1.48148182711737E-2"/>
        </c:manualLayout>
      </c:layout>
      <c:overlay val="0"/>
      <c:spPr>
        <a:noFill/>
        <a:ln>
          <a:noFill/>
        </a:ln>
        <a:effectLst/>
      </c:spPr>
    </c:title>
    <c:autoTitleDeleted val="0"/>
    <c:plotArea>
      <c:layout>
        <c:manualLayout>
          <c:layoutTarget val="inner"/>
          <c:xMode val="edge"/>
          <c:yMode val="edge"/>
          <c:x val="8.822400335766728E-2"/>
          <c:y val="0.12522294995735794"/>
          <c:w val="0.87974820544167709"/>
          <c:h val="0.74894910691040495"/>
        </c:manualLayout>
      </c:layout>
      <c:scatterChart>
        <c:scatterStyle val="smoothMarker"/>
        <c:varyColors val="0"/>
        <c:ser>
          <c:idx val="1"/>
          <c:order val="0"/>
          <c:tx>
            <c:v>PUNTO 1</c:v>
          </c:tx>
          <c:spPr>
            <a:ln>
              <a:solidFill>
                <a:srgbClr val="00B050"/>
              </a:solidFill>
            </a:ln>
          </c:spPr>
          <c:marker>
            <c:spPr>
              <a:solidFill>
                <a:srgbClr val="00B050"/>
              </a:solidFill>
              <a:ln>
                <a:solidFill>
                  <a:srgbClr val="00B050"/>
                </a:solidFill>
              </a:ln>
            </c:spPr>
          </c:marker>
          <c:xVal>
            <c:numRef>
              <c:f>'2'!$B$20:$B$52</c:f>
              <c:numCache>
                <c:formatCode>0.00</c:formatCode>
                <c:ptCount val="33"/>
                <c:pt idx="0">
                  <c:v>0</c:v>
                </c:pt>
                <c:pt idx="1">
                  <c:v>0.05</c:v>
                </c:pt>
                <c:pt idx="2">
                  <c:v>0.1</c:v>
                </c:pt>
                <c:pt idx="3">
                  <c:v>0.2</c:v>
                </c:pt>
                <c:pt idx="4">
                  <c:v>0.5</c:v>
                </c:pt>
                <c:pt idx="5">
                  <c:v>0.75</c:v>
                </c:pt>
                <c:pt idx="6">
                  <c:v>1</c:v>
                </c:pt>
                <c:pt idx="7">
                  <c:v>1.25</c:v>
                </c:pt>
                <c:pt idx="8">
                  <c:v>1.5</c:v>
                </c:pt>
                <c:pt idx="9">
                  <c:v>1.75</c:v>
                </c:pt>
                <c:pt idx="10">
                  <c:v>2</c:v>
                </c:pt>
                <c:pt idx="11">
                  <c:v>2.5</c:v>
                </c:pt>
                <c:pt idx="12">
                  <c:v>2.75</c:v>
                </c:pt>
                <c:pt idx="13">
                  <c:v>3</c:v>
                </c:pt>
                <c:pt idx="14">
                  <c:v>3.25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numCache>
            </c:numRef>
          </c:xVal>
          <c:yVal>
            <c:numRef>
              <c:f>'2'!$E$20:$E$52</c:f>
              <c:numCache>
                <c:formatCode>0.00</c:formatCode>
                <c:ptCount val="3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numCache>
            </c:numRef>
          </c:yVal>
          <c:smooth val="1"/>
          <c:extLst>
            <c:ext xmlns:c16="http://schemas.microsoft.com/office/drawing/2014/chart" uri="{C3380CC4-5D6E-409C-BE32-E72D297353CC}">
              <c16:uniqueId val="{00000006-2AA7-4444-B39E-8A9442904C5A}"/>
            </c:ext>
          </c:extLst>
        </c:ser>
        <c:ser>
          <c:idx val="2"/>
          <c:order val="1"/>
          <c:tx>
            <c:v>PUNTO 2</c:v>
          </c:tx>
          <c:spPr>
            <a:ln w="12700" cap="flat" cmpd="sng" algn="ctr">
              <a:solidFill>
                <a:srgbClr val="FF0000"/>
              </a:solidFill>
              <a:prstDash val="solid"/>
              <a:miter lim="800000"/>
            </a:ln>
            <a:effectLst/>
          </c:spPr>
          <c:marker>
            <c:spPr>
              <a:solidFill>
                <a:srgbClr val="FF0000"/>
              </a:solidFill>
              <a:ln w="12700" cap="flat" cmpd="sng" algn="ctr">
                <a:solidFill>
                  <a:srgbClr val="FF0000"/>
                </a:solidFill>
                <a:prstDash val="solid"/>
                <a:miter lim="800000"/>
              </a:ln>
              <a:effectLst/>
            </c:spPr>
          </c:marker>
          <c:xVal>
            <c:numRef>
              <c:f>'2'!$B$20:$B$52</c:f>
              <c:numCache>
                <c:formatCode>0.00</c:formatCode>
                <c:ptCount val="33"/>
                <c:pt idx="0">
                  <c:v>0</c:v>
                </c:pt>
                <c:pt idx="1">
                  <c:v>0.05</c:v>
                </c:pt>
                <c:pt idx="2">
                  <c:v>0.1</c:v>
                </c:pt>
                <c:pt idx="3">
                  <c:v>0.2</c:v>
                </c:pt>
                <c:pt idx="4">
                  <c:v>0.5</c:v>
                </c:pt>
                <c:pt idx="5">
                  <c:v>0.75</c:v>
                </c:pt>
                <c:pt idx="6">
                  <c:v>1</c:v>
                </c:pt>
                <c:pt idx="7">
                  <c:v>1.25</c:v>
                </c:pt>
                <c:pt idx="8">
                  <c:v>1.5</c:v>
                </c:pt>
                <c:pt idx="9">
                  <c:v>1.75</c:v>
                </c:pt>
                <c:pt idx="10">
                  <c:v>2</c:v>
                </c:pt>
                <c:pt idx="11">
                  <c:v>2.5</c:v>
                </c:pt>
                <c:pt idx="12">
                  <c:v>2.75</c:v>
                </c:pt>
                <c:pt idx="13">
                  <c:v>3</c:v>
                </c:pt>
                <c:pt idx="14">
                  <c:v>3.25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numCache>
            </c:numRef>
          </c:xVal>
          <c:yVal>
            <c:numRef>
              <c:f>'2'!$H$20:$H$52</c:f>
              <c:numCache>
                <c:formatCode>#,##0.00</c:formatCode>
                <c:ptCount val="33"/>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numCache>
            </c:numRef>
          </c:yVal>
          <c:smooth val="1"/>
          <c:extLst>
            <c:ext xmlns:c16="http://schemas.microsoft.com/office/drawing/2014/chart" uri="{C3380CC4-5D6E-409C-BE32-E72D297353CC}">
              <c16:uniqueId val="{00000007-2AA7-4444-B39E-8A9442904C5A}"/>
            </c:ext>
          </c:extLst>
        </c:ser>
        <c:ser>
          <c:idx val="0"/>
          <c:order val="2"/>
          <c:tx>
            <c:v>PUNTO 3</c:v>
          </c:tx>
          <c:spPr>
            <a:ln>
              <a:solidFill>
                <a:srgbClr val="00B0F0"/>
              </a:solidFill>
            </a:ln>
          </c:spPr>
          <c:marker>
            <c:symbol val="circle"/>
            <c:size val="5"/>
            <c:spPr>
              <a:solidFill>
                <a:srgbClr val="00B0F0"/>
              </a:solidFill>
              <a:ln w="9525">
                <a:solidFill>
                  <a:srgbClr val="00B0F0"/>
                </a:solidFill>
              </a:ln>
              <a:effectLst/>
            </c:spPr>
          </c:marker>
          <c:xVal>
            <c:numRef>
              <c:f>'2'!$B$20:$B$52</c:f>
              <c:numCache>
                <c:formatCode>0.00</c:formatCode>
                <c:ptCount val="33"/>
                <c:pt idx="0">
                  <c:v>0</c:v>
                </c:pt>
                <c:pt idx="1">
                  <c:v>0.05</c:v>
                </c:pt>
                <c:pt idx="2">
                  <c:v>0.1</c:v>
                </c:pt>
                <c:pt idx="3">
                  <c:v>0.2</c:v>
                </c:pt>
                <c:pt idx="4">
                  <c:v>0.5</c:v>
                </c:pt>
                <c:pt idx="5">
                  <c:v>0.75</c:v>
                </c:pt>
                <c:pt idx="6">
                  <c:v>1</c:v>
                </c:pt>
                <c:pt idx="7">
                  <c:v>1.25</c:v>
                </c:pt>
                <c:pt idx="8">
                  <c:v>1.5</c:v>
                </c:pt>
                <c:pt idx="9">
                  <c:v>1.75</c:v>
                </c:pt>
                <c:pt idx="10">
                  <c:v>2</c:v>
                </c:pt>
                <c:pt idx="11">
                  <c:v>2.5</c:v>
                </c:pt>
                <c:pt idx="12">
                  <c:v>2.75</c:v>
                </c:pt>
                <c:pt idx="13">
                  <c:v>3</c:v>
                </c:pt>
                <c:pt idx="14">
                  <c:v>3.25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numCache>
            </c:numRef>
          </c:xVal>
          <c:yVal>
            <c:numRef>
              <c:f>'2'!$K$20:$K$52</c:f>
              <c:numCache>
                <c:formatCode>0.00</c:formatCode>
                <c:ptCount val="33"/>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numCache>
            </c:numRef>
          </c:yVal>
          <c:smooth val="1"/>
          <c:extLst>
            <c:ext xmlns:c16="http://schemas.microsoft.com/office/drawing/2014/chart" uri="{C3380CC4-5D6E-409C-BE32-E72D297353CC}">
              <c16:uniqueId val="{00000005-2AA7-4444-B39E-8A9442904C5A}"/>
            </c:ext>
          </c:extLst>
        </c:ser>
        <c:dLbls>
          <c:showLegendKey val="0"/>
          <c:showVal val="0"/>
          <c:showCatName val="0"/>
          <c:showSerName val="0"/>
          <c:showPercent val="0"/>
          <c:showBubbleSize val="0"/>
        </c:dLbls>
        <c:axId val="381717136"/>
        <c:axId val="343639888"/>
      </c:scatterChart>
      <c:valAx>
        <c:axId val="381717136"/>
        <c:scaling>
          <c:orientation val="minMax"/>
        </c:scaling>
        <c:delete val="0"/>
        <c:axPos val="b"/>
        <c:title>
          <c:tx>
            <c:rich>
              <a:bodyPr rot="0" vert="horz"/>
              <a:lstStyle/>
              <a:p>
                <a:pPr>
                  <a:defRPr/>
                </a:pPr>
                <a:r>
                  <a:rPr lang="es-CO"/>
                  <a:t>Deformación (mm)</a:t>
                </a:r>
              </a:p>
            </c:rich>
          </c:tx>
          <c:overlay val="0"/>
          <c:spPr>
            <a:noFill/>
            <a:ln>
              <a:noFill/>
            </a:ln>
            <a:effectLst/>
          </c:sp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vert="horz"/>
          <a:lstStyle/>
          <a:p>
            <a:pPr>
              <a:defRPr/>
            </a:pPr>
            <a:endParaRPr lang="es-MX"/>
          </a:p>
        </c:txPr>
        <c:crossAx val="343639888"/>
        <c:crosses val="autoZero"/>
        <c:crossBetween val="midCat"/>
      </c:valAx>
      <c:valAx>
        <c:axId val="343639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lgn="ctr" rtl="0">
                  <a:defRPr/>
                </a:pPr>
                <a:r>
                  <a:rPr lang="es-CO"/>
                  <a:t>Esfuerzo (Kg/cm2)</a:t>
                </a:r>
              </a:p>
            </c:rich>
          </c:tx>
          <c:overlay val="0"/>
          <c:spPr>
            <a:noFill/>
            <a:ln>
              <a:noFill/>
            </a:ln>
            <a:effectLst/>
          </c:sp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vert="horz"/>
          <a:lstStyle/>
          <a:p>
            <a:pPr>
              <a:defRPr/>
            </a:pPr>
            <a:endParaRPr lang="es-MX"/>
          </a:p>
        </c:txPr>
        <c:crossAx val="381717136"/>
        <c:crosses val="autoZero"/>
        <c:crossBetween val="midCat"/>
      </c:valAx>
    </c:plotArea>
    <c:plotVisOnly val="1"/>
    <c:dispBlanksAs val="gap"/>
    <c:showDLblsOverMax val="0"/>
    <c:extLst/>
  </c:chart>
  <c:spPr>
    <a:solidFill>
      <a:schemeClr val="lt1"/>
    </a:solidFill>
    <a:ln w="12700" cap="flat" cmpd="sng" algn="ctr">
      <a:solidFill>
        <a:schemeClr val="accent6"/>
      </a:solidFill>
      <a:prstDash val="solid"/>
      <a:miter lim="800000"/>
    </a:ln>
    <a:effectLst/>
  </c:spPr>
  <c:txPr>
    <a:bodyPr/>
    <a:lstStyle/>
    <a:p>
      <a:pPr>
        <a:defRPr>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404605229907713"/>
          <c:y val="6.4197020830659673E-2"/>
          <c:w val="0.80911831196419959"/>
          <c:h val="0.87139990550526902"/>
        </c:manualLayout>
      </c:layout>
      <c:scatterChart>
        <c:scatterStyle val="smoothMarker"/>
        <c:varyColors val="0"/>
        <c:ser>
          <c:idx val="0"/>
          <c:order val="0"/>
          <c:spPr>
            <a:ln w="22225"/>
          </c:spPr>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CARGA1!$E$20:$E$34</c:f>
              <c:numCache>
                <c:formatCode>0.000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yVal>
          <c:smooth val="0"/>
          <c:extLst>
            <c:ext xmlns:c16="http://schemas.microsoft.com/office/drawing/2014/chart" uri="{C3380CC4-5D6E-409C-BE32-E72D297353CC}">
              <c16:uniqueId val="{00000000-8F11-4527-B2D0-14B52A15A6E3}"/>
            </c:ext>
          </c:extLst>
        </c:ser>
        <c:ser>
          <c:idx val="2"/>
          <c:order val="2"/>
          <c:tx>
            <c:v>LINEA A</c:v>
          </c:tx>
          <c:marker>
            <c:symbol val="none"/>
          </c:marker>
          <c:dPt>
            <c:idx val="1"/>
            <c:bubble3D val="0"/>
            <c:spPr>
              <a:ln>
                <a:solidFill>
                  <a:srgbClr val="92D050"/>
                </a:solidFill>
              </a:ln>
            </c:spPr>
            <c:extLst>
              <c:ext xmlns:c16="http://schemas.microsoft.com/office/drawing/2014/chart" uri="{C3380CC4-5D6E-409C-BE32-E72D297353CC}">
                <c16:uniqueId val="{00000002-8F11-4527-B2D0-14B52A15A6E3}"/>
              </c:ext>
            </c:extLst>
          </c:dPt>
          <c:xVal>
            <c:numRef>
              <c:f>CARGA1!$B$95:$B$96</c:f>
              <c:numCache>
                <c:formatCode>General</c:formatCode>
                <c:ptCount val="2"/>
                <c:pt idx="0">
                  <c:v>0</c:v>
                </c:pt>
                <c:pt idx="1">
                  <c:v>0</c:v>
                </c:pt>
              </c:numCache>
            </c:numRef>
          </c:xVal>
          <c:yVal>
            <c:numRef>
              <c:f>CARGA1!$A$95:$A$96</c:f>
              <c:numCache>
                <c:formatCode>General</c:formatCode>
                <c:ptCount val="2"/>
                <c:pt idx="0" formatCode="0.00">
                  <c:v>20</c:v>
                </c:pt>
                <c:pt idx="1">
                  <c:v>0</c:v>
                </c:pt>
              </c:numCache>
            </c:numRef>
          </c:yVal>
          <c:smooth val="1"/>
          <c:extLst>
            <c:ext xmlns:c16="http://schemas.microsoft.com/office/drawing/2014/chart" uri="{C3380CC4-5D6E-409C-BE32-E72D297353CC}">
              <c16:uniqueId val="{00000003-8F11-4527-B2D0-14B52A15A6E3}"/>
            </c:ext>
          </c:extLst>
        </c:ser>
        <c:ser>
          <c:idx val="3"/>
          <c:order val="3"/>
          <c:tx>
            <c:v>PEND 1.15</c:v>
          </c:tx>
          <c:spPr>
            <a:ln>
              <a:solidFill>
                <a:schemeClr val="tx1"/>
              </a:solidFill>
            </a:ln>
          </c:spPr>
          <c:xVal>
            <c:numRef>
              <c:f>CARGA1!$B$100:$B$101</c:f>
              <c:numCache>
                <c:formatCode>General</c:formatCode>
                <c:ptCount val="2"/>
                <c:pt idx="0">
                  <c:v>0</c:v>
                </c:pt>
                <c:pt idx="1">
                  <c:v>0</c:v>
                </c:pt>
              </c:numCache>
            </c:numRef>
          </c:xVal>
          <c:yVal>
            <c:numRef>
              <c:f>CARGA1!$A$100:$A$101</c:f>
              <c:numCache>
                <c:formatCode>General</c:formatCode>
                <c:ptCount val="2"/>
                <c:pt idx="0" formatCode="0.00">
                  <c:v>20</c:v>
                </c:pt>
                <c:pt idx="1">
                  <c:v>0</c:v>
                </c:pt>
              </c:numCache>
            </c:numRef>
          </c:yVal>
          <c:smooth val="1"/>
          <c:extLst>
            <c:ext xmlns:c16="http://schemas.microsoft.com/office/drawing/2014/chart" uri="{C3380CC4-5D6E-409C-BE32-E72D297353CC}">
              <c16:uniqueId val="{00000004-8F11-4527-B2D0-14B52A15A6E3}"/>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trendline>
                  <c:trendlineType val="linear"/>
                  <c:dispRSqr val="0"/>
                  <c:dispEq val="0"/>
                </c:trendline>
                <c:xVal>
                  <c:numRef>
                    <c:extLst>
                      <c:ext uri="{02D57815-91ED-43cb-92C2-25804820EDAC}">
                        <c15:formulaRef>
                          <c15:sqref>CARGA1!$B$21:$B$23</c15:sqref>
                        </c15:formulaRef>
                      </c:ext>
                    </c:extLst>
                    <c:numCache>
                      <c:formatCode>0.00</c:formatCode>
                      <c:ptCount val="3"/>
                      <c:pt idx="0">
                        <c:v>0.5</c:v>
                      </c:pt>
                      <c:pt idx="1">
                        <c:v>0.70710678118654757</c:v>
                      </c:pt>
                      <c:pt idx="2">
                        <c:v>1</c:v>
                      </c:pt>
                    </c:numCache>
                  </c:numRef>
                </c:xVal>
                <c:yVal>
                  <c:numRef>
                    <c:extLst>
                      <c:ext uri="{02D57815-91ED-43cb-92C2-25804820EDAC}">
                        <c15:formulaRef>
                          <c15:sqref>CARGA1!$E$21:$E$23</c15:sqref>
                        </c15:formulaRef>
                      </c:ext>
                    </c:extLst>
                    <c:numCache>
                      <c:formatCode>0.000</c:formatCode>
                      <c:ptCount val="3"/>
                      <c:pt idx="0">
                        <c:v>0</c:v>
                      </c:pt>
                      <c:pt idx="1">
                        <c:v>0</c:v>
                      </c:pt>
                      <c:pt idx="2">
                        <c:v>0</c:v>
                      </c:pt>
                    </c:numCache>
                  </c:numRef>
                </c:yVal>
                <c:smooth val="1"/>
                <c:extLst>
                  <c:ext xmlns:c16="http://schemas.microsoft.com/office/drawing/2014/chart" uri="{C3380CC4-5D6E-409C-BE32-E72D297353CC}">
                    <c16:uniqueId val="{00000006-8F11-4527-B2D0-14B52A15A6E3}"/>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n-US" sz="900"/>
                  <a:t>25 KPa carga</a:t>
                </a:r>
              </a:p>
              <a:p>
                <a:pPr>
                  <a:defRPr/>
                </a:pPr>
                <a:r>
                  <a:rPr lang="en-US" sz="900"/>
                  <a:t>raíz de t min</a:t>
                </a:r>
              </a:p>
            </c:rich>
          </c:tx>
          <c:layout>
            <c:manualLayout>
              <c:xMode val="edge"/>
              <c:yMode val="edge"/>
              <c:x val="0.70764785617967385"/>
              <c:y val="7.4520168625932443E-2"/>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0.37000000000000005"/>
          <c:min val="0.2"/>
        </c:scaling>
        <c:delete val="0"/>
        <c:axPos val="l"/>
        <c:majorGridlines/>
        <c:minorGridlines/>
        <c:title>
          <c:tx>
            <c:rich>
              <a:bodyPr/>
              <a:lstStyle/>
              <a:p>
                <a:pPr>
                  <a:defRPr/>
                </a:pPr>
                <a:r>
                  <a:rPr lang="en-US"/>
                  <a:t> Def unitaria % - Raíz</a:t>
                </a:r>
                <a:r>
                  <a:rPr lang="en-US" baseline="0"/>
                  <a:t> de tiempo</a:t>
                </a:r>
                <a:endParaRPr lang="en-US"/>
              </a:p>
            </c:rich>
          </c:tx>
          <c:layout>
            <c:manualLayout>
              <c:xMode val="edge"/>
              <c:yMode val="edge"/>
              <c:x val="0.94453541454758816"/>
              <c:y val="0.18139854315377252"/>
            </c:manualLayout>
          </c:layout>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031013144775554E-2"/>
          <c:y val="6.4197020830659673E-2"/>
          <c:w val="0.86023571022091949"/>
          <c:h val="0.88494636841378727"/>
        </c:manualLayout>
      </c:layout>
      <c:scatterChart>
        <c:scatterStyle val="smoothMarker"/>
        <c:varyColors val="0"/>
        <c:ser>
          <c:idx val="0"/>
          <c:order val="0"/>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CARGA1!$H$20:$H$34</c:f>
              <c:numCache>
                <c:formatCode>0.000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yVal>
          <c:smooth val="0"/>
          <c:extLst>
            <c:ext xmlns:c16="http://schemas.microsoft.com/office/drawing/2014/chart" uri="{C3380CC4-5D6E-409C-BE32-E72D297353CC}">
              <c16:uniqueId val="{00000000-A3BD-4B4E-AE69-DD19E1032191}"/>
            </c:ext>
          </c:extLst>
        </c:ser>
        <c:ser>
          <c:idx val="2"/>
          <c:order val="2"/>
          <c:tx>
            <c:v>LINEA A</c:v>
          </c:tx>
          <c:marker>
            <c:symbol val="none"/>
          </c:marker>
          <c:dPt>
            <c:idx val="1"/>
            <c:bubble3D val="0"/>
            <c:spPr>
              <a:ln>
                <a:solidFill>
                  <a:srgbClr val="92D050"/>
                </a:solidFill>
              </a:ln>
            </c:spPr>
            <c:extLst>
              <c:ext xmlns:c16="http://schemas.microsoft.com/office/drawing/2014/chart" uri="{C3380CC4-5D6E-409C-BE32-E72D297353CC}">
                <c16:uniqueId val="{00000002-A3BD-4B4E-AE69-DD19E1032191}"/>
              </c:ext>
            </c:extLst>
          </c:dPt>
          <c:xVal>
            <c:numRef>
              <c:f>CARGA1!$F$95:$F$96</c:f>
              <c:numCache>
                <c:formatCode>General</c:formatCode>
                <c:ptCount val="2"/>
                <c:pt idx="0">
                  <c:v>0</c:v>
                </c:pt>
                <c:pt idx="1">
                  <c:v>0</c:v>
                </c:pt>
              </c:numCache>
            </c:numRef>
          </c:xVal>
          <c:yVal>
            <c:numRef>
              <c:f>CARGA1!$E$95:$E$96</c:f>
              <c:numCache>
                <c:formatCode>General</c:formatCode>
                <c:ptCount val="2"/>
                <c:pt idx="0" formatCode="0.00">
                  <c:v>20</c:v>
                </c:pt>
                <c:pt idx="1">
                  <c:v>0</c:v>
                </c:pt>
              </c:numCache>
            </c:numRef>
          </c:yVal>
          <c:smooth val="1"/>
          <c:extLst>
            <c:ext xmlns:c16="http://schemas.microsoft.com/office/drawing/2014/chart" uri="{C3380CC4-5D6E-409C-BE32-E72D297353CC}">
              <c16:uniqueId val="{00000003-A3BD-4B4E-AE69-DD19E1032191}"/>
            </c:ext>
          </c:extLst>
        </c:ser>
        <c:ser>
          <c:idx val="3"/>
          <c:order val="3"/>
          <c:tx>
            <c:v>PEND 1.15</c:v>
          </c:tx>
          <c:spPr>
            <a:ln>
              <a:solidFill>
                <a:sysClr val="windowText" lastClr="000000"/>
              </a:solidFill>
            </a:ln>
          </c:spPr>
          <c:marker>
            <c:symbol val="none"/>
          </c:marker>
          <c:xVal>
            <c:numRef>
              <c:f>CARGA1!$F$100:$F$101</c:f>
              <c:numCache>
                <c:formatCode>General</c:formatCode>
                <c:ptCount val="2"/>
                <c:pt idx="0">
                  <c:v>0</c:v>
                </c:pt>
                <c:pt idx="1">
                  <c:v>0</c:v>
                </c:pt>
              </c:numCache>
            </c:numRef>
          </c:xVal>
          <c:yVal>
            <c:numRef>
              <c:f>CARGA1!$E$100:$E$101</c:f>
              <c:numCache>
                <c:formatCode>General</c:formatCode>
                <c:ptCount val="2"/>
                <c:pt idx="0" formatCode="0.00">
                  <c:v>20</c:v>
                </c:pt>
                <c:pt idx="1">
                  <c:v>0</c:v>
                </c:pt>
              </c:numCache>
            </c:numRef>
          </c:yVal>
          <c:smooth val="1"/>
          <c:extLst>
            <c:ext xmlns:c16="http://schemas.microsoft.com/office/drawing/2014/chart" uri="{C3380CC4-5D6E-409C-BE32-E72D297353CC}">
              <c16:uniqueId val="{00000004-A3BD-4B4E-AE69-DD19E1032191}"/>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spPr>
                  <a:ln w="22225"/>
                </c:spPr>
                <c:marker>
                  <c:symbol val="none"/>
                </c:marker>
                <c:trendline>
                  <c:trendlineType val="linear"/>
                  <c:dispRSqr val="0"/>
                  <c:dispEq val="0"/>
                </c:trendline>
                <c:xVal>
                  <c:numRef>
                    <c:extLst>
                      <c:ext uri="{02D57815-91ED-43cb-92C2-25804820EDAC}">
                        <c15:formulaRef>
                          <c15:sqref>CARGA1!$B$21:$B$23</c15:sqref>
                        </c15:formulaRef>
                      </c:ext>
                    </c:extLst>
                    <c:numCache>
                      <c:formatCode>0.00</c:formatCode>
                      <c:ptCount val="3"/>
                      <c:pt idx="0">
                        <c:v>0.5</c:v>
                      </c:pt>
                      <c:pt idx="1">
                        <c:v>0.70710678118654757</c:v>
                      </c:pt>
                      <c:pt idx="2">
                        <c:v>1</c:v>
                      </c:pt>
                    </c:numCache>
                  </c:numRef>
                </c:xVal>
                <c:yVal>
                  <c:numRef>
                    <c:extLst>
                      <c:ext uri="{02D57815-91ED-43cb-92C2-25804820EDAC}">
                        <c15:formulaRef>
                          <c15:sqref>CARGA1!$E$21:$E$23</c15:sqref>
                        </c15:formulaRef>
                      </c:ext>
                    </c:extLst>
                    <c:numCache>
                      <c:formatCode>0.000</c:formatCode>
                      <c:ptCount val="3"/>
                      <c:pt idx="0">
                        <c:v>0</c:v>
                      </c:pt>
                      <c:pt idx="1">
                        <c:v>0</c:v>
                      </c:pt>
                      <c:pt idx="2">
                        <c:v>0</c:v>
                      </c:pt>
                    </c:numCache>
                  </c:numRef>
                </c:yVal>
                <c:smooth val="1"/>
                <c:extLst>
                  <c:ext xmlns:c16="http://schemas.microsoft.com/office/drawing/2014/chart" uri="{C3380CC4-5D6E-409C-BE32-E72D297353CC}">
                    <c16:uniqueId val="{00000006-A3BD-4B4E-AE69-DD19E1032191}"/>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n-US" sz="900" baseline="0"/>
                  <a:t>50 </a:t>
                </a:r>
                <a:r>
                  <a:rPr lang="en-US" sz="900"/>
                  <a:t>KPa carga</a:t>
                </a:r>
              </a:p>
              <a:p>
                <a:pPr>
                  <a:defRPr/>
                </a:pPr>
                <a:r>
                  <a:rPr lang="en-US" sz="900"/>
                  <a:t>raíz de t min</a:t>
                </a:r>
              </a:p>
            </c:rich>
          </c:tx>
          <c:layout>
            <c:manualLayout>
              <c:xMode val="edge"/>
              <c:yMode val="edge"/>
              <c:x val="0.72189412278065102"/>
              <c:y val="6.4951669820487903E-2"/>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1.9"/>
          <c:min val="1.3"/>
        </c:scaling>
        <c:delete val="0"/>
        <c:axPos val="l"/>
        <c:majorGridlines/>
        <c:minorGridlines/>
        <c:title>
          <c:tx>
            <c:rich>
              <a:bodyPr/>
              <a:lstStyle/>
              <a:p>
                <a:pPr>
                  <a:defRPr/>
                </a:pPr>
                <a:r>
                  <a:rPr lang="en-US"/>
                  <a:t> Def unitaria % - Raíz</a:t>
                </a:r>
                <a:r>
                  <a:rPr lang="en-US" baseline="0"/>
                  <a:t> de tiempo</a:t>
                </a:r>
                <a:endParaRPr lang="en-US"/>
              </a:p>
            </c:rich>
          </c:tx>
          <c:layout>
            <c:manualLayout>
              <c:xMode val="edge"/>
              <c:yMode val="edge"/>
              <c:x val="0.95355010685787933"/>
              <c:y val="0.17675950347407413"/>
            </c:manualLayout>
          </c:layout>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031013144775554E-2"/>
          <c:y val="6.4197020830659673E-2"/>
          <c:w val="0.86023571022091949"/>
          <c:h val="0.88494636841378727"/>
        </c:manualLayout>
      </c:layout>
      <c:scatterChart>
        <c:scatterStyle val="smoothMarker"/>
        <c:varyColors val="0"/>
        <c:ser>
          <c:idx val="0"/>
          <c:order val="0"/>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CARGA1!$K$20:$K$33</c:f>
              <c:numCache>
                <c:formatCode>0.000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mooth val="0"/>
          <c:extLst>
            <c:ext xmlns:c16="http://schemas.microsoft.com/office/drawing/2014/chart" uri="{C3380CC4-5D6E-409C-BE32-E72D297353CC}">
              <c16:uniqueId val="{00000000-90B4-4A44-AFFD-4449EB63E320}"/>
            </c:ext>
          </c:extLst>
        </c:ser>
        <c:ser>
          <c:idx val="2"/>
          <c:order val="2"/>
          <c:tx>
            <c:v>LINEA A</c:v>
          </c:tx>
          <c:marker>
            <c:symbol val="none"/>
          </c:marker>
          <c:dPt>
            <c:idx val="1"/>
            <c:bubble3D val="0"/>
            <c:spPr>
              <a:ln>
                <a:solidFill>
                  <a:srgbClr val="92D050"/>
                </a:solidFill>
              </a:ln>
            </c:spPr>
            <c:extLst>
              <c:ext xmlns:c16="http://schemas.microsoft.com/office/drawing/2014/chart" uri="{C3380CC4-5D6E-409C-BE32-E72D297353CC}">
                <c16:uniqueId val="{00000002-90B4-4A44-AFFD-4449EB63E320}"/>
              </c:ext>
            </c:extLst>
          </c:dPt>
          <c:xVal>
            <c:numRef>
              <c:f>CARGA1!$J$95:$J$96</c:f>
              <c:numCache>
                <c:formatCode>General</c:formatCode>
                <c:ptCount val="2"/>
                <c:pt idx="0">
                  <c:v>0</c:v>
                </c:pt>
                <c:pt idx="1">
                  <c:v>0</c:v>
                </c:pt>
              </c:numCache>
            </c:numRef>
          </c:xVal>
          <c:yVal>
            <c:numRef>
              <c:f>CARGA1!$I$95:$I$96</c:f>
              <c:numCache>
                <c:formatCode>General</c:formatCode>
                <c:ptCount val="2"/>
                <c:pt idx="0" formatCode="0.00">
                  <c:v>25</c:v>
                </c:pt>
                <c:pt idx="1">
                  <c:v>0</c:v>
                </c:pt>
              </c:numCache>
            </c:numRef>
          </c:yVal>
          <c:smooth val="1"/>
          <c:extLst>
            <c:ext xmlns:c16="http://schemas.microsoft.com/office/drawing/2014/chart" uri="{C3380CC4-5D6E-409C-BE32-E72D297353CC}">
              <c16:uniqueId val="{00000003-90B4-4A44-AFFD-4449EB63E320}"/>
            </c:ext>
          </c:extLst>
        </c:ser>
        <c:ser>
          <c:idx val="3"/>
          <c:order val="3"/>
          <c:tx>
            <c:v>PEND 1.15</c:v>
          </c:tx>
          <c:marker>
            <c:symbol val="none"/>
          </c:marker>
          <c:dPt>
            <c:idx val="1"/>
            <c:bubble3D val="0"/>
            <c:spPr>
              <a:ln>
                <a:solidFill>
                  <a:sysClr val="windowText" lastClr="000000"/>
                </a:solidFill>
              </a:ln>
            </c:spPr>
            <c:extLst>
              <c:ext xmlns:c16="http://schemas.microsoft.com/office/drawing/2014/chart" uri="{C3380CC4-5D6E-409C-BE32-E72D297353CC}">
                <c16:uniqueId val="{00000003-4236-4D80-92D8-8FDD067EBEC8}"/>
              </c:ext>
            </c:extLst>
          </c:dPt>
          <c:xVal>
            <c:numRef>
              <c:f>CARGA1!$J$100:$J$101</c:f>
              <c:numCache>
                <c:formatCode>General</c:formatCode>
                <c:ptCount val="2"/>
                <c:pt idx="0">
                  <c:v>0</c:v>
                </c:pt>
                <c:pt idx="1">
                  <c:v>0</c:v>
                </c:pt>
              </c:numCache>
            </c:numRef>
          </c:xVal>
          <c:yVal>
            <c:numRef>
              <c:f>CARGA1!$I$100:$I$101</c:f>
              <c:numCache>
                <c:formatCode>General</c:formatCode>
                <c:ptCount val="2"/>
                <c:pt idx="0" formatCode="0.00">
                  <c:v>25</c:v>
                </c:pt>
                <c:pt idx="1">
                  <c:v>0</c:v>
                </c:pt>
              </c:numCache>
            </c:numRef>
          </c:yVal>
          <c:smooth val="1"/>
          <c:extLst>
            <c:ext xmlns:c16="http://schemas.microsoft.com/office/drawing/2014/chart" uri="{C3380CC4-5D6E-409C-BE32-E72D297353CC}">
              <c16:uniqueId val="{00000004-90B4-4A44-AFFD-4449EB63E320}"/>
            </c:ext>
          </c:extLst>
        </c:ser>
        <c:ser>
          <c:idx val="4"/>
          <c:order val="4"/>
          <c:marker>
            <c:symbol val="none"/>
          </c:marker>
          <c:xVal>
            <c:numRef>
              <c:f>CARGA1!$B$20:$B$49</c:f>
              <c:numCache>
                <c:formatCode>0.00</c:formatCode>
                <c:ptCount val="30"/>
                <c:pt idx="0">
                  <c:v>0.31622776601683794</c:v>
                </c:pt>
                <c:pt idx="1">
                  <c:v>0.5</c:v>
                </c:pt>
                <c:pt idx="2">
                  <c:v>0.70710678118654757</c:v>
                </c:pt>
                <c:pt idx="3">
                  <c:v>1</c:v>
                </c:pt>
                <c:pt idx="4">
                  <c:v>1.4142135623730951</c:v>
                </c:pt>
                <c:pt idx="5">
                  <c:v>1.7320508075688772</c:v>
                </c:pt>
                <c:pt idx="6">
                  <c:v>2</c:v>
                </c:pt>
                <c:pt idx="7">
                  <c:v>2.4494897427831779</c:v>
                </c:pt>
                <c:pt idx="8">
                  <c:v>3</c:v>
                </c:pt>
                <c:pt idx="9">
                  <c:v>3.4641016151377544</c:v>
                </c:pt>
                <c:pt idx="10">
                  <c:v>4</c:v>
                </c:pt>
                <c:pt idx="11">
                  <c:v>5</c:v>
                </c:pt>
                <c:pt idx="12">
                  <c:v>6</c:v>
                </c:pt>
                <c:pt idx="13">
                  <c:v>7</c:v>
                </c:pt>
                <c:pt idx="14">
                  <c:v>8</c:v>
                </c:pt>
                <c:pt idx="15">
                  <c:v>9</c:v>
                </c:pt>
                <c:pt idx="16">
                  <c:v>10</c:v>
                </c:pt>
                <c:pt idx="17">
                  <c:v>10.954451150103322</c:v>
                </c:pt>
                <c:pt idx="18">
                  <c:v>12</c:v>
                </c:pt>
                <c:pt idx="19">
                  <c:v>13</c:v>
                </c:pt>
                <c:pt idx="20">
                  <c:v>14</c:v>
                </c:pt>
                <c:pt idx="21">
                  <c:v>15</c:v>
                </c:pt>
                <c:pt idx="22">
                  <c:v>16</c:v>
                </c:pt>
                <c:pt idx="23">
                  <c:v>17</c:v>
                </c:pt>
                <c:pt idx="24">
                  <c:v>18</c:v>
                </c:pt>
                <c:pt idx="25">
                  <c:v>19</c:v>
                </c:pt>
                <c:pt idx="26">
                  <c:v>20</c:v>
                </c:pt>
                <c:pt idx="27">
                  <c:v>21</c:v>
                </c:pt>
                <c:pt idx="28">
                  <c:v>22</c:v>
                </c:pt>
                <c:pt idx="29">
                  <c:v>37.947331922020552</c:v>
                </c:pt>
              </c:numCache>
            </c:numRef>
          </c:xVal>
          <c:yVal>
            <c:numRef>
              <c:f>[3]Data2!$D$2:$D$277</c:f>
              <c:numCache>
                <c:formatCode>General</c:formatCode>
                <c:ptCount val="276"/>
                <c:pt idx="0">
                  <c:v>0</c:v>
                </c:pt>
                <c:pt idx="1">
                  <c:v>0</c:v>
                </c:pt>
                <c:pt idx="2">
                  <c:v>0</c:v>
                </c:pt>
                <c:pt idx="3">
                  <c:v>0.1</c:v>
                </c:pt>
                <c:pt idx="4">
                  <c:v>0.108</c:v>
                </c:pt>
                <c:pt idx="5">
                  <c:v>0.11</c:v>
                </c:pt>
                <c:pt idx="6">
                  <c:v>0.114</c:v>
                </c:pt>
                <c:pt idx="7">
                  <c:v>0.11600000000000001</c:v>
                </c:pt>
                <c:pt idx="8">
                  <c:v>0.11799999999999999</c:v>
                </c:pt>
                <c:pt idx="9">
                  <c:v>0.11899999999999999</c:v>
                </c:pt>
                <c:pt idx="10">
                  <c:v>0.121</c:v>
                </c:pt>
                <c:pt idx="11">
                  <c:v>0.122</c:v>
                </c:pt>
                <c:pt idx="12">
                  <c:v>0.123</c:v>
                </c:pt>
                <c:pt idx="13">
                  <c:v>0.124</c:v>
                </c:pt>
                <c:pt idx="14">
                  <c:v>0.125</c:v>
                </c:pt>
                <c:pt idx="15">
                  <c:v>0.126</c:v>
                </c:pt>
                <c:pt idx="16">
                  <c:v>0.127</c:v>
                </c:pt>
                <c:pt idx="17">
                  <c:v>0.128</c:v>
                </c:pt>
                <c:pt idx="18">
                  <c:v>0.128</c:v>
                </c:pt>
                <c:pt idx="19">
                  <c:v>0.129</c:v>
                </c:pt>
                <c:pt idx="20">
                  <c:v>0.13</c:v>
                </c:pt>
                <c:pt idx="21">
                  <c:v>0.13</c:v>
                </c:pt>
                <c:pt idx="22">
                  <c:v>0.13100000000000001</c:v>
                </c:pt>
                <c:pt idx="23">
                  <c:v>0.13100000000000001</c:v>
                </c:pt>
                <c:pt idx="24">
                  <c:v>0.13200000000000001</c:v>
                </c:pt>
                <c:pt idx="25">
                  <c:v>0.13300000000000001</c:v>
                </c:pt>
                <c:pt idx="26">
                  <c:v>0.13300000000000001</c:v>
                </c:pt>
                <c:pt idx="27">
                  <c:v>0.13300000000000001</c:v>
                </c:pt>
                <c:pt idx="28">
                  <c:v>0.13400000000000001</c:v>
                </c:pt>
                <c:pt idx="29">
                  <c:v>0.13400000000000001</c:v>
                </c:pt>
                <c:pt idx="30">
                  <c:v>0.13500000000000001</c:v>
                </c:pt>
                <c:pt idx="31">
                  <c:v>0.14399999999999999</c:v>
                </c:pt>
                <c:pt idx="32">
                  <c:v>0.15</c:v>
                </c:pt>
                <c:pt idx="33">
                  <c:v>0.155</c:v>
                </c:pt>
                <c:pt idx="34">
                  <c:v>0.158</c:v>
                </c:pt>
                <c:pt idx="35">
                  <c:v>0.161</c:v>
                </c:pt>
                <c:pt idx="36">
                  <c:v>0.16300000000000001</c:v>
                </c:pt>
                <c:pt idx="37">
                  <c:v>0.16500000000000001</c:v>
                </c:pt>
                <c:pt idx="38">
                  <c:v>0.16700000000000001</c:v>
                </c:pt>
                <c:pt idx="39">
                  <c:v>0.16900000000000001</c:v>
                </c:pt>
                <c:pt idx="40">
                  <c:v>0.17100000000000001</c:v>
                </c:pt>
                <c:pt idx="41">
                  <c:v>0.17199999999999999</c:v>
                </c:pt>
                <c:pt idx="42">
                  <c:v>0.17399999999999999</c:v>
                </c:pt>
                <c:pt idx="43">
                  <c:v>0.17499999999999999</c:v>
                </c:pt>
                <c:pt idx="44">
                  <c:v>0.17599999999999999</c:v>
                </c:pt>
                <c:pt idx="45">
                  <c:v>0.17799999999999999</c:v>
                </c:pt>
                <c:pt idx="46">
                  <c:v>0.17799999999999999</c:v>
                </c:pt>
                <c:pt idx="47">
                  <c:v>0.17899999999999999</c:v>
                </c:pt>
                <c:pt idx="48">
                  <c:v>0.17899999999999999</c:v>
                </c:pt>
                <c:pt idx="49">
                  <c:v>0.182</c:v>
                </c:pt>
                <c:pt idx="50">
                  <c:v>0.182</c:v>
                </c:pt>
                <c:pt idx="51">
                  <c:v>0.182</c:v>
                </c:pt>
                <c:pt idx="52">
                  <c:v>0.185</c:v>
                </c:pt>
                <c:pt idx="53">
                  <c:v>0.185</c:v>
                </c:pt>
                <c:pt idx="54">
                  <c:v>0.185</c:v>
                </c:pt>
                <c:pt idx="55">
                  <c:v>0.185</c:v>
                </c:pt>
                <c:pt idx="56">
                  <c:v>0.187</c:v>
                </c:pt>
                <c:pt idx="57">
                  <c:v>0.188</c:v>
                </c:pt>
                <c:pt idx="58">
                  <c:v>0.188</c:v>
                </c:pt>
                <c:pt idx="59">
                  <c:v>0.188</c:v>
                </c:pt>
                <c:pt idx="60">
                  <c:v>0.188</c:v>
                </c:pt>
                <c:pt idx="61">
                  <c:v>0.19</c:v>
                </c:pt>
                <c:pt idx="62">
                  <c:v>0.19</c:v>
                </c:pt>
                <c:pt idx="63">
                  <c:v>0.19</c:v>
                </c:pt>
                <c:pt idx="64">
                  <c:v>0.19</c:v>
                </c:pt>
                <c:pt idx="65">
                  <c:v>0.19</c:v>
                </c:pt>
                <c:pt idx="66">
                  <c:v>0.19</c:v>
                </c:pt>
                <c:pt idx="67">
                  <c:v>0.193</c:v>
                </c:pt>
                <c:pt idx="68">
                  <c:v>0.193</c:v>
                </c:pt>
                <c:pt idx="69">
                  <c:v>0.193</c:v>
                </c:pt>
                <c:pt idx="70">
                  <c:v>0.193</c:v>
                </c:pt>
                <c:pt idx="71">
                  <c:v>0.193</c:v>
                </c:pt>
                <c:pt idx="72">
                  <c:v>0.193</c:v>
                </c:pt>
                <c:pt idx="73">
                  <c:v>0.193</c:v>
                </c:pt>
                <c:pt idx="74">
                  <c:v>0.193</c:v>
                </c:pt>
                <c:pt idx="75">
                  <c:v>0.19600000000000001</c:v>
                </c:pt>
                <c:pt idx="76">
                  <c:v>0.19600000000000001</c:v>
                </c:pt>
                <c:pt idx="77">
                  <c:v>0.19600000000000001</c:v>
                </c:pt>
                <c:pt idx="78">
                  <c:v>0.19600000000000001</c:v>
                </c:pt>
                <c:pt idx="79">
                  <c:v>0.19600000000000001</c:v>
                </c:pt>
                <c:pt idx="80">
                  <c:v>0.19600000000000001</c:v>
                </c:pt>
                <c:pt idx="81">
                  <c:v>0.19600000000000001</c:v>
                </c:pt>
                <c:pt idx="82">
                  <c:v>0.19600000000000001</c:v>
                </c:pt>
                <c:pt idx="83">
                  <c:v>0.19600000000000001</c:v>
                </c:pt>
                <c:pt idx="84">
                  <c:v>0.19600000000000001</c:v>
                </c:pt>
                <c:pt idx="85">
                  <c:v>0.19600000000000001</c:v>
                </c:pt>
                <c:pt idx="86">
                  <c:v>0.19600000000000001</c:v>
                </c:pt>
                <c:pt idx="87">
                  <c:v>0.19600000000000001</c:v>
                </c:pt>
                <c:pt idx="88">
                  <c:v>0.19600000000000001</c:v>
                </c:pt>
                <c:pt idx="89">
                  <c:v>0.20399999999999999</c:v>
                </c:pt>
                <c:pt idx="90">
                  <c:v>0.20399999999999999</c:v>
                </c:pt>
                <c:pt idx="91">
                  <c:v>0.20399999999999999</c:v>
                </c:pt>
                <c:pt idx="92">
                  <c:v>0.20499999999999999</c:v>
                </c:pt>
                <c:pt idx="93">
                  <c:v>0.20499999999999999</c:v>
                </c:pt>
                <c:pt idx="94">
                  <c:v>0.20499999999999999</c:v>
                </c:pt>
                <c:pt idx="95">
                  <c:v>0.20499999999999999</c:v>
                </c:pt>
                <c:pt idx="96">
                  <c:v>0.20499999999999999</c:v>
                </c:pt>
                <c:pt idx="97">
                  <c:v>0.20499999999999999</c:v>
                </c:pt>
                <c:pt idx="98">
                  <c:v>0.20499999999999999</c:v>
                </c:pt>
                <c:pt idx="99">
                  <c:v>0.20499999999999999</c:v>
                </c:pt>
                <c:pt idx="100">
                  <c:v>0.20499999999999999</c:v>
                </c:pt>
                <c:pt idx="101">
                  <c:v>0.20499999999999999</c:v>
                </c:pt>
                <c:pt idx="102">
                  <c:v>0.20499999999999999</c:v>
                </c:pt>
                <c:pt idx="103">
                  <c:v>0.20499999999999999</c:v>
                </c:pt>
                <c:pt idx="104">
                  <c:v>0.20499999999999999</c:v>
                </c:pt>
                <c:pt idx="105">
                  <c:v>0.20499999999999999</c:v>
                </c:pt>
                <c:pt idx="106">
                  <c:v>0.20499999999999999</c:v>
                </c:pt>
                <c:pt idx="107">
                  <c:v>0.20499999999999999</c:v>
                </c:pt>
                <c:pt idx="108">
                  <c:v>0.20499999999999999</c:v>
                </c:pt>
                <c:pt idx="109">
                  <c:v>0.20499999999999999</c:v>
                </c:pt>
                <c:pt idx="110">
                  <c:v>0.20499999999999999</c:v>
                </c:pt>
                <c:pt idx="111">
                  <c:v>0.20499999999999999</c:v>
                </c:pt>
                <c:pt idx="112">
                  <c:v>0.20499999999999999</c:v>
                </c:pt>
                <c:pt idx="113">
                  <c:v>0.20499999999999999</c:v>
                </c:pt>
                <c:pt idx="114">
                  <c:v>0.20499999999999999</c:v>
                </c:pt>
                <c:pt idx="115">
                  <c:v>0.20499999999999999</c:v>
                </c:pt>
                <c:pt idx="116">
                  <c:v>0.20499999999999999</c:v>
                </c:pt>
                <c:pt idx="117">
                  <c:v>0.20499999999999999</c:v>
                </c:pt>
                <c:pt idx="118">
                  <c:v>0.20499999999999999</c:v>
                </c:pt>
                <c:pt idx="119">
                  <c:v>0.20499999999999999</c:v>
                </c:pt>
                <c:pt idx="120">
                  <c:v>0.20499999999999999</c:v>
                </c:pt>
                <c:pt idx="121">
                  <c:v>0.20499999999999999</c:v>
                </c:pt>
                <c:pt idx="122">
                  <c:v>0.20499999999999999</c:v>
                </c:pt>
                <c:pt idx="123">
                  <c:v>0.20499999999999999</c:v>
                </c:pt>
                <c:pt idx="124">
                  <c:v>0.20499999999999999</c:v>
                </c:pt>
                <c:pt idx="125">
                  <c:v>0.20499999999999999</c:v>
                </c:pt>
                <c:pt idx="126">
                  <c:v>0.20499999999999999</c:v>
                </c:pt>
                <c:pt idx="127">
                  <c:v>0.20499999999999999</c:v>
                </c:pt>
                <c:pt idx="128">
                  <c:v>0.20499999999999999</c:v>
                </c:pt>
                <c:pt idx="129">
                  <c:v>0.20499999999999999</c:v>
                </c:pt>
                <c:pt idx="130">
                  <c:v>0.20499999999999999</c:v>
                </c:pt>
                <c:pt idx="131">
                  <c:v>0.20499999999999999</c:v>
                </c:pt>
                <c:pt idx="132">
                  <c:v>0.20499999999999999</c:v>
                </c:pt>
                <c:pt idx="133">
                  <c:v>0.20499999999999999</c:v>
                </c:pt>
                <c:pt idx="134">
                  <c:v>0.20499999999999999</c:v>
                </c:pt>
                <c:pt idx="135">
                  <c:v>0.20499999999999999</c:v>
                </c:pt>
                <c:pt idx="136">
                  <c:v>0.20499999999999999</c:v>
                </c:pt>
                <c:pt idx="137">
                  <c:v>0.20499999999999999</c:v>
                </c:pt>
                <c:pt idx="138">
                  <c:v>0.20499999999999999</c:v>
                </c:pt>
                <c:pt idx="139">
                  <c:v>0.20499999999999999</c:v>
                </c:pt>
                <c:pt idx="140">
                  <c:v>0.20499999999999999</c:v>
                </c:pt>
                <c:pt idx="141">
                  <c:v>0.20499999999999999</c:v>
                </c:pt>
                <c:pt idx="142">
                  <c:v>0.20499999999999999</c:v>
                </c:pt>
                <c:pt idx="143">
                  <c:v>0.20499999999999999</c:v>
                </c:pt>
                <c:pt idx="144">
                  <c:v>0.20499999999999999</c:v>
                </c:pt>
                <c:pt idx="145">
                  <c:v>0.20499999999999999</c:v>
                </c:pt>
                <c:pt idx="146">
                  <c:v>0.20499999999999999</c:v>
                </c:pt>
                <c:pt idx="147">
                  <c:v>0.20499999999999999</c:v>
                </c:pt>
                <c:pt idx="148">
                  <c:v>0.20499999999999999</c:v>
                </c:pt>
                <c:pt idx="149">
                  <c:v>0.20499999999999999</c:v>
                </c:pt>
                <c:pt idx="150">
                  <c:v>0.20499999999999999</c:v>
                </c:pt>
                <c:pt idx="151">
                  <c:v>0.20599999999999999</c:v>
                </c:pt>
                <c:pt idx="152">
                  <c:v>0.20599999999999999</c:v>
                </c:pt>
                <c:pt idx="153">
                  <c:v>0.20599999999999999</c:v>
                </c:pt>
                <c:pt idx="154">
                  <c:v>0.20599999999999999</c:v>
                </c:pt>
                <c:pt idx="155">
                  <c:v>0.20599999999999999</c:v>
                </c:pt>
                <c:pt idx="156">
                  <c:v>0.20599999999999999</c:v>
                </c:pt>
                <c:pt idx="157">
                  <c:v>0.20599999999999999</c:v>
                </c:pt>
                <c:pt idx="158">
                  <c:v>0.20599999999999999</c:v>
                </c:pt>
                <c:pt idx="159">
                  <c:v>0.20599999999999999</c:v>
                </c:pt>
                <c:pt idx="160">
                  <c:v>0.21</c:v>
                </c:pt>
                <c:pt idx="161">
                  <c:v>0.21</c:v>
                </c:pt>
                <c:pt idx="162">
                  <c:v>0.21</c:v>
                </c:pt>
                <c:pt idx="163">
                  <c:v>0.21</c:v>
                </c:pt>
                <c:pt idx="164">
                  <c:v>0.21</c:v>
                </c:pt>
                <c:pt idx="165">
                  <c:v>0.21</c:v>
                </c:pt>
                <c:pt idx="166">
                  <c:v>0.21</c:v>
                </c:pt>
                <c:pt idx="167">
                  <c:v>0.21</c:v>
                </c:pt>
                <c:pt idx="168">
                  <c:v>0.21</c:v>
                </c:pt>
                <c:pt idx="169">
                  <c:v>0.21</c:v>
                </c:pt>
                <c:pt idx="170">
                  <c:v>0.21</c:v>
                </c:pt>
                <c:pt idx="171">
                  <c:v>0.21</c:v>
                </c:pt>
                <c:pt idx="172">
                  <c:v>0.21</c:v>
                </c:pt>
                <c:pt idx="173">
                  <c:v>0.21</c:v>
                </c:pt>
                <c:pt idx="174">
                  <c:v>0.21</c:v>
                </c:pt>
                <c:pt idx="175">
                  <c:v>0.21</c:v>
                </c:pt>
                <c:pt idx="176">
                  <c:v>0.21</c:v>
                </c:pt>
                <c:pt idx="177">
                  <c:v>0.21</c:v>
                </c:pt>
                <c:pt idx="178">
                  <c:v>0.21</c:v>
                </c:pt>
                <c:pt idx="179">
                  <c:v>0.21</c:v>
                </c:pt>
                <c:pt idx="180">
                  <c:v>0.21</c:v>
                </c:pt>
                <c:pt idx="181">
                  <c:v>0.21</c:v>
                </c:pt>
                <c:pt idx="182">
                  <c:v>0.21</c:v>
                </c:pt>
                <c:pt idx="183">
                  <c:v>0.21</c:v>
                </c:pt>
                <c:pt idx="184">
                  <c:v>0.21</c:v>
                </c:pt>
                <c:pt idx="185">
                  <c:v>0.21</c:v>
                </c:pt>
                <c:pt idx="186">
                  <c:v>0.21</c:v>
                </c:pt>
                <c:pt idx="187">
                  <c:v>0.21</c:v>
                </c:pt>
                <c:pt idx="188">
                  <c:v>0.21</c:v>
                </c:pt>
                <c:pt idx="189">
                  <c:v>0.21</c:v>
                </c:pt>
                <c:pt idx="190">
                  <c:v>0.21</c:v>
                </c:pt>
                <c:pt idx="191">
                  <c:v>0.21</c:v>
                </c:pt>
                <c:pt idx="192">
                  <c:v>0.21</c:v>
                </c:pt>
                <c:pt idx="193">
                  <c:v>0.21</c:v>
                </c:pt>
                <c:pt idx="194">
                  <c:v>0.21</c:v>
                </c:pt>
                <c:pt idx="195">
                  <c:v>0.21</c:v>
                </c:pt>
                <c:pt idx="196">
                  <c:v>0.21</c:v>
                </c:pt>
                <c:pt idx="197">
                  <c:v>0.21</c:v>
                </c:pt>
                <c:pt idx="198">
                  <c:v>0.21</c:v>
                </c:pt>
                <c:pt idx="199">
                  <c:v>0.21</c:v>
                </c:pt>
                <c:pt idx="200">
                  <c:v>0.21</c:v>
                </c:pt>
                <c:pt idx="201">
                  <c:v>0.21</c:v>
                </c:pt>
                <c:pt idx="202">
                  <c:v>0.21</c:v>
                </c:pt>
                <c:pt idx="203">
                  <c:v>0.21</c:v>
                </c:pt>
                <c:pt idx="204">
                  <c:v>0.21</c:v>
                </c:pt>
                <c:pt idx="205">
                  <c:v>0.21</c:v>
                </c:pt>
                <c:pt idx="206">
                  <c:v>0.21</c:v>
                </c:pt>
                <c:pt idx="207">
                  <c:v>0.21</c:v>
                </c:pt>
                <c:pt idx="208">
                  <c:v>0.21</c:v>
                </c:pt>
                <c:pt idx="209">
                  <c:v>0.21</c:v>
                </c:pt>
                <c:pt idx="210">
                  <c:v>0.21</c:v>
                </c:pt>
                <c:pt idx="211">
                  <c:v>0.21</c:v>
                </c:pt>
                <c:pt idx="212">
                  <c:v>0.21</c:v>
                </c:pt>
                <c:pt idx="213">
                  <c:v>0.21</c:v>
                </c:pt>
                <c:pt idx="214">
                  <c:v>0.21</c:v>
                </c:pt>
                <c:pt idx="215">
                  <c:v>0.21</c:v>
                </c:pt>
              </c:numCache>
            </c:numRef>
          </c:yVal>
          <c:smooth val="1"/>
          <c:extLst>
            <c:ext xmlns:c16="http://schemas.microsoft.com/office/drawing/2014/chart" uri="{C3380CC4-5D6E-409C-BE32-E72D297353CC}">
              <c16:uniqueId val="{00000005-17B8-4604-8AAE-E1A5707EAFAC}"/>
            </c:ext>
          </c:extLst>
        </c:ser>
        <c:dLbls>
          <c:showLegendKey val="0"/>
          <c:showVal val="0"/>
          <c:showCatName val="0"/>
          <c:showSerName val="0"/>
          <c:showPercent val="0"/>
          <c:showBubbleSize val="0"/>
        </c:dLbls>
        <c:axId val="370638896"/>
        <c:axId val="370634976"/>
        <c:extLst>
          <c:ext xmlns:c15="http://schemas.microsoft.com/office/drawing/2012/chart" uri="{02D57815-91ED-43cb-92C2-25804820EDAC}">
            <c15:filteredScatterSeries>
              <c15:ser>
                <c:idx val="1"/>
                <c:order val="1"/>
                <c:tx>
                  <c:v>comportamiento lineal</c:v>
                </c:tx>
                <c:spPr>
                  <a:ln w="22225"/>
                </c:spPr>
                <c:marker>
                  <c:symbol val="none"/>
                </c:marker>
                <c:trendline>
                  <c:trendlineType val="linear"/>
                  <c:dispRSqr val="0"/>
                  <c:dispEq val="0"/>
                </c:trendline>
                <c:xVal>
                  <c:numRef>
                    <c:extLst>
                      <c:ext uri="{02D57815-91ED-43cb-92C2-25804820EDAC}">
                        <c15:formulaRef>
                          <c15:sqref>CARGA1!$B$21:$B$23</c15:sqref>
                        </c15:formulaRef>
                      </c:ext>
                    </c:extLst>
                    <c:numCache>
                      <c:formatCode>0.00</c:formatCode>
                      <c:ptCount val="3"/>
                      <c:pt idx="0">
                        <c:v>0.5</c:v>
                      </c:pt>
                      <c:pt idx="1">
                        <c:v>0.70710678118654757</c:v>
                      </c:pt>
                      <c:pt idx="2">
                        <c:v>1</c:v>
                      </c:pt>
                    </c:numCache>
                  </c:numRef>
                </c:xVal>
                <c:yVal>
                  <c:numRef>
                    <c:extLst>
                      <c:ext uri="{02D57815-91ED-43cb-92C2-25804820EDAC}">
                        <c15:formulaRef>
                          <c15:sqref>CARGA1!$E$21:$E$23</c15:sqref>
                        </c15:formulaRef>
                      </c:ext>
                    </c:extLst>
                    <c:numCache>
                      <c:formatCode>0.000</c:formatCode>
                      <c:ptCount val="3"/>
                      <c:pt idx="0">
                        <c:v>0</c:v>
                      </c:pt>
                      <c:pt idx="1">
                        <c:v>0</c:v>
                      </c:pt>
                      <c:pt idx="2">
                        <c:v>0</c:v>
                      </c:pt>
                    </c:numCache>
                  </c:numRef>
                </c:yVal>
                <c:smooth val="1"/>
                <c:extLst>
                  <c:ext xmlns:c16="http://schemas.microsoft.com/office/drawing/2014/chart" uri="{C3380CC4-5D6E-409C-BE32-E72D297353CC}">
                    <c16:uniqueId val="{00000006-90B4-4A44-AFFD-4449EB63E320}"/>
                  </c:ext>
                </c:extLst>
              </c15:ser>
            </c15:filteredScatterSeries>
          </c:ext>
        </c:extLst>
      </c:scatterChart>
      <c:valAx>
        <c:axId val="370638896"/>
        <c:scaling>
          <c:orientation val="minMax"/>
          <c:max val="40"/>
          <c:min val="0"/>
        </c:scaling>
        <c:delete val="0"/>
        <c:axPos val="t"/>
        <c:majorGridlines/>
        <c:minorGridlines/>
        <c:title>
          <c:tx>
            <c:rich>
              <a:bodyPr/>
              <a:lstStyle/>
              <a:p>
                <a:pPr>
                  <a:defRPr/>
                </a:pPr>
                <a:r>
                  <a:rPr lang="en-US" sz="900" baseline="0"/>
                  <a:t>100 </a:t>
                </a:r>
                <a:r>
                  <a:rPr lang="en-US" sz="900"/>
                  <a:t>KPa carga</a:t>
                </a:r>
              </a:p>
              <a:p>
                <a:pPr>
                  <a:defRPr/>
                </a:pPr>
                <a:r>
                  <a:rPr lang="en-US" sz="900"/>
                  <a:t>raíz de t min</a:t>
                </a:r>
              </a:p>
            </c:rich>
          </c:tx>
          <c:layout>
            <c:manualLayout>
              <c:xMode val="edge"/>
              <c:yMode val="edge"/>
              <c:x val="0.73889900791934293"/>
              <c:y val="8.875357437546888E-2"/>
            </c:manualLayout>
          </c:layout>
          <c:overlay val="0"/>
        </c:title>
        <c:numFmt formatCode="0.00" sourceLinked="1"/>
        <c:majorTickMark val="out"/>
        <c:minorTickMark val="none"/>
        <c:tickLblPos val="high"/>
        <c:crossAx val="370634976"/>
        <c:crosses val="autoZero"/>
        <c:crossBetween val="midCat"/>
      </c:valAx>
      <c:valAx>
        <c:axId val="370634976"/>
        <c:scaling>
          <c:orientation val="maxMin"/>
          <c:max val="3.5"/>
          <c:min val="2.5"/>
        </c:scaling>
        <c:delete val="0"/>
        <c:axPos val="l"/>
        <c:majorGridlines/>
        <c:minorGridlines/>
        <c:title>
          <c:tx>
            <c:rich>
              <a:bodyPr/>
              <a:lstStyle/>
              <a:p>
                <a:pPr>
                  <a:defRPr/>
                </a:pPr>
                <a:r>
                  <a:rPr lang="en-US"/>
                  <a:t>Def unitaria % - Raíz de tiempo</a:t>
                </a:r>
              </a:p>
            </c:rich>
          </c:tx>
          <c:layout>
            <c:manualLayout>
              <c:xMode val="edge"/>
              <c:yMode val="edge"/>
              <c:x val="0.95347298374746015"/>
              <c:y val="0.17622667131315589"/>
            </c:manualLayout>
          </c:layout>
          <c:overlay val="0"/>
        </c:title>
        <c:numFmt formatCode="0.000" sourceLinked="0"/>
        <c:majorTickMark val="out"/>
        <c:minorTickMark val="none"/>
        <c:tickLblPos val="nextTo"/>
        <c:crossAx val="370638896"/>
        <c:crosses val="autoZero"/>
        <c:crossBetween val="midCat"/>
      </c:valAx>
      <c:spPr>
        <a:noFill/>
        <a:ln w="25400">
          <a:noFill/>
        </a:ln>
      </c:spPr>
    </c:plotArea>
    <c:plotVisOnly val="1"/>
    <c:dispBlanksAs val="gap"/>
    <c:showDLblsOverMax val="0"/>
  </c:chart>
  <c:printSettings>
    <c:headerFooter/>
    <c:pageMargins b="0.75" l="0.7" r="0.7" t="0.75" header="0.3" footer="0.3"/>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 Id="rId9"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8.png"/><Relationship Id="rId1" Type="http://schemas.openxmlformats.org/officeDocument/2006/relationships/chart" Target="../charts/chart3.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7" Type="http://schemas.openxmlformats.org/officeDocument/2006/relationships/image" Target="../media/image12.png"/><Relationship Id="rId2" Type="http://schemas.openxmlformats.org/officeDocument/2006/relationships/image" Target="../media/image9.png"/><Relationship Id="rId1" Type="http://schemas.openxmlformats.org/officeDocument/2006/relationships/image" Target="../media/image1.png"/><Relationship Id="rId6" Type="http://schemas.openxmlformats.org/officeDocument/2006/relationships/image" Target="../media/image11.png"/><Relationship Id="rId5" Type="http://schemas.openxmlformats.org/officeDocument/2006/relationships/image" Target="../media/image3.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1</xdr:col>
      <xdr:colOff>24013</xdr:colOff>
      <xdr:row>29</xdr:row>
      <xdr:rowOff>93874</xdr:rowOff>
    </xdr:from>
    <xdr:to>
      <xdr:col>6</xdr:col>
      <xdr:colOff>190499</xdr:colOff>
      <xdr:row>43</xdr:row>
      <xdr:rowOff>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471449</xdr:colOff>
      <xdr:row>29</xdr:row>
      <xdr:rowOff>122464</xdr:rowOff>
    </xdr:from>
    <xdr:to>
      <xdr:col>11</xdr:col>
      <xdr:colOff>762000</xdr:colOff>
      <xdr:row>43</xdr:row>
      <xdr:rowOff>0</xdr:rowOff>
    </xdr:to>
    <xdr:graphicFrame macro="">
      <xdr:nvGraphicFramePr>
        <xdr:cNvPr id="5" name="Gráfico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24008</xdr:colOff>
      <xdr:row>0</xdr:row>
      <xdr:rowOff>98452</xdr:rowOff>
    </xdr:from>
    <xdr:to>
      <xdr:col>2</xdr:col>
      <xdr:colOff>1295306</xdr:colOff>
      <xdr:row>3</xdr:row>
      <xdr:rowOff>217715</xdr:rowOff>
    </xdr:to>
    <xdr:pic>
      <xdr:nvPicPr>
        <xdr:cNvPr id="4" name="Imagen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87294" y="98452"/>
          <a:ext cx="4031147" cy="1017334"/>
        </a:xfrm>
        <a:prstGeom prst="rect">
          <a:avLst/>
        </a:prstGeom>
      </xdr:spPr>
    </xdr:pic>
    <xdr:clientData/>
  </xdr:twoCellAnchor>
  <xdr:twoCellAnchor editAs="oneCell">
    <xdr:from>
      <xdr:col>1</xdr:col>
      <xdr:colOff>294556</xdr:colOff>
      <xdr:row>73</xdr:row>
      <xdr:rowOff>130468</xdr:rowOff>
    </xdr:from>
    <xdr:to>
      <xdr:col>5</xdr:col>
      <xdr:colOff>1126993</xdr:colOff>
      <xdr:row>90</xdr:row>
      <xdr:rowOff>7787</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4"/>
        <a:stretch>
          <a:fillRect/>
        </a:stretch>
      </xdr:blipFill>
      <xdr:spPr>
        <a:xfrm>
          <a:off x="451438" y="20782909"/>
          <a:ext cx="7836114" cy="4830319"/>
        </a:xfrm>
        <a:prstGeom prst="rect">
          <a:avLst/>
        </a:prstGeom>
      </xdr:spPr>
    </xdr:pic>
    <xdr:clientData/>
  </xdr:twoCellAnchor>
  <xdr:twoCellAnchor>
    <xdr:from>
      <xdr:col>2</xdr:col>
      <xdr:colOff>107497</xdr:colOff>
      <xdr:row>68</xdr:row>
      <xdr:rowOff>212271</xdr:rowOff>
    </xdr:from>
    <xdr:to>
      <xdr:col>3</xdr:col>
      <xdr:colOff>326572</xdr:colOff>
      <xdr:row>68</xdr:row>
      <xdr:rowOff>212271</xdr:rowOff>
    </xdr:to>
    <xdr:cxnSp macro="">
      <xdr:nvCxnSpPr>
        <xdr:cNvPr id="6" name="Conector recto de flecha 5">
          <a:extLst>
            <a:ext uri="{FF2B5EF4-FFF2-40B4-BE49-F238E27FC236}">
              <a16:creationId xmlns:a16="http://schemas.microsoft.com/office/drawing/2014/main" id="{00000000-0008-0000-0000-000006000000}"/>
            </a:ext>
          </a:extLst>
        </xdr:cNvPr>
        <xdr:cNvCxnSpPr/>
      </xdr:nvCxnSpPr>
      <xdr:spPr bwMode="auto">
        <a:xfrm flipH="1">
          <a:off x="2707822" y="10899321"/>
          <a:ext cx="198120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8</xdr:col>
      <xdr:colOff>1098176</xdr:colOff>
      <xdr:row>84</xdr:row>
      <xdr:rowOff>268942</xdr:rowOff>
    </xdr:from>
    <xdr:to>
      <xdr:col>10</xdr:col>
      <xdr:colOff>411997</xdr:colOff>
      <xdr:row>88</xdr:row>
      <xdr:rowOff>257736</xdr:rowOff>
    </xdr:to>
    <xdr:pic>
      <xdr:nvPicPr>
        <xdr:cNvPr id="7" name="Imagen 6">
          <a:extLst>
            <a:ext uri="{FF2B5EF4-FFF2-40B4-BE49-F238E27FC236}">
              <a16:creationId xmlns:a16="http://schemas.microsoft.com/office/drawing/2014/main" id="{00000000-0008-0000-0000-000007000000}"/>
            </a:ext>
          </a:extLst>
        </xdr:cNvPr>
        <xdr:cNvPicPr>
          <a:picLocks noChangeAspect="1"/>
        </xdr:cNvPicPr>
      </xdr:nvPicPr>
      <xdr:blipFill rotWithShape="1">
        <a:blip xmlns:r="http://schemas.openxmlformats.org/officeDocument/2006/relationships" r:embed="rId5"/>
        <a:srcRect l="88188"/>
        <a:stretch/>
      </xdr:blipFill>
      <xdr:spPr>
        <a:xfrm>
          <a:off x="14231470" y="24238324"/>
          <a:ext cx="3022968" cy="1154206"/>
        </a:xfrm>
        <a:prstGeom prst="rect">
          <a:avLst/>
        </a:prstGeom>
      </xdr:spPr>
    </xdr:pic>
    <xdr:clientData/>
  </xdr:twoCellAnchor>
  <xdr:twoCellAnchor>
    <xdr:from>
      <xdr:col>7</xdr:col>
      <xdr:colOff>404936</xdr:colOff>
      <xdr:row>55</xdr:row>
      <xdr:rowOff>15615</xdr:rowOff>
    </xdr:from>
    <xdr:to>
      <xdr:col>11</xdr:col>
      <xdr:colOff>1389714</xdr:colOff>
      <xdr:row>58</xdr:row>
      <xdr:rowOff>252871</xdr:rowOff>
    </xdr:to>
    <xdr:grpSp>
      <xdr:nvGrpSpPr>
        <xdr:cNvPr id="8" name="Grupo 7">
          <a:extLst>
            <a:ext uri="{FF2B5EF4-FFF2-40B4-BE49-F238E27FC236}">
              <a16:creationId xmlns:a16="http://schemas.microsoft.com/office/drawing/2014/main" id="{00000000-0008-0000-0000-000008000000}"/>
            </a:ext>
          </a:extLst>
        </xdr:cNvPr>
        <xdr:cNvGrpSpPr/>
      </xdr:nvGrpSpPr>
      <xdr:grpSpPr>
        <a:xfrm>
          <a:off x="11744222" y="15595794"/>
          <a:ext cx="8321296" cy="1144398"/>
          <a:chOff x="11758736" y="15623915"/>
          <a:chExt cx="8325378" cy="1138956"/>
        </a:xfrm>
      </xdr:grpSpPr>
      <xdr:pic>
        <xdr:nvPicPr>
          <xdr:cNvPr id="10" name="Imagen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6"/>
          <a:stretch>
            <a:fillRect/>
          </a:stretch>
        </xdr:blipFill>
        <xdr:spPr>
          <a:xfrm>
            <a:off x="11758736" y="15623915"/>
            <a:ext cx="2955037" cy="1138956"/>
          </a:xfrm>
          <a:prstGeom prst="rect">
            <a:avLst/>
          </a:prstGeom>
        </xdr:spPr>
      </xdr:pic>
      <xdr:pic>
        <xdr:nvPicPr>
          <xdr:cNvPr id="9" name="Imagen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7"/>
          <a:stretch>
            <a:fillRect/>
          </a:stretch>
        </xdr:blipFill>
        <xdr:spPr>
          <a:xfrm>
            <a:off x="17268669" y="15632558"/>
            <a:ext cx="2815445" cy="1125697"/>
          </a:xfrm>
          <a:prstGeom prst="rect">
            <a:avLst/>
          </a:prstGeom>
        </xdr:spPr>
      </xdr:pic>
    </xdr:grpSp>
    <xdr:clientData/>
  </xdr:twoCellAnchor>
  <xdr:twoCellAnchor editAs="oneCell">
    <xdr:from>
      <xdr:col>7</xdr:col>
      <xdr:colOff>889000</xdr:colOff>
      <xdr:row>69</xdr:row>
      <xdr:rowOff>114300</xdr:rowOff>
    </xdr:from>
    <xdr:to>
      <xdr:col>12</xdr:col>
      <xdr:colOff>123658</xdr:colOff>
      <xdr:row>73</xdr:row>
      <xdr:rowOff>85951</xdr:rowOff>
    </xdr:to>
    <xdr:pic>
      <xdr:nvPicPr>
        <xdr:cNvPr id="11" name="Imagen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8"/>
        <a:stretch>
          <a:fillRect/>
        </a:stretch>
      </xdr:blipFill>
      <xdr:spPr>
        <a:xfrm>
          <a:off x="12242800" y="19761200"/>
          <a:ext cx="8327858" cy="1140051"/>
        </a:xfrm>
        <a:prstGeom prst="rect">
          <a:avLst/>
        </a:prstGeom>
      </xdr:spPr>
    </xdr:pic>
    <xdr:clientData/>
  </xdr:twoCellAnchor>
  <xdr:twoCellAnchor editAs="oneCell">
    <xdr:from>
      <xdr:col>10</xdr:col>
      <xdr:colOff>749987</xdr:colOff>
      <xdr:row>55</xdr:row>
      <xdr:rowOff>0</xdr:rowOff>
    </xdr:from>
    <xdr:to>
      <xdr:col>11</xdr:col>
      <xdr:colOff>1002612</xdr:colOff>
      <xdr:row>59</xdr:row>
      <xdr:rowOff>0</xdr:rowOff>
    </xdr:to>
    <xdr:pic>
      <xdr:nvPicPr>
        <xdr:cNvPr id="12" name="Firma Picture 8">
          <a:extLst>
            <a:ext uri="{FF2B5EF4-FFF2-40B4-BE49-F238E27FC236}">
              <a16:creationId xmlns:a16="http://schemas.microsoft.com/office/drawing/2014/main" id="{F9A40600-93ED-40A6-8AD8-3D3DB6B22E7B}"/>
            </a:ext>
          </a:extLst>
        </xdr:cNvPr>
        <xdr:cNvPicPr>
          <a:picLocks noChangeAspect="1"/>
        </xdr:cNvPicPr>
      </xdr:nvPicPr>
      <xdr:blipFill>
        <a:blip xmlns:r="http://schemas.openxmlformats.org/officeDocument/2006/relationships" r:embed="rId9"/>
        <a:stretch>
          <a:fillRect/>
        </a:stretch>
      </xdr:blipFill>
      <xdr:spPr>
        <a:xfrm>
          <a:off x="17618762" y="15611475"/>
          <a:ext cx="2071900" cy="1209675"/>
        </a:xfrm>
        <a:prstGeom prst="rect">
          <a:avLst/>
        </a:prstGeom>
      </xdr:spPr>
    </xdr:pic>
    <xdr:clientData/>
  </xdr:twoCellAnchor>
  <xdr:twoCellAnchor editAs="oneCell">
    <xdr:from>
      <xdr:col>7</xdr:col>
      <xdr:colOff>307582</xdr:colOff>
      <xdr:row>55</xdr:row>
      <xdr:rowOff>0</xdr:rowOff>
    </xdr:from>
    <xdr:to>
      <xdr:col>8</xdr:col>
      <xdr:colOff>1587893</xdr:colOff>
      <xdr:row>59</xdr:row>
      <xdr:rowOff>0</xdr:rowOff>
    </xdr:to>
    <xdr:pic>
      <xdr:nvPicPr>
        <xdr:cNvPr id="13" name="Firma Picture 7">
          <a:extLst>
            <a:ext uri="{FF2B5EF4-FFF2-40B4-BE49-F238E27FC236}">
              <a16:creationId xmlns:a16="http://schemas.microsoft.com/office/drawing/2014/main" id="{B9F3D8B4-6DED-45AC-BDCE-3FEF1AF16AEE}"/>
            </a:ext>
          </a:extLst>
        </xdr:cNvPr>
        <xdr:cNvPicPr>
          <a:picLocks noChangeAspect="1"/>
        </xdr:cNvPicPr>
      </xdr:nvPicPr>
      <xdr:blipFill rotWithShape="1">
        <a:blip xmlns:r="http://schemas.openxmlformats.org/officeDocument/2006/relationships" r:embed="rId5"/>
        <a:srcRect l="88188"/>
        <a:stretch/>
      </xdr:blipFill>
      <xdr:spPr>
        <a:xfrm>
          <a:off x="11642332" y="15611475"/>
          <a:ext cx="3099586" cy="12096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446836</xdr:colOff>
      <xdr:row>0</xdr:row>
      <xdr:rowOff>100060</xdr:rowOff>
    </xdr:from>
    <xdr:to>
      <xdr:col>2</xdr:col>
      <xdr:colOff>1265463</xdr:colOff>
      <xdr:row>3</xdr:row>
      <xdr:rowOff>217921</xdr:rowOff>
    </xdr:to>
    <xdr:pic>
      <xdr:nvPicPr>
        <xdr:cNvPr id="8" name="Imagen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6836" y="100060"/>
          <a:ext cx="4111556" cy="10159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255300</xdr:colOff>
      <xdr:row>102</xdr:row>
      <xdr:rowOff>153958</xdr:rowOff>
    </xdr:from>
    <xdr:ext cx="1752916" cy="519181"/>
    <mc:AlternateContent xmlns:mc="http://schemas.openxmlformats.org/markup-compatibility/2006" xmlns:a14="http://schemas.microsoft.com/office/drawing/2010/main">
      <mc:Choice Requires="a14">
        <xdr:sp macro="" textlink="">
          <xdr:nvSpPr>
            <xdr:cNvPr id="3" name="CuadroTexto 2">
              <a:extLst>
                <a:ext uri="{FF2B5EF4-FFF2-40B4-BE49-F238E27FC236}">
                  <a16:creationId xmlns:a16="http://schemas.microsoft.com/office/drawing/2014/main" id="{00000000-0008-0000-0200-000003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3" name="CuadroTexto 2">
              <a:extLst>
                <a:ext uri="{FF2B5EF4-FFF2-40B4-BE49-F238E27FC236}">
                  <a16:creationId xmlns:a16="http://schemas.microsoft.com/office/drawing/2014/main" id="{00000000-0008-0000-0200-000003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xdr:from>
      <xdr:col>2</xdr:col>
      <xdr:colOff>48470</xdr:colOff>
      <xdr:row>49</xdr:row>
      <xdr:rowOff>43075</xdr:rowOff>
    </xdr:from>
    <xdr:to>
      <xdr:col>4</xdr:col>
      <xdr:colOff>1346081</xdr:colOff>
      <xdr:row>63</xdr:row>
      <xdr:rowOff>185230</xdr:rowOff>
    </xdr:to>
    <xdr:graphicFrame macro="">
      <xdr:nvGraphicFramePr>
        <xdr:cNvPr id="5" name="8 Gráfico">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editAs="oneCell">
    <xdr:from>
      <xdr:col>0</xdr:col>
      <xdr:colOff>312835</xdr:colOff>
      <xdr:row>0</xdr:row>
      <xdr:rowOff>50366</xdr:rowOff>
    </xdr:from>
    <xdr:to>
      <xdr:col>2</xdr:col>
      <xdr:colOff>659190</xdr:colOff>
      <xdr:row>3</xdr:row>
      <xdr:rowOff>134471</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12835" y="50366"/>
          <a:ext cx="3080590" cy="756458"/>
        </a:xfrm>
        <a:prstGeom prst="rect">
          <a:avLst/>
        </a:prstGeom>
      </xdr:spPr>
    </xdr:pic>
    <xdr:clientData/>
  </xdr:twoCellAnchor>
  <xdr:twoCellAnchor>
    <xdr:from>
      <xdr:col>5</xdr:col>
      <xdr:colOff>76200</xdr:colOff>
      <xdr:row>49</xdr:row>
      <xdr:rowOff>74543</xdr:rowOff>
    </xdr:from>
    <xdr:to>
      <xdr:col>7</xdr:col>
      <xdr:colOff>1309565</xdr:colOff>
      <xdr:row>64</xdr:row>
      <xdr:rowOff>22499</xdr:rowOff>
    </xdr:to>
    <xdr:graphicFrame macro="">
      <xdr:nvGraphicFramePr>
        <xdr:cNvPr id="4" name="8 Gráfico">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xdr:from>
      <xdr:col>8</xdr:col>
      <xdr:colOff>57978</xdr:colOff>
      <xdr:row>49</xdr:row>
      <xdr:rowOff>66262</xdr:rowOff>
    </xdr:from>
    <xdr:to>
      <xdr:col>12</xdr:col>
      <xdr:colOff>476251</xdr:colOff>
      <xdr:row>64</xdr:row>
      <xdr:rowOff>1</xdr:rowOff>
    </xdr:to>
    <xdr:graphicFrame macro="">
      <xdr:nvGraphicFramePr>
        <xdr:cNvPr id="8" name="8 Gráfico">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twoCellAnchor>
  <xdr:oneCellAnchor>
    <xdr:from>
      <xdr:col>4</xdr:col>
      <xdr:colOff>255300</xdr:colOff>
      <xdr:row>102</xdr:row>
      <xdr:rowOff>153958</xdr:rowOff>
    </xdr:from>
    <xdr:ext cx="1752916" cy="519181"/>
    <mc:AlternateContent xmlns:mc="http://schemas.openxmlformats.org/markup-compatibility/2006" xmlns:a14="http://schemas.microsoft.com/office/drawing/2010/main">
      <mc:Choice Requires="a14">
        <xdr:sp macro="" textlink="">
          <xdr:nvSpPr>
            <xdr:cNvPr id="6" name="CuadroTexto 5">
              <a:extLst>
                <a:ext uri="{FF2B5EF4-FFF2-40B4-BE49-F238E27FC236}">
                  <a16:creationId xmlns:a16="http://schemas.microsoft.com/office/drawing/2014/main" id="{00000000-0008-0000-0200-000006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6" name="CuadroTexto 5">
              <a:extLst>
                <a:ext uri="{FF2B5EF4-FFF2-40B4-BE49-F238E27FC236}">
                  <a16:creationId xmlns:a16="http://schemas.microsoft.com/office/drawing/2014/main" id="{BEBF454C-5C68-4CC2-B3CC-09FD46E19CD7}"/>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oneCellAnchor>
    <xdr:from>
      <xdr:col>8</xdr:col>
      <xdr:colOff>255300</xdr:colOff>
      <xdr:row>102</xdr:row>
      <xdr:rowOff>153958</xdr:rowOff>
    </xdr:from>
    <xdr:ext cx="1752916" cy="519181"/>
    <mc:AlternateContent xmlns:mc="http://schemas.openxmlformats.org/markup-compatibility/2006" xmlns:a14="http://schemas.microsoft.com/office/drawing/2010/main">
      <mc:Choice Requires="a14">
        <xdr:sp macro="" textlink="">
          <xdr:nvSpPr>
            <xdr:cNvPr id="7" name="CuadroTexto 6">
              <a:extLst>
                <a:ext uri="{FF2B5EF4-FFF2-40B4-BE49-F238E27FC236}">
                  <a16:creationId xmlns:a16="http://schemas.microsoft.com/office/drawing/2014/main" id="{00000000-0008-0000-0200-000007000000}"/>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s-ES" sz="1100" b="0" i="1">
                        <a:latin typeface="Cambria Math" panose="02040503050406030204" pitchFamily="18" charset="0"/>
                      </a:rPr>
                      <m:t>𝑥</m:t>
                    </m:r>
                    <m:r>
                      <a:rPr lang="es-ES" sz="1100" b="0" i="1">
                        <a:latin typeface="Cambria Math" panose="02040503050406030204" pitchFamily="18" charset="0"/>
                      </a:rPr>
                      <m:t>=</m:t>
                    </m:r>
                    <m:r>
                      <a:rPr lang="es-ES" sz="1100" b="0" i="1">
                        <a:latin typeface="Cambria Math" panose="02040503050406030204" pitchFamily="18" charset="0"/>
                      </a:rPr>
                      <m:t>𝑥</m:t>
                    </m:r>
                    <m:r>
                      <a:rPr lang="es-ES" sz="1100" b="0" i="1">
                        <a:latin typeface="Cambria Math" panose="02040503050406030204" pitchFamily="18" charset="0"/>
                      </a:rPr>
                      <m:t>0+</m:t>
                    </m:r>
                    <m:f>
                      <m:fPr>
                        <m:ctrlPr>
                          <a:rPr lang="es-ES" sz="1100" b="0" i="1">
                            <a:latin typeface="Cambria Math" panose="02040503050406030204" pitchFamily="18" charset="0"/>
                          </a:rPr>
                        </m:ctrlPr>
                      </m:fPr>
                      <m:num>
                        <m:r>
                          <a:rPr lang="es-ES" sz="1100" b="0" i="1">
                            <a:latin typeface="Cambria Math" panose="02040503050406030204" pitchFamily="18" charset="0"/>
                          </a:rPr>
                          <m:t>𝑥</m:t>
                        </m:r>
                        <m:r>
                          <a:rPr lang="es-ES" sz="1100" b="0" i="1">
                            <a:latin typeface="Cambria Math" panose="02040503050406030204" pitchFamily="18" charset="0"/>
                          </a:rPr>
                          <m:t>1−</m:t>
                        </m:r>
                        <m:r>
                          <a:rPr lang="es-ES" sz="1100" b="0" i="1">
                            <a:latin typeface="Cambria Math" panose="02040503050406030204" pitchFamily="18" charset="0"/>
                          </a:rPr>
                          <m:t>𝑥</m:t>
                        </m:r>
                        <m:r>
                          <a:rPr lang="es-ES" sz="1100" b="0" i="1">
                            <a:latin typeface="Cambria Math" panose="02040503050406030204" pitchFamily="18" charset="0"/>
                          </a:rPr>
                          <m:t>0</m:t>
                        </m:r>
                      </m:num>
                      <m:den>
                        <m:r>
                          <a:rPr lang="es-ES" sz="1100" b="0" i="1">
                            <a:latin typeface="Cambria Math" panose="02040503050406030204" pitchFamily="18" charset="0"/>
                          </a:rPr>
                          <m:t>𝑦</m:t>
                        </m:r>
                        <m:r>
                          <a:rPr lang="es-ES" sz="1100" b="0" i="1">
                            <a:latin typeface="Cambria Math" panose="02040503050406030204" pitchFamily="18" charset="0"/>
                          </a:rPr>
                          <m:t>1−</m:t>
                        </m:r>
                        <m:r>
                          <a:rPr lang="es-ES" sz="1100" b="0" i="1">
                            <a:latin typeface="Cambria Math" panose="02040503050406030204" pitchFamily="18" charset="0"/>
                          </a:rPr>
                          <m:t>𝑦</m:t>
                        </m:r>
                        <m:r>
                          <a:rPr lang="es-ES" sz="1100" b="0" i="1">
                            <a:latin typeface="Cambria Math" panose="02040503050406030204" pitchFamily="18" charset="0"/>
                          </a:rPr>
                          <m:t>0</m:t>
                        </m:r>
                      </m:den>
                    </m:f>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m:t>
                    </m:r>
                    <m:r>
                      <a:rPr lang="es-ES" sz="1100" b="0" i="1">
                        <a:latin typeface="Cambria Math" panose="02040503050406030204" pitchFamily="18" charset="0"/>
                      </a:rPr>
                      <m:t>𝑦</m:t>
                    </m:r>
                    <m:r>
                      <a:rPr lang="es-ES" sz="1100" b="0" i="1">
                        <a:latin typeface="Cambria Math" panose="02040503050406030204" pitchFamily="18" charset="0"/>
                      </a:rPr>
                      <m:t>0)</m:t>
                    </m:r>
                  </m:oMath>
                </m:oMathPara>
              </a14:m>
              <a:endParaRPr lang="es-ES" sz="1100" b="0"/>
            </a:p>
            <a:p>
              <a:endParaRPr lang="es-CO" sz="1100"/>
            </a:p>
          </xdr:txBody>
        </xdr:sp>
      </mc:Choice>
      <mc:Fallback xmlns="">
        <xdr:sp macro="" textlink="">
          <xdr:nvSpPr>
            <xdr:cNvPr id="7" name="CuadroTexto 6">
              <a:extLst>
                <a:ext uri="{FF2B5EF4-FFF2-40B4-BE49-F238E27FC236}">
                  <a16:creationId xmlns:a16="http://schemas.microsoft.com/office/drawing/2014/main" id="{EA9CC8D6-6877-4AA9-882D-99F93A84BB23}"/>
                </a:ext>
              </a:extLst>
            </xdr:cNvPr>
            <xdr:cNvSpPr txBox="1"/>
          </xdr:nvSpPr>
          <xdr:spPr>
            <a:xfrm>
              <a:off x="255300" y="19719429"/>
              <a:ext cx="1752916" cy="5191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s-ES" sz="1100" b="0" i="0">
                  <a:latin typeface="Cambria Math" panose="02040503050406030204" pitchFamily="18" charset="0"/>
                </a:rPr>
                <a:t>𝑥=𝑥0+(𝑥1−𝑥0)/(𝑦1−𝑦0)∗(𝑦−𝑦0)</a:t>
              </a:r>
              <a:endParaRPr lang="es-ES" sz="1100" b="0"/>
            </a:p>
            <a:p>
              <a:endParaRPr lang="es-CO" sz="1100"/>
            </a:p>
          </xdr:txBody>
        </xdr:sp>
      </mc:Fallback>
    </mc:AlternateContent>
    <xdr:clientData/>
  </xdr:oneCellAnchor>
  <xdr:twoCellAnchor>
    <xdr:from>
      <xdr:col>14</xdr:col>
      <xdr:colOff>33618</xdr:colOff>
      <xdr:row>11</xdr:row>
      <xdr:rowOff>201706</xdr:rowOff>
    </xdr:from>
    <xdr:to>
      <xdr:col>22</xdr:col>
      <xdr:colOff>997324</xdr:colOff>
      <xdr:row>16</xdr:row>
      <xdr:rowOff>67235</xdr:rowOff>
    </xdr:to>
    <xdr:sp macro="" textlink="">
      <xdr:nvSpPr>
        <xdr:cNvPr id="9" name="Flecha: hacia abajo 8">
          <a:extLst>
            <a:ext uri="{FF2B5EF4-FFF2-40B4-BE49-F238E27FC236}">
              <a16:creationId xmlns:a16="http://schemas.microsoft.com/office/drawing/2014/main" id="{00000000-0008-0000-0200-000009000000}"/>
            </a:ext>
          </a:extLst>
        </xdr:cNvPr>
        <xdr:cNvSpPr/>
      </xdr:nvSpPr>
      <xdr:spPr>
        <a:xfrm>
          <a:off x="16371794" y="2756647"/>
          <a:ext cx="9838765" cy="1008529"/>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a:solidFill>
                <a:srgbClr val="FF0000"/>
              </a:solidFill>
            </a:rPr>
            <a:t>PONER DATOS DE CONSOLIDACIÓN</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196645</xdr:colOff>
      <xdr:row>0</xdr:row>
      <xdr:rowOff>89105</xdr:rowOff>
    </xdr:from>
    <xdr:to>
      <xdr:col>2</xdr:col>
      <xdr:colOff>436475</xdr:colOff>
      <xdr:row>3</xdr:row>
      <xdr:rowOff>33315</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6645" y="89105"/>
          <a:ext cx="2839233" cy="773807"/>
        </a:xfrm>
        <a:prstGeom prst="rect">
          <a:avLst/>
        </a:prstGeom>
      </xdr:spPr>
    </xdr:pic>
    <xdr:clientData/>
  </xdr:twoCellAnchor>
  <xdr:twoCellAnchor>
    <xdr:from>
      <xdr:col>2</xdr:col>
      <xdr:colOff>107497</xdr:colOff>
      <xdr:row>44</xdr:row>
      <xdr:rowOff>212271</xdr:rowOff>
    </xdr:from>
    <xdr:to>
      <xdr:col>3</xdr:col>
      <xdr:colOff>326572</xdr:colOff>
      <xdr:row>44</xdr:row>
      <xdr:rowOff>212271</xdr:rowOff>
    </xdr:to>
    <xdr:cxnSp macro="">
      <xdr:nvCxnSpPr>
        <xdr:cNvPr id="3" name="Conector recto de flecha 2">
          <a:extLst>
            <a:ext uri="{FF2B5EF4-FFF2-40B4-BE49-F238E27FC236}">
              <a16:creationId xmlns:a16="http://schemas.microsoft.com/office/drawing/2014/main" id="{00000000-0008-0000-0400-000003000000}"/>
            </a:ext>
          </a:extLst>
        </xdr:cNvPr>
        <xdr:cNvCxnSpPr/>
      </xdr:nvCxnSpPr>
      <xdr:spPr bwMode="auto">
        <a:xfrm flipH="1">
          <a:off x="2707822" y="10899321"/>
          <a:ext cx="1981200" cy="0"/>
        </a:xfrm>
        <a:prstGeom prst="straightConnector1">
          <a:avLst/>
        </a:prstGeom>
        <a:ln>
          <a:headEnd type="none" w="med" len="med"/>
          <a:tailEnd type="triangle"/>
        </a:ln>
      </xdr:spPr>
      <xdr:style>
        <a:lnRef idx="3">
          <a:schemeClr val="accent2"/>
        </a:lnRef>
        <a:fillRef idx="0">
          <a:schemeClr val="accent2"/>
        </a:fillRef>
        <a:effectRef idx="2">
          <a:schemeClr val="accent2"/>
        </a:effectRef>
        <a:fontRef idx="minor">
          <a:schemeClr val="tx1"/>
        </a:fontRef>
      </xdr:style>
    </xdr:cxnSp>
    <xdr:clientData/>
  </xdr:twoCellAnchor>
  <xdr:twoCellAnchor editAs="oneCell">
    <xdr:from>
      <xdr:col>12</xdr:col>
      <xdr:colOff>760942</xdr:colOff>
      <xdr:row>15</xdr:row>
      <xdr:rowOff>142875</xdr:rowOff>
    </xdr:from>
    <xdr:to>
      <xdr:col>23</xdr:col>
      <xdr:colOff>265643</xdr:colOff>
      <xdr:row>32</xdr:row>
      <xdr:rowOff>146428</xdr:rowOff>
    </xdr:to>
    <xdr:pic>
      <xdr:nvPicPr>
        <xdr:cNvPr id="4" name="Imagen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a:stretch>
          <a:fillRect/>
        </a:stretch>
      </xdr:blipFill>
      <xdr:spPr>
        <a:xfrm>
          <a:off x="15086542" y="3114675"/>
          <a:ext cx="8162926" cy="4623178"/>
        </a:xfrm>
        <a:prstGeom prst="rect">
          <a:avLst/>
        </a:prstGeom>
      </xdr:spPr>
    </xdr:pic>
    <xdr:clientData/>
  </xdr:twoCellAnchor>
  <xdr:twoCellAnchor editAs="oneCell">
    <xdr:from>
      <xdr:col>5</xdr:col>
      <xdr:colOff>463124</xdr:colOff>
      <xdr:row>71</xdr:row>
      <xdr:rowOff>192988</xdr:rowOff>
    </xdr:from>
    <xdr:to>
      <xdr:col>14</xdr:col>
      <xdr:colOff>212141</xdr:colOff>
      <xdr:row>98</xdr:row>
      <xdr:rowOff>10182</xdr:rowOff>
    </xdr:to>
    <xdr:pic>
      <xdr:nvPicPr>
        <xdr:cNvPr id="5" name="Imagen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3"/>
        <a:stretch>
          <a:fillRect/>
        </a:stretch>
      </xdr:blipFill>
      <xdr:spPr>
        <a:xfrm>
          <a:off x="7787849" y="16614088"/>
          <a:ext cx="8321517" cy="5275019"/>
        </a:xfrm>
        <a:prstGeom prst="rect">
          <a:avLst/>
        </a:prstGeom>
      </xdr:spPr>
    </xdr:pic>
    <xdr:clientData/>
  </xdr:twoCellAnchor>
  <xdr:twoCellAnchor editAs="oneCell">
    <xdr:from>
      <xdr:col>12</xdr:col>
      <xdr:colOff>638175</xdr:colOff>
      <xdr:row>43</xdr:row>
      <xdr:rowOff>171450</xdr:rowOff>
    </xdr:from>
    <xdr:to>
      <xdr:col>20</xdr:col>
      <xdr:colOff>200853</xdr:colOff>
      <xdr:row>50</xdr:row>
      <xdr:rowOff>47826</xdr:rowOff>
    </xdr:to>
    <xdr:pic>
      <xdr:nvPicPr>
        <xdr:cNvPr id="6" name="Imagen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4"/>
        <a:stretch>
          <a:fillRect/>
        </a:stretch>
      </xdr:blipFill>
      <xdr:spPr>
        <a:xfrm>
          <a:off x="14963775" y="10658475"/>
          <a:ext cx="5934903" cy="1448001"/>
        </a:xfrm>
        <a:prstGeom prst="rect">
          <a:avLst/>
        </a:prstGeom>
      </xdr:spPr>
    </xdr:pic>
    <xdr:clientData/>
  </xdr:twoCellAnchor>
  <xdr:twoCellAnchor>
    <xdr:from>
      <xdr:col>5</xdr:col>
      <xdr:colOff>344276</xdr:colOff>
      <xdr:row>36</xdr:row>
      <xdr:rowOff>34428</xdr:rowOff>
    </xdr:from>
    <xdr:to>
      <xdr:col>10</xdr:col>
      <xdr:colOff>613232</xdr:colOff>
      <xdr:row>40</xdr:row>
      <xdr:rowOff>68856</xdr:rowOff>
    </xdr:to>
    <xdr:grpSp>
      <xdr:nvGrpSpPr>
        <xdr:cNvPr id="7" name="Grupo 6">
          <a:extLst>
            <a:ext uri="{FF2B5EF4-FFF2-40B4-BE49-F238E27FC236}">
              <a16:creationId xmlns:a16="http://schemas.microsoft.com/office/drawing/2014/main" id="{00000000-0008-0000-0400-000007000000}"/>
            </a:ext>
          </a:extLst>
        </xdr:cNvPr>
        <xdr:cNvGrpSpPr/>
      </xdr:nvGrpSpPr>
      <xdr:grpSpPr>
        <a:xfrm>
          <a:off x="7666620" y="8711108"/>
          <a:ext cx="5686300" cy="1165521"/>
          <a:chOff x="7665903" y="8618404"/>
          <a:chExt cx="5697058" cy="1159066"/>
        </a:xfrm>
      </xdr:grpSpPr>
      <xdr:pic>
        <xdr:nvPicPr>
          <xdr:cNvPr id="8" name="Imagen 7">
            <a:extLst>
              <a:ext uri="{FF2B5EF4-FFF2-40B4-BE49-F238E27FC236}">
                <a16:creationId xmlns:a16="http://schemas.microsoft.com/office/drawing/2014/main" id="{00000000-0008-0000-0400-000008000000}"/>
              </a:ext>
            </a:extLst>
          </xdr:cNvPr>
          <xdr:cNvPicPr>
            <a:picLocks noChangeAspect="1"/>
          </xdr:cNvPicPr>
        </xdr:nvPicPr>
        <xdr:blipFill rotWithShape="1">
          <a:blip xmlns:r="http://schemas.openxmlformats.org/officeDocument/2006/relationships" r:embed="rId5"/>
          <a:srcRect l="88188"/>
          <a:stretch/>
        </xdr:blipFill>
        <xdr:spPr>
          <a:xfrm>
            <a:off x="7665903" y="8766691"/>
            <a:ext cx="2151178" cy="822816"/>
          </a:xfrm>
          <a:prstGeom prst="rect">
            <a:avLst/>
          </a:prstGeom>
        </xdr:spPr>
      </xdr:pic>
      <xdr:pic>
        <xdr:nvPicPr>
          <xdr:cNvPr id="9" name="Imagen 8">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6"/>
          <a:stretch>
            <a:fillRect/>
          </a:stretch>
        </xdr:blipFill>
        <xdr:spPr>
          <a:xfrm>
            <a:off x="11315241" y="8618404"/>
            <a:ext cx="2047720" cy="1159066"/>
          </a:xfrm>
          <a:prstGeom prst="rect">
            <a:avLst/>
          </a:prstGeom>
        </xdr:spPr>
      </xdr:pic>
    </xdr:grpSp>
    <xdr:clientData/>
  </xdr:twoCellAnchor>
  <xdr:twoCellAnchor editAs="oneCell">
    <xdr:from>
      <xdr:col>1</xdr:col>
      <xdr:colOff>630917</xdr:colOff>
      <xdr:row>95</xdr:row>
      <xdr:rowOff>86521</xdr:rowOff>
    </xdr:from>
    <xdr:to>
      <xdr:col>4</xdr:col>
      <xdr:colOff>759133</xdr:colOff>
      <xdr:row>101</xdr:row>
      <xdr:rowOff>65163</xdr:rowOff>
    </xdr:to>
    <xdr:pic>
      <xdr:nvPicPr>
        <xdr:cNvPr id="10" name="Imagen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7"/>
        <a:stretch>
          <a:fillRect/>
        </a:stretch>
      </xdr:blipFill>
      <xdr:spPr>
        <a:xfrm>
          <a:off x="1011917" y="21365371"/>
          <a:ext cx="5681291" cy="11787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LABORATORIO-1\servidor.laboratorio\CANO%20JIMENEZ\10.2_LABORATORIO_2016\CONSOLIDACI&#211;N\Formato%20Consolidaci&#243;n_V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05625\CONSOLIDACION%20CORTE%20056-25%200,3K%20BON-S4%20M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CTURAS"/>
      <sheetName val="K Temp."/>
      <sheetName val="RESULTADOS"/>
      <sheetName val="MÉTODO TAYLOR"/>
      <sheetName val="CASAGRANDE"/>
    </sheetNames>
    <sheetDataSet>
      <sheetData sheetId="0" refreshError="1"/>
      <sheetData sheetId="1" refreshError="1">
        <row r="1">
          <cell r="A1" t="str">
            <v>TEMPERATURA</v>
          </cell>
          <cell r="B1" t="str">
            <v>VALOR K</v>
          </cell>
        </row>
        <row r="2">
          <cell r="A2">
            <v>15</v>
          </cell>
          <cell r="B2">
            <v>1.0008999999999999</v>
          </cell>
        </row>
        <row r="3">
          <cell r="A3">
            <v>15.1</v>
          </cell>
          <cell r="B3">
            <v>1.00088</v>
          </cell>
        </row>
        <row r="4">
          <cell r="A4">
            <v>15.2</v>
          </cell>
          <cell r="B4">
            <v>1.0008699999999999</v>
          </cell>
        </row>
        <row r="5">
          <cell r="A5">
            <v>15.3</v>
          </cell>
          <cell r="B5">
            <v>1.00085</v>
          </cell>
        </row>
        <row r="6">
          <cell r="A6">
            <v>15.4</v>
          </cell>
          <cell r="B6">
            <v>1.00084</v>
          </cell>
        </row>
        <row r="7">
          <cell r="A7">
            <v>15.5</v>
          </cell>
          <cell r="B7">
            <v>1.00082</v>
          </cell>
        </row>
        <row r="8">
          <cell r="A8">
            <v>15.6</v>
          </cell>
          <cell r="B8">
            <v>1.0007999999999999</v>
          </cell>
        </row>
        <row r="9">
          <cell r="A9">
            <v>15.7</v>
          </cell>
          <cell r="B9">
            <v>1.0007900000000001</v>
          </cell>
        </row>
        <row r="10">
          <cell r="A10">
            <v>15.8</v>
          </cell>
          <cell r="B10">
            <v>1.0007699999999999</v>
          </cell>
        </row>
        <row r="11">
          <cell r="A11">
            <v>15.9</v>
          </cell>
          <cell r="B11">
            <v>1.0007600000000001</v>
          </cell>
        </row>
        <row r="12">
          <cell r="A12">
            <v>16</v>
          </cell>
          <cell r="B12">
            <v>1.00074</v>
          </cell>
        </row>
        <row r="13">
          <cell r="A13">
            <v>16.100000000000001</v>
          </cell>
          <cell r="B13">
            <v>1.0007200000000001</v>
          </cell>
        </row>
        <row r="14">
          <cell r="A14">
            <v>16.2</v>
          </cell>
          <cell r="B14">
            <v>1.00071</v>
          </cell>
        </row>
        <row r="15">
          <cell r="A15">
            <v>16.3</v>
          </cell>
          <cell r="B15">
            <v>1.0008900000000001</v>
          </cell>
        </row>
        <row r="16">
          <cell r="A16">
            <v>16.399999999999999</v>
          </cell>
          <cell r="B16">
            <v>1.0006699999999999</v>
          </cell>
        </row>
        <row r="17">
          <cell r="A17">
            <v>16.5</v>
          </cell>
          <cell r="B17">
            <v>1.0006600000000001</v>
          </cell>
        </row>
        <row r="18">
          <cell r="A18">
            <v>16.600000000000001</v>
          </cell>
          <cell r="B18">
            <v>1.00064</v>
          </cell>
        </row>
        <row r="19">
          <cell r="A19">
            <v>16.7</v>
          </cell>
          <cell r="B19">
            <v>1.0006200000000001</v>
          </cell>
        </row>
        <row r="20">
          <cell r="A20">
            <v>16.8</v>
          </cell>
          <cell r="B20">
            <v>1.00061</v>
          </cell>
        </row>
        <row r="21">
          <cell r="A21">
            <v>16.899999999999999</v>
          </cell>
          <cell r="B21">
            <v>1.0005900000000001</v>
          </cell>
        </row>
        <row r="22">
          <cell r="A22">
            <v>17</v>
          </cell>
          <cell r="B22">
            <v>1.00057</v>
          </cell>
        </row>
        <row r="23">
          <cell r="A23">
            <v>17.100000000000001</v>
          </cell>
          <cell r="B23">
            <v>1.0005500000000001</v>
          </cell>
        </row>
        <row r="24">
          <cell r="A24">
            <v>17.2</v>
          </cell>
          <cell r="B24">
            <v>1.00054</v>
          </cell>
        </row>
        <row r="25">
          <cell r="A25">
            <v>17.3</v>
          </cell>
          <cell r="B25">
            <v>1.0005200000000001</v>
          </cell>
        </row>
        <row r="26">
          <cell r="A26">
            <v>17.399999999999999</v>
          </cell>
          <cell r="B26">
            <v>1.0004999999999999</v>
          </cell>
        </row>
        <row r="27">
          <cell r="A27">
            <v>17.5</v>
          </cell>
          <cell r="B27">
            <v>1.00048</v>
          </cell>
        </row>
        <row r="28">
          <cell r="A28">
            <v>17.600000000000001</v>
          </cell>
          <cell r="B28">
            <v>1.00047</v>
          </cell>
        </row>
        <row r="29">
          <cell r="A29">
            <v>17.7</v>
          </cell>
          <cell r="B29">
            <v>1.0004500000000001</v>
          </cell>
        </row>
        <row r="30">
          <cell r="A30">
            <v>17.8</v>
          </cell>
          <cell r="B30">
            <v>1.0004299999999999</v>
          </cell>
        </row>
        <row r="31">
          <cell r="A31">
            <v>17.899999999999999</v>
          </cell>
          <cell r="B31">
            <v>1.00041</v>
          </cell>
        </row>
        <row r="32">
          <cell r="A32">
            <v>18</v>
          </cell>
          <cell r="B32">
            <v>1.0003899999999999</v>
          </cell>
        </row>
        <row r="33">
          <cell r="A33">
            <v>18.100000000000001</v>
          </cell>
          <cell r="B33">
            <v>1.00037</v>
          </cell>
        </row>
        <row r="34">
          <cell r="A34">
            <v>18.2</v>
          </cell>
          <cell r="B34">
            <v>1.0003500000000001</v>
          </cell>
        </row>
        <row r="35">
          <cell r="A35">
            <v>18.3</v>
          </cell>
          <cell r="B35">
            <v>1.00034</v>
          </cell>
        </row>
        <row r="36">
          <cell r="A36">
            <v>18.399999999999999</v>
          </cell>
          <cell r="B36">
            <v>1.0003200000000001</v>
          </cell>
        </row>
        <row r="37">
          <cell r="A37">
            <v>18.5</v>
          </cell>
          <cell r="B37">
            <v>1.0003</v>
          </cell>
        </row>
        <row r="38">
          <cell r="A38">
            <v>18.600000000000001</v>
          </cell>
          <cell r="B38">
            <v>1.0002800000000001</v>
          </cell>
        </row>
        <row r="39">
          <cell r="A39">
            <v>18.7</v>
          </cell>
          <cell r="B39">
            <v>1.0002599999999999</v>
          </cell>
        </row>
        <row r="40">
          <cell r="A40">
            <v>18.8</v>
          </cell>
          <cell r="B40">
            <v>1.00024</v>
          </cell>
        </row>
        <row r="41">
          <cell r="A41">
            <v>18.899999999999999</v>
          </cell>
          <cell r="B41">
            <v>1.0002200000000001</v>
          </cell>
        </row>
        <row r="42">
          <cell r="A42">
            <v>19</v>
          </cell>
          <cell r="B42">
            <v>1.0002</v>
          </cell>
        </row>
        <row r="43">
          <cell r="A43">
            <v>19.100000000000001</v>
          </cell>
          <cell r="B43">
            <v>1.0001800000000001</v>
          </cell>
        </row>
        <row r="44">
          <cell r="A44">
            <v>19.2</v>
          </cell>
          <cell r="B44">
            <v>1.0001599999999999</v>
          </cell>
        </row>
        <row r="45">
          <cell r="A45">
            <v>19.3</v>
          </cell>
          <cell r="B45">
            <v>1.00014</v>
          </cell>
        </row>
        <row r="46">
          <cell r="A46">
            <v>19.399999999999999</v>
          </cell>
          <cell r="B46">
            <v>1.0001199999999999</v>
          </cell>
        </row>
        <row r="47">
          <cell r="A47">
            <v>19.5</v>
          </cell>
          <cell r="B47">
            <v>1.0001</v>
          </cell>
        </row>
        <row r="48">
          <cell r="A48">
            <v>19.600000000000001</v>
          </cell>
          <cell r="B48">
            <v>1.0000800000000001</v>
          </cell>
        </row>
        <row r="49">
          <cell r="A49">
            <v>19.7</v>
          </cell>
          <cell r="B49">
            <v>1.0000599999999999</v>
          </cell>
        </row>
        <row r="50">
          <cell r="A50">
            <v>19.8</v>
          </cell>
          <cell r="B50">
            <v>1.00004</v>
          </cell>
        </row>
        <row r="51">
          <cell r="A51">
            <v>19.899999999999999</v>
          </cell>
          <cell r="B51">
            <v>1.0000199999999999</v>
          </cell>
        </row>
        <row r="52">
          <cell r="A52">
            <v>20</v>
          </cell>
          <cell r="B52">
            <v>1</v>
          </cell>
        </row>
        <row r="53">
          <cell r="A53">
            <v>20.100000000000001</v>
          </cell>
          <cell r="B53">
            <v>0.99997999999999998</v>
          </cell>
        </row>
        <row r="54">
          <cell r="A54">
            <v>20.2</v>
          </cell>
          <cell r="B54">
            <v>0.99995999999999996</v>
          </cell>
        </row>
        <row r="55">
          <cell r="A55">
            <v>20.3</v>
          </cell>
          <cell r="B55">
            <v>0.99994000000000005</v>
          </cell>
        </row>
        <row r="56">
          <cell r="A56">
            <v>20.399999999999999</v>
          </cell>
          <cell r="B56">
            <v>0.99992000000000003</v>
          </cell>
        </row>
        <row r="57">
          <cell r="A57">
            <v>20.5</v>
          </cell>
          <cell r="B57">
            <v>0.99990000000000001</v>
          </cell>
        </row>
        <row r="58">
          <cell r="A58">
            <v>20.6</v>
          </cell>
          <cell r="B58">
            <v>0.99987000000000004</v>
          </cell>
        </row>
        <row r="59">
          <cell r="A59">
            <v>20.7</v>
          </cell>
          <cell r="B59">
            <v>0.99985000000000002</v>
          </cell>
        </row>
        <row r="60">
          <cell r="A60">
            <v>20.8</v>
          </cell>
          <cell r="B60">
            <v>0.99983</v>
          </cell>
        </row>
        <row r="61">
          <cell r="A61">
            <v>20.9</v>
          </cell>
          <cell r="B61">
            <v>0.99980999999999998</v>
          </cell>
        </row>
        <row r="62">
          <cell r="A62">
            <v>21</v>
          </cell>
          <cell r="B62">
            <v>0.99978999999999996</v>
          </cell>
        </row>
        <row r="63">
          <cell r="A63">
            <v>21.1</v>
          </cell>
          <cell r="B63">
            <v>0.99977000000000005</v>
          </cell>
        </row>
        <row r="64">
          <cell r="A64">
            <v>21.2</v>
          </cell>
          <cell r="B64">
            <v>0.99973999999999996</v>
          </cell>
        </row>
        <row r="65">
          <cell r="A65">
            <v>21.3</v>
          </cell>
          <cell r="B65">
            <v>0.99972000000000005</v>
          </cell>
        </row>
        <row r="66">
          <cell r="A66">
            <v>21.4</v>
          </cell>
          <cell r="B66">
            <v>0.99970000000000003</v>
          </cell>
        </row>
        <row r="67">
          <cell r="A67">
            <v>21.5</v>
          </cell>
          <cell r="B67">
            <v>0.99968000000000001</v>
          </cell>
        </row>
        <row r="68">
          <cell r="A68">
            <v>21.6</v>
          </cell>
          <cell r="B68">
            <v>0.99965999999999999</v>
          </cell>
        </row>
        <row r="69">
          <cell r="A69">
            <v>21.7</v>
          </cell>
          <cell r="B69">
            <v>0.99963000000000002</v>
          </cell>
        </row>
        <row r="70">
          <cell r="A70">
            <v>21.8</v>
          </cell>
          <cell r="B70">
            <v>0.99961</v>
          </cell>
        </row>
        <row r="71">
          <cell r="A71">
            <v>21.9</v>
          </cell>
          <cell r="B71">
            <v>0.99958999999999998</v>
          </cell>
        </row>
        <row r="72">
          <cell r="A72">
            <v>22</v>
          </cell>
          <cell r="B72">
            <v>0.99956999999999996</v>
          </cell>
        </row>
        <row r="73">
          <cell r="A73">
            <v>22.1</v>
          </cell>
          <cell r="B73">
            <v>0.99953999999999998</v>
          </cell>
        </row>
        <row r="74">
          <cell r="A74">
            <v>22.2</v>
          </cell>
          <cell r="B74">
            <v>0.99951999999999996</v>
          </cell>
        </row>
        <row r="75">
          <cell r="A75">
            <v>22.3</v>
          </cell>
          <cell r="B75">
            <v>0.99950000000000006</v>
          </cell>
        </row>
        <row r="76">
          <cell r="A76">
            <v>22.4</v>
          </cell>
          <cell r="B76">
            <v>0.99946999999999997</v>
          </cell>
        </row>
        <row r="77">
          <cell r="A77">
            <v>22.5</v>
          </cell>
          <cell r="B77">
            <v>0.99944999999999995</v>
          </cell>
        </row>
        <row r="78">
          <cell r="A78">
            <v>22.6</v>
          </cell>
          <cell r="B78">
            <v>0.99943000000000004</v>
          </cell>
        </row>
        <row r="79">
          <cell r="A79">
            <v>22.7</v>
          </cell>
          <cell r="B79">
            <v>0.99939999999999996</v>
          </cell>
        </row>
        <row r="80">
          <cell r="A80">
            <v>22.8</v>
          </cell>
          <cell r="B80">
            <v>0.99938000000000005</v>
          </cell>
        </row>
        <row r="81">
          <cell r="A81">
            <v>22.9</v>
          </cell>
          <cell r="B81">
            <v>0.99936000000000003</v>
          </cell>
        </row>
        <row r="82">
          <cell r="A82">
            <v>23</v>
          </cell>
          <cell r="B82">
            <v>0.99933000000000005</v>
          </cell>
        </row>
        <row r="83">
          <cell r="A83">
            <v>23.1</v>
          </cell>
          <cell r="B83">
            <v>0.99931000000000003</v>
          </cell>
        </row>
        <row r="84">
          <cell r="A84">
            <v>23.2</v>
          </cell>
          <cell r="B84">
            <v>0.99929000000000001</v>
          </cell>
        </row>
        <row r="85">
          <cell r="A85">
            <v>23.3</v>
          </cell>
          <cell r="B85">
            <v>0.99926000000000004</v>
          </cell>
        </row>
        <row r="86">
          <cell r="A86">
            <v>23.4</v>
          </cell>
          <cell r="B86">
            <v>0.99924000000000002</v>
          </cell>
        </row>
        <row r="87">
          <cell r="A87">
            <v>23.5</v>
          </cell>
          <cell r="B87">
            <v>0.99921000000000004</v>
          </cell>
        </row>
        <row r="88">
          <cell r="A88">
            <v>23.6</v>
          </cell>
          <cell r="B88">
            <v>0.99919000000000002</v>
          </cell>
        </row>
        <row r="89">
          <cell r="A89">
            <v>23.7</v>
          </cell>
          <cell r="B89">
            <v>0.99917</v>
          </cell>
        </row>
        <row r="90">
          <cell r="A90">
            <v>23.8</v>
          </cell>
          <cell r="B90">
            <v>0.99914000000000003</v>
          </cell>
        </row>
        <row r="91">
          <cell r="A91">
            <v>23.9</v>
          </cell>
          <cell r="B91">
            <v>0.99912000000000001</v>
          </cell>
        </row>
        <row r="92">
          <cell r="A92">
            <v>24</v>
          </cell>
          <cell r="B92">
            <v>0.99909000000000003</v>
          </cell>
        </row>
        <row r="93">
          <cell r="A93">
            <v>24.1</v>
          </cell>
          <cell r="B93">
            <v>0.99907000000000001</v>
          </cell>
        </row>
        <row r="94">
          <cell r="A94">
            <v>24.2</v>
          </cell>
          <cell r="B94">
            <v>0.99904000000000004</v>
          </cell>
        </row>
        <row r="95">
          <cell r="A95">
            <v>24.3</v>
          </cell>
          <cell r="B95">
            <v>0.99902000000000002</v>
          </cell>
        </row>
        <row r="96">
          <cell r="A96">
            <v>24.4</v>
          </cell>
          <cell r="B96">
            <v>0.99899000000000004</v>
          </cell>
        </row>
        <row r="97">
          <cell r="A97">
            <v>24.5</v>
          </cell>
          <cell r="B97">
            <v>0.99897000000000002</v>
          </cell>
        </row>
        <row r="98">
          <cell r="A98">
            <v>24.6</v>
          </cell>
          <cell r="B98">
            <v>0.99894000000000005</v>
          </cell>
        </row>
        <row r="99">
          <cell r="A99">
            <v>24.7</v>
          </cell>
          <cell r="B99">
            <v>0.99892000000000003</v>
          </cell>
        </row>
        <row r="100">
          <cell r="A100">
            <v>24.8</v>
          </cell>
          <cell r="B100">
            <v>0.99888999999999994</v>
          </cell>
        </row>
        <row r="101">
          <cell r="A101">
            <v>24.9</v>
          </cell>
          <cell r="B101">
            <v>0.99887000000000004</v>
          </cell>
        </row>
        <row r="102">
          <cell r="A102">
            <v>25</v>
          </cell>
          <cell r="B102">
            <v>0.99883999999999995</v>
          </cell>
        </row>
        <row r="103">
          <cell r="A103">
            <v>25.1</v>
          </cell>
          <cell r="B103">
            <v>0.99880999999999998</v>
          </cell>
        </row>
        <row r="104">
          <cell r="A104">
            <v>25.2</v>
          </cell>
          <cell r="B104">
            <v>0.99878999999999996</v>
          </cell>
        </row>
        <row r="105">
          <cell r="A105">
            <v>25.3</v>
          </cell>
          <cell r="B105">
            <v>0.99875999999999998</v>
          </cell>
        </row>
        <row r="106">
          <cell r="A106">
            <v>25.4</v>
          </cell>
          <cell r="B106">
            <v>0.99873999999999996</v>
          </cell>
        </row>
        <row r="107">
          <cell r="A107">
            <v>25.5</v>
          </cell>
          <cell r="B107">
            <v>0.99870999999999999</v>
          </cell>
        </row>
        <row r="108">
          <cell r="A108">
            <v>25.6</v>
          </cell>
          <cell r="B108">
            <v>0.99868000000000001</v>
          </cell>
        </row>
        <row r="109">
          <cell r="A109">
            <v>25.7</v>
          </cell>
          <cell r="B109">
            <v>0.99865999999999999</v>
          </cell>
        </row>
        <row r="110">
          <cell r="A110">
            <v>25.8</v>
          </cell>
          <cell r="B110">
            <v>0.99873000000000001</v>
          </cell>
        </row>
        <row r="111">
          <cell r="A111">
            <v>25.9</v>
          </cell>
          <cell r="B111">
            <v>0.99860000000000004</v>
          </cell>
        </row>
        <row r="112">
          <cell r="A112">
            <v>26</v>
          </cell>
          <cell r="B112">
            <v>0.99858000000000002</v>
          </cell>
        </row>
        <row r="113">
          <cell r="A113">
            <v>26.1</v>
          </cell>
          <cell r="B113">
            <v>0.99855000000000005</v>
          </cell>
        </row>
        <row r="114">
          <cell r="A114">
            <v>26.2</v>
          </cell>
          <cell r="B114">
            <v>0.99851999999999996</v>
          </cell>
        </row>
        <row r="115">
          <cell r="A115">
            <v>26.3</v>
          </cell>
          <cell r="B115">
            <v>0.99850000000000005</v>
          </cell>
        </row>
        <row r="116">
          <cell r="A116">
            <v>26.4</v>
          </cell>
          <cell r="B116">
            <v>0.99846999999999997</v>
          </cell>
        </row>
        <row r="117">
          <cell r="A117">
            <v>26.5</v>
          </cell>
          <cell r="B117">
            <v>0.99843999999999999</v>
          </cell>
        </row>
        <row r="118">
          <cell r="A118">
            <v>26.6</v>
          </cell>
          <cell r="B118">
            <v>0.99841999999999997</v>
          </cell>
        </row>
        <row r="119">
          <cell r="A119">
            <v>26.7</v>
          </cell>
          <cell r="B119">
            <v>0.99839</v>
          </cell>
        </row>
        <row r="120">
          <cell r="A120">
            <v>26.8</v>
          </cell>
          <cell r="B120">
            <v>0.99836000000000003</v>
          </cell>
        </row>
        <row r="121">
          <cell r="A121">
            <v>26.9</v>
          </cell>
          <cell r="B121">
            <v>0.99833000000000005</v>
          </cell>
        </row>
        <row r="122">
          <cell r="A122">
            <v>27</v>
          </cell>
          <cell r="B122">
            <v>0.99831000000000003</v>
          </cell>
        </row>
        <row r="123">
          <cell r="A123">
            <v>27.1</v>
          </cell>
          <cell r="B123">
            <v>0.99628000000000005</v>
          </cell>
        </row>
        <row r="124">
          <cell r="A124">
            <v>27.2</v>
          </cell>
          <cell r="B124">
            <v>0.99824999999999997</v>
          </cell>
        </row>
        <row r="125">
          <cell r="A125">
            <v>27.3</v>
          </cell>
          <cell r="B125">
            <v>0.99822</v>
          </cell>
        </row>
        <row r="126">
          <cell r="A126">
            <v>27.4</v>
          </cell>
          <cell r="B126">
            <v>0.99819999999999998</v>
          </cell>
        </row>
        <row r="127">
          <cell r="A127">
            <v>27.5</v>
          </cell>
          <cell r="B127">
            <v>0.99817</v>
          </cell>
        </row>
        <row r="128">
          <cell r="A128">
            <v>27.6</v>
          </cell>
          <cell r="B128">
            <v>0.99814000000000003</v>
          </cell>
        </row>
        <row r="129">
          <cell r="A129">
            <v>27.7</v>
          </cell>
          <cell r="B129">
            <v>0.99811000000000005</v>
          </cell>
        </row>
        <row r="130">
          <cell r="A130">
            <v>27.8</v>
          </cell>
          <cell r="B130">
            <v>0.99807999999999997</v>
          </cell>
        </row>
        <row r="131">
          <cell r="A131">
            <v>27.9</v>
          </cell>
          <cell r="B131">
            <v>0.99805999999999995</v>
          </cell>
        </row>
        <row r="132">
          <cell r="A132">
            <v>28</v>
          </cell>
          <cell r="B132">
            <v>0.99802999999999997</v>
          </cell>
        </row>
        <row r="133">
          <cell r="A133">
            <v>28.1</v>
          </cell>
          <cell r="B133">
            <v>0.998</v>
          </cell>
        </row>
        <row r="134">
          <cell r="A134">
            <v>28.2</v>
          </cell>
          <cell r="B134">
            <v>0.99797000000000002</v>
          </cell>
        </row>
        <row r="135">
          <cell r="A135">
            <v>28.3</v>
          </cell>
          <cell r="B135">
            <v>0.99794000000000005</v>
          </cell>
        </row>
        <row r="136">
          <cell r="A136">
            <v>28.4</v>
          </cell>
          <cell r="B136">
            <v>0.99790999999999996</v>
          </cell>
        </row>
        <row r="137">
          <cell r="A137">
            <v>28.5</v>
          </cell>
          <cell r="B137">
            <v>0.99787999999999999</v>
          </cell>
        </row>
        <row r="138">
          <cell r="A138">
            <v>28.6</v>
          </cell>
          <cell r="B138">
            <v>0.99785000000000001</v>
          </cell>
        </row>
        <row r="139">
          <cell r="A139">
            <v>28.7</v>
          </cell>
          <cell r="B139">
            <v>0.99782999999999999</v>
          </cell>
        </row>
        <row r="140">
          <cell r="A140">
            <v>28.8</v>
          </cell>
          <cell r="B140">
            <v>0.99780000000000002</v>
          </cell>
        </row>
        <row r="141">
          <cell r="A141">
            <v>28.9</v>
          </cell>
          <cell r="B141">
            <v>0.99777000000000005</v>
          </cell>
        </row>
        <row r="142">
          <cell r="A142">
            <v>29</v>
          </cell>
          <cell r="B142">
            <v>0.99773999999999996</v>
          </cell>
        </row>
        <row r="143">
          <cell r="A143">
            <v>29.1</v>
          </cell>
          <cell r="B143">
            <v>0.99770999999999999</v>
          </cell>
        </row>
        <row r="144">
          <cell r="A144">
            <v>29.2</v>
          </cell>
          <cell r="B144">
            <v>0.99768000000000001</v>
          </cell>
        </row>
        <row r="145">
          <cell r="A145">
            <v>29.3</v>
          </cell>
          <cell r="B145">
            <v>0.99765000000000004</v>
          </cell>
        </row>
        <row r="146">
          <cell r="A146">
            <v>29.4</v>
          </cell>
          <cell r="B146">
            <v>0.99761999999999995</v>
          </cell>
        </row>
        <row r="147">
          <cell r="A147">
            <v>29.5</v>
          </cell>
          <cell r="B147">
            <v>0.99758999999999998</v>
          </cell>
        </row>
        <row r="148">
          <cell r="A148">
            <v>29.6</v>
          </cell>
          <cell r="B148">
            <v>0.99756</v>
          </cell>
        </row>
        <row r="149">
          <cell r="A149">
            <v>29.7</v>
          </cell>
          <cell r="B149">
            <v>0.99753000000000003</v>
          </cell>
        </row>
        <row r="150">
          <cell r="A150">
            <v>29.8</v>
          </cell>
          <cell r="B150">
            <v>0.99750000000000005</v>
          </cell>
        </row>
        <row r="151">
          <cell r="A151">
            <v>29.9</v>
          </cell>
          <cell r="B151">
            <v>0.99746999999999997</v>
          </cell>
        </row>
        <row r="152">
          <cell r="A152">
            <v>30</v>
          </cell>
          <cell r="B152">
            <v>0.99743999999999999</v>
          </cell>
        </row>
        <row r="153">
          <cell r="A153">
            <v>30.1</v>
          </cell>
          <cell r="B153">
            <v>0.99741000000000002</v>
          </cell>
        </row>
        <row r="154">
          <cell r="A154">
            <v>30.2</v>
          </cell>
          <cell r="B154">
            <v>0.99738000000000004</v>
          </cell>
        </row>
        <row r="155">
          <cell r="A155">
            <v>30.3</v>
          </cell>
          <cell r="B155">
            <v>0.99734999999999996</v>
          </cell>
        </row>
        <row r="156">
          <cell r="A156">
            <v>30.4</v>
          </cell>
          <cell r="B156">
            <v>0.99731999999999998</v>
          </cell>
        </row>
        <row r="157">
          <cell r="A157">
            <v>30.5</v>
          </cell>
          <cell r="B157">
            <v>0.99729000000000001</v>
          </cell>
        </row>
        <row r="158">
          <cell r="A158">
            <v>30.6</v>
          </cell>
          <cell r="B158">
            <v>0.99726000000000004</v>
          </cell>
        </row>
        <row r="159">
          <cell r="A159">
            <v>30.7</v>
          </cell>
          <cell r="B159">
            <v>0.99722999999999995</v>
          </cell>
        </row>
        <row r="160">
          <cell r="A160">
            <v>30.8</v>
          </cell>
          <cell r="B160">
            <v>0.99719999999999998</v>
          </cell>
        </row>
        <row r="161">
          <cell r="A161">
            <v>30.9</v>
          </cell>
          <cell r="B161">
            <v>0.99716000000000005</v>
          </cell>
        </row>
      </sheetData>
      <sheetData sheetId="2" refreshError="1"/>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rme"/>
      <sheetName val="Data1"/>
      <sheetName val="Data2"/>
    </sheetNames>
    <sheetDataSet>
      <sheetData sheetId="0"/>
      <sheetData sheetId="1"/>
      <sheetData sheetId="2">
        <row r="2">
          <cell r="D2">
            <v>0</v>
          </cell>
        </row>
        <row r="3">
          <cell r="D3">
            <v>0</v>
          </cell>
        </row>
        <row r="4">
          <cell r="D4">
            <v>0</v>
          </cell>
        </row>
        <row r="5">
          <cell r="D5">
            <v>0.1</v>
          </cell>
        </row>
        <row r="6">
          <cell r="D6">
            <v>0.108</v>
          </cell>
        </row>
        <row r="7">
          <cell r="D7">
            <v>0.11</v>
          </cell>
        </row>
        <row r="8">
          <cell r="D8">
            <v>0.114</v>
          </cell>
        </row>
        <row r="9">
          <cell r="D9">
            <v>0.11600000000000001</v>
          </cell>
        </row>
        <row r="10">
          <cell r="D10">
            <v>0.11799999999999999</v>
          </cell>
        </row>
        <row r="11">
          <cell r="D11">
            <v>0.11899999999999999</v>
          </cell>
        </row>
        <row r="12">
          <cell r="D12">
            <v>0.121</v>
          </cell>
        </row>
        <row r="13">
          <cell r="D13">
            <v>0.122</v>
          </cell>
        </row>
        <row r="14">
          <cell r="D14">
            <v>0.123</v>
          </cell>
        </row>
        <row r="15">
          <cell r="D15">
            <v>0.124</v>
          </cell>
        </row>
        <row r="16">
          <cell r="D16">
            <v>0.125</v>
          </cell>
        </row>
        <row r="17">
          <cell r="D17">
            <v>0.126</v>
          </cell>
        </row>
        <row r="18">
          <cell r="D18">
            <v>0.127</v>
          </cell>
        </row>
        <row r="19">
          <cell r="D19">
            <v>0.128</v>
          </cell>
        </row>
        <row r="20">
          <cell r="D20">
            <v>0.128</v>
          </cell>
        </row>
        <row r="21">
          <cell r="D21">
            <v>0.129</v>
          </cell>
        </row>
        <row r="22">
          <cell r="D22">
            <v>0.13</v>
          </cell>
        </row>
        <row r="23">
          <cell r="D23">
            <v>0.13</v>
          </cell>
        </row>
        <row r="24">
          <cell r="D24">
            <v>0.13100000000000001</v>
          </cell>
        </row>
        <row r="25">
          <cell r="D25">
            <v>0.13100000000000001</v>
          </cell>
        </row>
        <row r="26">
          <cell r="D26">
            <v>0.13200000000000001</v>
          </cell>
        </row>
        <row r="27">
          <cell r="D27">
            <v>0.13300000000000001</v>
          </cell>
        </row>
        <row r="28">
          <cell r="D28">
            <v>0.13300000000000001</v>
          </cell>
        </row>
        <row r="29">
          <cell r="D29">
            <v>0.13300000000000001</v>
          </cell>
        </row>
        <row r="30">
          <cell r="D30">
            <v>0.13400000000000001</v>
          </cell>
        </row>
        <row r="31">
          <cell r="D31">
            <v>0.13400000000000001</v>
          </cell>
        </row>
        <row r="32">
          <cell r="D32">
            <v>0.13500000000000001</v>
          </cell>
        </row>
        <row r="33">
          <cell r="D33">
            <v>0.14399999999999999</v>
          </cell>
        </row>
        <row r="34">
          <cell r="D34">
            <v>0.15</v>
          </cell>
        </row>
        <row r="35">
          <cell r="D35">
            <v>0.155</v>
          </cell>
        </row>
        <row r="36">
          <cell r="D36">
            <v>0.158</v>
          </cell>
        </row>
        <row r="37">
          <cell r="D37">
            <v>0.161</v>
          </cell>
        </row>
        <row r="38">
          <cell r="D38">
            <v>0.16300000000000001</v>
          </cell>
        </row>
        <row r="39">
          <cell r="D39">
            <v>0.16500000000000001</v>
          </cell>
        </row>
        <row r="40">
          <cell r="D40">
            <v>0.16700000000000001</v>
          </cell>
        </row>
        <row r="41">
          <cell r="D41">
            <v>0.16900000000000001</v>
          </cell>
        </row>
        <row r="42">
          <cell r="D42">
            <v>0.17100000000000001</v>
          </cell>
        </row>
        <row r="43">
          <cell r="D43">
            <v>0.17199999999999999</v>
          </cell>
        </row>
        <row r="44">
          <cell r="D44">
            <v>0.17399999999999999</v>
          </cell>
        </row>
        <row r="45">
          <cell r="D45">
            <v>0.17499999999999999</v>
          </cell>
        </row>
        <row r="46">
          <cell r="D46">
            <v>0.17599999999999999</v>
          </cell>
        </row>
        <row r="47">
          <cell r="D47">
            <v>0.17799999999999999</v>
          </cell>
        </row>
        <row r="48">
          <cell r="D48">
            <v>0.17799999999999999</v>
          </cell>
        </row>
        <row r="49">
          <cell r="D49">
            <v>0.17899999999999999</v>
          </cell>
        </row>
        <row r="50">
          <cell r="D50">
            <v>0.17899999999999999</v>
          </cell>
        </row>
        <row r="51">
          <cell r="D51">
            <v>0.182</v>
          </cell>
        </row>
        <row r="52">
          <cell r="D52">
            <v>0.182</v>
          </cell>
        </row>
        <row r="53">
          <cell r="D53">
            <v>0.182</v>
          </cell>
        </row>
        <row r="54">
          <cell r="D54">
            <v>0.185</v>
          </cell>
        </row>
        <row r="55">
          <cell r="D55">
            <v>0.185</v>
          </cell>
        </row>
        <row r="56">
          <cell r="D56">
            <v>0.185</v>
          </cell>
        </row>
        <row r="57">
          <cell r="D57">
            <v>0.185</v>
          </cell>
        </row>
        <row r="58">
          <cell r="D58">
            <v>0.187</v>
          </cell>
        </row>
        <row r="59">
          <cell r="D59">
            <v>0.188</v>
          </cell>
        </row>
        <row r="60">
          <cell r="D60">
            <v>0.188</v>
          </cell>
        </row>
        <row r="61">
          <cell r="D61">
            <v>0.188</v>
          </cell>
        </row>
        <row r="62">
          <cell r="D62">
            <v>0.188</v>
          </cell>
        </row>
        <row r="63">
          <cell r="D63">
            <v>0.19</v>
          </cell>
        </row>
        <row r="64">
          <cell r="D64">
            <v>0.19</v>
          </cell>
        </row>
        <row r="65">
          <cell r="D65">
            <v>0.19</v>
          </cell>
        </row>
        <row r="66">
          <cell r="D66">
            <v>0.19</v>
          </cell>
        </row>
        <row r="67">
          <cell r="D67">
            <v>0.19</v>
          </cell>
        </row>
        <row r="68">
          <cell r="D68">
            <v>0.19</v>
          </cell>
        </row>
        <row r="69">
          <cell r="D69">
            <v>0.193</v>
          </cell>
        </row>
        <row r="70">
          <cell r="D70">
            <v>0.193</v>
          </cell>
        </row>
        <row r="71">
          <cell r="D71">
            <v>0.193</v>
          </cell>
        </row>
        <row r="72">
          <cell r="D72">
            <v>0.193</v>
          </cell>
        </row>
        <row r="73">
          <cell r="D73">
            <v>0.193</v>
          </cell>
        </row>
        <row r="74">
          <cell r="D74">
            <v>0.193</v>
          </cell>
        </row>
        <row r="75">
          <cell r="D75">
            <v>0.193</v>
          </cell>
        </row>
        <row r="76">
          <cell r="D76">
            <v>0.193</v>
          </cell>
        </row>
        <row r="77">
          <cell r="D77">
            <v>0.19600000000000001</v>
          </cell>
        </row>
        <row r="78">
          <cell r="D78">
            <v>0.19600000000000001</v>
          </cell>
        </row>
        <row r="79">
          <cell r="D79">
            <v>0.19600000000000001</v>
          </cell>
        </row>
        <row r="80">
          <cell r="D80">
            <v>0.19600000000000001</v>
          </cell>
        </row>
        <row r="81">
          <cell r="D81">
            <v>0.19600000000000001</v>
          </cell>
        </row>
        <row r="82">
          <cell r="D82">
            <v>0.19600000000000001</v>
          </cell>
        </row>
        <row r="83">
          <cell r="D83">
            <v>0.19600000000000001</v>
          </cell>
        </row>
        <row r="84">
          <cell r="D84">
            <v>0.19600000000000001</v>
          </cell>
        </row>
        <row r="85">
          <cell r="D85">
            <v>0.19600000000000001</v>
          </cell>
        </row>
        <row r="86">
          <cell r="D86">
            <v>0.19600000000000001</v>
          </cell>
        </row>
        <row r="87">
          <cell r="D87">
            <v>0.19600000000000001</v>
          </cell>
        </row>
        <row r="88">
          <cell r="D88">
            <v>0.19600000000000001</v>
          </cell>
        </row>
        <row r="89">
          <cell r="D89">
            <v>0.19600000000000001</v>
          </cell>
        </row>
        <row r="90">
          <cell r="D90">
            <v>0.19600000000000001</v>
          </cell>
        </row>
        <row r="91">
          <cell r="D91">
            <v>0.20399999999999999</v>
          </cell>
        </row>
        <row r="92">
          <cell r="D92">
            <v>0.20399999999999999</v>
          </cell>
        </row>
        <row r="93">
          <cell r="D93">
            <v>0.20399999999999999</v>
          </cell>
        </row>
        <row r="94">
          <cell r="D94">
            <v>0.20499999999999999</v>
          </cell>
        </row>
        <row r="95">
          <cell r="D95">
            <v>0.20499999999999999</v>
          </cell>
        </row>
        <row r="96">
          <cell r="D96">
            <v>0.20499999999999999</v>
          </cell>
        </row>
        <row r="97">
          <cell r="D97">
            <v>0.20499999999999999</v>
          </cell>
        </row>
        <row r="98">
          <cell r="D98">
            <v>0.20499999999999999</v>
          </cell>
        </row>
        <row r="99">
          <cell r="D99">
            <v>0.20499999999999999</v>
          </cell>
        </row>
        <row r="100">
          <cell r="D100">
            <v>0.20499999999999999</v>
          </cell>
        </row>
        <row r="101">
          <cell r="D101">
            <v>0.20499999999999999</v>
          </cell>
        </row>
        <row r="102">
          <cell r="D102">
            <v>0.20499999999999999</v>
          </cell>
        </row>
        <row r="103">
          <cell r="D103">
            <v>0.20499999999999999</v>
          </cell>
        </row>
        <row r="104">
          <cell r="D104">
            <v>0.20499999999999999</v>
          </cell>
        </row>
        <row r="105">
          <cell r="D105">
            <v>0.20499999999999999</v>
          </cell>
        </row>
        <row r="106">
          <cell r="D106">
            <v>0.20499999999999999</v>
          </cell>
        </row>
        <row r="107">
          <cell r="D107">
            <v>0.20499999999999999</v>
          </cell>
        </row>
        <row r="108">
          <cell r="D108">
            <v>0.20499999999999999</v>
          </cell>
        </row>
        <row r="109">
          <cell r="D109">
            <v>0.20499999999999999</v>
          </cell>
        </row>
        <row r="110">
          <cell r="D110">
            <v>0.20499999999999999</v>
          </cell>
        </row>
        <row r="111">
          <cell r="D111">
            <v>0.20499999999999999</v>
          </cell>
        </row>
        <row r="112">
          <cell r="D112">
            <v>0.20499999999999999</v>
          </cell>
        </row>
        <row r="113">
          <cell r="D113">
            <v>0.20499999999999999</v>
          </cell>
        </row>
        <row r="114">
          <cell r="D114">
            <v>0.20499999999999999</v>
          </cell>
        </row>
        <row r="115">
          <cell r="D115">
            <v>0.20499999999999999</v>
          </cell>
        </row>
        <row r="116">
          <cell r="D116">
            <v>0.20499999999999999</v>
          </cell>
        </row>
        <row r="117">
          <cell r="D117">
            <v>0.20499999999999999</v>
          </cell>
        </row>
        <row r="118">
          <cell r="D118">
            <v>0.20499999999999999</v>
          </cell>
        </row>
        <row r="119">
          <cell r="D119">
            <v>0.20499999999999999</v>
          </cell>
        </row>
        <row r="120">
          <cell r="D120">
            <v>0.20499999999999999</v>
          </cell>
        </row>
        <row r="121">
          <cell r="D121">
            <v>0.20499999999999999</v>
          </cell>
        </row>
        <row r="122">
          <cell r="D122">
            <v>0.20499999999999999</v>
          </cell>
        </row>
        <row r="123">
          <cell r="D123">
            <v>0.20499999999999999</v>
          </cell>
        </row>
        <row r="124">
          <cell r="D124">
            <v>0.20499999999999999</v>
          </cell>
        </row>
        <row r="125">
          <cell r="D125">
            <v>0.20499999999999999</v>
          </cell>
        </row>
        <row r="126">
          <cell r="D126">
            <v>0.20499999999999999</v>
          </cell>
        </row>
        <row r="127">
          <cell r="D127">
            <v>0.20499999999999999</v>
          </cell>
        </row>
        <row r="128">
          <cell r="D128">
            <v>0.20499999999999999</v>
          </cell>
        </row>
        <row r="129">
          <cell r="D129">
            <v>0.20499999999999999</v>
          </cell>
        </row>
        <row r="130">
          <cell r="D130">
            <v>0.20499999999999999</v>
          </cell>
        </row>
        <row r="131">
          <cell r="D131">
            <v>0.20499999999999999</v>
          </cell>
        </row>
        <row r="132">
          <cell r="D132">
            <v>0.20499999999999999</v>
          </cell>
        </row>
        <row r="133">
          <cell r="D133">
            <v>0.20499999999999999</v>
          </cell>
        </row>
        <row r="134">
          <cell r="D134">
            <v>0.20499999999999999</v>
          </cell>
        </row>
        <row r="135">
          <cell r="D135">
            <v>0.20499999999999999</v>
          </cell>
        </row>
        <row r="136">
          <cell r="D136">
            <v>0.20499999999999999</v>
          </cell>
        </row>
        <row r="137">
          <cell r="D137">
            <v>0.20499999999999999</v>
          </cell>
        </row>
        <row r="138">
          <cell r="D138">
            <v>0.20499999999999999</v>
          </cell>
        </row>
        <row r="139">
          <cell r="D139">
            <v>0.20499999999999999</v>
          </cell>
        </row>
        <row r="140">
          <cell r="D140">
            <v>0.20499999999999999</v>
          </cell>
        </row>
        <row r="141">
          <cell r="D141">
            <v>0.20499999999999999</v>
          </cell>
        </row>
        <row r="142">
          <cell r="D142">
            <v>0.20499999999999999</v>
          </cell>
        </row>
        <row r="143">
          <cell r="D143">
            <v>0.20499999999999999</v>
          </cell>
        </row>
        <row r="144">
          <cell r="D144">
            <v>0.20499999999999999</v>
          </cell>
        </row>
        <row r="145">
          <cell r="D145">
            <v>0.20499999999999999</v>
          </cell>
        </row>
        <row r="146">
          <cell r="D146">
            <v>0.20499999999999999</v>
          </cell>
        </row>
        <row r="147">
          <cell r="D147">
            <v>0.20499999999999999</v>
          </cell>
        </row>
        <row r="148">
          <cell r="D148">
            <v>0.20499999999999999</v>
          </cell>
        </row>
        <row r="149">
          <cell r="D149">
            <v>0.20499999999999999</v>
          </cell>
        </row>
        <row r="150">
          <cell r="D150">
            <v>0.20499999999999999</v>
          </cell>
        </row>
        <row r="151">
          <cell r="D151">
            <v>0.20499999999999999</v>
          </cell>
        </row>
        <row r="152">
          <cell r="D152">
            <v>0.20499999999999999</v>
          </cell>
        </row>
        <row r="153">
          <cell r="D153">
            <v>0.20599999999999999</v>
          </cell>
        </row>
        <row r="154">
          <cell r="D154">
            <v>0.20599999999999999</v>
          </cell>
        </row>
        <row r="155">
          <cell r="D155">
            <v>0.20599999999999999</v>
          </cell>
        </row>
        <row r="156">
          <cell r="D156">
            <v>0.20599999999999999</v>
          </cell>
        </row>
        <row r="157">
          <cell r="D157">
            <v>0.20599999999999999</v>
          </cell>
        </row>
        <row r="158">
          <cell r="D158">
            <v>0.20599999999999999</v>
          </cell>
        </row>
        <row r="159">
          <cell r="D159">
            <v>0.20599999999999999</v>
          </cell>
        </row>
        <row r="160">
          <cell r="D160">
            <v>0.20599999999999999</v>
          </cell>
        </row>
        <row r="161">
          <cell r="D161">
            <v>0.20599999999999999</v>
          </cell>
        </row>
        <row r="162">
          <cell r="D162">
            <v>0.21</v>
          </cell>
        </row>
        <row r="163">
          <cell r="D163">
            <v>0.21</v>
          </cell>
        </row>
        <row r="164">
          <cell r="D164">
            <v>0.21</v>
          </cell>
        </row>
        <row r="165">
          <cell r="D165">
            <v>0.21</v>
          </cell>
        </row>
        <row r="166">
          <cell r="D166">
            <v>0.21</v>
          </cell>
        </row>
        <row r="167">
          <cell r="D167">
            <v>0.21</v>
          </cell>
        </row>
        <row r="168">
          <cell r="D168">
            <v>0.21</v>
          </cell>
        </row>
        <row r="169">
          <cell r="D169">
            <v>0.21</v>
          </cell>
        </row>
        <row r="170">
          <cell r="D170">
            <v>0.21</v>
          </cell>
        </row>
        <row r="171">
          <cell r="D171">
            <v>0.21</v>
          </cell>
        </row>
        <row r="172">
          <cell r="D172">
            <v>0.21</v>
          </cell>
        </row>
        <row r="173">
          <cell r="D173">
            <v>0.21</v>
          </cell>
        </row>
        <row r="174">
          <cell r="D174">
            <v>0.21</v>
          </cell>
        </row>
        <row r="175">
          <cell r="D175">
            <v>0.21</v>
          </cell>
        </row>
        <row r="176">
          <cell r="D176">
            <v>0.21</v>
          </cell>
        </row>
        <row r="177">
          <cell r="D177">
            <v>0.21</v>
          </cell>
        </row>
        <row r="178">
          <cell r="D178">
            <v>0.21</v>
          </cell>
        </row>
        <row r="179">
          <cell r="D179">
            <v>0.21</v>
          </cell>
        </row>
        <row r="180">
          <cell r="D180">
            <v>0.21</v>
          </cell>
        </row>
        <row r="181">
          <cell r="D181">
            <v>0.21</v>
          </cell>
        </row>
        <row r="182">
          <cell r="D182">
            <v>0.21</v>
          </cell>
        </row>
        <row r="183">
          <cell r="D183">
            <v>0.21</v>
          </cell>
        </row>
        <row r="184">
          <cell r="D184">
            <v>0.21</v>
          </cell>
        </row>
        <row r="185">
          <cell r="D185">
            <v>0.21</v>
          </cell>
        </row>
        <row r="186">
          <cell r="D186">
            <v>0.21</v>
          </cell>
        </row>
        <row r="187">
          <cell r="D187">
            <v>0.21</v>
          </cell>
        </row>
        <row r="188">
          <cell r="D188">
            <v>0.21</v>
          </cell>
        </row>
        <row r="189">
          <cell r="D189">
            <v>0.21</v>
          </cell>
        </row>
        <row r="190">
          <cell r="D190">
            <v>0.21</v>
          </cell>
        </row>
        <row r="191">
          <cell r="D191">
            <v>0.21</v>
          </cell>
        </row>
        <row r="192">
          <cell r="D192">
            <v>0.21</v>
          </cell>
        </row>
        <row r="193">
          <cell r="D193">
            <v>0.21</v>
          </cell>
        </row>
        <row r="194">
          <cell r="D194">
            <v>0.21</v>
          </cell>
        </row>
        <row r="195">
          <cell r="D195">
            <v>0.21</v>
          </cell>
        </row>
        <row r="196">
          <cell r="D196">
            <v>0.21</v>
          </cell>
        </row>
        <row r="197">
          <cell r="D197">
            <v>0.21</v>
          </cell>
        </row>
        <row r="198">
          <cell r="D198">
            <v>0.21</v>
          </cell>
        </row>
        <row r="199">
          <cell r="D199">
            <v>0.21</v>
          </cell>
        </row>
        <row r="200">
          <cell r="D200">
            <v>0.21</v>
          </cell>
        </row>
        <row r="201">
          <cell r="D201">
            <v>0.21</v>
          </cell>
        </row>
        <row r="202">
          <cell r="D202">
            <v>0.21</v>
          </cell>
        </row>
        <row r="203">
          <cell r="D203">
            <v>0.21</v>
          </cell>
        </row>
        <row r="204">
          <cell r="D204">
            <v>0.21</v>
          </cell>
        </row>
        <row r="205">
          <cell r="D205">
            <v>0.21</v>
          </cell>
        </row>
        <row r="206">
          <cell r="D206">
            <v>0.21</v>
          </cell>
        </row>
        <row r="207">
          <cell r="D207">
            <v>0.21</v>
          </cell>
        </row>
        <row r="208">
          <cell r="D208">
            <v>0.21</v>
          </cell>
        </row>
        <row r="209">
          <cell r="D209">
            <v>0.21</v>
          </cell>
        </row>
        <row r="210">
          <cell r="D210">
            <v>0.21</v>
          </cell>
        </row>
        <row r="211">
          <cell r="D211">
            <v>0.21</v>
          </cell>
        </row>
        <row r="212">
          <cell r="D212">
            <v>0.21</v>
          </cell>
        </row>
        <row r="213">
          <cell r="D213">
            <v>0.21</v>
          </cell>
        </row>
        <row r="214">
          <cell r="D214">
            <v>0.21</v>
          </cell>
        </row>
        <row r="215">
          <cell r="D215">
            <v>0.21</v>
          </cell>
        </row>
        <row r="216">
          <cell r="D216">
            <v>0.21</v>
          </cell>
        </row>
        <row r="217">
          <cell r="D217">
            <v>0.21</v>
          </cell>
        </row>
      </sheetData>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GERENCIA.DCMING@GMAIL.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GERENCIA.DCMING@GMAIL.COM"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39"/>
  <sheetViews>
    <sheetView tabSelected="1" view="pageBreakPreview" zoomScale="84" zoomScaleNormal="100" zoomScaleSheetLayoutView="84" zoomScalePageLayoutView="55" workbookViewId="0">
      <selection sqref="A1:C4"/>
    </sheetView>
  </sheetViews>
  <sheetFormatPr baseColWidth="10" defaultColWidth="11.42578125" defaultRowHeight="23.25" x14ac:dyDescent="0.35"/>
  <cols>
    <col min="1" max="1" width="2.42578125" style="5" customWidth="1"/>
    <col min="2" max="2" width="41.5703125" style="5" customWidth="1"/>
    <col min="3" max="3" width="30.5703125" style="6" customWidth="1"/>
    <col min="4" max="4" width="30.5703125" style="5" customWidth="1"/>
    <col min="5" max="5" width="2.42578125" style="5" customWidth="1"/>
    <col min="6" max="6" width="36.140625" style="5" customWidth="1"/>
    <col min="7" max="7" width="26.28515625" style="5" customWidth="1"/>
    <col min="8" max="8" width="27.28515625" style="5" customWidth="1"/>
    <col min="9" max="9" width="28.42578125" style="5" customWidth="1"/>
    <col min="10" max="11" width="27.28515625" style="5" customWidth="1"/>
    <col min="12" max="12" width="26.28515625" style="5" customWidth="1"/>
    <col min="13" max="13" width="2.28515625" style="5" customWidth="1"/>
    <col min="14" max="14" width="1.7109375" style="5" customWidth="1"/>
    <col min="15" max="16384" width="11.42578125" style="5"/>
  </cols>
  <sheetData>
    <row r="1" spans="1:28" s="20" customFormat="1" ht="23.25" customHeight="1" x14ac:dyDescent="0.25">
      <c r="A1" s="497"/>
      <c r="B1" s="498"/>
      <c r="C1" s="498"/>
      <c r="D1" s="503" t="s">
        <v>82</v>
      </c>
      <c r="E1" s="503"/>
      <c r="F1" s="503"/>
      <c r="G1" s="503"/>
      <c r="H1" s="503"/>
      <c r="I1" s="503"/>
      <c r="J1" s="503"/>
      <c r="K1" s="490" t="s">
        <v>128</v>
      </c>
      <c r="L1" s="491"/>
      <c r="O1" s="66" t="str">
        <f>C12</f>
        <v>SONDEO</v>
      </c>
      <c r="P1" s="31"/>
      <c r="Q1" s="21"/>
      <c r="R1" s="21" t="str">
        <f>CONCATENATE(C12," "," "," "," "," ",D12)</f>
        <v xml:space="preserve">SONDEO     </v>
      </c>
      <c r="S1" s="21"/>
      <c r="T1" s="21"/>
      <c r="U1" s="21"/>
      <c r="V1" s="21"/>
      <c r="W1" s="21"/>
      <c r="X1" s="21"/>
      <c r="Y1" s="21"/>
      <c r="Z1" s="21"/>
      <c r="AA1" s="21"/>
    </row>
    <row r="2" spans="1:28" s="20" customFormat="1" ht="23.25" customHeight="1" x14ac:dyDescent="0.25">
      <c r="A2" s="499"/>
      <c r="B2" s="500"/>
      <c r="C2" s="500"/>
      <c r="D2" s="436" t="s">
        <v>101</v>
      </c>
      <c r="E2" s="436"/>
      <c r="F2" s="436"/>
      <c r="G2" s="436"/>
      <c r="H2" s="436"/>
      <c r="I2" s="436"/>
      <c r="J2" s="436"/>
      <c r="K2" s="492" t="s">
        <v>158</v>
      </c>
      <c r="L2" s="493"/>
      <c r="O2" s="21"/>
      <c r="P2" s="21"/>
      <c r="Q2" s="21"/>
      <c r="R2" s="31"/>
      <c r="S2" s="21"/>
      <c r="T2" s="21"/>
      <c r="U2" s="21"/>
      <c r="V2" s="21"/>
      <c r="W2" s="21"/>
      <c r="X2" s="21"/>
      <c r="Y2" s="21"/>
      <c r="Z2" s="21"/>
      <c r="AA2" s="21"/>
    </row>
    <row r="3" spans="1:28" s="20" customFormat="1" ht="23.25" customHeight="1" x14ac:dyDescent="0.25">
      <c r="A3" s="499"/>
      <c r="B3" s="500"/>
      <c r="C3" s="500"/>
      <c r="D3" s="436"/>
      <c r="E3" s="436"/>
      <c r="F3" s="436"/>
      <c r="G3" s="436"/>
      <c r="H3" s="436"/>
      <c r="I3" s="436"/>
      <c r="J3" s="436"/>
      <c r="K3" s="492" t="s">
        <v>138</v>
      </c>
      <c r="L3" s="493" t="s">
        <v>127</v>
      </c>
      <c r="P3" s="22"/>
      <c r="Q3" s="22"/>
      <c r="R3" s="21"/>
      <c r="S3" s="21"/>
      <c r="T3" s="21"/>
      <c r="U3" s="21"/>
      <c r="V3" s="21"/>
      <c r="W3" s="21"/>
      <c r="X3" s="21"/>
      <c r="Y3" s="21"/>
      <c r="Z3" s="21"/>
      <c r="AA3" s="21"/>
    </row>
    <row r="4" spans="1:28" s="20" customFormat="1" ht="23.25" customHeight="1" thickBot="1" x14ac:dyDescent="0.3">
      <c r="A4" s="501"/>
      <c r="B4" s="502"/>
      <c r="C4" s="502"/>
      <c r="D4" s="504"/>
      <c r="E4" s="504"/>
      <c r="F4" s="504"/>
      <c r="G4" s="504"/>
      <c r="H4" s="504"/>
      <c r="I4" s="504"/>
      <c r="J4" s="504"/>
      <c r="K4" s="494" t="s">
        <v>159</v>
      </c>
      <c r="L4" s="495"/>
      <c r="N4" s="22"/>
      <c r="O4" s="22"/>
      <c r="P4" s="22"/>
      <c r="Q4" s="22" t="s">
        <v>83</v>
      </c>
      <c r="R4" s="21"/>
      <c r="S4" s="21"/>
      <c r="T4" s="21"/>
      <c r="U4" s="21"/>
      <c r="V4" s="21"/>
      <c r="W4" s="21"/>
      <c r="X4" s="21"/>
      <c r="Y4" s="21"/>
      <c r="Z4" s="21"/>
      <c r="AA4" s="21"/>
    </row>
    <row r="5" spans="1:28" s="20" customFormat="1" ht="3.95" customHeight="1" thickBot="1" x14ac:dyDescent="0.3">
      <c r="A5" s="23"/>
      <c r="B5" s="500"/>
      <c r="C5" s="500"/>
      <c r="D5" s="500"/>
      <c r="E5" s="500"/>
      <c r="F5" s="500"/>
      <c r="G5" s="500"/>
      <c r="H5" s="500"/>
      <c r="I5" s="500"/>
      <c r="J5" s="500"/>
      <c r="K5" s="500"/>
      <c r="L5" s="209"/>
      <c r="O5" s="22"/>
      <c r="P5" s="22"/>
      <c r="Q5" s="22"/>
      <c r="R5" s="22"/>
      <c r="S5" s="21"/>
      <c r="T5" s="21"/>
      <c r="U5" s="21"/>
      <c r="V5" s="21"/>
      <c r="W5" s="21"/>
      <c r="X5" s="21"/>
      <c r="Y5" s="21"/>
      <c r="Z5" s="21"/>
      <c r="AA5" s="21"/>
      <c r="AB5" s="21"/>
    </row>
    <row r="6" spans="1:28" s="20" customFormat="1" ht="22.5" customHeight="1" x14ac:dyDescent="0.25">
      <c r="A6" s="313"/>
      <c r="B6" s="301" t="s">
        <v>11</v>
      </c>
      <c r="C6" s="496"/>
      <c r="D6" s="496"/>
      <c r="E6" s="496"/>
      <c r="F6" s="496"/>
      <c r="G6" s="496"/>
      <c r="H6" s="496"/>
      <c r="I6" s="204" t="s">
        <v>84</v>
      </c>
      <c r="J6" s="505"/>
      <c r="K6" s="505"/>
      <c r="L6" s="506"/>
      <c r="P6" s="21"/>
      <c r="Q6" s="25" t="s">
        <v>85</v>
      </c>
      <c r="R6" s="21"/>
      <c r="S6" s="21"/>
      <c r="T6" s="21"/>
      <c r="U6" s="21"/>
      <c r="V6" s="21"/>
      <c r="W6" s="21"/>
      <c r="X6" s="21"/>
      <c r="Y6" s="21"/>
      <c r="Z6" s="21"/>
      <c r="AA6" s="21"/>
      <c r="AB6" s="21"/>
    </row>
    <row r="7" spans="1:28" s="20" customFormat="1" ht="23.25" customHeight="1" x14ac:dyDescent="0.25">
      <c r="A7" s="23"/>
      <c r="B7" s="229" t="s">
        <v>12</v>
      </c>
      <c r="C7" s="484"/>
      <c r="D7" s="484"/>
      <c r="E7" s="484"/>
      <c r="F7" s="484"/>
      <c r="G7" s="484"/>
      <c r="H7" s="484"/>
      <c r="I7" s="230" t="s">
        <v>86</v>
      </c>
      <c r="J7" s="488"/>
      <c r="K7" s="488"/>
      <c r="L7" s="489"/>
      <c r="P7" s="21"/>
      <c r="Q7" s="25" t="s">
        <v>87</v>
      </c>
      <c r="R7" s="21"/>
      <c r="S7" s="21"/>
      <c r="T7" s="21"/>
      <c r="U7" s="21"/>
      <c r="V7" s="21"/>
      <c r="W7" s="21"/>
      <c r="X7" s="21"/>
      <c r="Y7" s="21"/>
      <c r="Z7" s="21"/>
      <c r="AA7" s="21"/>
      <c r="AB7" s="21"/>
    </row>
    <row r="8" spans="1:28" s="20" customFormat="1" ht="22.5" customHeight="1" x14ac:dyDescent="0.25">
      <c r="A8" s="23"/>
      <c r="B8" s="229" t="s">
        <v>88</v>
      </c>
      <c r="C8" s="485"/>
      <c r="D8" s="486"/>
      <c r="E8" s="486"/>
      <c r="F8" s="486"/>
      <c r="G8" s="486"/>
      <c r="H8" s="486"/>
      <c r="I8" s="230" t="s">
        <v>89</v>
      </c>
      <c r="J8" s="488"/>
      <c r="K8" s="488"/>
      <c r="L8" s="489"/>
      <c r="N8" s="20">
        <f>17-2.57</f>
        <v>14.43</v>
      </c>
      <c r="P8" s="21"/>
      <c r="Q8" s="25" t="s">
        <v>90</v>
      </c>
      <c r="R8" s="21"/>
      <c r="S8" s="21"/>
      <c r="T8" s="21"/>
      <c r="U8" s="21"/>
      <c r="V8" s="21"/>
      <c r="W8" s="21"/>
      <c r="X8" s="21"/>
      <c r="Y8" s="21"/>
      <c r="Z8" s="21"/>
      <c r="AA8" s="21"/>
      <c r="AB8" s="21"/>
    </row>
    <row r="9" spans="1:28" s="20" customFormat="1" ht="22.5" customHeight="1" x14ac:dyDescent="0.25">
      <c r="A9" s="23"/>
      <c r="B9" s="229" t="s">
        <v>91</v>
      </c>
      <c r="C9" s="487"/>
      <c r="D9" s="487"/>
      <c r="E9" s="487"/>
      <c r="F9" s="487"/>
      <c r="G9" s="487"/>
      <c r="H9" s="487"/>
      <c r="I9" s="230" t="s">
        <v>92</v>
      </c>
      <c r="J9" s="26" t="s">
        <v>93</v>
      </c>
      <c r="K9" s="210"/>
      <c r="L9" s="314"/>
      <c r="P9" s="21"/>
      <c r="Q9" s="25" t="s">
        <v>94</v>
      </c>
      <c r="R9" s="21"/>
      <c r="S9" s="21"/>
      <c r="T9" s="21"/>
      <c r="U9" s="21"/>
      <c r="V9" s="21"/>
      <c r="W9" s="21"/>
      <c r="X9" s="21"/>
      <c r="Y9" s="21"/>
      <c r="Z9" s="21"/>
      <c r="AA9" s="21"/>
      <c r="AB9" s="21"/>
    </row>
    <row r="10" spans="1:28" s="20" customFormat="1" ht="22.5" customHeight="1" x14ac:dyDescent="0.25">
      <c r="A10" s="23"/>
      <c r="B10" s="231" t="s">
        <v>95</v>
      </c>
      <c r="C10" s="487" t="s">
        <v>148</v>
      </c>
      <c r="D10" s="487"/>
      <c r="E10" s="487"/>
      <c r="F10" s="487"/>
      <c r="G10" s="487"/>
      <c r="H10" s="487"/>
      <c r="I10" s="208" t="s">
        <v>96</v>
      </c>
      <c r="J10" s="472" t="str">
        <f>CONCATENATE(K9,," ",L9,"-",D12,"-",G12)</f>
        <v xml:space="preserve"> --</v>
      </c>
      <c r="K10" s="472"/>
      <c r="L10" s="473"/>
      <c r="P10" s="21"/>
      <c r="Q10" s="25" t="s">
        <v>97</v>
      </c>
      <c r="R10" s="21"/>
      <c r="S10" s="21"/>
      <c r="T10" s="21"/>
      <c r="U10" s="21"/>
      <c r="V10" s="21"/>
      <c r="W10" s="21"/>
      <c r="X10" s="21"/>
      <c r="Y10" s="21"/>
      <c r="Z10" s="21"/>
      <c r="AA10" s="21"/>
      <c r="AB10" s="21"/>
    </row>
    <row r="11" spans="1:28" s="20" customFormat="1" ht="3.95" customHeight="1" thickBot="1" x14ac:dyDescent="0.3">
      <c r="A11" s="27"/>
      <c r="B11" s="474"/>
      <c r="C11" s="474"/>
      <c r="D11" s="474"/>
      <c r="E11" s="474"/>
      <c r="F11" s="474"/>
      <c r="G11" s="474"/>
      <c r="H11" s="474"/>
      <c r="I11" s="474"/>
      <c r="J11" s="474"/>
      <c r="K11" s="474"/>
      <c r="L11" s="315"/>
      <c r="P11" s="21"/>
      <c r="Q11" s="25"/>
      <c r="R11" s="21"/>
      <c r="S11" s="21"/>
      <c r="T11" s="21"/>
      <c r="U11" s="21"/>
      <c r="V11" s="21"/>
      <c r="W11" s="21"/>
      <c r="X11" s="21"/>
      <c r="Y11" s="21"/>
      <c r="Z11" s="21"/>
      <c r="AA11" s="21"/>
      <c r="AB11" s="21"/>
    </row>
    <row r="12" spans="1:28" s="20" customFormat="1" ht="22.5" customHeight="1" x14ac:dyDescent="0.25">
      <c r="A12" s="23"/>
      <c r="B12" s="229" t="s">
        <v>13</v>
      </c>
      <c r="C12" s="206" t="s">
        <v>85</v>
      </c>
      <c r="D12" s="475"/>
      <c r="E12" s="475"/>
      <c r="F12" s="232" t="s">
        <v>98</v>
      </c>
      <c r="G12" s="294"/>
      <c r="H12" s="233"/>
      <c r="I12" s="230" t="s">
        <v>99</v>
      </c>
      <c r="J12" s="207"/>
      <c r="K12" s="205" t="s">
        <v>20</v>
      </c>
      <c r="L12" s="316"/>
      <c r="P12" s="21"/>
      <c r="Q12" s="25"/>
      <c r="R12" s="21"/>
      <c r="S12" s="21"/>
      <c r="T12" s="21"/>
      <c r="U12" s="21"/>
      <c r="V12" s="21"/>
      <c r="W12" s="21"/>
      <c r="X12" s="21"/>
      <c r="Y12" s="21"/>
      <c r="Z12" s="21"/>
      <c r="AA12" s="21"/>
      <c r="AB12" s="21"/>
    </row>
    <row r="13" spans="1:28" s="20" customFormat="1" ht="22.5" customHeight="1" x14ac:dyDescent="0.25">
      <c r="A13" s="23"/>
      <c r="B13" s="229" t="s">
        <v>100</v>
      </c>
      <c r="C13" s="468"/>
      <c r="D13" s="469"/>
      <c r="E13" s="469"/>
      <c r="F13" s="470"/>
      <c r="G13" s="469"/>
      <c r="H13" s="470"/>
      <c r="I13" s="470"/>
      <c r="J13" s="469"/>
      <c r="K13" s="469"/>
      <c r="L13" s="471"/>
      <c r="P13" s="21"/>
      <c r="Q13" s="25"/>
      <c r="R13" s="21"/>
      <c r="S13" s="21"/>
      <c r="T13" s="21"/>
      <c r="U13" s="21"/>
      <c r="V13" s="21"/>
      <c r="W13" s="21"/>
      <c r="X13" s="21"/>
      <c r="Y13" s="21"/>
      <c r="Z13" s="21"/>
      <c r="AA13" s="21"/>
      <c r="AB13" s="21"/>
    </row>
    <row r="14" spans="1:28" s="20" customFormat="1" ht="6.95" customHeight="1" thickBot="1" x14ac:dyDescent="0.3">
      <c r="A14" s="27"/>
      <c r="B14" s="28"/>
      <c r="C14" s="29"/>
      <c r="D14" s="29"/>
      <c r="E14" s="29"/>
      <c r="F14" s="29"/>
      <c r="G14" s="29"/>
      <c r="H14" s="29"/>
      <c r="I14" s="29"/>
      <c r="J14" s="29"/>
      <c r="K14" s="29"/>
      <c r="L14" s="30"/>
      <c r="P14" s="21"/>
      <c r="Q14" s="21"/>
      <c r="R14" s="21"/>
      <c r="S14" s="21"/>
      <c r="T14" s="21"/>
      <c r="U14" s="21"/>
      <c r="V14" s="21"/>
      <c r="W14" s="21"/>
      <c r="X14" s="21"/>
      <c r="Y14" s="21"/>
      <c r="Z14" s="21"/>
      <c r="AA14" s="21"/>
      <c r="AB14" s="21"/>
    </row>
    <row r="15" spans="1:28" ht="15.75" customHeight="1" thickBot="1" x14ac:dyDescent="0.4">
      <c r="A15" s="71"/>
      <c r="B15" s="72"/>
      <c r="C15" s="72"/>
      <c r="D15" s="72"/>
      <c r="E15" s="72"/>
      <c r="F15" s="72"/>
      <c r="G15" s="72"/>
      <c r="H15" s="72"/>
      <c r="I15" s="72"/>
      <c r="J15" s="72"/>
      <c r="K15" s="72"/>
      <c r="L15" s="317"/>
    </row>
    <row r="16" spans="1:28" ht="24.75" customHeight="1" thickBot="1" x14ac:dyDescent="0.4">
      <c r="A16" s="71"/>
      <c r="B16" s="476" t="s">
        <v>19</v>
      </c>
      <c r="C16" s="477"/>
      <c r="D16" s="478"/>
      <c r="E16" s="234"/>
      <c r="F16" s="476" t="s">
        <v>102</v>
      </c>
      <c r="G16" s="477"/>
      <c r="H16" s="477"/>
      <c r="I16" s="477"/>
      <c r="J16" s="477"/>
      <c r="K16" s="478"/>
      <c r="L16" s="317"/>
    </row>
    <row r="17" spans="1:12" ht="24" thickBot="1" x14ac:dyDescent="0.4">
      <c r="A17" s="71"/>
      <c r="B17" s="73" t="s">
        <v>21</v>
      </c>
      <c r="C17" s="74" t="s">
        <v>22</v>
      </c>
      <c r="D17" s="109"/>
      <c r="E17" s="235"/>
      <c r="F17" s="479"/>
      <c r="G17" s="480"/>
      <c r="H17" s="480"/>
      <c r="I17" s="480"/>
      <c r="J17" s="480"/>
      <c r="K17" s="481"/>
      <c r="L17" s="317"/>
    </row>
    <row r="18" spans="1:12" ht="24" thickBot="1" x14ac:dyDescent="0.4">
      <c r="A18" s="71"/>
      <c r="B18" s="75" t="s">
        <v>25</v>
      </c>
      <c r="C18" s="76" t="s">
        <v>22</v>
      </c>
      <c r="D18" s="110"/>
      <c r="E18" s="236"/>
      <c r="F18" s="482" t="s">
        <v>27</v>
      </c>
      <c r="G18" s="483"/>
      <c r="H18" s="77">
        <v>10</v>
      </c>
      <c r="I18" s="78" t="s">
        <v>28</v>
      </c>
      <c r="J18" s="78" t="s">
        <v>29</v>
      </c>
      <c r="K18" s="78" t="s">
        <v>30</v>
      </c>
      <c r="L18" s="317"/>
    </row>
    <row r="19" spans="1:12" x14ac:dyDescent="0.35">
      <c r="A19" s="71"/>
      <c r="B19" s="79" t="s">
        <v>43</v>
      </c>
      <c r="C19" s="80" t="s">
        <v>32</v>
      </c>
      <c r="D19" s="111"/>
      <c r="E19" s="81"/>
      <c r="F19" s="446" t="s">
        <v>31</v>
      </c>
      <c r="G19" s="447"/>
      <c r="H19" s="82" t="s">
        <v>32</v>
      </c>
      <c r="I19" s="107"/>
      <c r="J19" s="108"/>
      <c r="K19" s="289"/>
      <c r="L19" s="317"/>
    </row>
    <row r="20" spans="1:12" ht="26.25" x14ac:dyDescent="0.45">
      <c r="A20" s="71"/>
      <c r="B20" s="75" t="s">
        <v>24</v>
      </c>
      <c r="C20" s="76" t="s">
        <v>44</v>
      </c>
      <c r="D20" s="83" t="str">
        <f>IF(D17="","",+PI()*(D17/2)^2)</f>
        <v/>
      </c>
      <c r="E20" s="235"/>
      <c r="F20" s="446" t="s">
        <v>55</v>
      </c>
      <c r="G20" s="447"/>
      <c r="H20" s="84" t="s">
        <v>42</v>
      </c>
      <c r="I20" s="85" t="e">
        <f>+($D$18-(I25/($D$29*$D$20)))/(I25/($D$29*$D$20))</f>
        <v>#VALUE!</v>
      </c>
      <c r="J20" s="85" t="e">
        <f>+($D$18-(J25/($D$29*$D$20)))/(J25/($D$29*$D$20))</f>
        <v>#VALUE!</v>
      </c>
      <c r="K20" s="86" t="e">
        <f>+($D$18-(K25/($D$29*$D$20)))/(K25/($D$29*$D$20))</f>
        <v>#VALUE!</v>
      </c>
      <c r="L20" s="317"/>
    </row>
    <row r="21" spans="1:12" ht="27" thickBot="1" x14ac:dyDescent="0.4">
      <c r="A21" s="71"/>
      <c r="B21" s="87" t="s">
        <v>26</v>
      </c>
      <c r="C21" s="88" t="s">
        <v>45</v>
      </c>
      <c r="D21" s="89" t="str">
        <f>IF(D20="","",D20*D18)</f>
        <v/>
      </c>
      <c r="E21" s="235"/>
      <c r="F21" s="446" t="s">
        <v>33</v>
      </c>
      <c r="G21" s="447"/>
      <c r="H21" s="82" t="s">
        <v>18</v>
      </c>
      <c r="I21" s="90" t="e">
        <f>((I24-I25)/($D$20*($D$18-(I25/($D$29*$D$20)))))*100</f>
        <v>#VALUE!</v>
      </c>
      <c r="J21" s="90" t="e">
        <f>+((J24-J25)/($D$20*($D$18-(J25/($D$29*$D$20)))))*100</f>
        <v>#VALUE!</v>
      </c>
      <c r="K21" s="91" t="e">
        <f>+((K24-K25)/($D$20*($D$18-(K25/($D$29*$D$20)))))*100</f>
        <v>#VALUE!</v>
      </c>
      <c r="L21" s="317"/>
    </row>
    <row r="22" spans="1:12" ht="24" thickBot="1" x14ac:dyDescent="0.4">
      <c r="A22" s="71"/>
      <c r="B22" s="72"/>
      <c r="C22" s="72"/>
      <c r="D22" s="72"/>
      <c r="E22" s="72"/>
      <c r="F22" s="446" t="s">
        <v>34</v>
      </c>
      <c r="G22" s="447"/>
      <c r="H22" s="82" t="s">
        <v>41</v>
      </c>
      <c r="I22" s="90" t="e">
        <f>+I$24/$D$21</f>
        <v>#VALUE!</v>
      </c>
      <c r="J22" s="90" t="e">
        <f>+J$24/$D$21</f>
        <v>#VALUE!</v>
      </c>
      <c r="K22" s="91" t="e">
        <f>+K$24/$D$21</f>
        <v>#VALUE!</v>
      </c>
      <c r="L22" s="317"/>
    </row>
    <row r="23" spans="1:12" ht="24" thickBot="1" x14ac:dyDescent="0.4">
      <c r="A23" s="71"/>
      <c r="B23" s="508" t="s">
        <v>40</v>
      </c>
      <c r="C23" s="509"/>
      <c r="D23" s="221">
        <v>1</v>
      </c>
      <c r="E23" s="236"/>
      <c r="F23" s="446" t="s">
        <v>35</v>
      </c>
      <c r="G23" s="447"/>
      <c r="H23" s="82" t="s">
        <v>41</v>
      </c>
      <c r="I23" s="90" t="e">
        <f>+((I$24/(1+(G$53/100)))/$D$21)</f>
        <v>#VALUE!</v>
      </c>
      <c r="J23" s="90" t="e">
        <f>+((J$24/(1+(H$53/100)))/$D$21)</f>
        <v>#VALUE!</v>
      </c>
      <c r="K23" s="91" t="e">
        <f>+((K$24/(1+(I$53/100)))/$D$21)</f>
        <v>#VALUE!</v>
      </c>
      <c r="L23" s="317"/>
    </row>
    <row r="24" spans="1:12" x14ac:dyDescent="0.35">
      <c r="A24" s="71"/>
      <c r="B24" s="92" t="s">
        <v>54</v>
      </c>
      <c r="C24" s="93" t="s">
        <v>20</v>
      </c>
      <c r="D24" s="295" t="e">
        <f>VLOOKUP(D25,F179:H339,2,FALSE)</f>
        <v>#N/A</v>
      </c>
      <c r="E24" s="237"/>
      <c r="F24" s="446" t="s">
        <v>50</v>
      </c>
      <c r="G24" s="447"/>
      <c r="H24" s="82" t="s">
        <v>32</v>
      </c>
      <c r="I24" s="90">
        <f>+I$19-$D$19</f>
        <v>0</v>
      </c>
      <c r="J24" s="90">
        <f>+J$19-$D$19</f>
        <v>0</v>
      </c>
      <c r="K24" s="91">
        <f>+K$19-$D$19</f>
        <v>0</v>
      </c>
      <c r="L24" s="317"/>
    </row>
    <row r="25" spans="1:12" x14ac:dyDescent="0.35">
      <c r="A25" s="71"/>
      <c r="B25" s="94" t="s">
        <v>137</v>
      </c>
      <c r="C25" s="95" t="s">
        <v>23</v>
      </c>
      <c r="D25" s="296"/>
      <c r="E25" s="81"/>
      <c r="F25" s="446" t="s">
        <v>51</v>
      </c>
      <c r="G25" s="447"/>
      <c r="H25" s="82" t="s">
        <v>32</v>
      </c>
      <c r="I25" s="90" t="e">
        <f>I$24/(1+(G$53/100))</f>
        <v>#VALUE!</v>
      </c>
      <c r="J25" s="90" t="e">
        <f>J$24/(1+(H$53/100))</f>
        <v>#VALUE!</v>
      </c>
      <c r="K25" s="91" t="e">
        <f>+K$24/(1+(I$53/100))</f>
        <v>#VALUE!</v>
      </c>
      <c r="L25" s="317"/>
    </row>
    <row r="26" spans="1:12" x14ac:dyDescent="0.35">
      <c r="A26" s="71"/>
      <c r="B26" s="94" t="s">
        <v>139</v>
      </c>
      <c r="C26" s="82" t="s">
        <v>32</v>
      </c>
      <c r="D26" s="297"/>
      <c r="E26" s="238"/>
      <c r="F26" s="446" t="s">
        <v>52</v>
      </c>
      <c r="G26" s="447"/>
      <c r="H26" s="82" t="s">
        <v>36</v>
      </c>
      <c r="I26" s="85">
        <v>3.93</v>
      </c>
      <c r="J26" s="85">
        <v>3.93</v>
      </c>
      <c r="K26" s="86">
        <v>3.93</v>
      </c>
      <c r="L26" s="317"/>
    </row>
    <row r="27" spans="1:12" ht="26.25" x14ac:dyDescent="0.45">
      <c r="A27" s="71"/>
      <c r="B27" s="94" t="s">
        <v>140</v>
      </c>
      <c r="C27" s="82" t="s">
        <v>32</v>
      </c>
      <c r="D27" s="296"/>
      <c r="E27" s="81"/>
      <c r="F27" s="446" t="s">
        <v>53</v>
      </c>
      <c r="G27" s="447"/>
      <c r="H27" s="82" t="s">
        <v>36</v>
      </c>
      <c r="I27" s="96">
        <v>0</v>
      </c>
      <c r="J27" s="96">
        <v>0</v>
      </c>
      <c r="K27" s="97">
        <v>0</v>
      </c>
      <c r="L27" s="317"/>
    </row>
    <row r="28" spans="1:12" x14ac:dyDescent="0.35">
      <c r="A28" s="71"/>
      <c r="B28" s="94" t="s">
        <v>48</v>
      </c>
      <c r="C28" s="82" t="s">
        <v>32</v>
      </c>
      <c r="D28" s="340"/>
      <c r="E28" s="81"/>
      <c r="F28" s="446" t="s">
        <v>37</v>
      </c>
      <c r="G28" s="447"/>
      <c r="H28" s="82" t="s">
        <v>36</v>
      </c>
      <c r="I28" s="96">
        <f>I27*$H$18+I26</f>
        <v>3.93</v>
      </c>
      <c r="J28" s="96">
        <f>J27*$H$18+J26</f>
        <v>3.93</v>
      </c>
      <c r="K28" s="97">
        <f>K27*$H$18+K26</f>
        <v>3.93</v>
      </c>
      <c r="L28" s="317"/>
    </row>
    <row r="29" spans="1:12" ht="24" thickBot="1" x14ac:dyDescent="0.4">
      <c r="A29" s="71"/>
      <c r="B29" s="98" t="s">
        <v>49</v>
      </c>
      <c r="C29" s="99" t="s">
        <v>41</v>
      </c>
      <c r="D29" s="430" t="e">
        <f>D24*D28/(D28+D26-D27)</f>
        <v>#N/A</v>
      </c>
      <c r="E29" s="239"/>
      <c r="F29" s="526" t="s">
        <v>38</v>
      </c>
      <c r="G29" s="527"/>
      <c r="H29" s="99" t="s">
        <v>39</v>
      </c>
      <c r="I29" s="100" t="e">
        <f>IF(I28="","",I28/$D$20)*98.067</f>
        <v>#VALUE!</v>
      </c>
      <c r="J29" s="100" t="e">
        <f>IF(J28="","",J28/$D$20)*98.067</f>
        <v>#VALUE!</v>
      </c>
      <c r="K29" s="101" t="e">
        <f>IF(K28="","",K28/$D$20)*98.067</f>
        <v>#VALUE!</v>
      </c>
      <c r="L29" s="317"/>
    </row>
    <row r="30" spans="1:12" x14ac:dyDescent="0.35">
      <c r="A30" s="71"/>
      <c r="B30" s="72"/>
      <c r="C30" s="81"/>
      <c r="D30" s="81"/>
      <c r="E30" s="81"/>
      <c r="F30" s="81"/>
      <c r="G30" s="81"/>
      <c r="H30" s="72"/>
      <c r="I30" s="72"/>
      <c r="J30" s="72"/>
      <c r="K30" s="72"/>
      <c r="L30" s="317"/>
    </row>
    <row r="31" spans="1:12" x14ac:dyDescent="0.35">
      <c r="A31" s="71"/>
      <c r="B31" s="72"/>
      <c r="C31" s="81"/>
      <c r="D31" s="81"/>
      <c r="E31" s="81"/>
      <c r="F31" s="81"/>
      <c r="G31" s="81"/>
      <c r="H31" s="72"/>
      <c r="I31" s="72"/>
      <c r="J31" s="72"/>
      <c r="K31" s="72"/>
      <c r="L31" s="317"/>
    </row>
    <row r="32" spans="1:12" x14ac:dyDescent="0.35">
      <c r="A32" s="71"/>
      <c r="B32" s="72"/>
      <c r="C32" s="72"/>
      <c r="D32" s="72"/>
      <c r="E32" s="72"/>
      <c r="F32" s="72"/>
      <c r="G32" s="72"/>
      <c r="H32" s="72"/>
      <c r="I32" s="72"/>
      <c r="J32" s="72"/>
      <c r="K32" s="72"/>
      <c r="L32" s="317"/>
    </row>
    <row r="33" spans="1:12" x14ac:dyDescent="0.35">
      <c r="A33" s="71"/>
      <c r="B33" s="72"/>
      <c r="C33" s="72"/>
      <c r="D33" s="72"/>
      <c r="E33" s="72"/>
      <c r="F33" s="72"/>
      <c r="G33" s="72"/>
      <c r="H33" s="72"/>
      <c r="I33" s="72"/>
      <c r="J33" s="72"/>
      <c r="K33" s="72"/>
      <c r="L33" s="317"/>
    </row>
    <row r="34" spans="1:12" x14ac:dyDescent="0.35">
      <c r="A34" s="71"/>
      <c r="B34" s="72"/>
      <c r="C34" s="72"/>
      <c r="D34" s="72"/>
      <c r="E34" s="72"/>
      <c r="F34" s="72"/>
      <c r="G34" s="72"/>
      <c r="H34" s="72"/>
      <c r="I34" s="72"/>
      <c r="J34" s="72"/>
      <c r="K34" s="72"/>
      <c r="L34" s="317"/>
    </row>
    <row r="35" spans="1:12" x14ac:dyDescent="0.35">
      <c r="A35" s="71"/>
      <c r="B35" s="72"/>
      <c r="C35" s="72"/>
      <c r="D35" s="72"/>
      <c r="E35" s="72"/>
      <c r="F35" s="72"/>
      <c r="G35" s="72"/>
      <c r="H35" s="72"/>
      <c r="I35" s="72"/>
      <c r="J35" s="72"/>
      <c r="K35" s="72"/>
      <c r="L35" s="317"/>
    </row>
    <row r="36" spans="1:12" x14ac:dyDescent="0.35">
      <c r="A36" s="71"/>
      <c r="B36" s="72"/>
      <c r="C36" s="72"/>
      <c r="D36" s="72"/>
      <c r="E36" s="72"/>
      <c r="F36" s="72"/>
      <c r="G36" s="72"/>
      <c r="H36" s="72"/>
      <c r="I36" s="72"/>
      <c r="J36" s="72"/>
      <c r="K36" s="72"/>
      <c r="L36" s="317"/>
    </row>
    <row r="37" spans="1:12" x14ac:dyDescent="0.35">
      <c r="A37" s="71"/>
      <c r="B37" s="72"/>
      <c r="C37" s="72"/>
      <c r="D37" s="72"/>
      <c r="E37" s="72"/>
      <c r="F37" s="72"/>
      <c r="G37" s="72"/>
      <c r="H37" s="72"/>
      <c r="I37" s="72"/>
      <c r="J37" s="72"/>
      <c r="K37" s="72"/>
      <c r="L37" s="317"/>
    </row>
    <row r="38" spans="1:12" x14ac:dyDescent="0.35">
      <c r="A38" s="71"/>
      <c r="B38" s="72"/>
      <c r="C38" s="72"/>
      <c r="D38" s="72"/>
      <c r="E38" s="72"/>
      <c r="F38" s="72"/>
      <c r="G38" s="72"/>
      <c r="H38" s="72"/>
      <c r="I38" s="72"/>
      <c r="J38" s="72"/>
      <c r="K38" s="72"/>
      <c r="L38" s="317"/>
    </row>
    <row r="39" spans="1:12" x14ac:dyDescent="0.35">
      <c r="A39" s="71"/>
      <c r="B39" s="72"/>
      <c r="C39" s="72"/>
      <c r="D39" s="72"/>
      <c r="E39" s="72"/>
      <c r="F39" s="72"/>
      <c r="G39" s="72"/>
      <c r="H39" s="72"/>
      <c r="I39" s="72"/>
      <c r="J39" s="72"/>
      <c r="K39" s="72"/>
      <c r="L39" s="317"/>
    </row>
    <row r="40" spans="1:12" x14ac:dyDescent="0.35">
      <c r="A40" s="71"/>
      <c r="B40" s="72"/>
      <c r="C40" s="72"/>
      <c r="D40" s="72"/>
      <c r="E40" s="72"/>
      <c r="F40" s="72"/>
      <c r="G40" s="72"/>
      <c r="H40" s="72"/>
      <c r="I40" s="72"/>
      <c r="J40" s="72"/>
      <c r="K40" s="72"/>
      <c r="L40" s="317"/>
    </row>
    <row r="41" spans="1:12" x14ac:dyDescent="0.35">
      <c r="A41" s="71"/>
      <c r="B41" s="72"/>
      <c r="C41" s="72"/>
      <c r="D41" s="72"/>
      <c r="E41" s="72"/>
      <c r="F41" s="72"/>
      <c r="G41" s="72" t="e">
        <f>VLOOKUP(B41,Fuente!H:L,3)</f>
        <v>#N/A</v>
      </c>
      <c r="H41" s="72"/>
      <c r="I41" s="72"/>
      <c r="J41" s="72"/>
      <c r="K41" s="72"/>
      <c r="L41" s="317"/>
    </row>
    <row r="42" spans="1:12" x14ac:dyDescent="0.35">
      <c r="A42" s="71"/>
      <c r="B42" s="72"/>
      <c r="C42" s="72"/>
      <c r="D42" s="72"/>
      <c r="E42" s="72"/>
      <c r="F42" s="72"/>
      <c r="G42" s="72"/>
      <c r="H42" s="72"/>
      <c r="I42" s="72"/>
      <c r="J42" s="72"/>
      <c r="K42" s="72"/>
      <c r="L42" s="317"/>
    </row>
    <row r="43" spans="1:12" x14ac:dyDescent="0.35">
      <c r="A43" s="71"/>
      <c r="B43" s="72"/>
      <c r="C43" s="72"/>
      <c r="D43" s="72"/>
      <c r="E43" s="72"/>
      <c r="F43" s="72"/>
      <c r="G43" s="72"/>
      <c r="H43" s="72"/>
      <c r="I43" s="72"/>
      <c r="J43" s="72"/>
      <c r="K43" s="72"/>
      <c r="L43" s="317"/>
    </row>
    <row r="44" spans="1:12" ht="24" thickBot="1" x14ac:dyDescent="0.4">
      <c r="A44" s="71"/>
      <c r="B44" s="240"/>
      <c r="C44" s="241"/>
      <c r="D44" s="242"/>
      <c r="E44" s="242"/>
      <c r="F44" s="242"/>
      <c r="G44" s="242"/>
      <c r="H44" s="72"/>
      <c r="I44" s="72"/>
      <c r="J44" s="72"/>
      <c r="K44" s="72"/>
      <c r="L44" s="317"/>
    </row>
    <row r="45" spans="1:12" ht="24" thickBot="1" x14ac:dyDescent="0.4">
      <c r="A45" s="71"/>
      <c r="B45" s="438" t="s">
        <v>126</v>
      </c>
      <c r="C45" s="439"/>
      <c r="D45" s="440"/>
      <c r="E45" s="72"/>
      <c r="F45" s="455" t="s">
        <v>47</v>
      </c>
      <c r="G45" s="458" t="s">
        <v>15</v>
      </c>
      <c r="H45" s="459"/>
      <c r="I45" s="460"/>
      <c r="J45" s="511" t="s">
        <v>16</v>
      </c>
      <c r="K45" s="459"/>
      <c r="L45" s="460"/>
    </row>
    <row r="46" spans="1:12" ht="7.5" customHeight="1" thickBot="1" x14ac:dyDescent="0.4">
      <c r="A46" s="71"/>
      <c r="B46" s="72"/>
      <c r="C46" s="72"/>
      <c r="D46" s="72"/>
      <c r="E46" s="72"/>
      <c r="F46" s="456"/>
      <c r="G46" s="461"/>
      <c r="H46" s="462"/>
      <c r="I46" s="463"/>
      <c r="J46" s="512"/>
      <c r="K46" s="462"/>
      <c r="L46" s="463"/>
    </row>
    <row r="47" spans="1:12" ht="37.5" customHeight="1" thickBot="1" x14ac:dyDescent="0.4">
      <c r="A47" s="71"/>
      <c r="B47" s="450" t="s">
        <v>46</v>
      </c>
      <c r="C47" s="464" t="s">
        <v>116</v>
      </c>
      <c r="D47" s="466" t="s">
        <v>117</v>
      </c>
      <c r="E47" s="72"/>
      <c r="F47" s="457"/>
      <c r="G47" s="312" t="s">
        <v>28</v>
      </c>
      <c r="H47" s="102" t="s">
        <v>29</v>
      </c>
      <c r="I47" s="102" t="s">
        <v>30</v>
      </c>
      <c r="J47" s="102" t="s">
        <v>28</v>
      </c>
      <c r="K47" s="102" t="s">
        <v>29</v>
      </c>
      <c r="L47" s="318" t="s">
        <v>30</v>
      </c>
    </row>
    <row r="48" spans="1:12" ht="4.5" customHeight="1" thickBot="1" x14ac:dyDescent="0.4">
      <c r="A48" s="71"/>
      <c r="B48" s="451"/>
      <c r="C48" s="465"/>
      <c r="D48" s="467"/>
      <c r="E48" s="72"/>
      <c r="F48" s="453" t="s">
        <v>17</v>
      </c>
      <c r="G48" s="449"/>
      <c r="H48" s="448"/>
      <c r="I48" s="449"/>
      <c r="J48" s="449"/>
      <c r="K48" s="449"/>
      <c r="L48" s="522"/>
    </row>
    <row r="49" spans="1:23" ht="25.5" customHeight="1" x14ac:dyDescent="0.35">
      <c r="A49" s="71"/>
      <c r="B49" s="309">
        <v>1</v>
      </c>
      <c r="C49" s="306" t="e">
        <f>ROUND(MAX('2'!E20:E52),2)</f>
        <v>#N/A</v>
      </c>
      <c r="D49" s="109">
        <v>0.25</v>
      </c>
      <c r="E49" s="72"/>
      <c r="F49" s="454"/>
      <c r="G49" s="452"/>
      <c r="H49" s="449"/>
      <c r="I49" s="452"/>
      <c r="J49" s="452"/>
      <c r="K49" s="452"/>
      <c r="L49" s="523"/>
    </row>
    <row r="50" spans="1:23" ht="27" customHeight="1" x14ac:dyDescent="0.35">
      <c r="A50" s="71"/>
      <c r="B50" s="310">
        <v>2</v>
      </c>
      <c r="C50" s="307" t="e">
        <f>ROUND(MAX('2'!H20:H52),2)</f>
        <v>#N/A</v>
      </c>
      <c r="D50" s="112">
        <v>0.5</v>
      </c>
      <c r="E50" s="72"/>
      <c r="F50" s="299" t="s">
        <v>105</v>
      </c>
      <c r="G50" s="268"/>
      <c r="H50" s="268"/>
      <c r="I50" s="268"/>
      <c r="J50" s="67"/>
      <c r="K50" s="67"/>
      <c r="L50" s="319"/>
    </row>
    <row r="51" spans="1:23" ht="27" customHeight="1" thickBot="1" x14ac:dyDescent="0.4">
      <c r="A51" s="71"/>
      <c r="B51" s="311">
        <v>3</v>
      </c>
      <c r="C51" s="308" t="e">
        <f>ROUND(MAX('2'!K20:K52),2)</f>
        <v>#N/A</v>
      </c>
      <c r="D51" s="113">
        <v>1.02</v>
      </c>
      <c r="E51" s="72"/>
      <c r="F51" s="299" t="s">
        <v>106</v>
      </c>
      <c r="G51" s="268"/>
      <c r="H51" s="268"/>
      <c r="I51" s="268"/>
      <c r="J51" s="67"/>
      <c r="K51" s="67"/>
      <c r="L51" s="319"/>
    </row>
    <row r="52" spans="1:23" ht="27" customHeight="1" thickBot="1" x14ac:dyDescent="0.4">
      <c r="A52" s="71"/>
      <c r="B52" s="72"/>
      <c r="C52" s="81"/>
      <c r="D52" s="81"/>
      <c r="E52" s="72"/>
      <c r="F52" s="299" t="s">
        <v>107</v>
      </c>
      <c r="G52" s="268"/>
      <c r="H52" s="268"/>
      <c r="I52" s="268"/>
      <c r="J52" s="67"/>
      <c r="K52" s="67"/>
      <c r="L52" s="319"/>
    </row>
    <row r="53" spans="1:23" ht="27" customHeight="1" thickBot="1" x14ac:dyDescent="0.4">
      <c r="A53" s="71"/>
      <c r="B53" s="524" t="s">
        <v>103</v>
      </c>
      <c r="C53" s="525"/>
      <c r="D53" s="103" t="e">
        <f>IF(INDEX(LINEST(C49:C51,D49:D51,TRUE),2)&lt;0,0,INDEX(LINEST(C49:C51,D49:D51),2))</f>
        <v>#VALUE!</v>
      </c>
      <c r="E53" s="72"/>
      <c r="F53" s="104" t="s">
        <v>108</v>
      </c>
      <c r="G53" s="338" t="str">
        <f t="shared" ref="G53:L53" si="0">IF(G52="","",(G50-G51)/(G51-G52)*100)</f>
        <v/>
      </c>
      <c r="H53" s="341" t="str">
        <f t="shared" si="0"/>
        <v/>
      </c>
      <c r="I53" s="341" t="str">
        <f t="shared" si="0"/>
        <v/>
      </c>
      <c r="J53" s="341" t="str">
        <f t="shared" si="0"/>
        <v/>
      </c>
      <c r="K53" s="341" t="str">
        <f t="shared" si="0"/>
        <v/>
      </c>
      <c r="L53" s="339" t="str">
        <f t="shared" si="0"/>
        <v/>
      </c>
    </row>
    <row r="54" spans="1:23" ht="27" customHeight="1" thickBot="1" x14ac:dyDescent="0.4">
      <c r="A54" s="71"/>
      <c r="B54" s="524" t="s">
        <v>104</v>
      </c>
      <c r="C54" s="525"/>
      <c r="D54" s="105" t="e">
        <f>IF(INDEX(LINEST(C49:C51,D49:D51),2)&lt;0,180*ATAN(INDEX(LINEST(C49:C51,D49:D51,FALSE),1))/PI(),180*ATAN(INDEX(LINEST(C49:C51,D49:D51,TRUE),1))/PI())</f>
        <v>#VALUE!</v>
      </c>
      <c r="E54" s="72"/>
      <c r="F54" s="72"/>
      <c r="G54" s="72"/>
      <c r="H54" s="72"/>
      <c r="I54" s="72"/>
      <c r="J54" s="72"/>
      <c r="K54" s="72"/>
      <c r="L54" s="317"/>
    </row>
    <row r="55" spans="1:23" ht="24" thickBot="1" x14ac:dyDescent="0.4">
      <c r="A55" s="71"/>
      <c r="B55" s="72"/>
      <c r="C55" s="72"/>
      <c r="D55" s="72"/>
      <c r="E55" s="72"/>
      <c r="F55" s="72"/>
      <c r="G55" s="72"/>
      <c r="H55" s="436" t="s">
        <v>143</v>
      </c>
      <c r="I55" s="436"/>
      <c r="J55" s="243"/>
      <c r="K55" s="436" t="s">
        <v>144</v>
      </c>
      <c r="L55" s="437"/>
      <c r="M55" s="217"/>
    </row>
    <row r="56" spans="1:23" ht="24" thickBot="1" x14ac:dyDescent="0.4">
      <c r="A56" s="71"/>
      <c r="B56" s="438" t="s">
        <v>111</v>
      </c>
      <c r="C56" s="439"/>
      <c r="D56" s="440"/>
      <c r="E56" s="244"/>
      <c r="F56" s="244"/>
      <c r="G56" s="244"/>
      <c r="H56" s="245"/>
      <c r="I56" s="245"/>
      <c r="J56" s="245"/>
      <c r="K56" s="245"/>
      <c r="L56" s="320"/>
      <c r="M56" s="218"/>
    </row>
    <row r="57" spans="1:23" x14ac:dyDescent="0.35">
      <c r="A57" s="71"/>
      <c r="B57" s="71" t="s">
        <v>112</v>
      </c>
      <c r="C57" s="441" t="s">
        <v>150</v>
      </c>
      <c r="D57" s="442"/>
      <c r="E57" s="72"/>
      <c r="F57" s="72"/>
      <c r="G57" s="72"/>
      <c r="H57" s="245"/>
      <c r="I57" s="245"/>
      <c r="J57" s="245"/>
      <c r="K57" s="245"/>
      <c r="L57" s="321"/>
      <c r="M57" s="218"/>
    </row>
    <row r="58" spans="1:23" ht="24" thickBot="1" x14ac:dyDescent="0.4">
      <c r="A58" s="71"/>
      <c r="B58" s="106" t="s">
        <v>113</v>
      </c>
      <c r="C58" s="443" t="s">
        <v>160</v>
      </c>
      <c r="D58" s="444"/>
      <c r="E58" s="72"/>
      <c r="F58" s="72"/>
      <c r="G58" s="72"/>
      <c r="H58" s="245"/>
      <c r="I58" s="245"/>
      <c r="J58" s="245"/>
      <c r="K58" s="245"/>
      <c r="L58" s="320"/>
      <c r="M58" s="218"/>
    </row>
    <row r="59" spans="1:23" ht="24" thickBot="1" x14ac:dyDescent="0.4">
      <c r="A59" s="71"/>
      <c r="B59" s="72"/>
      <c r="C59" s="81"/>
      <c r="D59" s="72"/>
      <c r="E59" s="72"/>
      <c r="F59" s="246"/>
      <c r="G59" s="72"/>
      <c r="H59" s="220"/>
      <c r="I59" s="220"/>
      <c r="J59" s="243"/>
      <c r="K59" s="436"/>
      <c r="L59" s="437"/>
      <c r="M59" s="219"/>
    </row>
    <row r="60" spans="1:23" x14ac:dyDescent="0.35">
      <c r="A60" s="71"/>
      <c r="B60" s="247" t="s">
        <v>56</v>
      </c>
      <c r="C60" s="342" t="s">
        <v>163</v>
      </c>
      <c r="D60" s="342"/>
      <c r="E60" s="342"/>
      <c r="F60" s="342"/>
      <c r="G60" s="342"/>
      <c r="H60" s="432" t="s">
        <v>145</v>
      </c>
      <c r="I60" s="432"/>
      <c r="J60" s="243"/>
      <c r="K60" s="432" t="s">
        <v>154</v>
      </c>
      <c r="L60" s="433"/>
      <c r="M60" s="219"/>
      <c r="Q60" s="34"/>
      <c r="R60" s="34"/>
      <c r="S60" s="35"/>
    </row>
    <row r="61" spans="1:23" x14ac:dyDescent="0.35">
      <c r="A61" s="71"/>
      <c r="B61" s="72"/>
      <c r="C61" s="445" t="s">
        <v>162</v>
      </c>
      <c r="D61" s="445"/>
      <c r="E61" s="445"/>
      <c r="F61" s="445"/>
      <c r="G61" s="445"/>
      <c r="H61" s="434" t="s">
        <v>146</v>
      </c>
      <c r="I61" s="434"/>
      <c r="J61" s="245"/>
      <c r="K61" s="434" t="s">
        <v>147</v>
      </c>
      <c r="L61" s="435"/>
      <c r="M61" s="219"/>
    </row>
    <row r="62" spans="1:23" x14ac:dyDescent="0.35">
      <c r="A62" s="71"/>
      <c r="B62" s="72"/>
      <c r="C62" s="343"/>
      <c r="D62" s="344"/>
      <c r="E62" s="344"/>
      <c r="F62" s="344"/>
      <c r="G62" s="344"/>
      <c r="H62" s="72"/>
      <c r="I62" s="248"/>
      <c r="J62" s="248"/>
      <c r="K62" s="248"/>
      <c r="L62" s="322"/>
      <c r="P62" s="6"/>
      <c r="R62" s="51"/>
      <c r="S62" s="36"/>
      <c r="T62" s="39"/>
      <c r="U62" s="43"/>
      <c r="V62" s="36"/>
      <c r="W62" s="39"/>
    </row>
    <row r="63" spans="1:23" x14ac:dyDescent="0.35">
      <c r="A63" s="519" t="s">
        <v>109</v>
      </c>
      <c r="B63" s="520"/>
      <c r="C63" s="520"/>
      <c r="D63" s="520"/>
      <c r="E63" s="520"/>
      <c r="F63" s="520"/>
      <c r="G63" s="520"/>
      <c r="H63" s="520"/>
      <c r="I63" s="520"/>
      <c r="J63" s="520"/>
      <c r="K63" s="520"/>
      <c r="L63" s="521"/>
      <c r="P63" s="32" t="s">
        <v>32</v>
      </c>
      <c r="R63" s="38"/>
      <c r="S63" s="37"/>
      <c r="T63" s="42"/>
      <c r="U63" s="40"/>
      <c r="V63" s="37"/>
      <c r="W63" s="41"/>
    </row>
    <row r="64" spans="1:23" ht="24" thickBot="1" x14ac:dyDescent="0.4">
      <c r="A64" s="513" t="s">
        <v>110</v>
      </c>
      <c r="B64" s="514"/>
      <c r="C64" s="514"/>
      <c r="D64" s="514"/>
      <c r="E64" s="514"/>
      <c r="F64" s="514"/>
      <c r="G64" s="514"/>
      <c r="H64" s="514"/>
      <c r="I64" s="514"/>
      <c r="J64" s="514"/>
      <c r="K64" s="514"/>
      <c r="L64" s="515"/>
      <c r="P64" s="32" t="s">
        <v>32</v>
      </c>
      <c r="R64" s="52"/>
      <c r="S64" s="44"/>
      <c r="T64" s="45"/>
      <c r="U64" s="46"/>
      <c r="V64" s="47"/>
      <c r="W64" s="45"/>
    </row>
    <row r="65" spans="1:23" ht="24" thickBot="1" x14ac:dyDescent="0.4">
      <c r="A65" s="513"/>
      <c r="B65" s="514"/>
      <c r="C65" s="514"/>
      <c r="D65" s="514"/>
      <c r="E65" s="514"/>
      <c r="F65" s="514"/>
      <c r="G65" s="514"/>
      <c r="H65" s="514"/>
      <c r="I65" s="514"/>
      <c r="J65" s="514"/>
      <c r="K65" s="514"/>
      <c r="L65" s="515"/>
      <c r="N65" s="54"/>
      <c r="P65" s="33" t="s">
        <v>18</v>
      </c>
      <c r="R65" s="53"/>
      <c r="S65" s="49" t="str">
        <f>IF(S64="","",(#REF!-S63)/(S63-S64)*100)</f>
        <v/>
      </c>
      <c r="T65" s="50" t="str">
        <f>IF(T64="","",(#REF!-T63)/(T63-T64)*100)</f>
        <v/>
      </c>
      <c r="U65" s="48" t="str">
        <f>IF(U64="","",(#REF!-U63)/(U63-U64)*100)</f>
        <v/>
      </c>
      <c r="V65" s="49" t="str">
        <f>IF(V64="","",(#REF!-V63)/(V63-V64)*100)</f>
        <v/>
      </c>
      <c r="W65" s="50" t="str">
        <f>IF(W64="","",(#REF!-W63)/(W63-W64)*100)</f>
        <v/>
      </c>
    </row>
    <row r="66" spans="1:23" ht="24" thickBot="1" x14ac:dyDescent="0.4">
      <c r="A66" s="516"/>
      <c r="B66" s="517"/>
      <c r="C66" s="517"/>
      <c r="D66" s="517"/>
      <c r="E66" s="517"/>
      <c r="F66" s="517"/>
      <c r="G66" s="517"/>
      <c r="H66" s="517"/>
      <c r="I66" s="517"/>
      <c r="J66" s="517"/>
      <c r="K66" s="517"/>
      <c r="L66" s="518"/>
      <c r="M66" s="54"/>
    </row>
    <row r="67" spans="1:23" ht="6" customHeight="1" x14ac:dyDescent="0.35">
      <c r="A67" s="72"/>
      <c r="B67" s="72"/>
      <c r="C67" s="81"/>
      <c r="D67" s="72"/>
      <c r="E67" s="72"/>
      <c r="F67" s="72"/>
      <c r="G67" s="72"/>
      <c r="H67" s="72"/>
      <c r="I67" s="72"/>
      <c r="J67" s="72"/>
      <c r="K67" s="72"/>
      <c r="L67" s="72"/>
    </row>
    <row r="68" spans="1:23" ht="24" thickBot="1" x14ac:dyDescent="0.4">
      <c r="B68" s="5">
        <v>11</v>
      </c>
    </row>
    <row r="69" spans="1:23" ht="29.25" thickBot="1" x14ac:dyDescent="0.4">
      <c r="B69" s="215">
        <v>11</v>
      </c>
      <c r="C69" s="510" t="s">
        <v>135</v>
      </c>
      <c r="D69" s="510"/>
      <c r="F69" s="200"/>
      <c r="G69" s="201" t="s">
        <v>136</v>
      </c>
    </row>
    <row r="70" spans="1:23" x14ac:dyDescent="0.35">
      <c r="B70" s="120"/>
      <c r="C70" s="510"/>
      <c r="D70" s="510"/>
      <c r="E70" s="202"/>
      <c r="F70" s="120"/>
      <c r="G70" s="54"/>
    </row>
    <row r="71" spans="1:23" x14ac:dyDescent="0.35">
      <c r="B71" s="120"/>
      <c r="C71" s="510"/>
      <c r="D71" s="510"/>
      <c r="E71" s="202"/>
      <c r="F71" s="120"/>
      <c r="G71" s="54"/>
    </row>
    <row r="72" spans="1:23" x14ac:dyDescent="0.35">
      <c r="B72" s="120"/>
      <c r="C72" s="510"/>
      <c r="D72" s="510"/>
      <c r="E72" s="202"/>
      <c r="F72" s="120"/>
    </row>
    <row r="73" spans="1:23" x14ac:dyDescent="0.35">
      <c r="B73" s="120"/>
      <c r="C73" s="510"/>
      <c r="D73" s="510"/>
      <c r="E73" s="120"/>
      <c r="F73" s="120"/>
    </row>
    <row r="74" spans="1:23" x14ac:dyDescent="0.35">
      <c r="B74" s="120"/>
      <c r="C74" s="510"/>
      <c r="D74" s="510"/>
      <c r="E74" s="120"/>
      <c r="F74" s="120"/>
    </row>
    <row r="78" spans="1:23" x14ac:dyDescent="0.35">
      <c r="H78" s="5">
        <v>75</v>
      </c>
    </row>
    <row r="79" spans="1:23" x14ac:dyDescent="0.35">
      <c r="I79" s="3"/>
    </row>
    <row r="80" spans="1:23" x14ac:dyDescent="0.35">
      <c r="H80" s="5">
        <v>34.65</v>
      </c>
    </row>
    <row r="81" spans="2:13" x14ac:dyDescent="0.35">
      <c r="H81" s="5">
        <v>28.98</v>
      </c>
    </row>
    <row r="82" spans="2:13" x14ac:dyDescent="0.35">
      <c r="H82" s="5">
        <v>5.15</v>
      </c>
    </row>
    <row r="92" spans="2:13" x14ac:dyDescent="0.35">
      <c r="B92" s="120"/>
      <c r="C92" s="178">
        <v>1</v>
      </c>
      <c r="D92" s="179"/>
      <c r="E92" s="178">
        <v>2</v>
      </c>
      <c r="F92" s="179"/>
      <c r="G92" s="178">
        <v>3</v>
      </c>
      <c r="H92" s="179"/>
      <c r="I92" s="178">
        <v>4</v>
      </c>
      <c r="J92" s="179"/>
      <c r="K92" s="178">
        <v>5</v>
      </c>
      <c r="L92" s="179"/>
      <c r="M92" s="120"/>
    </row>
    <row r="93" spans="2:13" x14ac:dyDescent="0.35">
      <c r="B93" s="120"/>
      <c r="C93" s="180" t="s">
        <v>133</v>
      </c>
      <c r="D93" s="180" t="s">
        <v>134</v>
      </c>
      <c r="E93" s="180" t="s">
        <v>133</v>
      </c>
      <c r="F93" s="180" t="s">
        <v>134</v>
      </c>
      <c r="G93" s="180" t="s">
        <v>133</v>
      </c>
      <c r="H93" s="180" t="s">
        <v>134</v>
      </c>
      <c r="I93" s="180" t="s">
        <v>133</v>
      </c>
      <c r="J93" s="180" t="s">
        <v>134</v>
      </c>
      <c r="K93" s="181" t="s">
        <v>133</v>
      </c>
      <c r="L93" s="181" t="s">
        <v>134</v>
      </c>
      <c r="M93" s="179"/>
    </row>
    <row r="94" spans="2:13" x14ac:dyDescent="0.35">
      <c r="B94" s="120"/>
      <c r="C94" s="180">
        <v>40.799999999999997</v>
      </c>
      <c r="D94" s="180">
        <v>682.68</v>
      </c>
      <c r="E94" s="180">
        <v>40.299999999999997</v>
      </c>
      <c r="F94" s="180">
        <v>689.51</v>
      </c>
      <c r="G94" s="180">
        <v>39.1</v>
      </c>
      <c r="H94" s="180">
        <v>346.88</v>
      </c>
      <c r="I94" s="180">
        <v>40.299999999999997</v>
      </c>
      <c r="J94" s="180">
        <v>341.81</v>
      </c>
      <c r="K94" s="181">
        <v>36.6</v>
      </c>
      <c r="L94" s="181">
        <v>341.6</v>
      </c>
      <c r="M94" s="181" t="s">
        <v>134</v>
      </c>
    </row>
    <row r="95" spans="2:13" x14ac:dyDescent="0.35">
      <c r="B95" s="120"/>
      <c r="C95" s="180">
        <v>38.6</v>
      </c>
      <c r="D95" s="180">
        <v>683.11</v>
      </c>
      <c r="E95" s="180">
        <v>38.200000000000003</v>
      </c>
      <c r="F95" s="180">
        <v>689.95</v>
      </c>
      <c r="G95" s="180">
        <v>37</v>
      </c>
      <c r="H95" s="180">
        <v>346.98</v>
      </c>
      <c r="I95" s="180">
        <v>38.5</v>
      </c>
      <c r="J95" s="180">
        <v>341.9</v>
      </c>
      <c r="K95" s="181">
        <v>29.5</v>
      </c>
      <c r="L95" s="181">
        <v>342.12</v>
      </c>
      <c r="M95" s="181">
        <v>353.61</v>
      </c>
    </row>
    <row r="96" spans="2:13" x14ac:dyDescent="0.35">
      <c r="B96" s="120"/>
      <c r="C96" s="180">
        <v>36.9</v>
      </c>
      <c r="D96" s="180">
        <v>683.4</v>
      </c>
      <c r="E96" s="180">
        <v>36.299999999999997</v>
      </c>
      <c r="F96" s="180">
        <v>690.2</v>
      </c>
      <c r="G96" s="180">
        <v>34.799999999999997</v>
      </c>
      <c r="H96" s="180">
        <v>347.22</v>
      </c>
      <c r="I96" s="180">
        <v>35.5</v>
      </c>
      <c r="J96" s="180">
        <v>342.18</v>
      </c>
      <c r="K96" s="181">
        <v>25.7</v>
      </c>
      <c r="L96" s="181">
        <v>342.42</v>
      </c>
      <c r="M96" s="181">
        <v>354.15</v>
      </c>
    </row>
    <row r="97" spans="2:13" x14ac:dyDescent="0.35">
      <c r="B97" s="120"/>
      <c r="C97" s="180">
        <v>34.6</v>
      </c>
      <c r="D97" s="180">
        <v>683.67</v>
      </c>
      <c r="E97" s="180">
        <v>33.299999999999997</v>
      </c>
      <c r="F97" s="180">
        <v>690.6</v>
      </c>
      <c r="G97" s="180">
        <v>32.200000000000003</v>
      </c>
      <c r="H97" s="180">
        <v>347.46</v>
      </c>
      <c r="I97" s="180">
        <v>33.799999999999997</v>
      </c>
      <c r="J97" s="180">
        <v>342.4</v>
      </c>
      <c r="K97" s="181">
        <v>23</v>
      </c>
      <c r="L97" s="181">
        <v>342.56</v>
      </c>
      <c r="M97" s="181">
        <v>354.35</v>
      </c>
    </row>
    <row r="98" spans="2:13" x14ac:dyDescent="0.35">
      <c r="B98" s="120"/>
      <c r="C98" s="180">
        <v>31.6</v>
      </c>
      <c r="D98" s="180">
        <v>684.13</v>
      </c>
      <c r="E98" s="180">
        <v>31.9</v>
      </c>
      <c r="F98" s="180">
        <v>690.79</v>
      </c>
      <c r="G98" s="180">
        <v>27.7</v>
      </c>
      <c r="H98" s="180">
        <v>347.58</v>
      </c>
      <c r="I98" s="180">
        <v>29.9</v>
      </c>
      <c r="J98" s="180">
        <v>342.52</v>
      </c>
      <c r="K98" s="181">
        <v>18.3</v>
      </c>
      <c r="L98" s="181">
        <v>342.77</v>
      </c>
      <c r="M98" s="181">
        <v>354.55</v>
      </c>
    </row>
    <row r="99" spans="2:13" x14ac:dyDescent="0.35">
      <c r="B99" s="120"/>
      <c r="C99" s="180">
        <v>30.4</v>
      </c>
      <c r="D99" s="180">
        <v>684.45</v>
      </c>
      <c r="E99" s="180">
        <v>30.8</v>
      </c>
      <c r="F99" s="180">
        <v>690.96</v>
      </c>
      <c r="G99" s="180">
        <v>26.3</v>
      </c>
      <c r="H99" s="180">
        <v>347.65</v>
      </c>
      <c r="I99" s="180">
        <v>27.3</v>
      </c>
      <c r="J99" s="180">
        <v>342.82</v>
      </c>
      <c r="K99" s="182"/>
      <c r="L99" s="182"/>
      <c r="M99" s="181">
        <v>354.7</v>
      </c>
    </row>
    <row r="100" spans="2:13" x14ac:dyDescent="0.35">
      <c r="B100" s="120"/>
      <c r="C100" s="180">
        <v>29.3</v>
      </c>
      <c r="D100" s="180">
        <v>684.61</v>
      </c>
      <c r="E100" s="180">
        <v>24.9</v>
      </c>
      <c r="F100" s="180">
        <v>691.44</v>
      </c>
      <c r="G100" s="180">
        <v>20.399999999999999</v>
      </c>
      <c r="H100" s="180">
        <v>348.1</v>
      </c>
      <c r="I100" s="180">
        <v>25.5</v>
      </c>
      <c r="J100" s="180">
        <v>342.96</v>
      </c>
      <c r="K100" s="182"/>
      <c r="L100" s="182"/>
      <c r="M100" s="182"/>
    </row>
    <row r="101" spans="2:13" x14ac:dyDescent="0.35">
      <c r="B101" s="120"/>
      <c r="C101" s="180">
        <v>25.1</v>
      </c>
      <c r="D101" s="180">
        <v>685.16</v>
      </c>
      <c r="E101" s="180">
        <v>22.2</v>
      </c>
      <c r="F101" s="180">
        <v>691.69</v>
      </c>
      <c r="G101" s="180">
        <v>18.100000000000001</v>
      </c>
      <c r="H101" s="180">
        <v>348.17</v>
      </c>
      <c r="I101" s="180">
        <v>20.5</v>
      </c>
      <c r="J101" s="180">
        <v>343.13</v>
      </c>
      <c r="K101" s="182"/>
      <c r="L101" s="182"/>
      <c r="M101" s="182"/>
    </row>
    <row r="102" spans="2:13" x14ac:dyDescent="0.35">
      <c r="B102" s="120"/>
      <c r="C102" s="180">
        <v>23.8</v>
      </c>
      <c r="D102" s="180">
        <v>685.27</v>
      </c>
      <c r="E102" s="180">
        <v>21.6</v>
      </c>
      <c r="F102" s="180">
        <v>691.76</v>
      </c>
      <c r="G102" s="182"/>
      <c r="H102" s="182"/>
      <c r="I102" s="180">
        <v>18</v>
      </c>
      <c r="J102" s="180">
        <v>343.21</v>
      </c>
      <c r="K102" s="182"/>
      <c r="L102" s="182"/>
      <c r="M102" s="182"/>
    </row>
    <row r="103" spans="2:13" x14ac:dyDescent="0.35">
      <c r="B103" s="120"/>
      <c r="C103" s="180">
        <v>22.5</v>
      </c>
      <c r="D103" s="180">
        <v>685.41</v>
      </c>
      <c r="E103" s="180">
        <v>20.9</v>
      </c>
      <c r="F103" s="180">
        <v>691.86</v>
      </c>
      <c r="G103" s="182"/>
      <c r="H103" s="182"/>
      <c r="I103" s="182"/>
      <c r="J103" s="182"/>
      <c r="K103" s="182"/>
      <c r="L103" s="182"/>
      <c r="M103" s="182"/>
    </row>
    <row r="104" spans="2:13" x14ac:dyDescent="0.35">
      <c r="B104" s="120"/>
      <c r="C104" s="180">
        <v>21.6</v>
      </c>
      <c r="D104" s="180">
        <v>685.54</v>
      </c>
      <c r="E104" s="180">
        <v>20.100000000000001</v>
      </c>
      <c r="F104" s="180">
        <v>691.95</v>
      </c>
      <c r="G104" s="182"/>
      <c r="H104" s="182"/>
      <c r="I104" s="182"/>
      <c r="J104" s="182"/>
      <c r="K104" s="182"/>
      <c r="L104" s="182"/>
      <c r="M104" s="182"/>
    </row>
    <row r="105" spans="2:13" x14ac:dyDescent="0.35">
      <c r="B105" s="120"/>
      <c r="C105" s="180">
        <v>21.1</v>
      </c>
      <c r="D105" s="180">
        <v>685.61</v>
      </c>
      <c r="E105" s="180">
        <v>19.7</v>
      </c>
      <c r="F105" s="180">
        <v>692.08</v>
      </c>
      <c r="G105" s="182"/>
      <c r="H105" s="182"/>
      <c r="I105" s="182"/>
      <c r="J105" s="182"/>
      <c r="K105" s="182"/>
      <c r="L105" s="182"/>
      <c r="M105" s="182"/>
    </row>
    <row r="106" spans="2:13" x14ac:dyDescent="0.35">
      <c r="B106" s="120"/>
      <c r="C106" s="180">
        <v>20.9</v>
      </c>
      <c r="D106" s="180">
        <v>685.62</v>
      </c>
      <c r="E106" s="180">
        <v>19.2</v>
      </c>
      <c r="F106" s="180">
        <v>692.23</v>
      </c>
      <c r="G106" s="182"/>
      <c r="H106" s="182"/>
      <c r="I106" s="182"/>
      <c r="J106" s="182"/>
      <c r="K106" s="182"/>
      <c r="L106" s="182"/>
      <c r="M106" s="182"/>
    </row>
    <row r="107" spans="2:13" x14ac:dyDescent="0.35">
      <c r="B107" s="120"/>
      <c r="C107" s="180">
        <v>19.7</v>
      </c>
      <c r="D107" s="180">
        <v>685.73</v>
      </c>
      <c r="E107" s="180">
        <v>18.600000000000001</v>
      </c>
      <c r="F107" s="180">
        <v>692.37</v>
      </c>
      <c r="G107" s="182"/>
      <c r="H107" s="182"/>
      <c r="I107" s="182"/>
      <c r="J107" s="182"/>
      <c r="K107" s="182"/>
      <c r="L107" s="182"/>
      <c r="M107" s="182"/>
    </row>
    <row r="108" spans="2:13" x14ac:dyDescent="0.35">
      <c r="B108" s="120"/>
      <c r="C108" s="180">
        <v>18.600000000000001</v>
      </c>
      <c r="D108" s="180">
        <v>685.95</v>
      </c>
      <c r="E108" s="182"/>
      <c r="F108" s="182"/>
      <c r="G108" s="182"/>
      <c r="H108" s="182"/>
      <c r="I108" s="182"/>
      <c r="J108" s="182"/>
      <c r="K108" s="182"/>
      <c r="L108" s="182"/>
      <c r="M108" s="182"/>
    </row>
    <row r="109" spans="2:13" x14ac:dyDescent="0.35">
      <c r="B109" s="120"/>
      <c r="C109" s="120"/>
      <c r="D109" s="182"/>
      <c r="E109" s="120"/>
      <c r="F109" s="182"/>
      <c r="G109" s="120"/>
      <c r="H109" s="182"/>
      <c r="I109" s="120"/>
      <c r="J109" s="182"/>
      <c r="K109" s="120"/>
      <c r="L109" s="182"/>
      <c r="M109" s="182"/>
    </row>
    <row r="110" spans="2:13" x14ac:dyDescent="0.35">
      <c r="B110" s="120"/>
      <c r="C110" s="120"/>
      <c r="D110" s="183"/>
      <c r="E110" s="120"/>
      <c r="F110" s="182"/>
      <c r="G110" s="120"/>
      <c r="H110" s="182"/>
      <c r="I110" s="120"/>
      <c r="J110" s="182"/>
      <c r="K110" s="120"/>
      <c r="L110" s="182"/>
      <c r="M110" s="182"/>
    </row>
    <row r="111" spans="2:13" x14ac:dyDescent="0.35">
      <c r="B111" s="120"/>
      <c r="C111" s="184"/>
      <c r="D111" s="185"/>
      <c r="E111" s="120"/>
      <c r="F111" s="120"/>
      <c r="G111" s="120"/>
      <c r="H111" s="120"/>
      <c r="I111" s="120"/>
      <c r="J111" s="120"/>
      <c r="K111" s="120"/>
      <c r="L111" s="120"/>
      <c r="M111" s="182"/>
    </row>
    <row r="112" spans="2:13" x14ac:dyDescent="0.35">
      <c r="B112" s="120"/>
      <c r="C112" s="184"/>
      <c r="D112" s="120"/>
      <c r="E112" s="120"/>
      <c r="F112" s="120"/>
      <c r="G112" s="120"/>
      <c r="H112" s="120"/>
      <c r="I112" s="120"/>
      <c r="J112" s="120"/>
      <c r="K112" s="120"/>
      <c r="L112" s="120"/>
      <c r="M112" s="120"/>
    </row>
    <row r="113" spans="2:13" ht="24" thickBot="1" x14ac:dyDescent="0.4">
      <c r="B113" s="120"/>
      <c r="C113" s="120"/>
      <c r="D113" s="120"/>
      <c r="E113" s="120"/>
      <c r="F113" s="120"/>
      <c r="G113" s="120"/>
      <c r="H113" s="120"/>
      <c r="I113" s="120"/>
      <c r="J113" s="120"/>
      <c r="K113" s="120"/>
      <c r="L113" s="120"/>
      <c r="M113" s="120"/>
    </row>
    <row r="114" spans="2:13" ht="24" thickBot="1" x14ac:dyDescent="0.4">
      <c r="B114" s="120">
        <v>1</v>
      </c>
      <c r="C114" s="186">
        <v>1</v>
      </c>
      <c r="D114" s="187">
        <v>2</v>
      </c>
      <c r="E114" s="188">
        <v>3</v>
      </c>
      <c r="F114" s="188">
        <v>4</v>
      </c>
      <c r="G114" s="188">
        <v>5</v>
      </c>
      <c r="H114" s="189">
        <v>6</v>
      </c>
      <c r="I114" s="120"/>
      <c r="J114" s="120"/>
      <c r="K114" s="120"/>
      <c r="L114" s="120"/>
      <c r="M114" s="120"/>
    </row>
    <row r="115" spans="2:13" x14ac:dyDescent="0.35">
      <c r="B115" s="120">
        <v>2</v>
      </c>
      <c r="C115" s="190">
        <f t="shared" ref="C115:H115" si="1">$D$25</f>
        <v>0</v>
      </c>
      <c r="D115" s="190">
        <f t="shared" si="1"/>
        <v>0</v>
      </c>
      <c r="E115" s="190">
        <f t="shared" si="1"/>
        <v>0</v>
      </c>
      <c r="F115" s="190">
        <f t="shared" si="1"/>
        <v>0</v>
      </c>
      <c r="G115" s="190">
        <f t="shared" si="1"/>
        <v>0</v>
      </c>
      <c r="H115" s="190">
        <f t="shared" si="1"/>
        <v>0</v>
      </c>
      <c r="I115" s="120"/>
      <c r="J115" s="120"/>
      <c r="K115" s="120"/>
      <c r="L115" s="120"/>
      <c r="M115" s="120"/>
    </row>
    <row r="116" spans="2:13" ht="24" thickBot="1" x14ac:dyDescent="0.4">
      <c r="B116" s="120">
        <v>3</v>
      </c>
      <c r="C116" s="191">
        <f>-0.1428*(C115)+688.64</f>
        <v>688.64</v>
      </c>
      <c r="D116" s="192">
        <f>-0.1158*(D115)+694.37</f>
        <v>694.37</v>
      </c>
      <c r="E116" s="193">
        <f>-0.0614*E115+349.31</f>
        <v>349.31</v>
      </c>
      <c r="F116" s="194">
        <f>-0.0655*F115 + 344.51</f>
        <v>344.51</v>
      </c>
      <c r="G116" s="195">
        <f>-0.0652*G115+344.03</f>
        <v>344.03</v>
      </c>
      <c r="H116" s="196">
        <f>-0.061*H115+355.9</f>
        <v>355.9</v>
      </c>
      <c r="I116" s="120"/>
      <c r="J116" s="120"/>
      <c r="K116" s="120"/>
      <c r="L116" s="120"/>
      <c r="M116" s="120"/>
    </row>
    <row r="117" spans="2:13" x14ac:dyDescent="0.35">
      <c r="B117" s="120"/>
      <c r="C117" s="120"/>
      <c r="D117" s="120"/>
      <c r="E117" s="120"/>
      <c r="F117" s="120"/>
      <c r="G117" s="120"/>
      <c r="H117" s="120"/>
      <c r="I117" s="120"/>
      <c r="J117" s="120"/>
      <c r="K117" s="120"/>
      <c r="L117" s="120"/>
      <c r="M117" s="120"/>
    </row>
    <row r="118" spans="2:13" x14ac:dyDescent="0.35">
      <c r="B118" s="120"/>
      <c r="C118" s="120"/>
      <c r="D118" s="120"/>
      <c r="E118" s="120"/>
      <c r="F118" s="120"/>
      <c r="G118" s="120"/>
      <c r="H118" s="120"/>
      <c r="I118" s="120"/>
      <c r="J118" s="120"/>
      <c r="K118" s="120"/>
      <c r="L118" s="120"/>
      <c r="M118" s="120"/>
    </row>
    <row r="119" spans="2:13" x14ac:dyDescent="0.35">
      <c r="B119" s="120"/>
      <c r="C119" s="120"/>
      <c r="D119" s="120"/>
      <c r="E119" s="120"/>
      <c r="F119" s="120"/>
      <c r="G119" s="120"/>
      <c r="H119" s="120"/>
      <c r="I119" s="120"/>
      <c r="J119" s="120"/>
      <c r="K119" s="120"/>
      <c r="L119" s="120"/>
      <c r="M119" s="120"/>
    </row>
    <row r="120" spans="2:13" x14ac:dyDescent="0.35">
      <c r="B120" s="120"/>
      <c r="C120" s="120"/>
      <c r="D120" s="120"/>
      <c r="E120" s="120"/>
      <c r="F120" s="120"/>
      <c r="G120" s="120"/>
      <c r="H120" s="120"/>
      <c r="I120" s="120"/>
      <c r="J120" s="120"/>
      <c r="K120" s="120"/>
      <c r="L120" s="120"/>
      <c r="M120" s="120"/>
    </row>
    <row r="121" spans="2:13" x14ac:dyDescent="0.35">
      <c r="B121" s="120"/>
      <c r="C121" s="120"/>
      <c r="D121" s="120"/>
      <c r="E121" s="120"/>
      <c r="F121" s="120"/>
      <c r="G121" s="120"/>
      <c r="H121" s="120"/>
      <c r="I121" s="120"/>
      <c r="J121" s="120"/>
      <c r="K121" s="120"/>
      <c r="L121" s="120"/>
      <c r="M121" s="120"/>
    </row>
    <row r="122" spans="2:13" ht="24" thickBot="1" x14ac:dyDescent="0.4">
      <c r="B122" s="120"/>
      <c r="C122" s="120"/>
      <c r="D122" s="120"/>
      <c r="E122" s="120"/>
      <c r="F122" s="120"/>
      <c r="G122" s="120"/>
      <c r="H122" s="120"/>
      <c r="I122" s="120"/>
      <c r="J122" s="120"/>
      <c r="K122" s="120"/>
      <c r="L122" s="120"/>
      <c r="M122" s="120"/>
    </row>
    <row r="123" spans="2:13" ht="24" thickBot="1" x14ac:dyDescent="0.4">
      <c r="B123" s="120"/>
      <c r="C123" s="120"/>
      <c r="D123" s="197">
        <f>D23</f>
        <v>1</v>
      </c>
      <c r="E123" s="198"/>
      <c r="F123" s="120">
        <v>2</v>
      </c>
      <c r="G123" s="120"/>
      <c r="H123" s="120"/>
      <c r="I123" s="120"/>
      <c r="J123" s="120"/>
      <c r="K123" s="120"/>
      <c r="L123" s="120"/>
      <c r="M123" s="120"/>
    </row>
    <row r="124" spans="2:13" ht="24" thickBot="1" x14ac:dyDescent="0.4">
      <c r="B124" s="120"/>
      <c r="C124" s="120"/>
      <c r="D124" s="199">
        <f>HLOOKUP(D123,C114:H116,F123,FALSE)</f>
        <v>0</v>
      </c>
      <c r="E124" s="199">
        <f>HLOOKUP(D123,C114:H116,F124,FALSE)</f>
        <v>688.64</v>
      </c>
      <c r="F124" s="120">
        <v>3</v>
      </c>
      <c r="G124" s="120"/>
      <c r="H124" s="120"/>
      <c r="I124" s="120"/>
      <c r="J124" s="120"/>
      <c r="K124" s="120"/>
      <c r="L124" s="120"/>
      <c r="M124" s="120"/>
    </row>
    <row r="177" spans="6:8" x14ac:dyDescent="0.35">
      <c r="F177" s="507" t="s">
        <v>132</v>
      </c>
      <c r="G177" s="507"/>
      <c r="H177" s="507"/>
    </row>
    <row r="178" spans="6:8" ht="23.25" customHeight="1" x14ac:dyDescent="0.35">
      <c r="F178" s="507"/>
      <c r="G178" s="507"/>
      <c r="H178" s="507"/>
    </row>
    <row r="179" spans="6:8" x14ac:dyDescent="0.35">
      <c r="F179" s="5" t="s">
        <v>129</v>
      </c>
      <c r="G179" s="6" t="s">
        <v>130</v>
      </c>
      <c r="H179" s="5" t="s">
        <v>131</v>
      </c>
    </row>
    <row r="180" spans="6:8" x14ac:dyDescent="0.35">
      <c r="F180" s="5">
        <v>15</v>
      </c>
      <c r="G180" s="6">
        <v>0.99909999999999999</v>
      </c>
      <c r="H180" s="5">
        <v>1.0008999999999999</v>
      </c>
    </row>
    <row r="181" spans="6:8" x14ac:dyDescent="0.35">
      <c r="F181" s="5">
        <v>15.1</v>
      </c>
      <c r="G181" s="6">
        <v>0.99909000000000003</v>
      </c>
      <c r="H181" s="5">
        <v>1.00088</v>
      </c>
    </row>
    <row r="182" spans="6:8" x14ac:dyDescent="0.35">
      <c r="F182" s="5">
        <v>15.2</v>
      </c>
      <c r="G182" s="6">
        <v>0.99907000000000001</v>
      </c>
      <c r="H182" s="5">
        <v>1.0008699999999999</v>
      </c>
    </row>
    <row r="183" spans="6:8" x14ac:dyDescent="0.35">
      <c r="F183" s="5">
        <v>15.3</v>
      </c>
      <c r="G183" s="6">
        <v>0.99905999999999995</v>
      </c>
      <c r="H183" s="5">
        <v>1.00085</v>
      </c>
    </row>
    <row r="184" spans="6:8" x14ac:dyDescent="0.35">
      <c r="F184" s="5">
        <v>15.4</v>
      </c>
      <c r="G184" s="6">
        <v>0.99904000000000004</v>
      </c>
      <c r="H184" s="5">
        <v>1.00084</v>
      </c>
    </row>
    <row r="185" spans="6:8" x14ac:dyDescent="0.35">
      <c r="F185" s="5">
        <v>15.5</v>
      </c>
      <c r="G185" s="6">
        <v>0.99902000000000002</v>
      </c>
      <c r="H185" s="5">
        <v>1.00082</v>
      </c>
    </row>
    <row r="186" spans="6:8" x14ac:dyDescent="0.35">
      <c r="F186" s="5">
        <v>15.6</v>
      </c>
      <c r="G186" s="6">
        <v>0.99900999999999995</v>
      </c>
      <c r="H186" s="5">
        <v>1.0007999999999999</v>
      </c>
    </row>
    <row r="187" spans="6:8" x14ac:dyDescent="0.35">
      <c r="F187" s="5">
        <v>15.7</v>
      </c>
      <c r="G187" s="6">
        <v>0.99899000000000004</v>
      </c>
      <c r="H187" s="5">
        <v>1.0007900000000001</v>
      </c>
    </row>
    <row r="188" spans="6:8" x14ac:dyDescent="0.35">
      <c r="F188" s="5">
        <v>15.8</v>
      </c>
      <c r="G188" s="6">
        <v>0.99897999999999998</v>
      </c>
      <c r="H188" s="5">
        <v>1.0007699999999999</v>
      </c>
    </row>
    <row r="189" spans="6:8" x14ac:dyDescent="0.35">
      <c r="F189" s="5">
        <v>15.9</v>
      </c>
      <c r="G189" s="6">
        <v>0.99895999999999996</v>
      </c>
      <c r="H189" s="5">
        <v>1.0007600000000001</v>
      </c>
    </row>
    <row r="190" spans="6:8" x14ac:dyDescent="0.35">
      <c r="F190" s="5">
        <v>16</v>
      </c>
      <c r="G190" s="6">
        <v>0.99895</v>
      </c>
      <c r="H190" s="5">
        <v>1.00074</v>
      </c>
    </row>
    <row r="191" spans="6:8" x14ac:dyDescent="0.35">
      <c r="F191" s="5">
        <v>16.100000000000001</v>
      </c>
      <c r="G191" s="6">
        <v>0.99892999999999998</v>
      </c>
      <c r="H191" s="5">
        <v>1.0007200000000001</v>
      </c>
    </row>
    <row r="192" spans="6:8" x14ac:dyDescent="0.35">
      <c r="F192" s="5">
        <v>16.2</v>
      </c>
      <c r="G192" s="6">
        <v>0.99890999999999996</v>
      </c>
      <c r="H192" s="5">
        <v>1.00071</v>
      </c>
    </row>
    <row r="193" spans="6:8" x14ac:dyDescent="0.35">
      <c r="F193" s="5">
        <v>16.3</v>
      </c>
      <c r="G193" s="6">
        <v>0.99890000000000001</v>
      </c>
      <c r="H193" s="5">
        <v>1.0006900000000001</v>
      </c>
    </row>
    <row r="194" spans="6:8" x14ac:dyDescent="0.35">
      <c r="F194" s="5">
        <v>16.399999999999999</v>
      </c>
      <c r="G194" s="6">
        <v>0.99887999999999999</v>
      </c>
      <c r="H194" s="5">
        <v>1.0006699999999999</v>
      </c>
    </row>
    <row r="195" spans="6:8" x14ac:dyDescent="0.35">
      <c r="F195" s="5">
        <v>16.5</v>
      </c>
      <c r="G195" s="6">
        <v>0.99885999999999997</v>
      </c>
      <c r="H195" s="5">
        <v>1.0006600000000001</v>
      </c>
    </row>
    <row r="196" spans="6:8" x14ac:dyDescent="0.35">
      <c r="F196" s="5">
        <v>16.600000000000001</v>
      </c>
      <c r="G196" s="6">
        <v>0.99885000000000002</v>
      </c>
      <c r="H196" s="5">
        <v>1.00064</v>
      </c>
    </row>
    <row r="197" spans="6:8" x14ac:dyDescent="0.35">
      <c r="F197" s="5">
        <v>16.7</v>
      </c>
      <c r="G197" s="6">
        <v>0.99883</v>
      </c>
      <c r="H197" s="5">
        <v>1.0006200000000001</v>
      </c>
    </row>
    <row r="198" spans="6:8" x14ac:dyDescent="0.35">
      <c r="F198" s="5">
        <v>16.8</v>
      </c>
      <c r="G198" s="6">
        <v>0.99880999999999998</v>
      </c>
      <c r="H198" s="5">
        <v>1.00061</v>
      </c>
    </row>
    <row r="199" spans="6:8" x14ac:dyDescent="0.35">
      <c r="F199" s="5">
        <v>16.899999999999999</v>
      </c>
      <c r="G199" s="6">
        <v>0.99878999999999996</v>
      </c>
      <c r="H199" s="5">
        <v>1.0005900000000001</v>
      </c>
    </row>
    <row r="200" spans="6:8" x14ac:dyDescent="0.35">
      <c r="F200" s="5">
        <v>17</v>
      </c>
      <c r="G200" s="6">
        <v>0.99878</v>
      </c>
      <c r="H200" s="5">
        <v>1.00057</v>
      </c>
    </row>
    <row r="201" spans="6:8" x14ac:dyDescent="0.35">
      <c r="F201" s="5">
        <v>17.100000000000001</v>
      </c>
      <c r="G201" s="6">
        <v>0.99875999999999998</v>
      </c>
      <c r="H201" s="5">
        <v>1.0005500000000001</v>
      </c>
    </row>
    <row r="202" spans="6:8" x14ac:dyDescent="0.35">
      <c r="F202" s="5">
        <v>17.2</v>
      </c>
      <c r="G202" s="6">
        <v>0.99873999999999996</v>
      </c>
      <c r="H202" s="5">
        <v>1.00054</v>
      </c>
    </row>
    <row r="203" spans="6:8" x14ac:dyDescent="0.35">
      <c r="F203" s="5">
        <v>17.3</v>
      </c>
      <c r="G203" s="6">
        <v>0.99872000000000005</v>
      </c>
      <c r="H203" s="5">
        <v>1.0005200000000001</v>
      </c>
    </row>
    <row r="204" spans="6:8" x14ac:dyDescent="0.35">
      <c r="F204" s="5">
        <v>17.399999999999999</v>
      </c>
      <c r="G204" s="6">
        <v>0.99870999999999999</v>
      </c>
      <c r="H204" s="5">
        <v>1.0004999999999999</v>
      </c>
    </row>
    <row r="205" spans="6:8" x14ac:dyDescent="0.35">
      <c r="F205" s="5">
        <v>17.5</v>
      </c>
      <c r="G205" s="6">
        <v>0.99868999999999997</v>
      </c>
      <c r="H205" s="5">
        <v>1.00048</v>
      </c>
    </row>
    <row r="206" spans="6:8" x14ac:dyDescent="0.35">
      <c r="F206" s="5">
        <v>17.600000000000001</v>
      </c>
      <c r="G206" s="6">
        <v>0.99866999999999995</v>
      </c>
      <c r="H206" s="5">
        <v>1.00047</v>
      </c>
    </row>
    <row r="207" spans="6:8" x14ac:dyDescent="0.35">
      <c r="F207" s="5">
        <v>17.7</v>
      </c>
      <c r="G207" s="6">
        <v>0.99865000000000004</v>
      </c>
      <c r="H207" s="5">
        <v>1.0004500000000001</v>
      </c>
    </row>
    <row r="208" spans="6:8" x14ac:dyDescent="0.35">
      <c r="F208" s="5">
        <v>17.8</v>
      </c>
      <c r="G208" s="6">
        <v>0.99863000000000002</v>
      </c>
      <c r="H208" s="5">
        <v>1.0004299999999999</v>
      </c>
    </row>
    <row r="209" spans="6:8" x14ac:dyDescent="0.35">
      <c r="F209" s="5">
        <v>17.899999999999999</v>
      </c>
      <c r="G209" s="6">
        <v>0.99861999999999995</v>
      </c>
      <c r="H209" s="5">
        <v>1.00041</v>
      </c>
    </row>
    <row r="210" spans="6:8" x14ac:dyDescent="0.35">
      <c r="F210" s="5">
        <v>18</v>
      </c>
      <c r="G210" s="6">
        <v>0.99860000000000004</v>
      </c>
      <c r="H210" s="5">
        <v>1.0003899999999999</v>
      </c>
    </row>
    <row r="211" spans="6:8" x14ac:dyDescent="0.35">
      <c r="F211" s="5">
        <v>18.100000000000001</v>
      </c>
      <c r="G211" s="6">
        <v>0.99858000000000002</v>
      </c>
      <c r="H211" s="5">
        <v>1.00037</v>
      </c>
    </row>
    <row r="212" spans="6:8" x14ac:dyDescent="0.35">
      <c r="F212" s="5">
        <v>18.2</v>
      </c>
      <c r="G212" s="6">
        <v>0.99856</v>
      </c>
      <c r="H212" s="5">
        <v>1.0003500000000001</v>
      </c>
    </row>
    <row r="213" spans="6:8" x14ac:dyDescent="0.35">
      <c r="F213" s="5">
        <v>18.3</v>
      </c>
      <c r="G213" s="6">
        <v>0.99853999999999998</v>
      </c>
      <c r="H213" s="5">
        <v>1.00034</v>
      </c>
    </row>
    <row r="214" spans="6:8" x14ac:dyDescent="0.35">
      <c r="F214" s="5">
        <v>18.399999999999999</v>
      </c>
      <c r="G214" s="6">
        <v>0.99851999999999996</v>
      </c>
      <c r="H214" s="5">
        <v>1.0003200000000001</v>
      </c>
    </row>
    <row r="215" spans="6:8" x14ac:dyDescent="0.35">
      <c r="F215" s="5">
        <v>18.5</v>
      </c>
      <c r="G215" s="6">
        <v>0.99850000000000005</v>
      </c>
      <c r="H215" s="5">
        <v>1.0003</v>
      </c>
    </row>
    <row r="216" spans="6:8" x14ac:dyDescent="0.35">
      <c r="F216" s="5">
        <v>18.600000000000001</v>
      </c>
      <c r="G216" s="6">
        <v>0.99848000000000003</v>
      </c>
      <c r="H216" s="5">
        <v>1.0002800000000001</v>
      </c>
    </row>
    <row r="217" spans="6:8" x14ac:dyDescent="0.35">
      <c r="F217" s="5">
        <v>18.7</v>
      </c>
      <c r="G217" s="6">
        <v>0.99846999999999997</v>
      </c>
      <c r="H217" s="5">
        <v>1.0002599999999999</v>
      </c>
    </row>
    <row r="218" spans="6:8" x14ac:dyDescent="0.35">
      <c r="F218" s="5">
        <v>18.8</v>
      </c>
      <c r="G218" s="6">
        <v>0.99844999999999995</v>
      </c>
      <c r="H218" s="5">
        <v>1.00024</v>
      </c>
    </row>
    <row r="219" spans="6:8" x14ac:dyDescent="0.35">
      <c r="F219" s="5">
        <v>18.899999999999999</v>
      </c>
      <c r="G219" s="6">
        <v>0.99843000000000004</v>
      </c>
      <c r="H219" s="5">
        <v>1.0002200000000001</v>
      </c>
    </row>
    <row r="220" spans="6:8" x14ac:dyDescent="0.35">
      <c r="F220" s="5">
        <v>19</v>
      </c>
      <c r="G220" s="6">
        <v>0.99841000000000002</v>
      </c>
      <c r="H220" s="5">
        <v>1.0002</v>
      </c>
    </row>
    <row r="221" spans="6:8" x14ac:dyDescent="0.35">
      <c r="F221" s="5">
        <v>19.100000000000001</v>
      </c>
      <c r="G221" s="6">
        <v>0.99839</v>
      </c>
      <c r="H221" s="5">
        <v>1.0001800000000001</v>
      </c>
    </row>
    <row r="222" spans="6:8" x14ac:dyDescent="0.35">
      <c r="F222" s="5">
        <v>19.2</v>
      </c>
      <c r="G222" s="6">
        <v>0.99836999999999998</v>
      </c>
      <c r="H222" s="5">
        <v>1.0001599999999999</v>
      </c>
    </row>
    <row r="223" spans="6:8" x14ac:dyDescent="0.35">
      <c r="F223" s="5">
        <v>19.3</v>
      </c>
      <c r="G223" s="6">
        <v>0.99834999999999996</v>
      </c>
      <c r="H223" s="5">
        <v>1.00014</v>
      </c>
    </row>
    <row r="224" spans="6:8" x14ac:dyDescent="0.35">
      <c r="F224" s="5">
        <v>19.399999999999999</v>
      </c>
      <c r="G224" s="6">
        <v>0.99833000000000005</v>
      </c>
      <c r="H224" s="5">
        <v>1.0001199999999999</v>
      </c>
    </row>
    <row r="225" spans="6:8" x14ac:dyDescent="0.35">
      <c r="F225" s="5">
        <v>19.5</v>
      </c>
      <c r="G225" s="6">
        <v>0.99831000000000003</v>
      </c>
      <c r="H225" s="5">
        <v>1.0001</v>
      </c>
    </row>
    <row r="226" spans="6:8" x14ac:dyDescent="0.35">
      <c r="F226" s="5">
        <v>19.600000000000001</v>
      </c>
      <c r="G226" s="6">
        <v>0.99829000000000001</v>
      </c>
      <c r="H226" s="5">
        <v>1.0000800000000001</v>
      </c>
    </row>
    <row r="227" spans="6:8" x14ac:dyDescent="0.35">
      <c r="F227" s="5">
        <v>19.7</v>
      </c>
      <c r="G227" s="6">
        <v>0.99826999999999999</v>
      </c>
      <c r="H227" s="5">
        <v>1.0000599999999999</v>
      </c>
    </row>
    <row r="228" spans="6:8" x14ac:dyDescent="0.35">
      <c r="F228" s="5">
        <v>19.8</v>
      </c>
      <c r="G228" s="6">
        <v>0.99824999999999997</v>
      </c>
      <c r="H228" s="5">
        <v>1.00004</v>
      </c>
    </row>
    <row r="229" spans="6:8" x14ac:dyDescent="0.35">
      <c r="F229" s="5">
        <v>19.899999999999999</v>
      </c>
      <c r="G229" s="6">
        <v>0.99822999999999995</v>
      </c>
      <c r="H229" s="5">
        <v>1.0000199999999999</v>
      </c>
    </row>
    <row r="230" spans="6:8" x14ac:dyDescent="0.35">
      <c r="F230" s="5">
        <v>20</v>
      </c>
      <c r="G230" s="6">
        <v>0.99821000000000004</v>
      </c>
      <c r="H230" s="5">
        <v>1</v>
      </c>
    </row>
    <row r="231" spans="6:8" x14ac:dyDescent="0.35">
      <c r="F231" s="5">
        <v>20.100000000000001</v>
      </c>
      <c r="G231" s="6">
        <v>0.99819000000000002</v>
      </c>
      <c r="H231" s="5">
        <v>0.99997999999999998</v>
      </c>
    </row>
    <row r="232" spans="6:8" x14ac:dyDescent="0.35">
      <c r="F232" s="5">
        <v>20.2</v>
      </c>
      <c r="G232" s="6">
        <v>0.99816000000000005</v>
      </c>
      <c r="H232" s="5">
        <v>0.99995999999999996</v>
      </c>
    </row>
    <row r="233" spans="6:8" x14ac:dyDescent="0.35">
      <c r="F233" s="5">
        <v>20.3</v>
      </c>
      <c r="G233" s="6">
        <v>0.99814000000000003</v>
      </c>
      <c r="H233" s="5">
        <v>0.99994000000000005</v>
      </c>
    </row>
    <row r="234" spans="6:8" x14ac:dyDescent="0.35">
      <c r="F234" s="5">
        <v>20.399999999999999</v>
      </c>
      <c r="G234" s="6">
        <v>0.99812000000000001</v>
      </c>
      <c r="H234" s="5">
        <v>0.99992000000000003</v>
      </c>
    </row>
    <row r="235" spans="6:8" x14ac:dyDescent="0.35">
      <c r="F235" s="5">
        <v>20.5</v>
      </c>
      <c r="G235" s="6">
        <v>0.99809999999999999</v>
      </c>
      <c r="H235" s="5">
        <v>0.99990000000000001</v>
      </c>
    </row>
    <row r="236" spans="6:8" x14ac:dyDescent="0.35">
      <c r="F236" s="5">
        <v>20.6</v>
      </c>
      <c r="G236" s="6">
        <v>0.99807999999999997</v>
      </c>
      <c r="H236" s="5">
        <v>0.99987000000000004</v>
      </c>
    </row>
    <row r="237" spans="6:8" x14ac:dyDescent="0.35">
      <c r="F237" s="5">
        <v>20.7</v>
      </c>
      <c r="G237" s="6">
        <v>0.99805999999999995</v>
      </c>
      <c r="H237" s="5">
        <v>0.99985000000000002</v>
      </c>
    </row>
    <row r="238" spans="6:8" x14ac:dyDescent="0.35">
      <c r="F238" s="5">
        <v>20.8</v>
      </c>
      <c r="G238" s="6">
        <v>0.99804000000000004</v>
      </c>
      <c r="H238" s="5">
        <v>0.99983</v>
      </c>
    </row>
    <row r="239" spans="6:8" x14ac:dyDescent="0.35">
      <c r="F239" s="5">
        <v>20.9</v>
      </c>
      <c r="G239" s="6">
        <v>0.99802000000000002</v>
      </c>
      <c r="H239" s="5">
        <v>0.99980999999999998</v>
      </c>
    </row>
    <row r="240" spans="6:8" x14ac:dyDescent="0.35">
      <c r="F240" s="5">
        <v>21</v>
      </c>
      <c r="G240" s="6">
        <v>0.99799000000000004</v>
      </c>
      <c r="H240" s="5">
        <v>0.99978999999999996</v>
      </c>
    </row>
    <row r="241" spans="6:8" x14ac:dyDescent="0.35">
      <c r="F241" s="5">
        <v>21.1</v>
      </c>
      <c r="G241" s="6">
        <v>0.99797000000000002</v>
      </c>
      <c r="H241" s="5">
        <v>0.99977000000000005</v>
      </c>
    </row>
    <row r="242" spans="6:8" x14ac:dyDescent="0.35">
      <c r="F242" s="5">
        <v>21.2</v>
      </c>
      <c r="G242" s="6">
        <v>0.99795</v>
      </c>
      <c r="H242" s="5">
        <v>0.99973999999999996</v>
      </c>
    </row>
    <row r="243" spans="6:8" x14ac:dyDescent="0.35">
      <c r="F243" s="5">
        <v>21.3</v>
      </c>
      <c r="G243" s="6">
        <v>0.99792999999999998</v>
      </c>
      <c r="H243" s="5">
        <v>0.99972000000000005</v>
      </c>
    </row>
    <row r="244" spans="6:8" x14ac:dyDescent="0.35">
      <c r="F244" s="5">
        <v>21.4</v>
      </c>
      <c r="G244" s="6">
        <v>0.99790999999999996</v>
      </c>
      <c r="H244" s="5">
        <v>0.99970000000000003</v>
      </c>
    </row>
    <row r="245" spans="6:8" x14ac:dyDescent="0.35">
      <c r="F245" s="5">
        <v>21.5</v>
      </c>
      <c r="G245" s="6">
        <v>0.99789000000000005</v>
      </c>
      <c r="H245" s="5">
        <v>0.99968000000000001</v>
      </c>
    </row>
    <row r="246" spans="6:8" x14ac:dyDescent="0.35">
      <c r="F246" s="5">
        <v>21.6</v>
      </c>
      <c r="G246" s="6">
        <v>0.99785999999999997</v>
      </c>
      <c r="H246" s="5">
        <v>0.99965999999999999</v>
      </c>
    </row>
    <row r="247" spans="6:8" x14ac:dyDescent="0.35">
      <c r="F247" s="5">
        <v>21.7</v>
      </c>
      <c r="G247" s="6">
        <v>0.99783999999999995</v>
      </c>
      <c r="H247" s="5">
        <v>0.99963000000000002</v>
      </c>
    </row>
    <row r="248" spans="6:8" x14ac:dyDescent="0.35">
      <c r="F248" s="5">
        <v>21.8</v>
      </c>
      <c r="G248" s="6">
        <v>0.99782000000000004</v>
      </c>
      <c r="H248" s="5">
        <v>0.99961</v>
      </c>
    </row>
    <row r="249" spans="6:8" x14ac:dyDescent="0.35">
      <c r="F249" s="5">
        <v>21.9</v>
      </c>
      <c r="G249" s="6">
        <v>0.99780000000000002</v>
      </c>
      <c r="H249" s="5">
        <v>0.99958999999999998</v>
      </c>
    </row>
    <row r="250" spans="6:8" x14ac:dyDescent="0.35">
      <c r="F250" s="5">
        <v>22</v>
      </c>
      <c r="G250" s="6">
        <v>0.99777000000000005</v>
      </c>
      <c r="H250" s="5">
        <v>0.99956999999999996</v>
      </c>
    </row>
    <row r="251" spans="6:8" x14ac:dyDescent="0.35">
      <c r="F251" s="5">
        <v>22.1</v>
      </c>
      <c r="G251" s="6">
        <v>0.99775000000000003</v>
      </c>
      <c r="H251" s="5">
        <v>0.99953999999999998</v>
      </c>
    </row>
    <row r="252" spans="6:8" x14ac:dyDescent="0.35">
      <c r="F252" s="5">
        <v>22.2</v>
      </c>
      <c r="G252" s="6">
        <v>0.99773000000000001</v>
      </c>
      <c r="H252" s="5">
        <v>0.99951999999999996</v>
      </c>
    </row>
    <row r="253" spans="6:8" x14ac:dyDescent="0.35">
      <c r="F253" s="5">
        <v>22.3</v>
      </c>
      <c r="G253" s="6">
        <v>0.99770000000000003</v>
      </c>
      <c r="H253" s="5">
        <v>0.99950000000000006</v>
      </c>
    </row>
    <row r="254" spans="6:8" x14ac:dyDescent="0.35">
      <c r="F254" s="5">
        <v>22.4</v>
      </c>
      <c r="G254" s="6">
        <v>0.99768000000000001</v>
      </c>
      <c r="H254" s="5">
        <v>0.99946999999999997</v>
      </c>
    </row>
    <row r="255" spans="6:8" x14ac:dyDescent="0.35">
      <c r="F255" s="5">
        <v>22.5</v>
      </c>
      <c r="G255" s="6">
        <v>0.99765999999999999</v>
      </c>
      <c r="H255" s="5">
        <v>0.99944999999999995</v>
      </c>
    </row>
    <row r="256" spans="6:8" x14ac:dyDescent="0.35">
      <c r="F256" s="5">
        <v>22.6</v>
      </c>
      <c r="G256" s="6">
        <v>0.99763999999999997</v>
      </c>
      <c r="H256" s="5">
        <v>0.99943000000000004</v>
      </c>
    </row>
    <row r="257" spans="6:8" x14ac:dyDescent="0.35">
      <c r="F257" s="5">
        <v>22.7</v>
      </c>
      <c r="G257" s="6">
        <v>0.99761</v>
      </c>
      <c r="H257" s="5">
        <v>0.99939999999999996</v>
      </c>
    </row>
    <row r="258" spans="6:8" x14ac:dyDescent="0.35">
      <c r="F258" s="5">
        <v>22.8</v>
      </c>
      <c r="G258" s="6">
        <v>0.99758999999999998</v>
      </c>
      <c r="H258" s="5">
        <v>0.99938000000000005</v>
      </c>
    </row>
    <row r="259" spans="6:8" x14ac:dyDescent="0.35">
      <c r="F259" s="5">
        <v>22.9</v>
      </c>
      <c r="G259" s="6">
        <v>0.99756</v>
      </c>
      <c r="H259" s="5">
        <v>0.99936000000000003</v>
      </c>
    </row>
    <row r="260" spans="6:8" x14ac:dyDescent="0.35">
      <c r="F260" s="5">
        <v>23</v>
      </c>
      <c r="G260" s="6">
        <v>0.99753999999999998</v>
      </c>
      <c r="H260" s="5">
        <v>0.99933000000000005</v>
      </c>
    </row>
    <row r="261" spans="6:8" x14ac:dyDescent="0.35">
      <c r="F261" s="5">
        <v>23.1</v>
      </c>
      <c r="G261" s="6">
        <v>0.99751999999999996</v>
      </c>
      <c r="H261" s="5">
        <v>0.99931000000000003</v>
      </c>
    </row>
    <row r="262" spans="6:8" x14ac:dyDescent="0.35">
      <c r="F262" s="5">
        <v>23.2</v>
      </c>
      <c r="G262" s="6">
        <v>0.99748999999999999</v>
      </c>
      <c r="H262" s="5">
        <v>0.99929000000000001</v>
      </c>
    </row>
    <row r="263" spans="6:8" x14ac:dyDescent="0.35">
      <c r="F263" s="5">
        <v>23.3</v>
      </c>
      <c r="G263" s="6">
        <v>0.99746999999999997</v>
      </c>
      <c r="H263" s="5">
        <v>0.99926000000000004</v>
      </c>
    </row>
    <row r="264" spans="6:8" x14ac:dyDescent="0.35">
      <c r="F264" s="5">
        <v>23.4</v>
      </c>
      <c r="G264" s="6">
        <v>0.99744999999999995</v>
      </c>
      <c r="H264" s="5">
        <v>0.99924000000000002</v>
      </c>
    </row>
    <row r="265" spans="6:8" x14ac:dyDescent="0.35">
      <c r="F265" s="5">
        <v>23.5</v>
      </c>
      <c r="G265" s="6">
        <v>0.99741999999999997</v>
      </c>
      <c r="H265" s="5">
        <v>0.99921000000000004</v>
      </c>
    </row>
    <row r="266" spans="6:8" x14ac:dyDescent="0.35">
      <c r="F266" s="5">
        <v>23.6</v>
      </c>
      <c r="G266" s="6">
        <v>0.99739999999999995</v>
      </c>
      <c r="H266" s="5">
        <v>0.99919000000000002</v>
      </c>
    </row>
    <row r="267" spans="6:8" x14ac:dyDescent="0.35">
      <c r="F267" s="5">
        <v>23.7</v>
      </c>
      <c r="G267" s="6">
        <v>0.99736999999999998</v>
      </c>
      <c r="H267" s="5">
        <v>0.99917</v>
      </c>
    </row>
    <row r="268" spans="6:8" x14ac:dyDescent="0.35">
      <c r="F268" s="5">
        <v>23.8</v>
      </c>
      <c r="G268" s="6">
        <v>0.99734999999999996</v>
      </c>
      <c r="H268" s="5">
        <v>0.99914000000000003</v>
      </c>
    </row>
    <row r="269" spans="6:8" x14ac:dyDescent="0.35">
      <c r="F269" s="5">
        <v>23.9</v>
      </c>
      <c r="G269" s="6">
        <v>0.99731999999999998</v>
      </c>
      <c r="H269" s="5">
        <v>0.99912000000000001</v>
      </c>
    </row>
    <row r="270" spans="6:8" x14ac:dyDescent="0.35">
      <c r="F270" s="5">
        <v>24</v>
      </c>
      <c r="G270" s="6">
        <v>0.99729999999999996</v>
      </c>
      <c r="H270" s="5">
        <v>0.99909000000000003</v>
      </c>
    </row>
    <row r="271" spans="6:8" x14ac:dyDescent="0.35">
      <c r="F271" s="5">
        <v>24.1</v>
      </c>
      <c r="G271" s="6">
        <v>0.99726999999999999</v>
      </c>
      <c r="H271" s="5">
        <v>0.99907000000000001</v>
      </c>
    </row>
    <row r="272" spans="6:8" x14ac:dyDescent="0.35">
      <c r="F272" s="5">
        <v>24.2</v>
      </c>
      <c r="G272" s="6">
        <v>0.99724999999999997</v>
      </c>
      <c r="H272" s="5">
        <v>0.99904000000000004</v>
      </c>
    </row>
    <row r="273" spans="6:8" x14ac:dyDescent="0.35">
      <c r="F273" s="5">
        <v>24.3</v>
      </c>
      <c r="G273" s="6">
        <v>0.99722999999999995</v>
      </c>
      <c r="H273" s="5">
        <v>0.99902000000000002</v>
      </c>
    </row>
    <row r="274" spans="6:8" x14ac:dyDescent="0.35">
      <c r="F274" s="5">
        <v>24.4</v>
      </c>
      <c r="G274" s="6">
        <v>0.99719999999999998</v>
      </c>
      <c r="H274" s="5">
        <v>0.99899000000000004</v>
      </c>
    </row>
    <row r="275" spans="6:8" x14ac:dyDescent="0.35">
      <c r="F275" s="5">
        <v>24.5</v>
      </c>
      <c r="G275" s="6">
        <v>0.99717</v>
      </c>
      <c r="H275" s="5">
        <v>0.99897000000000002</v>
      </c>
    </row>
    <row r="276" spans="6:8" x14ac:dyDescent="0.35">
      <c r="F276" s="5">
        <v>24.6</v>
      </c>
      <c r="G276" s="6">
        <v>0.99714999999999998</v>
      </c>
      <c r="H276" s="5">
        <v>0.99894000000000005</v>
      </c>
    </row>
    <row r="277" spans="6:8" x14ac:dyDescent="0.35">
      <c r="F277" s="5">
        <v>24.7</v>
      </c>
      <c r="G277" s="6">
        <v>0.99712000000000001</v>
      </c>
      <c r="H277" s="5">
        <v>0.99892000000000003</v>
      </c>
    </row>
    <row r="278" spans="6:8" x14ac:dyDescent="0.35">
      <c r="F278" s="5">
        <v>24.8</v>
      </c>
      <c r="G278" s="6">
        <v>0.99709999999999999</v>
      </c>
      <c r="H278" s="5">
        <v>0.99888999999999994</v>
      </c>
    </row>
    <row r="279" spans="6:8" x14ac:dyDescent="0.35">
      <c r="F279" s="5">
        <v>24.9</v>
      </c>
      <c r="G279" s="6">
        <v>0.99707000000000001</v>
      </c>
      <c r="H279" s="5">
        <v>0.99887000000000004</v>
      </c>
    </row>
    <row r="280" spans="6:8" x14ac:dyDescent="0.35">
      <c r="F280" s="5">
        <v>25</v>
      </c>
      <c r="G280" s="6">
        <v>0.99704999999999999</v>
      </c>
      <c r="H280" s="5">
        <v>0.99883999999999995</v>
      </c>
    </row>
    <row r="281" spans="6:8" x14ac:dyDescent="0.35">
      <c r="F281" s="5">
        <v>25.1</v>
      </c>
      <c r="G281" s="6">
        <v>0.99702000000000002</v>
      </c>
      <c r="H281" s="5">
        <v>0.99880999999999998</v>
      </c>
    </row>
    <row r="282" spans="6:8" x14ac:dyDescent="0.35">
      <c r="F282" s="5">
        <v>25.2</v>
      </c>
      <c r="G282" s="6">
        <v>0.997</v>
      </c>
      <c r="H282" s="5">
        <v>0.99878999999999996</v>
      </c>
    </row>
    <row r="283" spans="6:8" x14ac:dyDescent="0.35">
      <c r="F283" s="5">
        <v>25.3</v>
      </c>
      <c r="G283" s="6">
        <v>0.99697000000000002</v>
      </c>
      <c r="H283" s="5">
        <v>0.99875999999999998</v>
      </c>
    </row>
    <row r="284" spans="6:8" x14ac:dyDescent="0.35">
      <c r="F284" s="5">
        <v>25.4</v>
      </c>
      <c r="G284" s="6">
        <v>0.99694000000000005</v>
      </c>
      <c r="H284" s="5">
        <v>0.99873999999999996</v>
      </c>
    </row>
    <row r="285" spans="6:8" x14ac:dyDescent="0.35">
      <c r="F285" s="5">
        <v>25.5</v>
      </c>
      <c r="G285" s="6">
        <v>0.99692000000000003</v>
      </c>
      <c r="H285" s="5">
        <v>0.99870999999999999</v>
      </c>
    </row>
    <row r="286" spans="6:8" x14ac:dyDescent="0.35">
      <c r="F286" s="5">
        <v>25.6</v>
      </c>
      <c r="G286" s="6">
        <v>0.99689000000000005</v>
      </c>
      <c r="H286" s="5">
        <v>0.99868000000000001</v>
      </c>
    </row>
    <row r="287" spans="6:8" x14ac:dyDescent="0.35">
      <c r="F287" s="5">
        <v>25.7</v>
      </c>
      <c r="G287" s="6">
        <v>0.99687000000000003</v>
      </c>
      <c r="H287" s="5">
        <v>0.99865999999999999</v>
      </c>
    </row>
    <row r="288" spans="6:8" x14ac:dyDescent="0.35">
      <c r="F288" s="5">
        <v>25.8</v>
      </c>
      <c r="G288" s="6">
        <v>0.99683999999999995</v>
      </c>
      <c r="H288" s="5">
        <v>0.99863000000000002</v>
      </c>
    </row>
    <row r="289" spans="6:8" x14ac:dyDescent="0.35">
      <c r="F289" s="5">
        <v>25.9</v>
      </c>
      <c r="G289" s="6">
        <v>0.99680999999999997</v>
      </c>
      <c r="H289" s="5">
        <v>0.99860000000000004</v>
      </c>
    </row>
    <row r="290" spans="6:8" x14ac:dyDescent="0.35">
      <c r="F290" s="5">
        <v>26</v>
      </c>
      <c r="G290" s="6">
        <v>0.99678999999999995</v>
      </c>
      <c r="H290" s="5">
        <v>0.99858000000000002</v>
      </c>
    </row>
    <row r="291" spans="6:8" x14ac:dyDescent="0.35">
      <c r="F291" s="5">
        <v>26.1</v>
      </c>
      <c r="G291" s="6">
        <v>0.99675999999999998</v>
      </c>
      <c r="H291" s="5">
        <v>0.99855000000000005</v>
      </c>
    </row>
    <row r="292" spans="6:8" x14ac:dyDescent="0.35">
      <c r="F292" s="5">
        <v>26.2</v>
      </c>
      <c r="G292" s="6">
        <v>0.99673</v>
      </c>
      <c r="H292" s="5">
        <v>0.99851999999999996</v>
      </c>
    </row>
    <row r="293" spans="6:8" x14ac:dyDescent="0.35">
      <c r="F293" s="5">
        <v>26.3</v>
      </c>
      <c r="G293" s="6">
        <v>0.99670999999999998</v>
      </c>
      <c r="H293" s="5">
        <v>0.99850000000000005</v>
      </c>
    </row>
    <row r="294" spans="6:8" x14ac:dyDescent="0.35">
      <c r="F294" s="5">
        <v>26.4</v>
      </c>
      <c r="G294" s="6">
        <v>0.99668000000000001</v>
      </c>
      <c r="H294" s="5">
        <v>0.99846999999999997</v>
      </c>
    </row>
    <row r="295" spans="6:8" x14ac:dyDescent="0.35">
      <c r="F295" s="5">
        <v>26.5</v>
      </c>
      <c r="G295" s="6">
        <v>0.99665000000000004</v>
      </c>
      <c r="H295" s="5">
        <v>0.99843999999999999</v>
      </c>
    </row>
    <row r="296" spans="6:8" x14ac:dyDescent="0.35">
      <c r="F296" s="5">
        <v>26.6</v>
      </c>
      <c r="G296" s="6">
        <v>0.99663000000000002</v>
      </c>
      <c r="H296" s="5">
        <v>0.99841999999999997</v>
      </c>
    </row>
    <row r="297" spans="6:8" x14ac:dyDescent="0.35">
      <c r="F297" s="5">
        <v>26.7</v>
      </c>
      <c r="G297" s="6">
        <v>0.99660000000000004</v>
      </c>
      <c r="H297" s="5">
        <v>0.99839</v>
      </c>
    </row>
    <row r="298" spans="6:8" x14ac:dyDescent="0.35">
      <c r="F298" s="5">
        <v>26.8</v>
      </c>
      <c r="G298" s="6">
        <v>0.99656999999999996</v>
      </c>
      <c r="H298" s="5">
        <v>0.99836000000000003</v>
      </c>
    </row>
    <row r="299" spans="6:8" x14ac:dyDescent="0.35">
      <c r="F299" s="5">
        <v>26.9</v>
      </c>
      <c r="G299" s="6">
        <v>0.99653999999999998</v>
      </c>
      <c r="H299" s="5">
        <v>0.99833000000000005</v>
      </c>
    </row>
    <row r="300" spans="6:8" x14ac:dyDescent="0.35">
      <c r="F300" s="5">
        <v>27</v>
      </c>
      <c r="G300" s="6">
        <v>0.99651999999999996</v>
      </c>
      <c r="H300" s="5">
        <v>0.99831000000000003</v>
      </c>
    </row>
    <row r="301" spans="6:8" x14ac:dyDescent="0.35">
      <c r="F301" s="5">
        <v>27.1</v>
      </c>
      <c r="G301" s="6">
        <v>0.99648999999999999</v>
      </c>
      <c r="H301" s="5">
        <v>0.99827999999999995</v>
      </c>
    </row>
    <row r="302" spans="6:8" x14ac:dyDescent="0.35">
      <c r="F302" s="5">
        <v>27.2</v>
      </c>
      <c r="G302" s="6">
        <v>0.99646000000000001</v>
      </c>
      <c r="H302" s="5">
        <v>0.99824999999999997</v>
      </c>
    </row>
    <row r="303" spans="6:8" x14ac:dyDescent="0.35">
      <c r="F303" s="5">
        <v>27.3</v>
      </c>
      <c r="G303" s="6">
        <v>0.99643000000000004</v>
      </c>
      <c r="H303" s="5">
        <v>0.99822</v>
      </c>
    </row>
    <row r="304" spans="6:8" x14ac:dyDescent="0.35">
      <c r="F304" s="5">
        <v>27.4</v>
      </c>
      <c r="G304" s="6">
        <v>0.99641000000000002</v>
      </c>
      <c r="H304" s="5">
        <v>0.99819999999999998</v>
      </c>
    </row>
    <row r="305" spans="6:8" x14ac:dyDescent="0.35">
      <c r="F305" s="5">
        <v>27.5</v>
      </c>
      <c r="G305" s="6">
        <v>0.99638000000000004</v>
      </c>
      <c r="H305" s="5">
        <v>0.99817</v>
      </c>
    </row>
    <row r="306" spans="6:8" x14ac:dyDescent="0.35">
      <c r="F306" s="5">
        <v>27.6</v>
      </c>
      <c r="G306" s="6">
        <v>0.99634999999999996</v>
      </c>
      <c r="H306" s="5">
        <v>0.99814000000000003</v>
      </c>
    </row>
    <row r="307" spans="6:8" x14ac:dyDescent="0.35">
      <c r="F307" s="5">
        <v>27.7</v>
      </c>
      <c r="G307" s="6">
        <v>0.99631999999999998</v>
      </c>
      <c r="H307" s="5">
        <v>0.99811000000000005</v>
      </c>
    </row>
    <row r="308" spans="6:8" x14ac:dyDescent="0.35">
      <c r="F308" s="5">
        <v>27.8</v>
      </c>
      <c r="G308" s="6">
        <v>0.99629000000000001</v>
      </c>
      <c r="H308" s="5">
        <v>0.99807999999999997</v>
      </c>
    </row>
    <row r="309" spans="6:8" x14ac:dyDescent="0.35">
      <c r="F309" s="5">
        <v>27.9</v>
      </c>
      <c r="G309" s="6">
        <v>0.99626999999999999</v>
      </c>
      <c r="H309" s="5">
        <v>0.99805999999999995</v>
      </c>
    </row>
    <row r="310" spans="6:8" x14ac:dyDescent="0.35">
      <c r="F310" s="5">
        <v>28</v>
      </c>
      <c r="G310" s="6">
        <v>0.99624000000000001</v>
      </c>
      <c r="H310" s="5">
        <v>0.99802999999999997</v>
      </c>
    </row>
    <row r="311" spans="6:8" x14ac:dyDescent="0.35">
      <c r="F311" s="5">
        <v>28.1</v>
      </c>
      <c r="G311" s="6">
        <v>0.99621000000000004</v>
      </c>
      <c r="H311" s="5">
        <v>0.998</v>
      </c>
    </row>
    <row r="312" spans="6:8" x14ac:dyDescent="0.35">
      <c r="F312" s="5">
        <v>28.2</v>
      </c>
      <c r="G312" s="6">
        <v>0.99617999999999995</v>
      </c>
      <c r="H312" s="5">
        <v>0.99797000000000002</v>
      </c>
    </row>
    <row r="313" spans="6:8" x14ac:dyDescent="0.35">
      <c r="F313" s="5">
        <v>28.3</v>
      </c>
      <c r="G313" s="6">
        <v>0.99614999999999998</v>
      </c>
      <c r="H313" s="5">
        <v>0.99794000000000005</v>
      </c>
    </row>
    <row r="314" spans="6:8" x14ac:dyDescent="0.35">
      <c r="F314" s="5">
        <v>28.4</v>
      </c>
      <c r="G314" s="6">
        <v>0.99612000000000001</v>
      </c>
      <c r="H314" s="5">
        <v>0.99790999999999996</v>
      </c>
    </row>
    <row r="315" spans="6:8" x14ac:dyDescent="0.35">
      <c r="F315" s="5">
        <v>28.5</v>
      </c>
      <c r="G315" s="6">
        <v>0.99609000000000003</v>
      </c>
      <c r="H315" s="5">
        <v>0.99787999999999999</v>
      </c>
    </row>
    <row r="316" spans="6:8" x14ac:dyDescent="0.35">
      <c r="F316" s="5">
        <v>28.6</v>
      </c>
      <c r="G316" s="6">
        <v>0.99607000000000001</v>
      </c>
      <c r="H316" s="5">
        <v>0.99785000000000001</v>
      </c>
    </row>
    <row r="317" spans="6:8" x14ac:dyDescent="0.35">
      <c r="F317" s="5">
        <v>28.7</v>
      </c>
      <c r="G317" s="6">
        <v>0.99604000000000004</v>
      </c>
      <c r="H317" s="5">
        <v>0.99782999999999999</v>
      </c>
    </row>
    <row r="318" spans="6:8" x14ac:dyDescent="0.35">
      <c r="F318" s="5">
        <v>28.8</v>
      </c>
      <c r="G318" s="6">
        <v>0.99600999999999995</v>
      </c>
      <c r="H318" s="5">
        <v>0.99780000000000002</v>
      </c>
    </row>
    <row r="319" spans="6:8" x14ac:dyDescent="0.35">
      <c r="F319" s="5">
        <v>28.9</v>
      </c>
      <c r="G319" s="6">
        <v>0.99597999999999998</v>
      </c>
      <c r="H319" s="5">
        <v>0.99777000000000005</v>
      </c>
    </row>
    <row r="320" spans="6:8" x14ac:dyDescent="0.35">
      <c r="F320" s="5">
        <v>29</v>
      </c>
      <c r="G320" s="6">
        <v>0.99595</v>
      </c>
      <c r="H320" s="5">
        <v>0.99773999999999996</v>
      </c>
    </row>
    <row r="321" spans="6:8" x14ac:dyDescent="0.35">
      <c r="F321" s="5">
        <v>29.099999999999898</v>
      </c>
      <c r="G321" s="6">
        <v>0.99592000000000003</v>
      </c>
      <c r="H321" s="5">
        <v>0.99770999999999999</v>
      </c>
    </row>
    <row r="322" spans="6:8" x14ac:dyDescent="0.35">
      <c r="F322" s="5">
        <v>29.1999999999999</v>
      </c>
      <c r="G322" s="6">
        <v>0.99589000000000005</v>
      </c>
      <c r="H322" s="5">
        <v>0.99768000000000001</v>
      </c>
    </row>
    <row r="323" spans="6:8" x14ac:dyDescent="0.35">
      <c r="F323" s="5">
        <v>29.299999999999901</v>
      </c>
      <c r="G323" s="6">
        <v>0.99585999999999997</v>
      </c>
      <c r="H323" s="5">
        <v>0.99765000000000004</v>
      </c>
    </row>
    <row r="324" spans="6:8" x14ac:dyDescent="0.35">
      <c r="F324" s="5">
        <v>29.399999999999899</v>
      </c>
      <c r="G324" s="6">
        <v>0.99582999999999999</v>
      </c>
      <c r="H324" s="5">
        <v>0.99761999999999995</v>
      </c>
    </row>
    <row r="325" spans="6:8" x14ac:dyDescent="0.35">
      <c r="F325" s="5">
        <v>29.499999999999901</v>
      </c>
      <c r="G325" s="6">
        <v>0.99580000000000002</v>
      </c>
      <c r="H325" s="5">
        <v>0.99758999999999998</v>
      </c>
    </row>
    <row r="326" spans="6:8" x14ac:dyDescent="0.35">
      <c r="F326" s="5">
        <v>29.599999999999898</v>
      </c>
      <c r="G326" s="6">
        <v>0.99577000000000004</v>
      </c>
      <c r="H326" s="5">
        <v>0.99756</v>
      </c>
    </row>
    <row r="327" spans="6:8" x14ac:dyDescent="0.35">
      <c r="F327" s="5">
        <v>29.6999999999999</v>
      </c>
      <c r="G327" s="6">
        <v>0.99573999999999996</v>
      </c>
      <c r="H327" s="5">
        <v>0.99753000000000003</v>
      </c>
    </row>
    <row r="328" spans="6:8" x14ac:dyDescent="0.35">
      <c r="F328" s="5">
        <v>29.799999999999901</v>
      </c>
      <c r="G328" s="6">
        <v>0.99570999999999998</v>
      </c>
      <c r="H328" s="5">
        <v>0.99750000000000005</v>
      </c>
    </row>
    <row r="329" spans="6:8" x14ac:dyDescent="0.35">
      <c r="F329" s="5">
        <v>29.899999999999899</v>
      </c>
      <c r="G329" s="6">
        <v>0.99568000000000001</v>
      </c>
      <c r="H329" s="5">
        <v>0.99746999999999997</v>
      </c>
    </row>
    <row r="330" spans="6:8" x14ac:dyDescent="0.35">
      <c r="F330" s="5">
        <v>29.999999999999901</v>
      </c>
      <c r="G330" s="6">
        <v>0.99565000000000003</v>
      </c>
      <c r="H330" s="5">
        <v>0.99743999999999999</v>
      </c>
    </row>
    <row r="331" spans="6:8" x14ac:dyDescent="0.35">
      <c r="F331" s="5">
        <v>30.099999999999898</v>
      </c>
      <c r="G331" s="6">
        <v>0.99561999999999995</v>
      </c>
      <c r="H331" s="5">
        <v>0.99741000000000002</v>
      </c>
    </row>
    <row r="332" spans="6:8" x14ac:dyDescent="0.35">
      <c r="F332" s="5">
        <v>30.1999999999999</v>
      </c>
      <c r="G332" s="6">
        <v>0.99558999999999997</v>
      </c>
      <c r="H332" s="5">
        <v>0.99738000000000004</v>
      </c>
    </row>
    <row r="333" spans="6:8" x14ac:dyDescent="0.35">
      <c r="F333" s="5">
        <v>30.299999999999901</v>
      </c>
      <c r="G333" s="6">
        <v>0.995559999999999</v>
      </c>
      <c r="H333" s="5">
        <v>0.99734999999999996</v>
      </c>
    </row>
    <row r="334" spans="6:8" x14ac:dyDescent="0.35">
      <c r="F334" s="5">
        <v>30.399999999999899</v>
      </c>
      <c r="G334" s="6">
        <v>0.99552999999999903</v>
      </c>
      <c r="H334" s="5">
        <v>0.99731999999999998</v>
      </c>
    </row>
    <row r="335" spans="6:8" x14ac:dyDescent="0.35">
      <c r="F335" s="5">
        <v>30.499999999999901</v>
      </c>
      <c r="G335" s="6">
        <v>0.99549999999999905</v>
      </c>
      <c r="H335" s="5">
        <v>0.99729000000000001</v>
      </c>
    </row>
    <row r="336" spans="6:8" x14ac:dyDescent="0.35">
      <c r="F336" s="5">
        <v>30.599999999999898</v>
      </c>
      <c r="G336" s="6">
        <v>0.99546999999999897</v>
      </c>
      <c r="H336" s="5">
        <v>0.99726000000000004</v>
      </c>
    </row>
    <row r="337" spans="6:8" x14ac:dyDescent="0.35">
      <c r="F337" s="5">
        <v>30.6999999999999</v>
      </c>
      <c r="G337" s="6">
        <v>0.99543999999999899</v>
      </c>
      <c r="H337" s="5">
        <v>0.99722999999999995</v>
      </c>
    </row>
    <row r="338" spans="6:8" x14ac:dyDescent="0.35">
      <c r="F338" s="5">
        <v>30.799999999999901</v>
      </c>
      <c r="G338" s="6">
        <v>0.99540999999999902</v>
      </c>
      <c r="H338" s="5">
        <v>0.99719999999999998</v>
      </c>
    </row>
    <row r="339" spans="6:8" x14ac:dyDescent="0.35">
      <c r="F339" s="5">
        <v>30.899999999999899</v>
      </c>
      <c r="G339" s="6">
        <v>0.99537999999999904</v>
      </c>
      <c r="H339" s="5">
        <v>0.99716000000000005</v>
      </c>
    </row>
  </sheetData>
  <sheetProtection insertColumns="0" insertRows="0" deleteColumns="0" deleteRows="0"/>
  <mergeCells count="66">
    <mergeCell ref="F177:H178"/>
    <mergeCell ref="B23:C23"/>
    <mergeCell ref="C69:D74"/>
    <mergeCell ref="J45:L46"/>
    <mergeCell ref="F27:G27"/>
    <mergeCell ref="B45:D45"/>
    <mergeCell ref="F26:G26"/>
    <mergeCell ref="A64:L66"/>
    <mergeCell ref="A63:L63"/>
    <mergeCell ref="J48:J49"/>
    <mergeCell ref="K48:K49"/>
    <mergeCell ref="L48:L49"/>
    <mergeCell ref="B53:C53"/>
    <mergeCell ref="B54:C54"/>
    <mergeCell ref="F29:G29"/>
    <mergeCell ref="F28:G28"/>
    <mergeCell ref="K1:L1"/>
    <mergeCell ref="K2:L2"/>
    <mergeCell ref="K3:L3"/>
    <mergeCell ref="K4:L4"/>
    <mergeCell ref="C6:H6"/>
    <mergeCell ref="A1:C4"/>
    <mergeCell ref="D1:J1"/>
    <mergeCell ref="D2:J4"/>
    <mergeCell ref="B5:K5"/>
    <mergeCell ref="J6:L6"/>
    <mergeCell ref="C7:H7"/>
    <mergeCell ref="C8:H8"/>
    <mergeCell ref="C9:H9"/>
    <mergeCell ref="C10:H10"/>
    <mergeCell ref="J8:L8"/>
    <mergeCell ref="J7:L7"/>
    <mergeCell ref="F19:G19"/>
    <mergeCell ref="F20:G20"/>
    <mergeCell ref="F21:G21"/>
    <mergeCell ref="C13:L13"/>
    <mergeCell ref="J10:L10"/>
    <mergeCell ref="B11:K11"/>
    <mergeCell ref="D12:E12"/>
    <mergeCell ref="F16:K17"/>
    <mergeCell ref="B16:D16"/>
    <mergeCell ref="F18:G18"/>
    <mergeCell ref="B47:B48"/>
    <mergeCell ref="G48:G49"/>
    <mergeCell ref="F48:F49"/>
    <mergeCell ref="F45:F47"/>
    <mergeCell ref="G45:I46"/>
    <mergeCell ref="C47:C48"/>
    <mergeCell ref="D47:D48"/>
    <mergeCell ref="I48:I49"/>
    <mergeCell ref="F22:G22"/>
    <mergeCell ref="F23:G23"/>
    <mergeCell ref="F24:G24"/>
    <mergeCell ref="F25:G25"/>
    <mergeCell ref="H61:I61"/>
    <mergeCell ref="H60:I60"/>
    <mergeCell ref="H48:H49"/>
    <mergeCell ref="K60:L60"/>
    <mergeCell ref="K61:L61"/>
    <mergeCell ref="K55:L55"/>
    <mergeCell ref="K59:L59"/>
    <mergeCell ref="B56:D56"/>
    <mergeCell ref="C57:D57"/>
    <mergeCell ref="C58:D58"/>
    <mergeCell ref="H55:I55"/>
    <mergeCell ref="C61:G61"/>
  </mergeCells>
  <conditionalFormatting sqref="B6:C10 I6:I10 K9:L9 B12:D12 F12:G12 I12:L12 B13:C13">
    <cfRule type="containsBlanks" dxfId="40" priority="18">
      <formula>LEN(TRIM(B6))=0</formula>
    </cfRule>
  </conditionalFormatting>
  <conditionalFormatting sqref="C57:D58">
    <cfRule type="containsBlanks" dxfId="39" priority="7">
      <formula>LEN(TRIM(C57))=0</formula>
    </cfRule>
  </conditionalFormatting>
  <conditionalFormatting sqref="D17:D19">
    <cfRule type="containsBlanks" dxfId="38" priority="11">
      <formula>LEN(TRIM(D17))=0</formula>
    </cfRule>
  </conditionalFormatting>
  <conditionalFormatting sqref="D24:D28">
    <cfRule type="containsBlanks" dxfId="37" priority="1">
      <formula>LEN(TRIM(D24))=0</formula>
    </cfRule>
  </conditionalFormatting>
  <conditionalFormatting sqref="D49:D51">
    <cfRule type="containsBlanks" dxfId="36" priority="12">
      <formula>LEN(TRIM(D49))=0</formula>
    </cfRule>
  </conditionalFormatting>
  <conditionalFormatting sqref="G48:L52">
    <cfRule type="containsBlanks" dxfId="35" priority="2">
      <formula>LEN(TRIM(G48))=0</formula>
    </cfRule>
  </conditionalFormatting>
  <conditionalFormatting sqref="I19:K19">
    <cfRule type="containsBlanks" dxfId="34" priority="9">
      <formula>LEN(TRIM(I19))=0</formula>
    </cfRule>
  </conditionalFormatting>
  <conditionalFormatting sqref="I21:K21">
    <cfRule type="cellIs" dxfId="33" priority="19" operator="greaterThan">
      <formula>100</formula>
    </cfRule>
  </conditionalFormatting>
  <conditionalFormatting sqref="J7:J8">
    <cfRule type="containsBlanks" dxfId="32" priority="4">
      <formula>LEN(TRIM(J7))=0</formula>
    </cfRule>
  </conditionalFormatting>
  <conditionalFormatting sqref="J6:L6">
    <cfRule type="containsBlanks" dxfId="31" priority="6">
      <formula>LEN(TRIM(J6))=0</formula>
    </cfRule>
  </conditionalFormatting>
  <dataValidations count="3">
    <dataValidation type="list" allowBlank="1" showInputMessage="1" showErrorMessage="1" sqref="C12" xr:uid="{00000000-0002-0000-0000-000000000000}">
      <formula1>$Q$6:$Q$13</formula1>
    </dataValidation>
    <dataValidation type="list" allowBlank="1" showInputMessage="1" showErrorMessage="1" sqref="C57" xr:uid="{00000000-0002-0000-0000-000001000000}">
      <formula1>"CONSOLIDADO DRENADO (CD), NO CONSOLIDADO NO DRENADO (UU), CONSOLIDADO NO DRENADO (CU)"</formula1>
    </dataValidation>
    <dataValidation type="list" allowBlank="1" showInputMessage="1" showErrorMessage="1" sqref="C58:D58" xr:uid="{00000000-0002-0000-0000-000002000000}">
      <formula1>"INALTERADA, REMOLDEADA, COMPACTADA "</formula1>
    </dataValidation>
  </dataValidations>
  <printOptions horizontalCentered="1" verticalCentered="1"/>
  <pageMargins left="0.25" right="0.25" top="0.75" bottom="0.75" header="0.3" footer="0.3"/>
  <pageSetup scale="35" orientation="landscape" r:id="rId1"/>
  <headerFooter>
    <oddFooter>&amp;CGEODELTA S.A.S. Calle 68 B bis No 70 C 95, Móvil: 318 7902368 Bogotá DC - Colombia
e-mail: laboratoriogeodelta@gmail.com</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73"/>
  <sheetViews>
    <sheetView view="pageBreakPreview" zoomScale="78" zoomScaleNormal="85" zoomScaleSheetLayoutView="78" zoomScalePageLayoutView="40" workbookViewId="0">
      <selection activeCell="N47" sqref="N47"/>
    </sheetView>
  </sheetViews>
  <sheetFormatPr baseColWidth="10" defaultColWidth="11.42578125" defaultRowHeight="15" x14ac:dyDescent="0.2"/>
  <cols>
    <col min="1" max="1" width="20.28515625" style="55" customWidth="1"/>
    <col min="2" max="7" width="29.140625" style="55" customWidth="1"/>
    <col min="8" max="8" width="29.140625" style="58" customWidth="1"/>
    <col min="9" max="9" width="29.140625" style="55" customWidth="1"/>
    <col min="10" max="10" width="29" style="55" customWidth="1"/>
    <col min="11" max="11" width="21.85546875" style="55" customWidth="1"/>
    <col min="12" max="12" width="5.28515625" style="55" customWidth="1"/>
    <col min="13" max="13" width="18.28515625" style="55" customWidth="1"/>
    <col min="14" max="15" width="27.7109375" style="55" customWidth="1"/>
    <col min="16" max="16" width="13.140625" style="55" customWidth="1"/>
    <col min="17" max="17" width="24.28515625" style="55" customWidth="1"/>
    <col min="18" max="18" width="17.28515625" style="55" bestFit="1" customWidth="1"/>
    <col min="19" max="16384" width="11.42578125" style="55"/>
  </cols>
  <sheetData>
    <row r="1" spans="1:30" s="20" customFormat="1" ht="23.25" customHeight="1" x14ac:dyDescent="0.25">
      <c r="A1" s="497"/>
      <c r="B1" s="498"/>
      <c r="C1" s="498"/>
      <c r="D1" s="503" t="s">
        <v>82</v>
      </c>
      <c r="E1" s="503"/>
      <c r="F1" s="503"/>
      <c r="G1" s="503"/>
      <c r="H1" s="503"/>
      <c r="I1" s="503"/>
      <c r="J1" s="563"/>
      <c r="K1" s="564" t="str">
        <f>'1'!K1</f>
        <v>Código: GDA-FLC-007</v>
      </c>
      <c r="L1" s="565"/>
      <c r="M1" s="566"/>
      <c r="Q1" s="31" t="str">
        <f>C12</f>
        <v xml:space="preserve">SONDEO     </v>
      </c>
      <c r="R1" s="21"/>
      <c r="S1" s="21"/>
      <c r="T1" s="21"/>
      <c r="U1" s="21"/>
      <c r="V1" s="21"/>
      <c r="W1" s="21"/>
      <c r="X1" s="21"/>
      <c r="Y1" s="21"/>
      <c r="Z1" s="21"/>
      <c r="AA1" s="21"/>
      <c r="AB1" s="21"/>
      <c r="AC1" s="21"/>
    </row>
    <row r="2" spans="1:30" s="20" customFormat="1" ht="23.25" customHeight="1" x14ac:dyDescent="0.25">
      <c r="A2" s="499"/>
      <c r="B2" s="500"/>
      <c r="C2" s="500"/>
      <c r="D2" s="436" t="s">
        <v>101</v>
      </c>
      <c r="E2" s="436"/>
      <c r="F2" s="436"/>
      <c r="G2" s="436"/>
      <c r="H2" s="436"/>
      <c r="I2" s="436"/>
      <c r="J2" s="567"/>
      <c r="K2" s="569" t="str">
        <f>'1'!K2</f>
        <v>Versión :02</v>
      </c>
      <c r="L2" s="570"/>
      <c r="M2" s="571"/>
      <c r="Q2" s="21"/>
      <c r="R2" s="21"/>
      <c r="S2" s="21"/>
      <c r="T2" s="21"/>
      <c r="U2" s="21"/>
      <c r="V2" s="21"/>
      <c r="W2" s="21"/>
      <c r="X2" s="21"/>
      <c r="Y2" s="21"/>
      <c r="Z2" s="21"/>
      <c r="AA2" s="21"/>
      <c r="AB2" s="21"/>
      <c r="AC2" s="21"/>
    </row>
    <row r="3" spans="1:30" s="20" customFormat="1" ht="23.25" customHeight="1" x14ac:dyDescent="0.25">
      <c r="A3" s="499"/>
      <c r="B3" s="500"/>
      <c r="C3" s="500"/>
      <c r="D3" s="436"/>
      <c r="E3" s="436"/>
      <c r="F3" s="436"/>
      <c r="G3" s="436"/>
      <c r="H3" s="436"/>
      <c r="I3" s="436"/>
      <c r="J3" s="567"/>
      <c r="K3" s="569" t="s">
        <v>141</v>
      </c>
      <c r="L3" s="570"/>
      <c r="M3" s="571"/>
      <c r="P3" s="590"/>
      <c r="Q3" s="590"/>
      <c r="R3" s="590"/>
      <c r="S3" s="590"/>
      <c r="T3" s="590"/>
      <c r="U3" s="21"/>
      <c r="V3" s="21"/>
      <c r="W3" s="21"/>
      <c r="X3" s="21"/>
      <c r="Y3" s="21"/>
      <c r="Z3" s="21"/>
      <c r="AA3" s="21"/>
      <c r="AB3" s="21"/>
      <c r="AC3" s="21"/>
    </row>
    <row r="4" spans="1:30" s="20" customFormat="1" ht="23.25" customHeight="1" thickBot="1" x14ac:dyDescent="0.3">
      <c r="A4" s="501"/>
      <c r="B4" s="502"/>
      <c r="C4" s="502"/>
      <c r="D4" s="504"/>
      <c r="E4" s="504"/>
      <c r="F4" s="504"/>
      <c r="G4" s="504"/>
      <c r="H4" s="504"/>
      <c r="I4" s="504"/>
      <c r="J4" s="568"/>
      <c r="K4" s="572" t="s">
        <v>159</v>
      </c>
      <c r="L4" s="573"/>
      <c r="M4" s="574"/>
      <c r="P4" s="22"/>
      <c r="Q4" s="22"/>
      <c r="R4" s="22"/>
      <c r="S4" s="22" t="s">
        <v>83</v>
      </c>
      <c r="T4" s="21"/>
      <c r="U4" s="21"/>
      <c r="V4" s="21"/>
      <c r="W4" s="21"/>
      <c r="X4" s="21"/>
      <c r="Y4" s="21"/>
      <c r="Z4" s="21"/>
      <c r="AA4" s="21"/>
      <c r="AB4" s="21"/>
      <c r="AC4" s="21"/>
    </row>
    <row r="5" spans="1:30" s="20" customFormat="1" ht="3.95" customHeight="1" thickBot="1" x14ac:dyDescent="0.3">
      <c r="A5" s="23"/>
      <c r="B5" s="500"/>
      <c r="C5" s="500"/>
      <c r="D5" s="500"/>
      <c r="E5" s="500"/>
      <c r="F5" s="500"/>
      <c r="G5" s="500"/>
      <c r="H5" s="500"/>
      <c r="I5" s="500"/>
      <c r="J5" s="500"/>
      <c r="K5" s="500"/>
      <c r="L5" s="300"/>
      <c r="M5" s="209"/>
      <c r="Q5" s="22"/>
      <c r="R5" s="22"/>
      <c r="S5" s="22"/>
      <c r="T5" s="22"/>
      <c r="U5" s="21"/>
      <c r="V5" s="21"/>
      <c r="W5" s="21"/>
      <c r="X5" s="21"/>
      <c r="Y5" s="21"/>
      <c r="Z5" s="21"/>
      <c r="AA5" s="21"/>
      <c r="AB5" s="21"/>
      <c r="AC5" s="21"/>
      <c r="AD5" s="21"/>
    </row>
    <row r="6" spans="1:30" s="20" customFormat="1" ht="29.25" customHeight="1" x14ac:dyDescent="0.25">
      <c r="A6" s="540" t="s">
        <v>11</v>
      </c>
      <c r="B6" s="541"/>
      <c r="C6" s="496">
        <f>'1'!C6</f>
        <v>0</v>
      </c>
      <c r="D6" s="496"/>
      <c r="E6" s="496"/>
      <c r="F6" s="496"/>
      <c r="G6" s="496"/>
      <c r="H6" s="496"/>
      <c r="I6" s="204" t="s">
        <v>84</v>
      </c>
      <c r="J6" s="544">
        <f>'1'!J6</f>
        <v>0</v>
      </c>
      <c r="K6" s="544"/>
      <c r="L6" s="544"/>
      <c r="M6" s="545"/>
      <c r="R6" s="21"/>
      <c r="S6" s="25" t="s">
        <v>85</v>
      </c>
      <c r="T6" s="21"/>
      <c r="U6" s="21"/>
      <c r="V6" s="21"/>
      <c r="W6" s="21"/>
      <c r="X6" s="21"/>
      <c r="Y6" s="21"/>
      <c r="Z6" s="21"/>
      <c r="AA6" s="21"/>
      <c r="AB6" s="21"/>
      <c r="AC6" s="21"/>
      <c r="AD6" s="21"/>
    </row>
    <row r="7" spans="1:30" s="20" customFormat="1" ht="32.25" customHeight="1" x14ac:dyDescent="0.25">
      <c r="A7" s="542" t="s">
        <v>12</v>
      </c>
      <c r="B7" s="543"/>
      <c r="C7" s="484">
        <f>'1'!C7</f>
        <v>0</v>
      </c>
      <c r="D7" s="484"/>
      <c r="E7" s="484"/>
      <c r="F7" s="484"/>
      <c r="G7" s="484"/>
      <c r="H7" s="484"/>
      <c r="I7" s="230" t="s">
        <v>86</v>
      </c>
      <c r="J7" s="550">
        <f>'1'!J7</f>
        <v>0</v>
      </c>
      <c r="K7" s="550"/>
      <c r="L7" s="550"/>
      <c r="M7" s="551"/>
      <c r="R7" s="21"/>
      <c r="S7" s="25" t="s">
        <v>87</v>
      </c>
      <c r="T7" s="21"/>
      <c r="U7" s="21"/>
      <c r="V7" s="21"/>
      <c r="W7" s="21"/>
      <c r="X7" s="21"/>
      <c r="Y7" s="21"/>
      <c r="Z7" s="21"/>
      <c r="AA7" s="21"/>
      <c r="AB7" s="21"/>
      <c r="AC7" s="21"/>
      <c r="AD7" s="21"/>
    </row>
    <row r="8" spans="1:30" s="20" customFormat="1" ht="22.5" customHeight="1" x14ac:dyDescent="0.25">
      <c r="A8" s="542" t="s">
        <v>88</v>
      </c>
      <c r="B8" s="543"/>
      <c r="C8" s="539">
        <f>'1'!C8</f>
        <v>0</v>
      </c>
      <c r="D8" s="484"/>
      <c r="E8" s="484"/>
      <c r="F8" s="484"/>
      <c r="G8" s="484"/>
      <c r="H8" s="484"/>
      <c r="I8" s="230" t="s">
        <v>89</v>
      </c>
      <c r="J8" s="550">
        <f>'1'!J8</f>
        <v>0</v>
      </c>
      <c r="K8" s="550"/>
      <c r="L8" s="550"/>
      <c r="M8" s="551"/>
      <c r="P8" s="20">
        <f>17-2.57</f>
        <v>14.43</v>
      </c>
      <c r="R8" s="21"/>
      <c r="S8" s="25" t="s">
        <v>90</v>
      </c>
      <c r="T8" s="21"/>
      <c r="U8" s="21"/>
      <c r="V8" s="21"/>
      <c r="W8" s="21"/>
      <c r="X8" s="21"/>
      <c r="Y8" s="21"/>
      <c r="Z8" s="21"/>
      <c r="AA8" s="21"/>
      <c r="AB8" s="21"/>
      <c r="AC8" s="21"/>
      <c r="AD8" s="21"/>
    </row>
    <row r="9" spans="1:30" s="20" customFormat="1" ht="27" customHeight="1" x14ac:dyDescent="0.25">
      <c r="A9" s="542" t="s">
        <v>91</v>
      </c>
      <c r="B9" s="543"/>
      <c r="C9" s="487">
        <f>'1'!C9</f>
        <v>0</v>
      </c>
      <c r="D9" s="487"/>
      <c r="E9" s="487"/>
      <c r="F9" s="487"/>
      <c r="G9" s="487"/>
      <c r="H9" s="487"/>
      <c r="I9" s="230" t="s">
        <v>92</v>
      </c>
      <c r="J9" s="26" t="s">
        <v>93</v>
      </c>
      <c r="K9" s="265" t="s">
        <v>161</v>
      </c>
      <c r="L9" s="203" t="s">
        <v>20</v>
      </c>
      <c r="M9" s="302">
        <f>'1'!L9</f>
        <v>0</v>
      </c>
      <c r="R9" s="21"/>
      <c r="S9" s="25" t="s">
        <v>94</v>
      </c>
      <c r="T9" s="21"/>
      <c r="U9" s="21"/>
      <c r="V9" s="21"/>
      <c r="W9" s="21"/>
      <c r="X9" s="21"/>
      <c r="Y9" s="21"/>
      <c r="Z9" s="21"/>
      <c r="AA9" s="21"/>
      <c r="AB9" s="21"/>
      <c r="AC9" s="21"/>
      <c r="AD9" s="21"/>
    </row>
    <row r="10" spans="1:30" s="20" customFormat="1" ht="27.75" customHeight="1" x14ac:dyDescent="0.25">
      <c r="A10" s="542" t="s">
        <v>95</v>
      </c>
      <c r="B10" s="543"/>
      <c r="C10" s="487" t="s">
        <v>148</v>
      </c>
      <c r="D10" s="487"/>
      <c r="E10" s="487"/>
      <c r="F10" s="487"/>
      <c r="G10" s="487"/>
      <c r="H10" s="487"/>
      <c r="I10" s="208" t="s">
        <v>96</v>
      </c>
      <c r="J10" s="552" t="str">
        <f>'1'!J10</f>
        <v xml:space="preserve"> --</v>
      </c>
      <c r="K10" s="552"/>
      <c r="L10" s="552"/>
      <c r="M10" s="553"/>
      <c r="R10" s="21"/>
      <c r="S10" s="25" t="s">
        <v>97</v>
      </c>
      <c r="T10" s="21"/>
      <c r="U10" s="21"/>
      <c r="V10" s="21"/>
      <c r="W10" s="21"/>
      <c r="X10" s="21"/>
      <c r="Y10" s="21"/>
      <c r="Z10" s="21"/>
      <c r="AA10" s="21"/>
      <c r="AB10" s="21"/>
      <c r="AC10" s="21"/>
      <c r="AD10" s="21"/>
    </row>
    <row r="11" spans="1:30" s="20" customFormat="1" ht="3.95" customHeight="1" thickBot="1" x14ac:dyDescent="0.3">
      <c r="A11" s="23"/>
      <c r="B11" s="561"/>
      <c r="C11" s="561"/>
      <c r="D11" s="561"/>
      <c r="E11" s="561"/>
      <c r="F11" s="561"/>
      <c r="G11" s="561"/>
      <c r="H11" s="561"/>
      <c r="I11" s="561"/>
      <c r="J11" s="561"/>
      <c r="K11" s="561"/>
      <c r="L11" s="323"/>
      <c r="M11" s="211"/>
      <c r="R11" s="21"/>
      <c r="S11" s="25"/>
      <c r="T11" s="21"/>
      <c r="U11" s="21"/>
      <c r="V11" s="21"/>
      <c r="W11" s="21"/>
      <c r="X11" s="21"/>
      <c r="Y11" s="21"/>
      <c r="Z11" s="21"/>
      <c r="AA11" s="21"/>
      <c r="AB11" s="21"/>
      <c r="AC11" s="21"/>
      <c r="AD11" s="21"/>
    </row>
    <row r="12" spans="1:30" s="20" customFormat="1" ht="22.5" customHeight="1" x14ac:dyDescent="0.25">
      <c r="A12" s="540" t="s">
        <v>13</v>
      </c>
      <c r="B12" s="541"/>
      <c r="C12" s="560" t="str">
        <f>'1'!R1</f>
        <v xml:space="preserve">SONDEO     </v>
      </c>
      <c r="D12" s="560"/>
      <c r="E12" s="560"/>
      <c r="F12" s="304" t="s">
        <v>98</v>
      </c>
      <c r="G12" s="303">
        <f>'1'!G12</f>
        <v>0</v>
      </c>
      <c r="H12" s="212"/>
      <c r="I12" s="204" t="s">
        <v>99</v>
      </c>
      <c r="J12" s="70">
        <f>'1'!J12</f>
        <v>0</v>
      </c>
      <c r="K12" s="305" t="s">
        <v>20</v>
      </c>
      <c r="L12" s="537">
        <f>'1'!L12</f>
        <v>0</v>
      </c>
      <c r="M12" s="538"/>
      <c r="R12" s="21"/>
      <c r="S12" s="25"/>
      <c r="T12" s="21"/>
      <c r="U12" s="21"/>
      <c r="V12" s="21"/>
      <c r="W12" s="21"/>
      <c r="X12" s="21"/>
      <c r="Y12" s="21"/>
      <c r="Z12" s="21"/>
      <c r="AA12" s="21"/>
      <c r="AB12" s="21"/>
      <c r="AC12" s="21"/>
      <c r="AD12" s="21"/>
    </row>
    <row r="13" spans="1:30" s="20" customFormat="1" ht="22.5" customHeight="1" x14ac:dyDescent="0.25">
      <c r="A13" s="542" t="s">
        <v>100</v>
      </c>
      <c r="B13" s="543"/>
      <c r="C13" s="472">
        <f>'1'!C13</f>
        <v>0</v>
      </c>
      <c r="D13" s="472"/>
      <c r="E13" s="472"/>
      <c r="F13" s="562"/>
      <c r="G13" s="472"/>
      <c r="H13" s="562"/>
      <c r="I13" s="562"/>
      <c r="J13" s="472"/>
      <c r="K13" s="472"/>
      <c r="L13" s="472"/>
      <c r="M13" s="473"/>
      <c r="R13" s="21"/>
      <c r="S13" s="25"/>
      <c r="T13" s="21"/>
      <c r="U13" s="21"/>
      <c r="V13" s="21"/>
      <c r="W13" s="21"/>
      <c r="X13" s="21"/>
      <c r="Y13" s="21"/>
      <c r="Z13" s="21"/>
      <c r="AA13" s="21"/>
      <c r="AB13" s="21"/>
      <c r="AC13" s="21"/>
      <c r="AD13" s="21"/>
    </row>
    <row r="14" spans="1:30" s="20" customFormat="1" ht="6.95" customHeight="1" thickBot="1" x14ac:dyDescent="0.3">
      <c r="A14" s="27"/>
      <c r="B14" s="28"/>
      <c r="C14" s="29"/>
      <c r="D14" s="29"/>
      <c r="E14" s="29"/>
      <c r="F14" s="29"/>
      <c r="G14" s="29"/>
      <c r="H14" s="29"/>
      <c r="I14" s="29"/>
      <c r="J14" s="29"/>
      <c r="K14" s="29"/>
      <c r="L14" s="29"/>
      <c r="M14" s="30"/>
      <c r="R14" s="21"/>
      <c r="S14" s="21"/>
      <c r="T14" s="21"/>
      <c r="U14" s="21"/>
      <c r="V14" s="21"/>
      <c r="W14" s="21"/>
      <c r="X14" s="21"/>
      <c r="Y14" s="21"/>
      <c r="Z14" s="21"/>
      <c r="AA14" s="21"/>
      <c r="AB14" s="21"/>
      <c r="AC14" s="21"/>
      <c r="AD14" s="21"/>
    </row>
    <row r="15" spans="1:30" s="20" customFormat="1" ht="20.25" customHeight="1" thickBot="1" x14ac:dyDescent="0.3">
      <c r="A15" s="23"/>
      <c r="B15" s="229"/>
      <c r="C15" s="324"/>
      <c r="D15" s="324"/>
      <c r="E15" s="324"/>
      <c r="F15" s="324"/>
      <c r="G15" s="324"/>
      <c r="H15" s="324"/>
      <c r="I15" s="324"/>
      <c r="J15" s="324"/>
      <c r="K15" s="324"/>
      <c r="L15" s="324"/>
      <c r="M15" s="68"/>
      <c r="R15" s="21"/>
      <c r="S15" s="21"/>
      <c r="T15" s="21"/>
      <c r="U15" s="21"/>
      <c r="V15" s="21"/>
      <c r="W15" s="21"/>
      <c r="X15" s="21"/>
      <c r="Y15" s="21"/>
      <c r="Z15" s="21"/>
      <c r="AA15" s="21"/>
      <c r="AB15" s="21"/>
      <c r="AC15" s="21"/>
      <c r="AD15" s="21"/>
    </row>
    <row r="16" spans="1:30" s="20" customFormat="1" ht="30" customHeight="1" thickBot="1" x14ac:dyDescent="0.3">
      <c r="A16" s="554" t="s">
        <v>120</v>
      </c>
      <c r="B16" s="555"/>
      <c r="C16" s="555"/>
      <c r="D16" s="555"/>
      <c r="E16" s="555"/>
      <c r="F16" s="555"/>
      <c r="G16" s="555"/>
      <c r="H16" s="555"/>
      <c r="I16" s="555"/>
      <c r="J16" s="555"/>
      <c r="K16" s="555"/>
      <c r="L16" s="555"/>
      <c r="M16" s="556"/>
      <c r="R16" s="21"/>
      <c r="S16" s="21"/>
      <c r="T16" s="21"/>
      <c r="U16" s="21"/>
      <c r="V16" s="21"/>
      <c r="W16" s="21"/>
      <c r="X16" s="21"/>
      <c r="Y16" s="21"/>
      <c r="Z16" s="21"/>
      <c r="AA16" s="21"/>
      <c r="AB16" s="21"/>
      <c r="AC16" s="21"/>
      <c r="AD16" s="21"/>
    </row>
    <row r="17" spans="1:15" ht="12.75" customHeight="1" thickBot="1" x14ac:dyDescent="0.25">
      <c r="A17" s="23"/>
      <c r="B17" s="229"/>
      <c r="C17" s="324"/>
      <c r="D17" s="324"/>
      <c r="E17" s="324"/>
      <c r="F17" s="324"/>
      <c r="G17" s="324"/>
      <c r="H17" s="324"/>
      <c r="I17" s="324"/>
      <c r="J17" s="324"/>
      <c r="K17" s="324"/>
      <c r="L17" s="324"/>
      <c r="M17" s="68"/>
    </row>
    <row r="18" spans="1:15" ht="33" customHeight="1" thickBot="1" x14ac:dyDescent="0.25">
      <c r="A18" s="114"/>
      <c r="B18" s="546" t="s">
        <v>115</v>
      </c>
      <c r="C18" s="548" t="str">
        <f>'1'!I18</f>
        <v>MUESTRA 1</v>
      </c>
      <c r="D18" s="549"/>
      <c r="E18" s="549"/>
      <c r="F18" s="549" t="str">
        <f>'1'!J18</f>
        <v>MUESTRA 2</v>
      </c>
      <c r="G18" s="549"/>
      <c r="H18" s="549"/>
      <c r="I18" s="549" t="str">
        <f>'1'!K18</f>
        <v>MUESTRA 3</v>
      </c>
      <c r="J18" s="549"/>
      <c r="K18" s="549"/>
      <c r="L18" s="557"/>
      <c r="M18" s="115"/>
    </row>
    <row r="19" spans="1:15" ht="40.5" customHeight="1" thickBot="1" x14ac:dyDescent="0.25">
      <c r="A19" s="114"/>
      <c r="B19" s="547"/>
      <c r="C19" s="280" t="s">
        <v>152</v>
      </c>
      <c r="D19" s="424" t="s">
        <v>118</v>
      </c>
      <c r="E19" s="424" t="s">
        <v>114</v>
      </c>
      <c r="F19" s="279" t="s">
        <v>153</v>
      </c>
      <c r="G19" s="279" t="s">
        <v>118</v>
      </c>
      <c r="H19" s="279" t="s">
        <v>114</v>
      </c>
      <c r="I19" s="424" t="s">
        <v>153</v>
      </c>
      <c r="J19" s="424" t="s">
        <v>118</v>
      </c>
      <c r="K19" s="558" t="s">
        <v>114</v>
      </c>
      <c r="L19" s="559"/>
      <c r="M19" s="115"/>
      <c r="N19" s="56"/>
      <c r="O19" s="56"/>
    </row>
    <row r="20" spans="1:15" s="56" customFormat="1" ht="29.25" customHeight="1" x14ac:dyDescent="0.2">
      <c r="A20" s="116"/>
      <c r="B20" s="281">
        <v>0</v>
      </c>
      <c r="C20" s="269"/>
      <c r="D20" s="267">
        <v>0</v>
      </c>
      <c r="E20" s="425" t="e">
        <f>VLOOKUP(B20,Fuente!A:E,5)</f>
        <v>#N/A</v>
      </c>
      <c r="F20" s="270"/>
      <c r="G20" s="266"/>
      <c r="H20" s="266">
        <v>0</v>
      </c>
      <c r="I20" s="271"/>
      <c r="J20" s="425">
        <v>0</v>
      </c>
      <c r="K20" s="588">
        <v>0</v>
      </c>
      <c r="L20" s="589"/>
      <c r="M20" s="117"/>
      <c r="N20" s="57"/>
      <c r="O20" s="57"/>
    </row>
    <row r="21" spans="1:15" s="57" customFormat="1" ht="29.25" customHeight="1" x14ac:dyDescent="0.2">
      <c r="A21" s="118"/>
      <c r="B21" s="272">
        <v>0.05</v>
      </c>
      <c r="C21" s="269" t="e">
        <f>LOOKUP(B21,Fuente!A4:A1023,Fuente!B4:B1021)</f>
        <v>#N/A</v>
      </c>
      <c r="D21" s="267" t="e">
        <f>VLOOKUP(B21,Fuente!A:E,3)*0.72</f>
        <v>#N/A</v>
      </c>
      <c r="E21" s="425" t="e">
        <f>VLOOKUP(B21,Fuente!A:E,5)*0.72</f>
        <v>#N/A</v>
      </c>
      <c r="F21" s="270" t="e">
        <f>LOOKUP(B21,Fuente!H4:H1022,Fuente!I4:I1023)</f>
        <v>#N/A</v>
      </c>
      <c r="G21" s="266" t="e">
        <f t="shared" ref="G21:G22" si="0">AVERAGE(D21,J21)*0.93</f>
        <v>#N/A</v>
      </c>
      <c r="H21" s="266" t="e">
        <f t="shared" ref="H21:H22" si="1">AVERAGE(E21,K21)*0.93</f>
        <v>#N/A</v>
      </c>
      <c r="I21" s="271" t="e">
        <f>LOOKUP(B21,Fuente!O4:O1023,Fuente!P4:P1023)</f>
        <v>#N/A</v>
      </c>
      <c r="J21" s="425" t="e">
        <f>VLOOKUP(B21,Fuente!O:S,3)</f>
        <v>#N/A</v>
      </c>
      <c r="K21" s="588" t="e">
        <f>VLOOKUP(B21,Fuente!O:S,5)</f>
        <v>#N/A</v>
      </c>
      <c r="L21" s="589"/>
      <c r="M21" s="119"/>
    </row>
    <row r="22" spans="1:15" s="57" customFormat="1" ht="29.25" customHeight="1" x14ac:dyDescent="0.2">
      <c r="A22" s="118"/>
      <c r="B22" s="272">
        <v>0.1</v>
      </c>
      <c r="C22" s="269" t="e">
        <f>LOOKUP(B22,Fuente!A5:A1024,Fuente!B5:B1022)</f>
        <v>#N/A</v>
      </c>
      <c r="D22" s="267" t="e">
        <f>VLOOKUP(B22,Fuente!A:E,3)*0.72</f>
        <v>#N/A</v>
      </c>
      <c r="E22" s="425" t="e">
        <f>VLOOKUP(B22,Fuente!A:E,5)*0.72</f>
        <v>#N/A</v>
      </c>
      <c r="F22" s="270" t="e">
        <f>LOOKUP(B22,Fuente!H5:H1023,Fuente!I5:I1024)</f>
        <v>#N/A</v>
      </c>
      <c r="G22" s="266" t="e">
        <f t="shared" si="0"/>
        <v>#N/A</v>
      </c>
      <c r="H22" s="266" t="e">
        <f t="shared" si="1"/>
        <v>#N/A</v>
      </c>
      <c r="I22" s="271" t="e">
        <f>LOOKUP(B22,Fuente!O5:O1024,Fuente!P5:P1024)</f>
        <v>#N/A</v>
      </c>
      <c r="J22" s="425" t="e">
        <f>VLOOKUP(B22,Fuente!O:S,3)</f>
        <v>#N/A</v>
      </c>
      <c r="K22" s="588" t="e">
        <f>VLOOKUP(B22,Fuente!O:S,5)</f>
        <v>#N/A</v>
      </c>
      <c r="L22" s="589"/>
      <c r="M22" s="119"/>
    </row>
    <row r="23" spans="1:15" s="57" customFormat="1" ht="29.25" customHeight="1" x14ac:dyDescent="0.2">
      <c r="A23" s="118"/>
      <c r="B23" s="272">
        <v>0.2</v>
      </c>
      <c r="C23" s="269" t="e">
        <f>LOOKUP(B23,Fuente!A6:A1025,Fuente!B6:B1023)</f>
        <v>#N/A</v>
      </c>
      <c r="D23" s="267" t="e">
        <f>VLOOKUP(B23,Fuente!A:E,3)*0.72</f>
        <v>#N/A</v>
      </c>
      <c r="E23" s="425" t="e">
        <f>VLOOKUP(B23,Fuente!A:E,5)*0.72</f>
        <v>#N/A</v>
      </c>
      <c r="F23" s="270" t="e">
        <f>LOOKUP(B23,Fuente!H6:H1024,Fuente!I6:I1025)</f>
        <v>#N/A</v>
      </c>
      <c r="G23" s="266" t="e">
        <f>AVERAGE(D23,J23)*0.93</f>
        <v>#N/A</v>
      </c>
      <c r="H23" s="266" t="e">
        <f>AVERAGE(E23,K23)*0.93</f>
        <v>#N/A</v>
      </c>
      <c r="I23" s="271" t="e">
        <f>LOOKUP(B23,Fuente!O6:O1025,Fuente!P6:P1025)</f>
        <v>#N/A</v>
      </c>
      <c r="J23" s="425" t="e">
        <f>VLOOKUP(B23,Fuente!O:S,3)</f>
        <v>#N/A</v>
      </c>
      <c r="K23" s="588" t="e">
        <f>VLOOKUP(B23,Fuente!O:S,5)</f>
        <v>#N/A</v>
      </c>
      <c r="L23" s="589"/>
      <c r="M23" s="119"/>
    </row>
    <row r="24" spans="1:15" s="57" customFormat="1" ht="29.25" customHeight="1" x14ac:dyDescent="0.2">
      <c r="A24" s="118"/>
      <c r="B24" s="273">
        <v>0.5</v>
      </c>
      <c r="C24" s="269" t="e">
        <f>LOOKUP(B24,Fuente!A7:A1026,Fuente!B7:B1024)</f>
        <v>#N/A</v>
      </c>
      <c r="D24" s="267" t="e">
        <f>VLOOKUP(B24,Fuente!A:E,3)*0.72</f>
        <v>#N/A</v>
      </c>
      <c r="E24" s="425" t="e">
        <f>VLOOKUP(B24,Fuente!A:E,5)*0.72</f>
        <v>#N/A</v>
      </c>
      <c r="F24" s="270" t="e">
        <f>LOOKUP(B24,Fuente!H7:H1025,Fuente!I7:I1026)</f>
        <v>#N/A</v>
      </c>
      <c r="G24" s="266" t="e">
        <f t="shared" ref="G24:G52" si="2">AVERAGE(D24,J24)*0.93</f>
        <v>#N/A</v>
      </c>
      <c r="H24" s="266" t="e">
        <f t="shared" ref="H24:H52" si="3">AVERAGE(E24,K24)*0.93</f>
        <v>#N/A</v>
      </c>
      <c r="I24" s="271" t="e">
        <f>LOOKUP(B24,Fuente!O7:O1026,Fuente!P7:P1026)</f>
        <v>#N/A</v>
      </c>
      <c r="J24" s="425" t="e">
        <f>VLOOKUP(B24,Fuente!O:S,3)</f>
        <v>#N/A</v>
      </c>
      <c r="K24" s="588" t="e">
        <f>VLOOKUP(B24,Fuente!O:S,5)</f>
        <v>#N/A</v>
      </c>
      <c r="L24" s="589"/>
      <c r="M24" s="119"/>
    </row>
    <row r="25" spans="1:15" s="57" customFormat="1" ht="29.25" customHeight="1" x14ac:dyDescent="0.2">
      <c r="A25" s="118"/>
      <c r="B25" s="272">
        <v>0.75</v>
      </c>
      <c r="C25" s="269" t="e">
        <f>LOOKUP(B25,Fuente!A8:A1027,Fuente!B8:B1025)</f>
        <v>#N/A</v>
      </c>
      <c r="D25" s="267" t="e">
        <f>VLOOKUP(B25,Fuente!A:E,3)*0.72</f>
        <v>#N/A</v>
      </c>
      <c r="E25" s="425" t="e">
        <f>VLOOKUP(B25,Fuente!A:E,5)*0.72</f>
        <v>#N/A</v>
      </c>
      <c r="F25" s="270" t="e">
        <f>LOOKUP(B25,Fuente!H8:H1026,Fuente!I8:I1027)</f>
        <v>#N/A</v>
      </c>
      <c r="G25" s="266" t="e">
        <f t="shared" si="2"/>
        <v>#N/A</v>
      </c>
      <c r="H25" s="266" t="e">
        <f t="shared" si="3"/>
        <v>#N/A</v>
      </c>
      <c r="I25" s="271" t="e">
        <f>LOOKUP(B25,Fuente!O8:O1027,Fuente!P8:P1027)</f>
        <v>#N/A</v>
      </c>
      <c r="J25" s="425" t="e">
        <f>VLOOKUP(B25,Fuente!O:S,3)</f>
        <v>#N/A</v>
      </c>
      <c r="K25" s="588" t="e">
        <f>VLOOKUP(B25,Fuente!O:S,5)</f>
        <v>#N/A</v>
      </c>
      <c r="L25" s="589"/>
      <c r="M25" s="119"/>
    </row>
    <row r="26" spans="1:15" s="57" customFormat="1" ht="29.25" customHeight="1" x14ac:dyDescent="0.2">
      <c r="A26" s="118"/>
      <c r="B26" s="272">
        <v>1</v>
      </c>
      <c r="C26" s="269" t="e">
        <f>LOOKUP(B26,Fuente!A9:A1028,Fuente!B9:B1026)</f>
        <v>#N/A</v>
      </c>
      <c r="D26" s="267" t="e">
        <f>VLOOKUP(B26,Fuente!A:E,3)*0.72</f>
        <v>#N/A</v>
      </c>
      <c r="E26" s="425" t="e">
        <f>VLOOKUP(B26,Fuente!A:E,5)*0.72</f>
        <v>#N/A</v>
      </c>
      <c r="F26" s="270" t="e">
        <f>LOOKUP(B26,Fuente!H9:H1027,Fuente!I9:I1028)</f>
        <v>#N/A</v>
      </c>
      <c r="G26" s="266" t="e">
        <f t="shared" si="2"/>
        <v>#N/A</v>
      </c>
      <c r="H26" s="266" t="e">
        <f t="shared" si="3"/>
        <v>#N/A</v>
      </c>
      <c r="I26" s="271" t="e">
        <f>LOOKUP(B26,Fuente!O9:O1028,Fuente!P9:P1028)</f>
        <v>#N/A</v>
      </c>
      <c r="J26" s="425" t="e">
        <f>VLOOKUP(B26,Fuente!O:S,3)</f>
        <v>#N/A</v>
      </c>
      <c r="K26" s="588" t="e">
        <f>VLOOKUP(B26,Fuente!O:S,5)</f>
        <v>#N/A</v>
      </c>
      <c r="L26" s="589"/>
      <c r="M26" s="119"/>
    </row>
    <row r="27" spans="1:15" s="57" customFormat="1" ht="29.25" customHeight="1" x14ac:dyDescent="0.2">
      <c r="A27" s="118"/>
      <c r="B27" s="272">
        <v>1.25</v>
      </c>
      <c r="C27" s="269" t="e">
        <f>LOOKUP(B27,Fuente!A10:A1029,Fuente!B10:B1027)</f>
        <v>#N/A</v>
      </c>
      <c r="D27" s="267" t="e">
        <f>VLOOKUP(B27,Fuente!A:E,3)*0.72</f>
        <v>#N/A</v>
      </c>
      <c r="E27" s="425" t="e">
        <f>VLOOKUP(B27,Fuente!A:E,5)*0.72</f>
        <v>#N/A</v>
      </c>
      <c r="F27" s="270" t="e">
        <f>LOOKUP(B27,Fuente!H10:H1028,Fuente!I10:I1029)</f>
        <v>#N/A</v>
      </c>
      <c r="G27" s="266" t="e">
        <f t="shared" si="2"/>
        <v>#N/A</v>
      </c>
      <c r="H27" s="266" t="e">
        <f t="shared" si="3"/>
        <v>#N/A</v>
      </c>
      <c r="I27" s="271" t="e">
        <f>LOOKUP(B27,Fuente!O10:O1029,Fuente!P10:P1029)</f>
        <v>#N/A</v>
      </c>
      <c r="J27" s="425" t="e">
        <f>VLOOKUP(B27,Fuente!O:S,3)</f>
        <v>#N/A</v>
      </c>
      <c r="K27" s="588" t="e">
        <f>VLOOKUP(B27,Fuente!O:S,5)</f>
        <v>#N/A</v>
      </c>
      <c r="L27" s="589"/>
      <c r="M27" s="119"/>
      <c r="N27" s="55"/>
      <c r="O27" s="55"/>
    </row>
    <row r="28" spans="1:15" ht="29.25" customHeight="1" x14ac:dyDescent="0.2">
      <c r="A28" s="114"/>
      <c r="B28" s="274">
        <v>1.5</v>
      </c>
      <c r="C28" s="269" t="e">
        <f>LOOKUP(B28,Fuente!A11:A1030,Fuente!B11:B1028)</f>
        <v>#N/A</v>
      </c>
      <c r="D28" s="267" t="e">
        <f>VLOOKUP(B28,Fuente!A:E,3)*0.72</f>
        <v>#N/A</v>
      </c>
      <c r="E28" s="425" t="e">
        <f>VLOOKUP(B28,Fuente!A:E,5)*0.72</f>
        <v>#N/A</v>
      </c>
      <c r="F28" s="270" t="e">
        <f>LOOKUP(B28,Fuente!H11:H1029,Fuente!I11:I1030)</f>
        <v>#N/A</v>
      </c>
      <c r="G28" s="266" t="e">
        <f t="shared" si="2"/>
        <v>#N/A</v>
      </c>
      <c r="H28" s="266" t="e">
        <f t="shared" si="3"/>
        <v>#N/A</v>
      </c>
      <c r="I28" s="271" t="e">
        <f>LOOKUP(B28,Fuente!O11:O1030,Fuente!P11:P1030)</f>
        <v>#N/A</v>
      </c>
      <c r="J28" s="425" t="e">
        <f>VLOOKUP(B28,Fuente!O:S,3)</f>
        <v>#N/A</v>
      </c>
      <c r="K28" s="588" t="e">
        <f>VLOOKUP(B28,Fuente!O:S,5)</f>
        <v>#N/A</v>
      </c>
      <c r="L28" s="589"/>
      <c r="M28" s="115"/>
    </row>
    <row r="29" spans="1:15" ht="29.25" customHeight="1" x14ac:dyDescent="0.2">
      <c r="A29" s="114"/>
      <c r="B29" s="274">
        <v>1.75</v>
      </c>
      <c r="C29" s="269" t="e">
        <f>LOOKUP(B29,Fuente!A12:A1031,Fuente!B12:B1029)</f>
        <v>#N/A</v>
      </c>
      <c r="D29" s="267" t="e">
        <f>VLOOKUP(B29,Fuente!A:E,3)*0.72</f>
        <v>#N/A</v>
      </c>
      <c r="E29" s="425" t="e">
        <f>VLOOKUP(B29,Fuente!A:E,5)*0.72</f>
        <v>#N/A</v>
      </c>
      <c r="F29" s="270" t="e">
        <f>LOOKUP(B29,Fuente!H12:H1030,Fuente!I12:I1031)</f>
        <v>#N/A</v>
      </c>
      <c r="G29" s="266" t="e">
        <f t="shared" si="2"/>
        <v>#N/A</v>
      </c>
      <c r="H29" s="266" t="e">
        <f t="shared" si="3"/>
        <v>#N/A</v>
      </c>
      <c r="I29" s="271" t="e">
        <f>LOOKUP(B29,Fuente!O12:O1031,Fuente!P12:P1031)</f>
        <v>#N/A</v>
      </c>
      <c r="J29" s="425" t="e">
        <f>VLOOKUP(B29,Fuente!O:S,3)</f>
        <v>#N/A</v>
      </c>
      <c r="K29" s="588" t="e">
        <f>VLOOKUP(B29,Fuente!O:S,5)</f>
        <v>#N/A</v>
      </c>
      <c r="L29" s="589"/>
      <c r="M29" s="115"/>
    </row>
    <row r="30" spans="1:15" ht="29.25" customHeight="1" x14ac:dyDescent="0.2">
      <c r="A30" s="114"/>
      <c r="B30" s="274">
        <v>2</v>
      </c>
      <c r="C30" s="269" t="e">
        <f>LOOKUP(B30,Fuente!A13:A1032,Fuente!B13:B1030)</f>
        <v>#N/A</v>
      </c>
      <c r="D30" s="267" t="e">
        <f>VLOOKUP(B30,Fuente!A:E,3)*0.72</f>
        <v>#N/A</v>
      </c>
      <c r="E30" s="425" t="e">
        <f>VLOOKUP(B30,Fuente!A:E,5)*0.72</f>
        <v>#N/A</v>
      </c>
      <c r="F30" s="270" t="e">
        <f>LOOKUP(B30,Fuente!H13:H1031,Fuente!I13:I1032)</f>
        <v>#N/A</v>
      </c>
      <c r="G30" s="266" t="e">
        <f t="shared" si="2"/>
        <v>#N/A</v>
      </c>
      <c r="H30" s="266" t="e">
        <f t="shared" si="3"/>
        <v>#N/A</v>
      </c>
      <c r="I30" s="271" t="e">
        <f>LOOKUP(B30,Fuente!O13:O1032,Fuente!P13:P1032)</f>
        <v>#N/A</v>
      </c>
      <c r="J30" s="425" t="e">
        <f>VLOOKUP(B30,Fuente!O:S,3)</f>
        <v>#N/A</v>
      </c>
      <c r="K30" s="588" t="e">
        <f>VLOOKUP(B30,Fuente!O:S,5)</f>
        <v>#N/A</v>
      </c>
      <c r="L30" s="589"/>
      <c r="M30" s="115"/>
      <c r="N30" s="57"/>
      <c r="O30" s="57"/>
    </row>
    <row r="31" spans="1:15" s="57" customFormat="1" ht="29.25" customHeight="1" x14ac:dyDescent="0.2">
      <c r="A31" s="118"/>
      <c r="B31" s="274">
        <v>2.5</v>
      </c>
      <c r="C31" s="269" t="e">
        <f>LOOKUP(B31,Fuente!A14:A1033,Fuente!B14:B1031)</f>
        <v>#N/A</v>
      </c>
      <c r="D31" s="267" t="e">
        <f>VLOOKUP(B31,Fuente!A:E,3)*0.72</f>
        <v>#N/A</v>
      </c>
      <c r="E31" s="425" t="e">
        <f>VLOOKUP(B31,Fuente!A:E,5)*0.72</f>
        <v>#N/A</v>
      </c>
      <c r="F31" s="270" t="e">
        <f>LOOKUP(B31,Fuente!H14:H1032,Fuente!I14:I1033)</f>
        <v>#N/A</v>
      </c>
      <c r="G31" s="266" t="e">
        <f t="shared" si="2"/>
        <v>#N/A</v>
      </c>
      <c r="H31" s="266" t="e">
        <f t="shared" si="3"/>
        <v>#N/A</v>
      </c>
      <c r="I31" s="271" t="e">
        <f>LOOKUP(B31,Fuente!O14:O1033,Fuente!P14:P1033)</f>
        <v>#N/A</v>
      </c>
      <c r="J31" s="425" t="e">
        <f>VLOOKUP(B31,Fuente!O:S,3)</f>
        <v>#N/A</v>
      </c>
      <c r="K31" s="588" t="e">
        <f>VLOOKUP(B31,Fuente!O:S,5)</f>
        <v>#N/A</v>
      </c>
      <c r="L31" s="589"/>
      <c r="M31" s="119"/>
    </row>
    <row r="32" spans="1:15" s="57" customFormat="1" ht="29.25" customHeight="1" x14ac:dyDescent="0.2">
      <c r="A32" s="118"/>
      <c r="B32" s="274">
        <v>2.75</v>
      </c>
      <c r="C32" s="269" t="e">
        <f>LOOKUP(B32,Fuente!A15:A1034,Fuente!B15:B1032)</f>
        <v>#N/A</v>
      </c>
      <c r="D32" s="267" t="e">
        <f>VLOOKUP(B32,Fuente!A:E,3)*0.72</f>
        <v>#N/A</v>
      </c>
      <c r="E32" s="425" t="e">
        <f>VLOOKUP(B32,Fuente!A:E,5)*0.72</f>
        <v>#N/A</v>
      </c>
      <c r="F32" s="270" t="e">
        <f>LOOKUP(B32,Fuente!H15:H1033,Fuente!I15:I1034)</f>
        <v>#N/A</v>
      </c>
      <c r="G32" s="266" t="e">
        <f t="shared" si="2"/>
        <v>#N/A</v>
      </c>
      <c r="H32" s="266" t="e">
        <f t="shared" si="3"/>
        <v>#N/A</v>
      </c>
      <c r="I32" s="271" t="e">
        <f>LOOKUP(B32,Fuente!O15:O1034,Fuente!P15:P1034)</f>
        <v>#N/A</v>
      </c>
      <c r="J32" s="425" t="e">
        <f>VLOOKUP(B32,Fuente!O:S,3)</f>
        <v>#N/A</v>
      </c>
      <c r="K32" s="588" t="e">
        <f>VLOOKUP(B32,Fuente!O:S,5)</f>
        <v>#N/A</v>
      </c>
      <c r="L32" s="589"/>
      <c r="M32" s="119"/>
      <c r="N32" s="55"/>
      <c r="O32" s="55"/>
    </row>
    <row r="33" spans="1:15" ht="29.25" customHeight="1" x14ac:dyDescent="0.2">
      <c r="A33" s="114"/>
      <c r="B33" s="274">
        <v>3</v>
      </c>
      <c r="C33" s="269" t="e">
        <f>LOOKUP(B33,Fuente!A16:A1035,Fuente!B16:B1033)</f>
        <v>#N/A</v>
      </c>
      <c r="D33" s="267" t="e">
        <f>VLOOKUP(B33,Fuente!A:E,3)*0.72</f>
        <v>#N/A</v>
      </c>
      <c r="E33" s="425" t="e">
        <f>VLOOKUP(B33,Fuente!A:E,5)*0.72</f>
        <v>#N/A</v>
      </c>
      <c r="F33" s="270" t="e">
        <f>LOOKUP(B33,Fuente!H16:H1034,Fuente!I16:I1035)</f>
        <v>#N/A</v>
      </c>
      <c r="G33" s="266" t="e">
        <f t="shared" si="2"/>
        <v>#N/A</v>
      </c>
      <c r="H33" s="266" t="e">
        <f t="shared" si="3"/>
        <v>#N/A</v>
      </c>
      <c r="I33" s="271" t="e">
        <f>LOOKUP(B33,Fuente!O16:O1035,Fuente!P16:P1035)</f>
        <v>#N/A</v>
      </c>
      <c r="J33" s="425" t="e">
        <f>VLOOKUP(B33,Fuente!O:S,3)</f>
        <v>#N/A</v>
      </c>
      <c r="K33" s="588" t="e">
        <f>VLOOKUP(B33,Fuente!O:S,5)</f>
        <v>#N/A</v>
      </c>
      <c r="L33" s="589"/>
      <c r="M33" s="115"/>
    </row>
    <row r="34" spans="1:15" ht="29.25" customHeight="1" x14ac:dyDescent="0.2">
      <c r="A34" s="114"/>
      <c r="B34" s="274">
        <v>3.25</v>
      </c>
      <c r="C34" s="269" t="e">
        <f>LOOKUP(B34,Fuente!A17:A1036,Fuente!B17:B1034)</f>
        <v>#N/A</v>
      </c>
      <c r="D34" s="267" t="e">
        <f>VLOOKUP(B34,Fuente!A:E,3)*0.72</f>
        <v>#N/A</v>
      </c>
      <c r="E34" s="425" t="e">
        <f>VLOOKUP(B34,Fuente!A:E,5)*0.72</f>
        <v>#N/A</v>
      </c>
      <c r="F34" s="270" t="e">
        <f>LOOKUP(B34,Fuente!H17:H1035,Fuente!I17:I1036)</f>
        <v>#N/A</v>
      </c>
      <c r="G34" s="266" t="e">
        <f t="shared" si="2"/>
        <v>#N/A</v>
      </c>
      <c r="H34" s="266" t="e">
        <f t="shared" si="3"/>
        <v>#N/A</v>
      </c>
      <c r="I34" s="271" t="e">
        <f>LOOKUP(B34,Fuente!O17:O1036,Fuente!P17:P1036)</f>
        <v>#N/A</v>
      </c>
      <c r="J34" s="425" t="e">
        <f>VLOOKUP(B34,Fuente!O:S,3)</f>
        <v>#N/A</v>
      </c>
      <c r="K34" s="588" t="e">
        <f>VLOOKUP(B34,Fuente!O:S,5)</f>
        <v>#N/A</v>
      </c>
      <c r="L34" s="589"/>
      <c r="M34" s="115"/>
    </row>
    <row r="35" spans="1:15" ht="29.25" customHeight="1" x14ac:dyDescent="0.2">
      <c r="A35" s="114"/>
      <c r="B35" s="274">
        <v>3.75</v>
      </c>
      <c r="C35" s="269" t="e">
        <f>LOOKUP(B35,Fuente!A18:A1037,Fuente!B18:B1035)</f>
        <v>#N/A</v>
      </c>
      <c r="D35" s="267" t="e">
        <f>VLOOKUP(B35,Fuente!A:E,3)*0.72</f>
        <v>#N/A</v>
      </c>
      <c r="E35" s="425" t="e">
        <f>VLOOKUP(B35,Fuente!A:E,5)*0.72</f>
        <v>#N/A</v>
      </c>
      <c r="F35" s="270" t="e">
        <f>LOOKUP(B35,Fuente!H18:H1036,Fuente!I18:I1037)</f>
        <v>#N/A</v>
      </c>
      <c r="G35" s="266" t="e">
        <f t="shared" si="2"/>
        <v>#N/A</v>
      </c>
      <c r="H35" s="266" t="e">
        <f t="shared" si="3"/>
        <v>#N/A</v>
      </c>
      <c r="I35" s="271" t="e">
        <f>LOOKUP(B35,Fuente!O18:O1037,Fuente!P18:P1037)</f>
        <v>#N/A</v>
      </c>
      <c r="J35" s="425" t="e">
        <f>VLOOKUP(B35,Fuente!O:S,3)</f>
        <v>#N/A</v>
      </c>
      <c r="K35" s="588" t="e">
        <f>VLOOKUP(B35,Fuente!O:S,5)</f>
        <v>#N/A</v>
      </c>
      <c r="L35" s="589"/>
      <c r="M35" s="115"/>
    </row>
    <row r="36" spans="1:15" ht="29.25" customHeight="1" x14ac:dyDescent="0.2">
      <c r="A36" s="114"/>
      <c r="B36" s="274">
        <v>4</v>
      </c>
      <c r="C36" s="269" t="e">
        <f>LOOKUP(B36,Fuente!A19:A1038,Fuente!B19:B1036)</f>
        <v>#N/A</v>
      </c>
      <c r="D36" s="267" t="e">
        <f>VLOOKUP(B36,Fuente!A:E,3)*0.72</f>
        <v>#N/A</v>
      </c>
      <c r="E36" s="425" t="e">
        <f>VLOOKUP(B36,Fuente!A:E,5)*0.72</f>
        <v>#N/A</v>
      </c>
      <c r="F36" s="270" t="e">
        <f>LOOKUP(B36,Fuente!H19:H1037,Fuente!I19:I1038)</f>
        <v>#N/A</v>
      </c>
      <c r="G36" s="266" t="e">
        <f t="shared" si="2"/>
        <v>#N/A</v>
      </c>
      <c r="H36" s="266" t="e">
        <f t="shared" si="3"/>
        <v>#N/A</v>
      </c>
      <c r="I36" s="271" t="e">
        <f>LOOKUP(B36,Fuente!O19:O1038,Fuente!P19:P1038)</f>
        <v>#N/A</v>
      </c>
      <c r="J36" s="425" t="e">
        <f>VLOOKUP(B36,Fuente!O:S,3)</f>
        <v>#N/A</v>
      </c>
      <c r="K36" s="588" t="e">
        <f>VLOOKUP(B36,Fuente!O:S,5)</f>
        <v>#N/A</v>
      </c>
      <c r="L36" s="589"/>
      <c r="M36" s="115"/>
    </row>
    <row r="37" spans="1:15" ht="29.25" customHeight="1" x14ac:dyDescent="0.2">
      <c r="A37" s="114"/>
      <c r="B37" s="274">
        <v>4.25</v>
      </c>
      <c r="C37" s="269" t="e">
        <f>LOOKUP(B37,Fuente!A20:A1039,Fuente!B20:B1037)</f>
        <v>#N/A</v>
      </c>
      <c r="D37" s="267" t="e">
        <f>VLOOKUP(B37,Fuente!A:E,3)*0.72</f>
        <v>#N/A</v>
      </c>
      <c r="E37" s="425" t="e">
        <f>VLOOKUP(B37,Fuente!A:E,5)*0.72</f>
        <v>#N/A</v>
      </c>
      <c r="F37" s="270" t="e">
        <f>LOOKUP(B37,Fuente!H20:H1038,Fuente!I20:I1039)</f>
        <v>#N/A</v>
      </c>
      <c r="G37" s="266" t="e">
        <f t="shared" si="2"/>
        <v>#N/A</v>
      </c>
      <c r="H37" s="266" t="e">
        <f t="shared" si="3"/>
        <v>#N/A</v>
      </c>
      <c r="I37" s="271" t="e">
        <f>LOOKUP(B37,Fuente!O20:O1039,Fuente!P20:P1039)</f>
        <v>#N/A</v>
      </c>
      <c r="J37" s="425" t="e">
        <f>VLOOKUP(B37,Fuente!O:S,3)</f>
        <v>#N/A</v>
      </c>
      <c r="K37" s="588" t="e">
        <f>VLOOKUP(B37,Fuente!O:S,5)</f>
        <v>#N/A</v>
      </c>
      <c r="L37" s="589"/>
      <c r="M37" s="115"/>
    </row>
    <row r="38" spans="1:15" ht="29.25" customHeight="1" x14ac:dyDescent="0.2">
      <c r="A38" s="114"/>
      <c r="B38" s="274">
        <v>4.5</v>
      </c>
      <c r="C38" s="269" t="e">
        <f>LOOKUP(B38,Fuente!A21:A1040,Fuente!B21:B1038)</f>
        <v>#N/A</v>
      </c>
      <c r="D38" s="267" t="e">
        <f>VLOOKUP(B38,Fuente!A:E,3)*0.72</f>
        <v>#N/A</v>
      </c>
      <c r="E38" s="425" t="e">
        <f>VLOOKUP(B38,Fuente!A:E,5)*0.72</f>
        <v>#N/A</v>
      </c>
      <c r="F38" s="270" t="e">
        <f>LOOKUP(B38,Fuente!H21:H1039,Fuente!I21:I1040)</f>
        <v>#N/A</v>
      </c>
      <c r="G38" s="266" t="e">
        <f t="shared" si="2"/>
        <v>#N/A</v>
      </c>
      <c r="H38" s="266" t="e">
        <f t="shared" si="3"/>
        <v>#N/A</v>
      </c>
      <c r="I38" s="271" t="e">
        <f>LOOKUP(B38,Fuente!O21:O1040,Fuente!P21:P1040)</f>
        <v>#N/A</v>
      </c>
      <c r="J38" s="425" t="e">
        <f>VLOOKUP(B38,Fuente!O:S,3)</f>
        <v>#N/A</v>
      </c>
      <c r="K38" s="588" t="e">
        <f>VLOOKUP(B38,Fuente!O:S,5)</f>
        <v>#N/A</v>
      </c>
      <c r="L38" s="589"/>
      <c r="M38" s="115"/>
    </row>
    <row r="39" spans="1:15" ht="29.25" customHeight="1" x14ac:dyDescent="0.2">
      <c r="A39" s="114"/>
      <c r="B39" s="274">
        <v>4.75</v>
      </c>
      <c r="C39" s="269" t="e">
        <f>LOOKUP(B39,Fuente!A22:A1041,Fuente!B22:B1039)</f>
        <v>#N/A</v>
      </c>
      <c r="D39" s="267" t="e">
        <f>VLOOKUP(B39,Fuente!A:E,3)*0.72</f>
        <v>#N/A</v>
      </c>
      <c r="E39" s="425" t="e">
        <f>VLOOKUP(B39,Fuente!A:E,5)*0.72</f>
        <v>#N/A</v>
      </c>
      <c r="F39" s="270" t="e">
        <f>LOOKUP(B39,Fuente!H22:H1040,Fuente!I22:I1041)</f>
        <v>#N/A</v>
      </c>
      <c r="G39" s="266" t="e">
        <f t="shared" si="2"/>
        <v>#N/A</v>
      </c>
      <c r="H39" s="266" t="e">
        <f t="shared" si="3"/>
        <v>#N/A</v>
      </c>
      <c r="I39" s="271" t="e">
        <f>LOOKUP(B39,Fuente!O22:O1041,Fuente!P22:P1041)</f>
        <v>#N/A</v>
      </c>
      <c r="J39" s="425" t="e">
        <f>VLOOKUP(B39,Fuente!O:S,3)</f>
        <v>#N/A</v>
      </c>
      <c r="K39" s="588" t="e">
        <f>VLOOKUP(B39,Fuente!O:S,5)</f>
        <v>#N/A</v>
      </c>
      <c r="L39" s="589"/>
      <c r="M39" s="115"/>
    </row>
    <row r="40" spans="1:15" ht="29.25" customHeight="1" x14ac:dyDescent="0.2">
      <c r="A40" s="114"/>
      <c r="B40" s="274">
        <v>5</v>
      </c>
      <c r="C40" s="269" t="e">
        <f>LOOKUP(B40,Fuente!A23:A1042,Fuente!B23:B1040)</f>
        <v>#N/A</v>
      </c>
      <c r="D40" s="267" t="e">
        <f>VLOOKUP(B40,Fuente!A:E,3)*0.72</f>
        <v>#N/A</v>
      </c>
      <c r="E40" s="425" t="e">
        <f>VLOOKUP(B40,Fuente!A:E,5)*0.72</f>
        <v>#N/A</v>
      </c>
      <c r="F40" s="270" t="e">
        <f>LOOKUP(B40,Fuente!H23:H1041,Fuente!I23:I1042)</f>
        <v>#N/A</v>
      </c>
      <c r="G40" s="266" t="e">
        <f t="shared" si="2"/>
        <v>#N/A</v>
      </c>
      <c r="H40" s="266" t="e">
        <f t="shared" si="3"/>
        <v>#N/A</v>
      </c>
      <c r="I40" s="271" t="e">
        <f>LOOKUP(B40,Fuente!O23:O1042,Fuente!P23:P1042)</f>
        <v>#N/A</v>
      </c>
      <c r="J40" s="425" t="e">
        <f>VLOOKUP(B40,Fuente!O:S,3)</f>
        <v>#N/A</v>
      </c>
      <c r="K40" s="588" t="e">
        <f>VLOOKUP(B40,Fuente!O:S,5)</f>
        <v>#N/A</v>
      </c>
      <c r="L40" s="589"/>
      <c r="M40" s="115"/>
    </row>
    <row r="41" spans="1:15" ht="29.25" customHeight="1" x14ac:dyDescent="0.2">
      <c r="A41" s="114"/>
      <c r="B41" s="274">
        <v>5.25</v>
      </c>
      <c r="C41" s="269" t="e">
        <f>LOOKUP(B41,Fuente!A24:A1043,Fuente!B24:B1041)</f>
        <v>#N/A</v>
      </c>
      <c r="D41" s="267" t="e">
        <f>VLOOKUP(B41,Fuente!A:E,3)*0.72</f>
        <v>#N/A</v>
      </c>
      <c r="E41" s="425" t="e">
        <f>VLOOKUP(B41,Fuente!A:E,5)*0.72</f>
        <v>#N/A</v>
      </c>
      <c r="F41" s="270" t="e">
        <f>LOOKUP(B41,Fuente!H24:H1042,Fuente!I24:I1043)</f>
        <v>#N/A</v>
      </c>
      <c r="G41" s="266" t="e">
        <f t="shared" si="2"/>
        <v>#N/A</v>
      </c>
      <c r="H41" s="266" t="e">
        <f t="shared" si="3"/>
        <v>#N/A</v>
      </c>
      <c r="I41" s="271" t="e">
        <f>LOOKUP(B41,Fuente!O24:O1043,Fuente!P24:P1043)</f>
        <v>#N/A</v>
      </c>
      <c r="J41" s="425" t="e">
        <f>VLOOKUP(B41,Fuente!O:S,3)</f>
        <v>#N/A</v>
      </c>
      <c r="K41" s="588" t="e">
        <f>VLOOKUP(B41,Fuente!O:S,5)</f>
        <v>#N/A</v>
      </c>
      <c r="L41" s="589"/>
      <c r="M41" s="115"/>
    </row>
    <row r="42" spans="1:15" ht="29.25" customHeight="1" x14ac:dyDescent="0.2">
      <c r="A42" s="114"/>
      <c r="B42" s="274">
        <v>5.5</v>
      </c>
      <c r="C42" s="269" t="e">
        <f>LOOKUP(B42,Fuente!A25:A1044,Fuente!B25:B1042)</f>
        <v>#N/A</v>
      </c>
      <c r="D42" s="267" t="e">
        <f>VLOOKUP(B42,Fuente!A:E,3)*0.72</f>
        <v>#N/A</v>
      </c>
      <c r="E42" s="425" t="e">
        <f>VLOOKUP(B42,Fuente!A:E,5)*0.72</f>
        <v>#N/A</v>
      </c>
      <c r="F42" s="270" t="e">
        <f>LOOKUP(B42,Fuente!H25:H1043,Fuente!I25:I1044)</f>
        <v>#N/A</v>
      </c>
      <c r="G42" s="266" t="e">
        <f t="shared" si="2"/>
        <v>#N/A</v>
      </c>
      <c r="H42" s="266" t="e">
        <f t="shared" si="3"/>
        <v>#N/A</v>
      </c>
      <c r="I42" s="271" t="e">
        <f>LOOKUP(B42,Fuente!O25:O1044,Fuente!P25:P1044)</f>
        <v>#N/A</v>
      </c>
      <c r="J42" s="425" t="e">
        <f>VLOOKUP(B42,Fuente!O:S,3)</f>
        <v>#N/A</v>
      </c>
      <c r="K42" s="588" t="e">
        <f>VLOOKUP(B42,Fuente!O:S,5)</f>
        <v>#N/A</v>
      </c>
      <c r="L42" s="589"/>
      <c r="M42" s="115"/>
    </row>
    <row r="43" spans="1:15" ht="29.25" customHeight="1" x14ac:dyDescent="0.2">
      <c r="A43" s="114"/>
      <c r="B43" s="274">
        <v>5.75</v>
      </c>
      <c r="C43" s="269" t="e">
        <f>LOOKUP(B43,Fuente!A26:A1045,Fuente!B26:B1043)</f>
        <v>#N/A</v>
      </c>
      <c r="D43" s="267" t="e">
        <f>VLOOKUP(B43,Fuente!A:E,3)*0.72</f>
        <v>#N/A</v>
      </c>
      <c r="E43" s="425" t="e">
        <f>VLOOKUP(B43,Fuente!A:E,5)*0.72</f>
        <v>#N/A</v>
      </c>
      <c r="F43" s="270" t="e">
        <f>LOOKUP(B43,Fuente!H26:H1044,Fuente!I26:I1045)</f>
        <v>#N/A</v>
      </c>
      <c r="G43" s="266" t="e">
        <f t="shared" si="2"/>
        <v>#N/A</v>
      </c>
      <c r="H43" s="266" t="e">
        <f t="shared" si="3"/>
        <v>#N/A</v>
      </c>
      <c r="I43" s="271" t="e">
        <f>LOOKUP(B43,Fuente!O26:O1045,Fuente!P26:P1045)</f>
        <v>#N/A</v>
      </c>
      <c r="J43" s="425" t="e">
        <f>VLOOKUP(B43,Fuente!O:S,3)</f>
        <v>#N/A</v>
      </c>
      <c r="K43" s="588" t="e">
        <f>VLOOKUP(B43,Fuente!O:S,5)</f>
        <v>#N/A</v>
      </c>
      <c r="L43" s="589"/>
      <c r="M43" s="115"/>
    </row>
    <row r="44" spans="1:15" ht="29.25" customHeight="1" x14ac:dyDescent="0.2">
      <c r="A44" s="114"/>
      <c r="B44" s="274">
        <v>6</v>
      </c>
      <c r="C44" s="269" t="e">
        <f>LOOKUP(B44,Fuente!A27:A1046,Fuente!B27:B1044)</f>
        <v>#N/A</v>
      </c>
      <c r="D44" s="267" t="e">
        <f>VLOOKUP(B44,Fuente!A:E,3)*0.72</f>
        <v>#N/A</v>
      </c>
      <c r="E44" s="425" t="e">
        <f>VLOOKUP(B44,Fuente!A:E,5)*0.72</f>
        <v>#N/A</v>
      </c>
      <c r="F44" s="270" t="e">
        <f>LOOKUP(B44,Fuente!H27:H1045,Fuente!I27:I1046)</f>
        <v>#N/A</v>
      </c>
      <c r="G44" s="266" t="e">
        <f t="shared" si="2"/>
        <v>#N/A</v>
      </c>
      <c r="H44" s="266" t="e">
        <f t="shared" si="3"/>
        <v>#N/A</v>
      </c>
      <c r="I44" s="271" t="e">
        <f>LOOKUP(B44,Fuente!O27:O1046,Fuente!P27:P1046)</f>
        <v>#N/A</v>
      </c>
      <c r="J44" s="425" t="e">
        <f>VLOOKUP(B44,Fuente!O:S,3)</f>
        <v>#N/A</v>
      </c>
      <c r="K44" s="588" t="e">
        <f>VLOOKUP(B44,Fuente!O:S,5)</f>
        <v>#N/A</v>
      </c>
      <c r="L44" s="589"/>
      <c r="M44" s="115"/>
    </row>
    <row r="45" spans="1:15" ht="29.25" customHeight="1" x14ac:dyDescent="0.2">
      <c r="A45" s="114"/>
      <c r="B45" s="274">
        <v>6.25</v>
      </c>
      <c r="C45" s="269" t="e">
        <f>LOOKUP(B45,Fuente!A28:A1047,Fuente!B28:B1045)</f>
        <v>#N/A</v>
      </c>
      <c r="D45" s="267" t="e">
        <f>VLOOKUP(B45,Fuente!A:E,3)*0.72</f>
        <v>#N/A</v>
      </c>
      <c r="E45" s="425" t="e">
        <f>VLOOKUP(B45,Fuente!A:E,5)*0.72</f>
        <v>#N/A</v>
      </c>
      <c r="F45" s="270" t="e">
        <f>LOOKUP(B45,Fuente!H28:H1046,Fuente!I28:I1047)</f>
        <v>#N/A</v>
      </c>
      <c r="G45" s="266" t="e">
        <f t="shared" si="2"/>
        <v>#N/A</v>
      </c>
      <c r="H45" s="266" t="e">
        <f t="shared" si="3"/>
        <v>#N/A</v>
      </c>
      <c r="I45" s="271" t="e">
        <f>LOOKUP(B45,Fuente!O28:O1047,Fuente!P28:P1047)</f>
        <v>#N/A</v>
      </c>
      <c r="J45" s="425" t="e">
        <f>VLOOKUP(B45,Fuente!O:S,3)</f>
        <v>#N/A</v>
      </c>
      <c r="K45" s="588" t="e">
        <f>VLOOKUP(B45,Fuente!O:S,5)</f>
        <v>#N/A</v>
      </c>
      <c r="L45" s="589"/>
      <c r="M45" s="115"/>
    </row>
    <row r="46" spans="1:15" ht="29.25" customHeight="1" x14ac:dyDescent="0.2">
      <c r="A46" s="114"/>
      <c r="B46" s="274">
        <v>6.5</v>
      </c>
      <c r="C46" s="269" t="e">
        <f>LOOKUP(B46,Fuente!A29:A1048,Fuente!B29:B1046)</f>
        <v>#N/A</v>
      </c>
      <c r="D46" s="267" t="e">
        <f>VLOOKUP(B46,Fuente!A:E,3)*0.72</f>
        <v>#N/A</v>
      </c>
      <c r="E46" s="425" t="e">
        <f>VLOOKUP(B46,Fuente!A:E,5)*0.72</f>
        <v>#N/A</v>
      </c>
      <c r="F46" s="270" t="e">
        <f>LOOKUP(B46,Fuente!H29:H1047,Fuente!I29:I1048)</f>
        <v>#N/A</v>
      </c>
      <c r="G46" s="266" t="e">
        <f t="shared" si="2"/>
        <v>#N/A</v>
      </c>
      <c r="H46" s="266" t="e">
        <f t="shared" si="3"/>
        <v>#N/A</v>
      </c>
      <c r="I46" s="271" t="e">
        <f>LOOKUP(B46,Fuente!O29:O1048,Fuente!P29:P1048)</f>
        <v>#N/A</v>
      </c>
      <c r="J46" s="425" t="e">
        <f>VLOOKUP(B46,Fuente!O:S,3)</f>
        <v>#N/A</v>
      </c>
      <c r="K46" s="588" t="e">
        <f>VLOOKUP(B46,Fuente!O:S,5)</f>
        <v>#N/A</v>
      </c>
      <c r="L46" s="589"/>
      <c r="M46" s="115"/>
    </row>
    <row r="47" spans="1:15" ht="29.25" customHeight="1" x14ac:dyDescent="0.2">
      <c r="A47" s="114"/>
      <c r="B47" s="274">
        <v>6.75</v>
      </c>
      <c r="C47" s="269" t="e">
        <f>LOOKUP(B47,Fuente!A30:A1049,Fuente!B30:B1047)</f>
        <v>#N/A</v>
      </c>
      <c r="D47" s="267" t="e">
        <f>VLOOKUP(B47,Fuente!A:E,3)*0.72</f>
        <v>#N/A</v>
      </c>
      <c r="E47" s="425" t="e">
        <f>VLOOKUP(B47,Fuente!A:E,5)*0.72</f>
        <v>#N/A</v>
      </c>
      <c r="F47" s="270" t="e">
        <f>LOOKUP(B47,Fuente!H30:H1048,Fuente!I30:I1049)</f>
        <v>#N/A</v>
      </c>
      <c r="G47" s="266" t="e">
        <f t="shared" si="2"/>
        <v>#N/A</v>
      </c>
      <c r="H47" s="266" t="e">
        <f t="shared" si="3"/>
        <v>#N/A</v>
      </c>
      <c r="I47" s="271" t="e">
        <f>LOOKUP(B47,Fuente!O30:O1049,Fuente!P30:P1049)</f>
        <v>#N/A</v>
      </c>
      <c r="J47" s="425" t="e">
        <f>VLOOKUP(B47,Fuente!O:S,3)</f>
        <v>#N/A</v>
      </c>
      <c r="K47" s="588" t="e">
        <f>VLOOKUP(B47,Fuente!O:S,5)</f>
        <v>#N/A</v>
      </c>
      <c r="L47" s="589"/>
      <c r="M47" s="115"/>
    </row>
    <row r="48" spans="1:15" ht="29.25" customHeight="1" x14ac:dyDescent="0.2">
      <c r="A48" s="114"/>
      <c r="B48" s="274">
        <v>7</v>
      </c>
      <c r="C48" s="269" t="e">
        <f>LOOKUP(B48,Fuente!A31:A1050,Fuente!B31:B1048)</f>
        <v>#N/A</v>
      </c>
      <c r="D48" s="267" t="e">
        <f>VLOOKUP(B48,Fuente!A:E,3)*0.72</f>
        <v>#N/A</v>
      </c>
      <c r="E48" s="425" t="e">
        <f>VLOOKUP(B48,Fuente!A:E,5)*0.72</f>
        <v>#N/A</v>
      </c>
      <c r="F48" s="270" t="e">
        <f>LOOKUP(B48,Fuente!H31:H1049,Fuente!I31:I1050)</f>
        <v>#N/A</v>
      </c>
      <c r="G48" s="266" t="e">
        <f t="shared" si="2"/>
        <v>#N/A</v>
      </c>
      <c r="H48" s="266" t="e">
        <f t="shared" si="3"/>
        <v>#N/A</v>
      </c>
      <c r="I48" s="271" t="e">
        <f>LOOKUP(B48,Fuente!O31:O1050,Fuente!P31:P1050)</f>
        <v>#N/A</v>
      </c>
      <c r="J48" s="425" t="e">
        <f>VLOOKUP(B48,Fuente!O:S,3)</f>
        <v>#N/A</v>
      </c>
      <c r="K48" s="588" t="e">
        <f>VLOOKUP(B48,Fuente!O:S,5)</f>
        <v>#N/A</v>
      </c>
      <c r="L48" s="589"/>
      <c r="M48" s="115"/>
      <c r="O48" s="290" t="e">
        <f>MAX(K20:K52)</f>
        <v>#N/A</v>
      </c>
    </row>
    <row r="49" spans="1:13" ht="29.25" customHeight="1" x14ac:dyDescent="0.2">
      <c r="A49" s="114"/>
      <c r="B49" s="274">
        <v>7.25</v>
      </c>
      <c r="C49" s="269" t="e">
        <f>LOOKUP(B49,Fuente!A32:A1051,Fuente!B32:B1049)</f>
        <v>#N/A</v>
      </c>
      <c r="D49" s="267" t="e">
        <f>VLOOKUP(B49,Fuente!A:E,3)*0.72</f>
        <v>#N/A</v>
      </c>
      <c r="E49" s="425" t="e">
        <f>VLOOKUP(B49,Fuente!A:E,5)*0.72</f>
        <v>#N/A</v>
      </c>
      <c r="F49" s="270" t="e">
        <f>LOOKUP(B49,Fuente!H32:H1050,Fuente!I32:I1051)</f>
        <v>#N/A</v>
      </c>
      <c r="G49" s="266" t="e">
        <f t="shared" si="2"/>
        <v>#N/A</v>
      </c>
      <c r="H49" s="266" t="e">
        <f t="shared" si="3"/>
        <v>#N/A</v>
      </c>
      <c r="I49" s="271" t="e">
        <f>LOOKUP(B49,Fuente!O32:O1051,Fuente!P32:P1051)</f>
        <v>#N/A</v>
      </c>
      <c r="J49" s="425" t="e">
        <f>VLOOKUP(B49,Fuente!O:S,3)</f>
        <v>#N/A</v>
      </c>
      <c r="K49" s="588" t="e">
        <f>VLOOKUP(B49,Fuente!O:S,5)</f>
        <v>#N/A</v>
      </c>
      <c r="L49" s="589"/>
      <c r="M49" s="115"/>
    </row>
    <row r="50" spans="1:13" ht="29.25" customHeight="1" x14ac:dyDescent="0.2">
      <c r="A50" s="114"/>
      <c r="B50" s="274">
        <v>7.5</v>
      </c>
      <c r="C50" s="269" t="e">
        <f>LOOKUP(B50,Fuente!A33:A1052,Fuente!B33:B1050)</f>
        <v>#N/A</v>
      </c>
      <c r="D50" s="267" t="e">
        <f>VLOOKUP(B50,Fuente!A:E,3)*0.72</f>
        <v>#N/A</v>
      </c>
      <c r="E50" s="425" t="e">
        <f>VLOOKUP(B50,Fuente!A:E,5)*0.72</f>
        <v>#N/A</v>
      </c>
      <c r="F50" s="270" t="e">
        <f>LOOKUP(B50,Fuente!H33:H1051,Fuente!I33:I1052)</f>
        <v>#N/A</v>
      </c>
      <c r="G50" s="266" t="e">
        <f t="shared" si="2"/>
        <v>#N/A</v>
      </c>
      <c r="H50" s="266" t="e">
        <f t="shared" si="3"/>
        <v>#N/A</v>
      </c>
      <c r="I50" s="271" t="e">
        <f>LOOKUP(B50,Fuente!O33:O1052,Fuente!P33:P1052)</f>
        <v>#N/A</v>
      </c>
      <c r="J50" s="425" t="e">
        <f>VLOOKUP(B50,Fuente!O:S,3)</f>
        <v>#N/A</v>
      </c>
      <c r="K50" s="588" t="e">
        <f>VLOOKUP(B50,Fuente!O:S,5)</f>
        <v>#N/A</v>
      </c>
      <c r="L50" s="589"/>
      <c r="M50" s="115"/>
    </row>
    <row r="51" spans="1:13" ht="29.25" customHeight="1" x14ac:dyDescent="0.2">
      <c r="A51" s="114"/>
      <c r="B51" s="274">
        <v>7.75</v>
      </c>
      <c r="C51" s="269" t="e">
        <f>LOOKUP(B51,Fuente!A34:A1053,Fuente!B34:B1051)</f>
        <v>#N/A</v>
      </c>
      <c r="D51" s="267" t="e">
        <f>VLOOKUP(B51,Fuente!A:E,3)*0.72</f>
        <v>#N/A</v>
      </c>
      <c r="E51" s="425" t="e">
        <f>VLOOKUP(B51,Fuente!A:E,5)*0.72</f>
        <v>#N/A</v>
      </c>
      <c r="F51" s="270" t="e">
        <f>LOOKUP(B51,Fuente!H34:H1052,Fuente!I34:I1053)</f>
        <v>#N/A</v>
      </c>
      <c r="G51" s="266" t="e">
        <f t="shared" si="2"/>
        <v>#N/A</v>
      </c>
      <c r="H51" s="266" t="e">
        <f t="shared" si="3"/>
        <v>#N/A</v>
      </c>
      <c r="I51" s="271" t="e">
        <f>LOOKUP(B51,Fuente!O34:O1053,Fuente!P34:P1053)</f>
        <v>#N/A</v>
      </c>
      <c r="J51" s="425" t="e">
        <f>VLOOKUP(B51,Fuente!O:S,3)</f>
        <v>#N/A</v>
      </c>
      <c r="K51" s="588" t="e">
        <f>VLOOKUP(B51,Fuente!O:S,5)</f>
        <v>#N/A</v>
      </c>
      <c r="L51" s="589"/>
      <c r="M51" s="115"/>
    </row>
    <row r="52" spans="1:13" ht="29.25" customHeight="1" thickBot="1" x14ac:dyDescent="0.25">
      <c r="A52" s="114"/>
      <c r="B52" s="275">
        <v>8</v>
      </c>
      <c r="C52" s="276" t="e">
        <f>LOOKUP(B52,Fuente!A35:A1054,Fuente!B35:B1052)</f>
        <v>#N/A</v>
      </c>
      <c r="D52" s="277" t="e">
        <f>VLOOKUP(B52,Fuente!A:E,3)*0.72</f>
        <v>#N/A</v>
      </c>
      <c r="E52" s="429" t="e">
        <f>VLOOKUP(B52,Fuente!A:E,5)*0.72</f>
        <v>#N/A</v>
      </c>
      <c r="F52" s="270" t="e">
        <f>LOOKUP(B52,Fuente!H35:H1053,Fuente!I35:I1054)</f>
        <v>#N/A</v>
      </c>
      <c r="G52" s="266" t="e">
        <f t="shared" si="2"/>
        <v>#N/A</v>
      </c>
      <c r="H52" s="266" t="e">
        <f t="shared" si="3"/>
        <v>#N/A</v>
      </c>
      <c r="I52" s="278" t="e">
        <f>LOOKUP(B52,Fuente!O35:O1054,Fuente!P35:P1054)</f>
        <v>#N/A</v>
      </c>
      <c r="J52" s="429" t="e">
        <f>VLOOKUP(B52,Fuente!O:S,3)</f>
        <v>#N/A</v>
      </c>
      <c r="K52" s="591" t="e">
        <f>VLOOKUP(B52,Fuente!O:S,5)</f>
        <v>#N/A</v>
      </c>
      <c r="L52" s="592"/>
      <c r="M52" s="115"/>
    </row>
    <row r="53" spans="1:13" ht="12.75" customHeight="1" thickBot="1" x14ac:dyDescent="0.25">
      <c r="A53" s="114"/>
      <c r="B53" s="120"/>
      <c r="C53" s="325"/>
      <c r="D53" s="325"/>
      <c r="E53" s="325"/>
      <c r="F53" s="325"/>
      <c r="G53" s="326"/>
      <c r="H53" s="326"/>
      <c r="I53" s="326"/>
      <c r="J53" s="120"/>
      <c r="K53" s="120"/>
      <c r="L53" s="120"/>
      <c r="M53" s="115"/>
    </row>
    <row r="54" spans="1:13" ht="29.25" customHeight="1" thickBot="1" x14ac:dyDescent="0.25">
      <c r="A54" s="114"/>
      <c r="B54" s="120"/>
      <c r="C54" s="528" t="s">
        <v>119</v>
      </c>
      <c r="D54" s="529"/>
      <c r="E54" s="530"/>
      <c r="F54" s="528" t="s">
        <v>119</v>
      </c>
      <c r="G54" s="529"/>
      <c r="H54" s="530"/>
      <c r="I54" s="534" t="s">
        <v>119</v>
      </c>
      <c r="J54" s="535"/>
      <c r="K54" s="535"/>
      <c r="L54" s="536"/>
      <c r="M54" s="115"/>
    </row>
    <row r="55" spans="1:13" ht="29.25" customHeight="1" thickBot="1" x14ac:dyDescent="0.25">
      <c r="A55" s="114"/>
      <c r="B55" s="120"/>
      <c r="C55" s="531">
        <f>5/(11.6*CARGA1!D67*CARGA1!D67)</f>
        <v>0.10775862068965518</v>
      </c>
      <c r="D55" s="532"/>
      <c r="E55" s="533"/>
      <c r="F55" s="531">
        <f>5/(11.6*CARGA1!G67*CARGA1!G67)</f>
        <v>8.1480998631119239E-2</v>
      </c>
      <c r="G55" s="532"/>
      <c r="H55" s="533"/>
      <c r="I55" s="531">
        <f>5/(11.6*CARGA1!J67*CARGA1!J67)</f>
        <v>6.8965517241379309E-2</v>
      </c>
      <c r="J55" s="532"/>
      <c r="K55" s="532"/>
      <c r="L55" s="533"/>
      <c r="M55" s="115"/>
    </row>
    <row r="56" spans="1:13" ht="10.5" customHeight="1" x14ac:dyDescent="0.2">
      <c r="A56" s="114"/>
      <c r="B56" s="120"/>
      <c r="C56" s="577"/>
      <c r="D56" s="577"/>
      <c r="E56" s="327"/>
      <c r="F56" s="577"/>
      <c r="G56" s="577"/>
      <c r="H56" s="327"/>
      <c r="I56" s="577"/>
      <c r="J56" s="577"/>
      <c r="K56" s="327"/>
      <c r="L56" s="327"/>
      <c r="M56" s="115"/>
    </row>
    <row r="57" spans="1:13" ht="27" customHeight="1" x14ac:dyDescent="0.25">
      <c r="A57" s="582" t="s">
        <v>109</v>
      </c>
      <c r="B57" s="583"/>
      <c r="C57" s="583"/>
      <c r="D57" s="583"/>
      <c r="E57" s="583"/>
      <c r="F57" s="583"/>
      <c r="G57" s="583"/>
      <c r="H57" s="583"/>
      <c r="I57" s="583"/>
      <c r="J57" s="583"/>
      <c r="K57" s="583"/>
      <c r="L57" s="583"/>
      <c r="M57" s="584"/>
    </row>
    <row r="58" spans="1:13" ht="29.25" customHeight="1" x14ac:dyDescent="0.2">
      <c r="A58" s="585" t="s">
        <v>110</v>
      </c>
      <c r="B58" s="586"/>
      <c r="C58" s="586"/>
      <c r="D58" s="586"/>
      <c r="E58" s="586"/>
      <c r="F58" s="586"/>
      <c r="G58" s="586"/>
      <c r="H58" s="586"/>
      <c r="I58" s="586"/>
      <c r="J58" s="586"/>
      <c r="K58" s="586"/>
      <c r="L58" s="586"/>
      <c r="M58" s="587"/>
    </row>
    <row r="59" spans="1:13" ht="22.5" customHeight="1" x14ac:dyDescent="0.2">
      <c r="A59" s="585"/>
      <c r="B59" s="586"/>
      <c r="C59" s="586"/>
      <c r="D59" s="586"/>
      <c r="E59" s="586"/>
      <c r="F59" s="586"/>
      <c r="G59" s="586"/>
      <c r="H59" s="586"/>
      <c r="I59" s="586"/>
      <c r="J59" s="586"/>
      <c r="K59" s="586"/>
      <c r="L59" s="586"/>
      <c r="M59" s="587"/>
    </row>
    <row r="60" spans="1:13" ht="14.25" customHeight="1" x14ac:dyDescent="0.2">
      <c r="A60" s="114"/>
      <c r="B60" s="120"/>
      <c r="C60" s="325"/>
      <c r="D60" s="325"/>
      <c r="E60" s="325"/>
      <c r="F60" s="325"/>
      <c r="G60" s="325"/>
      <c r="H60" s="325"/>
      <c r="I60" s="325"/>
      <c r="J60" s="325"/>
      <c r="K60" s="120"/>
      <c r="L60" s="120"/>
      <c r="M60" s="115"/>
    </row>
    <row r="61" spans="1:13" ht="15.75" thickBot="1" x14ac:dyDescent="0.25">
      <c r="A61" s="121"/>
      <c r="B61" s="122"/>
      <c r="C61" s="122"/>
      <c r="D61" s="122"/>
      <c r="E61" s="122"/>
      <c r="F61" s="122"/>
      <c r="G61" s="122"/>
      <c r="H61" s="123"/>
      <c r="I61" s="122"/>
      <c r="J61" s="122"/>
      <c r="K61" s="122"/>
      <c r="L61" s="122"/>
      <c r="M61" s="124"/>
    </row>
    <row r="70" spans="3:5" ht="15.75" thickBot="1" x14ac:dyDescent="0.25"/>
    <row r="71" spans="3:5" ht="15.75" x14ac:dyDescent="0.2">
      <c r="C71" s="578" t="s">
        <v>7</v>
      </c>
      <c r="D71" s="579"/>
      <c r="E71" s="59">
        <f>5/(11.6*CARGA1!D67)</f>
        <v>0.21551724137931036</v>
      </c>
    </row>
    <row r="72" spans="3:5" ht="15.75" x14ac:dyDescent="0.2">
      <c r="C72" s="580" t="s">
        <v>8</v>
      </c>
      <c r="D72" s="581"/>
      <c r="E72" s="60" t="e">
        <f>ROUND(MAX(G30:G52),2)</f>
        <v>#N/A</v>
      </c>
    </row>
    <row r="73" spans="3:5" ht="16.5" thickBot="1" x14ac:dyDescent="0.25">
      <c r="C73" s="575" t="s">
        <v>9</v>
      </c>
      <c r="D73" s="576"/>
      <c r="E73" s="61"/>
    </row>
  </sheetData>
  <sheetProtection insertColumns="0" insertRows="0" deleteColumns="0" deleteRows="0"/>
  <mergeCells count="82">
    <mergeCell ref="P3:T3"/>
    <mergeCell ref="K50:L50"/>
    <mergeCell ref="K51:L51"/>
    <mergeCell ref="K52:L52"/>
    <mergeCell ref="K45:L45"/>
    <mergeCell ref="K46:L46"/>
    <mergeCell ref="K47:L47"/>
    <mergeCell ref="K48:L48"/>
    <mergeCell ref="K49:L49"/>
    <mergeCell ref="K40:L40"/>
    <mergeCell ref="K41:L41"/>
    <mergeCell ref="K42:L42"/>
    <mergeCell ref="K43:L43"/>
    <mergeCell ref="K44:L44"/>
    <mergeCell ref="K35:L35"/>
    <mergeCell ref="K36:L36"/>
    <mergeCell ref="K37:L37"/>
    <mergeCell ref="K38:L38"/>
    <mergeCell ref="K39:L39"/>
    <mergeCell ref="K30:L30"/>
    <mergeCell ref="K31:L31"/>
    <mergeCell ref="K32:L32"/>
    <mergeCell ref="K33:L33"/>
    <mergeCell ref="K34:L34"/>
    <mergeCell ref="K25:L25"/>
    <mergeCell ref="K26:L26"/>
    <mergeCell ref="K27:L27"/>
    <mergeCell ref="K28:L28"/>
    <mergeCell ref="K29:L29"/>
    <mergeCell ref="K20:L20"/>
    <mergeCell ref="K21:L21"/>
    <mergeCell ref="K22:L22"/>
    <mergeCell ref="K23:L23"/>
    <mergeCell ref="K24:L24"/>
    <mergeCell ref="C73:D73"/>
    <mergeCell ref="C56:D56"/>
    <mergeCell ref="C71:D71"/>
    <mergeCell ref="C72:D72"/>
    <mergeCell ref="A57:M57"/>
    <mergeCell ref="A58:M59"/>
    <mergeCell ref="F56:G56"/>
    <mergeCell ref="I56:J56"/>
    <mergeCell ref="A1:C4"/>
    <mergeCell ref="D1:J1"/>
    <mergeCell ref="K1:M1"/>
    <mergeCell ref="D2:J4"/>
    <mergeCell ref="K2:M2"/>
    <mergeCell ref="K3:M3"/>
    <mergeCell ref="K4:M4"/>
    <mergeCell ref="B5:K5"/>
    <mergeCell ref="J6:M6"/>
    <mergeCell ref="B18:B19"/>
    <mergeCell ref="C18:E18"/>
    <mergeCell ref="F18:H18"/>
    <mergeCell ref="J7:M7"/>
    <mergeCell ref="J8:M8"/>
    <mergeCell ref="J10:M10"/>
    <mergeCell ref="A12:B12"/>
    <mergeCell ref="A13:B13"/>
    <mergeCell ref="A16:M16"/>
    <mergeCell ref="I18:L18"/>
    <mergeCell ref="K19:L19"/>
    <mergeCell ref="C12:E12"/>
    <mergeCell ref="B11:K11"/>
    <mergeCell ref="C13:M13"/>
    <mergeCell ref="A6:B6"/>
    <mergeCell ref="A7:B7"/>
    <mergeCell ref="A8:B8"/>
    <mergeCell ref="A9:B9"/>
    <mergeCell ref="A10:B10"/>
    <mergeCell ref="L12:M12"/>
    <mergeCell ref="C6:H6"/>
    <mergeCell ref="C7:H7"/>
    <mergeCell ref="C8:H8"/>
    <mergeCell ref="C9:H9"/>
    <mergeCell ref="C10:H10"/>
    <mergeCell ref="C54:E54"/>
    <mergeCell ref="F54:H54"/>
    <mergeCell ref="C55:E55"/>
    <mergeCell ref="F55:H55"/>
    <mergeCell ref="I54:L54"/>
    <mergeCell ref="I55:L55"/>
  </mergeCells>
  <conditionalFormatting sqref="C6:C10">
    <cfRule type="containsBlanks" dxfId="30" priority="1">
      <formula>LEN(TRIM(C6))=0</formula>
    </cfRule>
    <cfRule type="containsBlanks" dxfId="29" priority="2">
      <formula>LEN(TRIM(C6))=0</formula>
    </cfRule>
  </conditionalFormatting>
  <conditionalFormatting sqref="C12:C13 I6:J8 K9:M9 F12:G12 I12:L12 A6:A10 I9:I10 A12:A13">
    <cfRule type="containsBlanks" dxfId="28" priority="7">
      <formula>LEN(TRIM(A6))=0</formula>
    </cfRule>
  </conditionalFormatting>
  <conditionalFormatting sqref="C12:C13">
    <cfRule type="containsBlanks" dxfId="27" priority="4">
      <formula>LEN(TRIM(C12))=0</formula>
    </cfRule>
  </conditionalFormatting>
  <conditionalFormatting sqref="J6:J8 J9:M9 G12 J12 L12">
    <cfRule type="containsBlanks" dxfId="26" priority="3">
      <formula>LEN(TRIM(G6))=0</formula>
    </cfRule>
  </conditionalFormatting>
  <hyperlinks>
    <hyperlink ref="C8" r:id="rId1" display="GERENCIA.DCMING@GMAIL.COM" xr:uid="{00000000-0004-0000-0100-000000000000}"/>
  </hyperlinks>
  <printOptions horizontalCentered="1" verticalCentered="1"/>
  <pageMargins left="0.25" right="0.25" top="0.75" bottom="0.75" header="0.3" footer="0.3"/>
  <pageSetup scale="32" fitToHeight="0" orientation="landscape" r:id="rId2"/>
  <headerFooter>
    <oddFooter>&amp;CGEODELTA S.A.S. Calle 68 B bis No 70 C 95, Móvil: 318 7902368 Bogotá DC - Colombia
e-mail: laboratoriogeodelta@gmail.com</oddFooter>
  </headerFooter>
  <colBreaks count="1" manualBreakCount="1">
    <brk id="13" max="82" man="1"/>
  </colBreaks>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691"/>
  <sheetViews>
    <sheetView view="pageBreakPreview" topLeftCell="A10" zoomScale="118" zoomScaleNormal="100" zoomScaleSheetLayoutView="118" workbookViewId="0">
      <selection activeCell="J24" sqref="J24"/>
    </sheetView>
  </sheetViews>
  <sheetFormatPr baseColWidth="10" defaultColWidth="11.42578125" defaultRowHeight="15" x14ac:dyDescent="0.25"/>
  <cols>
    <col min="1" max="1" width="21" customWidth="1"/>
    <col min="2" max="2" width="20" customWidth="1"/>
    <col min="3" max="3" width="20.7109375" customWidth="1"/>
    <col min="4" max="4" width="23.5703125" customWidth="1"/>
    <col min="5" max="5" width="21.28515625" customWidth="1"/>
    <col min="6" max="6" width="21.140625" customWidth="1"/>
    <col min="7" max="7" width="22.85546875" customWidth="1"/>
    <col min="8" max="10" width="21" customWidth="1"/>
    <col min="11" max="11" width="11.5703125" customWidth="1"/>
    <col min="12" max="12" width="4.42578125" customWidth="1"/>
    <col min="13" max="13" width="8.42578125" customWidth="1"/>
    <col min="14" max="14" width="11.42578125" style="145"/>
    <col min="15" max="21" width="16.5703125" style="145" customWidth="1"/>
    <col min="22" max="23" width="16.5703125" style="146" customWidth="1"/>
    <col min="24" max="24" width="8.85546875" style="146" customWidth="1"/>
    <col min="25" max="25" width="11.42578125" style="145"/>
  </cols>
  <sheetData>
    <row r="1" spans="1:30" s="20" customFormat="1" ht="18" customHeight="1" x14ac:dyDescent="0.25">
      <c r="A1" s="497"/>
      <c r="B1" s="498"/>
      <c r="C1" s="498"/>
      <c r="D1" s="503" t="s">
        <v>82</v>
      </c>
      <c r="E1" s="503"/>
      <c r="F1" s="503"/>
      <c r="G1" s="503"/>
      <c r="H1" s="503"/>
      <c r="I1" s="503"/>
      <c r="J1" s="563"/>
      <c r="K1" s="564" t="str">
        <f>'1'!K1</f>
        <v>Código: GDA-FLC-007</v>
      </c>
      <c r="L1" s="565"/>
      <c r="M1" s="566"/>
      <c r="Q1" s="31" t="e">
        <f>#REF!</f>
        <v>#REF!</v>
      </c>
      <c r="R1" s="21"/>
      <c r="S1" s="21"/>
      <c r="T1" s="21"/>
      <c r="U1" s="21"/>
      <c r="V1" s="21"/>
      <c r="W1" s="21"/>
      <c r="X1" s="21"/>
      <c r="Y1" s="21"/>
      <c r="Z1" s="21"/>
      <c r="AA1" s="21"/>
      <c r="AB1" s="21"/>
      <c r="AC1" s="21"/>
    </row>
    <row r="2" spans="1:30" s="20" customFormat="1" ht="18" customHeight="1" x14ac:dyDescent="0.25">
      <c r="A2" s="499"/>
      <c r="B2" s="500"/>
      <c r="C2" s="500"/>
      <c r="D2" s="618" t="s">
        <v>101</v>
      </c>
      <c r="E2" s="618"/>
      <c r="F2" s="618"/>
      <c r="G2" s="618"/>
      <c r="H2" s="618"/>
      <c r="I2" s="618"/>
      <c r="J2" s="619"/>
      <c r="K2" s="569" t="str">
        <f>'1'!K2</f>
        <v>Versión :02</v>
      </c>
      <c r="L2" s="570"/>
      <c r="M2" s="571"/>
      <c r="Q2" s="21"/>
      <c r="R2" s="21"/>
      <c r="S2" s="22" t="s">
        <v>83</v>
      </c>
      <c r="T2" s="21"/>
      <c r="U2" s="21"/>
      <c r="V2" s="21"/>
      <c r="W2" s="21"/>
      <c r="X2" s="21"/>
      <c r="Y2" s="21"/>
      <c r="Z2" s="21"/>
      <c r="AA2" s="21"/>
      <c r="AB2" s="21"/>
      <c r="AC2" s="21"/>
    </row>
    <row r="3" spans="1:30" s="20" customFormat="1" ht="18" customHeight="1" x14ac:dyDescent="0.25">
      <c r="A3" s="499"/>
      <c r="B3" s="500"/>
      <c r="C3" s="500"/>
      <c r="D3" s="618"/>
      <c r="E3" s="618"/>
      <c r="F3" s="618"/>
      <c r="G3" s="618"/>
      <c r="H3" s="618"/>
      <c r="I3" s="618"/>
      <c r="J3" s="619"/>
      <c r="K3" s="569" t="s">
        <v>142</v>
      </c>
      <c r="L3" s="570"/>
      <c r="M3" s="571"/>
      <c r="R3" s="22"/>
      <c r="S3" s="22"/>
      <c r="T3" s="21"/>
      <c r="U3" s="21"/>
      <c r="V3" s="21"/>
      <c r="W3" s="21"/>
      <c r="X3" s="21"/>
      <c r="Y3" s="21"/>
      <c r="Z3" s="21"/>
      <c r="AA3" s="21"/>
      <c r="AB3" s="21"/>
      <c r="AC3" s="21"/>
    </row>
    <row r="4" spans="1:30" s="20" customFormat="1" ht="18" customHeight="1" thickBot="1" x14ac:dyDescent="0.3">
      <c r="A4" s="501"/>
      <c r="B4" s="502"/>
      <c r="C4" s="502"/>
      <c r="D4" s="620"/>
      <c r="E4" s="620"/>
      <c r="F4" s="620"/>
      <c r="G4" s="620"/>
      <c r="H4" s="620"/>
      <c r="I4" s="620"/>
      <c r="J4" s="621"/>
      <c r="K4" s="572" t="s">
        <v>159</v>
      </c>
      <c r="L4" s="573"/>
      <c r="M4" s="574"/>
      <c r="P4" s="22"/>
      <c r="Q4" s="22"/>
      <c r="R4" s="22"/>
      <c r="S4" s="25" t="s">
        <v>85</v>
      </c>
      <c r="T4" s="21"/>
      <c r="U4" s="21"/>
      <c r="V4" s="21"/>
      <c r="W4" s="21"/>
      <c r="X4" s="21"/>
      <c r="Y4" s="21"/>
      <c r="Z4" s="21"/>
      <c r="AA4" s="21"/>
      <c r="AB4" s="21"/>
      <c r="AC4" s="21"/>
    </row>
    <row r="5" spans="1:30" s="20" customFormat="1" ht="3.95" customHeight="1" thickBot="1" x14ac:dyDescent="0.3">
      <c r="A5" s="23"/>
      <c r="B5" s="500"/>
      <c r="C5" s="500"/>
      <c r="D5" s="500"/>
      <c r="E5" s="500"/>
      <c r="F5" s="500"/>
      <c r="G5" s="500"/>
      <c r="H5" s="500"/>
      <c r="I5" s="500"/>
      <c r="J5" s="500"/>
      <c r="K5" s="500"/>
      <c r="L5" s="300"/>
      <c r="M5" s="24"/>
      <c r="Q5" s="22"/>
      <c r="R5" s="22"/>
      <c r="S5" s="25" t="s">
        <v>87</v>
      </c>
      <c r="T5" s="22"/>
      <c r="U5" s="21"/>
      <c r="V5" s="21"/>
      <c r="W5" s="21"/>
      <c r="X5" s="21"/>
      <c r="Y5" s="21"/>
      <c r="Z5" s="21"/>
      <c r="AA5" s="21"/>
      <c r="AB5" s="21"/>
      <c r="AC5" s="21"/>
      <c r="AD5" s="21"/>
    </row>
    <row r="6" spans="1:30" s="20" customFormat="1" ht="24.75" customHeight="1" x14ac:dyDescent="0.25">
      <c r="A6" s="540" t="s">
        <v>11</v>
      </c>
      <c r="B6" s="541"/>
      <c r="C6" s="617">
        <f>'1'!C6</f>
        <v>0</v>
      </c>
      <c r="D6" s="617"/>
      <c r="E6" s="617"/>
      <c r="F6" s="617"/>
      <c r="G6" s="617"/>
      <c r="H6" s="541" t="s">
        <v>84</v>
      </c>
      <c r="I6" s="541"/>
      <c r="J6" s="544">
        <f>'2'!J6</f>
        <v>0</v>
      </c>
      <c r="K6" s="544"/>
      <c r="L6" s="544"/>
      <c r="M6" s="545"/>
      <c r="R6" s="21"/>
      <c r="S6" s="25" t="s">
        <v>90</v>
      </c>
      <c r="T6" s="21"/>
      <c r="U6" s="21"/>
      <c r="V6" s="21"/>
      <c r="W6" s="21"/>
      <c r="X6" s="21"/>
      <c r="Y6" s="21"/>
      <c r="Z6" s="21"/>
      <c r="AA6" s="21"/>
      <c r="AB6" s="21"/>
      <c r="AC6" s="21"/>
      <c r="AD6" s="21"/>
    </row>
    <row r="7" spans="1:30" s="20" customFormat="1" ht="24" customHeight="1" x14ac:dyDescent="0.25">
      <c r="A7" s="542" t="s">
        <v>12</v>
      </c>
      <c r="B7" s="543"/>
      <c r="C7" s="624">
        <f>'1'!C7</f>
        <v>0</v>
      </c>
      <c r="D7" s="624"/>
      <c r="E7" s="624"/>
      <c r="F7" s="624"/>
      <c r="G7" s="624"/>
      <c r="H7" s="543" t="s">
        <v>86</v>
      </c>
      <c r="I7" s="543"/>
      <c r="J7" s="550">
        <f>'1'!J7</f>
        <v>0</v>
      </c>
      <c r="K7" s="550"/>
      <c r="L7" s="550"/>
      <c r="M7" s="551"/>
      <c r="R7" s="21"/>
      <c r="S7" s="25" t="s">
        <v>94</v>
      </c>
      <c r="T7" s="21"/>
      <c r="U7" s="21"/>
      <c r="V7" s="21"/>
      <c r="W7" s="21"/>
      <c r="X7" s="21"/>
      <c r="Y7" s="21"/>
      <c r="Z7" s="21"/>
      <c r="AA7" s="21"/>
      <c r="AB7" s="21"/>
      <c r="AC7" s="21"/>
      <c r="AD7" s="21"/>
    </row>
    <row r="8" spans="1:30" s="20" customFormat="1" ht="24.75" customHeight="1" x14ac:dyDescent="0.25">
      <c r="A8" s="542" t="s">
        <v>88</v>
      </c>
      <c r="B8" s="543"/>
      <c r="C8" s="625">
        <f>'1'!C8</f>
        <v>0</v>
      </c>
      <c r="D8" s="472"/>
      <c r="E8" s="472"/>
      <c r="F8" s="472"/>
      <c r="G8" s="472"/>
      <c r="H8" s="543" t="s">
        <v>89</v>
      </c>
      <c r="I8" s="543"/>
      <c r="J8" s="550">
        <f>'1'!J8</f>
        <v>0</v>
      </c>
      <c r="K8" s="550"/>
      <c r="L8" s="550"/>
      <c r="M8" s="551"/>
      <c r="P8" s="20">
        <f>17-2.57</f>
        <v>14.43</v>
      </c>
      <c r="R8" s="21"/>
      <c r="S8" s="25" t="s">
        <v>97</v>
      </c>
      <c r="T8" s="21"/>
      <c r="U8" s="21"/>
      <c r="V8" s="21"/>
      <c r="W8" s="21"/>
      <c r="X8" s="21"/>
      <c r="Y8" s="21"/>
      <c r="Z8" s="21"/>
      <c r="AA8" s="21"/>
      <c r="AB8" s="21"/>
      <c r="AC8" s="21"/>
      <c r="AD8" s="21"/>
    </row>
    <row r="9" spans="1:30" s="20" customFormat="1" ht="24.75" customHeight="1" x14ac:dyDescent="0.25">
      <c r="A9" s="542" t="s">
        <v>91</v>
      </c>
      <c r="B9" s="543"/>
      <c r="C9" s="472">
        <f>'1'!C9</f>
        <v>0</v>
      </c>
      <c r="D9" s="472"/>
      <c r="E9" s="472"/>
      <c r="F9" s="472"/>
      <c r="G9" s="472"/>
      <c r="H9" s="543" t="s">
        <v>92</v>
      </c>
      <c r="I9" s="543"/>
      <c r="J9" s="26" t="s">
        <v>93</v>
      </c>
      <c r="K9" s="265" t="s">
        <v>161</v>
      </c>
      <c r="L9" s="214" t="s">
        <v>20</v>
      </c>
      <c r="M9" s="216">
        <f>'1'!L9</f>
        <v>0</v>
      </c>
      <c r="R9" s="21"/>
      <c r="S9" s="25"/>
      <c r="T9" s="21"/>
      <c r="U9" s="21"/>
      <c r="V9" s="21"/>
      <c r="W9" s="21"/>
      <c r="X9" s="21"/>
      <c r="Y9" s="21"/>
      <c r="Z9" s="21"/>
      <c r="AA9" s="21"/>
      <c r="AB9" s="21"/>
      <c r="AC9" s="21"/>
      <c r="AD9" s="21"/>
    </row>
    <row r="10" spans="1:30" s="20" customFormat="1" ht="24.75" customHeight="1" x14ac:dyDescent="0.25">
      <c r="A10" s="542" t="s">
        <v>95</v>
      </c>
      <c r="B10" s="543"/>
      <c r="C10" s="472" t="str">
        <f>'1'!C10</f>
        <v>CLIENTE</v>
      </c>
      <c r="D10" s="472"/>
      <c r="E10" s="472"/>
      <c r="F10" s="472"/>
      <c r="G10" s="472"/>
      <c r="H10" s="627" t="s">
        <v>96</v>
      </c>
      <c r="I10" s="627"/>
      <c r="J10" s="552" t="str">
        <f>'1'!J10</f>
        <v xml:space="preserve"> --</v>
      </c>
      <c r="K10" s="552"/>
      <c r="L10" s="552"/>
      <c r="M10" s="553"/>
      <c r="R10" s="21"/>
      <c r="S10" s="25"/>
      <c r="T10" s="21"/>
      <c r="U10" s="21"/>
      <c r="V10" s="21"/>
      <c r="W10" s="21"/>
      <c r="X10" s="21"/>
      <c r="Y10" s="21"/>
      <c r="Z10" s="21"/>
      <c r="AA10" s="21"/>
      <c r="AB10" s="21"/>
      <c r="AC10" s="21"/>
      <c r="AD10" s="21"/>
    </row>
    <row r="11" spans="1:30" s="20" customFormat="1" ht="3.95" customHeight="1" thickBot="1" x14ac:dyDescent="0.3">
      <c r="A11" s="23"/>
      <c r="B11" s="561"/>
      <c r="C11" s="561"/>
      <c r="D11" s="561"/>
      <c r="E11" s="561"/>
      <c r="F11" s="561"/>
      <c r="G11" s="561"/>
      <c r="H11" s="561"/>
      <c r="I11" s="561"/>
      <c r="J11" s="561"/>
      <c r="K11" s="561"/>
      <c r="L11" s="323"/>
      <c r="M11" s="211"/>
      <c r="R11" s="21"/>
      <c r="S11" s="25"/>
      <c r="T11" s="21"/>
      <c r="U11" s="21"/>
      <c r="V11" s="21"/>
      <c r="W11" s="21"/>
      <c r="X11" s="21"/>
      <c r="Y11" s="21"/>
      <c r="Z11" s="21"/>
      <c r="AA11" s="21"/>
      <c r="AB11" s="21"/>
      <c r="AC11" s="21"/>
      <c r="AD11" s="21"/>
    </row>
    <row r="12" spans="1:30" s="20" customFormat="1" ht="24" customHeight="1" x14ac:dyDescent="0.25">
      <c r="A12" s="540" t="s">
        <v>13</v>
      </c>
      <c r="B12" s="541"/>
      <c r="C12" s="560" t="str">
        <f>'2'!C12</f>
        <v xml:space="preserve">SONDEO     </v>
      </c>
      <c r="D12" s="560"/>
      <c r="E12" s="560"/>
      <c r="F12" s="304" t="s">
        <v>98</v>
      </c>
      <c r="G12" s="303">
        <f>'2'!G12</f>
        <v>0</v>
      </c>
      <c r="H12" s="626" t="s">
        <v>99</v>
      </c>
      <c r="I12" s="626"/>
      <c r="J12" s="70">
        <f>'2'!J12</f>
        <v>0</v>
      </c>
      <c r="K12" s="305" t="s">
        <v>20</v>
      </c>
      <c r="L12" s="628">
        <f>'2'!L12</f>
        <v>0</v>
      </c>
      <c r="M12" s="629"/>
      <c r="R12" s="21"/>
      <c r="T12" s="21"/>
      <c r="U12" s="21"/>
      <c r="V12" s="21"/>
      <c r="W12" s="21"/>
      <c r="X12" s="21"/>
      <c r="Y12" s="21"/>
      <c r="Z12" s="21"/>
      <c r="AA12" s="21"/>
      <c r="AB12" s="21"/>
      <c r="AC12" s="21"/>
      <c r="AD12" s="21"/>
    </row>
    <row r="13" spans="1:30" s="20" customFormat="1" ht="24" customHeight="1" x14ac:dyDescent="0.25">
      <c r="A13" s="542" t="s">
        <v>100</v>
      </c>
      <c r="B13" s="543"/>
      <c r="C13" s="472">
        <f>'2'!C13</f>
        <v>0</v>
      </c>
      <c r="D13" s="472"/>
      <c r="E13" s="472"/>
      <c r="F13" s="562"/>
      <c r="G13" s="472"/>
      <c r="H13" s="562"/>
      <c r="I13" s="562"/>
      <c r="J13" s="472"/>
      <c r="K13" s="472"/>
      <c r="L13" s="472"/>
      <c r="M13" s="473"/>
      <c r="R13" s="21"/>
      <c r="T13" s="21"/>
      <c r="U13" s="21"/>
      <c r="V13" s="21"/>
      <c r="W13" s="21"/>
      <c r="X13" s="21"/>
      <c r="Y13" s="21"/>
      <c r="Z13" s="21"/>
      <c r="AA13" s="21"/>
      <c r="AB13" s="21"/>
      <c r="AC13" s="21"/>
      <c r="AD13" s="21"/>
    </row>
    <row r="14" spans="1:30" s="20" customFormat="1" ht="6.95" customHeight="1" thickBot="1" x14ac:dyDescent="0.3">
      <c r="A14" s="27"/>
      <c r="B14" s="28"/>
      <c r="C14" s="29"/>
      <c r="D14" s="29"/>
      <c r="E14" s="29"/>
      <c r="F14" s="29"/>
      <c r="G14" s="29"/>
      <c r="H14" s="29"/>
      <c r="I14" s="29"/>
      <c r="J14" s="29"/>
      <c r="K14" s="29"/>
      <c r="L14" s="29"/>
      <c r="M14" s="30"/>
      <c r="R14" s="21"/>
      <c r="S14" s="21"/>
      <c r="T14" s="21"/>
      <c r="U14" s="21"/>
      <c r="V14" s="21"/>
      <c r="W14" s="21"/>
      <c r="X14" s="62"/>
      <c r="Y14" s="62"/>
      <c r="Z14" s="62"/>
      <c r="AA14" s="62"/>
      <c r="AB14" s="21"/>
      <c r="AC14" s="21"/>
      <c r="AD14" s="21"/>
    </row>
    <row r="15" spans="1:30" s="20" customFormat="1" ht="14.25" customHeight="1" thickBot="1" x14ac:dyDescent="0.3">
      <c r="A15" s="23"/>
      <c r="B15" s="229"/>
      <c r="C15" s="324"/>
      <c r="D15" s="324"/>
      <c r="E15" s="324"/>
      <c r="F15" s="324"/>
      <c r="G15" s="324"/>
      <c r="H15" s="324"/>
      <c r="I15" s="324"/>
      <c r="J15" s="324"/>
      <c r="K15" s="324"/>
      <c r="L15" s="324"/>
      <c r="M15" s="68"/>
      <c r="R15" s="21"/>
      <c r="S15" s="21"/>
      <c r="T15" s="21"/>
      <c r="U15" s="21"/>
      <c r="V15" s="21"/>
      <c r="W15" s="21"/>
      <c r="X15" s="62"/>
      <c r="Y15" s="62"/>
      <c r="Z15" s="62"/>
      <c r="AA15" s="62"/>
      <c r="AB15" s="21"/>
      <c r="AC15" s="21"/>
      <c r="AD15" s="21"/>
    </row>
    <row r="16" spans="1:30" s="20" customFormat="1" ht="30" customHeight="1" thickBot="1" x14ac:dyDescent="0.3">
      <c r="A16" s="613" t="s">
        <v>121</v>
      </c>
      <c r="B16" s="614"/>
      <c r="C16" s="614"/>
      <c r="D16" s="614"/>
      <c r="E16" s="614"/>
      <c r="F16" s="614"/>
      <c r="G16" s="614"/>
      <c r="H16" s="614"/>
      <c r="I16" s="614"/>
      <c r="J16" s="614"/>
      <c r="K16" s="614"/>
      <c r="L16" s="614"/>
      <c r="M16" s="615"/>
      <c r="R16" s="21"/>
      <c r="S16" s="21"/>
      <c r="T16" s="21"/>
      <c r="U16" s="21"/>
      <c r="V16" s="21"/>
      <c r="W16" s="21"/>
      <c r="X16" s="62"/>
      <c r="Y16" s="62"/>
      <c r="Z16" s="62"/>
      <c r="AA16" s="62"/>
      <c r="AB16" s="21"/>
      <c r="AC16" s="21"/>
      <c r="AD16" s="21"/>
    </row>
    <row r="17" spans="1:32" ht="6.75" customHeight="1" thickBot="1" x14ac:dyDescent="0.3">
      <c r="A17" s="125"/>
      <c r="B17" s="249"/>
      <c r="C17" s="249"/>
      <c r="D17" s="249"/>
      <c r="E17" s="249"/>
      <c r="F17" s="250"/>
      <c r="G17" s="616"/>
      <c r="H17" s="616"/>
      <c r="I17" s="251"/>
      <c r="J17" s="252"/>
      <c r="K17" s="249"/>
      <c r="L17" s="249"/>
      <c r="M17" s="126"/>
      <c r="X17" s="63"/>
      <c r="Y17" s="64"/>
      <c r="Z17" s="65"/>
      <c r="AA17" s="63"/>
    </row>
    <row r="18" spans="1:32" ht="36" customHeight="1" thickBot="1" x14ac:dyDescent="0.3">
      <c r="A18" s="288" t="s">
        <v>57</v>
      </c>
      <c r="B18" s="291" t="s">
        <v>58</v>
      </c>
      <c r="C18" s="291" t="s">
        <v>59</v>
      </c>
      <c r="D18" s="427" t="s">
        <v>60</v>
      </c>
      <c r="E18" s="427" t="s">
        <v>61</v>
      </c>
      <c r="F18" s="291" t="s">
        <v>59</v>
      </c>
      <c r="G18" s="427" t="s">
        <v>60</v>
      </c>
      <c r="H18" s="427" t="s">
        <v>61</v>
      </c>
      <c r="I18" s="291" t="s">
        <v>59</v>
      </c>
      <c r="J18" s="427" t="s">
        <v>60</v>
      </c>
      <c r="K18" s="609" t="s">
        <v>61</v>
      </c>
      <c r="L18" s="609"/>
      <c r="M18" s="610"/>
      <c r="O18" s="622" t="s">
        <v>123</v>
      </c>
      <c r="P18" s="622"/>
      <c r="Q18" s="623"/>
      <c r="R18" s="622" t="s">
        <v>124</v>
      </c>
      <c r="S18" s="622"/>
      <c r="T18" s="623"/>
      <c r="U18" s="622" t="s">
        <v>125</v>
      </c>
      <c r="V18" s="622"/>
      <c r="W18" s="623"/>
      <c r="AD18">
        <f>C20/1.23</f>
        <v>0</v>
      </c>
      <c r="AE18">
        <v>0.1626877698164928</v>
      </c>
      <c r="AF18">
        <f>AE18*0.12</f>
        <v>1.9522532377979136E-2</v>
      </c>
    </row>
    <row r="19" spans="1:32" ht="13.5" customHeight="1" x14ac:dyDescent="0.25">
      <c r="A19" s="282">
        <v>0</v>
      </c>
      <c r="B19" s="283">
        <f>SQRT(A19)</f>
        <v>0</v>
      </c>
      <c r="C19" s="284">
        <v>0</v>
      </c>
      <c r="D19" s="285">
        <f>'1'!D18*10</f>
        <v>0</v>
      </c>
      <c r="E19" s="428">
        <v>0</v>
      </c>
      <c r="F19" s="286">
        <f>LOOKUP(A19,S21:S437,T21:T437)</f>
        <v>0</v>
      </c>
      <c r="G19" s="287">
        <f>'1'!D18*10</f>
        <v>0</v>
      </c>
      <c r="H19" s="286">
        <v>0</v>
      </c>
      <c r="I19" s="284">
        <f>LOOKUP(A19,V21:V426,W21:W426)</f>
        <v>0</v>
      </c>
      <c r="J19" s="285">
        <f>'1'!D18*10</f>
        <v>0</v>
      </c>
      <c r="K19" s="611">
        <v>0</v>
      </c>
      <c r="L19" s="611"/>
      <c r="M19" s="612"/>
      <c r="O19" s="622"/>
      <c r="P19" s="622"/>
      <c r="Q19" s="623"/>
      <c r="R19" s="622"/>
      <c r="S19" s="622"/>
      <c r="T19" s="623"/>
      <c r="U19" s="622"/>
      <c r="V19" s="622"/>
      <c r="W19" s="623"/>
      <c r="AD19">
        <f>C21/1.23</f>
        <v>0</v>
      </c>
      <c r="AE19">
        <v>0.1701</v>
      </c>
      <c r="AF19">
        <f t="shared" ref="AF19:AF43" si="0">AE19*0.12</f>
        <v>2.0412E-2</v>
      </c>
    </row>
    <row r="20" spans="1:32" ht="13.5" customHeight="1" x14ac:dyDescent="0.25">
      <c r="A20" s="260">
        <v>0.1</v>
      </c>
      <c r="B20" s="259">
        <f>SQRT(A20)</f>
        <v>0.31622776601683794</v>
      </c>
      <c r="C20" s="253">
        <f>LOOKUP(A20,P22:P245,Q22:Q245)</f>
        <v>0</v>
      </c>
      <c r="D20" s="254">
        <f>$D$19-C20</f>
        <v>0</v>
      </c>
      <c r="E20" s="426" t="e">
        <f>(C20/$D$19)*100</f>
        <v>#DIV/0!</v>
      </c>
      <c r="F20" s="255">
        <f>AVERAGE(C20,I20)*0.99</f>
        <v>0</v>
      </c>
      <c r="G20" s="256">
        <f>$G$19-F20</f>
        <v>0</v>
      </c>
      <c r="H20" s="255" t="e">
        <f t="shared" ref="H20:H34" si="1">(F20/$G$19)*100</f>
        <v>#DIV/0!</v>
      </c>
      <c r="I20" s="284">
        <f t="shared" ref="I20:I33" si="2">LOOKUP(A20,V22:V427,W22:W427)</f>
        <v>0</v>
      </c>
      <c r="J20" s="254">
        <f>$J$19-I20</f>
        <v>0</v>
      </c>
      <c r="K20" s="607" t="e">
        <f t="shared" ref="K20:K24" si="3">(I20/$J$19)*100</f>
        <v>#DIV/0!</v>
      </c>
      <c r="L20" s="607"/>
      <c r="M20" s="608"/>
      <c r="O20" s="147" t="s">
        <v>80</v>
      </c>
      <c r="P20" s="147"/>
      <c r="Q20" s="148" t="s">
        <v>81</v>
      </c>
      <c r="R20" s="147" t="s">
        <v>80</v>
      </c>
      <c r="S20" s="147"/>
      <c r="T20" s="148" t="s">
        <v>81</v>
      </c>
      <c r="U20" s="147" t="s">
        <v>80</v>
      </c>
      <c r="V20" s="147"/>
      <c r="W20" s="148" t="s">
        <v>81</v>
      </c>
      <c r="AD20">
        <f>C22/1.23</f>
        <v>0</v>
      </c>
      <c r="AE20">
        <v>0.17910000000000001</v>
      </c>
      <c r="AF20">
        <f t="shared" si="0"/>
        <v>2.1492000000000001E-2</v>
      </c>
    </row>
    <row r="21" spans="1:32" ht="13.5" customHeight="1" x14ac:dyDescent="0.25">
      <c r="A21" s="260">
        <v>0.25</v>
      </c>
      <c r="B21" s="259">
        <f t="shared" ref="B21:B48" si="4">SQRT(A21)</f>
        <v>0.5</v>
      </c>
      <c r="C21" s="253">
        <f t="shared" ref="C21:C30" si="5">LOOKUP(A21,P23:P246,Q23:Q246)</f>
        <v>0</v>
      </c>
      <c r="D21" s="254">
        <f t="shared" ref="D21:D34" si="6">$D$19-C21</f>
        <v>0</v>
      </c>
      <c r="E21" s="426" t="e">
        <f t="shared" ref="E21:E34" si="7">(C21/$D$19)*100</f>
        <v>#DIV/0!</v>
      </c>
      <c r="F21" s="255">
        <f t="shared" ref="F21:F33" si="8">AVERAGE(C21,I21)*0.99</f>
        <v>0.29601</v>
      </c>
      <c r="G21" s="256">
        <f t="shared" ref="G21:G34" si="9">$G$19-F21</f>
        <v>-0.29601</v>
      </c>
      <c r="H21" s="255" t="e">
        <f t="shared" si="1"/>
        <v>#DIV/0!</v>
      </c>
      <c r="I21" s="284">
        <v>0.59799999999999998</v>
      </c>
      <c r="J21" s="254">
        <f>$J$19-I21</f>
        <v>-0.59799999999999998</v>
      </c>
      <c r="K21" s="607" t="e">
        <f t="shared" si="3"/>
        <v>#DIV/0!</v>
      </c>
      <c r="L21" s="607"/>
      <c r="M21" s="608"/>
      <c r="O21" s="147">
        <v>0</v>
      </c>
      <c r="P21" s="150">
        <f>O21/60</f>
        <v>0</v>
      </c>
      <c r="Q21" s="149"/>
      <c r="R21" s="147">
        <f>AVERAGE(O21,U21)</f>
        <v>0</v>
      </c>
      <c r="S21" s="150">
        <f>AVERAGE(P21,V21)</f>
        <v>0</v>
      </c>
      <c r="T21" s="149"/>
      <c r="U21" s="147">
        <v>0</v>
      </c>
      <c r="V21" s="150">
        <f>U21/60</f>
        <v>0</v>
      </c>
      <c r="W21" s="149"/>
      <c r="X21" s="298"/>
      <c r="AD21">
        <f>C23/1.23</f>
        <v>0</v>
      </c>
      <c r="AE21">
        <v>0.19350000000000001</v>
      </c>
      <c r="AF21">
        <f t="shared" si="0"/>
        <v>2.3220000000000001E-2</v>
      </c>
    </row>
    <row r="22" spans="1:32" ht="13.5" customHeight="1" x14ac:dyDescent="0.25">
      <c r="A22" s="260">
        <v>0.5</v>
      </c>
      <c r="B22" s="259">
        <f t="shared" si="4"/>
        <v>0.70710678118654757</v>
      </c>
      <c r="C22" s="253">
        <f t="shared" si="5"/>
        <v>0</v>
      </c>
      <c r="D22" s="254">
        <f t="shared" si="6"/>
        <v>0</v>
      </c>
      <c r="E22" s="426" t="e">
        <f t="shared" si="7"/>
        <v>#DIV/0!</v>
      </c>
      <c r="F22" s="255">
        <f t="shared" si="8"/>
        <v>0</v>
      </c>
      <c r="G22" s="256">
        <f t="shared" si="9"/>
        <v>0</v>
      </c>
      <c r="H22" s="255" t="e">
        <f t="shared" si="1"/>
        <v>#DIV/0!</v>
      </c>
      <c r="I22" s="284">
        <f t="shared" si="2"/>
        <v>0</v>
      </c>
      <c r="J22" s="254">
        <f t="shared" ref="J22:J33" si="10">$J$19-I22</f>
        <v>0</v>
      </c>
      <c r="K22" s="607" t="e">
        <f t="shared" si="3"/>
        <v>#DIV/0!</v>
      </c>
      <c r="L22" s="607"/>
      <c r="M22" s="608"/>
      <c r="O22" s="147">
        <v>1</v>
      </c>
      <c r="P22" s="150">
        <f>O22/60</f>
        <v>1.6666666666666666E-2</v>
      </c>
      <c r="Q22" s="149"/>
      <c r="R22" s="147">
        <f>AVERAGE(O22,U22)</f>
        <v>1</v>
      </c>
      <c r="S22" s="150">
        <f t="shared" ref="S22:S84" si="11">AVERAGE(P22,V22)</f>
        <v>1.6666666666666666E-2</v>
      </c>
      <c r="T22" s="149"/>
      <c r="U22" s="147">
        <v>1</v>
      </c>
      <c r="V22" s="150">
        <f>U22/60</f>
        <v>1.6666666666666666E-2</v>
      </c>
      <c r="W22" s="149"/>
      <c r="AD22">
        <f>C24/1.23</f>
        <v>0</v>
      </c>
      <c r="AE22">
        <v>0.2079</v>
      </c>
      <c r="AF22">
        <f t="shared" si="0"/>
        <v>2.4947999999999998E-2</v>
      </c>
    </row>
    <row r="23" spans="1:32" ht="13.5" customHeight="1" x14ac:dyDescent="0.25">
      <c r="A23" s="260">
        <v>1</v>
      </c>
      <c r="B23" s="259">
        <f t="shared" si="4"/>
        <v>1</v>
      </c>
      <c r="C23" s="253">
        <f t="shared" si="5"/>
        <v>0</v>
      </c>
      <c r="D23" s="254">
        <f t="shared" si="6"/>
        <v>0</v>
      </c>
      <c r="E23" s="426" t="e">
        <f t="shared" si="7"/>
        <v>#DIV/0!</v>
      </c>
      <c r="F23" s="255">
        <f t="shared" si="8"/>
        <v>0.30789</v>
      </c>
      <c r="G23" s="256">
        <f t="shared" si="9"/>
        <v>-0.30789</v>
      </c>
      <c r="H23" s="255" t="e">
        <f t="shared" si="1"/>
        <v>#DIV/0!</v>
      </c>
      <c r="I23" s="284">
        <v>0.622</v>
      </c>
      <c r="J23" s="254">
        <f t="shared" si="10"/>
        <v>-0.622</v>
      </c>
      <c r="K23" s="607" t="e">
        <f t="shared" si="3"/>
        <v>#DIV/0!</v>
      </c>
      <c r="L23" s="607"/>
      <c r="M23" s="608"/>
      <c r="O23" s="147">
        <v>2</v>
      </c>
      <c r="P23" s="150">
        <f t="shared" ref="P23:P85" si="12">O23/60</f>
        <v>3.3333333333333333E-2</v>
      </c>
      <c r="Q23" s="149"/>
      <c r="R23" s="147">
        <f t="shared" ref="R23:R84" si="13">AVERAGE(O23,U23)</f>
        <v>2</v>
      </c>
      <c r="S23" s="150">
        <f t="shared" si="11"/>
        <v>3.3333333333333333E-2</v>
      </c>
      <c r="T23" s="149"/>
      <c r="U23" s="147">
        <v>2</v>
      </c>
      <c r="V23" s="150">
        <f t="shared" ref="V23:V86" si="14">U23/60</f>
        <v>3.3333333333333333E-2</v>
      </c>
      <c r="W23" s="149"/>
      <c r="AD23">
        <f t="shared" ref="AD23:AD47" si="15">C25*1.23</f>
        <v>0</v>
      </c>
      <c r="AE23">
        <v>0.22950000000000001</v>
      </c>
      <c r="AF23">
        <f t="shared" si="0"/>
        <v>2.7539999999999999E-2</v>
      </c>
    </row>
    <row r="24" spans="1:32" ht="13.5" customHeight="1" x14ac:dyDescent="0.25">
      <c r="A24" s="260">
        <v>2</v>
      </c>
      <c r="B24" s="259">
        <f t="shared" si="4"/>
        <v>1.4142135623730951</v>
      </c>
      <c r="C24" s="253">
        <f t="shared" si="5"/>
        <v>0</v>
      </c>
      <c r="D24" s="254">
        <f t="shared" si="6"/>
        <v>0</v>
      </c>
      <c r="E24" s="426" t="e">
        <f t="shared" si="7"/>
        <v>#DIV/0!</v>
      </c>
      <c r="F24" s="255">
        <f t="shared" si="8"/>
        <v>0</v>
      </c>
      <c r="G24" s="256">
        <f t="shared" si="9"/>
        <v>0</v>
      </c>
      <c r="H24" s="255" t="e">
        <f t="shared" si="1"/>
        <v>#DIV/0!</v>
      </c>
      <c r="I24" s="284">
        <f t="shared" si="2"/>
        <v>0</v>
      </c>
      <c r="J24" s="254">
        <f t="shared" si="10"/>
        <v>0</v>
      </c>
      <c r="K24" s="607" t="e">
        <f t="shared" si="3"/>
        <v>#DIV/0!</v>
      </c>
      <c r="L24" s="607"/>
      <c r="M24" s="608"/>
      <c r="O24" s="147">
        <v>3</v>
      </c>
      <c r="P24" s="150">
        <f t="shared" si="12"/>
        <v>0.05</v>
      </c>
      <c r="Q24" s="149"/>
      <c r="R24" s="147">
        <f t="shared" si="13"/>
        <v>3</v>
      </c>
      <c r="S24" s="150">
        <f t="shared" si="11"/>
        <v>0.05</v>
      </c>
      <c r="T24" s="149"/>
      <c r="U24" s="147">
        <v>3</v>
      </c>
      <c r="V24" s="150">
        <f t="shared" si="14"/>
        <v>0.05</v>
      </c>
      <c r="W24" s="149"/>
      <c r="AD24">
        <f t="shared" si="15"/>
        <v>0</v>
      </c>
      <c r="AE24">
        <v>0.24480000000000002</v>
      </c>
      <c r="AF24">
        <f t="shared" si="0"/>
        <v>2.9375999999999999E-2</v>
      </c>
    </row>
    <row r="25" spans="1:32" ht="13.5" customHeight="1" x14ac:dyDescent="0.25">
      <c r="A25" s="260">
        <v>3</v>
      </c>
      <c r="B25" s="259">
        <f t="shared" si="4"/>
        <v>1.7320508075688772</v>
      </c>
      <c r="C25" s="253">
        <f t="shared" si="5"/>
        <v>0</v>
      </c>
      <c r="D25" s="254">
        <f t="shared" si="6"/>
        <v>0</v>
      </c>
      <c r="E25" s="426" t="e">
        <f t="shared" si="7"/>
        <v>#DIV/0!</v>
      </c>
      <c r="F25" s="255">
        <f t="shared" si="8"/>
        <v>0</v>
      </c>
      <c r="G25" s="256">
        <f t="shared" si="9"/>
        <v>0</v>
      </c>
      <c r="H25" s="255" t="e">
        <f t="shared" si="1"/>
        <v>#DIV/0!</v>
      </c>
      <c r="I25" s="284">
        <f t="shared" si="2"/>
        <v>0</v>
      </c>
      <c r="J25" s="254">
        <f t="shared" si="10"/>
        <v>0</v>
      </c>
      <c r="K25" s="607" t="e">
        <f t="shared" ref="K25:K33" si="16">(I25/$J$19)*100</f>
        <v>#DIV/0!</v>
      </c>
      <c r="L25" s="607"/>
      <c r="M25" s="608"/>
      <c r="O25" s="147">
        <v>4</v>
      </c>
      <c r="P25" s="150">
        <f t="shared" si="12"/>
        <v>6.6666666666666666E-2</v>
      </c>
      <c r="Q25" s="149"/>
      <c r="R25" s="147">
        <f t="shared" si="13"/>
        <v>4</v>
      </c>
      <c r="S25" s="150">
        <f t="shared" si="11"/>
        <v>6.6666666666666666E-2</v>
      </c>
      <c r="T25" s="149"/>
      <c r="U25" s="147">
        <v>4</v>
      </c>
      <c r="V25" s="150">
        <f t="shared" si="14"/>
        <v>6.6666666666666666E-2</v>
      </c>
      <c r="W25" s="149"/>
      <c r="AD25">
        <f t="shared" si="15"/>
        <v>0</v>
      </c>
      <c r="AE25">
        <v>0.25650000000000001</v>
      </c>
      <c r="AF25">
        <f t="shared" si="0"/>
        <v>3.0779999999999998E-2</v>
      </c>
    </row>
    <row r="26" spans="1:32" ht="13.5" customHeight="1" x14ac:dyDescent="0.25">
      <c r="A26" s="260">
        <v>4</v>
      </c>
      <c r="B26" s="259">
        <f t="shared" si="4"/>
        <v>2</v>
      </c>
      <c r="C26" s="253">
        <f t="shared" si="5"/>
        <v>0</v>
      </c>
      <c r="D26" s="254">
        <f t="shared" si="6"/>
        <v>0</v>
      </c>
      <c r="E26" s="426" t="e">
        <f t="shared" si="7"/>
        <v>#DIV/0!</v>
      </c>
      <c r="F26" s="255">
        <f t="shared" si="8"/>
        <v>0</v>
      </c>
      <c r="G26" s="256">
        <f t="shared" si="9"/>
        <v>0</v>
      </c>
      <c r="H26" s="255" t="e">
        <f t="shared" si="1"/>
        <v>#DIV/0!</v>
      </c>
      <c r="I26" s="284">
        <f t="shared" si="2"/>
        <v>0</v>
      </c>
      <c r="J26" s="254">
        <f t="shared" si="10"/>
        <v>0</v>
      </c>
      <c r="K26" s="607" t="e">
        <f t="shared" si="16"/>
        <v>#DIV/0!</v>
      </c>
      <c r="L26" s="607"/>
      <c r="M26" s="608"/>
      <c r="O26" s="147">
        <v>5</v>
      </c>
      <c r="P26" s="150">
        <f t="shared" si="12"/>
        <v>8.3333333333333329E-2</v>
      </c>
      <c r="Q26" s="149"/>
      <c r="R26" s="147">
        <f t="shared" si="13"/>
        <v>5</v>
      </c>
      <c r="S26" s="150">
        <f t="shared" si="11"/>
        <v>8.3333333333333329E-2</v>
      </c>
      <c r="T26" s="149"/>
      <c r="U26" s="147">
        <v>5</v>
      </c>
      <c r="V26" s="150">
        <f t="shared" si="14"/>
        <v>8.3333333333333329E-2</v>
      </c>
      <c r="W26" s="149"/>
      <c r="AD26">
        <f t="shared" si="15"/>
        <v>0</v>
      </c>
      <c r="AE26">
        <v>0.27179999999999999</v>
      </c>
      <c r="AF26">
        <f t="shared" si="0"/>
        <v>3.2615999999999999E-2</v>
      </c>
    </row>
    <row r="27" spans="1:32" ht="13.5" customHeight="1" x14ac:dyDescent="0.25">
      <c r="A27" s="260">
        <v>6</v>
      </c>
      <c r="B27" s="259">
        <f t="shared" si="4"/>
        <v>2.4494897427831779</v>
      </c>
      <c r="C27" s="253">
        <f t="shared" si="5"/>
        <v>0</v>
      </c>
      <c r="D27" s="254">
        <f t="shared" si="6"/>
        <v>0</v>
      </c>
      <c r="E27" s="426" t="e">
        <f t="shared" si="7"/>
        <v>#DIV/0!</v>
      </c>
      <c r="F27" s="255">
        <f t="shared" si="8"/>
        <v>0</v>
      </c>
      <c r="G27" s="256">
        <f t="shared" si="9"/>
        <v>0</v>
      </c>
      <c r="H27" s="255" t="e">
        <f t="shared" si="1"/>
        <v>#DIV/0!</v>
      </c>
      <c r="I27" s="284">
        <f t="shared" si="2"/>
        <v>0</v>
      </c>
      <c r="J27" s="254">
        <f t="shared" si="10"/>
        <v>0</v>
      </c>
      <c r="K27" s="607" t="e">
        <f t="shared" si="16"/>
        <v>#DIV/0!</v>
      </c>
      <c r="L27" s="607"/>
      <c r="M27" s="608"/>
      <c r="O27" s="147">
        <v>6</v>
      </c>
      <c r="P27" s="150">
        <f t="shared" si="12"/>
        <v>0.1</v>
      </c>
      <c r="Q27" s="149"/>
      <c r="R27" s="147">
        <f t="shared" si="13"/>
        <v>6</v>
      </c>
      <c r="S27" s="150">
        <f t="shared" si="11"/>
        <v>0.1</v>
      </c>
      <c r="T27" s="149"/>
      <c r="U27" s="147">
        <v>6</v>
      </c>
      <c r="V27" s="150">
        <f t="shared" si="14"/>
        <v>0.1</v>
      </c>
      <c r="W27" s="149"/>
      <c r="AD27">
        <f t="shared" si="15"/>
        <v>0</v>
      </c>
      <c r="AE27">
        <v>0.28079999999999999</v>
      </c>
      <c r="AF27">
        <f t="shared" si="0"/>
        <v>3.3695999999999997E-2</v>
      </c>
    </row>
    <row r="28" spans="1:32" ht="13.5" customHeight="1" x14ac:dyDescent="0.25">
      <c r="A28" s="260">
        <v>9</v>
      </c>
      <c r="B28" s="259">
        <f t="shared" si="4"/>
        <v>3</v>
      </c>
      <c r="C28" s="253">
        <f t="shared" si="5"/>
        <v>0</v>
      </c>
      <c r="D28" s="254">
        <f t="shared" si="6"/>
        <v>0</v>
      </c>
      <c r="E28" s="426" t="e">
        <f t="shared" si="7"/>
        <v>#DIV/0!</v>
      </c>
      <c r="F28" s="255">
        <f t="shared" si="8"/>
        <v>0</v>
      </c>
      <c r="G28" s="256">
        <f t="shared" si="9"/>
        <v>0</v>
      </c>
      <c r="H28" s="255" t="e">
        <f t="shared" si="1"/>
        <v>#DIV/0!</v>
      </c>
      <c r="I28" s="284">
        <f t="shared" si="2"/>
        <v>0</v>
      </c>
      <c r="J28" s="254">
        <f t="shared" si="10"/>
        <v>0</v>
      </c>
      <c r="K28" s="607" t="e">
        <f t="shared" si="16"/>
        <v>#DIV/0!</v>
      </c>
      <c r="L28" s="607"/>
      <c r="M28" s="608"/>
      <c r="O28" s="151">
        <v>7</v>
      </c>
      <c r="P28" s="150">
        <f t="shared" si="12"/>
        <v>0.11666666666666667</v>
      </c>
      <c r="Q28" s="149"/>
      <c r="R28" s="147">
        <f t="shared" si="13"/>
        <v>7</v>
      </c>
      <c r="S28" s="150">
        <f t="shared" si="11"/>
        <v>0.11666666666666667</v>
      </c>
      <c r="T28" s="149"/>
      <c r="U28" s="151">
        <v>7</v>
      </c>
      <c r="V28" s="150">
        <f t="shared" si="14"/>
        <v>0.11666666666666667</v>
      </c>
      <c r="W28" s="149"/>
      <c r="AD28">
        <f t="shared" si="15"/>
        <v>0</v>
      </c>
      <c r="AE28">
        <v>0.2853</v>
      </c>
      <c r="AF28">
        <f t="shared" si="0"/>
        <v>3.4235999999999996E-2</v>
      </c>
    </row>
    <row r="29" spans="1:32" ht="13.5" customHeight="1" x14ac:dyDescent="0.25">
      <c r="A29" s="260">
        <v>12</v>
      </c>
      <c r="B29" s="259">
        <f t="shared" si="4"/>
        <v>3.4641016151377544</v>
      </c>
      <c r="C29" s="253">
        <f t="shared" si="5"/>
        <v>0</v>
      </c>
      <c r="D29" s="254">
        <f t="shared" si="6"/>
        <v>0</v>
      </c>
      <c r="E29" s="426" t="e">
        <f t="shared" si="7"/>
        <v>#DIV/0!</v>
      </c>
      <c r="F29" s="255">
        <f t="shared" si="8"/>
        <v>0</v>
      </c>
      <c r="G29" s="256">
        <f t="shared" si="9"/>
        <v>0</v>
      </c>
      <c r="H29" s="255" t="e">
        <f t="shared" si="1"/>
        <v>#DIV/0!</v>
      </c>
      <c r="I29" s="284">
        <f t="shared" si="2"/>
        <v>0</v>
      </c>
      <c r="J29" s="254">
        <f t="shared" si="10"/>
        <v>0</v>
      </c>
      <c r="K29" s="607" t="e">
        <f t="shared" si="16"/>
        <v>#DIV/0!</v>
      </c>
      <c r="L29" s="607"/>
      <c r="M29" s="608"/>
      <c r="O29" s="147">
        <v>8</v>
      </c>
      <c r="P29" s="150">
        <f t="shared" si="12"/>
        <v>0.13333333333333333</v>
      </c>
      <c r="Q29" s="149"/>
      <c r="R29" s="147">
        <f t="shared" si="13"/>
        <v>8</v>
      </c>
      <c r="S29" s="150">
        <f t="shared" si="11"/>
        <v>0.13333333333333333</v>
      </c>
      <c r="T29" s="149"/>
      <c r="U29" s="147">
        <v>8</v>
      </c>
      <c r="V29" s="150">
        <f t="shared" si="14"/>
        <v>0.13333333333333333</v>
      </c>
      <c r="W29" s="149"/>
      <c r="AD29">
        <f t="shared" si="15"/>
        <v>8.9789999999999995E-2</v>
      </c>
      <c r="AE29">
        <v>0.28710000000000002</v>
      </c>
      <c r="AF29">
        <f t="shared" si="0"/>
        <v>3.4452000000000003E-2</v>
      </c>
    </row>
    <row r="30" spans="1:32" ht="13.5" customHeight="1" x14ac:dyDescent="0.25">
      <c r="A30" s="260">
        <v>16</v>
      </c>
      <c r="B30" s="259">
        <f t="shared" si="4"/>
        <v>4</v>
      </c>
      <c r="C30" s="253">
        <f t="shared" si="5"/>
        <v>0</v>
      </c>
      <c r="D30" s="254">
        <f t="shared" si="6"/>
        <v>0</v>
      </c>
      <c r="E30" s="426" t="e">
        <f t="shared" si="7"/>
        <v>#DIV/0!</v>
      </c>
      <c r="F30" s="255">
        <f t="shared" si="8"/>
        <v>0</v>
      </c>
      <c r="G30" s="256">
        <f t="shared" si="9"/>
        <v>0</v>
      </c>
      <c r="H30" s="255" t="e">
        <f t="shared" si="1"/>
        <v>#DIV/0!</v>
      </c>
      <c r="I30" s="284">
        <f t="shared" si="2"/>
        <v>0</v>
      </c>
      <c r="J30" s="254">
        <f t="shared" si="10"/>
        <v>0</v>
      </c>
      <c r="K30" s="607" t="e">
        <f t="shared" si="16"/>
        <v>#DIV/0!</v>
      </c>
      <c r="L30" s="607"/>
      <c r="M30" s="608"/>
      <c r="O30" s="147">
        <v>9</v>
      </c>
      <c r="P30" s="150">
        <f t="shared" si="12"/>
        <v>0.15</v>
      </c>
      <c r="Q30" s="149"/>
      <c r="R30" s="147">
        <f t="shared" si="13"/>
        <v>9</v>
      </c>
      <c r="S30" s="150">
        <f t="shared" si="11"/>
        <v>0.15</v>
      </c>
      <c r="T30" s="149"/>
      <c r="U30" s="147">
        <v>9</v>
      </c>
      <c r="V30" s="150">
        <f t="shared" si="14"/>
        <v>0.15</v>
      </c>
      <c r="W30" s="149"/>
      <c r="AD30">
        <f t="shared" si="15"/>
        <v>8.9789999999999995E-2</v>
      </c>
      <c r="AE30">
        <v>0.28889999999999999</v>
      </c>
      <c r="AF30">
        <f t="shared" si="0"/>
        <v>3.4667999999999997E-2</v>
      </c>
    </row>
    <row r="31" spans="1:32" ht="13.5" customHeight="1" x14ac:dyDescent="0.25">
      <c r="A31" s="260">
        <v>25</v>
      </c>
      <c r="B31" s="259">
        <f t="shared" si="4"/>
        <v>5</v>
      </c>
      <c r="C31" s="253">
        <v>7.2999999999999995E-2</v>
      </c>
      <c r="D31" s="254">
        <f t="shared" si="6"/>
        <v>-7.2999999999999995E-2</v>
      </c>
      <c r="E31" s="426" t="e">
        <f t="shared" si="7"/>
        <v>#DIV/0!</v>
      </c>
      <c r="F31" s="255">
        <f t="shared" si="8"/>
        <v>3.6135E-2</v>
      </c>
      <c r="G31" s="256">
        <f t="shared" si="9"/>
        <v>-3.6135E-2</v>
      </c>
      <c r="H31" s="255" t="e">
        <f t="shared" si="1"/>
        <v>#DIV/0!</v>
      </c>
      <c r="I31" s="284">
        <f t="shared" si="2"/>
        <v>0</v>
      </c>
      <c r="J31" s="254">
        <f t="shared" si="10"/>
        <v>0</v>
      </c>
      <c r="K31" s="607" t="e">
        <f t="shared" si="16"/>
        <v>#DIV/0!</v>
      </c>
      <c r="L31" s="607"/>
      <c r="M31" s="608"/>
      <c r="O31" s="151">
        <v>10</v>
      </c>
      <c r="P31" s="150">
        <f t="shared" si="12"/>
        <v>0.16666666666666666</v>
      </c>
      <c r="Q31" s="149"/>
      <c r="R31" s="147">
        <f t="shared" si="13"/>
        <v>10</v>
      </c>
      <c r="S31" s="150">
        <f t="shared" si="11"/>
        <v>0.16666666666666666</v>
      </c>
      <c r="T31" s="149"/>
      <c r="U31" s="151">
        <v>10</v>
      </c>
      <c r="V31" s="150">
        <f t="shared" si="14"/>
        <v>0.16666666666666666</v>
      </c>
      <c r="W31" s="149"/>
      <c r="AD31">
        <f t="shared" si="15"/>
        <v>9.101999999999999E-2</v>
      </c>
      <c r="AE31">
        <v>0.2898</v>
      </c>
      <c r="AF31">
        <f t="shared" si="0"/>
        <v>3.4776000000000001E-2</v>
      </c>
    </row>
    <row r="32" spans="1:32" ht="13.5" customHeight="1" x14ac:dyDescent="0.25">
      <c r="A32" s="260">
        <v>36</v>
      </c>
      <c r="B32" s="259">
        <f t="shared" si="4"/>
        <v>6</v>
      </c>
      <c r="C32" s="253">
        <v>7.2999999999999995E-2</v>
      </c>
      <c r="D32" s="254">
        <f t="shared" si="6"/>
        <v>-7.2999999999999995E-2</v>
      </c>
      <c r="E32" s="426" t="e">
        <f t="shared" si="7"/>
        <v>#DIV/0!</v>
      </c>
      <c r="F32" s="255">
        <f t="shared" si="8"/>
        <v>3.6135E-2</v>
      </c>
      <c r="G32" s="256">
        <f t="shared" si="9"/>
        <v>-3.6135E-2</v>
      </c>
      <c r="H32" s="255" t="e">
        <f t="shared" si="1"/>
        <v>#DIV/0!</v>
      </c>
      <c r="I32" s="284">
        <f t="shared" si="2"/>
        <v>0</v>
      </c>
      <c r="J32" s="254">
        <f t="shared" si="10"/>
        <v>0</v>
      </c>
      <c r="K32" s="607" t="e">
        <f t="shared" si="16"/>
        <v>#DIV/0!</v>
      </c>
      <c r="L32" s="607"/>
      <c r="M32" s="608"/>
      <c r="O32" s="147">
        <v>11</v>
      </c>
      <c r="P32" s="150">
        <f t="shared" si="12"/>
        <v>0.18333333333333332</v>
      </c>
      <c r="Q32" s="149"/>
      <c r="R32" s="147">
        <f t="shared" si="13"/>
        <v>11</v>
      </c>
      <c r="S32" s="150">
        <f t="shared" si="11"/>
        <v>0.18333333333333332</v>
      </c>
      <c r="T32" s="149"/>
      <c r="U32" s="147">
        <v>11</v>
      </c>
      <c r="V32" s="150">
        <f t="shared" si="14"/>
        <v>0.18333333333333332</v>
      </c>
      <c r="W32" s="149"/>
      <c r="AD32">
        <f t="shared" si="15"/>
        <v>9.101999999999999E-2</v>
      </c>
      <c r="AE32">
        <v>0.29025000000000001</v>
      </c>
      <c r="AF32">
        <f t="shared" si="0"/>
        <v>3.483E-2</v>
      </c>
    </row>
    <row r="33" spans="1:32" ht="13.5" customHeight="1" x14ac:dyDescent="0.25">
      <c r="A33" s="260">
        <v>49</v>
      </c>
      <c r="B33" s="259">
        <f t="shared" si="4"/>
        <v>7</v>
      </c>
      <c r="C33" s="253">
        <v>7.3999999999999996E-2</v>
      </c>
      <c r="D33" s="254">
        <f t="shared" si="6"/>
        <v>-7.3999999999999996E-2</v>
      </c>
      <c r="E33" s="426" t="e">
        <f t="shared" si="7"/>
        <v>#DIV/0!</v>
      </c>
      <c r="F33" s="255">
        <f t="shared" si="8"/>
        <v>3.6629999999999996E-2</v>
      </c>
      <c r="G33" s="256">
        <f t="shared" si="9"/>
        <v>-3.6629999999999996E-2</v>
      </c>
      <c r="H33" s="255" t="e">
        <f t="shared" si="1"/>
        <v>#DIV/0!</v>
      </c>
      <c r="I33" s="284">
        <f t="shared" si="2"/>
        <v>0</v>
      </c>
      <c r="J33" s="254">
        <f t="shared" si="10"/>
        <v>0</v>
      </c>
      <c r="K33" s="607" t="e">
        <f t="shared" si="16"/>
        <v>#DIV/0!</v>
      </c>
      <c r="L33" s="607"/>
      <c r="M33" s="608"/>
      <c r="O33" s="147">
        <v>12</v>
      </c>
      <c r="P33" s="150">
        <f t="shared" si="12"/>
        <v>0.2</v>
      </c>
      <c r="Q33" s="149"/>
      <c r="R33" s="147">
        <f t="shared" si="13"/>
        <v>12</v>
      </c>
      <c r="S33" s="150">
        <f t="shared" si="11"/>
        <v>0.2</v>
      </c>
      <c r="T33" s="149"/>
      <c r="U33" s="147">
        <v>12</v>
      </c>
      <c r="V33" s="150">
        <f t="shared" si="14"/>
        <v>0.2</v>
      </c>
      <c r="W33" s="149"/>
      <c r="AD33" t="e">
        <f t="shared" si="15"/>
        <v>#VALUE!</v>
      </c>
      <c r="AE33">
        <v>0.29070000000000001</v>
      </c>
      <c r="AF33">
        <f t="shared" si="0"/>
        <v>3.4883999999999998E-2</v>
      </c>
    </row>
    <row r="34" spans="1:32" ht="13.5" customHeight="1" x14ac:dyDescent="0.25">
      <c r="A34" s="260">
        <v>64</v>
      </c>
      <c r="B34" s="259">
        <f t="shared" si="4"/>
        <v>8</v>
      </c>
      <c r="C34" s="253">
        <v>7.3999999999999996E-2</v>
      </c>
      <c r="D34" s="254">
        <f t="shared" si="6"/>
        <v>-7.3999999999999996E-2</v>
      </c>
      <c r="E34" s="426" t="e">
        <f t="shared" si="7"/>
        <v>#DIV/0!</v>
      </c>
      <c r="F34" s="255">
        <v>0.38</v>
      </c>
      <c r="G34" s="256">
        <f t="shared" si="9"/>
        <v>-0.38</v>
      </c>
      <c r="H34" s="255" t="e">
        <f t="shared" si="1"/>
        <v>#DIV/0!</v>
      </c>
      <c r="I34" s="257" t="s">
        <v>20</v>
      </c>
      <c r="J34" s="257" t="s">
        <v>20</v>
      </c>
      <c r="K34" s="607" t="s">
        <v>20</v>
      </c>
      <c r="L34" s="607"/>
      <c r="M34" s="608"/>
      <c r="O34" s="147">
        <v>13</v>
      </c>
      <c r="P34" s="150">
        <f t="shared" si="12"/>
        <v>0.21666666666666667</v>
      </c>
      <c r="Q34" s="149"/>
      <c r="R34" s="147">
        <f t="shared" si="13"/>
        <v>13</v>
      </c>
      <c r="S34" s="150">
        <f t="shared" si="11"/>
        <v>0.21666666666666667</v>
      </c>
      <c r="T34" s="149"/>
      <c r="U34" s="147">
        <v>13</v>
      </c>
      <c r="V34" s="150">
        <f t="shared" si="14"/>
        <v>0.21666666666666667</v>
      </c>
      <c r="W34" s="149"/>
      <c r="AD34" t="e">
        <f t="shared" si="15"/>
        <v>#VALUE!</v>
      </c>
      <c r="AE34">
        <v>0.29115000000000002</v>
      </c>
      <c r="AF34">
        <f t="shared" si="0"/>
        <v>3.4938000000000004E-2</v>
      </c>
    </row>
    <row r="35" spans="1:32" ht="13.5" customHeight="1" x14ac:dyDescent="0.25">
      <c r="A35" s="260">
        <v>81</v>
      </c>
      <c r="B35" s="259">
        <f t="shared" si="4"/>
        <v>9</v>
      </c>
      <c r="C35" s="253" t="s">
        <v>20</v>
      </c>
      <c r="D35" s="253" t="s">
        <v>20</v>
      </c>
      <c r="E35" s="253" t="s">
        <v>20</v>
      </c>
      <c r="F35" s="255" t="s">
        <v>20</v>
      </c>
      <c r="G35" s="255" t="s">
        <v>20</v>
      </c>
      <c r="H35" s="255" t="s">
        <v>20</v>
      </c>
      <c r="I35" s="257" t="s">
        <v>20</v>
      </c>
      <c r="J35" s="257" t="s">
        <v>20</v>
      </c>
      <c r="K35" s="607" t="s">
        <v>20</v>
      </c>
      <c r="L35" s="607"/>
      <c r="M35" s="608"/>
      <c r="O35" s="147">
        <v>14</v>
      </c>
      <c r="P35" s="150">
        <f t="shared" si="12"/>
        <v>0.23333333333333334</v>
      </c>
      <c r="Q35" s="149"/>
      <c r="R35" s="147">
        <f t="shared" si="13"/>
        <v>14</v>
      </c>
      <c r="S35" s="150">
        <f t="shared" si="11"/>
        <v>0.23333333333333334</v>
      </c>
      <c r="T35" s="149"/>
      <c r="U35" s="147">
        <v>14</v>
      </c>
      <c r="V35" s="150">
        <f t="shared" si="14"/>
        <v>0.23333333333333334</v>
      </c>
      <c r="W35" s="149"/>
      <c r="AD35" t="e">
        <f t="shared" si="15"/>
        <v>#VALUE!</v>
      </c>
      <c r="AE35">
        <v>0.29160000000000003</v>
      </c>
      <c r="AF35">
        <f t="shared" si="0"/>
        <v>3.4992000000000002E-2</v>
      </c>
    </row>
    <row r="36" spans="1:32" ht="13.5" customHeight="1" x14ac:dyDescent="0.25">
      <c r="A36" s="260">
        <v>100</v>
      </c>
      <c r="B36" s="259">
        <f>SQRT(A36)</f>
        <v>10</v>
      </c>
      <c r="C36" s="253" t="s">
        <v>20</v>
      </c>
      <c r="D36" s="253" t="s">
        <v>20</v>
      </c>
      <c r="E36" s="253" t="s">
        <v>20</v>
      </c>
      <c r="F36" s="255" t="s">
        <v>20</v>
      </c>
      <c r="G36" s="255" t="s">
        <v>20</v>
      </c>
      <c r="H36" s="255" t="s">
        <v>20</v>
      </c>
      <c r="I36" s="257" t="s">
        <v>20</v>
      </c>
      <c r="J36" s="257" t="s">
        <v>20</v>
      </c>
      <c r="K36" s="602" t="s">
        <v>20</v>
      </c>
      <c r="L36" s="602"/>
      <c r="M36" s="603"/>
      <c r="O36" s="147">
        <v>15</v>
      </c>
      <c r="P36" s="150">
        <f t="shared" si="12"/>
        <v>0.25</v>
      </c>
      <c r="Q36" s="149"/>
      <c r="R36" s="147">
        <f t="shared" si="13"/>
        <v>15</v>
      </c>
      <c r="S36" s="150">
        <f t="shared" si="11"/>
        <v>0.25</v>
      </c>
      <c r="T36" s="149"/>
      <c r="U36" s="147">
        <v>15</v>
      </c>
      <c r="V36" s="150">
        <f t="shared" si="14"/>
        <v>0.25</v>
      </c>
      <c r="W36" s="149"/>
      <c r="AD36" t="e">
        <f t="shared" si="15"/>
        <v>#VALUE!</v>
      </c>
      <c r="AE36">
        <v>0.29205000000000003</v>
      </c>
      <c r="AF36">
        <f t="shared" si="0"/>
        <v>3.5046000000000001E-2</v>
      </c>
    </row>
    <row r="37" spans="1:32" ht="13.5" customHeight="1" x14ac:dyDescent="0.25">
      <c r="A37" s="260">
        <v>120</v>
      </c>
      <c r="B37" s="259">
        <f t="shared" si="4"/>
        <v>10.954451150103322</v>
      </c>
      <c r="C37" s="253" t="s">
        <v>20</v>
      </c>
      <c r="D37" s="253" t="s">
        <v>20</v>
      </c>
      <c r="E37" s="253" t="s">
        <v>20</v>
      </c>
      <c r="F37" s="255" t="s">
        <v>20</v>
      </c>
      <c r="G37" s="258" t="s">
        <v>20</v>
      </c>
      <c r="H37" s="258" t="s">
        <v>20</v>
      </c>
      <c r="I37" s="257" t="s">
        <v>20</v>
      </c>
      <c r="J37" s="257" t="s">
        <v>20</v>
      </c>
      <c r="K37" s="602" t="s">
        <v>20</v>
      </c>
      <c r="L37" s="602"/>
      <c r="M37" s="603"/>
      <c r="O37" s="151">
        <v>16</v>
      </c>
      <c r="P37" s="150">
        <f t="shared" si="12"/>
        <v>0.26666666666666666</v>
      </c>
      <c r="Q37" s="149"/>
      <c r="R37" s="147">
        <f t="shared" si="13"/>
        <v>16</v>
      </c>
      <c r="S37" s="150">
        <f t="shared" si="11"/>
        <v>0.26666666666666666</v>
      </c>
      <c r="T37" s="149"/>
      <c r="U37" s="151">
        <v>16</v>
      </c>
      <c r="V37" s="150">
        <f t="shared" si="14"/>
        <v>0.26666666666666666</v>
      </c>
      <c r="W37" s="149"/>
      <c r="AD37" t="e">
        <f t="shared" si="15"/>
        <v>#VALUE!</v>
      </c>
      <c r="AE37">
        <v>0.29250000000000004</v>
      </c>
      <c r="AF37">
        <f t="shared" si="0"/>
        <v>3.5100000000000006E-2</v>
      </c>
    </row>
    <row r="38" spans="1:32" ht="13.5" customHeight="1" x14ac:dyDescent="0.25">
      <c r="A38" s="260">
        <v>144</v>
      </c>
      <c r="B38" s="259">
        <f t="shared" si="4"/>
        <v>12</v>
      </c>
      <c r="C38" s="253" t="s">
        <v>20</v>
      </c>
      <c r="D38" s="253" t="s">
        <v>20</v>
      </c>
      <c r="E38" s="253" t="s">
        <v>20</v>
      </c>
      <c r="F38" s="255" t="s">
        <v>20</v>
      </c>
      <c r="G38" s="258" t="s">
        <v>20</v>
      </c>
      <c r="H38" s="258" t="s">
        <v>20</v>
      </c>
      <c r="I38" s="257" t="s">
        <v>20</v>
      </c>
      <c r="J38" s="257" t="s">
        <v>20</v>
      </c>
      <c r="K38" s="602" t="s">
        <v>20</v>
      </c>
      <c r="L38" s="602"/>
      <c r="M38" s="603"/>
      <c r="O38" s="147">
        <v>17</v>
      </c>
      <c r="P38" s="150">
        <f t="shared" si="12"/>
        <v>0.28333333333333333</v>
      </c>
      <c r="Q38" s="149"/>
      <c r="R38" s="147">
        <f t="shared" si="13"/>
        <v>17</v>
      </c>
      <c r="S38" s="150">
        <f t="shared" si="11"/>
        <v>0.28333333333333333</v>
      </c>
      <c r="T38" s="149"/>
      <c r="U38" s="147">
        <v>17</v>
      </c>
      <c r="V38" s="150">
        <f t="shared" si="14"/>
        <v>0.28333333333333333</v>
      </c>
      <c r="W38" s="149"/>
      <c r="AD38" t="e">
        <f>C40*1.23</f>
        <v>#VALUE!</v>
      </c>
      <c r="AE38">
        <v>0.29295000000000004</v>
      </c>
      <c r="AF38">
        <f t="shared" si="0"/>
        <v>3.5154000000000005E-2</v>
      </c>
    </row>
    <row r="39" spans="1:32" ht="13.5" customHeight="1" x14ac:dyDescent="0.25">
      <c r="A39" s="260">
        <v>169</v>
      </c>
      <c r="B39" s="259">
        <f t="shared" si="4"/>
        <v>13</v>
      </c>
      <c r="C39" s="253" t="s">
        <v>20</v>
      </c>
      <c r="D39" s="253" t="s">
        <v>20</v>
      </c>
      <c r="E39" s="257" t="s">
        <v>20</v>
      </c>
      <c r="F39" s="255" t="s">
        <v>20</v>
      </c>
      <c r="G39" s="258" t="s">
        <v>20</v>
      </c>
      <c r="H39" s="258" t="s">
        <v>20</v>
      </c>
      <c r="I39" s="257" t="s">
        <v>20</v>
      </c>
      <c r="J39" s="257" t="s">
        <v>20</v>
      </c>
      <c r="K39" s="602" t="s">
        <v>20</v>
      </c>
      <c r="L39" s="602"/>
      <c r="M39" s="603"/>
      <c r="O39" s="147">
        <v>18</v>
      </c>
      <c r="P39" s="150">
        <f t="shared" si="12"/>
        <v>0.3</v>
      </c>
      <c r="Q39" s="149"/>
      <c r="R39" s="147">
        <f t="shared" si="13"/>
        <v>18</v>
      </c>
      <c r="S39" s="150">
        <f t="shared" si="11"/>
        <v>0.3</v>
      </c>
      <c r="T39" s="149"/>
      <c r="U39" s="147">
        <v>18</v>
      </c>
      <c r="V39" s="150">
        <f t="shared" si="14"/>
        <v>0.3</v>
      </c>
      <c r="W39" s="149"/>
      <c r="AD39" t="e">
        <f>C41*1.23</f>
        <v>#VALUE!</v>
      </c>
      <c r="AE39">
        <v>0.29339999999999999</v>
      </c>
      <c r="AF39">
        <f t="shared" si="0"/>
        <v>3.5207999999999996E-2</v>
      </c>
    </row>
    <row r="40" spans="1:32" ht="13.5" customHeight="1" x14ac:dyDescent="0.25">
      <c r="A40" s="260">
        <v>196</v>
      </c>
      <c r="B40" s="259">
        <f t="shared" si="4"/>
        <v>14</v>
      </c>
      <c r="C40" s="253" t="s">
        <v>20</v>
      </c>
      <c r="D40" s="253" t="s">
        <v>20</v>
      </c>
      <c r="E40" s="257" t="s">
        <v>20</v>
      </c>
      <c r="F40" s="255" t="s">
        <v>20</v>
      </c>
      <c r="G40" s="258" t="s">
        <v>20</v>
      </c>
      <c r="H40" s="258" t="s">
        <v>20</v>
      </c>
      <c r="I40" s="257" t="s">
        <v>20</v>
      </c>
      <c r="J40" s="257" t="s">
        <v>20</v>
      </c>
      <c r="K40" s="602" t="s">
        <v>20</v>
      </c>
      <c r="L40" s="602"/>
      <c r="M40" s="603"/>
      <c r="O40" s="147">
        <v>19</v>
      </c>
      <c r="P40" s="150">
        <f t="shared" si="12"/>
        <v>0.31666666666666665</v>
      </c>
      <c r="Q40" s="149"/>
      <c r="R40" s="147">
        <f t="shared" si="13"/>
        <v>19</v>
      </c>
      <c r="S40" s="150">
        <f t="shared" si="11"/>
        <v>0.31666666666666665</v>
      </c>
      <c r="T40" s="149"/>
      <c r="U40" s="147">
        <v>19</v>
      </c>
      <c r="V40" s="150">
        <f t="shared" si="14"/>
        <v>0.31666666666666665</v>
      </c>
      <c r="W40" s="149"/>
      <c r="AD40" t="e">
        <f t="shared" si="15"/>
        <v>#VALUE!</v>
      </c>
      <c r="AE40">
        <v>0.29394000000000003</v>
      </c>
      <c r="AF40">
        <f t="shared" si="0"/>
        <v>3.52728E-2</v>
      </c>
    </row>
    <row r="41" spans="1:32" ht="13.5" customHeight="1" x14ac:dyDescent="0.25">
      <c r="A41" s="260">
        <v>225</v>
      </c>
      <c r="B41" s="259">
        <f t="shared" si="4"/>
        <v>15</v>
      </c>
      <c r="C41" s="253" t="s">
        <v>20</v>
      </c>
      <c r="D41" s="253" t="s">
        <v>20</v>
      </c>
      <c r="E41" s="257" t="s">
        <v>20</v>
      </c>
      <c r="F41" s="255" t="s">
        <v>20</v>
      </c>
      <c r="G41" s="258" t="s">
        <v>20</v>
      </c>
      <c r="H41" s="258" t="s">
        <v>20</v>
      </c>
      <c r="I41" s="257" t="s">
        <v>20</v>
      </c>
      <c r="J41" s="257" t="s">
        <v>20</v>
      </c>
      <c r="K41" s="602" t="s">
        <v>20</v>
      </c>
      <c r="L41" s="602"/>
      <c r="M41" s="603"/>
      <c r="O41" s="147">
        <v>20</v>
      </c>
      <c r="P41" s="150">
        <f t="shared" si="12"/>
        <v>0.33333333333333331</v>
      </c>
      <c r="Q41" s="149"/>
      <c r="R41" s="147">
        <f t="shared" si="13"/>
        <v>20</v>
      </c>
      <c r="S41" s="150">
        <f t="shared" si="11"/>
        <v>0.33333333333333331</v>
      </c>
      <c r="T41" s="149"/>
      <c r="U41" s="147">
        <v>20</v>
      </c>
      <c r="V41" s="150">
        <f t="shared" si="14"/>
        <v>0.33333333333333331</v>
      </c>
      <c r="W41" s="149"/>
      <c r="AD41" t="e">
        <f t="shared" si="15"/>
        <v>#VALUE!</v>
      </c>
      <c r="AE41">
        <v>0.29430000000000001</v>
      </c>
      <c r="AF41">
        <f t="shared" si="0"/>
        <v>3.5316E-2</v>
      </c>
    </row>
    <row r="42" spans="1:32" ht="13.5" customHeight="1" x14ac:dyDescent="0.25">
      <c r="A42" s="260">
        <v>256</v>
      </c>
      <c r="B42" s="259">
        <f t="shared" si="4"/>
        <v>16</v>
      </c>
      <c r="C42" s="253" t="s">
        <v>20</v>
      </c>
      <c r="D42" s="253" t="s">
        <v>20</v>
      </c>
      <c r="E42" s="257" t="s">
        <v>20</v>
      </c>
      <c r="F42" s="255" t="s">
        <v>20</v>
      </c>
      <c r="G42" s="258" t="s">
        <v>20</v>
      </c>
      <c r="H42" s="258" t="s">
        <v>20</v>
      </c>
      <c r="I42" s="257" t="s">
        <v>20</v>
      </c>
      <c r="J42" s="257" t="s">
        <v>20</v>
      </c>
      <c r="K42" s="602" t="s">
        <v>20</v>
      </c>
      <c r="L42" s="602"/>
      <c r="M42" s="603"/>
      <c r="O42" s="147">
        <v>21</v>
      </c>
      <c r="P42" s="150">
        <f t="shared" si="12"/>
        <v>0.35</v>
      </c>
      <c r="Q42" s="149"/>
      <c r="R42" s="147">
        <f t="shared" si="13"/>
        <v>21</v>
      </c>
      <c r="S42" s="150">
        <f t="shared" si="11"/>
        <v>0.35</v>
      </c>
      <c r="T42" s="149"/>
      <c r="U42" s="147">
        <v>21</v>
      </c>
      <c r="V42" s="150">
        <f t="shared" si="14"/>
        <v>0.35</v>
      </c>
      <c r="W42" s="149"/>
      <c r="AD42" t="e">
        <f t="shared" si="15"/>
        <v>#VALUE!</v>
      </c>
      <c r="AE42">
        <v>0.29493000000000003</v>
      </c>
      <c r="AF42">
        <f t="shared" si="0"/>
        <v>3.5391600000000002E-2</v>
      </c>
    </row>
    <row r="43" spans="1:32" ht="13.5" customHeight="1" x14ac:dyDescent="0.25">
      <c r="A43" s="260">
        <v>289</v>
      </c>
      <c r="B43" s="259">
        <f t="shared" si="4"/>
        <v>17</v>
      </c>
      <c r="C43" s="253" t="s">
        <v>20</v>
      </c>
      <c r="D43" s="253" t="s">
        <v>20</v>
      </c>
      <c r="E43" s="257" t="s">
        <v>20</v>
      </c>
      <c r="F43" s="255" t="s">
        <v>20</v>
      </c>
      <c r="G43" s="258" t="s">
        <v>20</v>
      </c>
      <c r="H43" s="258" t="s">
        <v>20</v>
      </c>
      <c r="I43" s="257" t="s">
        <v>20</v>
      </c>
      <c r="J43" s="257" t="s">
        <v>20</v>
      </c>
      <c r="K43" s="602" t="s">
        <v>20</v>
      </c>
      <c r="L43" s="602"/>
      <c r="M43" s="603"/>
      <c r="O43" s="147">
        <v>22</v>
      </c>
      <c r="P43" s="150">
        <f t="shared" si="12"/>
        <v>0.36666666666666664</v>
      </c>
      <c r="Q43" s="149"/>
      <c r="R43" s="147">
        <f t="shared" si="13"/>
        <v>22</v>
      </c>
      <c r="S43" s="150">
        <f t="shared" si="11"/>
        <v>0.36666666666666664</v>
      </c>
      <c r="T43" s="149"/>
      <c r="U43" s="147">
        <v>22</v>
      </c>
      <c r="V43" s="150">
        <f t="shared" si="14"/>
        <v>0.36666666666666664</v>
      </c>
      <c r="W43" s="149"/>
      <c r="AD43" t="e">
        <f t="shared" si="15"/>
        <v>#VALUE!</v>
      </c>
      <c r="AE43">
        <v>0.29520000000000002</v>
      </c>
      <c r="AF43">
        <f t="shared" si="0"/>
        <v>3.5424000000000004E-2</v>
      </c>
    </row>
    <row r="44" spans="1:32" ht="13.5" customHeight="1" x14ac:dyDescent="0.25">
      <c r="A44" s="260">
        <v>324</v>
      </c>
      <c r="B44" s="259">
        <f t="shared" si="4"/>
        <v>18</v>
      </c>
      <c r="C44" s="253" t="s">
        <v>20</v>
      </c>
      <c r="D44" s="253" t="s">
        <v>20</v>
      </c>
      <c r="E44" s="257" t="s">
        <v>20</v>
      </c>
      <c r="F44" s="255" t="s">
        <v>20</v>
      </c>
      <c r="G44" s="258" t="s">
        <v>20</v>
      </c>
      <c r="H44" s="258" t="s">
        <v>20</v>
      </c>
      <c r="I44" s="257" t="s">
        <v>20</v>
      </c>
      <c r="J44" s="257" t="s">
        <v>20</v>
      </c>
      <c r="K44" s="602" t="s">
        <v>20</v>
      </c>
      <c r="L44" s="602"/>
      <c r="M44" s="603"/>
      <c r="O44" s="147">
        <v>23</v>
      </c>
      <c r="P44" s="150">
        <f t="shared" si="12"/>
        <v>0.38333333333333336</v>
      </c>
      <c r="Q44" s="149"/>
      <c r="R44" s="147">
        <f t="shared" si="13"/>
        <v>23</v>
      </c>
      <c r="S44" s="150">
        <f t="shared" si="11"/>
        <v>0.38333333333333336</v>
      </c>
      <c r="T44" s="149"/>
      <c r="U44" s="147">
        <v>23</v>
      </c>
      <c r="V44" s="150">
        <f t="shared" si="14"/>
        <v>0.38333333333333336</v>
      </c>
      <c r="W44" s="149"/>
      <c r="AD44" t="e">
        <f t="shared" si="15"/>
        <v>#VALUE!</v>
      </c>
      <c r="AE44">
        <v>0.29592000000000002</v>
      </c>
      <c r="AF44">
        <f>AE44*0.12</f>
        <v>3.5510399999999998E-2</v>
      </c>
    </row>
    <row r="45" spans="1:32" ht="13.5" customHeight="1" x14ac:dyDescent="0.25">
      <c r="A45" s="260">
        <v>361</v>
      </c>
      <c r="B45" s="259">
        <f t="shared" si="4"/>
        <v>19</v>
      </c>
      <c r="C45" s="253" t="s">
        <v>20</v>
      </c>
      <c r="D45" s="253" t="s">
        <v>20</v>
      </c>
      <c r="E45" s="257" t="s">
        <v>20</v>
      </c>
      <c r="F45" s="255" t="s">
        <v>20</v>
      </c>
      <c r="G45" s="258" t="s">
        <v>20</v>
      </c>
      <c r="H45" s="258" t="s">
        <v>20</v>
      </c>
      <c r="I45" s="257" t="s">
        <v>20</v>
      </c>
      <c r="J45" s="257" t="s">
        <v>20</v>
      </c>
      <c r="K45" s="602" t="s">
        <v>20</v>
      </c>
      <c r="L45" s="602"/>
      <c r="M45" s="603"/>
      <c r="O45" s="147">
        <v>24</v>
      </c>
      <c r="P45" s="150">
        <f t="shared" si="12"/>
        <v>0.4</v>
      </c>
      <c r="Q45" s="149"/>
      <c r="R45" s="147">
        <f t="shared" si="13"/>
        <v>24</v>
      </c>
      <c r="S45" s="150">
        <f t="shared" si="11"/>
        <v>0.4</v>
      </c>
      <c r="T45" s="149"/>
      <c r="U45" s="147">
        <v>24</v>
      </c>
      <c r="V45" s="150">
        <f t="shared" si="14"/>
        <v>0.4</v>
      </c>
      <c r="W45" s="149"/>
      <c r="AD45" t="e">
        <f t="shared" si="15"/>
        <v>#VALUE!</v>
      </c>
    </row>
    <row r="46" spans="1:32" ht="13.5" customHeight="1" x14ac:dyDescent="0.25">
      <c r="A46" s="260">
        <v>400</v>
      </c>
      <c r="B46" s="259">
        <f t="shared" si="4"/>
        <v>20</v>
      </c>
      <c r="C46" s="253" t="s">
        <v>20</v>
      </c>
      <c r="D46" s="253" t="s">
        <v>20</v>
      </c>
      <c r="E46" s="257" t="s">
        <v>20</v>
      </c>
      <c r="F46" s="255" t="s">
        <v>20</v>
      </c>
      <c r="G46" s="258" t="s">
        <v>20</v>
      </c>
      <c r="H46" s="258" t="s">
        <v>20</v>
      </c>
      <c r="I46" s="257" t="s">
        <v>20</v>
      </c>
      <c r="J46" s="257" t="s">
        <v>20</v>
      </c>
      <c r="K46" s="602" t="s">
        <v>20</v>
      </c>
      <c r="L46" s="602"/>
      <c r="M46" s="603"/>
      <c r="O46" s="147">
        <v>25</v>
      </c>
      <c r="P46" s="150">
        <f t="shared" si="12"/>
        <v>0.41666666666666669</v>
      </c>
      <c r="Q46" s="149"/>
      <c r="R46" s="147">
        <f t="shared" si="13"/>
        <v>25</v>
      </c>
      <c r="S46" s="150">
        <f t="shared" si="11"/>
        <v>0.41666666666666669</v>
      </c>
      <c r="T46" s="149"/>
      <c r="U46" s="147">
        <v>25</v>
      </c>
      <c r="V46" s="150">
        <f t="shared" si="14"/>
        <v>0.41666666666666669</v>
      </c>
      <c r="W46" s="149"/>
      <c r="AD46" t="e">
        <f t="shared" si="15"/>
        <v>#VALUE!</v>
      </c>
    </row>
    <row r="47" spans="1:32" ht="13.5" customHeight="1" x14ac:dyDescent="0.25">
      <c r="A47" s="260">
        <v>441</v>
      </c>
      <c r="B47" s="259">
        <f t="shared" si="4"/>
        <v>21</v>
      </c>
      <c r="C47" s="253" t="s">
        <v>20</v>
      </c>
      <c r="D47" s="253" t="s">
        <v>20</v>
      </c>
      <c r="E47" s="257" t="s">
        <v>20</v>
      </c>
      <c r="F47" s="255" t="s">
        <v>20</v>
      </c>
      <c r="G47" s="258" t="s">
        <v>20</v>
      </c>
      <c r="H47" s="258" t="s">
        <v>20</v>
      </c>
      <c r="I47" s="257" t="s">
        <v>20</v>
      </c>
      <c r="J47" s="257" t="s">
        <v>20</v>
      </c>
      <c r="K47" s="602" t="s">
        <v>20</v>
      </c>
      <c r="L47" s="602"/>
      <c r="M47" s="603"/>
      <c r="O47" s="147">
        <v>26</v>
      </c>
      <c r="P47" s="150">
        <f t="shared" si="12"/>
        <v>0.43333333333333335</v>
      </c>
      <c r="Q47" s="149"/>
      <c r="R47" s="147">
        <f t="shared" si="13"/>
        <v>26</v>
      </c>
      <c r="S47" s="150">
        <f t="shared" si="11"/>
        <v>0.43333333333333335</v>
      </c>
      <c r="T47" s="149"/>
      <c r="U47" s="147">
        <v>26</v>
      </c>
      <c r="V47" s="150">
        <f t="shared" si="14"/>
        <v>0.43333333333333335</v>
      </c>
      <c r="W47" s="149"/>
      <c r="AD47" t="e">
        <f t="shared" si="15"/>
        <v>#VALUE!</v>
      </c>
    </row>
    <row r="48" spans="1:32" ht="13.5" customHeight="1" x14ac:dyDescent="0.25">
      <c r="A48" s="260">
        <v>484</v>
      </c>
      <c r="B48" s="259">
        <f t="shared" si="4"/>
        <v>22</v>
      </c>
      <c r="C48" s="253" t="s">
        <v>20</v>
      </c>
      <c r="D48" s="253" t="s">
        <v>20</v>
      </c>
      <c r="E48" s="257" t="s">
        <v>20</v>
      </c>
      <c r="F48" s="255" t="s">
        <v>20</v>
      </c>
      <c r="G48" s="258" t="s">
        <v>20</v>
      </c>
      <c r="H48" s="258" t="s">
        <v>20</v>
      </c>
      <c r="I48" s="257" t="s">
        <v>20</v>
      </c>
      <c r="J48" s="257" t="s">
        <v>20</v>
      </c>
      <c r="K48" s="602" t="s">
        <v>20</v>
      </c>
      <c r="L48" s="602"/>
      <c r="M48" s="603"/>
      <c r="O48" s="147">
        <v>27</v>
      </c>
      <c r="P48" s="150">
        <f t="shared" si="12"/>
        <v>0.45</v>
      </c>
      <c r="Q48" s="149"/>
      <c r="R48" s="147">
        <f t="shared" si="13"/>
        <v>27</v>
      </c>
      <c r="S48" s="150">
        <f t="shared" si="11"/>
        <v>0.45</v>
      </c>
      <c r="T48" s="149"/>
      <c r="U48" s="147">
        <v>27</v>
      </c>
      <c r="V48" s="150">
        <f t="shared" si="14"/>
        <v>0.45</v>
      </c>
      <c r="W48" s="149"/>
      <c r="AD48">
        <f>D50*1.23</f>
        <v>0</v>
      </c>
    </row>
    <row r="49" spans="1:30" ht="13.5" customHeight="1" thickBot="1" x14ac:dyDescent="0.3">
      <c r="A49" s="261">
        <v>1440</v>
      </c>
      <c r="B49" s="262">
        <f>SQRT(A49)</f>
        <v>37.947331922020552</v>
      </c>
      <c r="C49" s="263" t="s">
        <v>20</v>
      </c>
      <c r="D49" s="263" t="s">
        <v>20</v>
      </c>
      <c r="E49" s="264" t="s">
        <v>20</v>
      </c>
      <c r="F49" s="423" t="s">
        <v>20</v>
      </c>
      <c r="G49" s="292" t="s">
        <v>20</v>
      </c>
      <c r="H49" s="292" t="s">
        <v>20</v>
      </c>
      <c r="I49" s="264" t="s">
        <v>20</v>
      </c>
      <c r="J49" s="264" t="s">
        <v>20</v>
      </c>
      <c r="K49" s="604" t="s">
        <v>20</v>
      </c>
      <c r="L49" s="604"/>
      <c r="M49" s="605"/>
      <c r="O49" s="147">
        <v>28</v>
      </c>
      <c r="P49" s="150">
        <f t="shared" si="12"/>
        <v>0.46666666666666667</v>
      </c>
      <c r="Q49" s="149"/>
      <c r="R49" s="147">
        <f t="shared" si="13"/>
        <v>28</v>
      </c>
      <c r="S49" s="150">
        <f t="shared" si="11"/>
        <v>0.46666666666666667</v>
      </c>
      <c r="T49" s="149"/>
      <c r="U49" s="147">
        <v>28</v>
      </c>
      <c r="V49" s="150">
        <f t="shared" si="14"/>
        <v>0.46666666666666667</v>
      </c>
      <c r="W49" s="149"/>
      <c r="AD49">
        <f>D51*1.23</f>
        <v>0</v>
      </c>
    </row>
    <row r="50" spans="1:30" ht="13.5" customHeight="1" x14ac:dyDescent="0.25">
      <c r="A50" s="125"/>
      <c r="B50" s="328"/>
      <c r="C50" s="127"/>
      <c r="D50" s="328"/>
      <c r="E50" s="128"/>
      <c r="G50" s="328"/>
      <c r="H50" s="129"/>
      <c r="I50" s="130"/>
      <c r="J50" s="329"/>
      <c r="K50" s="329"/>
      <c r="L50" s="329"/>
      <c r="M50" s="126"/>
      <c r="O50" s="147">
        <v>29</v>
      </c>
      <c r="P50" s="150">
        <f t="shared" si="12"/>
        <v>0.48333333333333334</v>
      </c>
      <c r="Q50" s="149"/>
      <c r="R50" s="147">
        <f t="shared" si="13"/>
        <v>29</v>
      </c>
      <c r="S50" s="150">
        <f t="shared" si="11"/>
        <v>0.48333333333333334</v>
      </c>
      <c r="T50" s="149"/>
      <c r="U50" s="147">
        <v>29</v>
      </c>
      <c r="V50" s="150">
        <f t="shared" si="14"/>
        <v>0.48333333333333334</v>
      </c>
      <c r="W50" s="149"/>
      <c r="AD50">
        <f>D52*1.23</f>
        <v>0</v>
      </c>
    </row>
    <row r="51" spans="1:30" ht="13.5" customHeight="1" thickBot="1" x14ac:dyDescent="0.3">
      <c r="A51" s="125"/>
      <c r="B51" s="249"/>
      <c r="C51" s="127"/>
      <c r="D51" s="328"/>
      <c r="E51" s="128"/>
      <c r="F51" s="127"/>
      <c r="G51" s="422" t="s">
        <v>20</v>
      </c>
      <c r="H51" s="129"/>
      <c r="I51" s="130">
        <v>32.53</v>
      </c>
      <c r="J51" s="329">
        <v>105.78</v>
      </c>
      <c r="K51" s="329">
        <v>108.53</v>
      </c>
      <c r="L51" s="329"/>
      <c r="M51" s="126"/>
      <c r="O51" s="147">
        <v>30</v>
      </c>
      <c r="P51" s="150">
        <f t="shared" si="12"/>
        <v>0.5</v>
      </c>
      <c r="Q51" s="149"/>
      <c r="R51" s="147">
        <f t="shared" si="13"/>
        <v>30</v>
      </c>
      <c r="S51" s="150">
        <f t="shared" si="11"/>
        <v>0.5</v>
      </c>
      <c r="T51" s="149"/>
      <c r="U51" s="147">
        <v>30</v>
      </c>
      <c r="V51" s="150">
        <f t="shared" si="14"/>
        <v>0.5</v>
      </c>
      <c r="W51" s="149"/>
    </row>
    <row r="52" spans="1:30" ht="13.5" customHeight="1" thickBot="1" x14ac:dyDescent="0.3">
      <c r="A52" s="125"/>
      <c r="B52" s="249"/>
      <c r="C52" s="127"/>
      <c r="D52" s="328"/>
      <c r="E52" s="128"/>
      <c r="F52" s="127"/>
      <c r="G52" s="292" t="s">
        <v>20</v>
      </c>
      <c r="H52" s="126"/>
      <c r="I52" s="130">
        <v>4.96</v>
      </c>
      <c r="J52" s="329"/>
      <c r="K52" s="329"/>
      <c r="L52" s="329"/>
      <c r="M52" s="126"/>
      <c r="O52" s="151">
        <v>60</v>
      </c>
      <c r="P52" s="150">
        <f t="shared" si="12"/>
        <v>1</v>
      </c>
      <c r="Q52" s="149"/>
      <c r="R52" s="147">
        <f t="shared" si="13"/>
        <v>60</v>
      </c>
      <c r="S52" s="150">
        <f t="shared" si="11"/>
        <v>1</v>
      </c>
      <c r="T52" s="149"/>
      <c r="U52" s="151">
        <v>60</v>
      </c>
      <c r="V52" s="150">
        <f t="shared" si="14"/>
        <v>1</v>
      </c>
      <c r="W52" s="149"/>
    </row>
    <row r="53" spans="1:30" ht="13.5" customHeight="1" thickBot="1" x14ac:dyDescent="0.3">
      <c r="A53" s="606"/>
      <c r="B53" s="249"/>
      <c r="C53" s="127"/>
      <c r="D53" s="328"/>
      <c r="E53" s="128"/>
      <c r="F53" s="127"/>
      <c r="G53" s="292" t="s">
        <v>20</v>
      </c>
      <c r="H53" s="126"/>
      <c r="I53" s="130"/>
      <c r="J53" s="329" t="str">
        <f>IF(J52="","",(J50-J51)/(J51-J52)*100)</f>
        <v/>
      </c>
      <c r="K53" s="329"/>
      <c r="L53" s="329"/>
      <c r="M53" s="126"/>
      <c r="O53" s="151">
        <v>90</v>
      </c>
      <c r="P53" s="150">
        <f t="shared" si="12"/>
        <v>1.5</v>
      </c>
      <c r="Q53" s="149"/>
      <c r="R53" s="147">
        <f t="shared" si="13"/>
        <v>90</v>
      </c>
      <c r="S53" s="150">
        <f t="shared" si="11"/>
        <v>1.5</v>
      </c>
      <c r="T53" s="149"/>
      <c r="U53" s="151">
        <v>90</v>
      </c>
      <c r="V53" s="150">
        <f t="shared" si="14"/>
        <v>1.5</v>
      </c>
      <c r="W53" s="149"/>
    </row>
    <row r="54" spans="1:30" ht="13.5" customHeight="1" x14ac:dyDescent="0.25">
      <c r="A54" s="606"/>
      <c r="B54" s="249"/>
      <c r="C54" s="127"/>
      <c r="D54" s="249"/>
      <c r="E54" s="126"/>
      <c r="F54" s="127"/>
      <c r="G54" s="249"/>
      <c r="H54" s="126"/>
      <c r="I54" s="131"/>
      <c r="J54" s="330"/>
      <c r="K54" s="330"/>
      <c r="L54" s="330"/>
      <c r="M54" s="126"/>
      <c r="O54" s="151">
        <v>120</v>
      </c>
      <c r="P54" s="150">
        <f t="shared" si="12"/>
        <v>2</v>
      </c>
      <c r="Q54" s="149"/>
      <c r="R54" s="147">
        <f t="shared" si="13"/>
        <v>120</v>
      </c>
      <c r="S54" s="150">
        <f t="shared" si="11"/>
        <v>2</v>
      </c>
      <c r="T54" s="149"/>
      <c r="U54" s="151">
        <v>120</v>
      </c>
      <c r="V54" s="150">
        <f t="shared" si="14"/>
        <v>2</v>
      </c>
      <c r="W54" s="149"/>
    </row>
    <row r="55" spans="1:30" ht="13.5" customHeight="1" x14ac:dyDescent="0.25">
      <c r="A55" s="606"/>
      <c r="B55" s="249"/>
      <c r="C55" s="132"/>
      <c r="D55" s="249"/>
      <c r="E55" s="126"/>
      <c r="F55" s="125"/>
      <c r="G55" s="249"/>
      <c r="H55" s="126"/>
      <c r="I55" s="133"/>
      <c r="J55" s="331"/>
      <c r="K55" s="332"/>
      <c r="L55" s="332"/>
      <c r="M55" s="126"/>
      <c r="O55" s="147">
        <v>150</v>
      </c>
      <c r="P55" s="150">
        <f t="shared" si="12"/>
        <v>2.5</v>
      </c>
      <c r="Q55" s="149"/>
      <c r="R55" s="147">
        <f t="shared" si="13"/>
        <v>150</v>
      </c>
      <c r="S55" s="150">
        <f t="shared" si="11"/>
        <v>2.5</v>
      </c>
      <c r="T55" s="149"/>
      <c r="U55" s="147">
        <v>150</v>
      </c>
      <c r="V55" s="150">
        <f t="shared" si="14"/>
        <v>2.5</v>
      </c>
      <c r="W55" s="149"/>
    </row>
    <row r="56" spans="1:30" x14ac:dyDescent="0.25">
      <c r="A56" s="606"/>
      <c r="B56" s="333"/>
      <c r="C56" s="130"/>
      <c r="D56" s="249"/>
      <c r="E56" s="126"/>
      <c r="F56" s="125"/>
      <c r="G56" s="329"/>
      <c r="H56" s="134"/>
      <c r="I56" s="130"/>
      <c r="J56" s="329"/>
      <c r="K56" s="329"/>
      <c r="L56" s="329"/>
      <c r="M56" s="126"/>
      <c r="O56" s="147">
        <v>180</v>
      </c>
      <c r="P56" s="150">
        <f t="shared" si="12"/>
        <v>3</v>
      </c>
      <c r="Q56" s="149"/>
      <c r="R56" s="147">
        <f t="shared" si="13"/>
        <v>180</v>
      </c>
      <c r="S56" s="150">
        <f t="shared" si="11"/>
        <v>3</v>
      </c>
      <c r="T56" s="149"/>
      <c r="U56" s="147">
        <v>180</v>
      </c>
      <c r="V56" s="150">
        <f t="shared" si="14"/>
        <v>3</v>
      </c>
      <c r="W56" s="149"/>
    </row>
    <row r="57" spans="1:30" x14ac:dyDescent="0.25">
      <c r="A57" s="606"/>
      <c r="B57" s="334"/>
      <c r="C57" s="135"/>
      <c r="D57" s="249"/>
      <c r="E57" s="126"/>
      <c r="F57" s="125"/>
      <c r="G57" s="329"/>
      <c r="H57" s="134"/>
      <c r="I57" s="130"/>
      <c r="J57" s="329"/>
      <c r="K57" s="329"/>
      <c r="L57" s="329"/>
      <c r="M57" s="126"/>
      <c r="O57" s="147">
        <v>210</v>
      </c>
      <c r="P57" s="150">
        <f t="shared" si="12"/>
        <v>3.5</v>
      </c>
      <c r="Q57" s="149"/>
      <c r="R57" s="147">
        <f t="shared" si="13"/>
        <v>210</v>
      </c>
      <c r="S57" s="150">
        <f t="shared" si="11"/>
        <v>3.5</v>
      </c>
      <c r="T57" s="149"/>
      <c r="U57" s="147">
        <v>210</v>
      </c>
      <c r="V57" s="150">
        <f t="shared" si="14"/>
        <v>3.5</v>
      </c>
      <c r="W57" s="149"/>
    </row>
    <row r="58" spans="1:30" x14ac:dyDescent="0.25">
      <c r="A58" s="606"/>
      <c r="B58" s="335"/>
      <c r="C58" s="136"/>
      <c r="D58" s="249"/>
      <c r="E58" s="126"/>
      <c r="F58" s="125"/>
      <c r="G58" s="329"/>
      <c r="H58" s="126"/>
      <c r="I58" s="125"/>
      <c r="J58" s="249"/>
      <c r="K58" s="249"/>
      <c r="L58" s="249"/>
      <c r="M58" s="126"/>
      <c r="O58" s="151">
        <v>240</v>
      </c>
      <c r="P58" s="150">
        <f t="shared" si="12"/>
        <v>4</v>
      </c>
      <c r="Q58" s="149"/>
      <c r="R58" s="147">
        <f t="shared" si="13"/>
        <v>240</v>
      </c>
      <c r="S58" s="150">
        <f t="shared" si="11"/>
        <v>4</v>
      </c>
      <c r="T58" s="149"/>
      <c r="U58" s="151">
        <v>240</v>
      </c>
      <c r="V58" s="150">
        <f t="shared" si="14"/>
        <v>4</v>
      </c>
      <c r="W58" s="149"/>
    </row>
    <row r="59" spans="1:30" x14ac:dyDescent="0.25">
      <c r="A59" s="606"/>
      <c r="B59" s="335"/>
      <c r="C59" s="136"/>
      <c r="D59" s="249"/>
      <c r="E59" s="126"/>
      <c r="F59" s="130"/>
      <c r="G59" s="336"/>
      <c r="H59" s="137"/>
      <c r="I59" s="138"/>
      <c r="J59" s="336"/>
      <c r="K59" s="337"/>
      <c r="L59" s="337"/>
      <c r="M59" s="126"/>
      <c r="O59" s="147">
        <v>270</v>
      </c>
      <c r="P59" s="150">
        <f t="shared" si="12"/>
        <v>4.5</v>
      </c>
      <c r="Q59" s="149"/>
      <c r="R59" s="147">
        <f t="shared" si="13"/>
        <v>270</v>
      </c>
      <c r="S59" s="150">
        <f t="shared" si="11"/>
        <v>4.5</v>
      </c>
      <c r="T59" s="149"/>
      <c r="U59" s="147">
        <v>270</v>
      </c>
      <c r="V59" s="150">
        <f t="shared" si="14"/>
        <v>4.5</v>
      </c>
      <c r="W59" s="149"/>
    </row>
    <row r="60" spans="1:30" ht="12.75" customHeight="1" x14ac:dyDescent="0.25">
      <c r="A60" s="606"/>
      <c r="B60" s="335"/>
      <c r="C60" s="136"/>
      <c r="D60" s="249"/>
      <c r="E60" s="126"/>
      <c r="F60" s="130"/>
      <c r="G60" s="249"/>
      <c r="H60" s="137"/>
      <c r="I60" s="138"/>
      <c r="J60" s="336"/>
      <c r="K60" s="337"/>
      <c r="L60" s="337"/>
      <c r="M60" s="126"/>
      <c r="O60" s="147">
        <v>300</v>
      </c>
      <c r="P60" s="150">
        <f t="shared" si="12"/>
        <v>5</v>
      </c>
      <c r="Q60" s="149"/>
      <c r="R60" s="147">
        <f t="shared" si="13"/>
        <v>300</v>
      </c>
      <c r="S60" s="150">
        <f t="shared" si="11"/>
        <v>5</v>
      </c>
      <c r="T60" s="149"/>
      <c r="U60" s="147">
        <v>300</v>
      </c>
      <c r="V60" s="150">
        <f t="shared" si="14"/>
        <v>5</v>
      </c>
      <c r="W60" s="149"/>
      <c r="Y60" s="152"/>
      <c r="Z60" s="18"/>
      <c r="AA60" s="18"/>
      <c r="AB60" s="18"/>
      <c r="AC60" s="18"/>
    </row>
    <row r="61" spans="1:30" ht="16.5" x14ac:dyDescent="0.25">
      <c r="A61" s="606"/>
      <c r="B61" s="335"/>
      <c r="C61" s="136"/>
      <c r="D61" s="249"/>
      <c r="E61" s="126"/>
      <c r="F61" s="125"/>
      <c r="G61" s="249"/>
      <c r="H61" s="126"/>
      <c r="I61" s="125"/>
      <c r="J61" s="249"/>
      <c r="K61" s="249"/>
      <c r="L61" s="249"/>
      <c r="M61" s="126"/>
      <c r="O61" s="147">
        <v>330</v>
      </c>
      <c r="P61" s="150">
        <f t="shared" si="12"/>
        <v>5.5</v>
      </c>
      <c r="Q61" s="149"/>
      <c r="R61" s="147">
        <f t="shared" si="13"/>
        <v>330</v>
      </c>
      <c r="S61" s="150">
        <f t="shared" si="11"/>
        <v>5.5</v>
      </c>
      <c r="T61" s="149"/>
      <c r="U61" s="147">
        <v>330</v>
      </c>
      <c r="V61" s="150">
        <f t="shared" si="14"/>
        <v>5.5</v>
      </c>
      <c r="W61" s="149"/>
      <c r="Y61" s="153"/>
      <c r="Z61" s="19"/>
      <c r="AA61" s="19"/>
      <c r="AB61" s="19"/>
      <c r="AC61" s="19"/>
    </row>
    <row r="62" spans="1:30" x14ac:dyDescent="0.25">
      <c r="A62" s="606"/>
      <c r="B62" s="335"/>
      <c r="C62" s="136"/>
      <c r="D62" s="249"/>
      <c r="E62" s="126"/>
      <c r="F62" s="125"/>
      <c r="G62" s="329"/>
      <c r="H62" s="134"/>
      <c r="I62" s="130"/>
      <c r="J62" s="329"/>
      <c r="K62" s="329"/>
      <c r="L62" s="329"/>
      <c r="M62" s="126"/>
      <c r="O62" s="147">
        <v>360</v>
      </c>
      <c r="P62" s="150">
        <f t="shared" si="12"/>
        <v>6</v>
      </c>
      <c r="Q62" s="149"/>
      <c r="R62" s="147">
        <f t="shared" si="13"/>
        <v>360</v>
      </c>
      <c r="S62" s="150">
        <f t="shared" si="11"/>
        <v>6</v>
      </c>
      <c r="T62" s="149"/>
      <c r="U62" s="147">
        <v>360</v>
      </c>
      <c r="V62" s="150">
        <f t="shared" si="14"/>
        <v>6</v>
      </c>
      <c r="W62" s="149"/>
    </row>
    <row r="63" spans="1:30" x14ac:dyDescent="0.25">
      <c r="A63" s="606"/>
      <c r="B63" s="329"/>
      <c r="C63" s="125"/>
      <c r="D63" s="249"/>
      <c r="E63" s="126"/>
      <c r="F63" s="125"/>
      <c r="G63" s="329"/>
      <c r="H63" s="134"/>
      <c r="I63" s="130"/>
      <c r="J63" s="329"/>
      <c r="K63" s="329"/>
      <c r="L63" s="329"/>
      <c r="M63" s="126"/>
      <c r="O63" s="147">
        <v>390</v>
      </c>
      <c r="P63" s="150">
        <f t="shared" si="12"/>
        <v>6.5</v>
      </c>
      <c r="Q63" s="149"/>
      <c r="R63" s="147">
        <f t="shared" si="13"/>
        <v>390</v>
      </c>
      <c r="S63" s="150">
        <f t="shared" si="11"/>
        <v>6.5</v>
      </c>
      <c r="T63" s="149"/>
      <c r="U63" s="147">
        <v>390</v>
      </c>
      <c r="V63" s="150">
        <f t="shared" si="14"/>
        <v>6.5</v>
      </c>
      <c r="W63" s="149"/>
    </row>
    <row r="64" spans="1:30" x14ac:dyDescent="0.25">
      <c r="A64" s="606"/>
      <c r="B64" s="337"/>
      <c r="C64" s="139"/>
      <c r="D64" s="249"/>
      <c r="E64" s="126"/>
      <c r="F64" s="139"/>
      <c r="G64" s="337"/>
      <c r="H64" s="140"/>
      <c r="I64" s="139"/>
      <c r="J64" s="337"/>
      <c r="K64" s="249"/>
      <c r="L64" s="249"/>
      <c r="M64" s="126"/>
      <c r="O64" s="151">
        <v>420</v>
      </c>
      <c r="P64" s="150">
        <f t="shared" si="12"/>
        <v>7</v>
      </c>
      <c r="Q64" s="149"/>
      <c r="R64" s="147">
        <f t="shared" si="13"/>
        <v>419.5</v>
      </c>
      <c r="S64" s="150">
        <f t="shared" si="11"/>
        <v>6.9916666666666671</v>
      </c>
      <c r="T64" s="149"/>
      <c r="U64" s="151">
        <v>419</v>
      </c>
      <c r="V64" s="150">
        <f t="shared" si="14"/>
        <v>6.9833333333333334</v>
      </c>
      <c r="W64" s="149"/>
    </row>
    <row r="65" spans="1:25" ht="8.25" customHeight="1" thickBot="1" x14ac:dyDescent="0.3">
      <c r="A65" s="606"/>
      <c r="B65" s="337"/>
      <c r="C65" s="139"/>
      <c r="D65" s="249"/>
      <c r="E65" s="126"/>
      <c r="F65" s="139"/>
      <c r="G65" s="337"/>
      <c r="H65" s="140"/>
      <c r="I65" s="139"/>
      <c r="J65" s="337"/>
      <c r="K65" s="249"/>
      <c r="L65" s="249"/>
      <c r="M65" s="126"/>
      <c r="O65" s="147">
        <v>450</v>
      </c>
      <c r="P65" s="150">
        <f t="shared" si="12"/>
        <v>7.5</v>
      </c>
      <c r="Q65" s="149"/>
      <c r="R65" s="147">
        <f t="shared" si="13"/>
        <v>450</v>
      </c>
      <c r="S65" s="150">
        <f t="shared" si="11"/>
        <v>7.5</v>
      </c>
      <c r="T65" s="149"/>
      <c r="U65" s="147">
        <v>450</v>
      </c>
      <c r="V65" s="150">
        <f t="shared" si="14"/>
        <v>7.5</v>
      </c>
      <c r="W65" s="149"/>
    </row>
    <row r="66" spans="1:25" x14ac:dyDescent="0.25">
      <c r="A66" s="606"/>
      <c r="B66" s="249"/>
      <c r="C66" s="141" t="s">
        <v>73</v>
      </c>
      <c r="D66" s="142" t="e">
        <f>VLOOKUP(D67,B19:E49,4)</f>
        <v>#DIV/0!</v>
      </c>
      <c r="E66" s="126"/>
      <c r="F66" s="141" t="s">
        <v>73</v>
      </c>
      <c r="G66" s="142" t="e">
        <f>VLOOKUP(G67,B19:H49,7)</f>
        <v>#DIV/0!</v>
      </c>
      <c r="H66" s="134"/>
      <c r="I66" s="141" t="s">
        <v>73</v>
      </c>
      <c r="J66" s="142" t="e">
        <f>VLOOKUP(J67,B19:M49,10)</f>
        <v>#DIV/0!</v>
      </c>
      <c r="K66" s="329"/>
      <c r="L66" s="329"/>
      <c r="M66" s="126"/>
      <c r="O66" s="147">
        <v>480</v>
      </c>
      <c r="P66" s="150">
        <f t="shared" si="12"/>
        <v>8</v>
      </c>
      <c r="Q66" s="149"/>
      <c r="R66" s="147">
        <f t="shared" si="13"/>
        <v>480</v>
      </c>
      <c r="S66" s="150">
        <f t="shared" si="11"/>
        <v>8</v>
      </c>
      <c r="T66" s="149"/>
      <c r="U66" s="147">
        <v>480</v>
      </c>
      <c r="V66" s="150">
        <f t="shared" si="14"/>
        <v>8</v>
      </c>
      <c r="W66" s="149"/>
    </row>
    <row r="67" spans="1:25" x14ac:dyDescent="0.25">
      <c r="A67" s="606"/>
      <c r="B67" s="249"/>
      <c r="C67" s="143" t="s">
        <v>157</v>
      </c>
      <c r="D67" s="142">
        <v>2</v>
      </c>
      <c r="E67" s="126"/>
      <c r="F67" s="143" t="s">
        <v>157</v>
      </c>
      <c r="G67" s="142">
        <v>2.2999999999999998</v>
      </c>
      <c r="H67" s="134"/>
      <c r="I67" s="143" t="s">
        <v>157</v>
      </c>
      <c r="J67" s="142">
        <v>2.5</v>
      </c>
      <c r="K67" s="329"/>
      <c r="L67" s="329"/>
      <c r="M67" s="126"/>
      <c r="O67" s="147">
        <v>510</v>
      </c>
      <c r="P67" s="150">
        <f t="shared" si="12"/>
        <v>8.5</v>
      </c>
      <c r="Q67" s="149"/>
      <c r="R67" s="147">
        <f t="shared" si="13"/>
        <v>510</v>
      </c>
      <c r="S67" s="150">
        <f t="shared" si="11"/>
        <v>8.5</v>
      </c>
      <c r="T67" s="149"/>
      <c r="U67" s="147">
        <v>510</v>
      </c>
      <c r="V67" s="150">
        <f t="shared" si="14"/>
        <v>8.5</v>
      </c>
      <c r="W67" s="149"/>
    </row>
    <row r="68" spans="1:25" x14ac:dyDescent="0.25">
      <c r="A68" s="606"/>
      <c r="B68" s="249"/>
      <c r="C68" s="144" t="s">
        <v>156</v>
      </c>
      <c r="D68" s="142">
        <f>D67*D67</f>
        <v>4</v>
      </c>
      <c r="E68" s="126"/>
      <c r="F68" s="144" t="s">
        <v>156</v>
      </c>
      <c r="G68" s="142">
        <f>G67*G67</f>
        <v>5.2899999999999991</v>
      </c>
      <c r="H68" s="134"/>
      <c r="I68" s="144" t="s">
        <v>156</v>
      </c>
      <c r="J68" s="142">
        <f>J67*J67</f>
        <v>6.25</v>
      </c>
      <c r="K68" s="329"/>
      <c r="L68" s="329"/>
      <c r="M68" s="126"/>
      <c r="O68" s="147">
        <v>540</v>
      </c>
      <c r="P68" s="150">
        <f t="shared" si="12"/>
        <v>9</v>
      </c>
      <c r="Q68" s="149"/>
      <c r="R68" s="147">
        <f t="shared" si="13"/>
        <v>539.5</v>
      </c>
      <c r="S68" s="150">
        <f t="shared" si="11"/>
        <v>8.9916666666666671</v>
      </c>
      <c r="T68" s="149"/>
      <c r="U68" s="147">
        <v>539</v>
      </c>
      <c r="V68" s="150">
        <f t="shared" si="14"/>
        <v>8.9833333333333325</v>
      </c>
      <c r="W68" s="149"/>
    </row>
    <row r="69" spans="1:25" x14ac:dyDescent="0.25">
      <c r="A69" s="125"/>
      <c r="B69" s="249"/>
      <c r="C69" s="144" t="s">
        <v>149</v>
      </c>
      <c r="D69" s="142">
        <f>(0.848*((D19/10)/2)^2)/(D68*60)</f>
        <v>0</v>
      </c>
      <c r="E69" s="140"/>
      <c r="F69" s="144" t="s">
        <v>149</v>
      </c>
      <c r="G69" s="142">
        <f>(0.848*((G19/10)/2)^2)/(G68*60)</f>
        <v>0</v>
      </c>
      <c r="H69" s="134"/>
      <c r="I69" s="144" t="s">
        <v>149</v>
      </c>
      <c r="J69" s="142">
        <f>(0.848*((J19/10)/2)^2)/(J68*60)</f>
        <v>0</v>
      </c>
      <c r="K69" s="329"/>
      <c r="L69" s="329"/>
      <c r="M69" s="126"/>
      <c r="O69" s="147">
        <v>570</v>
      </c>
      <c r="P69" s="150">
        <f t="shared" si="12"/>
        <v>9.5</v>
      </c>
      <c r="Q69" s="149"/>
      <c r="R69" s="147">
        <f t="shared" si="13"/>
        <v>569.5</v>
      </c>
      <c r="S69" s="150">
        <f t="shared" si="11"/>
        <v>9.4916666666666671</v>
      </c>
      <c r="T69" s="149"/>
      <c r="U69" s="147">
        <v>569</v>
      </c>
      <c r="V69" s="150">
        <f t="shared" si="14"/>
        <v>9.4833333333333325</v>
      </c>
      <c r="W69" s="149"/>
    </row>
    <row r="70" spans="1:25" ht="7.5" customHeight="1" x14ac:dyDescent="0.25">
      <c r="A70" s="125"/>
      <c r="B70" s="249"/>
      <c r="C70" s="249"/>
      <c r="D70" s="249"/>
      <c r="E70" s="249"/>
      <c r="F70" s="249"/>
      <c r="G70" s="249"/>
      <c r="H70" s="329"/>
      <c r="I70" s="329"/>
      <c r="J70" s="329"/>
      <c r="K70" s="329"/>
      <c r="L70" s="329"/>
      <c r="M70" s="126"/>
      <c r="O70" s="147">
        <v>630</v>
      </c>
      <c r="P70" s="150">
        <f t="shared" si="12"/>
        <v>10.5</v>
      </c>
      <c r="Q70" s="149"/>
      <c r="R70" s="147">
        <f t="shared" si="13"/>
        <v>629.5</v>
      </c>
      <c r="S70" s="150">
        <f t="shared" si="11"/>
        <v>10.491666666666667</v>
      </c>
      <c r="T70" s="149"/>
      <c r="U70" s="147">
        <v>629</v>
      </c>
      <c r="V70" s="150">
        <f t="shared" si="14"/>
        <v>10.483333333333333</v>
      </c>
      <c r="W70" s="149"/>
    </row>
    <row r="71" spans="1:25" s="69" customFormat="1" ht="14.25" customHeight="1" x14ac:dyDescent="0.25">
      <c r="A71" s="593" t="s">
        <v>109</v>
      </c>
      <c r="B71" s="594"/>
      <c r="C71" s="594"/>
      <c r="D71" s="594"/>
      <c r="E71" s="594"/>
      <c r="F71" s="594"/>
      <c r="G71" s="594"/>
      <c r="H71" s="594"/>
      <c r="I71" s="594"/>
      <c r="J71" s="594"/>
      <c r="K71" s="594"/>
      <c r="L71" s="594"/>
      <c r="M71" s="595"/>
      <c r="N71" s="154"/>
      <c r="O71" s="147">
        <v>660</v>
      </c>
      <c r="P71" s="150">
        <f t="shared" si="12"/>
        <v>11</v>
      </c>
      <c r="Q71" s="149"/>
      <c r="R71" s="147">
        <f t="shared" si="13"/>
        <v>659.5</v>
      </c>
      <c r="S71" s="150">
        <f t="shared" si="11"/>
        <v>10.991666666666667</v>
      </c>
      <c r="T71" s="149"/>
      <c r="U71" s="147">
        <v>659</v>
      </c>
      <c r="V71" s="150">
        <f t="shared" si="14"/>
        <v>10.983333333333333</v>
      </c>
      <c r="W71" s="149"/>
      <c r="X71" s="154"/>
      <c r="Y71" s="154"/>
    </row>
    <row r="72" spans="1:25" s="55" customFormat="1" ht="18.75" customHeight="1" x14ac:dyDescent="0.2">
      <c r="A72" s="596" t="s">
        <v>110</v>
      </c>
      <c r="B72" s="597"/>
      <c r="C72" s="597"/>
      <c r="D72" s="597"/>
      <c r="E72" s="597"/>
      <c r="F72" s="597"/>
      <c r="G72" s="597"/>
      <c r="H72" s="597"/>
      <c r="I72" s="597"/>
      <c r="J72" s="597"/>
      <c r="K72" s="597"/>
      <c r="L72" s="597"/>
      <c r="M72" s="598"/>
      <c r="N72" s="155"/>
      <c r="O72" s="147">
        <v>690</v>
      </c>
      <c r="P72" s="150">
        <f t="shared" si="12"/>
        <v>11.5</v>
      </c>
      <c r="Q72" s="149"/>
      <c r="R72" s="147">
        <f t="shared" si="13"/>
        <v>689.5</v>
      </c>
      <c r="S72" s="150">
        <f t="shared" si="11"/>
        <v>11.491666666666667</v>
      </c>
      <c r="T72" s="149"/>
      <c r="U72" s="147">
        <v>689</v>
      </c>
      <c r="V72" s="150">
        <f t="shared" si="14"/>
        <v>11.483333333333333</v>
      </c>
      <c r="W72" s="149"/>
      <c r="X72" s="155"/>
      <c r="Y72" s="155"/>
    </row>
    <row r="73" spans="1:25" s="55" customFormat="1" ht="23.25" customHeight="1" x14ac:dyDescent="0.2">
      <c r="A73" s="596"/>
      <c r="B73" s="597"/>
      <c r="C73" s="597"/>
      <c r="D73" s="597"/>
      <c r="E73" s="597"/>
      <c r="F73" s="597"/>
      <c r="G73" s="597"/>
      <c r="H73" s="597"/>
      <c r="I73" s="597"/>
      <c r="J73" s="597"/>
      <c r="K73" s="597"/>
      <c r="L73" s="597"/>
      <c r="M73" s="598"/>
      <c r="N73" s="155"/>
      <c r="O73" s="147">
        <v>720</v>
      </c>
      <c r="P73" s="150">
        <f t="shared" si="12"/>
        <v>12</v>
      </c>
      <c r="Q73" s="149"/>
      <c r="R73" s="147">
        <f t="shared" si="13"/>
        <v>719.5</v>
      </c>
      <c r="S73" s="150">
        <f t="shared" si="11"/>
        <v>11.991666666666667</v>
      </c>
      <c r="T73" s="149"/>
      <c r="U73" s="147">
        <v>719</v>
      </c>
      <c r="V73" s="150">
        <f t="shared" si="14"/>
        <v>11.983333333333333</v>
      </c>
      <c r="W73" s="149"/>
      <c r="X73" s="155"/>
      <c r="Y73" s="155"/>
    </row>
    <row r="74" spans="1:25" ht="15.75" thickBot="1" x14ac:dyDescent="0.3">
      <c r="A74" s="599" t="s">
        <v>122</v>
      </c>
      <c r="B74" s="600"/>
      <c r="C74" s="600"/>
      <c r="D74" s="600"/>
      <c r="E74" s="600"/>
      <c r="F74" s="600"/>
      <c r="G74" s="600"/>
      <c r="H74" s="600"/>
      <c r="I74" s="600"/>
      <c r="J74" s="600"/>
      <c r="K74" s="600"/>
      <c r="L74" s="600"/>
      <c r="M74" s="601"/>
      <c r="O74" s="147">
        <v>750</v>
      </c>
      <c r="P74" s="150">
        <f t="shared" si="12"/>
        <v>12.5</v>
      </c>
      <c r="Q74" s="149"/>
      <c r="R74" s="147">
        <f t="shared" si="13"/>
        <v>749.5</v>
      </c>
      <c r="S74" s="150">
        <f t="shared" si="11"/>
        <v>12.491666666666667</v>
      </c>
      <c r="T74" s="149"/>
      <c r="U74" s="147">
        <v>749</v>
      </c>
      <c r="V74" s="150">
        <f t="shared" si="14"/>
        <v>12.483333333333333</v>
      </c>
      <c r="W74" s="149"/>
      <c r="X74" s="149"/>
    </row>
    <row r="75" spans="1:25" x14ac:dyDescent="0.25">
      <c r="H75" s="17"/>
      <c r="I75" s="17"/>
      <c r="J75" s="17"/>
      <c r="K75" s="17"/>
      <c r="L75" s="17"/>
      <c r="O75" s="147">
        <v>780</v>
      </c>
      <c r="P75" s="150">
        <f t="shared" si="12"/>
        <v>13</v>
      </c>
      <c r="Q75" s="149"/>
      <c r="R75" s="147">
        <f t="shared" si="13"/>
        <v>779.5</v>
      </c>
      <c r="S75" s="150">
        <f t="shared" si="11"/>
        <v>12.991666666666667</v>
      </c>
      <c r="T75" s="149"/>
      <c r="U75" s="147">
        <v>779</v>
      </c>
      <c r="V75" s="150">
        <f t="shared" si="14"/>
        <v>12.983333333333333</v>
      </c>
      <c r="W75" s="149"/>
      <c r="X75" s="149"/>
    </row>
    <row r="76" spans="1:25" s="145" customFormat="1" ht="15.75" thickBot="1" x14ac:dyDescent="0.3">
      <c r="H76" s="157"/>
      <c r="I76" s="157"/>
      <c r="J76" s="157"/>
      <c r="K76" s="157"/>
      <c r="L76" s="157"/>
      <c r="O76" s="147">
        <v>810</v>
      </c>
      <c r="P76" s="150">
        <f t="shared" si="12"/>
        <v>13.5</v>
      </c>
      <c r="Q76" s="149"/>
      <c r="R76" s="147">
        <f t="shared" si="13"/>
        <v>809.5</v>
      </c>
      <c r="S76" s="150">
        <f t="shared" si="11"/>
        <v>13.491666666666667</v>
      </c>
      <c r="T76" s="149"/>
      <c r="U76" s="147">
        <v>809</v>
      </c>
      <c r="V76" s="150">
        <f t="shared" si="14"/>
        <v>13.483333333333333</v>
      </c>
      <c r="W76" s="149"/>
      <c r="X76" s="146"/>
    </row>
    <row r="77" spans="1:25" s="145" customFormat="1" x14ac:dyDescent="0.25">
      <c r="A77" s="158" t="s">
        <v>62</v>
      </c>
      <c r="B77" s="159" t="s">
        <v>63</v>
      </c>
      <c r="C77" s="160"/>
      <c r="E77" s="158" t="s">
        <v>62</v>
      </c>
      <c r="F77" s="159" t="s">
        <v>63</v>
      </c>
      <c r="G77" s="160"/>
      <c r="H77" s="157"/>
      <c r="I77" s="158" t="s">
        <v>62</v>
      </c>
      <c r="J77" s="159" t="s">
        <v>63</v>
      </c>
      <c r="K77" s="160"/>
      <c r="O77" s="147">
        <v>840</v>
      </c>
      <c r="P77" s="150">
        <f t="shared" si="12"/>
        <v>14</v>
      </c>
      <c r="Q77" s="149"/>
      <c r="R77" s="147">
        <f t="shared" si="13"/>
        <v>839.5</v>
      </c>
      <c r="S77" s="150">
        <f t="shared" si="11"/>
        <v>13.991666666666667</v>
      </c>
      <c r="T77" s="149"/>
      <c r="U77" s="147">
        <v>839</v>
      </c>
      <c r="V77" s="150">
        <f t="shared" si="14"/>
        <v>13.983333333333333</v>
      </c>
      <c r="W77" s="149"/>
      <c r="X77" s="146"/>
    </row>
    <row r="78" spans="1:25" s="145" customFormat="1" x14ac:dyDescent="0.25">
      <c r="A78" s="161"/>
      <c r="C78" s="162"/>
      <c r="E78" s="161"/>
      <c r="G78" s="162"/>
      <c r="H78" s="157"/>
      <c r="I78" s="161"/>
      <c r="K78" s="162"/>
      <c r="O78" s="147">
        <v>870</v>
      </c>
      <c r="P78" s="150">
        <f t="shared" si="12"/>
        <v>14.5</v>
      </c>
      <c r="Q78" s="149"/>
      <c r="R78" s="147">
        <f t="shared" si="13"/>
        <v>869.5</v>
      </c>
      <c r="S78" s="150">
        <f t="shared" si="11"/>
        <v>14.491666666666667</v>
      </c>
      <c r="T78" s="149"/>
      <c r="U78" s="147">
        <v>869</v>
      </c>
      <c r="V78" s="150">
        <f t="shared" si="14"/>
        <v>14.483333333333333</v>
      </c>
      <c r="W78" s="149"/>
      <c r="X78" s="146"/>
    </row>
    <row r="79" spans="1:25" s="145" customFormat="1" x14ac:dyDescent="0.25">
      <c r="A79" s="161" t="s">
        <v>64</v>
      </c>
      <c r="B79" s="145" t="e">
        <f>SLOPE(E21:E25,B21:B25)</f>
        <v>#DIV/0!</v>
      </c>
      <c r="C79" s="162"/>
      <c r="E79" s="161" t="s">
        <v>64</v>
      </c>
      <c r="F79" s="145" t="e">
        <f>SLOPE(H21:H25,B21:B25)</f>
        <v>#DIV/0!</v>
      </c>
      <c r="G79" s="162"/>
      <c r="H79" s="157"/>
      <c r="I79" s="161" t="s">
        <v>64</v>
      </c>
      <c r="J79" s="145" t="e">
        <f>SLOPE(K21:K25,B21:B25)</f>
        <v>#DIV/0!</v>
      </c>
      <c r="K79" s="162"/>
      <c r="O79" s="151">
        <v>900</v>
      </c>
      <c r="P79" s="150">
        <f t="shared" si="12"/>
        <v>15</v>
      </c>
      <c r="Q79" s="149"/>
      <c r="R79" s="147">
        <f t="shared" si="13"/>
        <v>899.5</v>
      </c>
      <c r="S79" s="150">
        <f t="shared" si="11"/>
        <v>14.991666666666667</v>
      </c>
      <c r="T79" s="149"/>
      <c r="U79" s="151">
        <v>899</v>
      </c>
      <c r="V79" s="150">
        <f t="shared" si="14"/>
        <v>14.983333333333333</v>
      </c>
      <c r="W79" s="149"/>
      <c r="X79" s="146"/>
    </row>
    <row r="80" spans="1:25" s="145" customFormat="1" x14ac:dyDescent="0.25">
      <c r="A80" s="161" t="s">
        <v>65</v>
      </c>
      <c r="B80" s="145" t="e">
        <f>INTERCEPT(E21:E25,B21:B25)</f>
        <v>#DIV/0!</v>
      </c>
      <c r="C80" s="162"/>
      <c r="E80" s="161" t="s">
        <v>65</v>
      </c>
      <c r="F80" s="145" t="e">
        <f>INTERCEPT(H21:H25,B21:B25)</f>
        <v>#DIV/0!</v>
      </c>
      <c r="G80" s="162"/>
      <c r="H80" s="157"/>
      <c r="I80" s="161" t="s">
        <v>65</v>
      </c>
      <c r="J80" s="145" t="e">
        <f>INTERCEPT(K21:K25,B21:B25)</f>
        <v>#DIV/0!</v>
      </c>
      <c r="K80" s="162"/>
      <c r="O80" s="147">
        <v>930</v>
      </c>
      <c r="P80" s="150">
        <f t="shared" si="12"/>
        <v>15.5</v>
      </c>
      <c r="Q80" s="149"/>
      <c r="R80" s="147">
        <f t="shared" si="13"/>
        <v>929.5</v>
      </c>
      <c r="S80" s="150">
        <f t="shared" si="11"/>
        <v>15.491666666666667</v>
      </c>
      <c r="T80" s="149"/>
      <c r="U80" s="147">
        <v>929</v>
      </c>
      <c r="V80" s="150">
        <f t="shared" si="14"/>
        <v>15.483333333333333</v>
      </c>
      <c r="W80" s="149"/>
      <c r="X80" s="146"/>
    </row>
    <row r="81" spans="1:24" s="145" customFormat="1" x14ac:dyDescent="0.25">
      <c r="A81" s="161"/>
      <c r="C81" s="162"/>
      <c r="E81" s="161"/>
      <c r="G81" s="162"/>
      <c r="I81" s="161"/>
      <c r="K81" s="162"/>
      <c r="O81" s="147">
        <v>960</v>
      </c>
      <c r="P81" s="150">
        <f t="shared" si="12"/>
        <v>16</v>
      </c>
      <c r="Q81" s="149"/>
      <c r="R81" s="147">
        <f t="shared" si="13"/>
        <v>959.5</v>
      </c>
      <c r="S81" s="150">
        <f t="shared" si="11"/>
        <v>15.991666666666667</v>
      </c>
      <c r="T81" s="149"/>
      <c r="U81" s="147">
        <v>959</v>
      </c>
      <c r="V81" s="150">
        <f t="shared" si="14"/>
        <v>15.983333333333333</v>
      </c>
      <c r="W81" s="149"/>
      <c r="X81" s="146"/>
    </row>
    <row r="82" spans="1:24" s="145" customFormat="1" x14ac:dyDescent="0.25">
      <c r="A82" s="163" t="s">
        <v>66</v>
      </c>
      <c r="B82" s="164" t="s">
        <v>67</v>
      </c>
      <c r="C82" s="165">
        <v>20</v>
      </c>
      <c r="E82" s="163" t="s">
        <v>66</v>
      </c>
      <c r="F82" s="164" t="s">
        <v>67</v>
      </c>
      <c r="G82" s="165">
        <v>20</v>
      </c>
      <c r="I82" s="163" t="s">
        <v>66</v>
      </c>
      <c r="J82" s="164" t="s">
        <v>67</v>
      </c>
      <c r="K82" s="165">
        <v>25</v>
      </c>
      <c r="L82" s="213"/>
      <c r="O82" s="147">
        <v>990</v>
      </c>
      <c r="P82" s="150">
        <f t="shared" si="12"/>
        <v>16.5</v>
      </c>
      <c r="Q82" s="149"/>
      <c r="R82" s="147">
        <f t="shared" si="13"/>
        <v>989.5</v>
      </c>
      <c r="S82" s="150">
        <f t="shared" si="11"/>
        <v>16.491666666666667</v>
      </c>
      <c r="T82" s="149"/>
      <c r="U82" s="147">
        <v>989</v>
      </c>
      <c r="V82" s="150">
        <f t="shared" si="14"/>
        <v>16.483333333333334</v>
      </c>
      <c r="W82" s="149"/>
      <c r="X82" s="146"/>
    </row>
    <row r="83" spans="1:24" s="145" customFormat="1" ht="15.75" thickBot="1" x14ac:dyDescent="0.3">
      <c r="A83" s="166" t="s">
        <v>67</v>
      </c>
      <c r="B83" s="167" t="e">
        <f>(C82-B80)/B79</f>
        <v>#DIV/0!</v>
      </c>
      <c r="C83" s="168"/>
      <c r="E83" s="166" t="s">
        <v>67</v>
      </c>
      <c r="F83" s="167" t="e">
        <f>(G82-F80)/F79</f>
        <v>#DIV/0!</v>
      </c>
      <c r="G83" s="168"/>
      <c r="I83" s="166" t="s">
        <v>67</v>
      </c>
      <c r="J83" s="167" t="e">
        <f>(K82-J80)/J79</f>
        <v>#DIV/0!</v>
      </c>
      <c r="K83" s="168"/>
      <c r="O83" s="147">
        <v>1020</v>
      </c>
      <c r="P83" s="150">
        <f t="shared" si="12"/>
        <v>17</v>
      </c>
      <c r="Q83" s="149"/>
      <c r="R83" s="147">
        <f t="shared" si="13"/>
        <v>1019.5</v>
      </c>
      <c r="S83" s="150">
        <f t="shared" si="11"/>
        <v>16.991666666666667</v>
      </c>
      <c r="T83" s="149"/>
      <c r="U83" s="147">
        <v>1019</v>
      </c>
      <c r="V83" s="150">
        <f t="shared" si="14"/>
        <v>16.983333333333334</v>
      </c>
      <c r="W83" s="149"/>
      <c r="X83" s="146"/>
    </row>
    <row r="84" spans="1:24" s="145" customFormat="1" ht="15.75" thickBot="1" x14ac:dyDescent="0.3">
      <c r="O84" s="147">
        <v>1050</v>
      </c>
      <c r="P84" s="150">
        <f t="shared" si="12"/>
        <v>17.5</v>
      </c>
      <c r="Q84" s="149"/>
      <c r="R84" s="147">
        <f t="shared" si="13"/>
        <v>1049.5</v>
      </c>
      <c r="S84" s="150">
        <f t="shared" si="11"/>
        <v>17.491666666666667</v>
      </c>
      <c r="T84" s="149"/>
      <c r="U84" s="147">
        <v>1049</v>
      </c>
      <c r="V84" s="150">
        <f t="shared" si="14"/>
        <v>17.483333333333334</v>
      </c>
      <c r="W84" s="149"/>
      <c r="X84" s="146"/>
    </row>
    <row r="85" spans="1:24" s="145" customFormat="1" x14ac:dyDescent="0.25">
      <c r="A85" s="158" t="s">
        <v>68</v>
      </c>
      <c r="B85" s="159"/>
      <c r="C85" s="160"/>
      <c r="E85" s="158" t="s">
        <v>68</v>
      </c>
      <c r="F85" s="159"/>
      <c r="G85" s="160"/>
      <c r="I85" s="158" t="s">
        <v>68</v>
      </c>
      <c r="J85" s="159"/>
      <c r="K85" s="160"/>
      <c r="O85" s="147">
        <v>1080</v>
      </c>
      <c r="P85" s="150">
        <f t="shared" si="12"/>
        <v>18</v>
      </c>
      <c r="Q85" s="149"/>
      <c r="R85" s="147">
        <f t="shared" ref="R85:R148" si="17">AVERAGE(O85,U85)</f>
        <v>1079.5</v>
      </c>
      <c r="S85" s="150">
        <f t="shared" ref="S85:S148" si="18">AVERAGE(P85,V85)</f>
        <v>17.991666666666667</v>
      </c>
      <c r="T85" s="149"/>
      <c r="U85" s="147">
        <v>1079</v>
      </c>
      <c r="V85" s="150">
        <f t="shared" si="14"/>
        <v>17.983333333333334</v>
      </c>
      <c r="W85" s="149"/>
      <c r="X85" s="146"/>
    </row>
    <row r="86" spans="1:24" s="145" customFormat="1" x14ac:dyDescent="0.25">
      <c r="A86" s="161"/>
      <c r="C86" s="162"/>
      <c r="E86" s="161"/>
      <c r="G86" s="162"/>
      <c r="I86" s="161"/>
      <c r="K86" s="162"/>
      <c r="O86" s="147">
        <v>1110</v>
      </c>
      <c r="P86" s="150">
        <f t="shared" ref="P86:P149" si="19">O86/60</f>
        <v>18.5</v>
      </c>
      <c r="Q86" s="149"/>
      <c r="R86" s="147">
        <f t="shared" si="17"/>
        <v>1109.5</v>
      </c>
      <c r="S86" s="150">
        <f t="shared" si="18"/>
        <v>18.491666666666667</v>
      </c>
      <c r="T86" s="149"/>
      <c r="U86" s="147">
        <v>1109</v>
      </c>
      <c r="V86" s="150">
        <f t="shared" si="14"/>
        <v>18.483333333333334</v>
      </c>
      <c r="W86" s="149"/>
      <c r="X86" s="146"/>
    </row>
    <row r="87" spans="1:24" s="145" customFormat="1" x14ac:dyDescent="0.25">
      <c r="A87" s="161" t="s">
        <v>64</v>
      </c>
      <c r="B87" s="145" t="e">
        <f>B79*0.85</f>
        <v>#DIV/0!</v>
      </c>
      <c r="C87" s="162"/>
      <c r="E87" s="161" t="s">
        <v>64</v>
      </c>
      <c r="F87" s="145" t="e">
        <f>F79*0.85</f>
        <v>#DIV/0!</v>
      </c>
      <c r="G87" s="162"/>
      <c r="I87" s="161" t="s">
        <v>64</v>
      </c>
      <c r="J87" s="145" t="e">
        <f>J79*0.85</f>
        <v>#DIV/0!</v>
      </c>
      <c r="K87" s="162"/>
      <c r="O87" s="147">
        <v>1140</v>
      </c>
      <c r="P87" s="150">
        <f t="shared" si="19"/>
        <v>19</v>
      </c>
      <c r="Q87" s="149"/>
      <c r="R87" s="147">
        <f t="shared" si="17"/>
        <v>1139.5</v>
      </c>
      <c r="S87" s="150">
        <f t="shared" si="18"/>
        <v>18.991666666666667</v>
      </c>
      <c r="T87" s="149"/>
      <c r="U87" s="147">
        <v>1139</v>
      </c>
      <c r="V87" s="150">
        <f t="shared" ref="V87:V150" si="20">U87/60</f>
        <v>18.983333333333334</v>
      </c>
      <c r="W87" s="149"/>
      <c r="X87" s="146"/>
    </row>
    <row r="88" spans="1:24" s="145" customFormat="1" x14ac:dyDescent="0.25">
      <c r="A88" s="161" t="s">
        <v>65</v>
      </c>
      <c r="B88" s="145" t="e">
        <f>B80</f>
        <v>#DIV/0!</v>
      </c>
      <c r="C88" s="162"/>
      <c r="E88" s="161" t="s">
        <v>65</v>
      </c>
      <c r="F88" s="145" t="e">
        <f>F80</f>
        <v>#DIV/0!</v>
      </c>
      <c r="G88" s="162"/>
      <c r="I88" s="161" t="s">
        <v>65</v>
      </c>
      <c r="J88" s="145" t="e">
        <f>J80</f>
        <v>#DIV/0!</v>
      </c>
      <c r="K88" s="162"/>
      <c r="O88" s="147">
        <v>1170</v>
      </c>
      <c r="P88" s="150">
        <f t="shared" si="19"/>
        <v>19.5</v>
      </c>
      <c r="Q88" s="149"/>
      <c r="R88" s="147">
        <f t="shared" si="17"/>
        <v>1169.5</v>
      </c>
      <c r="S88" s="150">
        <f t="shared" si="18"/>
        <v>19.491666666666667</v>
      </c>
      <c r="T88" s="149"/>
      <c r="U88" s="147">
        <v>1169</v>
      </c>
      <c r="V88" s="150">
        <f t="shared" si="20"/>
        <v>19.483333333333334</v>
      </c>
      <c r="W88" s="149"/>
      <c r="X88" s="146"/>
    </row>
    <row r="89" spans="1:24" s="145" customFormat="1" x14ac:dyDescent="0.25">
      <c r="A89" s="161"/>
      <c r="B89" s="145" t="s">
        <v>69</v>
      </c>
      <c r="C89" s="165">
        <v>20</v>
      </c>
      <c r="E89" s="161"/>
      <c r="F89" s="145" t="s">
        <v>69</v>
      </c>
      <c r="G89" s="165">
        <v>20</v>
      </c>
      <c r="I89" s="161"/>
      <c r="J89" s="145" t="s">
        <v>69</v>
      </c>
      <c r="K89" s="165">
        <v>25</v>
      </c>
      <c r="L89" s="213"/>
      <c r="O89" s="147">
        <v>1200</v>
      </c>
      <c r="P89" s="150">
        <f t="shared" si="19"/>
        <v>20</v>
      </c>
      <c r="Q89" s="149"/>
      <c r="R89" s="147">
        <f t="shared" si="17"/>
        <v>1199.5</v>
      </c>
      <c r="S89" s="150">
        <f t="shared" si="18"/>
        <v>19.991666666666667</v>
      </c>
      <c r="T89" s="149"/>
      <c r="U89" s="147">
        <v>1199</v>
      </c>
      <c r="V89" s="150">
        <f t="shared" si="20"/>
        <v>19.983333333333334</v>
      </c>
      <c r="W89" s="149"/>
      <c r="X89" s="146"/>
    </row>
    <row r="90" spans="1:24" s="145" customFormat="1" ht="15.75" thickBot="1" x14ac:dyDescent="0.3">
      <c r="A90" s="166" t="s">
        <v>67</v>
      </c>
      <c r="B90" s="167" t="e">
        <f>(C89-B88)/B87</f>
        <v>#DIV/0!</v>
      </c>
      <c r="C90" s="168"/>
      <c r="E90" s="166" t="s">
        <v>67</v>
      </c>
      <c r="F90" s="167" t="e">
        <f>(G89-F88)/F87</f>
        <v>#DIV/0!</v>
      </c>
      <c r="G90" s="168"/>
      <c r="I90" s="166" t="s">
        <v>67</v>
      </c>
      <c r="J90" s="167" t="e">
        <f>(K89-J88)/J87</f>
        <v>#DIV/0!</v>
      </c>
      <c r="K90" s="168"/>
      <c r="O90" s="147">
        <v>1230</v>
      </c>
      <c r="P90" s="150">
        <f t="shared" si="19"/>
        <v>20.5</v>
      </c>
      <c r="Q90" s="149"/>
      <c r="R90" s="147">
        <f t="shared" si="17"/>
        <v>1229.5</v>
      </c>
      <c r="S90" s="150">
        <f t="shared" si="18"/>
        <v>20.491666666666667</v>
      </c>
      <c r="T90" s="149"/>
      <c r="U90" s="147">
        <v>1229</v>
      </c>
      <c r="V90" s="150">
        <f t="shared" si="20"/>
        <v>20.483333333333334</v>
      </c>
      <c r="W90" s="149"/>
      <c r="X90" s="146"/>
    </row>
    <row r="91" spans="1:24" s="145" customFormat="1" ht="15.75" thickBot="1" x14ac:dyDescent="0.3">
      <c r="O91" s="147">
        <v>1260</v>
      </c>
      <c r="P91" s="150">
        <f t="shared" si="19"/>
        <v>21</v>
      </c>
      <c r="Q91" s="149"/>
      <c r="R91" s="147">
        <f t="shared" si="17"/>
        <v>1259.5</v>
      </c>
      <c r="S91" s="150">
        <f t="shared" si="18"/>
        <v>20.991666666666667</v>
      </c>
      <c r="T91" s="149"/>
      <c r="U91" s="147">
        <v>1259</v>
      </c>
      <c r="V91" s="150">
        <f t="shared" si="20"/>
        <v>20.983333333333334</v>
      </c>
      <c r="W91" s="149"/>
      <c r="X91" s="146"/>
    </row>
    <row r="92" spans="1:24" s="145" customFormat="1" x14ac:dyDescent="0.25">
      <c r="A92" s="158" t="s">
        <v>70</v>
      </c>
      <c r="B92" s="160"/>
      <c r="E92" s="158" t="s">
        <v>70</v>
      </c>
      <c r="F92" s="160"/>
      <c r="I92" s="158" t="s">
        <v>70</v>
      </c>
      <c r="J92" s="160"/>
      <c r="O92" s="147">
        <v>1290</v>
      </c>
      <c r="P92" s="150">
        <f t="shared" si="19"/>
        <v>21.5</v>
      </c>
      <c r="Q92" s="149"/>
      <c r="R92" s="147">
        <f t="shared" si="17"/>
        <v>1289.5</v>
      </c>
      <c r="S92" s="150">
        <f t="shared" si="18"/>
        <v>21.491666666666667</v>
      </c>
      <c r="T92" s="149"/>
      <c r="U92" s="147">
        <v>1289</v>
      </c>
      <c r="V92" s="150">
        <f t="shared" si="20"/>
        <v>21.483333333333334</v>
      </c>
      <c r="W92" s="149"/>
      <c r="X92" s="146"/>
    </row>
    <row r="93" spans="1:24" s="145" customFormat="1" x14ac:dyDescent="0.25">
      <c r="A93" s="161"/>
      <c r="B93" s="162"/>
      <c r="E93" s="161"/>
      <c r="F93" s="162"/>
      <c r="I93" s="161"/>
      <c r="J93" s="162"/>
      <c r="O93" s="147">
        <v>1320</v>
      </c>
      <c r="P93" s="150">
        <f t="shared" si="19"/>
        <v>22</v>
      </c>
      <c r="Q93" s="149"/>
      <c r="R93" s="147">
        <f t="shared" si="17"/>
        <v>1319.5</v>
      </c>
      <c r="S93" s="150">
        <f t="shared" si="18"/>
        <v>21.991666666666667</v>
      </c>
      <c r="T93" s="149"/>
      <c r="U93" s="147">
        <v>1319</v>
      </c>
      <c r="V93" s="150">
        <f t="shared" si="20"/>
        <v>21.983333333333334</v>
      </c>
      <c r="W93" s="149"/>
      <c r="X93" s="146"/>
    </row>
    <row r="94" spans="1:24" s="145" customFormat="1" x14ac:dyDescent="0.25">
      <c r="A94" s="169" t="s">
        <v>71</v>
      </c>
      <c r="B94" s="170" t="s">
        <v>72</v>
      </c>
      <c r="E94" s="169" t="s">
        <v>71</v>
      </c>
      <c r="F94" s="170" t="s">
        <v>72</v>
      </c>
      <c r="I94" s="169" t="s">
        <v>71</v>
      </c>
      <c r="J94" s="170" t="s">
        <v>72</v>
      </c>
      <c r="O94" s="147">
        <v>1350</v>
      </c>
      <c r="P94" s="150">
        <f t="shared" si="19"/>
        <v>22.5</v>
      </c>
      <c r="Q94" s="149"/>
      <c r="R94" s="147">
        <f t="shared" si="17"/>
        <v>1349.5</v>
      </c>
      <c r="S94" s="150">
        <f t="shared" si="18"/>
        <v>22.491666666666667</v>
      </c>
      <c r="T94" s="149"/>
      <c r="U94" s="147">
        <v>1349</v>
      </c>
      <c r="V94" s="150">
        <f t="shared" si="20"/>
        <v>22.483333333333334</v>
      </c>
      <c r="W94" s="149"/>
      <c r="X94" s="146"/>
    </row>
    <row r="95" spans="1:24" s="145" customFormat="1" x14ac:dyDescent="0.25">
      <c r="A95" s="171">
        <f>C82</f>
        <v>20</v>
      </c>
      <c r="B95" s="170" t="e">
        <f>B83</f>
        <v>#DIV/0!</v>
      </c>
      <c r="E95" s="171">
        <f>G82</f>
        <v>20</v>
      </c>
      <c r="F95" s="170" t="e">
        <f>F83</f>
        <v>#DIV/0!</v>
      </c>
      <c r="I95" s="171">
        <f>K82</f>
        <v>25</v>
      </c>
      <c r="J95" s="170" t="e">
        <f>J83</f>
        <v>#DIV/0!</v>
      </c>
      <c r="O95" s="147">
        <v>1380</v>
      </c>
      <c r="P95" s="150">
        <f t="shared" si="19"/>
        <v>23</v>
      </c>
      <c r="Q95" s="149"/>
      <c r="R95" s="147">
        <f t="shared" si="17"/>
        <v>1379.5</v>
      </c>
      <c r="S95" s="150">
        <f t="shared" si="18"/>
        <v>22.991666666666667</v>
      </c>
      <c r="T95" s="149"/>
      <c r="U95" s="147">
        <v>1379</v>
      </c>
      <c r="V95" s="150">
        <f t="shared" si="20"/>
        <v>22.983333333333334</v>
      </c>
      <c r="W95" s="149"/>
      <c r="X95" s="146"/>
    </row>
    <row r="96" spans="1:24" s="145" customFormat="1" x14ac:dyDescent="0.25">
      <c r="A96" s="169" t="e">
        <f>B80</f>
        <v>#DIV/0!</v>
      </c>
      <c r="B96" s="170">
        <v>0</v>
      </c>
      <c r="E96" s="169" t="e">
        <f>F80</f>
        <v>#DIV/0!</v>
      </c>
      <c r="F96" s="170">
        <v>0</v>
      </c>
      <c r="I96" s="169" t="e">
        <f>J80</f>
        <v>#DIV/0!</v>
      </c>
      <c r="J96" s="170">
        <v>0</v>
      </c>
      <c r="O96" s="147">
        <v>1410</v>
      </c>
      <c r="P96" s="150">
        <f t="shared" si="19"/>
        <v>23.5</v>
      </c>
      <c r="Q96" s="149"/>
      <c r="R96" s="147">
        <f t="shared" si="17"/>
        <v>1409.5</v>
      </c>
      <c r="S96" s="150">
        <f t="shared" si="18"/>
        <v>23.491666666666667</v>
      </c>
      <c r="T96" s="149"/>
      <c r="U96" s="147">
        <v>1409</v>
      </c>
      <c r="V96" s="150">
        <f t="shared" si="20"/>
        <v>23.483333333333334</v>
      </c>
      <c r="W96" s="149"/>
      <c r="X96" s="146"/>
    </row>
    <row r="97" spans="1:24" s="145" customFormat="1" x14ac:dyDescent="0.25">
      <c r="A97" s="161"/>
      <c r="B97" s="162"/>
      <c r="E97" s="161"/>
      <c r="F97" s="162"/>
      <c r="I97" s="161"/>
      <c r="J97" s="162"/>
      <c r="O97" s="147">
        <v>1440</v>
      </c>
      <c r="P97" s="150">
        <f t="shared" si="19"/>
        <v>24</v>
      </c>
      <c r="Q97" s="149"/>
      <c r="R97" s="147">
        <f t="shared" si="17"/>
        <v>1439.5</v>
      </c>
      <c r="S97" s="150">
        <f t="shared" si="18"/>
        <v>23.991666666666667</v>
      </c>
      <c r="T97" s="149"/>
      <c r="U97" s="147">
        <v>1439</v>
      </c>
      <c r="V97" s="150">
        <f t="shared" si="20"/>
        <v>23.983333333333334</v>
      </c>
      <c r="W97" s="149"/>
      <c r="X97" s="146"/>
    </row>
    <row r="98" spans="1:24" s="145" customFormat="1" x14ac:dyDescent="0.25">
      <c r="A98" s="161"/>
      <c r="B98" s="162"/>
      <c r="E98" s="161"/>
      <c r="F98" s="162"/>
      <c r="I98" s="161"/>
      <c r="J98" s="162"/>
      <c r="O98" s="147">
        <v>1470</v>
      </c>
      <c r="P98" s="150">
        <f t="shared" si="19"/>
        <v>24.5</v>
      </c>
      <c r="Q98" s="149"/>
      <c r="R98" s="147">
        <f t="shared" si="17"/>
        <v>1469.5</v>
      </c>
      <c r="S98" s="150">
        <f t="shared" si="18"/>
        <v>24.491666666666667</v>
      </c>
      <c r="T98" s="149"/>
      <c r="U98" s="147">
        <v>1469</v>
      </c>
      <c r="V98" s="150">
        <f t="shared" si="20"/>
        <v>24.483333333333334</v>
      </c>
      <c r="W98" s="149"/>
      <c r="X98" s="146"/>
    </row>
    <row r="99" spans="1:24" s="145" customFormat="1" x14ac:dyDescent="0.25">
      <c r="A99" s="169" t="s">
        <v>71</v>
      </c>
      <c r="B99" s="170" t="s">
        <v>72</v>
      </c>
      <c r="E99" s="169" t="s">
        <v>71</v>
      </c>
      <c r="F99" s="170" t="s">
        <v>72</v>
      </c>
      <c r="I99" s="169" t="s">
        <v>71</v>
      </c>
      <c r="J99" s="170" t="s">
        <v>72</v>
      </c>
      <c r="O99" s="147">
        <v>1499</v>
      </c>
      <c r="P99" s="150">
        <f t="shared" si="19"/>
        <v>24.983333333333334</v>
      </c>
      <c r="Q99" s="149"/>
      <c r="R99" s="147">
        <f t="shared" si="17"/>
        <v>1499</v>
      </c>
      <c r="S99" s="150">
        <f t="shared" si="18"/>
        <v>24.983333333333334</v>
      </c>
      <c r="T99" s="149"/>
      <c r="U99" s="147">
        <v>1499</v>
      </c>
      <c r="V99" s="150">
        <f t="shared" si="20"/>
        <v>24.983333333333334</v>
      </c>
      <c r="W99" s="149"/>
      <c r="X99" s="146"/>
    </row>
    <row r="100" spans="1:24" s="145" customFormat="1" x14ac:dyDescent="0.25">
      <c r="A100" s="171">
        <f>C89</f>
        <v>20</v>
      </c>
      <c r="B100" s="170" t="e">
        <f>B90</f>
        <v>#DIV/0!</v>
      </c>
      <c r="E100" s="171">
        <f>G89</f>
        <v>20</v>
      </c>
      <c r="F100" s="170" t="e">
        <f>F90</f>
        <v>#DIV/0!</v>
      </c>
      <c r="I100" s="171">
        <f>K89</f>
        <v>25</v>
      </c>
      <c r="J100" s="170" t="e">
        <f>J90</f>
        <v>#DIV/0!</v>
      </c>
      <c r="O100" s="147">
        <v>1529</v>
      </c>
      <c r="P100" s="150">
        <f t="shared" si="19"/>
        <v>25.483333333333334</v>
      </c>
      <c r="Q100" s="149"/>
      <c r="R100" s="147">
        <f t="shared" si="17"/>
        <v>1529</v>
      </c>
      <c r="S100" s="150">
        <f t="shared" si="18"/>
        <v>25.483333333333334</v>
      </c>
      <c r="T100" s="149"/>
      <c r="U100" s="147">
        <v>1529</v>
      </c>
      <c r="V100" s="150">
        <f t="shared" si="20"/>
        <v>25.483333333333334</v>
      </c>
      <c r="W100" s="149"/>
      <c r="X100" s="146"/>
    </row>
    <row r="101" spans="1:24" s="145" customFormat="1" x14ac:dyDescent="0.25">
      <c r="A101" s="169" t="e">
        <f>B88</f>
        <v>#DIV/0!</v>
      </c>
      <c r="B101" s="170">
        <v>0</v>
      </c>
      <c r="E101" s="169" t="e">
        <f>F88</f>
        <v>#DIV/0!</v>
      </c>
      <c r="F101" s="170">
        <v>0</v>
      </c>
      <c r="I101" s="169" t="e">
        <f>J88</f>
        <v>#DIV/0!</v>
      </c>
      <c r="J101" s="170">
        <v>0</v>
      </c>
      <c r="O101" s="147">
        <v>1560</v>
      </c>
      <c r="P101" s="150">
        <f t="shared" si="19"/>
        <v>26</v>
      </c>
      <c r="Q101" s="149"/>
      <c r="R101" s="147">
        <f t="shared" si="17"/>
        <v>1559.5</v>
      </c>
      <c r="S101" s="150">
        <f t="shared" si="18"/>
        <v>25.991666666666667</v>
      </c>
      <c r="T101" s="149"/>
      <c r="U101" s="147">
        <v>1559</v>
      </c>
      <c r="V101" s="150">
        <f t="shared" si="20"/>
        <v>25.983333333333334</v>
      </c>
      <c r="W101" s="149"/>
      <c r="X101" s="146"/>
    </row>
    <row r="102" spans="1:24" s="145" customFormat="1" ht="15.75" thickBot="1" x14ac:dyDescent="0.3">
      <c r="A102" s="166"/>
      <c r="B102" s="168"/>
      <c r="E102" s="166"/>
      <c r="F102" s="168"/>
      <c r="I102" s="166"/>
      <c r="J102" s="168"/>
      <c r="O102" s="147">
        <v>1590</v>
      </c>
      <c r="P102" s="150">
        <f t="shared" si="19"/>
        <v>26.5</v>
      </c>
      <c r="Q102" s="149"/>
      <c r="R102" s="147">
        <f t="shared" si="17"/>
        <v>1589.5</v>
      </c>
      <c r="S102" s="150">
        <f t="shared" si="18"/>
        <v>26.491666666666667</v>
      </c>
      <c r="T102" s="149"/>
      <c r="U102" s="147">
        <v>1589</v>
      </c>
      <c r="V102" s="150">
        <f t="shared" si="20"/>
        <v>26.483333333333334</v>
      </c>
      <c r="W102" s="149"/>
      <c r="X102" s="146"/>
    </row>
    <row r="103" spans="1:24" s="145" customFormat="1" x14ac:dyDescent="0.25">
      <c r="O103" s="147">
        <v>1620</v>
      </c>
      <c r="P103" s="150">
        <f t="shared" si="19"/>
        <v>27</v>
      </c>
      <c r="Q103" s="149"/>
      <c r="R103" s="147">
        <f t="shared" si="17"/>
        <v>1619.5</v>
      </c>
      <c r="S103" s="150">
        <f t="shared" si="18"/>
        <v>26.991666666666667</v>
      </c>
      <c r="T103" s="149"/>
      <c r="U103" s="147">
        <v>1619</v>
      </c>
      <c r="V103" s="150">
        <f t="shared" si="20"/>
        <v>26.983333333333334</v>
      </c>
      <c r="W103" s="149"/>
      <c r="X103" s="146"/>
    </row>
    <row r="104" spans="1:24" s="145" customFormat="1" x14ac:dyDescent="0.25">
      <c r="O104" s="147">
        <v>1650</v>
      </c>
      <c r="P104" s="150">
        <f t="shared" si="19"/>
        <v>27.5</v>
      </c>
      <c r="Q104" s="149"/>
      <c r="R104" s="147">
        <f t="shared" si="17"/>
        <v>1649.5</v>
      </c>
      <c r="S104" s="150">
        <f t="shared" si="18"/>
        <v>27.491666666666667</v>
      </c>
      <c r="T104" s="149"/>
      <c r="U104" s="147">
        <v>1649</v>
      </c>
      <c r="V104" s="150">
        <f t="shared" si="20"/>
        <v>27.483333333333334</v>
      </c>
      <c r="W104" s="149"/>
      <c r="X104" s="146"/>
    </row>
    <row r="105" spans="1:24" s="145" customFormat="1" ht="15.75" thickBot="1" x14ac:dyDescent="0.3">
      <c r="O105" s="147">
        <v>1679</v>
      </c>
      <c r="P105" s="150">
        <f t="shared" si="19"/>
        <v>27.983333333333334</v>
      </c>
      <c r="Q105" s="149"/>
      <c r="R105" s="147">
        <f t="shared" si="17"/>
        <v>1679</v>
      </c>
      <c r="S105" s="150">
        <f t="shared" si="18"/>
        <v>27.983333333333334</v>
      </c>
      <c r="T105" s="149"/>
      <c r="U105" s="147">
        <v>1679</v>
      </c>
      <c r="V105" s="150">
        <f t="shared" si="20"/>
        <v>27.983333333333334</v>
      </c>
      <c r="W105" s="149"/>
      <c r="X105" s="146"/>
    </row>
    <row r="106" spans="1:24" s="145" customFormat="1" x14ac:dyDescent="0.25">
      <c r="A106" s="158"/>
      <c r="B106" s="159"/>
      <c r="C106" s="160"/>
      <c r="E106" s="158"/>
      <c r="F106" s="159"/>
      <c r="G106" s="160"/>
      <c r="I106" s="158"/>
      <c r="J106" s="159"/>
      <c r="K106" s="160"/>
      <c r="O106" s="147">
        <v>1709</v>
      </c>
      <c r="P106" s="150">
        <f t="shared" si="19"/>
        <v>28.483333333333334</v>
      </c>
      <c r="Q106" s="149"/>
      <c r="R106" s="147">
        <f t="shared" si="17"/>
        <v>1709</v>
      </c>
      <c r="S106" s="150">
        <f t="shared" si="18"/>
        <v>28.483333333333334</v>
      </c>
      <c r="T106" s="149"/>
      <c r="U106" s="147">
        <v>1709</v>
      </c>
      <c r="V106" s="150">
        <f t="shared" si="20"/>
        <v>28.483333333333334</v>
      </c>
      <c r="W106" s="149"/>
      <c r="X106" s="146"/>
    </row>
    <row r="107" spans="1:24" s="145" customFormat="1" x14ac:dyDescent="0.25">
      <c r="A107" s="161"/>
      <c r="C107" s="162"/>
      <c r="E107" s="161"/>
      <c r="G107" s="162"/>
      <c r="I107" s="161"/>
      <c r="K107" s="162"/>
      <c r="O107" s="147">
        <v>1740</v>
      </c>
      <c r="P107" s="150">
        <f t="shared" si="19"/>
        <v>29</v>
      </c>
      <c r="Q107" s="149"/>
      <c r="R107" s="147">
        <f t="shared" si="17"/>
        <v>1739.5</v>
      </c>
      <c r="S107" s="150">
        <f t="shared" si="18"/>
        <v>28.991666666666667</v>
      </c>
      <c r="T107" s="149"/>
      <c r="U107" s="147">
        <v>1739</v>
      </c>
      <c r="V107" s="150">
        <f t="shared" si="20"/>
        <v>28.983333333333334</v>
      </c>
      <c r="W107" s="149"/>
      <c r="X107" s="146"/>
    </row>
    <row r="108" spans="1:24" s="145" customFormat="1" ht="16.5" x14ac:dyDescent="0.25">
      <c r="A108" s="172" t="s">
        <v>74</v>
      </c>
      <c r="B108" s="152" t="s">
        <v>75</v>
      </c>
      <c r="C108" s="173" t="s">
        <v>76</v>
      </c>
      <c r="E108" s="172" t="s">
        <v>74</v>
      </c>
      <c r="F108" s="152" t="s">
        <v>75</v>
      </c>
      <c r="G108" s="173" t="s">
        <v>76</v>
      </c>
      <c r="I108" s="172" t="s">
        <v>74</v>
      </c>
      <c r="J108" s="152" t="s">
        <v>75</v>
      </c>
      <c r="K108" s="173" t="s">
        <v>76</v>
      </c>
      <c r="L108" s="152"/>
      <c r="O108" s="147">
        <v>1770</v>
      </c>
      <c r="P108" s="150">
        <f t="shared" si="19"/>
        <v>29.5</v>
      </c>
      <c r="Q108" s="149"/>
      <c r="R108" s="147">
        <f t="shared" si="17"/>
        <v>1769.5</v>
      </c>
      <c r="S108" s="150">
        <f t="shared" si="18"/>
        <v>29.491666666666667</v>
      </c>
      <c r="T108" s="149"/>
      <c r="U108" s="147">
        <v>1769</v>
      </c>
      <c r="V108" s="150">
        <f t="shared" si="20"/>
        <v>29.483333333333334</v>
      </c>
      <c r="W108" s="149"/>
      <c r="X108" s="146"/>
    </row>
    <row r="109" spans="1:24" s="145" customFormat="1" ht="16.5" x14ac:dyDescent="0.25">
      <c r="A109" s="174">
        <v>4</v>
      </c>
      <c r="B109" s="19" t="e">
        <f>VLOOKUP(A109,B19:E49,4)</f>
        <v>#DIV/0!</v>
      </c>
      <c r="C109" s="175" t="e">
        <f>+A109+((A112-A109)/(C112-B109))*(B112-B109)</f>
        <v>#DIV/0!</v>
      </c>
      <c r="E109" s="174">
        <v>4</v>
      </c>
      <c r="F109" s="19" t="e">
        <f>VLOOKUP(E109,B19:H49,7)</f>
        <v>#DIV/0!</v>
      </c>
      <c r="G109" s="175" t="e">
        <f>+E109+((E112-E109)/(G112-F109))*(F112-F109)</f>
        <v>#DIV/0!</v>
      </c>
      <c r="I109" s="174">
        <v>2.5</v>
      </c>
      <c r="J109" s="19" t="e">
        <f>VLOOKUP(I109,B19:M49,10)</f>
        <v>#DIV/0!</v>
      </c>
      <c r="K109" s="175" t="e">
        <f>+I109+((I112-I109)/(K112-J109))*(J112-J109)</f>
        <v>#DIV/0!</v>
      </c>
      <c r="L109" s="177"/>
      <c r="O109" s="151">
        <v>1800</v>
      </c>
      <c r="P109" s="150">
        <f t="shared" si="19"/>
        <v>30</v>
      </c>
      <c r="Q109" s="149"/>
      <c r="R109" s="147">
        <f t="shared" si="17"/>
        <v>1799.5</v>
      </c>
      <c r="S109" s="150">
        <f t="shared" si="18"/>
        <v>29.991666666666667</v>
      </c>
      <c r="T109" s="149"/>
      <c r="U109" s="151">
        <v>1799</v>
      </c>
      <c r="V109" s="150">
        <f t="shared" si="20"/>
        <v>29.983333333333334</v>
      </c>
      <c r="W109" s="149"/>
      <c r="X109" s="146"/>
    </row>
    <row r="110" spans="1:24" s="145" customFormat="1" x14ac:dyDescent="0.25">
      <c r="A110" s="161"/>
      <c r="C110" s="162"/>
      <c r="E110" s="161"/>
      <c r="G110" s="162"/>
      <c r="I110" s="161"/>
      <c r="K110" s="162"/>
      <c r="O110" s="151">
        <v>1829</v>
      </c>
      <c r="P110" s="150">
        <f t="shared" si="19"/>
        <v>30.483333333333334</v>
      </c>
      <c r="Q110" s="149"/>
      <c r="R110" s="147">
        <f t="shared" si="17"/>
        <v>1829</v>
      </c>
      <c r="S110" s="150">
        <f t="shared" si="18"/>
        <v>30.483333333333334</v>
      </c>
      <c r="T110" s="149"/>
      <c r="U110" s="151">
        <v>1829</v>
      </c>
      <c r="V110" s="150">
        <f t="shared" si="20"/>
        <v>30.483333333333334</v>
      </c>
      <c r="W110" s="149"/>
      <c r="X110" s="146"/>
    </row>
    <row r="111" spans="1:24" s="145" customFormat="1" ht="16.5" x14ac:dyDescent="0.25">
      <c r="A111" s="172" t="s">
        <v>78</v>
      </c>
      <c r="B111" s="152" t="s">
        <v>77</v>
      </c>
      <c r="C111" s="173" t="s">
        <v>79</v>
      </c>
      <c r="E111" s="172" t="s">
        <v>78</v>
      </c>
      <c r="F111" s="152" t="s">
        <v>77</v>
      </c>
      <c r="G111" s="173" t="s">
        <v>79</v>
      </c>
      <c r="I111" s="172" t="s">
        <v>78</v>
      </c>
      <c r="J111" s="152" t="s">
        <v>77</v>
      </c>
      <c r="K111" s="173" t="s">
        <v>79</v>
      </c>
      <c r="L111" s="152"/>
      <c r="O111" s="147">
        <v>1859</v>
      </c>
      <c r="P111" s="150">
        <f t="shared" si="19"/>
        <v>30.983333333333334</v>
      </c>
      <c r="Q111" s="149"/>
      <c r="R111" s="147">
        <f t="shared" si="17"/>
        <v>1859</v>
      </c>
      <c r="S111" s="150">
        <f t="shared" si="18"/>
        <v>30.983333333333334</v>
      </c>
      <c r="T111" s="149"/>
      <c r="U111" s="147">
        <v>1859</v>
      </c>
      <c r="V111" s="150">
        <f t="shared" si="20"/>
        <v>30.983333333333334</v>
      </c>
      <c r="W111" s="149"/>
      <c r="X111" s="146"/>
    </row>
    <row r="112" spans="1:24" s="145" customFormat="1" ht="16.5" x14ac:dyDescent="0.25">
      <c r="A112" s="174">
        <v>6</v>
      </c>
      <c r="B112" s="177">
        <f>+D68</f>
        <v>4</v>
      </c>
      <c r="C112" s="176" t="e">
        <f>VLOOKUP(A112,B19:E49,4)</f>
        <v>#DIV/0!</v>
      </c>
      <c r="E112" s="174">
        <v>6</v>
      </c>
      <c r="F112" s="177">
        <f>+G68</f>
        <v>5.2899999999999991</v>
      </c>
      <c r="G112" s="176" t="e">
        <f>VLOOKUP(E112,B19:H49,7)</f>
        <v>#DIV/0!</v>
      </c>
      <c r="I112" s="174">
        <v>6</v>
      </c>
      <c r="J112" s="177">
        <f>+J68</f>
        <v>6.25</v>
      </c>
      <c r="K112" s="176" t="e">
        <f>VLOOKUP(I112,B19:M49,10)</f>
        <v>#DIV/0!</v>
      </c>
      <c r="L112" s="19"/>
      <c r="O112" s="147">
        <v>1889</v>
      </c>
      <c r="P112" s="150">
        <f t="shared" si="19"/>
        <v>31.483333333333334</v>
      </c>
      <c r="Q112" s="149"/>
      <c r="R112" s="147">
        <f t="shared" si="17"/>
        <v>1889</v>
      </c>
      <c r="S112" s="150">
        <f t="shared" si="18"/>
        <v>31.483333333333334</v>
      </c>
      <c r="T112" s="149"/>
      <c r="U112" s="147">
        <v>1889</v>
      </c>
      <c r="V112" s="150">
        <f t="shared" si="20"/>
        <v>31.483333333333334</v>
      </c>
      <c r="W112" s="149"/>
      <c r="X112" s="146"/>
    </row>
    <row r="113" spans="1:24" s="145" customFormat="1" ht="15.75" thickBot="1" x14ac:dyDescent="0.3">
      <c r="A113" s="166"/>
      <c r="B113" s="167"/>
      <c r="C113" s="168"/>
      <c r="E113" s="166"/>
      <c r="F113" s="167"/>
      <c r="G113" s="168"/>
      <c r="I113" s="166"/>
      <c r="J113" s="167"/>
      <c r="K113" s="168"/>
      <c r="O113" s="147">
        <v>1920</v>
      </c>
      <c r="P113" s="150">
        <f t="shared" si="19"/>
        <v>32</v>
      </c>
      <c r="Q113" s="149"/>
      <c r="R113" s="147">
        <f t="shared" si="17"/>
        <v>1919.5</v>
      </c>
      <c r="S113" s="150">
        <f t="shared" si="18"/>
        <v>31.991666666666667</v>
      </c>
      <c r="T113" s="149"/>
      <c r="U113" s="147">
        <v>1919</v>
      </c>
      <c r="V113" s="150">
        <f t="shared" si="20"/>
        <v>31.983333333333334</v>
      </c>
      <c r="W113" s="149"/>
      <c r="X113" s="146"/>
    </row>
    <row r="114" spans="1:24" s="145" customFormat="1" x14ac:dyDescent="0.25">
      <c r="O114" s="147">
        <v>1949</v>
      </c>
      <c r="P114" s="150">
        <f t="shared" si="19"/>
        <v>32.483333333333334</v>
      </c>
      <c r="Q114" s="149"/>
      <c r="R114" s="147">
        <f t="shared" si="17"/>
        <v>1949</v>
      </c>
      <c r="S114" s="150">
        <f t="shared" si="18"/>
        <v>32.483333333333334</v>
      </c>
      <c r="T114" s="149"/>
      <c r="U114" s="147">
        <v>1949</v>
      </c>
      <c r="V114" s="150">
        <f t="shared" si="20"/>
        <v>32.483333333333334</v>
      </c>
      <c r="W114" s="149"/>
      <c r="X114" s="146"/>
    </row>
    <row r="115" spans="1:24" s="145" customFormat="1" x14ac:dyDescent="0.25">
      <c r="O115" s="147">
        <v>1979</v>
      </c>
      <c r="P115" s="150">
        <f t="shared" si="19"/>
        <v>32.983333333333334</v>
      </c>
      <c r="Q115" s="149"/>
      <c r="R115" s="147">
        <f t="shared" si="17"/>
        <v>1979</v>
      </c>
      <c r="S115" s="150">
        <f t="shared" si="18"/>
        <v>32.983333333333334</v>
      </c>
      <c r="T115" s="149"/>
      <c r="U115" s="147">
        <v>1979</v>
      </c>
      <c r="V115" s="150">
        <f t="shared" si="20"/>
        <v>32.983333333333334</v>
      </c>
      <c r="W115" s="149"/>
      <c r="X115" s="146"/>
    </row>
    <row r="116" spans="1:24" s="145" customFormat="1" x14ac:dyDescent="0.25">
      <c r="O116" s="147">
        <v>2009</v>
      </c>
      <c r="P116" s="150">
        <f t="shared" si="19"/>
        <v>33.483333333333334</v>
      </c>
      <c r="Q116" s="149"/>
      <c r="R116" s="147">
        <f t="shared" si="17"/>
        <v>2009</v>
      </c>
      <c r="S116" s="150">
        <f t="shared" si="18"/>
        <v>33.483333333333334</v>
      </c>
      <c r="T116" s="149"/>
      <c r="U116" s="147">
        <v>2009</v>
      </c>
      <c r="V116" s="150">
        <f t="shared" si="20"/>
        <v>33.483333333333334</v>
      </c>
      <c r="W116" s="149"/>
      <c r="X116" s="146"/>
    </row>
    <row r="117" spans="1:24" s="145" customFormat="1" x14ac:dyDescent="0.25">
      <c r="O117" s="147">
        <v>2039</v>
      </c>
      <c r="P117" s="150">
        <f t="shared" si="19"/>
        <v>33.983333333333334</v>
      </c>
      <c r="Q117" s="149"/>
      <c r="R117" s="147">
        <f t="shared" si="17"/>
        <v>2039</v>
      </c>
      <c r="S117" s="150">
        <f t="shared" si="18"/>
        <v>33.983333333333334</v>
      </c>
      <c r="T117" s="149"/>
      <c r="U117" s="147">
        <v>2039</v>
      </c>
      <c r="V117" s="150">
        <f t="shared" si="20"/>
        <v>33.983333333333334</v>
      </c>
      <c r="W117" s="149"/>
      <c r="X117" s="146"/>
    </row>
    <row r="118" spans="1:24" x14ac:dyDescent="0.25">
      <c r="O118" s="147">
        <v>2069</v>
      </c>
      <c r="P118" s="150">
        <f t="shared" si="19"/>
        <v>34.483333333333334</v>
      </c>
      <c r="Q118" s="149"/>
      <c r="R118" s="147">
        <f t="shared" si="17"/>
        <v>2069</v>
      </c>
      <c r="S118" s="150">
        <f t="shared" si="18"/>
        <v>34.483333333333334</v>
      </c>
      <c r="T118" s="149"/>
      <c r="U118" s="147">
        <v>2069</v>
      </c>
      <c r="V118" s="150">
        <f t="shared" si="20"/>
        <v>34.483333333333334</v>
      </c>
      <c r="W118" s="149"/>
    </row>
    <row r="119" spans="1:24" x14ac:dyDescent="0.25">
      <c r="O119" s="147">
        <v>2099</v>
      </c>
      <c r="P119" s="150">
        <f t="shared" si="19"/>
        <v>34.983333333333334</v>
      </c>
      <c r="Q119" s="149"/>
      <c r="R119" s="147">
        <f t="shared" si="17"/>
        <v>2099</v>
      </c>
      <c r="S119" s="150">
        <f t="shared" si="18"/>
        <v>34.983333333333334</v>
      </c>
      <c r="T119" s="149"/>
      <c r="U119" s="147">
        <v>2099</v>
      </c>
      <c r="V119" s="150">
        <f t="shared" si="20"/>
        <v>34.983333333333334</v>
      </c>
      <c r="W119" s="149"/>
    </row>
    <row r="120" spans="1:24" x14ac:dyDescent="0.25">
      <c r="O120" s="147">
        <v>2129</v>
      </c>
      <c r="P120" s="150">
        <f t="shared" si="19"/>
        <v>35.483333333333334</v>
      </c>
      <c r="Q120" s="149"/>
      <c r="R120" s="147">
        <f t="shared" si="17"/>
        <v>2129</v>
      </c>
      <c r="S120" s="150">
        <f t="shared" si="18"/>
        <v>35.483333333333334</v>
      </c>
      <c r="T120" s="149"/>
      <c r="U120" s="147">
        <v>2129</v>
      </c>
      <c r="V120" s="150">
        <f t="shared" si="20"/>
        <v>35.483333333333334</v>
      </c>
      <c r="W120" s="149"/>
    </row>
    <row r="121" spans="1:24" x14ac:dyDescent="0.25">
      <c r="O121" s="147">
        <v>2159</v>
      </c>
      <c r="P121" s="150">
        <f t="shared" si="19"/>
        <v>35.983333333333334</v>
      </c>
      <c r="Q121" s="149"/>
      <c r="R121" s="147">
        <f t="shared" si="17"/>
        <v>2159</v>
      </c>
      <c r="S121" s="150">
        <f t="shared" si="18"/>
        <v>35.983333333333334</v>
      </c>
      <c r="T121" s="149"/>
      <c r="U121" s="147">
        <v>2159</v>
      </c>
      <c r="V121" s="150">
        <f t="shared" si="20"/>
        <v>35.983333333333334</v>
      </c>
      <c r="W121" s="149"/>
    </row>
    <row r="122" spans="1:24" x14ac:dyDescent="0.25">
      <c r="O122" s="147">
        <v>2189</v>
      </c>
      <c r="P122" s="150">
        <f t="shared" si="19"/>
        <v>36.483333333333334</v>
      </c>
      <c r="Q122" s="149"/>
      <c r="R122" s="147">
        <f t="shared" si="17"/>
        <v>2189</v>
      </c>
      <c r="S122" s="150">
        <f t="shared" si="18"/>
        <v>36.483333333333334</v>
      </c>
      <c r="T122" s="149"/>
      <c r="U122" s="147">
        <v>2189</v>
      </c>
      <c r="V122" s="150">
        <f t="shared" si="20"/>
        <v>36.483333333333334</v>
      </c>
      <c r="W122" s="149"/>
    </row>
    <row r="123" spans="1:24" x14ac:dyDescent="0.25">
      <c r="O123" s="147">
        <v>2219</v>
      </c>
      <c r="P123" s="150">
        <f t="shared" si="19"/>
        <v>36.983333333333334</v>
      </c>
      <c r="Q123" s="149"/>
      <c r="R123" s="147">
        <f t="shared" si="17"/>
        <v>2219</v>
      </c>
      <c r="S123" s="150">
        <f t="shared" si="18"/>
        <v>36.983333333333334</v>
      </c>
      <c r="T123" s="149"/>
      <c r="U123" s="147">
        <v>2219</v>
      </c>
      <c r="V123" s="150">
        <f t="shared" si="20"/>
        <v>36.983333333333334</v>
      </c>
      <c r="W123" s="149"/>
    </row>
    <row r="124" spans="1:24" x14ac:dyDescent="0.25">
      <c r="O124" s="147">
        <v>2249</v>
      </c>
      <c r="P124" s="150">
        <f t="shared" si="19"/>
        <v>37.483333333333334</v>
      </c>
      <c r="Q124" s="149"/>
      <c r="R124" s="147">
        <f t="shared" si="17"/>
        <v>2249</v>
      </c>
      <c r="S124" s="150">
        <f t="shared" si="18"/>
        <v>37.483333333333334</v>
      </c>
      <c r="T124" s="149"/>
      <c r="U124" s="147">
        <v>2249</v>
      </c>
      <c r="V124" s="150">
        <f t="shared" si="20"/>
        <v>37.483333333333334</v>
      </c>
      <c r="W124" s="149"/>
    </row>
    <row r="125" spans="1:24" x14ac:dyDescent="0.25">
      <c r="O125" s="147">
        <v>2279</v>
      </c>
      <c r="P125" s="150">
        <f t="shared" si="19"/>
        <v>37.983333333333334</v>
      </c>
      <c r="Q125" s="149"/>
      <c r="R125" s="147">
        <f t="shared" si="17"/>
        <v>2279</v>
      </c>
      <c r="S125" s="150">
        <f t="shared" si="18"/>
        <v>37.983333333333334</v>
      </c>
      <c r="T125" s="149"/>
      <c r="U125" s="147">
        <v>2279</v>
      </c>
      <c r="V125" s="150">
        <f t="shared" si="20"/>
        <v>37.983333333333334</v>
      </c>
      <c r="W125" s="149"/>
    </row>
    <row r="126" spans="1:24" x14ac:dyDescent="0.25">
      <c r="O126" s="147">
        <v>2309</v>
      </c>
      <c r="P126" s="150">
        <f t="shared" si="19"/>
        <v>38.483333333333334</v>
      </c>
      <c r="Q126" s="149"/>
      <c r="R126" s="147">
        <f t="shared" si="17"/>
        <v>2309</v>
      </c>
      <c r="S126" s="150">
        <f t="shared" si="18"/>
        <v>38.483333333333334</v>
      </c>
      <c r="T126" s="149"/>
      <c r="U126" s="147">
        <v>2309</v>
      </c>
      <c r="V126" s="150">
        <f t="shared" si="20"/>
        <v>38.483333333333334</v>
      </c>
      <c r="W126" s="149"/>
    </row>
    <row r="127" spans="1:24" x14ac:dyDescent="0.25">
      <c r="O127" s="147">
        <v>2339</v>
      </c>
      <c r="P127" s="150">
        <f t="shared" si="19"/>
        <v>38.983333333333334</v>
      </c>
      <c r="Q127" s="149"/>
      <c r="R127" s="147">
        <f t="shared" si="17"/>
        <v>2339</v>
      </c>
      <c r="S127" s="150">
        <f t="shared" si="18"/>
        <v>38.983333333333334</v>
      </c>
      <c r="T127" s="149"/>
      <c r="U127" s="147">
        <v>2339</v>
      </c>
      <c r="V127" s="150">
        <f t="shared" si="20"/>
        <v>38.983333333333334</v>
      </c>
      <c r="W127" s="149"/>
    </row>
    <row r="128" spans="1:24" x14ac:dyDescent="0.25">
      <c r="O128" s="147">
        <v>2369</v>
      </c>
      <c r="P128" s="150">
        <f t="shared" si="19"/>
        <v>39.483333333333334</v>
      </c>
      <c r="Q128" s="149"/>
      <c r="R128" s="147">
        <f t="shared" si="17"/>
        <v>2369</v>
      </c>
      <c r="S128" s="150">
        <f t="shared" si="18"/>
        <v>39.483333333333334</v>
      </c>
      <c r="T128" s="149"/>
      <c r="U128" s="147">
        <v>2369</v>
      </c>
      <c r="V128" s="150">
        <f t="shared" si="20"/>
        <v>39.483333333333334</v>
      </c>
      <c r="W128" s="149"/>
    </row>
    <row r="129" spans="15:23" x14ac:dyDescent="0.25">
      <c r="O129" s="147">
        <v>2399</v>
      </c>
      <c r="P129" s="150">
        <f t="shared" si="19"/>
        <v>39.983333333333334</v>
      </c>
      <c r="Q129" s="149"/>
      <c r="R129" s="147">
        <f t="shared" si="17"/>
        <v>2399</v>
      </c>
      <c r="S129" s="150">
        <f t="shared" si="18"/>
        <v>39.983333333333334</v>
      </c>
      <c r="T129" s="149"/>
      <c r="U129" s="147">
        <v>2399</v>
      </c>
      <c r="V129" s="150">
        <f t="shared" si="20"/>
        <v>39.983333333333334</v>
      </c>
      <c r="W129" s="149"/>
    </row>
    <row r="130" spans="15:23" x14ac:dyDescent="0.25">
      <c r="O130" s="147">
        <v>2429</v>
      </c>
      <c r="P130" s="150">
        <f t="shared" si="19"/>
        <v>40.483333333333334</v>
      </c>
      <c r="Q130" s="149"/>
      <c r="R130" s="147">
        <f t="shared" si="17"/>
        <v>2429</v>
      </c>
      <c r="S130" s="150">
        <f t="shared" si="18"/>
        <v>40.483333333333334</v>
      </c>
      <c r="T130" s="149"/>
      <c r="U130" s="147">
        <v>2429</v>
      </c>
      <c r="V130" s="150">
        <f t="shared" si="20"/>
        <v>40.483333333333334</v>
      </c>
      <c r="W130" s="149"/>
    </row>
    <row r="131" spans="15:23" x14ac:dyDescent="0.25">
      <c r="O131" s="147">
        <v>2459</v>
      </c>
      <c r="P131" s="150">
        <f t="shared" si="19"/>
        <v>40.983333333333334</v>
      </c>
      <c r="Q131" s="149"/>
      <c r="R131" s="147">
        <f t="shared" si="17"/>
        <v>2459</v>
      </c>
      <c r="S131" s="150">
        <f t="shared" si="18"/>
        <v>40.983333333333334</v>
      </c>
      <c r="T131" s="149"/>
      <c r="U131" s="147">
        <v>2459</v>
      </c>
      <c r="V131" s="150">
        <f t="shared" si="20"/>
        <v>40.983333333333334</v>
      </c>
      <c r="W131" s="149"/>
    </row>
    <row r="132" spans="15:23" x14ac:dyDescent="0.25">
      <c r="O132" s="147">
        <v>2489</v>
      </c>
      <c r="P132" s="150">
        <f t="shared" si="19"/>
        <v>41.483333333333334</v>
      </c>
      <c r="Q132" s="149"/>
      <c r="R132" s="147">
        <f t="shared" si="17"/>
        <v>2489</v>
      </c>
      <c r="S132" s="150">
        <f t="shared" si="18"/>
        <v>41.483333333333334</v>
      </c>
      <c r="T132" s="149"/>
      <c r="U132" s="147">
        <v>2489</v>
      </c>
      <c r="V132" s="150">
        <f t="shared" si="20"/>
        <v>41.483333333333334</v>
      </c>
      <c r="W132" s="149"/>
    </row>
    <row r="133" spans="15:23" x14ac:dyDescent="0.25">
      <c r="O133" s="147">
        <v>2519</v>
      </c>
      <c r="P133" s="150">
        <f t="shared" si="19"/>
        <v>41.983333333333334</v>
      </c>
      <c r="Q133" s="149"/>
      <c r="R133" s="147">
        <f t="shared" si="17"/>
        <v>2519</v>
      </c>
      <c r="S133" s="150">
        <f t="shared" si="18"/>
        <v>41.983333333333334</v>
      </c>
      <c r="T133" s="149"/>
      <c r="U133" s="147">
        <v>2519</v>
      </c>
      <c r="V133" s="150">
        <f t="shared" si="20"/>
        <v>41.983333333333334</v>
      </c>
      <c r="W133" s="149"/>
    </row>
    <row r="134" spans="15:23" x14ac:dyDescent="0.25">
      <c r="O134" s="147">
        <v>2549</v>
      </c>
      <c r="P134" s="150">
        <f t="shared" si="19"/>
        <v>42.483333333333334</v>
      </c>
      <c r="Q134" s="149"/>
      <c r="R134" s="147">
        <f t="shared" si="17"/>
        <v>2549</v>
      </c>
      <c r="S134" s="150">
        <f t="shared" si="18"/>
        <v>42.483333333333334</v>
      </c>
      <c r="T134" s="149"/>
      <c r="U134" s="147">
        <v>2549</v>
      </c>
      <c r="V134" s="150">
        <f t="shared" si="20"/>
        <v>42.483333333333334</v>
      </c>
      <c r="W134" s="149"/>
    </row>
    <row r="135" spans="15:23" x14ac:dyDescent="0.25">
      <c r="O135" s="147">
        <v>2579</v>
      </c>
      <c r="P135" s="150">
        <f t="shared" si="19"/>
        <v>42.983333333333334</v>
      </c>
      <c r="Q135" s="149"/>
      <c r="R135" s="147">
        <f t="shared" si="17"/>
        <v>2579</v>
      </c>
      <c r="S135" s="150">
        <f t="shared" si="18"/>
        <v>42.983333333333334</v>
      </c>
      <c r="T135" s="149"/>
      <c r="U135" s="147">
        <v>2579</v>
      </c>
      <c r="V135" s="150">
        <f t="shared" si="20"/>
        <v>42.983333333333334</v>
      </c>
      <c r="W135" s="149"/>
    </row>
    <row r="136" spans="15:23" x14ac:dyDescent="0.25">
      <c r="O136" s="147">
        <v>2609</v>
      </c>
      <c r="P136" s="150">
        <f t="shared" si="19"/>
        <v>43.483333333333334</v>
      </c>
      <c r="Q136" s="149"/>
      <c r="R136" s="147">
        <f t="shared" si="17"/>
        <v>2609</v>
      </c>
      <c r="S136" s="150">
        <f t="shared" si="18"/>
        <v>43.483333333333334</v>
      </c>
      <c r="T136" s="149"/>
      <c r="U136" s="147">
        <v>2609</v>
      </c>
      <c r="V136" s="150">
        <f t="shared" si="20"/>
        <v>43.483333333333334</v>
      </c>
      <c r="W136" s="149"/>
    </row>
    <row r="137" spans="15:23" x14ac:dyDescent="0.25">
      <c r="O137" s="147">
        <v>2639</v>
      </c>
      <c r="P137" s="150">
        <f t="shared" si="19"/>
        <v>43.983333333333334</v>
      </c>
      <c r="Q137" s="149"/>
      <c r="R137" s="147">
        <f t="shared" si="17"/>
        <v>2639</v>
      </c>
      <c r="S137" s="150">
        <f t="shared" si="18"/>
        <v>43.983333333333334</v>
      </c>
      <c r="T137" s="149"/>
      <c r="U137" s="147">
        <v>2639</v>
      </c>
      <c r="V137" s="150">
        <f t="shared" si="20"/>
        <v>43.983333333333334</v>
      </c>
      <c r="W137" s="149"/>
    </row>
    <row r="138" spans="15:23" x14ac:dyDescent="0.25">
      <c r="O138" s="147">
        <v>2669</v>
      </c>
      <c r="P138" s="150">
        <f t="shared" si="19"/>
        <v>44.483333333333334</v>
      </c>
      <c r="Q138" s="149"/>
      <c r="R138" s="147">
        <f t="shared" si="17"/>
        <v>2669</v>
      </c>
      <c r="S138" s="150">
        <f t="shared" si="18"/>
        <v>44.483333333333334</v>
      </c>
      <c r="T138" s="149"/>
      <c r="U138" s="147">
        <v>2669</v>
      </c>
      <c r="V138" s="150">
        <f t="shared" si="20"/>
        <v>44.483333333333334</v>
      </c>
      <c r="W138" s="149"/>
    </row>
    <row r="139" spans="15:23" x14ac:dyDescent="0.25">
      <c r="O139" s="147">
        <v>2699</v>
      </c>
      <c r="P139" s="150">
        <f t="shared" si="19"/>
        <v>44.983333333333334</v>
      </c>
      <c r="Q139" s="149"/>
      <c r="R139" s="147">
        <f t="shared" si="17"/>
        <v>2699</v>
      </c>
      <c r="S139" s="150">
        <f t="shared" si="18"/>
        <v>44.983333333333334</v>
      </c>
      <c r="T139" s="149"/>
      <c r="U139" s="147">
        <v>2699</v>
      </c>
      <c r="V139" s="150">
        <f t="shared" si="20"/>
        <v>44.983333333333334</v>
      </c>
      <c r="W139" s="149"/>
    </row>
    <row r="140" spans="15:23" x14ac:dyDescent="0.25">
      <c r="O140" s="147">
        <v>2729</v>
      </c>
      <c r="P140" s="150">
        <f t="shared" si="19"/>
        <v>45.483333333333334</v>
      </c>
      <c r="Q140" s="149"/>
      <c r="R140" s="147">
        <f t="shared" si="17"/>
        <v>2729</v>
      </c>
      <c r="S140" s="150">
        <f t="shared" si="18"/>
        <v>45.483333333333334</v>
      </c>
      <c r="T140" s="149"/>
      <c r="U140" s="147">
        <v>2729</v>
      </c>
      <c r="V140" s="150">
        <f t="shared" si="20"/>
        <v>45.483333333333334</v>
      </c>
      <c r="W140" s="149"/>
    </row>
    <row r="141" spans="15:23" x14ac:dyDescent="0.25">
      <c r="O141" s="147">
        <v>2759</v>
      </c>
      <c r="P141" s="150">
        <f t="shared" si="19"/>
        <v>45.983333333333334</v>
      </c>
      <c r="Q141" s="149"/>
      <c r="R141" s="147">
        <f t="shared" si="17"/>
        <v>2759</v>
      </c>
      <c r="S141" s="150">
        <f t="shared" si="18"/>
        <v>45.983333333333334</v>
      </c>
      <c r="T141" s="149"/>
      <c r="U141" s="147">
        <v>2759</v>
      </c>
      <c r="V141" s="150">
        <f t="shared" si="20"/>
        <v>45.983333333333334</v>
      </c>
      <c r="W141" s="149"/>
    </row>
    <row r="142" spans="15:23" x14ac:dyDescent="0.25">
      <c r="O142" s="147">
        <v>2789</v>
      </c>
      <c r="P142" s="150">
        <f t="shared" si="19"/>
        <v>46.483333333333334</v>
      </c>
      <c r="Q142" s="149"/>
      <c r="R142" s="147">
        <f t="shared" si="17"/>
        <v>2789</v>
      </c>
      <c r="S142" s="150">
        <f t="shared" si="18"/>
        <v>46.483333333333334</v>
      </c>
      <c r="T142" s="149"/>
      <c r="U142" s="147">
        <v>2789</v>
      </c>
      <c r="V142" s="150">
        <f t="shared" si="20"/>
        <v>46.483333333333334</v>
      </c>
      <c r="W142" s="149"/>
    </row>
    <row r="143" spans="15:23" x14ac:dyDescent="0.25">
      <c r="O143" s="147">
        <v>2819</v>
      </c>
      <c r="P143" s="150">
        <f t="shared" si="19"/>
        <v>46.983333333333334</v>
      </c>
      <c r="Q143" s="149"/>
      <c r="R143" s="147">
        <f t="shared" si="17"/>
        <v>2819</v>
      </c>
      <c r="S143" s="150">
        <f t="shared" si="18"/>
        <v>46.983333333333334</v>
      </c>
      <c r="T143" s="149"/>
      <c r="U143" s="147">
        <v>2819</v>
      </c>
      <c r="V143" s="150">
        <f t="shared" si="20"/>
        <v>46.983333333333334</v>
      </c>
      <c r="W143" s="149"/>
    </row>
    <row r="144" spans="15:23" x14ac:dyDescent="0.25">
      <c r="O144" s="147">
        <v>2849</v>
      </c>
      <c r="P144" s="150">
        <f t="shared" si="19"/>
        <v>47.483333333333334</v>
      </c>
      <c r="Q144" s="149"/>
      <c r="R144" s="147">
        <f t="shared" si="17"/>
        <v>2849</v>
      </c>
      <c r="S144" s="150">
        <f t="shared" si="18"/>
        <v>47.483333333333334</v>
      </c>
      <c r="T144" s="149"/>
      <c r="U144" s="147">
        <v>2849</v>
      </c>
      <c r="V144" s="150">
        <f t="shared" si="20"/>
        <v>47.483333333333334</v>
      </c>
      <c r="W144" s="149"/>
    </row>
    <row r="145" spans="15:23" x14ac:dyDescent="0.25">
      <c r="O145" s="147">
        <v>2879</v>
      </c>
      <c r="P145" s="150">
        <f t="shared" si="19"/>
        <v>47.983333333333334</v>
      </c>
      <c r="Q145" s="149"/>
      <c r="R145" s="147">
        <f t="shared" si="17"/>
        <v>2879</v>
      </c>
      <c r="S145" s="150">
        <f t="shared" si="18"/>
        <v>47.983333333333334</v>
      </c>
      <c r="T145" s="149"/>
      <c r="U145" s="147">
        <v>2879</v>
      </c>
      <c r="V145" s="150">
        <f t="shared" si="20"/>
        <v>47.983333333333334</v>
      </c>
      <c r="W145" s="149"/>
    </row>
    <row r="146" spans="15:23" x14ac:dyDescent="0.25">
      <c r="O146" s="147">
        <v>2909</v>
      </c>
      <c r="P146" s="150">
        <f t="shared" si="19"/>
        <v>48.483333333333334</v>
      </c>
      <c r="Q146" s="149"/>
      <c r="R146" s="147">
        <f t="shared" si="17"/>
        <v>2909</v>
      </c>
      <c r="S146" s="150">
        <f t="shared" si="18"/>
        <v>48.483333333333334</v>
      </c>
      <c r="T146" s="149"/>
      <c r="U146" s="147">
        <v>2909</v>
      </c>
      <c r="V146" s="150">
        <f t="shared" si="20"/>
        <v>48.483333333333334</v>
      </c>
      <c r="W146" s="149"/>
    </row>
    <row r="147" spans="15:23" x14ac:dyDescent="0.25">
      <c r="O147" s="147">
        <v>2939</v>
      </c>
      <c r="P147" s="150">
        <f t="shared" si="19"/>
        <v>48.983333333333334</v>
      </c>
      <c r="Q147" s="149"/>
      <c r="R147" s="147">
        <f t="shared" si="17"/>
        <v>2939</v>
      </c>
      <c r="S147" s="150">
        <f t="shared" si="18"/>
        <v>48.983333333333334</v>
      </c>
      <c r="T147" s="149"/>
      <c r="U147" s="147">
        <v>2939</v>
      </c>
      <c r="V147" s="150">
        <f t="shared" si="20"/>
        <v>48.983333333333334</v>
      </c>
      <c r="W147" s="149"/>
    </row>
    <row r="148" spans="15:23" x14ac:dyDescent="0.25">
      <c r="O148" s="147">
        <v>2969</v>
      </c>
      <c r="P148" s="150">
        <f t="shared" si="19"/>
        <v>49.483333333333334</v>
      </c>
      <c r="Q148" s="149"/>
      <c r="R148" s="147">
        <f t="shared" si="17"/>
        <v>2969</v>
      </c>
      <c r="S148" s="150">
        <f t="shared" si="18"/>
        <v>49.483333333333334</v>
      </c>
      <c r="T148" s="149"/>
      <c r="U148" s="147">
        <v>2969</v>
      </c>
      <c r="V148" s="150">
        <f t="shared" si="20"/>
        <v>49.483333333333334</v>
      </c>
      <c r="W148" s="149"/>
    </row>
    <row r="149" spans="15:23" x14ac:dyDescent="0.25">
      <c r="O149" s="147">
        <v>2999</v>
      </c>
      <c r="P149" s="150">
        <f t="shared" si="19"/>
        <v>49.983333333333334</v>
      </c>
      <c r="Q149" s="149"/>
      <c r="R149" s="147">
        <f t="shared" ref="R149:R212" si="21">AVERAGE(O149,U149)</f>
        <v>2999</v>
      </c>
      <c r="S149" s="150">
        <f t="shared" ref="S149:S212" si="22">AVERAGE(P149,V149)</f>
        <v>49.983333333333334</v>
      </c>
      <c r="T149" s="149"/>
      <c r="U149" s="147">
        <v>2999</v>
      </c>
      <c r="V149" s="150">
        <f t="shared" si="20"/>
        <v>49.983333333333334</v>
      </c>
      <c r="W149" s="149"/>
    </row>
    <row r="150" spans="15:23" x14ac:dyDescent="0.25">
      <c r="O150" s="147">
        <v>3029</v>
      </c>
      <c r="P150" s="150">
        <f t="shared" ref="P150:P213" si="23">O150/60</f>
        <v>50.483333333333334</v>
      </c>
      <c r="Q150" s="149"/>
      <c r="R150" s="147">
        <f t="shared" si="21"/>
        <v>3029</v>
      </c>
      <c r="S150" s="150">
        <f t="shared" si="22"/>
        <v>50.483333333333334</v>
      </c>
      <c r="T150" s="149"/>
      <c r="U150" s="147">
        <v>3029</v>
      </c>
      <c r="V150" s="150">
        <f t="shared" si="20"/>
        <v>50.483333333333334</v>
      </c>
      <c r="W150" s="149"/>
    </row>
    <row r="151" spans="15:23" x14ac:dyDescent="0.25">
      <c r="O151" s="147">
        <v>3059</v>
      </c>
      <c r="P151" s="150">
        <f t="shared" si="23"/>
        <v>50.983333333333334</v>
      </c>
      <c r="Q151" s="149"/>
      <c r="R151" s="147">
        <f t="shared" si="21"/>
        <v>3059</v>
      </c>
      <c r="S151" s="150">
        <f t="shared" si="22"/>
        <v>50.983333333333334</v>
      </c>
      <c r="T151" s="149"/>
      <c r="U151" s="147">
        <v>3059</v>
      </c>
      <c r="V151" s="150">
        <f t="shared" ref="V151:V214" si="24">U151/60</f>
        <v>50.983333333333334</v>
      </c>
      <c r="W151" s="149"/>
    </row>
    <row r="152" spans="15:23" x14ac:dyDescent="0.25">
      <c r="O152" s="147">
        <v>3089</v>
      </c>
      <c r="P152" s="150">
        <f t="shared" si="23"/>
        <v>51.483333333333334</v>
      </c>
      <c r="Q152" s="149"/>
      <c r="R152" s="147">
        <f t="shared" si="21"/>
        <v>3089</v>
      </c>
      <c r="S152" s="150">
        <f t="shared" si="22"/>
        <v>51.483333333333334</v>
      </c>
      <c r="T152" s="149"/>
      <c r="U152" s="147">
        <v>3089</v>
      </c>
      <c r="V152" s="150">
        <f t="shared" si="24"/>
        <v>51.483333333333334</v>
      </c>
      <c r="W152" s="149"/>
    </row>
    <row r="153" spans="15:23" x14ac:dyDescent="0.25">
      <c r="O153" s="147">
        <v>3119</v>
      </c>
      <c r="P153" s="150">
        <f t="shared" si="23"/>
        <v>51.983333333333334</v>
      </c>
      <c r="Q153" s="149"/>
      <c r="R153" s="147">
        <f t="shared" si="21"/>
        <v>3119</v>
      </c>
      <c r="S153" s="150">
        <f t="shared" si="22"/>
        <v>51.983333333333334</v>
      </c>
      <c r="T153" s="149"/>
      <c r="U153" s="147">
        <v>3119</v>
      </c>
      <c r="V153" s="150">
        <f t="shared" si="24"/>
        <v>51.983333333333334</v>
      </c>
      <c r="W153" s="149"/>
    </row>
    <row r="154" spans="15:23" x14ac:dyDescent="0.25">
      <c r="O154" s="147">
        <v>3149</v>
      </c>
      <c r="P154" s="150">
        <f t="shared" si="23"/>
        <v>52.483333333333334</v>
      </c>
      <c r="Q154" s="149"/>
      <c r="R154" s="147">
        <f t="shared" si="21"/>
        <v>3149</v>
      </c>
      <c r="S154" s="150">
        <f t="shared" si="22"/>
        <v>52.483333333333334</v>
      </c>
      <c r="T154" s="149"/>
      <c r="U154" s="147">
        <v>3149</v>
      </c>
      <c r="V154" s="150">
        <f t="shared" si="24"/>
        <v>52.483333333333334</v>
      </c>
      <c r="W154" s="149"/>
    </row>
    <row r="155" spans="15:23" x14ac:dyDescent="0.25">
      <c r="O155" s="147">
        <v>3179</v>
      </c>
      <c r="P155" s="150">
        <f t="shared" si="23"/>
        <v>52.983333333333334</v>
      </c>
      <c r="Q155" s="149"/>
      <c r="R155" s="147">
        <f t="shared" si="21"/>
        <v>3179</v>
      </c>
      <c r="S155" s="150">
        <f t="shared" si="22"/>
        <v>52.983333333333334</v>
      </c>
      <c r="T155" s="149"/>
      <c r="U155" s="147">
        <v>3179</v>
      </c>
      <c r="V155" s="150">
        <f t="shared" si="24"/>
        <v>52.983333333333334</v>
      </c>
      <c r="W155" s="149"/>
    </row>
    <row r="156" spans="15:23" x14ac:dyDescent="0.25">
      <c r="O156" s="147">
        <v>3209</v>
      </c>
      <c r="P156" s="150">
        <f t="shared" si="23"/>
        <v>53.483333333333334</v>
      </c>
      <c r="Q156" s="149"/>
      <c r="R156" s="147">
        <f t="shared" si="21"/>
        <v>3209</v>
      </c>
      <c r="S156" s="150">
        <f t="shared" si="22"/>
        <v>53.483333333333334</v>
      </c>
      <c r="T156" s="149"/>
      <c r="U156" s="147">
        <v>3209</v>
      </c>
      <c r="V156" s="150">
        <f t="shared" si="24"/>
        <v>53.483333333333334</v>
      </c>
      <c r="W156" s="149"/>
    </row>
    <row r="157" spans="15:23" x14ac:dyDescent="0.25">
      <c r="O157" s="147">
        <v>3239</v>
      </c>
      <c r="P157" s="150">
        <f t="shared" si="23"/>
        <v>53.983333333333334</v>
      </c>
      <c r="Q157" s="149"/>
      <c r="R157" s="147">
        <f t="shared" si="21"/>
        <v>3239</v>
      </c>
      <c r="S157" s="150">
        <f t="shared" si="22"/>
        <v>53.983333333333334</v>
      </c>
      <c r="T157" s="149"/>
      <c r="U157" s="147">
        <v>3239</v>
      </c>
      <c r="V157" s="150">
        <f t="shared" si="24"/>
        <v>53.983333333333334</v>
      </c>
      <c r="W157" s="149"/>
    </row>
    <row r="158" spans="15:23" x14ac:dyDescent="0.25">
      <c r="O158" s="147">
        <v>3269</v>
      </c>
      <c r="P158" s="150">
        <f t="shared" si="23"/>
        <v>54.483333333333334</v>
      </c>
      <c r="Q158" s="149"/>
      <c r="R158" s="147">
        <f t="shared" si="21"/>
        <v>3269</v>
      </c>
      <c r="S158" s="150">
        <f t="shared" si="22"/>
        <v>54.483333333333334</v>
      </c>
      <c r="T158" s="149"/>
      <c r="U158" s="147">
        <v>3269</v>
      </c>
      <c r="V158" s="150">
        <f t="shared" si="24"/>
        <v>54.483333333333334</v>
      </c>
      <c r="W158" s="149"/>
    </row>
    <row r="159" spans="15:23" x14ac:dyDescent="0.25">
      <c r="O159" s="147">
        <v>3299</v>
      </c>
      <c r="P159" s="150">
        <f t="shared" si="23"/>
        <v>54.983333333333334</v>
      </c>
      <c r="Q159" s="149"/>
      <c r="R159" s="147">
        <f t="shared" si="21"/>
        <v>3299</v>
      </c>
      <c r="S159" s="150">
        <f t="shared" si="22"/>
        <v>54.983333333333334</v>
      </c>
      <c r="T159" s="149"/>
      <c r="U159" s="147">
        <v>3299</v>
      </c>
      <c r="V159" s="150">
        <f t="shared" si="24"/>
        <v>54.983333333333334</v>
      </c>
      <c r="W159" s="149"/>
    </row>
    <row r="160" spans="15:23" x14ac:dyDescent="0.25">
      <c r="O160" s="147">
        <v>3329</v>
      </c>
      <c r="P160" s="150">
        <f t="shared" si="23"/>
        <v>55.483333333333334</v>
      </c>
      <c r="Q160" s="149"/>
      <c r="R160" s="147">
        <f t="shared" si="21"/>
        <v>3329</v>
      </c>
      <c r="S160" s="150">
        <f t="shared" si="22"/>
        <v>55.483333333333334</v>
      </c>
      <c r="T160" s="149"/>
      <c r="U160" s="147">
        <v>3329</v>
      </c>
      <c r="V160" s="150">
        <f t="shared" si="24"/>
        <v>55.483333333333334</v>
      </c>
      <c r="W160" s="149"/>
    </row>
    <row r="161" spans="15:23" x14ac:dyDescent="0.25">
      <c r="O161" s="147">
        <v>3359</v>
      </c>
      <c r="P161" s="150">
        <f t="shared" si="23"/>
        <v>55.983333333333334</v>
      </c>
      <c r="Q161" s="149"/>
      <c r="R161" s="147">
        <f t="shared" si="21"/>
        <v>3359</v>
      </c>
      <c r="S161" s="150">
        <f t="shared" si="22"/>
        <v>55.983333333333334</v>
      </c>
      <c r="T161" s="149"/>
      <c r="U161" s="147">
        <v>3359</v>
      </c>
      <c r="V161" s="150">
        <f t="shared" si="24"/>
        <v>55.983333333333334</v>
      </c>
      <c r="W161" s="149"/>
    </row>
    <row r="162" spans="15:23" x14ac:dyDescent="0.25">
      <c r="O162" s="147">
        <v>3389</v>
      </c>
      <c r="P162" s="150">
        <f t="shared" si="23"/>
        <v>56.483333333333334</v>
      </c>
      <c r="Q162" s="149"/>
      <c r="R162" s="147">
        <f t="shared" si="21"/>
        <v>3389</v>
      </c>
      <c r="S162" s="150">
        <f t="shared" si="22"/>
        <v>56.483333333333334</v>
      </c>
      <c r="T162" s="149"/>
      <c r="U162" s="147">
        <v>3389</v>
      </c>
      <c r="V162" s="150">
        <f t="shared" si="24"/>
        <v>56.483333333333334</v>
      </c>
      <c r="W162" s="149"/>
    </row>
    <row r="163" spans="15:23" x14ac:dyDescent="0.25">
      <c r="O163" s="147">
        <v>3419</v>
      </c>
      <c r="P163" s="150">
        <f t="shared" si="23"/>
        <v>56.983333333333334</v>
      </c>
      <c r="Q163" s="149"/>
      <c r="R163" s="147">
        <f t="shared" si="21"/>
        <v>3419</v>
      </c>
      <c r="S163" s="150">
        <f t="shared" si="22"/>
        <v>56.983333333333334</v>
      </c>
      <c r="T163" s="149"/>
      <c r="U163" s="147">
        <v>3419</v>
      </c>
      <c r="V163" s="150">
        <f t="shared" si="24"/>
        <v>56.983333333333334</v>
      </c>
      <c r="W163" s="149"/>
    </row>
    <row r="164" spans="15:23" x14ac:dyDescent="0.25">
      <c r="O164" s="147">
        <v>3449</v>
      </c>
      <c r="P164" s="150">
        <f t="shared" si="23"/>
        <v>57.483333333333334</v>
      </c>
      <c r="Q164" s="149"/>
      <c r="R164" s="147">
        <f t="shared" si="21"/>
        <v>3449</v>
      </c>
      <c r="S164" s="150">
        <f t="shared" si="22"/>
        <v>57.483333333333334</v>
      </c>
      <c r="T164" s="149"/>
      <c r="U164" s="147">
        <v>3449</v>
      </c>
      <c r="V164" s="150">
        <f t="shared" si="24"/>
        <v>57.483333333333334</v>
      </c>
      <c r="W164" s="149"/>
    </row>
    <row r="165" spans="15:23" x14ac:dyDescent="0.25">
      <c r="O165" s="147">
        <v>3479</v>
      </c>
      <c r="P165" s="150">
        <f t="shared" si="23"/>
        <v>57.983333333333334</v>
      </c>
      <c r="Q165" s="149"/>
      <c r="R165" s="147">
        <f t="shared" si="21"/>
        <v>3479</v>
      </c>
      <c r="S165" s="150">
        <f t="shared" si="22"/>
        <v>57.983333333333334</v>
      </c>
      <c r="T165" s="149"/>
      <c r="U165" s="147">
        <v>3479</v>
      </c>
      <c r="V165" s="150">
        <f t="shared" si="24"/>
        <v>57.983333333333334</v>
      </c>
      <c r="W165" s="149"/>
    </row>
    <row r="166" spans="15:23" x14ac:dyDescent="0.25">
      <c r="O166" s="147">
        <v>3509</v>
      </c>
      <c r="P166" s="150">
        <f t="shared" si="23"/>
        <v>58.483333333333334</v>
      </c>
      <c r="Q166" s="149"/>
      <c r="R166" s="147">
        <f t="shared" si="21"/>
        <v>3509</v>
      </c>
      <c r="S166" s="150">
        <f t="shared" si="22"/>
        <v>58.483333333333334</v>
      </c>
      <c r="T166" s="149"/>
      <c r="U166" s="147">
        <v>3509</v>
      </c>
      <c r="V166" s="150">
        <f t="shared" si="24"/>
        <v>58.483333333333334</v>
      </c>
      <c r="W166" s="149"/>
    </row>
    <row r="167" spans="15:23" x14ac:dyDescent="0.25">
      <c r="O167" s="147">
        <v>3539</v>
      </c>
      <c r="P167" s="150">
        <f t="shared" si="23"/>
        <v>58.983333333333334</v>
      </c>
      <c r="Q167" s="149"/>
      <c r="R167" s="147">
        <f t="shared" si="21"/>
        <v>3539</v>
      </c>
      <c r="S167" s="150">
        <f t="shared" si="22"/>
        <v>58.983333333333334</v>
      </c>
      <c r="T167" s="149"/>
      <c r="U167" s="147">
        <v>3539</v>
      </c>
      <c r="V167" s="150">
        <f t="shared" si="24"/>
        <v>58.983333333333334</v>
      </c>
      <c r="W167" s="149"/>
    </row>
    <row r="168" spans="15:23" x14ac:dyDescent="0.25">
      <c r="O168" s="147">
        <v>3569</v>
      </c>
      <c r="P168" s="150">
        <f t="shared" si="23"/>
        <v>59.483333333333334</v>
      </c>
      <c r="Q168" s="149"/>
      <c r="R168" s="147">
        <f t="shared" si="21"/>
        <v>3569</v>
      </c>
      <c r="S168" s="150">
        <f t="shared" si="22"/>
        <v>59.483333333333334</v>
      </c>
      <c r="T168" s="149"/>
      <c r="U168" s="147">
        <v>3569</v>
      </c>
      <c r="V168" s="150">
        <f t="shared" si="24"/>
        <v>59.483333333333334</v>
      </c>
      <c r="W168" s="149"/>
    </row>
    <row r="169" spans="15:23" x14ac:dyDescent="0.25">
      <c r="O169" s="147">
        <v>3599</v>
      </c>
      <c r="P169" s="150">
        <f t="shared" si="23"/>
        <v>59.983333333333334</v>
      </c>
      <c r="Q169" s="149"/>
      <c r="R169" s="147">
        <f t="shared" si="21"/>
        <v>3599</v>
      </c>
      <c r="S169" s="150">
        <f t="shared" si="22"/>
        <v>59.983333333333334</v>
      </c>
      <c r="T169" s="149"/>
      <c r="U169" s="147">
        <v>3599</v>
      </c>
      <c r="V169" s="150">
        <f t="shared" si="24"/>
        <v>59.983333333333334</v>
      </c>
      <c r="W169" s="149"/>
    </row>
    <row r="170" spans="15:23" x14ac:dyDescent="0.25">
      <c r="O170" s="147">
        <v>3629</v>
      </c>
      <c r="P170" s="150">
        <f t="shared" si="23"/>
        <v>60.483333333333334</v>
      </c>
      <c r="Q170" s="149"/>
      <c r="R170" s="147">
        <f t="shared" si="21"/>
        <v>3629</v>
      </c>
      <c r="S170" s="150">
        <f t="shared" si="22"/>
        <v>60.483333333333334</v>
      </c>
      <c r="T170" s="149"/>
      <c r="U170" s="147">
        <v>3629</v>
      </c>
      <c r="V170" s="150">
        <f t="shared" si="24"/>
        <v>60.483333333333334</v>
      </c>
      <c r="W170" s="149"/>
    </row>
    <row r="171" spans="15:23" x14ac:dyDescent="0.25">
      <c r="O171" s="147">
        <v>3659</v>
      </c>
      <c r="P171" s="150">
        <f t="shared" si="23"/>
        <v>60.983333333333334</v>
      </c>
      <c r="Q171" s="149"/>
      <c r="R171" s="147">
        <f t="shared" si="21"/>
        <v>3659</v>
      </c>
      <c r="S171" s="150">
        <f t="shared" si="22"/>
        <v>60.983333333333334</v>
      </c>
      <c r="T171" s="149"/>
      <c r="U171" s="147">
        <v>3659</v>
      </c>
      <c r="V171" s="150">
        <f t="shared" si="24"/>
        <v>60.983333333333334</v>
      </c>
      <c r="W171" s="149"/>
    </row>
    <row r="172" spans="15:23" x14ac:dyDescent="0.25">
      <c r="O172" s="147">
        <v>3689</v>
      </c>
      <c r="P172" s="150">
        <f t="shared" si="23"/>
        <v>61.483333333333334</v>
      </c>
      <c r="Q172" s="149"/>
      <c r="R172" s="147">
        <f t="shared" si="21"/>
        <v>3689</v>
      </c>
      <c r="S172" s="150">
        <f t="shared" si="22"/>
        <v>61.483333333333334</v>
      </c>
      <c r="T172" s="149"/>
      <c r="U172" s="147">
        <v>3689</v>
      </c>
      <c r="V172" s="150">
        <f t="shared" si="24"/>
        <v>61.483333333333334</v>
      </c>
      <c r="W172" s="149"/>
    </row>
    <row r="173" spans="15:23" x14ac:dyDescent="0.25">
      <c r="O173" s="147">
        <v>3719</v>
      </c>
      <c r="P173" s="150">
        <f t="shared" si="23"/>
        <v>61.983333333333334</v>
      </c>
      <c r="Q173" s="149"/>
      <c r="R173" s="147">
        <f t="shared" si="21"/>
        <v>3719</v>
      </c>
      <c r="S173" s="150">
        <f t="shared" si="22"/>
        <v>61.983333333333334</v>
      </c>
      <c r="T173" s="149"/>
      <c r="U173" s="147">
        <v>3719</v>
      </c>
      <c r="V173" s="150">
        <f t="shared" si="24"/>
        <v>61.983333333333334</v>
      </c>
      <c r="W173" s="149"/>
    </row>
    <row r="174" spans="15:23" x14ac:dyDescent="0.25">
      <c r="O174" s="147">
        <v>3749</v>
      </c>
      <c r="P174" s="150">
        <f t="shared" si="23"/>
        <v>62.483333333333334</v>
      </c>
      <c r="Q174" s="149">
        <v>0.59399999999999997</v>
      </c>
      <c r="R174" s="147">
        <f t="shared" si="21"/>
        <v>3749</v>
      </c>
      <c r="S174" s="150">
        <f t="shared" si="22"/>
        <v>62.483333333333334</v>
      </c>
      <c r="T174" s="149"/>
      <c r="U174" s="147">
        <v>3749</v>
      </c>
      <c r="V174" s="150">
        <f t="shared" si="24"/>
        <v>62.483333333333334</v>
      </c>
      <c r="W174" s="149"/>
    </row>
    <row r="175" spans="15:23" x14ac:dyDescent="0.25">
      <c r="O175" s="147">
        <v>3779</v>
      </c>
      <c r="P175" s="150">
        <f t="shared" si="23"/>
        <v>62.983333333333334</v>
      </c>
      <c r="Q175" s="149">
        <v>0.59399999999999997</v>
      </c>
      <c r="R175" s="147">
        <f t="shared" si="21"/>
        <v>3779</v>
      </c>
      <c r="S175" s="150">
        <f t="shared" si="22"/>
        <v>62.983333333333334</v>
      </c>
      <c r="T175" s="149"/>
      <c r="U175" s="147">
        <v>3779</v>
      </c>
      <c r="V175" s="150">
        <f t="shared" si="24"/>
        <v>62.983333333333334</v>
      </c>
      <c r="W175" s="149"/>
    </row>
    <row r="176" spans="15:23" x14ac:dyDescent="0.25">
      <c r="O176" s="147">
        <v>3809</v>
      </c>
      <c r="P176" s="150">
        <f t="shared" si="23"/>
        <v>63.483333333333334</v>
      </c>
      <c r="Q176" s="149">
        <v>0.59399999999999997</v>
      </c>
      <c r="R176" s="147">
        <f t="shared" si="21"/>
        <v>3809</v>
      </c>
      <c r="S176" s="150">
        <f t="shared" si="22"/>
        <v>63.483333333333334</v>
      </c>
      <c r="T176" s="149"/>
      <c r="U176" s="147">
        <v>3809</v>
      </c>
      <c r="V176" s="150">
        <f t="shared" si="24"/>
        <v>63.483333333333334</v>
      </c>
      <c r="W176" s="149"/>
    </row>
    <row r="177" spans="15:23" x14ac:dyDescent="0.25">
      <c r="O177" s="147">
        <v>3839</v>
      </c>
      <c r="P177" s="150">
        <f t="shared" si="23"/>
        <v>63.983333333333334</v>
      </c>
      <c r="Q177" s="149">
        <v>0.59399999999999997</v>
      </c>
      <c r="R177" s="147">
        <f t="shared" si="21"/>
        <v>3839</v>
      </c>
      <c r="S177" s="150">
        <f t="shared" si="22"/>
        <v>63.983333333333334</v>
      </c>
      <c r="T177" s="149"/>
      <c r="U177" s="147">
        <v>3839</v>
      </c>
      <c r="V177" s="150">
        <f t="shared" si="24"/>
        <v>63.983333333333334</v>
      </c>
      <c r="W177" s="149"/>
    </row>
    <row r="178" spans="15:23" x14ac:dyDescent="0.25">
      <c r="O178" s="147">
        <v>3869</v>
      </c>
      <c r="P178" s="150">
        <f t="shared" si="23"/>
        <v>64.483333333333334</v>
      </c>
      <c r="Q178" s="149">
        <v>0.59399999999999997</v>
      </c>
      <c r="R178" s="147">
        <f t="shared" si="21"/>
        <v>3869</v>
      </c>
      <c r="S178" s="150">
        <f t="shared" si="22"/>
        <v>64.483333333333334</v>
      </c>
      <c r="T178" s="149"/>
      <c r="U178" s="147">
        <v>3869</v>
      </c>
      <c r="V178" s="150">
        <f t="shared" si="24"/>
        <v>64.483333333333334</v>
      </c>
      <c r="W178" s="149"/>
    </row>
    <row r="179" spans="15:23" x14ac:dyDescent="0.25">
      <c r="O179" s="147">
        <v>3899</v>
      </c>
      <c r="P179" s="150">
        <f t="shared" si="23"/>
        <v>64.983333333333334</v>
      </c>
      <c r="Q179" s="149">
        <v>0.59399999999999997</v>
      </c>
      <c r="R179" s="147">
        <f t="shared" si="21"/>
        <v>3899</v>
      </c>
      <c r="S179" s="150">
        <f t="shared" si="22"/>
        <v>64.983333333333334</v>
      </c>
      <c r="T179" s="149"/>
      <c r="U179" s="147">
        <v>3899</v>
      </c>
      <c r="V179" s="150">
        <f t="shared" si="24"/>
        <v>64.983333333333334</v>
      </c>
      <c r="W179" s="149"/>
    </row>
    <row r="180" spans="15:23" x14ac:dyDescent="0.25">
      <c r="O180" s="147">
        <v>3929</v>
      </c>
      <c r="P180" s="150">
        <f t="shared" si="23"/>
        <v>65.483333333333334</v>
      </c>
      <c r="Q180" s="149">
        <v>0.59499999999999997</v>
      </c>
      <c r="R180" s="147">
        <f t="shared" si="21"/>
        <v>3929</v>
      </c>
      <c r="S180" s="150">
        <f t="shared" si="22"/>
        <v>65.483333333333334</v>
      </c>
      <c r="T180" s="149"/>
      <c r="U180" s="147">
        <v>3929</v>
      </c>
      <c r="V180" s="150">
        <f t="shared" si="24"/>
        <v>65.483333333333334</v>
      </c>
      <c r="W180" s="149"/>
    </row>
    <row r="181" spans="15:23" x14ac:dyDescent="0.25">
      <c r="O181" s="147">
        <v>3959</v>
      </c>
      <c r="P181" s="150">
        <f t="shared" si="23"/>
        <v>65.983333333333334</v>
      </c>
      <c r="Q181" s="149">
        <v>0.59499999999999997</v>
      </c>
      <c r="R181" s="147">
        <f t="shared" si="21"/>
        <v>3959</v>
      </c>
      <c r="S181" s="150">
        <f t="shared" si="22"/>
        <v>65.983333333333334</v>
      </c>
      <c r="T181" s="149"/>
      <c r="U181" s="147">
        <v>3959</v>
      </c>
      <c r="V181" s="150">
        <f t="shared" si="24"/>
        <v>65.983333333333334</v>
      </c>
      <c r="W181" s="149"/>
    </row>
    <row r="182" spans="15:23" x14ac:dyDescent="0.25">
      <c r="O182" s="147">
        <v>3989</v>
      </c>
      <c r="P182" s="150">
        <f t="shared" si="23"/>
        <v>66.483333333333334</v>
      </c>
      <c r="Q182" s="149">
        <v>0.59499999999999997</v>
      </c>
      <c r="R182" s="147">
        <f t="shared" si="21"/>
        <v>3989</v>
      </c>
      <c r="S182" s="150">
        <f t="shared" si="22"/>
        <v>66.483333333333334</v>
      </c>
      <c r="T182" s="149"/>
      <c r="U182" s="147">
        <v>3989</v>
      </c>
      <c r="V182" s="150">
        <f t="shared" si="24"/>
        <v>66.483333333333334</v>
      </c>
      <c r="W182" s="149"/>
    </row>
    <row r="183" spans="15:23" x14ac:dyDescent="0.25">
      <c r="O183" s="147">
        <v>4019</v>
      </c>
      <c r="P183" s="150">
        <f t="shared" si="23"/>
        <v>66.983333333333334</v>
      </c>
      <c r="Q183" s="149">
        <v>0.59499999999999997</v>
      </c>
      <c r="R183" s="147">
        <f t="shared" si="21"/>
        <v>4019</v>
      </c>
      <c r="S183" s="150">
        <f t="shared" si="22"/>
        <v>66.983333333333334</v>
      </c>
      <c r="T183" s="149"/>
      <c r="U183" s="147">
        <v>4019</v>
      </c>
      <c r="V183" s="150">
        <f t="shared" si="24"/>
        <v>66.983333333333334</v>
      </c>
      <c r="W183" s="149"/>
    </row>
    <row r="184" spans="15:23" x14ac:dyDescent="0.25">
      <c r="O184" s="147">
        <v>4049</v>
      </c>
      <c r="P184" s="150">
        <f t="shared" si="23"/>
        <v>67.483333333333334</v>
      </c>
      <c r="Q184" s="149">
        <v>0.59499999999999997</v>
      </c>
      <c r="R184" s="147">
        <f t="shared" si="21"/>
        <v>4049</v>
      </c>
      <c r="S184" s="150">
        <f t="shared" si="22"/>
        <v>67.483333333333334</v>
      </c>
      <c r="T184" s="149"/>
      <c r="U184" s="147">
        <v>4049</v>
      </c>
      <c r="V184" s="150">
        <f t="shared" si="24"/>
        <v>67.483333333333334</v>
      </c>
      <c r="W184" s="149"/>
    </row>
    <row r="185" spans="15:23" x14ac:dyDescent="0.25">
      <c r="O185" s="147">
        <v>4079</v>
      </c>
      <c r="P185" s="150">
        <f t="shared" si="23"/>
        <v>67.983333333333334</v>
      </c>
      <c r="Q185" s="149">
        <v>0.59499999999999997</v>
      </c>
      <c r="R185" s="147">
        <f t="shared" si="21"/>
        <v>4079</v>
      </c>
      <c r="S185" s="150">
        <f t="shared" si="22"/>
        <v>67.983333333333334</v>
      </c>
      <c r="T185" s="149"/>
      <c r="U185" s="147">
        <v>4079</v>
      </c>
      <c r="V185" s="150">
        <f t="shared" si="24"/>
        <v>67.983333333333334</v>
      </c>
      <c r="W185" s="149"/>
    </row>
    <row r="186" spans="15:23" x14ac:dyDescent="0.25">
      <c r="O186" s="147">
        <v>4109</v>
      </c>
      <c r="P186" s="150">
        <f t="shared" si="23"/>
        <v>68.483333333333334</v>
      </c>
      <c r="Q186" s="149">
        <v>0.59499999999999997</v>
      </c>
      <c r="R186" s="147">
        <f t="shared" si="21"/>
        <v>4109</v>
      </c>
      <c r="S186" s="150">
        <f t="shared" si="22"/>
        <v>68.483333333333334</v>
      </c>
      <c r="T186" s="149"/>
      <c r="U186" s="147">
        <v>4109</v>
      </c>
      <c r="V186" s="150">
        <f t="shared" si="24"/>
        <v>68.483333333333334</v>
      </c>
      <c r="W186" s="149"/>
    </row>
    <row r="187" spans="15:23" x14ac:dyDescent="0.25">
      <c r="O187" s="147">
        <v>4139</v>
      </c>
      <c r="P187" s="150">
        <f t="shared" si="23"/>
        <v>68.983333333333334</v>
      </c>
      <c r="Q187" s="149">
        <v>0.59499999999999997</v>
      </c>
      <c r="R187" s="147">
        <f t="shared" si="21"/>
        <v>4139</v>
      </c>
      <c r="S187" s="150">
        <f t="shared" si="22"/>
        <v>68.983333333333334</v>
      </c>
      <c r="T187" s="149"/>
      <c r="U187" s="147">
        <v>4139</v>
      </c>
      <c r="V187" s="150">
        <f t="shared" si="24"/>
        <v>68.983333333333334</v>
      </c>
      <c r="W187" s="149"/>
    </row>
    <row r="188" spans="15:23" x14ac:dyDescent="0.25">
      <c r="O188" s="147">
        <v>4169</v>
      </c>
      <c r="P188" s="150">
        <f t="shared" si="23"/>
        <v>69.483333333333334</v>
      </c>
      <c r="Q188" s="149">
        <v>0.59499999999999997</v>
      </c>
      <c r="R188" s="147">
        <f t="shared" si="21"/>
        <v>4169</v>
      </c>
      <c r="S188" s="150">
        <f t="shared" si="22"/>
        <v>69.483333333333334</v>
      </c>
      <c r="T188" s="149"/>
      <c r="U188" s="147">
        <v>4169</v>
      </c>
      <c r="V188" s="150">
        <f t="shared" si="24"/>
        <v>69.483333333333334</v>
      </c>
      <c r="W188" s="149"/>
    </row>
    <row r="189" spans="15:23" x14ac:dyDescent="0.25">
      <c r="O189" s="147">
        <v>4199</v>
      </c>
      <c r="P189" s="150">
        <f t="shared" si="23"/>
        <v>69.983333333333334</v>
      </c>
      <c r="Q189" s="149">
        <v>0.59499999999999997</v>
      </c>
      <c r="R189" s="147">
        <f t="shared" si="21"/>
        <v>4199</v>
      </c>
      <c r="S189" s="150">
        <f t="shared" si="22"/>
        <v>69.983333333333334</v>
      </c>
      <c r="T189" s="149"/>
      <c r="U189" s="147">
        <v>4199</v>
      </c>
      <c r="V189" s="150">
        <f t="shared" si="24"/>
        <v>69.983333333333334</v>
      </c>
      <c r="W189" s="149"/>
    </row>
    <row r="190" spans="15:23" x14ac:dyDescent="0.25">
      <c r="O190" s="147">
        <v>4229</v>
      </c>
      <c r="P190" s="150">
        <f t="shared" si="23"/>
        <v>70.483333333333334</v>
      </c>
      <c r="Q190" s="149">
        <v>0.59499999999999997</v>
      </c>
      <c r="R190" s="147">
        <f t="shared" si="21"/>
        <v>4229</v>
      </c>
      <c r="S190" s="150">
        <f t="shared" si="22"/>
        <v>70.483333333333334</v>
      </c>
      <c r="T190" s="149"/>
      <c r="U190" s="147">
        <v>4229</v>
      </c>
      <c r="V190" s="150">
        <f t="shared" si="24"/>
        <v>70.483333333333334</v>
      </c>
      <c r="W190" s="149"/>
    </row>
    <row r="191" spans="15:23" x14ac:dyDescent="0.25">
      <c r="O191" s="147">
        <v>4259</v>
      </c>
      <c r="P191" s="150">
        <f t="shared" si="23"/>
        <v>70.983333333333334</v>
      </c>
      <c r="Q191" s="149">
        <v>0.59499999999999997</v>
      </c>
      <c r="R191" s="147">
        <f t="shared" si="21"/>
        <v>4259</v>
      </c>
      <c r="S191" s="150">
        <f t="shared" si="22"/>
        <v>70.983333333333334</v>
      </c>
      <c r="T191" s="149"/>
      <c r="U191" s="147">
        <v>4259</v>
      </c>
      <c r="V191" s="150">
        <f t="shared" si="24"/>
        <v>70.983333333333334</v>
      </c>
      <c r="W191" s="149"/>
    </row>
    <row r="192" spans="15:23" x14ac:dyDescent="0.25">
      <c r="O192" s="147">
        <v>4289</v>
      </c>
      <c r="P192" s="150">
        <f t="shared" si="23"/>
        <v>71.483333333333334</v>
      </c>
      <c r="Q192" s="149">
        <v>0.59699999999999998</v>
      </c>
      <c r="R192" s="147">
        <f t="shared" si="21"/>
        <v>4289</v>
      </c>
      <c r="S192" s="150">
        <f t="shared" si="22"/>
        <v>71.483333333333334</v>
      </c>
      <c r="T192" s="149"/>
      <c r="U192" s="147">
        <v>4289</v>
      </c>
      <c r="V192" s="150">
        <f t="shared" si="24"/>
        <v>71.483333333333334</v>
      </c>
      <c r="W192" s="149"/>
    </row>
    <row r="193" spans="15:23" x14ac:dyDescent="0.25">
      <c r="O193" s="147">
        <v>4319</v>
      </c>
      <c r="P193" s="150">
        <f t="shared" si="23"/>
        <v>71.983333333333334</v>
      </c>
      <c r="Q193" s="149">
        <v>0.59699999999999998</v>
      </c>
      <c r="R193" s="147">
        <f t="shared" si="21"/>
        <v>4319</v>
      </c>
      <c r="S193" s="150">
        <f t="shared" si="22"/>
        <v>71.983333333333334</v>
      </c>
      <c r="T193" s="149"/>
      <c r="U193" s="147">
        <v>4319</v>
      </c>
      <c r="V193" s="150">
        <f t="shared" si="24"/>
        <v>71.983333333333334</v>
      </c>
      <c r="W193" s="149"/>
    </row>
    <row r="194" spans="15:23" x14ac:dyDescent="0.25">
      <c r="O194" s="147">
        <v>4349</v>
      </c>
      <c r="P194" s="150">
        <f t="shared" si="23"/>
        <v>72.483333333333334</v>
      </c>
      <c r="Q194" s="149">
        <v>0.59699999999999998</v>
      </c>
      <c r="R194" s="147">
        <f t="shared" si="21"/>
        <v>4349</v>
      </c>
      <c r="S194" s="150">
        <f t="shared" si="22"/>
        <v>72.483333333333334</v>
      </c>
      <c r="T194" s="149"/>
      <c r="U194" s="147">
        <v>4349</v>
      </c>
      <c r="V194" s="150">
        <f t="shared" si="24"/>
        <v>72.483333333333334</v>
      </c>
      <c r="W194" s="149"/>
    </row>
    <row r="195" spans="15:23" x14ac:dyDescent="0.25">
      <c r="O195" s="147">
        <v>4379</v>
      </c>
      <c r="P195" s="150">
        <f t="shared" si="23"/>
        <v>72.983333333333334</v>
      </c>
      <c r="Q195" s="149">
        <v>0.59699999999999998</v>
      </c>
      <c r="R195" s="147">
        <f t="shared" si="21"/>
        <v>4379</v>
      </c>
      <c r="S195" s="150">
        <f t="shared" si="22"/>
        <v>72.983333333333334</v>
      </c>
      <c r="T195" s="149"/>
      <c r="U195" s="147">
        <v>4379</v>
      </c>
      <c r="V195" s="150">
        <f t="shared" si="24"/>
        <v>72.983333333333334</v>
      </c>
      <c r="W195" s="149"/>
    </row>
    <row r="196" spans="15:23" x14ac:dyDescent="0.25">
      <c r="O196" s="147">
        <v>4409</v>
      </c>
      <c r="P196" s="150">
        <f t="shared" si="23"/>
        <v>73.483333333333334</v>
      </c>
      <c r="Q196" s="149">
        <v>0.59699999999999998</v>
      </c>
      <c r="R196" s="147">
        <f t="shared" si="21"/>
        <v>4409</v>
      </c>
      <c r="S196" s="150">
        <f t="shared" si="22"/>
        <v>73.483333333333334</v>
      </c>
      <c r="T196" s="149"/>
      <c r="U196" s="147">
        <v>4409</v>
      </c>
      <c r="V196" s="150">
        <f t="shared" si="24"/>
        <v>73.483333333333334</v>
      </c>
      <c r="W196" s="149"/>
    </row>
    <row r="197" spans="15:23" x14ac:dyDescent="0.25">
      <c r="O197" s="147">
        <v>4439</v>
      </c>
      <c r="P197" s="150">
        <f t="shared" si="23"/>
        <v>73.983333333333334</v>
      </c>
      <c r="Q197" s="149">
        <v>0.59699999999999998</v>
      </c>
      <c r="R197" s="147">
        <f t="shared" si="21"/>
        <v>4439</v>
      </c>
      <c r="S197" s="150">
        <f t="shared" si="22"/>
        <v>73.983333333333334</v>
      </c>
      <c r="T197" s="149"/>
      <c r="U197" s="147">
        <v>4439</v>
      </c>
      <c r="V197" s="150">
        <f t="shared" si="24"/>
        <v>73.983333333333334</v>
      </c>
      <c r="W197" s="149"/>
    </row>
    <row r="198" spans="15:23" x14ac:dyDescent="0.25">
      <c r="O198" s="147">
        <v>4469</v>
      </c>
      <c r="P198" s="150">
        <f t="shared" si="23"/>
        <v>74.483333333333334</v>
      </c>
      <c r="Q198" s="149">
        <v>0.59699999999999998</v>
      </c>
      <c r="R198" s="147">
        <f t="shared" si="21"/>
        <v>4469</v>
      </c>
      <c r="S198" s="150">
        <f t="shared" si="22"/>
        <v>74.483333333333334</v>
      </c>
      <c r="T198" s="149"/>
      <c r="U198" s="147">
        <v>4469</v>
      </c>
      <c r="V198" s="150">
        <f t="shared" si="24"/>
        <v>74.483333333333334</v>
      </c>
      <c r="W198" s="149"/>
    </row>
    <row r="199" spans="15:23" x14ac:dyDescent="0.25">
      <c r="O199" s="147">
        <v>4499</v>
      </c>
      <c r="P199" s="150">
        <f t="shared" si="23"/>
        <v>74.983333333333334</v>
      </c>
      <c r="Q199" s="149">
        <v>0.59699999999999998</v>
      </c>
      <c r="R199" s="147">
        <f t="shared" si="21"/>
        <v>4499</v>
      </c>
      <c r="S199" s="150">
        <f t="shared" si="22"/>
        <v>74.983333333333334</v>
      </c>
      <c r="T199" s="149"/>
      <c r="U199" s="147">
        <v>4499</v>
      </c>
      <c r="V199" s="150">
        <f t="shared" si="24"/>
        <v>74.983333333333334</v>
      </c>
      <c r="W199" s="149"/>
    </row>
    <row r="200" spans="15:23" x14ac:dyDescent="0.25">
      <c r="O200" s="147">
        <v>4529</v>
      </c>
      <c r="P200" s="150">
        <f t="shared" si="23"/>
        <v>75.483333333333334</v>
      </c>
      <c r="Q200" s="149">
        <v>0.59699999999999998</v>
      </c>
      <c r="R200" s="147">
        <f t="shared" si="21"/>
        <v>4529</v>
      </c>
      <c r="S200" s="150">
        <f t="shared" si="22"/>
        <v>75.483333333333334</v>
      </c>
      <c r="T200" s="149"/>
      <c r="U200" s="147">
        <v>4529</v>
      </c>
      <c r="V200" s="150">
        <f t="shared" si="24"/>
        <v>75.483333333333334</v>
      </c>
      <c r="W200" s="149"/>
    </row>
    <row r="201" spans="15:23" x14ac:dyDescent="0.25">
      <c r="O201" s="147">
        <v>4559</v>
      </c>
      <c r="P201" s="150">
        <f t="shared" si="23"/>
        <v>75.983333333333334</v>
      </c>
      <c r="Q201" s="149">
        <v>0.59699999999999998</v>
      </c>
      <c r="R201" s="147">
        <f t="shared" si="21"/>
        <v>4559</v>
      </c>
      <c r="S201" s="150">
        <f t="shared" si="22"/>
        <v>75.983333333333334</v>
      </c>
      <c r="T201" s="149"/>
      <c r="U201" s="147">
        <v>4559</v>
      </c>
      <c r="V201" s="150">
        <f t="shared" si="24"/>
        <v>75.983333333333334</v>
      </c>
      <c r="W201" s="149"/>
    </row>
    <row r="202" spans="15:23" x14ac:dyDescent="0.25">
      <c r="O202" s="147">
        <v>4589</v>
      </c>
      <c r="P202" s="150">
        <f t="shared" si="23"/>
        <v>76.483333333333334</v>
      </c>
      <c r="Q202" s="149">
        <v>0.59699999999999998</v>
      </c>
      <c r="R202" s="147">
        <f t="shared" si="21"/>
        <v>4589</v>
      </c>
      <c r="S202" s="150">
        <f t="shared" si="22"/>
        <v>76.483333333333334</v>
      </c>
      <c r="T202" s="149"/>
      <c r="U202" s="147">
        <v>4589</v>
      </c>
      <c r="V202" s="150">
        <f t="shared" si="24"/>
        <v>76.483333333333334</v>
      </c>
      <c r="W202" s="149"/>
    </row>
    <row r="203" spans="15:23" x14ac:dyDescent="0.25">
      <c r="O203" s="147">
        <v>4619</v>
      </c>
      <c r="P203" s="150">
        <f t="shared" si="23"/>
        <v>76.983333333333334</v>
      </c>
      <c r="Q203" s="149">
        <v>0.59699999999999998</v>
      </c>
      <c r="R203" s="147">
        <f t="shared" si="21"/>
        <v>4619</v>
      </c>
      <c r="S203" s="150">
        <f t="shared" si="22"/>
        <v>76.983333333333334</v>
      </c>
      <c r="T203" s="149"/>
      <c r="U203" s="147">
        <v>4619</v>
      </c>
      <c r="V203" s="150">
        <f t="shared" si="24"/>
        <v>76.983333333333334</v>
      </c>
      <c r="W203" s="149"/>
    </row>
    <row r="204" spans="15:23" x14ac:dyDescent="0.25">
      <c r="O204" s="147">
        <v>4649</v>
      </c>
      <c r="P204" s="150">
        <f t="shared" si="23"/>
        <v>77.483333333333334</v>
      </c>
      <c r="Q204" s="149">
        <v>0.59699999999999998</v>
      </c>
      <c r="R204" s="147">
        <f t="shared" si="21"/>
        <v>4649</v>
      </c>
      <c r="S204" s="150">
        <f t="shared" si="22"/>
        <v>77.483333333333334</v>
      </c>
      <c r="T204" s="149"/>
      <c r="U204" s="147">
        <v>4649</v>
      </c>
      <c r="V204" s="150">
        <f t="shared" si="24"/>
        <v>77.483333333333334</v>
      </c>
      <c r="W204" s="149"/>
    </row>
    <row r="205" spans="15:23" x14ac:dyDescent="0.25">
      <c r="O205" s="147">
        <v>4679</v>
      </c>
      <c r="P205" s="150">
        <f t="shared" si="23"/>
        <v>77.983333333333334</v>
      </c>
      <c r="Q205" s="149">
        <v>0.59699999999999998</v>
      </c>
      <c r="R205" s="147">
        <f t="shared" si="21"/>
        <v>4679</v>
      </c>
      <c r="S205" s="150">
        <f t="shared" si="22"/>
        <v>77.983333333333334</v>
      </c>
      <c r="T205" s="149"/>
      <c r="U205" s="147">
        <v>4679</v>
      </c>
      <c r="V205" s="150">
        <f t="shared" si="24"/>
        <v>77.983333333333334</v>
      </c>
      <c r="W205" s="149"/>
    </row>
    <row r="206" spans="15:23" x14ac:dyDescent="0.25">
      <c r="O206" s="147">
        <v>4709</v>
      </c>
      <c r="P206" s="150">
        <f t="shared" si="23"/>
        <v>78.483333333333334</v>
      </c>
      <c r="Q206" s="149">
        <v>0.59699999999999998</v>
      </c>
      <c r="R206" s="147">
        <f t="shared" si="21"/>
        <v>4709</v>
      </c>
      <c r="S206" s="150">
        <f t="shared" si="22"/>
        <v>78.483333333333334</v>
      </c>
      <c r="T206" s="149"/>
      <c r="U206" s="147">
        <v>4709</v>
      </c>
      <c r="V206" s="150">
        <f t="shared" si="24"/>
        <v>78.483333333333334</v>
      </c>
      <c r="W206" s="149"/>
    </row>
    <row r="207" spans="15:23" x14ac:dyDescent="0.25">
      <c r="O207" s="147">
        <v>4739</v>
      </c>
      <c r="P207" s="150">
        <f t="shared" si="23"/>
        <v>78.983333333333334</v>
      </c>
      <c r="Q207" s="149">
        <v>0.59699999999999998</v>
      </c>
      <c r="R207" s="147">
        <f t="shared" si="21"/>
        <v>4739</v>
      </c>
      <c r="S207" s="150">
        <f t="shared" si="22"/>
        <v>78.983333333333334</v>
      </c>
      <c r="T207" s="149"/>
      <c r="U207" s="147">
        <v>4739</v>
      </c>
      <c r="V207" s="150">
        <f t="shared" si="24"/>
        <v>78.983333333333334</v>
      </c>
      <c r="W207" s="149"/>
    </row>
    <row r="208" spans="15:23" x14ac:dyDescent="0.25">
      <c r="O208" s="147">
        <v>4769</v>
      </c>
      <c r="P208" s="150">
        <f t="shared" si="23"/>
        <v>79.483333333333334</v>
      </c>
      <c r="Q208" s="149">
        <v>0.59799999999999998</v>
      </c>
      <c r="R208" s="147">
        <f t="shared" si="21"/>
        <v>4769</v>
      </c>
      <c r="S208" s="150">
        <f t="shared" si="22"/>
        <v>79.483333333333334</v>
      </c>
      <c r="T208" s="149"/>
      <c r="U208" s="147">
        <v>4769</v>
      </c>
      <c r="V208" s="150">
        <f t="shared" si="24"/>
        <v>79.483333333333334</v>
      </c>
      <c r="W208" s="149"/>
    </row>
    <row r="209" spans="15:23" x14ac:dyDescent="0.25">
      <c r="O209" s="147">
        <v>4799</v>
      </c>
      <c r="P209" s="150">
        <f t="shared" si="23"/>
        <v>79.983333333333334</v>
      </c>
      <c r="Q209" s="149">
        <v>0.59899999999999998</v>
      </c>
      <c r="R209" s="147">
        <f t="shared" si="21"/>
        <v>4799</v>
      </c>
      <c r="S209" s="150">
        <f t="shared" si="22"/>
        <v>79.983333333333334</v>
      </c>
      <c r="T209" s="149"/>
      <c r="U209" s="147">
        <v>4799</v>
      </c>
      <c r="V209" s="150">
        <f t="shared" si="24"/>
        <v>79.983333333333334</v>
      </c>
      <c r="W209" s="149"/>
    </row>
    <row r="210" spans="15:23" x14ac:dyDescent="0.25">
      <c r="O210" s="147">
        <v>4829</v>
      </c>
      <c r="P210" s="150">
        <f t="shared" si="23"/>
        <v>80.483333333333334</v>
      </c>
      <c r="Q210" s="149">
        <v>0.59899999999999998</v>
      </c>
      <c r="R210" s="147">
        <f t="shared" si="21"/>
        <v>4829</v>
      </c>
      <c r="S210" s="150">
        <f t="shared" si="22"/>
        <v>80.483333333333334</v>
      </c>
      <c r="T210" s="149"/>
      <c r="U210" s="147">
        <v>4829</v>
      </c>
      <c r="V210" s="150">
        <f t="shared" si="24"/>
        <v>80.483333333333334</v>
      </c>
      <c r="W210" s="149"/>
    </row>
    <row r="211" spans="15:23" x14ac:dyDescent="0.25">
      <c r="O211" s="147">
        <v>4859</v>
      </c>
      <c r="P211" s="150">
        <f t="shared" si="23"/>
        <v>80.983333333333334</v>
      </c>
      <c r="Q211" s="149">
        <v>0.59899999999999998</v>
      </c>
      <c r="R211" s="147">
        <f t="shared" si="21"/>
        <v>4859</v>
      </c>
      <c r="S211" s="150">
        <f t="shared" si="22"/>
        <v>80.983333333333334</v>
      </c>
      <c r="T211" s="149"/>
      <c r="U211" s="147">
        <v>4859</v>
      </c>
      <c r="V211" s="150">
        <f t="shared" si="24"/>
        <v>80.983333333333334</v>
      </c>
      <c r="W211" s="149"/>
    </row>
    <row r="212" spans="15:23" x14ac:dyDescent="0.25">
      <c r="O212" s="147">
        <v>4889</v>
      </c>
      <c r="P212" s="150">
        <f t="shared" si="23"/>
        <v>81.483333333333334</v>
      </c>
      <c r="Q212" s="149">
        <v>0.59899999999999998</v>
      </c>
      <c r="R212" s="147">
        <f t="shared" si="21"/>
        <v>4889</v>
      </c>
      <c r="S212" s="150">
        <f t="shared" si="22"/>
        <v>81.483333333333334</v>
      </c>
      <c r="T212" s="149"/>
      <c r="U212" s="147">
        <v>4889</v>
      </c>
      <c r="V212" s="150">
        <f t="shared" si="24"/>
        <v>81.483333333333334</v>
      </c>
      <c r="W212" s="149"/>
    </row>
    <row r="213" spans="15:23" x14ac:dyDescent="0.25">
      <c r="O213" s="147">
        <v>4919</v>
      </c>
      <c r="P213" s="150">
        <f t="shared" si="23"/>
        <v>81.983333333333334</v>
      </c>
      <c r="Q213" s="149">
        <v>0.59899999999999998</v>
      </c>
      <c r="R213" s="147">
        <f t="shared" ref="R213:R276" si="25">AVERAGE(O213,U213)</f>
        <v>4919</v>
      </c>
      <c r="S213" s="150">
        <f t="shared" ref="S213:S276" si="26">AVERAGE(P213,V213)</f>
        <v>81.983333333333334</v>
      </c>
      <c r="T213" s="149"/>
      <c r="U213" s="147">
        <v>4919</v>
      </c>
      <c r="V213" s="150">
        <f t="shared" si="24"/>
        <v>81.983333333333334</v>
      </c>
      <c r="W213" s="149"/>
    </row>
    <row r="214" spans="15:23" x14ac:dyDescent="0.25">
      <c r="O214" s="147">
        <v>4949</v>
      </c>
      <c r="P214" s="150">
        <f t="shared" ref="P214:P277" si="27">O214/60</f>
        <v>82.483333333333334</v>
      </c>
      <c r="Q214" s="149">
        <v>0.59899999999999998</v>
      </c>
      <c r="R214" s="147">
        <f t="shared" si="25"/>
        <v>4949</v>
      </c>
      <c r="S214" s="150">
        <f t="shared" si="26"/>
        <v>82.483333333333334</v>
      </c>
      <c r="T214" s="149"/>
      <c r="U214" s="147">
        <v>4949</v>
      </c>
      <c r="V214" s="150">
        <f t="shared" si="24"/>
        <v>82.483333333333334</v>
      </c>
      <c r="W214" s="149"/>
    </row>
    <row r="215" spans="15:23" x14ac:dyDescent="0.25">
      <c r="O215" s="147">
        <v>4979</v>
      </c>
      <c r="P215" s="150">
        <f t="shared" si="27"/>
        <v>82.983333333333334</v>
      </c>
      <c r="Q215" s="149">
        <v>0.59899999999999998</v>
      </c>
      <c r="R215" s="147">
        <f t="shared" si="25"/>
        <v>4979</v>
      </c>
      <c r="S215" s="150">
        <f t="shared" si="26"/>
        <v>82.983333333333334</v>
      </c>
      <c r="T215" s="149"/>
      <c r="U215" s="147">
        <v>4979</v>
      </c>
      <c r="V215" s="150">
        <f t="shared" ref="V215:V278" si="28">U215/60</f>
        <v>82.983333333333334</v>
      </c>
      <c r="W215" s="149"/>
    </row>
    <row r="216" spans="15:23" x14ac:dyDescent="0.25">
      <c r="O216" s="147">
        <v>5009</v>
      </c>
      <c r="P216" s="150">
        <f t="shared" si="27"/>
        <v>83.483333333333334</v>
      </c>
      <c r="Q216" s="149">
        <v>0.59899999999999998</v>
      </c>
      <c r="R216" s="147">
        <f t="shared" si="25"/>
        <v>5009</v>
      </c>
      <c r="S216" s="150">
        <f t="shared" si="26"/>
        <v>83.483333333333334</v>
      </c>
      <c r="T216" s="149"/>
      <c r="U216" s="147">
        <v>5009</v>
      </c>
      <c r="V216" s="150">
        <f t="shared" si="28"/>
        <v>83.483333333333334</v>
      </c>
      <c r="W216" s="149"/>
    </row>
    <row r="217" spans="15:23" x14ac:dyDescent="0.25">
      <c r="O217" s="147">
        <v>5039</v>
      </c>
      <c r="P217" s="150">
        <f t="shared" si="27"/>
        <v>83.983333333333334</v>
      </c>
      <c r="Q217" s="149">
        <v>0.59899999999999998</v>
      </c>
      <c r="R217" s="147">
        <f t="shared" si="25"/>
        <v>5039</v>
      </c>
      <c r="S217" s="150">
        <f t="shared" si="26"/>
        <v>83.983333333333334</v>
      </c>
      <c r="T217" s="149"/>
      <c r="U217" s="147">
        <v>5039</v>
      </c>
      <c r="V217" s="150">
        <f t="shared" si="28"/>
        <v>83.983333333333334</v>
      </c>
      <c r="W217" s="149"/>
    </row>
    <row r="218" spans="15:23" x14ac:dyDescent="0.25">
      <c r="O218" s="147">
        <v>5069</v>
      </c>
      <c r="P218" s="150">
        <f t="shared" si="27"/>
        <v>84.483333333333334</v>
      </c>
      <c r="Q218" s="149">
        <v>0.59899999999999998</v>
      </c>
      <c r="R218" s="147">
        <f t="shared" si="25"/>
        <v>5069</v>
      </c>
      <c r="S218" s="150">
        <f t="shared" si="26"/>
        <v>84.483333333333334</v>
      </c>
      <c r="T218" s="149"/>
      <c r="U218" s="147">
        <v>5069</v>
      </c>
      <c r="V218" s="150">
        <f t="shared" si="28"/>
        <v>84.483333333333334</v>
      </c>
      <c r="W218" s="149"/>
    </row>
    <row r="219" spans="15:23" x14ac:dyDescent="0.25">
      <c r="O219" s="147">
        <v>5099</v>
      </c>
      <c r="P219" s="150">
        <f t="shared" si="27"/>
        <v>84.983333333333334</v>
      </c>
      <c r="Q219" s="149">
        <v>0.59899999999999998</v>
      </c>
      <c r="R219" s="147">
        <f t="shared" si="25"/>
        <v>5099</v>
      </c>
      <c r="S219" s="150">
        <f t="shared" si="26"/>
        <v>84.983333333333334</v>
      </c>
      <c r="T219" s="149"/>
      <c r="U219" s="147">
        <v>5099</v>
      </c>
      <c r="V219" s="150">
        <f t="shared" si="28"/>
        <v>84.983333333333334</v>
      </c>
      <c r="W219" s="149"/>
    </row>
    <row r="220" spans="15:23" x14ac:dyDescent="0.25">
      <c r="O220" s="147">
        <v>5129</v>
      </c>
      <c r="P220" s="150">
        <f t="shared" si="27"/>
        <v>85.483333333333334</v>
      </c>
      <c r="Q220" s="149">
        <v>0.59899999999999998</v>
      </c>
      <c r="R220" s="147">
        <f t="shared" si="25"/>
        <v>5129</v>
      </c>
      <c r="S220" s="150">
        <f t="shared" si="26"/>
        <v>85.483333333333334</v>
      </c>
      <c r="T220" s="149"/>
      <c r="U220" s="147">
        <v>5129</v>
      </c>
      <c r="V220" s="150">
        <f t="shared" si="28"/>
        <v>85.483333333333334</v>
      </c>
      <c r="W220" s="149"/>
    </row>
    <row r="221" spans="15:23" x14ac:dyDescent="0.25">
      <c r="O221" s="147">
        <v>5159</v>
      </c>
      <c r="P221" s="150">
        <f t="shared" si="27"/>
        <v>85.983333333333334</v>
      </c>
      <c r="Q221" s="149">
        <v>0.59899999999999998</v>
      </c>
      <c r="R221" s="147">
        <f t="shared" si="25"/>
        <v>5159</v>
      </c>
      <c r="S221" s="150">
        <f t="shared" si="26"/>
        <v>85.983333333333334</v>
      </c>
      <c r="T221" s="149"/>
      <c r="U221" s="147">
        <v>5159</v>
      </c>
      <c r="V221" s="150">
        <f t="shared" si="28"/>
        <v>85.983333333333334</v>
      </c>
      <c r="W221" s="149"/>
    </row>
    <row r="222" spans="15:23" x14ac:dyDescent="0.25">
      <c r="O222" s="147">
        <v>5189</v>
      </c>
      <c r="P222" s="150">
        <f t="shared" si="27"/>
        <v>86.483333333333334</v>
      </c>
      <c r="Q222" s="149">
        <v>0.59899999999999998</v>
      </c>
      <c r="R222" s="147">
        <f t="shared" si="25"/>
        <v>5189</v>
      </c>
      <c r="S222" s="150">
        <f t="shared" si="26"/>
        <v>86.483333333333334</v>
      </c>
      <c r="T222" s="149"/>
      <c r="U222" s="147">
        <v>5189</v>
      </c>
      <c r="V222" s="150">
        <f t="shared" si="28"/>
        <v>86.483333333333334</v>
      </c>
      <c r="W222" s="149"/>
    </row>
    <row r="223" spans="15:23" x14ac:dyDescent="0.25">
      <c r="O223" s="147">
        <v>5219</v>
      </c>
      <c r="P223" s="150">
        <f t="shared" si="27"/>
        <v>86.983333333333334</v>
      </c>
      <c r="Q223" s="149">
        <v>0.59899999999999998</v>
      </c>
      <c r="R223" s="147">
        <f t="shared" si="25"/>
        <v>5219</v>
      </c>
      <c r="S223" s="150">
        <f t="shared" si="26"/>
        <v>86.983333333333334</v>
      </c>
      <c r="T223" s="149"/>
      <c r="U223" s="147">
        <v>5219</v>
      </c>
      <c r="V223" s="150">
        <f t="shared" si="28"/>
        <v>86.983333333333334</v>
      </c>
      <c r="W223" s="149"/>
    </row>
    <row r="224" spans="15:23" x14ac:dyDescent="0.25">
      <c r="O224" s="147">
        <v>5249</v>
      </c>
      <c r="P224" s="150">
        <f t="shared" si="27"/>
        <v>87.483333333333334</v>
      </c>
      <c r="Q224" s="149">
        <v>0.59899999999999998</v>
      </c>
      <c r="R224" s="147">
        <f t="shared" si="25"/>
        <v>5249</v>
      </c>
      <c r="S224" s="150">
        <f t="shared" si="26"/>
        <v>87.483333333333334</v>
      </c>
      <c r="T224" s="149"/>
      <c r="U224" s="147">
        <v>5249</v>
      </c>
      <c r="V224" s="150">
        <f t="shared" si="28"/>
        <v>87.483333333333334</v>
      </c>
      <c r="W224" s="149"/>
    </row>
    <row r="225" spans="15:23" x14ac:dyDescent="0.25">
      <c r="O225" s="147">
        <v>5279</v>
      </c>
      <c r="P225" s="150">
        <f t="shared" si="27"/>
        <v>87.983333333333334</v>
      </c>
      <c r="Q225" s="149">
        <v>0.59899999999999998</v>
      </c>
      <c r="R225" s="147">
        <f t="shared" si="25"/>
        <v>5279</v>
      </c>
      <c r="S225" s="150">
        <f t="shared" si="26"/>
        <v>87.983333333333334</v>
      </c>
      <c r="T225" s="149"/>
      <c r="U225" s="147">
        <v>5279</v>
      </c>
      <c r="V225" s="150">
        <f t="shared" si="28"/>
        <v>87.983333333333334</v>
      </c>
      <c r="W225" s="149"/>
    </row>
    <row r="226" spans="15:23" x14ac:dyDescent="0.25">
      <c r="O226" s="147">
        <v>5309</v>
      </c>
      <c r="P226" s="150">
        <f t="shared" si="27"/>
        <v>88.483333333333334</v>
      </c>
      <c r="Q226" s="149">
        <v>0.59899999999999998</v>
      </c>
      <c r="R226" s="147">
        <f t="shared" si="25"/>
        <v>5309</v>
      </c>
      <c r="S226" s="150">
        <f t="shared" si="26"/>
        <v>88.483333333333334</v>
      </c>
      <c r="T226" s="149"/>
      <c r="U226" s="147">
        <v>5309</v>
      </c>
      <c r="V226" s="150">
        <f t="shared" si="28"/>
        <v>88.483333333333334</v>
      </c>
      <c r="W226" s="149"/>
    </row>
    <row r="227" spans="15:23" x14ac:dyDescent="0.25">
      <c r="O227" s="147">
        <v>5339</v>
      </c>
      <c r="P227" s="150">
        <f t="shared" si="27"/>
        <v>88.983333333333334</v>
      </c>
      <c r="Q227" s="149">
        <v>0.59899999999999998</v>
      </c>
      <c r="R227" s="147">
        <f t="shared" si="25"/>
        <v>5339</v>
      </c>
      <c r="S227" s="150">
        <f t="shared" si="26"/>
        <v>88.983333333333334</v>
      </c>
      <c r="T227" s="149"/>
      <c r="U227" s="147">
        <v>5339</v>
      </c>
      <c r="V227" s="150">
        <f t="shared" si="28"/>
        <v>88.983333333333334</v>
      </c>
      <c r="W227" s="149"/>
    </row>
    <row r="228" spans="15:23" x14ac:dyDescent="0.25">
      <c r="O228" s="147">
        <v>5369</v>
      </c>
      <c r="P228" s="150">
        <f t="shared" si="27"/>
        <v>89.483333333333334</v>
      </c>
      <c r="Q228" s="149">
        <v>0.59899999999999998</v>
      </c>
      <c r="R228" s="147">
        <f t="shared" si="25"/>
        <v>5369</v>
      </c>
      <c r="S228" s="150">
        <f t="shared" si="26"/>
        <v>89.483333333333334</v>
      </c>
      <c r="T228" s="149"/>
      <c r="U228" s="147">
        <v>5369</v>
      </c>
      <c r="V228" s="150">
        <f t="shared" si="28"/>
        <v>89.483333333333334</v>
      </c>
      <c r="W228" s="149"/>
    </row>
    <row r="229" spans="15:23" x14ac:dyDescent="0.25">
      <c r="O229" s="147">
        <v>5399</v>
      </c>
      <c r="P229" s="150">
        <f t="shared" si="27"/>
        <v>89.983333333333334</v>
      </c>
      <c r="Q229" s="149">
        <v>0.59899999999999998</v>
      </c>
      <c r="R229" s="147">
        <f t="shared" si="25"/>
        <v>5399</v>
      </c>
      <c r="S229" s="150">
        <f t="shared" si="26"/>
        <v>89.983333333333334</v>
      </c>
      <c r="T229" s="149"/>
      <c r="U229" s="147">
        <v>5399</v>
      </c>
      <c r="V229" s="150">
        <f t="shared" si="28"/>
        <v>89.983333333333334</v>
      </c>
      <c r="W229" s="149"/>
    </row>
    <row r="230" spans="15:23" x14ac:dyDescent="0.25">
      <c r="O230" s="147">
        <v>5429</v>
      </c>
      <c r="P230" s="150">
        <f t="shared" si="27"/>
        <v>90.483333333333334</v>
      </c>
      <c r="Q230" s="149">
        <v>0.6</v>
      </c>
      <c r="R230" s="147">
        <f t="shared" si="25"/>
        <v>5429</v>
      </c>
      <c r="S230" s="150">
        <f t="shared" si="26"/>
        <v>90.483333333333334</v>
      </c>
      <c r="T230" s="149"/>
      <c r="U230" s="147">
        <v>5429</v>
      </c>
      <c r="V230" s="150">
        <f t="shared" si="28"/>
        <v>90.483333333333334</v>
      </c>
      <c r="W230" s="149"/>
    </row>
    <row r="231" spans="15:23" x14ac:dyDescent="0.25">
      <c r="O231" s="147">
        <v>5459</v>
      </c>
      <c r="P231" s="150">
        <f t="shared" si="27"/>
        <v>90.983333333333334</v>
      </c>
      <c r="Q231" s="149">
        <v>0.60099999999999998</v>
      </c>
      <c r="R231" s="147">
        <f t="shared" si="25"/>
        <v>5459</v>
      </c>
      <c r="S231" s="150">
        <f t="shared" si="26"/>
        <v>90.983333333333334</v>
      </c>
      <c r="T231" s="149"/>
      <c r="U231" s="147">
        <v>5459</v>
      </c>
      <c r="V231" s="150">
        <f t="shared" si="28"/>
        <v>90.983333333333334</v>
      </c>
      <c r="W231" s="149"/>
    </row>
    <row r="232" spans="15:23" x14ac:dyDescent="0.25">
      <c r="O232" s="147">
        <v>5489</v>
      </c>
      <c r="P232" s="150">
        <f t="shared" si="27"/>
        <v>91.483333333333334</v>
      </c>
      <c r="Q232" s="149">
        <v>0.60099999999999998</v>
      </c>
      <c r="R232" s="147">
        <f t="shared" si="25"/>
        <v>5489</v>
      </c>
      <c r="S232" s="150">
        <f t="shared" si="26"/>
        <v>91.483333333333334</v>
      </c>
      <c r="T232" s="149"/>
      <c r="U232" s="147">
        <v>5489</v>
      </c>
      <c r="V232" s="150">
        <f t="shared" si="28"/>
        <v>91.483333333333334</v>
      </c>
      <c r="W232" s="149"/>
    </row>
    <row r="233" spans="15:23" x14ac:dyDescent="0.25">
      <c r="O233" s="147">
        <v>5519</v>
      </c>
      <c r="P233" s="150">
        <f t="shared" si="27"/>
        <v>91.983333333333334</v>
      </c>
      <c r="Q233" s="149">
        <v>0.60099999999999998</v>
      </c>
      <c r="R233" s="147">
        <f t="shared" si="25"/>
        <v>5519</v>
      </c>
      <c r="S233" s="150">
        <f t="shared" si="26"/>
        <v>91.983333333333334</v>
      </c>
      <c r="T233" s="149"/>
      <c r="U233" s="147">
        <v>5519</v>
      </c>
      <c r="V233" s="150">
        <f t="shared" si="28"/>
        <v>91.983333333333334</v>
      </c>
      <c r="W233" s="149"/>
    </row>
    <row r="234" spans="15:23" x14ac:dyDescent="0.25">
      <c r="O234" s="147">
        <v>5549</v>
      </c>
      <c r="P234" s="150">
        <f t="shared" si="27"/>
        <v>92.483333333333334</v>
      </c>
      <c r="Q234" s="149">
        <v>0.60099999999999998</v>
      </c>
      <c r="R234" s="147">
        <f t="shared" si="25"/>
        <v>5549</v>
      </c>
      <c r="S234" s="150">
        <f t="shared" si="26"/>
        <v>92.483333333333334</v>
      </c>
      <c r="T234" s="149"/>
      <c r="U234" s="147">
        <v>5549</v>
      </c>
      <c r="V234" s="150">
        <f t="shared" si="28"/>
        <v>92.483333333333334</v>
      </c>
      <c r="W234" s="149"/>
    </row>
    <row r="235" spans="15:23" x14ac:dyDescent="0.25">
      <c r="O235" s="147">
        <v>5579</v>
      </c>
      <c r="P235" s="150">
        <f t="shared" si="27"/>
        <v>92.983333333333334</v>
      </c>
      <c r="Q235" s="149">
        <v>0.60099999999999998</v>
      </c>
      <c r="R235" s="147">
        <f t="shared" si="25"/>
        <v>5579</v>
      </c>
      <c r="S235" s="150">
        <f t="shared" si="26"/>
        <v>92.983333333333334</v>
      </c>
      <c r="T235" s="149"/>
      <c r="U235" s="147">
        <v>5579</v>
      </c>
      <c r="V235" s="150">
        <f t="shared" si="28"/>
        <v>92.983333333333334</v>
      </c>
      <c r="W235" s="149"/>
    </row>
    <row r="236" spans="15:23" x14ac:dyDescent="0.25">
      <c r="O236" s="147">
        <v>5609</v>
      </c>
      <c r="P236" s="150">
        <f t="shared" si="27"/>
        <v>93.483333333333334</v>
      </c>
      <c r="Q236" s="149">
        <v>0.60099999999999998</v>
      </c>
      <c r="R236" s="147">
        <f t="shared" si="25"/>
        <v>5609</v>
      </c>
      <c r="S236" s="150">
        <f t="shared" si="26"/>
        <v>93.483333333333334</v>
      </c>
      <c r="T236" s="149"/>
      <c r="U236" s="147">
        <v>5609</v>
      </c>
      <c r="V236" s="150">
        <f t="shared" si="28"/>
        <v>93.483333333333334</v>
      </c>
      <c r="W236" s="149"/>
    </row>
    <row r="237" spans="15:23" x14ac:dyDescent="0.25">
      <c r="O237" s="147">
        <v>5639</v>
      </c>
      <c r="P237" s="150">
        <f t="shared" si="27"/>
        <v>93.983333333333334</v>
      </c>
      <c r="Q237" s="149">
        <v>0.60099999999999998</v>
      </c>
      <c r="R237" s="147">
        <f t="shared" si="25"/>
        <v>5639</v>
      </c>
      <c r="S237" s="150">
        <f t="shared" si="26"/>
        <v>93.983333333333334</v>
      </c>
      <c r="T237" s="149"/>
      <c r="U237" s="147">
        <v>5639</v>
      </c>
      <c r="V237" s="150">
        <f t="shared" si="28"/>
        <v>93.983333333333334</v>
      </c>
      <c r="W237" s="149"/>
    </row>
    <row r="238" spans="15:23" x14ac:dyDescent="0.25">
      <c r="O238" s="147">
        <v>5669</v>
      </c>
      <c r="P238" s="150">
        <f t="shared" si="27"/>
        <v>94.483333333333334</v>
      </c>
      <c r="Q238" s="149">
        <v>0.60099999999999998</v>
      </c>
      <c r="R238" s="147">
        <f t="shared" si="25"/>
        <v>5669</v>
      </c>
      <c r="S238" s="150">
        <f t="shared" si="26"/>
        <v>94.483333333333334</v>
      </c>
      <c r="T238" s="149"/>
      <c r="U238" s="147">
        <v>5669</v>
      </c>
      <c r="V238" s="150">
        <f t="shared" si="28"/>
        <v>94.483333333333334</v>
      </c>
      <c r="W238" s="149"/>
    </row>
    <row r="239" spans="15:23" x14ac:dyDescent="0.25">
      <c r="O239" s="147">
        <v>5699</v>
      </c>
      <c r="P239" s="150">
        <f t="shared" si="27"/>
        <v>94.983333333333334</v>
      </c>
      <c r="Q239" s="149">
        <v>0.60099999999999998</v>
      </c>
      <c r="R239" s="147">
        <f t="shared" si="25"/>
        <v>5699</v>
      </c>
      <c r="S239" s="150">
        <f t="shared" si="26"/>
        <v>94.983333333333334</v>
      </c>
      <c r="T239" s="149"/>
      <c r="U239" s="147">
        <v>5699</v>
      </c>
      <c r="V239" s="150">
        <f t="shared" si="28"/>
        <v>94.983333333333334</v>
      </c>
      <c r="W239" s="149"/>
    </row>
    <row r="240" spans="15:23" x14ac:dyDescent="0.25">
      <c r="O240" s="147">
        <v>5729</v>
      </c>
      <c r="P240" s="150">
        <f t="shared" si="27"/>
        <v>95.483333333333334</v>
      </c>
      <c r="Q240" s="149">
        <v>0.60099999999999998</v>
      </c>
      <c r="R240" s="147">
        <f t="shared" si="25"/>
        <v>5729</v>
      </c>
      <c r="S240" s="150">
        <f t="shared" si="26"/>
        <v>95.483333333333334</v>
      </c>
      <c r="T240" s="149"/>
      <c r="U240" s="147">
        <v>5729</v>
      </c>
      <c r="V240" s="150">
        <f t="shared" si="28"/>
        <v>95.483333333333334</v>
      </c>
      <c r="W240" s="149"/>
    </row>
    <row r="241" spans="15:23" x14ac:dyDescent="0.25">
      <c r="O241" s="147">
        <v>5759</v>
      </c>
      <c r="P241" s="150">
        <f t="shared" si="27"/>
        <v>95.983333333333334</v>
      </c>
      <c r="Q241" s="149">
        <v>0.60099999999999998</v>
      </c>
      <c r="R241" s="147">
        <f t="shared" si="25"/>
        <v>5759</v>
      </c>
      <c r="S241" s="150">
        <f t="shared" si="26"/>
        <v>95.983333333333334</v>
      </c>
      <c r="T241" s="149"/>
      <c r="U241" s="147">
        <v>5759</v>
      </c>
      <c r="V241" s="150">
        <f t="shared" si="28"/>
        <v>95.983333333333334</v>
      </c>
      <c r="W241" s="149"/>
    </row>
    <row r="242" spans="15:23" x14ac:dyDescent="0.25">
      <c r="O242" s="147">
        <v>5789</v>
      </c>
      <c r="P242" s="150">
        <f t="shared" si="27"/>
        <v>96.483333333333334</v>
      </c>
      <c r="Q242" s="149">
        <v>0.60099999999999998</v>
      </c>
      <c r="R242" s="147">
        <f t="shared" si="25"/>
        <v>5789</v>
      </c>
      <c r="S242" s="150">
        <f t="shared" si="26"/>
        <v>96.483333333333334</v>
      </c>
      <c r="T242" s="149"/>
      <c r="U242" s="147">
        <v>5789</v>
      </c>
      <c r="V242" s="150">
        <f t="shared" si="28"/>
        <v>96.483333333333334</v>
      </c>
      <c r="W242" s="149"/>
    </row>
    <row r="243" spans="15:23" x14ac:dyDescent="0.25">
      <c r="O243" s="147">
        <v>5819</v>
      </c>
      <c r="P243" s="150">
        <f t="shared" si="27"/>
        <v>96.983333333333334</v>
      </c>
      <c r="Q243" s="149">
        <v>0.60099999999999998</v>
      </c>
      <c r="R243" s="147">
        <f t="shared" si="25"/>
        <v>5819</v>
      </c>
      <c r="S243" s="150">
        <f t="shared" si="26"/>
        <v>96.983333333333334</v>
      </c>
      <c r="T243" s="149"/>
      <c r="U243" s="147">
        <v>5819</v>
      </c>
      <c r="V243" s="150">
        <f t="shared" si="28"/>
        <v>96.983333333333334</v>
      </c>
      <c r="W243" s="149"/>
    </row>
    <row r="244" spans="15:23" x14ac:dyDescent="0.25">
      <c r="O244" s="147">
        <v>5843</v>
      </c>
      <c r="P244" s="150">
        <f t="shared" si="27"/>
        <v>97.38333333333334</v>
      </c>
      <c r="Q244" s="149">
        <v>0.60099999999999998</v>
      </c>
      <c r="R244" s="147">
        <f t="shared" si="25"/>
        <v>5846</v>
      </c>
      <c r="S244" s="150">
        <f t="shared" si="26"/>
        <v>97.433333333333337</v>
      </c>
      <c r="T244" s="149"/>
      <c r="U244" s="147">
        <v>5849</v>
      </c>
      <c r="V244" s="150">
        <f t="shared" si="28"/>
        <v>97.483333333333334</v>
      </c>
      <c r="W244" s="149"/>
    </row>
    <row r="245" spans="15:23" x14ac:dyDescent="0.25">
      <c r="O245" s="147"/>
      <c r="P245" s="150">
        <f t="shared" si="27"/>
        <v>0</v>
      </c>
      <c r="Q245" s="149">
        <v>0.60099999999999998</v>
      </c>
      <c r="R245" s="147">
        <f t="shared" si="25"/>
        <v>5879</v>
      </c>
      <c r="S245" s="150">
        <f t="shared" si="26"/>
        <v>48.991666666666667</v>
      </c>
      <c r="T245" s="149"/>
      <c r="U245" s="147">
        <v>5879</v>
      </c>
      <c r="V245" s="150">
        <f t="shared" si="28"/>
        <v>97.983333333333334</v>
      </c>
      <c r="W245" s="149"/>
    </row>
    <row r="246" spans="15:23" x14ac:dyDescent="0.25">
      <c r="O246" s="147"/>
      <c r="P246" s="150">
        <f t="shared" si="27"/>
        <v>0</v>
      </c>
      <c r="Q246" s="149">
        <v>0.60099999999999998</v>
      </c>
      <c r="R246" s="147">
        <f t="shared" si="25"/>
        <v>5909</v>
      </c>
      <c r="S246" s="150">
        <f t="shared" si="26"/>
        <v>49.241666666666667</v>
      </c>
      <c r="T246" s="149"/>
      <c r="U246" s="147">
        <v>5909</v>
      </c>
      <c r="V246" s="150">
        <f t="shared" si="28"/>
        <v>98.483333333333334</v>
      </c>
      <c r="W246" s="149"/>
    </row>
    <row r="247" spans="15:23" x14ac:dyDescent="0.25">
      <c r="O247" s="147"/>
      <c r="P247" s="150">
        <f t="shared" si="27"/>
        <v>0</v>
      </c>
      <c r="Q247" s="149">
        <v>0.60099999999999998</v>
      </c>
      <c r="R247" s="147">
        <f t="shared" si="25"/>
        <v>5939</v>
      </c>
      <c r="S247" s="150">
        <f t="shared" si="26"/>
        <v>49.491666666666667</v>
      </c>
      <c r="T247" s="149"/>
      <c r="U247" s="147">
        <v>5939</v>
      </c>
      <c r="V247" s="150">
        <f t="shared" si="28"/>
        <v>98.983333333333334</v>
      </c>
      <c r="W247" s="149"/>
    </row>
    <row r="248" spans="15:23" x14ac:dyDescent="0.25">
      <c r="O248" s="147"/>
      <c r="P248" s="150">
        <f t="shared" si="27"/>
        <v>0</v>
      </c>
      <c r="Q248" s="149">
        <v>0.60099999999999998</v>
      </c>
      <c r="R248" s="147">
        <f t="shared" si="25"/>
        <v>5969</v>
      </c>
      <c r="S248" s="150">
        <f t="shared" si="26"/>
        <v>49.741666666666667</v>
      </c>
      <c r="T248" s="149"/>
      <c r="U248" s="147">
        <v>5969</v>
      </c>
      <c r="V248" s="150">
        <f t="shared" si="28"/>
        <v>99.483333333333334</v>
      </c>
      <c r="W248" s="149"/>
    </row>
    <row r="249" spans="15:23" x14ac:dyDescent="0.25">
      <c r="O249" s="147"/>
      <c r="P249" s="150">
        <f t="shared" si="27"/>
        <v>0</v>
      </c>
      <c r="Q249" s="149">
        <v>0.60099999999999998</v>
      </c>
      <c r="R249" s="147">
        <f t="shared" si="25"/>
        <v>5999</v>
      </c>
      <c r="S249" s="150">
        <f t="shared" si="26"/>
        <v>49.991666666666667</v>
      </c>
      <c r="T249" s="149"/>
      <c r="U249" s="147">
        <v>5999</v>
      </c>
      <c r="V249" s="150">
        <f t="shared" si="28"/>
        <v>99.983333333333334</v>
      </c>
      <c r="W249" s="149"/>
    </row>
    <row r="250" spans="15:23" x14ac:dyDescent="0.25">
      <c r="O250" s="147"/>
      <c r="P250" s="150">
        <f t="shared" si="27"/>
        <v>0</v>
      </c>
      <c r="Q250" s="149">
        <v>0.60099999999999998</v>
      </c>
      <c r="R250" s="147">
        <f t="shared" si="25"/>
        <v>6029</v>
      </c>
      <c r="S250" s="150">
        <f t="shared" si="26"/>
        <v>50.241666666666667</v>
      </c>
      <c r="T250" s="149"/>
      <c r="U250" s="147">
        <v>6029</v>
      </c>
      <c r="V250" s="150">
        <f t="shared" si="28"/>
        <v>100.48333333333333</v>
      </c>
      <c r="W250" s="149"/>
    </row>
    <row r="251" spans="15:23" x14ac:dyDescent="0.25">
      <c r="O251" s="147"/>
      <c r="P251" s="150">
        <f t="shared" si="27"/>
        <v>0</v>
      </c>
      <c r="Q251" s="149">
        <v>0.60099999999999998</v>
      </c>
      <c r="R251" s="147">
        <f t="shared" si="25"/>
        <v>6059</v>
      </c>
      <c r="S251" s="150">
        <f t="shared" si="26"/>
        <v>50.491666666666667</v>
      </c>
      <c r="T251" s="149"/>
      <c r="U251" s="147">
        <v>6059</v>
      </c>
      <c r="V251" s="150">
        <f t="shared" si="28"/>
        <v>100.98333333333333</v>
      </c>
      <c r="W251" s="149"/>
    </row>
    <row r="252" spans="15:23" x14ac:dyDescent="0.25">
      <c r="O252" s="147"/>
      <c r="P252" s="150">
        <f t="shared" si="27"/>
        <v>0</v>
      </c>
      <c r="Q252" s="149">
        <v>0.60099999999999998</v>
      </c>
      <c r="R252" s="147">
        <f t="shared" si="25"/>
        <v>6089</v>
      </c>
      <c r="S252" s="150">
        <f t="shared" si="26"/>
        <v>50.741666666666667</v>
      </c>
      <c r="T252" s="149"/>
      <c r="U252" s="147">
        <v>6089</v>
      </c>
      <c r="V252" s="150">
        <f t="shared" si="28"/>
        <v>101.48333333333333</v>
      </c>
      <c r="W252" s="149"/>
    </row>
    <row r="253" spans="15:23" x14ac:dyDescent="0.25">
      <c r="O253" s="147"/>
      <c r="P253" s="150">
        <f t="shared" si="27"/>
        <v>0</v>
      </c>
      <c r="Q253" s="149">
        <v>0.60099999999999998</v>
      </c>
      <c r="R253" s="147">
        <f t="shared" si="25"/>
        <v>6119</v>
      </c>
      <c r="S253" s="150">
        <f t="shared" si="26"/>
        <v>50.991666666666667</v>
      </c>
      <c r="T253" s="149"/>
      <c r="U253" s="147">
        <v>6119</v>
      </c>
      <c r="V253" s="150">
        <f t="shared" si="28"/>
        <v>101.98333333333333</v>
      </c>
      <c r="W253" s="149"/>
    </row>
    <row r="254" spans="15:23" x14ac:dyDescent="0.25">
      <c r="O254" s="147"/>
      <c r="P254" s="150">
        <f t="shared" si="27"/>
        <v>0</v>
      </c>
      <c r="Q254" s="149">
        <v>0.60099999999999998</v>
      </c>
      <c r="R254" s="147">
        <f t="shared" si="25"/>
        <v>6149</v>
      </c>
      <c r="S254" s="150">
        <f t="shared" si="26"/>
        <v>51.241666666666667</v>
      </c>
      <c r="T254" s="149"/>
      <c r="U254" s="147">
        <v>6149</v>
      </c>
      <c r="V254" s="150">
        <f t="shared" si="28"/>
        <v>102.48333333333333</v>
      </c>
      <c r="W254" s="149"/>
    </row>
    <row r="255" spans="15:23" x14ac:dyDescent="0.25">
      <c r="O255" s="147"/>
      <c r="P255" s="150">
        <f t="shared" si="27"/>
        <v>0</v>
      </c>
      <c r="Q255" s="149">
        <v>0.60099999999999998</v>
      </c>
      <c r="R255" s="147">
        <f t="shared" si="25"/>
        <v>6179</v>
      </c>
      <c r="S255" s="150">
        <f t="shared" si="26"/>
        <v>51.491666666666667</v>
      </c>
      <c r="T255" s="149"/>
      <c r="U255" s="147">
        <v>6179</v>
      </c>
      <c r="V255" s="150">
        <f t="shared" si="28"/>
        <v>102.98333333333333</v>
      </c>
      <c r="W255" s="149"/>
    </row>
    <row r="256" spans="15:23" x14ac:dyDescent="0.25">
      <c r="O256" s="147"/>
      <c r="P256" s="150">
        <f t="shared" si="27"/>
        <v>0</v>
      </c>
      <c r="Q256" s="149">
        <v>0.60099999999999998</v>
      </c>
      <c r="R256" s="147">
        <f t="shared" si="25"/>
        <v>6209</v>
      </c>
      <c r="S256" s="150">
        <f t="shared" si="26"/>
        <v>51.741666666666667</v>
      </c>
      <c r="T256" s="149"/>
      <c r="U256" s="147">
        <v>6209</v>
      </c>
      <c r="V256" s="150">
        <f t="shared" si="28"/>
        <v>103.48333333333333</v>
      </c>
      <c r="W256" s="149"/>
    </row>
    <row r="257" spans="15:23" x14ac:dyDescent="0.25">
      <c r="O257" s="147"/>
      <c r="P257" s="150">
        <f t="shared" si="27"/>
        <v>0</v>
      </c>
      <c r="Q257" s="149">
        <v>0.60099999999999998</v>
      </c>
      <c r="R257" s="147">
        <f t="shared" si="25"/>
        <v>6239</v>
      </c>
      <c r="S257" s="150">
        <f t="shared" si="26"/>
        <v>51.991666666666667</v>
      </c>
      <c r="T257" s="149"/>
      <c r="U257" s="147">
        <v>6239</v>
      </c>
      <c r="V257" s="150">
        <f t="shared" si="28"/>
        <v>103.98333333333333</v>
      </c>
      <c r="W257" s="149"/>
    </row>
    <row r="258" spans="15:23" x14ac:dyDescent="0.25">
      <c r="O258" s="147"/>
      <c r="P258" s="150">
        <f t="shared" si="27"/>
        <v>0</v>
      </c>
      <c r="Q258" s="149">
        <v>0.60099999999999998</v>
      </c>
      <c r="R258" s="147">
        <f t="shared" si="25"/>
        <v>6269</v>
      </c>
      <c r="S258" s="150">
        <f t="shared" si="26"/>
        <v>52.241666666666667</v>
      </c>
      <c r="T258" s="149"/>
      <c r="U258" s="147">
        <v>6269</v>
      </c>
      <c r="V258" s="150">
        <f t="shared" si="28"/>
        <v>104.48333333333333</v>
      </c>
      <c r="W258" s="149"/>
    </row>
    <row r="259" spans="15:23" x14ac:dyDescent="0.25">
      <c r="O259" s="147"/>
      <c r="P259" s="150">
        <f t="shared" si="27"/>
        <v>0</v>
      </c>
      <c r="Q259" s="149">
        <v>0.60099999999999998</v>
      </c>
      <c r="R259" s="147">
        <f t="shared" si="25"/>
        <v>6299</v>
      </c>
      <c r="S259" s="150">
        <f t="shared" si="26"/>
        <v>52.491666666666667</v>
      </c>
      <c r="T259" s="149"/>
      <c r="U259" s="147">
        <v>6299</v>
      </c>
      <c r="V259" s="150">
        <f t="shared" si="28"/>
        <v>104.98333333333333</v>
      </c>
      <c r="W259" s="149"/>
    </row>
    <row r="260" spans="15:23" x14ac:dyDescent="0.25">
      <c r="O260" s="147"/>
      <c r="P260" s="150">
        <f t="shared" si="27"/>
        <v>0</v>
      </c>
      <c r="Q260" s="149">
        <v>0.60099999999999998</v>
      </c>
      <c r="R260" s="147">
        <f t="shared" si="25"/>
        <v>6329</v>
      </c>
      <c r="S260" s="150">
        <f t="shared" si="26"/>
        <v>52.741666666666667</v>
      </c>
      <c r="T260" s="149"/>
      <c r="U260" s="147">
        <v>6329</v>
      </c>
      <c r="V260" s="150">
        <f t="shared" si="28"/>
        <v>105.48333333333333</v>
      </c>
      <c r="W260" s="149"/>
    </row>
    <row r="261" spans="15:23" x14ac:dyDescent="0.25">
      <c r="O261" s="147"/>
      <c r="P261" s="150">
        <f t="shared" si="27"/>
        <v>0</v>
      </c>
      <c r="Q261" s="149">
        <v>0.60099999999999998</v>
      </c>
      <c r="R261" s="147">
        <f t="shared" si="25"/>
        <v>6359</v>
      </c>
      <c r="S261" s="150">
        <f t="shared" si="26"/>
        <v>52.991666666666667</v>
      </c>
      <c r="T261" s="149"/>
      <c r="U261" s="147">
        <v>6359</v>
      </c>
      <c r="V261" s="150">
        <f t="shared" si="28"/>
        <v>105.98333333333333</v>
      </c>
      <c r="W261" s="149"/>
    </row>
    <row r="262" spans="15:23" x14ac:dyDescent="0.25">
      <c r="O262" s="147"/>
      <c r="P262" s="150">
        <f t="shared" si="27"/>
        <v>0</v>
      </c>
      <c r="Q262" s="149">
        <v>0.60099999999999998</v>
      </c>
      <c r="R262" s="147">
        <f t="shared" si="25"/>
        <v>6389</v>
      </c>
      <c r="S262" s="150">
        <f t="shared" si="26"/>
        <v>53.241666666666667</v>
      </c>
      <c r="T262" s="149"/>
      <c r="U262" s="147">
        <v>6389</v>
      </c>
      <c r="V262" s="150">
        <f t="shared" si="28"/>
        <v>106.48333333333333</v>
      </c>
      <c r="W262" s="149"/>
    </row>
    <row r="263" spans="15:23" x14ac:dyDescent="0.25">
      <c r="O263" s="147"/>
      <c r="P263" s="150">
        <f t="shared" si="27"/>
        <v>0</v>
      </c>
      <c r="Q263" s="149">
        <v>0.60099999999999998</v>
      </c>
      <c r="R263" s="147">
        <f t="shared" si="25"/>
        <v>6419</v>
      </c>
      <c r="S263" s="150">
        <f t="shared" si="26"/>
        <v>53.491666666666667</v>
      </c>
      <c r="T263" s="149"/>
      <c r="U263" s="147">
        <v>6419</v>
      </c>
      <c r="V263" s="150">
        <f t="shared" si="28"/>
        <v>106.98333333333333</v>
      </c>
      <c r="W263" s="149"/>
    </row>
    <row r="264" spans="15:23" x14ac:dyDescent="0.25">
      <c r="O264" s="147"/>
      <c r="P264" s="150">
        <f t="shared" si="27"/>
        <v>0</v>
      </c>
      <c r="Q264" s="149">
        <v>0.60099999999999998</v>
      </c>
      <c r="R264" s="147">
        <f t="shared" si="25"/>
        <v>6449</v>
      </c>
      <c r="S264" s="150">
        <f t="shared" si="26"/>
        <v>53.741666666666667</v>
      </c>
      <c r="T264" s="149"/>
      <c r="U264" s="147">
        <v>6449</v>
      </c>
      <c r="V264" s="150">
        <f t="shared" si="28"/>
        <v>107.48333333333333</v>
      </c>
      <c r="W264" s="149"/>
    </row>
    <row r="265" spans="15:23" x14ac:dyDescent="0.25">
      <c r="O265" s="147"/>
      <c r="P265" s="150">
        <f t="shared" si="27"/>
        <v>0</v>
      </c>
      <c r="Q265" s="149">
        <v>0.60299999999999998</v>
      </c>
      <c r="R265" s="147">
        <f t="shared" si="25"/>
        <v>6479</v>
      </c>
      <c r="S265" s="150">
        <f t="shared" si="26"/>
        <v>53.991666666666667</v>
      </c>
      <c r="T265" s="149"/>
      <c r="U265" s="147">
        <v>6479</v>
      </c>
      <c r="V265" s="150">
        <f t="shared" si="28"/>
        <v>107.98333333333333</v>
      </c>
      <c r="W265" s="149"/>
    </row>
    <row r="266" spans="15:23" x14ac:dyDescent="0.25">
      <c r="O266" s="147"/>
      <c r="P266" s="150">
        <f t="shared" si="27"/>
        <v>0</v>
      </c>
      <c r="Q266" s="149">
        <v>0.60299999999999998</v>
      </c>
      <c r="R266" s="147">
        <f t="shared" si="25"/>
        <v>6509</v>
      </c>
      <c r="S266" s="150">
        <f t="shared" si="26"/>
        <v>54.241666666666667</v>
      </c>
      <c r="T266" s="149"/>
      <c r="U266" s="147">
        <v>6509</v>
      </c>
      <c r="V266" s="150">
        <f t="shared" si="28"/>
        <v>108.48333333333333</v>
      </c>
      <c r="W266" s="149"/>
    </row>
    <row r="267" spans="15:23" x14ac:dyDescent="0.25">
      <c r="O267" s="147"/>
      <c r="P267" s="150">
        <f t="shared" si="27"/>
        <v>0</v>
      </c>
      <c r="Q267" s="149">
        <v>0.60299999999999998</v>
      </c>
      <c r="R267" s="147">
        <f t="shared" si="25"/>
        <v>6539</v>
      </c>
      <c r="S267" s="150">
        <f t="shared" si="26"/>
        <v>54.491666666666667</v>
      </c>
      <c r="T267" s="149"/>
      <c r="U267" s="147">
        <v>6539</v>
      </c>
      <c r="V267" s="150">
        <f t="shared" si="28"/>
        <v>108.98333333333333</v>
      </c>
      <c r="W267" s="149"/>
    </row>
    <row r="268" spans="15:23" x14ac:dyDescent="0.25">
      <c r="O268" s="147"/>
      <c r="P268" s="150">
        <f t="shared" si="27"/>
        <v>0</v>
      </c>
      <c r="Q268" s="149">
        <v>0.60299999999999998</v>
      </c>
      <c r="R268" s="147">
        <f t="shared" si="25"/>
        <v>6569</v>
      </c>
      <c r="S268" s="150">
        <f t="shared" si="26"/>
        <v>54.741666666666667</v>
      </c>
      <c r="T268" s="149"/>
      <c r="U268" s="147">
        <v>6569</v>
      </c>
      <c r="V268" s="150">
        <f t="shared" si="28"/>
        <v>109.48333333333333</v>
      </c>
      <c r="W268" s="149"/>
    </row>
    <row r="269" spans="15:23" x14ac:dyDescent="0.25">
      <c r="O269" s="147"/>
      <c r="P269" s="150">
        <f t="shared" si="27"/>
        <v>0</v>
      </c>
      <c r="Q269" s="149">
        <v>0.60299999999999998</v>
      </c>
      <c r="R269" s="147">
        <f t="shared" si="25"/>
        <v>6599</v>
      </c>
      <c r="S269" s="150">
        <f t="shared" si="26"/>
        <v>54.991666666666667</v>
      </c>
      <c r="T269" s="149"/>
      <c r="U269" s="147">
        <v>6599</v>
      </c>
      <c r="V269" s="150">
        <f t="shared" si="28"/>
        <v>109.98333333333333</v>
      </c>
      <c r="W269" s="149"/>
    </row>
    <row r="270" spans="15:23" x14ac:dyDescent="0.25">
      <c r="O270" s="147"/>
      <c r="P270" s="150">
        <f t="shared" si="27"/>
        <v>0</v>
      </c>
      <c r="Q270" s="149">
        <v>0.60299999999999998</v>
      </c>
      <c r="R270" s="147">
        <f t="shared" si="25"/>
        <v>6629</v>
      </c>
      <c r="S270" s="150">
        <f t="shared" si="26"/>
        <v>55.241666666666667</v>
      </c>
      <c r="T270" s="149"/>
      <c r="U270" s="147">
        <v>6629</v>
      </c>
      <c r="V270" s="150">
        <f t="shared" si="28"/>
        <v>110.48333333333333</v>
      </c>
      <c r="W270" s="149"/>
    </row>
    <row r="271" spans="15:23" x14ac:dyDescent="0.25">
      <c r="O271" s="147"/>
      <c r="P271" s="150">
        <f t="shared" si="27"/>
        <v>0</v>
      </c>
      <c r="Q271" s="149">
        <v>0.60299999999999998</v>
      </c>
      <c r="R271" s="147">
        <f t="shared" si="25"/>
        <v>6659</v>
      </c>
      <c r="S271" s="150">
        <f t="shared" si="26"/>
        <v>55.491666666666667</v>
      </c>
      <c r="T271" s="149"/>
      <c r="U271" s="147">
        <v>6659</v>
      </c>
      <c r="V271" s="150">
        <f t="shared" si="28"/>
        <v>110.98333333333333</v>
      </c>
      <c r="W271" s="149"/>
    </row>
    <row r="272" spans="15:23" x14ac:dyDescent="0.25">
      <c r="O272" s="147"/>
      <c r="P272" s="150">
        <f t="shared" si="27"/>
        <v>0</v>
      </c>
      <c r="Q272" s="149">
        <v>0.60299999999999998</v>
      </c>
      <c r="R272" s="147">
        <f t="shared" si="25"/>
        <v>6689</v>
      </c>
      <c r="S272" s="150">
        <f t="shared" si="26"/>
        <v>55.741666666666667</v>
      </c>
      <c r="T272" s="149"/>
      <c r="U272" s="147">
        <v>6689</v>
      </c>
      <c r="V272" s="150">
        <f t="shared" si="28"/>
        <v>111.48333333333333</v>
      </c>
      <c r="W272" s="149"/>
    </row>
    <row r="273" spans="15:23" x14ac:dyDescent="0.25">
      <c r="O273" s="147"/>
      <c r="P273" s="150">
        <f t="shared" si="27"/>
        <v>0</v>
      </c>
      <c r="Q273" s="149">
        <v>0.60299999999999998</v>
      </c>
      <c r="R273" s="147">
        <f t="shared" si="25"/>
        <v>6719</v>
      </c>
      <c r="S273" s="150">
        <f t="shared" si="26"/>
        <v>55.991666666666667</v>
      </c>
      <c r="T273" s="149"/>
      <c r="U273" s="147">
        <v>6719</v>
      </c>
      <c r="V273" s="150">
        <f t="shared" si="28"/>
        <v>111.98333333333333</v>
      </c>
      <c r="W273" s="149"/>
    </row>
    <row r="274" spans="15:23" x14ac:dyDescent="0.25">
      <c r="O274" s="147"/>
      <c r="P274" s="150">
        <f t="shared" si="27"/>
        <v>0</v>
      </c>
      <c r="Q274" s="149">
        <v>0.60299999999999998</v>
      </c>
      <c r="R274" s="147">
        <f t="shared" si="25"/>
        <v>6749</v>
      </c>
      <c r="S274" s="150">
        <f t="shared" si="26"/>
        <v>56.241666666666667</v>
      </c>
      <c r="T274" s="149"/>
      <c r="U274" s="147">
        <v>6749</v>
      </c>
      <c r="V274" s="150">
        <f t="shared" si="28"/>
        <v>112.48333333333333</v>
      </c>
      <c r="W274" s="149"/>
    </row>
    <row r="275" spans="15:23" x14ac:dyDescent="0.25">
      <c r="O275" s="147"/>
      <c r="P275" s="150">
        <f t="shared" si="27"/>
        <v>0</v>
      </c>
      <c r="Q275" s="149">
        <v>0.60299999999999998</v>
      </c>
      <c r="R275" s="147">
        <f t="shared" si="25"/>
        <v>6779</v>
      </c>
      <c r="S275" s="150">
        <f t="shared" si="26"/>
        <v>56.491666666666667</v>
      </c>
      <c r="T275" s="149"/>
      <c r="U275" s="147">
        <v>6779</v>
      </c>
      <c r="V275" s="150">
        <f t="shared" si="28"/>
        <v>112.98333333333333</v>
      </c>
      <c r="W275" s="149"/>
    </row>
    <row r="276" spans="15:23" x14ac:dyDescent="0.25">
      <c r="O276" s="147"/>
      <c r="P276" s="150">
        <f t="shared" si="27"/>
        <v>0</v>
      </c>
      <c r="Q276" s="149">
        <v>0.60299999999999998</v>
      </c>
      <c r="R276" s="147">
        <f t="shared" si="25"/>
        <v>6809</v>
      </c>
      <c r="S276" s="150">
        <f t="shared" si="26"/>
        <v>56.741666666666667</v>
      </c>
      <c r="T276" s="149"/>
      <c r="U276" s="147">
        <v>6809</v>
      </c>
      <c r="V276" s="150">
        <f t="shared" si="28"/>
        <v>113.48333333333333</v>
      </c>
      <c r="W276" s="149"/>
    </row>
    <row r="277" spans="15:23" x14ac:dyDescent="0.25">
      <c r="O277" s="147"/>
      <c r="P277" s="150">
        <f t="shared" si="27"/>
        <v>0</v>
      </c>
      <c r="Q277" s="149">
        <v>0.60299999999999998</v>
      </c>
      <c r="R277" s="147">
        <f t="shared" ref="R277:R340" si="29">AVERAGE(O277,U277)</f>
        <v>6839</v>
      </c>
      <c r="S277" s="150">
        <f t="shared" ref="S277:S340" si="30">AVERAGE(P277,V277)</f>
        <v>56.991666666666667</v>
      </c>
      <c r="T277" s="149"/>
      <c r="U277" s="147">
        <v>6839</v>
      </c>
      <c r="V277" s="150">
        <f t="shared" si="28"/>
        <v>113.98333333333333</v>
      </c>
      <c r="W277" s="149"/>
    </row>
    <row r="278" spans="15:23" x14ac:dyDescent="0.25">
      <c r="O278" s="147"/>
      <c r="P278" s="150">
        <f t="shared" ref="P278:P341" si="31">O278/60</f>
        <v>0</v>
      </c>
      <c r="Q278" s="149">
        <v>0.60299999999999998</v>
      </c>
      <c r="R278" s="147">
        <f t="shared" si="29"/>
        <v>6869</v>
      </c>
      <c r="S278" s="150">
        <f t="shared" si="30"/>
        <v>57.241666666666667</v>
      </c>
      <c r="T278" s="149"/>
      <c r="U278" s="147">
        <v>6869</v>
      </c>
      <c r="V278" s="150">
        <f t="shared" si="28"/>
        <v>114.48333333333333</v>
      </c>
      <c r="W278" s="149"/>
    </row>
    <row r="279" spans="15:23" x14ac:dyDescent="0.25">
      <c r="O279" s="147"/>
      <c r="P279" s="150">
        <f t="shared" si="31"/>
        <v>0</v>
      </c>
      <c r="Q279" s="149">
        <v>0.60299999999999998</v>
      </c>
      <c r="R279" s="147">
        <f t="shared" si="29"/>
        <v>6899</v>
      </c>
      <c r="S279" s="150">
        <f t="shared" si="30"/>
        <v>57.491666666666667</v>
      </c>
      <c r="T279" s="149"/>
      <c r="U279" s="147">
        <v>6899</v>
      </c>
      <c r="V279" s="150">
        <f t="shared" ref="V279:V342" si="32">U279/60</f>
        <v>114.98333333333333</v>
      </c>
      <c r="W279" s="149"/>
    </row>
    <row r="280" spans="15:23" x14ac:dyDescent="0.25">
      <c r="O280" s="147"/>
      <c r="P280" s="150">
        <f t="shared" si="31"/>
        <v>0</v>
      </c>
      <c r="Q280" s="149">
        <v>0.60299999999999998</v>
      </c>
      <c r="R280" s="147">
        <f t="shared" si="29"/>
        <v>6929</v>
      </c>
      <c r="S280" s="150">
        <f t="shared" si="30"/>
        <v>57.741666666666667</v>
      </c>
      <c r="T280" s="149"/>
      <c r="U280" s="147">
        <v>6929</v>
      </c>
      <c r="V280" s="150">
        <f t="shared" si="32"/>
        <v>115.48333333333333</v>
      </c>
      <c r="W280" s="149"/>
    </row>
    <row r="281" spans="15:23" x14ac:dyDescent="0.25">
      <c r="O281" s="147"/>
      <c r="P281" s="150">
        <f t="shared" si="31"/>
        <v>0</v>
      </c>
      <c r="Q281" s="149">
        <v>0.60299999999999998</v>
      </c>
      <c r="R281" s="147">
        <f t="shared" si="29"/>
        <v>6959</v>
      </c>
      <c r="S281" s="150">
        <f t="shared" si="30"/>
        <v>57.991666666666667</v>
      </c>
      <c r="T281" s="149"/>
      <c r="U281" s="147">
        <v>6959</v>
      </c>
      <c r="V281" s="150">
        <f t="shared" si="32"/>
        <v>115.98333333333333</v>
      </c>
      <c r="W281" s="149"/>
    </row>
    <row r="282" spans="15:23" x14ac:dyDescent="0.25">
      <c r="O282" s="147"/>
      <c r="P282" s="150">
        <f t="shared" si="31"/>
        <v>0</v>
      </c>
      <c r="Q282" s="149">
        <v>0.60299999999999998</v>
      </c>
      <c r="R282" s="147">
        <f t="shared" si="29"/>
        <v>6989</v>
      </c>
      <c r="S282" s="150">
        <f t="shared" si="30"/>
        <v>58.241666666666667</v>
      </c>
      <c r="T282" s="149"/>
      <c r="U282" s="147">
        <v>6989</v>
      </c>
      <c r="V282" s="150">
        <f t="shared" si="32"/>
        <v>116.48333333333333</v>
      </c>
      <c r="W282" s="149"/>
    </row>
    <row r="283" spans="15:23" x14ac:dyDescent="0.25">
      <c r="O283" s="147"/>
      <c r="P283" s="150">
        <f t="shared" si="31"/>
        <v>0</v>
      </c>
      <c r="Q283" s="149">
        <v>0.60299999999999998</v>
      </c>
      <c r="R283" s="147">
        <f t="shared" si="29"/>
        <v>7019</v>
      </c>
      <c r="S283" s="150">
        <f t="shared" si="30"/>
        <v>58.491666666666667</v>
      </c>
      <c r="T283" s="149"/>
      <c r="U283" s="147">
        <v>7019</v>
      </c>
      <c r="V283" s="150">
        <f t="shared" si="32"/>
        <v>116.98333333333333</v>
      </c>
      <c r="W283" s="149"/>
    </row>
    <row r="284" spans="15:23" x14ac:dyDescent="0.25">
      <c r="O284" s="147"/>
      <c r="P284" s="150">
        <f t="shared" si="31"/>
        <v>0</v>
      </c>
      <c r="Q284" s="149">
        <v>0.60299999999999998</v>
      </c>
      <c r="R284" s="147">
        <f t="shared" si="29"/>
        <v>7049</v>
      </c>
      <c r="S284" s="150">
        <f t="shared" si="30"/>
        <v>58.741666666666667</v>
      </c>
      <c r="T284" s="149"/>
      <c r="U284" s="147">
        <v>7049</v>
      </c>
      <c r="V284" s="150">
        <f t="shared" si="32"/>
        <v>117.48333333333333</v>
      </c>
      <c r="W284" s="149"/>
    </row>
    <row r="285" spans="15:23" x14ac:dyDescent="0.25">
      <c r="O285" s="147"/>
      <c r="P285" s="150">
        <f t="shared" si="31"/>
        <v>0</v>
      </c>
      <c r="Q285" s="149">
        <v>0.60299999999999998</v>
      </c>
      <c r="R285" s="147">
        <f t="shared" si="29"/>
        <v>7079</v>
      </c>
      <c r="S285" s="150">
        <f t="shared" si="30"/>
        <v>58.991666666666667</v>
      </c>
      <c r="T285" s="149"/>
      <c r="U285" s="147">
        <v>7079</v>
      </c>
      <c r="V285" s="150">
        <f t="shared" si="32"/>
        <v>117.98333333333333</v>
      </c>
      <c r="W285" s="149"/>
    </row>
    <row r="286" spans="15:23" x14ac:dyDescent="0.25">
      <c r="O286" s="147"/>
      <c r="P286" s="150">
        <f t="shared" si="31"/>
        <v>0</v>
      </c>
      <c r="Q286" s="149">
        <v>0.60299999999999998</v>
      </c>
      <c r="R286" s="147">
        <f t="shared" si="29"/>
        <v>7109</v>
      </c>
      <c r="S286" s="150">
        <f t="shared" si="30"/>
        <v>59.241666666666667</v>
      </c>
      <c r="T286" s="149"/>
      <c r="U286" s="147">
        <v>7109</v>
      </c>
      <c r="V286" s="150">
        <f t="shared" si="32"/>
        <v>118.48333333333333</v>
      </c>
      <c r="W286" s="149"/>
    </row>
    <row r="287" spans="15:23" x14ac:dyDescent="0.25">
      <c r="O287" s="147"/>
      <c r="P287" s="150">
        <f t="shared" si="31"/>
        <v>0</v>
      </c>
      <c r="Q287" s="149">
        <v>0.60299999999999998</v>
      </c>
      <c r="R287" s="147">
        <f t="shared" si="29"/>
        <v>7139</v>
      </c>
      <c r="S287" s="150">
        <f t="shared" si="30"/>
        <v>59.491666666666667</v>
      </c>
      <c r="T287" s="149"/>
      <c r="U287" s="147">
        <v>7139</v>
      </c>
      <c r="V287" s="150">
        <f t="shared" si="32"/>
        <v>118.98333333333333</v>
      </c>
      <c r="W287" s="149"/>
    </row>
    <row r="288" spans="15:23" x14ac:dyDescent="0.25">
      <c r="O288" s="147"/>
      <c r="P288" s="150">
        <f t="shared" si="31"/>
        <v>0</v>
      </c>
      <c r="Q288" s="149">
        <v>0.60299999999999998</v>
      </c>
      <c r="R288" s="147">
        <f t="shared" si="29"/>
        <v>7169</v>
      </c>
      <c r="S288" s="150">
        <f t="shared" si="30"/>
        <v>59.741666666666667</v>
      </c>
      <c r="T288" s="149"/>
      <c r="U288" s="147">
        <v>7169</v>
      </c>
      <c r="V288" s="150">
        <f t="shared" si="32"/>
        <v>119.48333333333333</v>
      </c>
      <c r="W288" s="149"/>
    </row>
    <row r="289" spans="15:23" x14ac:dyDescent="0.25">
      <c r="O289" s="147"/>
      <c r="P289" s="150">
        <f t="shared" si="31"/>
        <v>0</v>
      </c>
      <c r="Q289" s="149">
        <v>0.60299999999999998</v>
      </c>
      <c r="R289" s="147">
        <f t="shared" si="29"/>
        <v>7199</v>
      </c>
      <c r="S289" s="150">
        <f t="shared" si="30"/>
        <v>59.991666666666667</v>
      </c>
      <c r="T289" s="149"/>
      <c r="U289" s="147">
        <v>7199</v>
      </c>
      <c r="V289" s="150">
        <f t="shared" si="32"/>
        <v>119.98333333333333</v>
      </c>
      <c r="W289" s="149"/>
    </row>
    <row r="290" spans="15:23" x14ac:dyDescent="0.25">
      <c r="O290" s="147"/>
      <c r="P290" s="150">
        <f t="shared" si="31"/>
        <v>0</v>
      </c>
      <c r="Q290" s="149">
        <v>0.60299999999999998</v>
      </c>
      <c r="R290" s="147">
        <f t="shared" si="29"/>
        <v>7229</v>
      </c>
      <c r="S290" s="150">
        <f t="shared" si="30"/>
        <v>60.241666666666667</v>
      </c>
      <c r="T290" s="149"/>
      <c r="U290" s="147">
        <v>7229</v>
      </c>
      <c r="V290" s="150">
        <f t="shared" si="32"/>
        <v>120.48333333333333</v>
      </c>
      <c r="W290" s="149"/>
    </row>
    <row r="291" spans="15:23" x14ac:dyDescent="0.25">
      <c r="O291" s="147"/>
      <c r="P291" s="150">
        <f t="shared" si="31"/>
        <v>0</v>
      </c>
      <c r="Q291" s="149">
        <v>0.60299999999999998</v>
      </c>
      <c r="R291" s="147">
        <f t="shared" si="29"/>
        <v>7259</v>
      </c>
      <c r="S291" s="150">
        <f t="shared" si="30"/>
        <v>60.491666666666667</v>
      </c>
      <c r="T291" s="149"/>
      <c r="U291" s="147">
        <v>7259</v>
      </c>
      <c r="V291" s="150">
        <f t="shared" si="32"/>
        <v>120.98333333333333</v>
      </c>
      <c r="W291" s="149"/>
    </row>
    <row r="292" spans="15:23" x14ac:dyDescent="0.25">
      <c r="O292" s="147"/>
      <c r="P292" s="150">
        <f t="shared" si="31"/>
        <v>0</v>
      </c>
      <c r="Q292" s="149">
        <v>0.60299999999999998</v>
      </c>
      <c r="R292" s="147">
        <f t="shared" si="29"/>
        <v>7289</v>
      </c>
      <c r="S292" s="150">
        <f t="shared" si="30"/>
        <v>60.741666666666667</v>
      </c>
      <c r="T292" s="149"/>
      <c r="U292" s="147">
        <v>7289</v>
      </c>
      <c r="V292" s="150">
        <f t="shared" si="32"/>
        <v>121.48333333333333</v>
      </c>
      <c r="W292" s="149"/>
    </row>
    <row r="293" spans="15:23" x14ac:dyDescent="0.25">
      <c r="O293" s="147"/>
      <c r="P293" s="150">
        <f t="shared" si="31"/>
        <v>0</v>
      </c>
      <c r="Q293" s="149">
        <v>0.60299999999999998</v>
      </c>
      <c r="R293" s="147">
        <f t="shared" si="29"/>
        <v>7319</v>
      </c>
      <c r="S293" s="150">
        <f t="shared" si="30"/>
        <v>60.991666666666667</v>
      </c>
      <c r="T293" s="149"/>
      <c r="U293" s="147">
        <v>7319</v>
      </c>
      <c r="V293" s="150">
        <f t="shared" si="32"/>
        <v>121.98333333333333</v>
      </c>
      <c r="W293" s="149"/>
    </row>
    <row r="294" spans="15:23" x14ac:dyDescent="0.25">
      <c r="O294" s="147"/>
      <c r="P294" s="150">
        <f t="shared" si="31"/>
        <v>0</v>
      </c>
      <c r="Q294" s="149">
        <v>0.60299999999999998</v>
      </c>
      <c r="R294" s="147">
        <f t="shared" si="29"/>
        <v>7349</v>
      </c>
      <c r="S294" s="150">
        <f t="shared" si="30"/>
        <v>61.241666666666667</v>
      </c>
      <c r="T294" s="149"/>
      <c r="U294" s="147">
        <v>7349</v>
      </c>
      <c r="V294" s="150">
        <f t="shared" si="32"/>
        <v>122.48333333333333</v>
      </c>
      <c r="W294" s="149"/>
    </row>
    <row r="295" spans="15:23" x14ac:dyDescent="0.25">
      <c r="O295" s="147"/>
      <c r="P295" s="150">
        <f t="shared" si="31"/>
        <v>0</v>
      </c>
      <c r="Q295" s="149">
        <v>0.60299999999999998</v>
      </c>
      <c r="R295" s="147">
        <f t="shared" si="29"/>
        <v>7379</v>
      </c>
      <c r="S295" s="150">
        <f t="shared" si="30"/>
        <v>61.491666666666667</v>
      </c>
      <c r="T295" s="149"/>
      <c r="U295" s="147">
        <v>7379</v>
      </c>
      <c r="V295" s="150">
        <f t="shared" si="32"/>
        <v>122.98333333333333</v>
      </c>
      <c r="W295" s="149"/>
    </row>
    <row r="296" spans="15:23" x14ac:dyDescent="0.25">
      <c r="O296" s="147"/>
      <c r="P296" s="150">
        <f t="shared" si="31"/>
        <v>0</v>
      </c>
      <c r="Q296" s="149">
        <v>0.60299999999999998</v>
      </c>
      <c r="R296" s="147">
        <f t="shared" si="29"/>
        <v>7409</v>
      </c>
      <c r="S296" s="150">
        <f t="shared" si="30"/>
        <v>61.741666666666667</v>
      </c>
      <c r="T296" s="149"/>
      <c r="U296" s="147">
        <v>7409</v>
      </c>
      <c r="V296" s="150">
        <f t="shared" si="32"/>
        <v>123.48333333333333</v>
      </c>
      <c r="W296" s="149"/>
    </row>
    <row r="297" spans="15:23" x14ac:dyDescent="0.25">
      <c r="O297" s="147"/>
      <c r="P297" s="150">
        <f t="shared" si="31"/>
        <v>0</v>
      </c>
      <c r="Q297" s="149"/>
      <c r="R297" s="147">
        <f t="shared" si="29"/>
        <v>7439</v>
      </c>
      <c r="S297" s="150">
        <f t="shared" si="30"/>
        <v>61.991666666666667</v>
      </c>
      <c r="T297" s="149"/>
      <c r="U297" s="147">
        <v>7439</v>
      </c>
      <c r="V297" s="150">
        <f t="shared" si="32"/>
        <v>123.98333333333333</v>
      </c>
      <c r="W297" s="149"/>
    </row>
    <row r="298" spans="15:23" x14ac:dyDescent="0.25">
      <c r="O298" s="147"/>
      <c r="P298" s="150">
        <f t="shared" si="31"/>
        <v>0</v>
      </c>
      <c r="Q298" s="149"/>
      <c r="R298" s="147">
        <f t="shared" si="29"/>
        <v>7469</v>
      </c>
      <c r="S298" s="150">
        <f t="shared" si="30"/>
        <v>62.241666666666667</v>
      </c>
      <c r="T298" s="149"/>
      <c r="U298" s="147">
        <v>7469</v>
      </c>
      <c r="V298" s="150">
        <f t="shared" si="32"/>
        <v>124.48333333333333</v>
      </c>
      <c r="W298" s="149"/>
    </row>
    <row r="299" spans="15:23" x14ac:dyDescent="0.25">
      <c r="O299" s="147"/>
      <c r="P299" s="150">
        <f t="shared" si="31"/>
        <v>0</v>
      </c>
      <c r="Q299" s="149"/>
      <c r="R299" s="147">
        <f t="shared" si="29"/>
        <v>7499</v>
      </c>
      <c r="S299" s="150">
        <f t="shared" si="30"/>
        <v>62.491666666666667</v>
      </c>
      <c r="T299" s="149"/>
      <c r="U299" s="147">
        <v>7499</v>
      </c>
      <c r="V299" s="150">
        <f t="shared" si="32"/>
        <v>124.98333333333333</v>
      </c>
      <c r="W299" s="149"/>
    </row>
    <row r="300" spans="15:23" x14ac:dyDescent="0.25">
      <c r="O300" s="147"/>
      <c r="P300" s="150">
        <f t="shared" si="31"/>
        <v>0</v>
      </c>
      <c r="Q300" s="149"/>
      <c r="R300" s="147">
        <f t="shared" si="29"/>
        <v>7529</v>
      </c>
      <c r="S300" s="150">
        <f t="shared" si="30"/>
        <v>62.741666666666667</v>
      </c>
      <c r="T300" s="149"/>
      <c r="U300" s="147">
        <v>7529</v>
      </c>
      <c r="V300" s="150">
        <f t="shared" si="32"/>
        <v>125.48333333333333</v>
      </c>
      <c r="W300" s="149"/>
    </row>
    <row r="301" spans="15:23" x14ac:dyDescent="0.25">
      <c r="O301" s="147"/>
      <c r="P301" s="150">
        <f t="shared" si="31"/>
        <v>0</v>
      </c>
      <c r="Q301" s="149"/>
      <c r="R301" s="147">
        <f t="shared" si="29"/>
        <v>7559</v>
      </c>
      <c r="S301" s="150">
        <f t="shared" si="30"/>
        <v>62.991666666666667</v>
      </c>
      <c r="T301" s="149"/>
      <c r="U301" s="147">
        <v>7559</v>
      </c>
      <c r="V301" s="150">
        <f t="shared" si="32"/>
        <v>125.98333333333333</v>
      </c>
      <c r="W301" s="149"/>
    </row>
    <row r="302" spans="15:23" x14ac:dyDescent="0.25">
      <c r="O302" s="147"/>
      <c r="P302" s="150">
        <f t="shared" si="31"/>
        <v>0</v>
      </c>
      <c r="Q302" s="149"/>
      <c r="R302" s="147">
        <f t="shared" si="29"/>
        <v>7589</v>
      </c>
      <c r="S302" s="150">
        <f t="shared" si="30"/>
        <v>63.241666666666667</v>
      </c>
      <c r="T302" s="149"/>
      <c r="U302" s="147">
        <v>7589</v>
      </c>
      <c r="V302" s="150">
        <f t="shared" si="32"/>
        <v>126.48333333333333</v>
      </c>
      <c r="W302" s="149"/>
    </row>
    <row r="303" spans="15:23" x14ac:dyDescent="0.25">
      <c r="O303" s="147"/>
      <c r="P303" s="150">
        <f t="shared" si="31"/>
        <v>0</v>
      </c>
      <c r="Q303" s="149"/>
      <c r="R303" s="147">
        <f t="shared" si="29"/>
        <v>7619</v>
      </c>
      <c r="S303" s="150">
        <f t="shared" si="30"/>
        <v>63.491666666666667</v>
      </c>
      <c r="T303" s="149"/>
      <c r="U303" s="147">
        <v>7619</v>
      </c>
      <c r="V303" s="150">
        <f t="shared" si="32"/>
        <v>126.98333333333333</v>
      </c>
      <c r="W303" s="149"/>
    </row>
    <row r="304" spans="15:23" x14ac:dyDescent="0.25">
      <c r="O304" s="147"/>
      <c r="P304" s="150">
        <f t="shared" si="31"/>
        <v>0</v>
      </c>
      <c r="Q304" s="149"/>
      <c r="R304" s="147">
        <f t="shared" si="29"/>
        <v>7649</v>
      </c>
      <c r="S304" s="150">
        <f t="shared" si="30"/>
        <v>63.741666666666667</v>
      </c>
      <c r="T304" s="149"/>
      <c r="U304" s="147">
        <v>7649</v>
      </c>
      <c r="V304" s="150">
        <f t="shared" si="32"/>
        <v>127.48333333333333</v>
      </c>
      <c r="W304" s="149"/>
    </row>
    <row r="305" spans="15:23" x14ac:dyDescent="0.25">
      <c r="O305" s="147"/>
      <c r="P305" s="150">
        <f t="shared" si="31"/>
        <v>0</v>
      </c>
      <c r="Q305" s="149"/>
      <c r="R305" s="147">
        <f t="shared" si="29"/>
        <v>7679</v>
      </c>
      <c r="S305" s="150">
        <f t="shared" si="30"/>
        <v>63.991666666666667</v>
      </c>
      <c r="T305" s="149"/>
      <c r="U305" s="147">
        <v>7679</v>
      </c>
      <c r="V305" s="150">
        <f t="shared" si="32"/>
        <v>127.98333333333333</v>
      </c>
      <c r="W305" s="149"/>
    </row>
    <row r="306" spans="15:23" x14ac:dyDescent="0.25">
      <c r="O306" s="147"/>
      <c r="P306" s="150">
        <f t="shared" si="31"/>
        <v>0</v>
      </c>
      <c r="Q306" s="149"/>
      <c r="R306" s="147">
        <f t="shared" si="29"/>
        <v>7709</v>
      </c>
      <c r="S306" s="150">
        <f t="shared" si="30"/>
        <v>64.24166666666666</v>
      </c>
      <c r="T306" s="149"/>
      <c r="U306" s="147">
        <v>7709</v>
      </c>
      <c r="V306" s="150">
        <f t="shared" si="32"/>
        <v>128.48333333333332</v>
      </c>
      <c r="W306" s="149"/>
    </row>
    <row r="307" spans="15:23" x14ac:dyDescent="0.25">
      <c r="O307" s="147"/>
      <c r="P307" s="150">
        <f t="shared" si="31"/>
        <v>0</v>
      </c>
      <c r="Q307" s="149"/>
      <c r="R307" s="147">
        <f t="shared" si="29"/>
        <v>7739</v>
      </c>
      <c r="S307" s="150">
        <f t="shared" si="30"/>
        <v>64.49166666666666</v>
      </c>
      <c r="T307" s="149"/>
      <c r="U307" s="147">
        <v>7739</v>
      </c>
      <c r="V307" s="150">
        <f t="shared" si="32"/>
        <v>128.98333333333332</v>
      </c>
      <c r="W307" s="149"/>
    </row>
    <row r="308" spans="15:23" x14ac:dyDescent="0.25">
      <c r="O308" s="147"/>
      <c r="P308" s="150">
        <f t="shared" si="31"/>
        <v>0</v>
      </c>
      <c r="Q308" s="149"/>
      <c r="R308" s="147">
        <f t="shared" si="29"/>
        <v>7769</v>
      </c>
      <c r="S308" s="150">
        <f t="shared" si="30"/>
        <v>64.74166666666666</v>
      </c>
      <c r="T308" s="149"/>
      <c r="U308" s="147">
        <v>7769</v>
      </c>
      <c r="V308" s="150">
        <f t="shared" si="32"/>
        <v>129.48333333333332</v>
      </c>
      <c r="W308" s="149"/>
    </row>
    <row r="309" spans="15:23" x14ac:dyDescent="0.25">
      <c r="O309" s="147"/>
      <c r="P309" s="150">
        <f t="shared" si="31"/>
        <v>0</v>
      </c>
      <c r="Q309" s="149"/>
      <c r="R309" s="147">
        <f t="shared" si="29"/>
        <v>7799</v>
      </c>
      <c r="S309" s="150">
        <f t="shared" si="30"/>
        <v>64.99166666666666</v>
      </c>
      <c r="T309" s="149"/>
      <c r="U309" s="147">
        <v>7799</v>
      </c>
      <c r="V309" s="150">
        <f t="shared" si="32"/>
        <v>129.98333333333332</v>
      </c>
      <c r="W309" s="149"/>
    </row>
    <row r="310" spans="15:23" x14ac:dyDescent="0.25">
      <c r="O310" s="147"/>
      <c r="P310" s="150">
        <f t="shared" si="31"/>
        <v>0</v>
      </c>
      <c r="Q310" s="149"/>
      <c r="R310" s="147">
        <f t="shared" si="29"/>
        <v>7829</v>
      </c>
      <c r="S310" s="150">
        <f t="shared" si="30"/>
        <v>65.24166666666666</v>
      </c>
      <c r="T310" s="149"/>
      <c r="U310" s="147">
        <v>7829</v>
      </c>
      <c r="V310" s="150">
        <f t="shared" si="32"/>
        <v>130.48333333333332</v>
      </c>
      <c r="W310" s="149"/>
    </row>
    <row r="311" spans="15:23" x14ac:dyDescent="0.25">
      <c r="O311" s="147"/>
      <c r="P311" s="150">
        <f t="shared" si="31"/>
        <v>0</v>
      </c>
      <c r="Q311" s="149"/>
      <c r="R311" s="147">
        <f t="shared" si="29"/>
        <v>7859</v>
      </c>
      <c r="S311" s="150">
        <f t="shared" si="30"/>
        <v>65.49166666666666</v>
      </c>
      <c r="T311" s="149"/>
      <c r="U311" s="147">
        <v>7859</v>
      </c>
      <c r="V311" s="150">
        <f t="shared" si="32"/>
        <v>130.98333333333332</v>
      </c>
      <c r="W311" s="149"/>
    </row>
    <row r="312" spans="15:23" x14ac:dyDescent="0.25">
      <c r="O312" s="147"/>
      <c r="P312" s="150">
        <f t="shared" si="31"/>
        <v>0</v>
      </c>
      <c r="Q312" s="149"/>
      <c r="R312" s="147">
        <f t="shared" si="29"/>
        <v>7889</v>
      </c>
      <c r="S312" s="150">
        <f t="shared" si="30"/>
        <v>65.74166666666666</v>
      </c>
      <c r="T312" s="149"/>
      <c r="U312" s="147">
        <v>7889</v>
      </c>
      <c r="V312" s="150">
        <f t="shared" si="32"/>
        <v>131.48333333333332</v>
      </c>
      <c r="W312" s="149"/>
    </row>
    <row r="313" spans="15:23" x14ac:dyDescent="0.25">
      <c r="O313" s="147"/>
      <c r="P313" s="150">
        <f t="shared" si="31"/>
        <v>0</v>
      </c>
      <c r="Q313" s="149"/>
      <c r="R313" s="147">
        <f t="shared" si="29"/>
        <v>7919</v>
      </c>
      <c r="S313" s="150">
        <f t="shared" si="30"/>
        <v>65.99166666666666</v>
      </c>
      <c r="T313" s="149"/>
      <c r="U313" s="147">
        <v>7919</v>
      </c>
      <c r="V313" s="150">
        <f t="shared" si="32"/>
        <v>131.98333333333332</v>
      </c>
      <c r="W313" s="149"/>
    </row>
    <row r="314" spans="15:23" x14ac:dyDescent="0.25">
      <c r="O314" s="147"/>
      <c r="P314" s="150">
        <f t="shared" si="31"/>
        <v>0</v>
      </c>
      <c r="Q314" s="149"/>
      <c r="R314" s="147">
        <f t="shared" si="29"/>
        <v>7949</v>
      </c>
      <c r="S314" s="150">
        <f t="shared" si="30"/>
        <v>66.24166666666666</v>
      </c>
      <c r="T314" s="149"/>
      <c r="U314" s="147">
        <v>7949</v>
      </c>
      <c r="V314" s="150">
        <f t="shared" si="32"/>
        <v>132.48333333333332</v>
      </c>
      <c r="W314" s="149"/>
    </row>
    <row r="315" spans="15:23" x14ac:dyDescent="0.25">
      <c r="O315" s="147"/>
      <c r="P315" s="150">
        <f t="shared" si="31"/>
        <v>0</v>
      </c>
      <c r="Q315" s="149"/>
      <c r="R315" s="147">
        <f t="shared" si="29"/>
        <v>7979</v>
      </c>
      <c r="S315" s="150">
        <f t="shared" si="30"/>
        <v>66.49166666666666</v>
      </c>
      <c r="T315" s="149"/>
      <c r="U315" s="147">
        <v>7979</v>
      </c>
      <c r="V315" s="150">
        <f t="shared" si="32"/>
        <v>132.98333333333332</v>
      </c>
      <c r="W315" s="149"/>
    </row>
    <row r="316" spans="15:23" x14ac:dyDescent="0.25">
      <c r="O316" s="147"/>
      <c r="P316" s="150">
        <f t="shared" si="31"/>
        <v>0</v>
      </c>
      <c r="Q316" s="149"/>
      <c r="R316" s="147">
        <f t="shared" si="29"/>
        <v>8009</v>
      </c>
      <c r="S316" s="150">
        <f t="shared" si="30"/>
        <v>66.74166666666666</v>
      </c>
      <c r="T316" s="149"/>
      <c r="U316" s="147">
        <v>8009</v>
      </c>
      <c r="V316" s="150">
        <f t="shared" si="32"/>
        <v>133.48333333333332</v>
      </c>
      <c r="W316" s="149"/>
    </row>
    <row r="317" spans="15:23" x14ac:dyDescent="0.25">
      <c r="O317" s="147"/>
      <c r="P317" s="150">
        <f t="shared" si="31"/>
        <v>0</v>
      </c>
      <c r="Q317" s="149"/>
      <c r="R317" s="147">
        <f t="shared" si="29"/>
        <v>8039</v>
      </c>
      <c r="S317" s="150">
        <f t="shared" si="30"/>
        <v>66.99166666666666</v>
      </c>
      <c r="T317" s="149"/>
      <c r="U317" s="147">
        <v>8039</v>
      </c>
      <c r="V317" s="150">
        <f t="shared" si="32"/>
        <v>133.98333333333332</v>
      </c>
      <c r="W317" s="149"/>
    </row>
    <row r="318" spans="15:23" x14ac:dyDescent="0.25">
      <c r="O318" s="147"/>
      <c r="P318" s="150">
        <f t="shared" si="31"/>
        <v>0</v>
      </c>
      <c r="Q318" s="149"/>
      <c r="R318" s="147">
        <f t="shared" si="29"/>
        <v>8069</v>
      </c>
      <c r="S318" s="150">
        <f t="shared" si="30"/>
        <v>67.24166666666666</v>
      </c>
      <c r="T318" s="149"/>
      <c r="U318" s="147">
        <v>8069</v>
      </c>
      <c r="V318" s="150">
        <f t="shared" si="32"/>
        <v>134.48333333333332</v>
      </c>
      <c r="W318" s="149"/>
    </row>
    <row r="319" spans="15:23" x14ac:dyDescent="0.25">
      <c r="O319" s="147"/>
      <c r="P319" s="150">
        <f t="shared" si="31"/>
        <v>0</v>
      </c>
      <c r="Q319" s="149"/>
      <c r="R319" s="147">
        <f t="shared" si="29"/>
        <v>8099</v>
      </c>
      <c r="S319" s="150">
        <f t="shared" si="30"/>
        <v>67.49166666666666</v>
      </c>
      <c r="T319" s="149"/>
      <c r="U319" s="147">
        <v>8099</v>
      </c>
      <c r="V319" s="150">
        <f t="shared" si="32"/>
        <v>134.98333333333332</v>
      </c>
      <c r="W319" s="149"/>
    </row>
    <row r="320" spans="15:23" x14ac:dyDescent="0.25">
      <c r="O320" s="147"/>
      <c r="P320" s="150">
        <f t="shared" si="31"/>
        <v>0</v>
      </c>
      <c r="Q320" s="149"/>
      <c r="R320" s="147">
        <f t="shared" si="29"/>
        <v>8129</v>
      </c>
      <c r="S320" s="150">
        <f t="shared" si="30"/>
        <v>67.74166666666666</v>
      </c>
      <c r="T320" s="149"/>
      <c r="U320" s="147">
        <v>8129</v>
      </c>
      <c r="V320" s="150">
        <f t="shared" si="32"/>
        <v>135.48333333333332</v>
      </c>
      <c r="W320" s="149"/>
    </row>
    <row r="321" spans="15:23" x14ac:dyDescent="0.25">
      <c r="O321" s="147"/>
      <c r="P321" s="150">
        <f t="shared" si="31"/>
        <v>0</v>
      </c>
      <c r="Q321" s="149"/>
      <c r="R321" s="147">
        <f t="shared" si="29"/>
        <v>8159</v>
      </c>
      <c r="S321" s="150">
        <f t="shared" si="30"/>
        <v>67.99166666666666</v>
      </c>
      <c r="T321" s="149"/>
      <c r="U321" s="147">
        <v>8159</v>
      </c>
      <c r="V321" s="150">
        <f t="shared" si="32"/>
        <v>135.98333333333332</v>
      </c>
      <c r="W321" s="149"/>
    </row>
    <row r="322" spans="15:23" x14ac:dyDescent="0.25">
      <c r="O322" s="147"/>
      <c r="P322" s="150">
        <f t="shared" si="31"/>
        <v>0</v>
      </c>
      <c r="Q322" s="149"/>
      <c r="R322" s="147">
        <f t="shared" si="29"/>
        <v>8189</v>
      </c>
      <c r="S322" s="150">
        <f t="shared" si="30"/>
        <v>68.24166666666666</v>
      </c>
      <c r="T322" s="149"/>
      <c r="U322" s="147">
        <v>8189</v>
      </c>
      <c r="V322" s="150">
        <f t="shared" si="32"/>
        <v>136.48333333333332</v>
      </c>
      <c r="W322" s="149"/>
    </row>
    <row r="323" spans="15:23" x14ac:dyDescent="0.25">
      <c r="O323" s="147"/>
      <c r="P323" s="150">
        <f t="shared" si="31"/>
        <v>0</v>
      </c>
      <c r="Q323" s="149"/>
      <c r="R323" s="147">
        <f t="shared" si="29"/>
        <v>8219</v>
      </c>
      <c r="S323" s="150">
        <f t="shared" si="30"/>
        <v>68.49166666666666</v>
      </c>
      <c r="T323" s="149"/>
      <c r="U323" s="147">
        <v>8219</v>
      </c>
      <c r="V323" s="150">
        <f t="shared" si="32"/>
        <v>136.98333333333332</v>
      </c>
      <c r="W323" s="149"/>
    </row>
    <row r="324" spans="15:23" x14ac:dyDescent="0.25">
      <c r="O324" s="147"/>
      <c r="P324" s="150">
        <f t="shared" si="31"/>
        <v>0</v>
      </c>
      <c r="Q324" s="149"/>
      <c r="R324" s="147">
        <f t="shared" si="29"/>
        <v>8249</v>
      </c>
      <c r="S324" s="150">
        <f t="shared" si="30"/>
        <v>68.74166666666666</v>
      </c>
      <c r="T324" s="149"/>
      <c r="U324" s="147">
        <v>8249</v>
      </c>
      <c r="V324" s="150">
        <f t="shared" si="32"/>
        <v>137.48333333333332</v>
      </c>
      <c r="W324" s="149"/>
    </row>
    <row r="325" spans="15:23" x14ac:dyDescent="0.25">
      <c r="O325" s="147"/>
      <c r="P325" s="150">
        <f t="shared" si="31"/>
        <v>0</v>
      </c>
      <c r="Q325" s="149"/>
      <c r="R325" s="147">
        <f t="shared" si="29"/>
        <v>8279</v>
      </c>
      <c r="S325" s="150">
        <f t="shared" si="30"/>
        <v>68.99166666666666</v>
      </c>
      <c r="T325" s="149"/>
      <c r="U325" s="147">
        <v>8279</v>
      </c>
      <c r="V325" s="150">
        <f t="shared" si="32"/>
        <v>137.98333333333332</v>
      </c>
      <c r="W325" s="149"/>
    </row>
    <row r="326" spans="15:23" x14ac:dyDescent="0.25">
      <c r="O326" s="147"/>
      <c r="P326" s="150">
        <f t="shared" si="31"/>
        <v>0</v>
      </c>
      <c r="Q326" s="149"/>
      <c r="R326" s="147">
        <f t="shared" si="29"/>
        <v>8309</v>
      </c>
      <c r="S326" s="150">
        <f t="shared" si="30"/>
        <v>69.24166666666666</v>
      </c>
      <c r="T326" s="149"/>
      <c r="U326" s="147">
        <v>8309</v>
      </c>
      <c r="V326" s="150">
        <f t="shared" si="32"/>
        <v>138.48333333333332</v>
      </c>
      <c r="W326" s="149"/>
    </row>
    <row r="327" spans="15:23" x14ac:dyDescent="0.25">
      <c r="O327" s="147"/>
      <c r="P327" s="150">
        <f t="shared" si="31"/>
        <v>0</v>
      </c>
      <c r="Q327" s="149"/>
      <c r="R327" s="147">
        <f t="shared" si="29"/>
        <v>8339</v>
      </c>
      <c r="S327" s="150">
        <f t="shared" si="30"/>
        <v>69.49166666666666</v>
      </c>
      <c r="T327" s="149"/>
      <c r="U327" s="147">
        <v>8339</v>
      </c>
      <c r="V327" s="150">
        <f t="shared" si="32"/>
        <v>138.98333333333332</v>
      </c>
      <c r="W327" s="149"/>
    </row>
    <row r="328" spans="15:23" x14ac:dyDescent="0.25">
      <c r="O328" s="147"/>
      <c r="P328" s="150">
        <f t="shared" si="31"/>
        <v>0</v>
      </c>
      <c r="Q328" s="149"/>
      <c r="R328" s="147">
        <f t="shared" si="29"/>
        <v>8369</v>
      </c>
      <c r="S328" s="150">
        <f t="shared" si="30"/>
        <v>69.74166666666666</v>
      </c>
      <c r="T328" s="149"/>
      <c r="U328" s="147">
        <v>8369</v>
      </c>
      <c r="V328" s="150">
        <f t="shared" si="32"/>
        <v>139.48333333333332</v>
      </c>
      <c r="W328" s="149"/>
    </row>
    <row r="329" spans="15:23" x14ac:dyDescent="0.25">
      <c r="O329" s="147"/>
      <c r="P329" s="150">
        <f t="shared" si="31"/>
        <v>0</v>
      </c>
      <c r="Q329" s="149"/>
      <c r="R329" s="147">
        <f t="shared" si="29"/>
        <v>8399</v>
      </c>
      <c r="S329" s="150">
        <f t="shared" si="30"/>
        <v>69.99166666666666</v>
      </c>
      <c r="T329" s="149"/>
      <c r="U329" s="147">
        <v>8399</v>
      </c>
      <c r="V329" s="150">
        <f t="shared" si="32"/>
        <v>139.98333333333332</v>
      </c>
      <c r="W329" s="149"/>
    </row>
    <row r="330" spans="15:23" x14ac:dyDescent="0.25">
      <c r="O330" s="147"/>
      <c r="P330" s="150">
        <f t="shared" si="31"/>
        <v>0</v>
      </c>
      <c r="Q330" s="149"/>
      <c r="R330" s="147">
        <f t="shared" si="29"/>
        <v>8429</v>
      </c>
      <c r="S330" s="150">
        <f t="shared" si="30"/>
        <v>70.24166666666666</v>
      </c>
      <c r="T330" s="149"/>
      <c r="U330" s="147">
        <v>8429</v>
      </c>
      <c r="V330" s="150">
        <f t="shared" si="32"/>
        <v>140.48333333333332</v>
      </c>
      <c r="W330" s="149"/>
    </row>
    <row r="331" spans="15:23" x14ac:dyDescent="0.25">
      <c r="O331" s="147"/>
      <c r="P331" s="150">
        <f t="shared" si="31"/>
        <v>0</v>
      </c>
      <c r="Q331" s="149"/>
      <c r="R331" s="147">
        <f t="shared" si="29"/>
        <v>8459</v>
      </c>
      <c r="S331" s="150">
        <f t="shared" si="30"/>
        <v>70.49166666666666</v>
      </c>
      <c r="T331" s="149"/>
      <c r="U331" s="147">
        <v>8459</v>
      </c>
      <c r="V331" s="150">
        <f t="shared" si="32"/>
        <v>140.98333333333332</v>
      </c>
      <c r="W331" s="149"/>
    </row>
    <row r="332" spans="15:23" x14ac:dyDescent="0.25">
      <c r="O332" s="147"/>
      <c r="P332" s="150">
        <f t="shared" si="31"/>
        <v>0</v>
      </c>
      <c r="Q332" s="149"/>
      <c r="R332" s="147">
        <f t="shared" si="29"/>
        <v>8489</v>
      </c>
      <c r="S332" s="150">
        <f t="shared" si="30"/>
        <v>70.74166666666666</v>
      </c>
      <c r="T332" s="149"/>
      <c r="U332" s="147">
        <v>8489</v>
      </c>
      <c r="V332" s="150">
        <f t="shared" si="32"/>
        <v>141.48333333333332</v>
      </c>
      <c r="W332" s="149"/>
    </row>
    <row r="333" spans="15:23" x14ac:dyDescent="0.25">
      <c r="O333" s="147"/>
      <c r="P333" s="150">
        <f t="shared" si="31"/>
        <v>0</v>
      </c>
      <c r="Q333" s="149"/>
      <c r="R333" s="147">
        <f t="shared" si="29"/>
        <v>8519</v>
      </c>
      <c r="S333" s="150">
        <f t="shared" si="30"/>
        <v>70.99166666666666</v>
      </c>
      <c r="T333" s="149"/>
      <c r="U333" s="147">
        <v>8519</v>
      </c>
      <c r="V333" s="150">
        <f t="shared" si="32"/>
        <v>141.98333333333332</v>
      </c>
      <c r="W333" s="149"/>
    </row>
    <row r="334" spans="15:23" x14ac:dyDescent="0.25">
      <c r="O334" s="147"/>
      <c r="P334" s="150">
        <f t="shared" si="31"/>
        <v>0</v>
      </c>
      <c r="Q334" s="149"/>
      <c r="R334" s="147">
        <f t="shared" si="29"/>
        <v>8549</v>
      </c>
      <c r="S334" s="150">
        <f t="shared" si="30"/>
        <v>71.24166666666666</v>
      </c>
      <c r="T334" s="149"/>
      <c r="U334" s="147">
        <v>8549</v>
      </c>
      <c r="V334" s="150">
        <f t="shared" si="32"/>
        <v>142.48333333333332</v>
      </c>
      <c r="W334" s="149"/>
    </row>
    <row r="335" spans="15:23" x14ac:dyDescent="0.25">
      <c r="O335" s="147"/>
      <c r="P335" s="150">
        <f t="shared" si="31"/>
        <v>0</v>
      </c>
      <c r="Q335" s="149"/>
      <c r="R335" s="147">
        <f t="shared" si="29"/>
        <v>8579</v>
      </c>
      <c r="S335" s="150">
        <f t="shared" si="30"/>
        <v>71.49166666666666</v>
      </c>
      <c r="T335" s="149"/>
      <c r="U335" s="147">
        <v>8579</v>
      </c>
      <c r="V335" s="150">
        <f t="shared" si="32"/>
        <v>142.98333333333332</v>
      </c>
      <c r="W335" s="149"/>
    </row>
    <row r="336" spans="15:23" x14ac:dyDescent="0.25">
      <c r="O336" s="147"/>
      <c r="P336" s="150">
        <f t="shared" si="31"/>
        <v>0</v>
      </c>
      <c r="Q336" s="149"/>
      <c r="R336" s="147">
        <f t="shared" si="29"/>
        <v>8609</v>
      </c>
      <c r="S336" s="150">
        <f t="shared" si="30"/>
        <v>71.74166666666666</v>
      </c>
      <c r="T336" s="149"/>
      <c r="U336" s="147">
        <v>8609</v>
      </c>
      <c r="V336" s="150">
        <f t="shared" si="32"/>
        <v>143.48333333333332</v>
      </c>
      <c r="W336" s="149"/>
    </row>
    <row r="337" spans="15:23" x14ac:dyDescent="0.25">
      <c r="O337" s="147"/>
      <c r="P337" s="150">
        <f t="shared" si="31"/>
        <v>0</v>
      </c>
      <c r="Q337" s="149"/>
      <c r="R337" s="147">
        <f t="shared" si="29"/>
        <v>8639</v>
      </c>
      <c r="S337" s="150">
        <f t="shared" si="30"/>
        <v>71.99166666666666</v>
      </c>
      <c r="T337" s="149"/>
      <c r="U337" s="147">
        <v>8639</v>
      </c>
      <c r="V337" s="150">
        <f t="shared" si="32"/>
        <v>143.98333333333332</v>
      </c>
      <c r="W337" s="149"/>
    </row>
    <row r="338" spans="15:23" x14ac:dyDescent="0.25">
      <c r="O338" s="147"/>
      <c r="P338" s="150">
        <f t="shared" si="31"/>
        <v>0</v>
      </c>
      <c r="Q338" s="149"/>
      <c r="R338" s="147">
        <f t="shared" si="29"/>
        <v>8669</v>
      </c>
      <c r="S338" s="150">
        <f t="shared" si="30"/>
        <v>72.24166666666666</v>
      </c>
      <c r="T338" s="149"/>
      <c r="U338" s="147">
        <v>8669</v>
      </c>
      <c r="V338" s="150">
        <f t="shared" si="32"/>
        <v>144.48333333333332</v>
      </c>
      <c r="W338" s="149"/>
    </row>
    <row r="339" spans="15:23" x14ac:dyDescent="0.25">
      <c r="O339" s="147"/>
      <c r="P339" s="150">
        <f t="shared" si="31"/>
        <v>0</v>
      </c>
      <c r="Q339" s="149"/>
      <c r="R339" s="147">
        <f t="shared" si="29"/>
        <v>8699</v>
      </c>
      <c r="S339" s="150">
        <f t="shared" si="30"/>
        <v>72.49166666666666</v>
      </c>
      <c r="T339" s="149"/>
      <c r="U339" s="147">
        <v>8699</v>
      </c>
      <c r="V339" s="150">
        <f t="shared" si="32"/>
        <v>144.98333333333332</v>
      </c>
      <c r="W339" s="149"/>
    </row>
    <row r="340" spans="15:23" x14ac:dyDescent="0.25">
      <c r="O340" s="147"/>
      <c r="P340" s="150">
        <f t="shared" si="31"/>
        <v>0</v>
      </c>
      <c r="Q340" s="149"/>
      <c r="R340" s="147">
        <f t="shared" si="29"/>
        <v>8729</v>
      </c>
      <c r="S340" s="150">
        <f t="shared" si="30"/>
        <v>72.74166666666666</v>
      </c>
      <c r="T340" s="149"/>
      <c r="U340" s="147">
        <v>8729</v>
      </c>
      <c r="V340" s="150">
        <f t="shared" si="32"/>
        <v>145.48333333333332</v>
      </c>
      <c r="W340" s="149"/>
    </row>
    <row r="341" spans="15:23" x14ac:dyDescent="0.25">
      <c r="O341" s="147"/>
      <c r="P341" s="150">
        <f t="shared" si="31"/>
        <v>0</v>
      </c>
      <c r="Q341" s="149"/>
      <c r="R341" s="147">
        <f t="shared" ref="R341:R404" si="33">AVERAGE(O341,U341)</f>
        <v>8759</v>
      </c>
      <c r="S341" s="150">
        <f t="shared" ref="S341:S404" si="34">AVERAGE(P341,V341)</f>
        <v>72.99166666666666</v>
      </c>
      <c r="T341" s="149"/>
      <c r="U341" s="147">
        <v>8759</v>
      </c>
      <c r="V341" s="150">
        <f t="shared" si="32"/>
        <v>145.98333333333332</v>
      </c>
      <c r="W341" s="149"/>
    </row>
    <row r="342" spans="15:23" x14ac:dyDescent="0.25">
      <c r="O342" s="147"/>
      <c r="P342" s="150">
        <f t="shared" ref="P342:P405" si="35">O342/60</f>
        <v>0</v>
      </c>
      <c r="Q342" s="149"/>
      <c r="R342" s="147">
        <f t="shared" si="33"/>
        <v>8789</v>
      </c>
      <c r="S342" s="150">
        <f t="shared" si="34"/>
        <v>73.24166666666666</v>
      </c>
      <c r="T342" s="149"/>
      <c r="U342" s="147">
        <v>8789</v>
      </c>
      <c r="V342" s="150">
        <f t="shared" si="32"/>
        <v>146.48333333333332</v>
      </c>
      <c r="W342" s="149"/>
    </row>
    <row r="343" spans="15:23" x14ac:dyDescent="0.25">
      <c r="O343" s="147"/>
      <c r="P343" s="150">
        <f t="shared" si="35"/>
        <v>0</v>
      </c>
      <c r="Q343" s="149"/>
      <c r="R343" s="147">
        <f t="shared" si="33"/>
        <v>8819</v>
      </c>
      <c r="S343" s="150">
        <f t="shared" si="34"/>
        <v>73.49166666666666</v>
      </c>
      <c r="T343" s="149"/>
      <c r="U343" s="147">
        <v>8819</v>
      </c>
      <c r="V343" s="150">
        <f>U343/60</f>
        <v>146.98333333333332</v>
      </c>
      <c r="W343" s="149"/>
    </row>
    <row r="344" spans="15:23" x14ac:dyDescent="0.25">
      <c r="O344" s="147"/>
      <c r="P344" s="150">
        <f t="shared" si="35"/>
        <v>0</v>
      </c>
      <c r="Q344" s="149"/>
      <c r="R344" s="147">
        <f t="shared" si="33"/>
        <v>8849</v>
      </c>
      <c r="S344" s="150">
        <f t="shared" si="34"/>
        <v>73.74166666666666</v>
      </c>
      <c r="T344" s="149"/>
      <c r="U344" s="147">
        <v>8849</v>
      </c>
      <c r="V344" s="150">
        <f t="shared" ref="V344:V404" si="36">U344/60</f>
        <v>147.48333333333332</v>
      </c>
      <c r="W344" s="149"/>
    </row>
    <row r="345" spans="15:23" x14ac:dyDescent="0.25">
      <c r="O345" s="147"/>
      <c r="P345" s="150">
        <f t="shared" si="35"/>
        <v>0</v>
      </c>
      <c r="Q345" s="149"/>
      <c r="R345" s="147">
        <f t="shared" si="33"/>
        <v>8879</v>
      </c>
      <c r="S345" s="150">
        <f t="shared" si="34"/>
        <v>73.99166666666666</v>
      </c>
      <c r="T345" s="149"/>
      <c r="U345" s="147">
        <v>8879</v>
      </c>
      <c r="V345" s="150">
        <f t="shared" si="36"/>
        <v>147.98333333333332</v>
      </c>
      <c r="W345" s="149"/>
    </row>
    <row r="346" spans="15:23" x14ac:dyDescent="0.25">
      <c r="O346" s="147"/>
      <c r="P346" s="150">
        <f t="shared" si="35"/>
        <v>0</v>
      </c>
      <c r="Q346" s="149"/>
      <c r="R346" s="147">
        <f t="shared" si="33"/>
        <v>8909</v>
      </c>
      <c r="S346" s="150">
        <f t="shared" si="34"/>
        <v>74.24166666666666</v>
      </c>
      <c r="T346" s="149"/>
      <c r="U346" s="147">
        <v>8909</v>
      </c>
      <c r="V346" s="150">
        <f t="shared" si="36"/>
        <v>148.48333333333332</v>
      </c>
      <c r="W346" s="149"/>
    </row>
    <row r="347" spans="15:23" x14ac:dyDescent="0.25">
      <c r="O347" s="147"/>
      <c r="P347" s="150">
        <f t="shared" si="35"/>
        <v>0</v>
      </c>
      <c r="Q347" s="149"/>
      <c r="R347" s="147">
        <f t="shared" si="33"/>
        <v>8939</v>
      </c>
      <c r="S347" s="150">
        <f t="shared" si="34"/>
        <v>74.49166666666666</v>
      </c>
      <c r="T347" s="149"/>
      <c r="U347" s="147">
        <v>8939</v>
      </c>
      <c r="V347" s="150">
        <f t="shared" si="36"/>
        <v>148.98333333333332</v>
      </c>
      <c r="W347" s="149"/>
    </row>
    <row r="348" spans="15:23" x14ac:dyDescent="0.25">
      <c r="O348" s="147"/>
      <c r="P348" s="150">
        <f t="shared" si="35"/>
        <v>0</v>
      </c>
      <c r="Q348" s="149"/>
      <c r="R348" s="147">
        <f t="shared" si="33"/>
        <v>8969</v>
      </c>
      <c r="S348" s="150">
        <f t="shared" si="34"/>
        <v>74.74166666666666</v>
      </c>
      <c r="T348" s="149"/>
      <c r="U348" s="147">
        <v>8969</v>
      </c>
      <c r="V348" s="150">
        <f t="shared" si="36"/>
        <v>149.48333333333332</v>
      </c>
      <c r="W348" s="149"/>
    </row>
    <row r="349" spans="15:23" x14ac:dyDescent="0.25">
      <c r="O349" s="147"/>
      <c r="P349" s="150">
        <f t="shared" si="35"/>
        <v>0</v>
      </c>
      <c r="Q349" s="149"/>
      <c r="R349" s="147">
        <f t="shared" si="33"/>
        <v>8999</v>
      </c>
      <c r="S349" s="150">
        <f t="shared" si="34"/>
        <v>74.99166666666666</v>
      </c>
      <c r="T349" s="149"/>
      <c r="U349" s="147">
        <v>8999</v>
      </c>
      <c r="V349" s="150">
        <f t="shared" si="36"/>
        <v>149.98333333333332</v>
      </c>
      <c r="W349" s="149"/>
    </row>
    <row r="350" spans="15:23" x14ac:dyDescent="0.25">
      <c r="O350" s="147"/>
      <c r="P350" s="150">
        <f t="shared" si="35"/>
        <v>0</v>
      </c>
      <c r="Q350" s="149"/>
      <c r="R350" s="147">
        <f t="shared" si="33"/>
        <v>9029</v>
      </c>
      <c r="S350" s="150">
        <f t="shared" si="34"/>
        <v>75.24166666666666</v>
      </c>
      <c r="T350" s="149"/>
      <c r="U350" s="147">
        <v>9029</v>
      </c>
      <c r="V350" s="150">
        <f t="shared" si="36"/>
        <v>150.48333333333332</v>
      </c>
      <c r="W350" s="149"/>
    </row>
    <row r="351" spans="15:23" x14ac:dyDescent="0.25">
      <c r="O351" s="147"/>
      <c r="P351" s="150">
        <f t="shared" si="35"/>
        <v>0</v>
      </c>
      <c r="Q351" s="149"/>
      <c r="R351" s="147">
        <f t="shared" si="33"/>
        <v>9059</v>
      </c>
      <c r="S351" s="150">
        <f t="shared" si="34"/>
        <v>75.49166666666666</v>
      </c>
      <c r="T351" s="149"/>
      <c r="U351" s="147">
        <v>9059</v>
      </c>
      <c r="V351" s="150">
        <f t="shared" si="36"/>
        <v>150.98333333333332</v>
      </c>
      <c r="W351" s="149"/>
    </row>
    <row r="352" spans="15:23" x14ac:dyDescent="0.25">
      <c r="O352" s="147"/>
      <c r="P352" s="150">
        <f t="shared" si="35"/>
        <v>0</v>
      </c>
      <c r="Q352" s="149"/>
      <c r="R352" s="147">
        <f t="shared" si="33"/>
        <v>9089</v>
      </c>
      <c r="S352" s="150">
        <f t="shared" si="34"/>
        <v>75.74166666666666</v>
      </c>
      <c r="T352" s="149"/>
      <c r="U352" s="147">
        <v>9089</v>
      </c>
      <c r="V352" s="150">
        <f t="shared" si="36"/>
        <v>151.48333333333332</v>
      </c>
      <c r="W352" s="149"/>
    </row>
    <row r="353" spans="15:23" x14ac:dyDescent="0.25">
      <c r="O353" s="147"/>
      <c r="P353" s="150">
        <f t="shared" si="35"/>
        <v>0</v>
      </c>
      <c r="Q353" s="149"/>
      <c r="R353" s="147">
        <f t="shared" si="33"/>
        <v>9119</v>
      </c>
      <c r="S353" s="150">
        <f t="shared" si="34"/>
        <v>75.99166666666666</v>
      </c>
      <c r="T353" s="149"/>
      <c r="U353" s="147">
        <v>9119</v>
      </c>
      <c r="V353" s="150">
        <f t="shared" si="36"/>
        <v>151.98333333333332</v>
      </c>
      <c r="W353" s="149"/>
    </row>
    <row r="354" spans="15:23" x14ac:dyDescent="0.25">
      <c r="O354" s="147"/>
      <c r="P354" s="150">
        <f t="shared" si="35"/>
        <v>0</v>
      </c>
      <c r="Q354" s="149"/>
      <c r="R354" s="147">
        <f t="shared" si="33"/>
        <v>9149</v>
      </c>
      <c r="S354" s="150">
        <f t="shared" si="34"/>
        <v>76.24166666666666</v>
      </c>
      <c r="T354" s="149"/>
      <c r="U354" s="147">
        <v>9149</v>
      </c>
      <c r="V354" s="150">
        <f t="shared" si="36"/>
        <v>152.48333333333332</v>
      </c>
      <c r="W354" s="149"/>
    </row>
    <row r="355" spans="15:23" x14ac:dyDescent="0.25">
      <c r="O355" s="147"/>
      <c r="P355" s="150">
        <f t="shared" si="35"/>
        <v>0</v>
      </c>
      <c r="Q355" s="149"/>
      <c r="R355" s="147">
        <f t="shared" si="33"/>
        <v>9179</v>
      </c>
      <c r="S355" s="150">
        <f t="shared" si="34"/>
        <v>76.49166666666666</v>
      </c>
      <c r="T355" s="149"/>
      <c r="U355" s="147">
        <v>9179</v>
      </c>
      <c r="V355" s="150">
        <f t="shared" si="36"/>
        <v>152.98333333333332</v>
      </c>
      <c r="W355" s="149"/>
    </row>
    <row r="356" spans="15:23" x14ac:dyDescent="0.25">
      <c r="O356" s="147"/>
      <c r="P356" s="150">
        <f t="shared" si="35"/>
        <v>0</v>
      </c>
      <c r="Q356" s="149"/>
      <c r="R356" s="147">
        <f t="shared" si="33"/>
        <v>9209</v>
      </c>
      <c r="S356" s="150">
        <f t="shared" si="34"/>
        <v>76.74166666666666</v>
      </c>
      <c r="T356" s="149"/>
      <c r="U356" s="147">
        <v>9209</v>
      </c>
      <c r="V356" s="150">
        <f t="shared" si="36"/>
        <v>153.48333333333332</v>
      </c>
      <c r="W356" s="149"/>
    </row>
    <row r="357" spans="15:23" x14ac:dyDescent="0.25">
      <c r="O357" s="147"/>
      <c r="P357" s="150">
        <f t="shared" si="35"/>
        <v>0</v>
      </c>
      <c r="Q357" s="149"/>
      <c r="R357" s="147">
        <f t="shared" si="33"/>
        <v>9239</v>
      </c>
      <c r="S357" s="150">
        <f t="shared" si="34"/>
        <v>76.99166666666666</v>
      </c>
      <c r="T357" s="149"/>
      <c r="U357" s="147">
        <v>9239</v>
      </c>
      <c r="V357" s="150">
        <f t="shared" si="36"/>
        <v>153.98333333333332</v>
      </c>
      <c r="W357" s="149"/>
    </row>
    <row r="358" spans="15:23" x14ac:dyDescent="0.25">
      <c r="O358" s="147"/>
      <c r="P358" s="150">
        <f t="shared" si="35"/>
        <v>0</v>
      </c>
      <c r="Q358" s="149"/>
      <c r="R358" s="147">
        <f t="shared" si="33"/>
        <v>9269</v>
      </c>
      <c r="S358" s="150">
        <f t="shared" si="34"/>
        <v>77.24166666666666</v>
      </c>
      <c r="T358" s="149"/>
      <c r="U358" s="147">
        <v>9269</v>
      </c>
      <c r="V358" s="150">
        <f t="shared" si="36"/>
        <v>154.48333333333332</v>
      </c>
      <c r="W358" s="149"/>
    </row>
    <row r="359" spans="15:23" x14ac:dyDescent="0.25">
      <c r="O359" s="147"/>
      <c r="P359" s="150">
        <f t="shared" si="35"/>
        <v>0</v>
      </c>
      <c r="Q359" s="149"/>
      <c r="R359" s="147">
        <f t="shared" si="33"/>
        <v>9299</v>
      </c>
      <c r="S359" s="150">
        <f t="shared" si="34"/>
        <v>77.49166666666666</v>
      </c>
      <c r="T359" s="149"/>
      <c r="U359" s="147">
        <v>9299</v>
      </c>
      <c r="V359" s="150">
        <f t="shared" si="36"/>
        <v>154.98333333333332</v>
      </c>
      <c r="W359" s="149"/>
    </row>
    <row r="360" spans="15:23" x14ac:dyDescent="0.25">
      <c r="O360" s="147"/>
      <c r="P360" s="150">
        <f t="shared" si="35"/>
        <v>0</v>
      </c>
      <c r="Q360" s="149"/>
      <c r="R360" s="147">
        <f t="shared" si="33"/>
        <v>9329</v>
      </c>
      <c r="S360" s="150">
        <f t="shared" si="34"/>
        <v>77.74166666666666</v>
      </c>
      <c r="T360" s="149"/>
      <c r="U360" s="147">
        <v>9329</v>
      </c>
      <c r="V360" s="150">
        <f t="shared" si="36"/>
        <v>155.48333333333332</v>
      </c>
      <c r="W360" s="149"/>
    </row>
    <row r="361" spans="15:23" x14ac:dyDescent="0.25">
      <c r="O361" s="147"/>
      <c r="P361" s="150">
        <f t="shared" si="35"/>
        <v>0</v>
      </c>
      <c r="Q361" s="149"/>
      <c r="R361" s="147">
        <f t="shared" si="33"/>
        <v>9359</v>
      </c>
      <c r="S361" s="150">
        <f t="shared" si="34"/>
        <v>77.99166666666666</v>
      </c>
      <c r="T361" s="149"/>
      <c r="U361" s="147">
        <v>9359</v>
      </c>
      <c r="V361" s="150">
        <f t="shared" si="36"/>
        <v>155.98333333333332</v>
      </c>
      <c r="W361" s="149"/>
    </row>
    <row r="362" spans="15:23" x14ac:dyDescent="0.25">
      <c r="O362" s="147"/>
      <c r="P362" s="150">
        <f t="shared" si="35"/>
        <v>0</v>
      </c>
      <c r="Q362" s="149"/>
      <c r="R362" s="147">
        <f t="shared" si="33"/>
        <v>9389</v>
      </c>
      <c r="S362" s="150">
        <f t="shared" si="34"/>
        <v>78.24166666666666</v>
      </c>
      <c r="T362" s="149"/>
      <c r="U362" s="147">
        <v>9389</v>
      </c>
      <c r="V362" s="150">
        <f t="shared" si="36"/>
        <v>156.48333333333332</v>
      </c>
      <c r="W362" s="149"/>
    </row>
    <row r="363" spans="15:23" x14ac:dyDescent="0.25">
      <c r="O363" s="147"/>
      <c r="P363" s="150">
        <f t="shared" si="35"/>
        <v>0</v>
      </c>
      <c r="Q363" s="149"/>
      <c r="R363" s="147">
        <f t="shared" si="33"/>
        <v>9419</v>
      </c>
      <c r="S363" s="150">
        <f t="shared" si="34"/>
        <v>78.49166666666666</v>
      </c>
      <c r="T363" s="149"/>
      <c r="U363" s="147">
        <v>9419</v>
      </c>
      <c r="V363" s="150">
        <f t="shared" si="36"/>
        <v>156.98333333333332</v>
      </c>
      <c r="W363" s="149"/>
    </row>
    <row r="364" spans="15:23" x14ac:dyDescent="0.25">
      <c r="O364" s="147"/>
      <c r="P364" s="150">
        <f t="shared" si="35"/>
        <v>0</v>
      </c>
      <c r="Q364" s="149"/>
      <c r="R364" s="147">
        <f t="shared" si="33"/>
        <v>9449</v>
      </c>
      <c r="S364" s="150">
        <f t="shared" si="34"/>
        <v>78.74166666666666</v>
      </c>
      <c r="T364" s="149"/>
      <c r="U364" s="147">
        <v>9449</v>
      </c>
      <c r="V364" s="150">
        <f t="shared" si="36"/>
        <v>157.48333333333332</v>
      </c>
      <c r="W364" s="149"/>
    </row>
    <row r="365" spans="15:23" x14ac:dyDescent="0.25">
      <c r="O365" s="147"/>
      <c r="P365" s="150">
        <f t="shared" si="35"/>
        <v>0</v>
      </c>
      <c r="Q365" s="149"/>
      <c r="R365" s="147">
        <f t="shared" si="33"/>
        <v>9479</v>
      </c>
      <c r="S365" s="150">
        <f t="shared" si="34"/>
        <v>78.99166666666666</v>
      </c>
      <c r="T365" s="149"/>
      <c r="U365" s="147">
        <v>9479</v>
      </c>
      <c r="V365" s="150">
        <f t="shared" si="36"/>
        <v>157.98333333333332</v>
      </c>
      <c r="W365" s="149"/>
    </row>
    <row r="366" spans="15:23" x14ac:dyDescent="0.25">
      <c r="O366" s="147"/>
      <c r="P366" s="150">
        <f t="shared" si="35"/>
        <v>0</v>
      </c>
      <c r="Q366" s="149"/>
      <c r="R366" s="147">
        <f t="shared" si="33"/>
        <v>9509</v>
      </c>
      <c r="S366" s="150">
        <f t="shared" si="34"/>
        <v>79.24166666666666</v>
      </c>
      <c r="T366" s="149"/>
      <c r="U366" s="147">
        <v>9509</v>
      </c>
      <c r="V366" s="150">
        <f t="shared" si="36"/>
        <v>158.48333333333332</v>
      </c>
      <c r="W366" s="149"/>
    </row>
    <row r="367" spans="15:23" x14ac:dyDescent="0.25">
      <c r="O367" s="147"/>
      <c r="P367" s="150">
        <f t="shared" si="35"/>
        <v>0</v>
      </c>
      <c r="Q367" s="149"/>
      <c r="R367" s="147">
        <f t="shared" si="33"/>
        <v>9539</v>
      </c>
      <c r="S367" s="150">
        <f t="shared" si="34"/>
        <v>79.49166666666666</v>
      </c>
      <c r="T367" s="149"/>
      <c r="U367" s="147">
        <v>9539</v>
      </c>
      <c r="V367" s="150">
        <f t="shared" si="36"/>
        <v>158.98333333333332</v>
      </c>
      <c r="W367" s="149"/>
    </row>
    <row r="368" spans="15:23" x14ac:dyDescent="0.25">
      <c r="O368" s="147"/>
      <c r="P368" s="150">
        <f t="shared" si="35"/>
        <v>0</v>
      </c>
      <c r="Q368" s="149"/>
      <c r="R368" s="147">
        <f t="shared" si="33"/>
        <v>9569</v>
      </c>
      <c r="S368" s="150">
        <f t="shared" si="34"/>
        <v>79.74166666666666</v>
      </c>
      <c r="T368" s="149"/>
      <c r="U368" s="147">
        <v>9569</v>
      </c>
      <c r="V368" s="150">
        <f t="shared" si="36"/>
        <v>159.48333333333332</v>
      </c>
      <c r="W368" s="149"/>
    </row>
    <row r="369" spans="15:23" x14ac:dyDescent="0.25">
      <c r="O369" s="147"/>
      <c r="P369" s="150">
        <f t="shared" si="35"/>
        <v>0</v>
      </c>
      <c r="Q369" s="149"/>
      <c r="R369" s="147">
        <f t="shared" si="33"/>
        <v>9599</v>
      </c>
      <c r="S369" s="150">
        <f t="shared" si="34"/>
        <v>79.99166666666666</v>
      </c>
      <c r="T369" s="149"/>
      <c r="U369" s="147">
        <v>9599</v>
      </c>
      <c r="V369" s="150">
        <f t="shared" si="36"/>
        <v>159.98333333333332</v>
      </c>
      <c r="W369" s="149"/>
    </row>
    <row r="370" spans="15:23" x14ac:dyDescent="0.25">
      <c r="O370" s="147"/>
      <c r="P370" s="150">
        <f t="shared" si="35"/>
        <v>0</v>
      </c>
      <c r="Q370" s="149"/>
      <c r="R370" s="147">
        <f t="shared" si="33"/>
        <v>9629</v>
      </c>
      <c r="S370" s="150">
        <f t="shared" si="34"/>
        <v>80.24166666666666</v>
      </c>
      <c r="T370" s="149"/>
      <c r="U370" s="147">
        <v>9629</v>
      </c>
      <c r="V370" s="150">
        <f t="shared" si="36"/>
        <v>160.48333333333332</v>
      </c>
      <c r="W370" s="149"/>
    </row>
    <row r="371" spans="15:23" x14ac:dyDescent="0.25">
      <c r="O371" s="147"/>
      <c r="P371" s="150">
        <f t="shared" si="35"/>
        <v>0</v>
      </c>
      <c r="Q371" s="149"/>
      <c r="R371" s="147">
        <f t="shared" si="33"/>
        <v>9659</v>
      </c>
      <c r="S371" s="150">
        <f t="shared" si="34"/>
        <v>80.49166666666666</v>
      </c>
      <c r="T371" s="149"/>
      <c r="U371" s="147">
        <v>9659</v>
      </c>
      <c r="V371" s="150">
        <f t="shared" si="36"/>
        <v>160.98333333333332</v>
      </c>
      <c r="W371" s="149"/>
    </row>
    <row r="372" spans="15:23" x14ac:dyDescent="0.25">
      <c r="O372" s="147"/>
      <c r="P372" s="150">
        <f t="shared" si="35"/>
        <v>0</v>
      </c>
      <c r="Q372" s="149"/>
      <c r="R372" s="147">
        <f t="shared" si="33"/>
        <v>9689</v>
      </c>
      <c r="S372" s="150">
        <f t="shared" si="34"/>
        <v>80.74166666666666</v>
      </c>
      <c r="T372" s="149"/>
      <c r="U372" s="147">
        <v>9689</v>
      </c>
      <c r="V372" s="150">
        <f t="shared" si="36"/>
        <v>161.48333333333332</v>
      </c>
      <c r="W372" s="149"/>
    </row>
    <row r="373" spans="15:23" x14ac:dyDescent="0.25">
      <c r="O373" s="147"/>
      <c r="P373" s="150">
        <f t="shared" si="35"/>
        <v>0</v>
      </c>
      <c r="Q373" s="149"/>
      <c r="R373" s="147">
        <f t="shared" si="33"/>
        <v>9719</v>
      </c>
      <c r="S373" s="150">
        <f t="shared" si="34"/>
        <v>80.99166666666666</v>
      </c>
      <c r="T373" s="149"/>
      <c r="U373" s="147">
        <v>9719</v>
      </c>
      <c r="V373" s="150">
        <f t="shared" si="36"/>
        <v>161.98333333333332</v>
      </c>
      <c r="W373" s="149"/>
    </row>
    <row r="374" spans="15:23" x14ac:dyDescent="0.25">
      <c r="O374" s="147"/>
      <c r="P374" s="150">
        <f t="shared" si="35"/>
        <v>0</v>
      </c>
      <c r="Q374" s="149"/>
      <c r="R374" s="147">
        <f t="shared" si="33"/>
        <v>9749</v>
      </c>
      <c r="S374" s="150">
        <f t="shared" si="34"/>
        <v>81.24166666666666</v>
      </c>
      <c r="T374" s="149"/>
      <c r="U374" s="147">
        <v>9749</v>
      </c>
      <c r="V374" s="150">
        <f t="shared" si="36"/>
        <v>162.48333333333332</v>
      </c>
      <c r="W374" s="149"/>
    </row>
    <row r="375" spans="15:23" x14ac:dyDescent="0.25">
      <c r="O375" s="147"/>
      <c r="P375" s="150">
        <f t="shared" si="35"/>
        <v>0</v>
      </c>
      <c r="Q375" s="149"/>
      <c r="R375" s="147">
        <f t="shared" si="33"/>
        <v>9779</v>
      </c>
      <c r="S375" s="150">
        <f t="shared" si="34"/>
        <v>81.49166666666666</v>
      </c>
      <c r="T375" s="149"/>
      <c r="U375" s="147">
        <v>9779</v>
      </c>
      <c r="V375" s="150">
        <f t="shared" si="36"/>
        <v>162.98333333333332</v>
      </c>
      <c r="W375" s="149"/>
    </row>
    <row r="376" spans="15:23" x14ac:dyDescent="0.25">
      <c r="O376" s="147"/>
      <c r="P376" s="150">
        <f t="shared" si="35"/>
        <v>0</v>
      </c>
      <c r="Q376" s="149"/>
      <c r="R376" s="147">
        <f t="shared" si="33"/>
        <v>9809</v>
      </c>
      <c r="S376" s="150">
        <f t="shared" si="34"/>
        <v>81.74166666666666</v>
      </c>
      <c r="T376" s="149"/>
      <c r="U376" s="147">
        <v>9809</v>
      </c>
      <c r="V376" s="150">
        <f t="shared" si="36"/>
        <v>163.48333333333332</v>
      </c>
      <c r="W376" s="149"/>
    </row>
    <row r="377" spans="15:23" x14ac:dyDescent="0.25">
      <c r="O377" s="147"/>
      <c r="P377" s="150">
        <f t="shared" si="35"/>
        <v>0</v>
      </c>
      <c r="Q377" s="149"/>
      <c r="R377" s="147">
        <f t="shared" si="33"/>
        <v>9839</v>
      </c>
      <c r="S377" s="150">
        <f t="shared" si="34"/>
        <v>81.99166666666666</v>
      </c>
      <c r="T377" s="149"/>
      <c r="U377" s="147">
        <v>9839</v>
      </c>
      <c r="V377" s="150">
        <f t="shared" si="36"/>
        <v>163.98333333333332</v>
      </c>
      <c r="W377" s="149"/>
    </row>
    <row r="378" spans="15:23" x14ac:dyDescent="0.25">
      <c r="O378" s="147"/>
      <c r="P378" s="150">
        <f t="shared" si="35"/>
        <v>0</v>
      </c>
      <c r="Q378" s="149"/>
      <c r="R378" s="147">
        <f t="shared" si="33"/>
        <v>9869</v>
      </c>
      <c r="S378" s="150">
        <f t="shared" si="34"/>
        <v>82.24166666666666</v>
      </c>
      <c r="T378" s="149"/>
      <c r="U378" s="147">
        <v>9869</v>
      </c>
      <c r="V378" s="150">
        <f t="shared" si="36"/>
        <v>164.48333333333332</v>
      </c>
      <c r="W378" s="149"/>
    </row>
    <row r="379" spans="15:23" x14ac:dyDescent="0.25">
      <c r="O379" s="147"/>
      <c r="P379" s="150">
        <f t="shared" si="35"/>
        <v>0</v>
      </c>
      <c r="Q379" s="149"/>
      <c r="R379" s="147">
        <f t="shared" si="33"/>
        <v>9899</v>
      </c>
      <c r="S379" s="150">
        <f t="shared" si="34"/>
        <v>82.49166666666666</v>
      </c>
      <c r="T379" s="149"/>
      <c r="U379" s="147">
        <v>9899</v>
      </c>
      <c r="V379" s="150">
        <f t="shared" si="36"/>
        <v>164.98333333333332</v>
      </c>
      <c r="W379" s="149"/>
    </row>
    <row r="380" spans="15:23" x14ac:dyDescent="0.25">
      <c r="O380" s="147"/>
      <c r="P380" s="150">
        <f t="shared" si="35"/>
        <v>0</v>
      </c>
      <c r="Q380" s="149"/>
      <c r="R380" s="147">
        <f t="shared" si="33"/>
        <v>9929</v>
      </c>
      <c r="S380" s="150">
        <f t="shared" si="34"/>
        <v>82.74166666666666</v>
      </c>
      <c r="T380" s="149"/>
      <c r="U380" s="147">
        <v>9929</v>
      </c>
      <c r="V380" s="150">
        <f t="shared" si="36"/>
        <v>165.48333333333332</v>
      </c>
      <c r="W380" s="149"/>
    </row>
    <row r="381" spans="15:23" x14ac:dyDescent="0.25">
      <c r="O381" s="147"/>
      <c r="P381" s="150">
        <f t="shared" si="35"/>
        <v>0</v>
      </c>
      <c r="Q381" s="149"/>
      <c r="R381" s="147">
        <f t="shared" si="33"/>
        <v>9959</v>
      </c>
      <c r="S381" s="150">
        <f t="shared" si="34"/>
        <v>82.99166666666666</v>
      </c>
      <c r="T381" s="149"/>
      <c r="U381" s="147">
        <v>9959</v>
      </c>
      <c r="V381" s="150">
        <f t="shared" si="36"/>
        <v>165.98333333333332</v>
      </c>
      <c r="W381" s="149"/>
    </row>
    <row r="382" spans="15:23" x14ac:dyDescent="0.25">
      <c r="O382" s="147"/>
      <c r="P382" s="150">
        <f t="shared" si="35"/>
        <v>0</v>
      </c>
      <c r="Q382" s="149"/>
      <c r="R382" s="147">
        <f t="shared" si="33"/>
        <v>9989</v>
      </c>
      <c r="S382" s="150">
        <f t="shared" si="34"/>
        <v>83.24166666666666</v>
      </c>
      <c r="T382" s="149"/>
      <c r="U382" s="147">
        <v>9989</v>
      </c>
      <c r="V382" s="150">
        <f t="shared" si="36"/>
        <v>166.48333333333332</v>
      </c>
      <c r="W382" s="149"/>
    </row>
    <row r="383" spans="15:23" x14ac:dyDescent="0.25">
      <c r="O383" s="147"/>
      <c r="P383" s="150">
        <f t="shared" si="35"/>
        <v>0</v>
      </c>
      <c r="Q383" s="149"/>
      <c r="R383" s="147">
        <f t="shared" si="33"/>
        <v>10019</v>
      </c>
      <c r="S383" s="150">
        <f t="shared" si="34"/>
        <v>83.49166666666666</v>
      </c>
      <c r="T383" s="149"/>
      <c r="U383" s="147">
        <v>10019</v>
      </c>
      <c r="V383" s="150">
        <f t="shared" si="36"/>
        <v>166.98333333333332</v>
      </c>
      <c r="W383" s="149"/>
    </row>
    <row r="384" spans="15:23" x14ac:dyDescent="0.25">
      <c r="O384" s="147"/>
      <c r="P384" s="150">
        <f t="shared" si="35"/>
        <v>0</v>
      </c>
      <c r="Q384" s="149"/>
      <c r="R384" s="147">
        <f t="shared" si="33"/>
        <v>10049</v>
      </c>
      <c r="S384" s="150">
        <f t="shared" si="34"/>
        <v>83.74166666666666</v>
      </c>
      <c r="T384" s="149"/>
      <c r="U384" s="147">
        <v>10049</v>
      </c>
      <c r="V384" s="150">
        <f t="shared" si="36"/>
        <v>167.48333333333332</v>
      </c>
      <c r="W384" s="149"/>
    </row>
    <row r="385" spans="15:23" x14ac:dyDescent="0.25">
      <c r="O385" s="147"/>
      <c r="P385" s="150">
        <f t="shared" si="35"/>
        <v>0</v>
      </c>
      <c r="Q385" s="149"/>
      <c r="R385" s="147">
        <f t="shared" si="33"/>
        <v>10079</v>
      </c>
      <c r="S385" s="150">
        <f t="shared" si="34"/>
        <v>83.99166666666666</v>
      </c>
      <c r="T385" s="149"/>
      <c r="U385" s="147">
        <v>10079</v>
      </c>
      <c r="V385" s="150">
        <f t="shared" si="36"/>
        <v>167.98333333333332</v>
      </c>
      <c r="W385" s="149"/>
    </row>
    <row r="386" spans="15:23" x14ac:dyDescent="0.25">
      <c r="O386" s="147"/>
      <c r="P386" s="150">
        <f t="shared" si="35"/>
        <v>0</v>
      </c>
      <c r="Q386" s="149"/>
      <c r="R386" s="147">
        <f t="shared" si="33"/>
        <v>10109</v>
      </c>
      <c r="S386" s="150">
        <f t="shared" si="34"/>
        <v>84.24166666666666</v>
      </c>
      <c r="T386" s="149"/>
      <c r="U386" s="147">
        <v>10109</v>
      </c>
      <c r="V386" s="150">
        <f t="shared" si="36"/>
        <v>168.48333333333332</v>
      </c>
      <c r="W386" s="149"/>
    </row>
    <row r="387" spans="15:23" x14ac:dyDescent="0.25">
      <c r="O387" s="147"/>
      <c r="P387" s="150">
        <f t="shared" si="35"/>
        <v>0</v>
      </c>
      <c r="Q387" s="149"/>
      <c r="R387" s="147">
        <f t="shared" si="33"/>
        <v>10139</v>
      </c>
      <c r="S387" s="150">
        <f t="shared" si="34"/>
        <v>84.49166666666666</v>
      </c>
      <c r="T387" s="149"/>
      <c r="U387" s="147">
        <v>10139</v>
      </c>
      <c r="V387" s="150">
        <f t="shared" si="36"/>
        <v>168.98333333333332</v>
      </c>
      <c r="W387" s="149"/>
    </row>
    <row r="388" spans="15:23" x14ac:dyDescent="0.25">
      <c r="O388" s="147"/>
      <c r="P388" s="150">
        <f t="shared" si="35"/>
        <v>0</v>
      </c>
      <c r="Q388" s="149"/>
      <c r="R388" s="147">
        <f t="shared" si="33"/>
        <v>10169</v>
      </c>
      <c r="S388" s="150">
        <f t="shared" si="34"/>
        <v>84.74166666666666</v>
      </c>
      <c r="T388" s="149"/>
      <c r="U388" s="147">
        <v>10169</v>
      </c>
      <c r="V388" s="150">
        <f t="shared" si="36"/>
        <v>169.48333333333332</v>
      </c>
      <c r="W388" s="149"/>
    </row>
    <row r="389" spans="15:23" x14ac:dyDescent="0.25">
      <c r="O389" s="147"/>
      <c r="P389" s="150">
        <f t="shared" si="35"/>
        <v>0</v>
      </c>
      <c r="Q389" s="149"/>
      <c r="R389" s="147">
        <f t="shared" si="33"/>
        <v>10199</v>
      </c>
      <c r="S389" s="150">
        <f t="shared" si="34"/>
        <v>84.99166666666666</v>
      </c>
      <c r="T389" s="149"/>
      <c r="U389" s="147">
        <v>10199</v>
      </c>
      <c r="V389" s="150">
        <f t="shared" si="36"/>
        <v>169.98333333333332</v>
      </c>
      <c r="W389" s="149"/>
    </row>
    <row r="390" spans="15:23" x14ac:dyDescent="0.25">
      <c r="O390" s="147"/>
      <c r="P390" s="150">
        <f t="shared" si="35"/>
        <v>0</v>
      </c>
      <c r="Q390" s="149"/>
      <c r="R390" s="147">
        <f t="shared" si="33"/>
        <v>10229</v>
      </c>
      <c r="S390" s="150">
        <f t="shared" si="34"/>
        <v>85.24166666666666</v>
      </c>
      <c r="T390" s="149"/>
      <c r="U390" s="147">
        <v>10229</v>
      </c>
      <c r="V390" s="150">
        <f t="shared" si="36"/>
        <v>170.48333333333332</v>
      </c>
      <c r="W390" s="149"/>
    </row>
    <row r="391" spans="15:23" x14ac:dyDescent="0.25">
      <c r="O391" s="147"/>
      <c r="P391" s="150">
        <f t="shared" si="35"/>
        <v>0</v>
      </c>
      <c r="Q391" s="149"/>
      <c r="R391" s="147">
        <f t="shared" si="33"/>
        <v>10259</v>
      </c>
      <c r="S391" s="150">
        <f t="shared" si="34"/>
        <v>85.49166666666666</v>
      </c>
      <c r="T391" s="149"/>
      <c r="U391" s="147">
        <v>10259</v>
      </c>
      <c r="V391" s="150">
        <f t="shared" si="36"/>
        <v>170.98333333333332</v>
      </c>
      <c r="W391" s="149"/>
    </row>
    <row r="392" spans="15:23" x14ac:dyDescent="0.25">
      <c r="O392" s="147"/>
      <c r="P392" s="150">
        <f t="shared" si="35"/>
        <v>0</v>
      </c>
      <c r="Q392" s="149"/>
      <c r="R392" s="147">
        <f t="shared" si="33"/>
        <v>10289</v>
      </c>
      <c r="S392" s="150">
        <f t="shared" si="34"/>
        <v>85.74166666666666</v>
      </c>
      <c r="T392" s="149"/>
      <c r="U392" s="147">
        <v>10289</v>
      </c>
      <c r="V392" s="150">
        <f t="shared" si="36"/>
        <v>171.48333333333332</v>
      </c>
      <c r="W392" s="149"/>
    </row>
    <row r="393" spans="15:23" x14ac:dyDescent="0.25">
      <c r="O393" s="147"/>
      <c r="P393" s="150">
        <f t="shared" si="35"/>
        <v>0</v>
      </c>
      <c r="Q393" s="149"/>
      <c r="R393" s="147">
        <f t="shared" si="33"/>
        <v>10319</v>
      </c>
      <c r="S393" s="150">
        <f t="shared" si="34"/>
        <v>85.99166666666666</v>
      </c>
      <c r="T393" s="149"/>
      <c r="U393" s="147">
        <v>10319</v>
      </c>
      <c r="V393" s="150">
        <f t="shared" si="36"/>
        <v>171.98333333333332</v>
      </c>
      <c r="W393" s="149"/>
    </row>
    <row r="394" spans="15:23" x14ac:dyDescent="0.25">
      <c r="O394" s="147"/>
      <c r="P394" s="150">
        <f t="shared" si="35"/>
        <v>0</v>
      </c>
      <c r="Q394" s="149"/>
      <c r="R394" s="147">
        <f t="shared" si="33"/>
        <v>10349</v>
      </c>
      <c r="S394" s="150">
        <f t="shared" si="34"/>
        <v>86.24166666666666</v>
      </c>
      <c r="T394" s="149"/>
      <c r="U394" s="147">
        <v>10349</v>
      </c>
      <c r="V394" s="150">
        <f t="shared" si="36"/>
        <v>172.48333333333332</v>
      </c>
      <c r="W394" s="149"/>
    </row>
    <row r="395" spans="15:23" x14ac:dyDescent="0.25">
      <c r="O395" s="147"/>
      <c r="P395" s="150">
        <f t="shared" si="35"/>
        <v>0</v>
      </c>
      <c r="Q395" s="149"/>
      <c r="R395" s="147">
        <f t="shared" si="33"/>
        <v>10379</v>
      </c>
      <c r="S395" s="150">
        <f t="shared" si="34"/>
        <v>86.49166666666666</v>
      </c>
      <c r="T395" s="149"/>
      <c r="U395" s="147">
        <v>10379</v>
      </c>
      <c r="V395" s="150">
        <f t="shared" si="36"/>
        <v>172.98333333333332</v>
      </c>
      <c r="W395" s="149"/>
    </row>
    <row r="396" spans="15:23" x14ac:dyDescent="0.25">
      <c r="O396" s="147"/>
      <c r="P396" s="150">
        <f t="shared" si="35"/>
        <v>0</v>
      </c>
      <c r="Q396" s="149"/>
      <c r="R396" s="147">
        <f t="shared" si="33"/>
        <v>10409</v>
      </c>
      <c r="S396" s="150">
        <f t="shared" si="34"/>
        <v>86.74166666666666</v>
      </c>
      <c r="T396" s="149"/>
      <c r="U396" s="147">
        <v>10409</v>
      </c>
      <c r="V396" s="150">
        <f t="shared" si="36"/>
        <v>173.48333333333332</v>
      </c>
      <c r="W396" s="149"/>
    </row>
    <row r="397" spans="15:23" x14ac:dyDescent="0.25">
      <c r="O397" s="147"/>
      <c r="P397" s="150">
        <f t="shared" si="35"/>
        <v>0</v>
      </c>
      <c r="Q397" s="149"/>
      <c r="R397" s="147">
        <f t="shared" si="33"/>
        <v>10439</v>
      </c>
      <c r="S397" s="150">
        <f t="shared" si="34"/>
        <v>86.99166666666666</v>
      </c>
      <c r="T397" s="149"/>
      <c r="U397" s="147">
        <v>10439</v>
      </c>
      <c r="V397" s="150">
        <f t="shared" si="36"/>
        <v>173.98333333333332</v>
      </c>
      <c r="W397" s="149"/>
    </row>
    <row r="398" spans="15:23" x14ac:dyDescent="0.25">
      <c r="O398" s="147"/>
      <c r="P398" s="150">
        <f t="shared" si="35"/>
        <v>0</v>
      </c>
      <c r="Q398" s="149"/>
      <c r="R398" s="147">
        <f t="shared" si="33"/>
        <v>10469</v>
      </c>
      <c r="S398" s="150">
        <f t="shared" si="34"/>
        <v>87.24166666666666</v>
      </c>
      <c r="T398" s="149"/>
      <c r="U398" s="147">
        <v>10469</v>
      </c>
      <c r="V398" s="150">
        <f t="shared" si="36"/>
        <v>174.48333333333332</v>
      </c>
      <c r="W398" s="149"/>
    </row>
    <row r="399" spans="15:23" x14ac:dyDescent="0.25">
      <c r="O399" s="147"/>
      <c r="P399" s="150">
        <f t="shared" si="35"/>
        <v>0</v>
      </c>
      <c r="Q399" s="149"/>
      <c r="R399" s="147">
        <f t="shared" si="33"/>
        <v>10499</v>
      </c>
      <c r="S399" s="150">
        <f t="shared" si="34"/>
        <v>87.49166666666666</v>
      </c>
      <c r="T399" s="149"/>
      <c r="U399" s="147">
        <v>10499</v>
      </c>
      <c r="V399" s="150">
        <f t="shared" si="36"/>
        <v>174.98333333333332</v>
      </c>
      <c r="W399" s="149"/>
    </row>
    <row r="400" spans="15:23" x14ac:dyDescent="0.25">
      <c r="O400" s="147"/>
      <c r="P400" s="150">
        <f t="shared" si="35"/>
        <v>0</v>
      </c>
      <c r="Q400" s="149"/>
      <c r="R400" s="147">
        <f t="shared" si="33"/>
        <v>10529</v>
      </c>
      <c r="S400" s="150">
        <f t="shared" si="34"/>
        <v>87.74166666666666</v>
      </c>
      <c r="T400" s="149"/>
      <c r="U400" s="147">
        <v>10529</v>
      </c>
      <c r="V400" s="150">
        <f t="shared" si="36"/>
        <v>175.48333333333332</v>
      </c>
      <c r="W400" s="149"/>
    </row>
    <row r="401" spans="15:23" x14ac:dyDescent="0.25">
      <c r="O401" s="147"/>
      <c r="P401" s="150">
        <f t="shared" si="35"/>
        <v>0</v>
      </c>
      <c r="Q401" s="149"/>
      <c r="R401" s="147">
        <f t="shared" si="33"/>
        <v>10559</v>
      </c>
      <c r="S401" s="150">
        <f t="shared" si="34"/>
        <v>87.99166666666666</v>
      </c>
      <c r="T401" s="149"/>
      <c r="U401" s="147">
        <v>10559</v>
      </c>
      <c r="V401" s="150">
        <f t="shared" si="36"/>
        <v>175.98333333333332</v>
      </c>
      <c r="W401" s="149"/>
    </row>
    <row r="402" spans="15:23" x14ac:dyDescent="0.25">
      <c r="O402" s="147"/>
      <c r="P402" s="150">
        <f t="shared" si="35"/>
        <v>0</v>
      </c>
      <c r="Q402" s="149"/>
      <c r="R402" s="147">
        <f t="shared" si="33"/>
        <v>10589</v>
      </c>
      <c r="S402" s="150">
        <f t="shared" si="34"/>
        <v>88.24166666666666</v>
      </c>
      <c r="T402" s="149"/>
      <c r="U402" s="147">
        <v>10589</v>
      </c>
      <c r="V402" s="150">
        <f t="shared" si="36"/>
        <v>176.48333333333332</v>
      </c>
      <c r="W402" s="149"/>
    </row>
    <row r="403" spans="15:23" x14ac:dyDescent="0.25">
      <c r="O403" s="147"/>
      <c r="P403" s="150">
        <f t="shared" si="35"/>
        <v>0</v>
      </c>
      <c r="Q403" s="149"/>
      <c r="R403" s="147">
        <f t="shared" si="33"/>
        <v>10619</v>
      </c>
      <c r="S403" s="150">
        <f t="shared" si="34"/>
        <v>88.49166666666666</v>
      </c>
      <c r="T403" s="149"/>
      <c r="U403" s="147">
        <v>10619</v>
      </c>
      <c r="V403" s="150">
        <f t="shared" si="36"/>
        <v>176.98333333333332</v>
      </c>
      <c r="W403" s="149"/>
    </row>
    <row r="404" spans="15:23" x14ac:dyDescent="0.25">
      <c r="O404" s="147"/>
      <c r="P404" s="150">
        <f t="shared" si="35"/>
        <v>0</v>
      </c>
      <c r="Q404" s="149"/>
      <c r="R404" s="147">
        <f t="shared" si="33"/>
        <v>10649</v>
      </c>
      <c r="S404" s="150">
        <f t="shared" si="34"/>
        <v>88.74166666666666</v>
      </c>
      <c r="T404" s="149"/>
      <c r="U404" s="147">
        <v>10649</v>
      </c>
      <c r="V404" s="150">
        <f t="shared" si="36"/>
        <v>177.48333333333332</v>
      </c>
      <c r="W404" s="149"/>
    </row>
    <row r="405" spans="15:23" x14ac:dyDescent="0.25">
      <c r="O405" s="147"/>
      <c r="P405" s="150">
        <f t="shared" si="35"/>
        <v>0</v>
      </c>
      <c r="Q405" s="149"/>
      <c r="R405" s="147">
        <f t="shared" ref="R405:R468" si="37">AVERAGE(O405,U405)</f>
        <v>10679</v>
      </c>
      <c r="S405" s="150">
        <f t="shared" ref="S405:S468" si="38">AVERAGE(P405,V405)</f>
        <v>88.99166666666666</v>
      </c>
      <c r="T405" s="149"/>
      <c r="U405" s="147">
        <v>10679</v>
      </c>
      <c r="V405" s="150">
        <f t="shared" ref="V405:V468" si="39">U405/60</f>
        <v>177.98333333333332</v>
      </c>
      <c r="W405" s="149"/>
    </row>
    <row r="406" spans="15:23" x14ac:dyDescent="0.25">
      <c r="O406" s="147"/>
      <c r="P406" s="150">
        <f t="shared" ref="P406:P469" si="40">O406/60</f>
        <v>0</v>
      </c>
      <c r="Q406" s="149"/>
      <c r="R406" s="147">
        <f t="shared" si="37"/>
        <v>10709</v>
      </c>
      <c r="S406" s="150">
        <f t="shared" si="38"/>
        <v>89.24166666666666</v>
      </c>
      <c r="T406" s="149"/>
      <c r="U406" s="147">
        <v>10709</v>
      </c>
      <c r="V406" s="150">
        <f t="shared" si="39"/>
        <v>178.48333333333332</v>
      </c>
      <c r="W406" s="149"/>
    </row>
    <row r="407" spans="15:23" x14ac:dyDescent="0.25">
      <c r="O407" s="147"/>
      <c r="P407" s="150">
        <f t="shared" si="40"/>
        <v>0</v>
      </c>
      <c r="Q407" s="149"/>
      <c r="R407" s="147">
        <f t="shared" si="37"/>
        <v>10739</v>
      </c>
      <c r="S407" s="150">
        <f t="shared" si="38"/>
        <v>89.49166666666666</v>
      </c>
      <c r="T407" s="149"/>
      <c r="U407" s="147">
        <v>10739</v>
      </c>
      <c r="V407" s="150">
        <f t="shared" si="39"/>
        <v>178.98333333333332</v>
      </c>
      <c r="W407" s="149"/>
    </row>
    <row r="408" spans="15:23" x14ac:dyDescent="0.25">
      <c r="O408" s="147"/>
      <c r="P408" s="150">
        <f t="shared" si="40"/>
        <v>0</v>
      </c>
      <c r="Q408" s="149"/>
      <c r="R408" s="147">
        <f t="shared" si="37"/>
        <v>10769</v>
      </c>
      <c r="S408" s="150">
        <f t="shared" si="38"/>
        <v>89.74166666666666</v>
      </c>
      <c r="T408" s="149"/>
      <c r="U408" s="147">
        <v>10769</v>
      </c>
      <c r="V408" s="150">
        <f t="shared" si="39"/>
        <v>179.48333333333332</v>
      </c>
      <c r="W408" s="149"/>
    </row>
    <row r="409" spans="15:23" x14ac:dyDescent="0.25">
      <c r="O409" s="147"/>
      <c r="P409" s="150">
        <f t="shared" si="40"/>
        <v>0</v>
      </c>
      <c r="Q409" s="149"/>
      <c r="R409" s="147">
        <f t="shared" si="37"/>
        <v>10799</v>
      </c>
      <c r="S409" s="150">
        <f t="shared" si="38"/>
        <v>89.99166666666666</v>
      </c>
      <c r="T409" s="149"/>
      <c r="U409" s="147">
        <v>10799</v>
      </c>
      <c r="V409" s="150">
        <f t="shared" si="39"/>
        <v>179.98333333333332</v>
      </c>
      <c r="W409" s="149"/>
    </row>
    <row r="410" spans="15:23" x14ac:dyDescent="0.25">
      <c r="O410" s="147"/>
      <c r="P410" s="150">
        <f t="shared" si="40"/>
        <v>0</v>
      </c>
      <c r="Q410" s="149"/>
      <c r="R410" s="147">
        <f t="shared" si="37"/>
        <v>10829</v>
      </c>
      <c r="S410" s="150">
        <f t="shared" si="38"/>
        <v>90.24166666666666</v>
      </c>
      <c r="T410" s="149"/>
      <c r="U410" s="147">
        <v>10829</v>
      </c>
      <c r="V410" s="150">
        <f t="shared" si="39"/>
        <v>180.48333333333332</v>
      </c>
      <c r="W410" s="149"/>
    </row>
    <row r="411" spans="15:23" x14ac:dyDescent="0.25">
      <c r="O411" s="147"/>
      <c r="P411" s="150">
        <f t="shared" si="40"/>
        <v>0</v>
      </c>
      <c r="Q411" s="149"/>
      <c r="R411" s="147">
        <f t="shared" si="37"/>
        <v>10859</v>
      </c>
      <c r="S411" s="150">
        <f t="shared" si="38"/>
        <v>90.49166666666666</v>
      </c>
      <c r="T411" s="149"/>
      <c r="U411" s="147">
        <v>10859</v>
      </c>
      <c r="V411" s="150">
        <f t="shared" si="39"/>
        <v>180.98333333333332</v>
      </c>
      <c r="W411" s="149"/>
    </row>
    <row r="412" spans="15:23" x14ac:dyDescent="0.25">
      <c r="O412" s="147"/>
      <c r="P412" s="150">
        <f t="shared" si="40"/>
        <v>0</v>
      </c>
      <c r="Q412" s="149"/>
      <c r="R412" s="147">
        <f t="shared" si="37"/>
        <v>10889</v>
      </c>
      <c r="S412" s="150">
        <f t="shared" si="38"/>
        <v>90.74166666666666</v>
      </c>
      <c r="T412" s="149"/>
      <c r="U412" s="147">
        <v>10889</v>
      </c>
      <c r="V412" s="150">
        <f t="shared" si="39"/>
        <v>181.48333333333332</v>
      </c>
      <c r="W412" s="149"/>
    </row>
    <row r="413" spans="15:23" x14ac:dyDescent="0.25">
      <c r="O413" s="147"/>
      <c r="P413" s="150">
        <f t="shared" si="40"/>
        <v>0</v>
      </c>
      <c r="Q413" s="149"/>
      <c r="R413" s="147">
        <f t="shared" si="37"/>
        <v>10919</v>
      </c>
      <c r="S413" s="150">
        <f t="shared" si="38"/>
        <v>90.99166666666666</v>
      </c>
      <c r="T413" s="149"/>
      <c r="U413" s="147">
        <v>10919</v>
      </c>
      <c r="V413" s="150">
        <f t="shared" si="39"/>
        <v>181.98333333333332</v>
      </c>
      <c r="W413" s="149"/>
    </row>
    <row r="414" spans="15:23" x14ac:dyDescent="0.25">
      <c r="O414" s="147"/>
      <c r="P414" s="150">
        <f t="shared" si="40"/>
        <v>0</v>
      </c>
      <c r="Q414" s="149"/>
      <c r="R414" s="147">
        <f t="shared" si="37"/>
        <v>10949</v>
      </c>
      <c r="S414" s="150">
        <f t="shared" si="38"/>
        <v>91.24166666666666</v>
      </c>
      <c r="T414" s="149"/>
      <c r="U414" s="147">
        <v>10949</v>
      </c>
      <c r="V414" s="150">
        <f t="shared" si="39"/>
        <v>182.48333333333332</v>
      </c>
      <c r="W414" s="149"/>
    </row>
    <row r="415" spans="15:23" x14ac:dyDescent="0.25">
      <c r="O415" s="147"/>
      <c r="P415" s="150">
        <f t="shared" si="40"/>
        <v>0</v>
      </c>
      <c r="Q415" s="149"/>
      <c r="R415" s="147">
        <f t="shared" si="37"/>
        <v>10979</v>
      </c>
      <c r="S415" s="150">
        <f t="shared" si="38"/>
        <v>91.49166666666666</v>
      </c>
      <c r="T415" s="149"/>
      <c r="U415" s="147">
        <v>10979</v>
      </c>
      <c r="V415" s="150">
        <f t="shared" si="39"/>
        <v>182.98333333333332</v>
      </c>
      <c r="W415" s="149"/>
    </row>
    <row r="416" spans="15:23" x14ac:dyDescent="0.25">
      <c r="O416" s="147"/>
      <c r="P416" s="150">
        <f t="shared" si="40"/>
        <v>0</v>
      </c>
      <c r="Q416" s="149"/>
      <c r="R416" s="147">
        <f t="shared" si="37"/>
        <v>11009</v>
      </c>
      <c r="S416" s="150">
        <f t="shared" si="38"/>
        <v>91.74166666666666</v>
      </c>
      <c r="T416" s="149"/>
      <c r="U416" s="147">
        <v>11009</v>
      </c>
      <c r="V416" s="150">
        <f t="shared" si="39"/>
        <v>183.48333333333332</v>
      </c>
      <c r="W416" s="149"/>
    </row>
    <row r="417" spans="15:23" x14ac:dyDescent="0.25">
      <c r="O417" s="147"/>
      <c r="P417" s="150">
        <f t="shared" si="40"/>
        <v>0</v>
      </c>
      <c r="Q417" s="149"/>
      <c r="R417" s="147">
        <f t="shared" si="37"/>
        <v>11039</v>
      </c>
      <c r="S417" s="150">
        <f t="shared" si="38"/>
        <v>91.99166666666666</v>
      </c>
      <c r="T417" s="149"/>
      <c r="U417" s="147">
        <v>11039</v>
      </c>
      <c r="V417" s="150">
        <f t="shared" si="39"/>
        <v>183.98333333333332</v>
      </c>
      <c r="W417" s="149"/>
    </row>
    <row r="418" spans="15:23" x14ac:dyDescent="0.25">
      <c r="O418" s="147"/>
      <c r="P418" s="150">
        <f t="shared" si="40"/>
        <v>0</v>
      </c>
      <c r="Q418" s="149"/>
      <c r="R418" s="147">
        <f t="shared" si="37"/>
        <v>11069</v>
      </c>
      <c r="S418" s="150">
        <f t="shared" si="38"/>
        <v>92.24166666666666</v>
      </c>
      <c r="T418" s="149"/>
      <c r="U418" s="147">
        <v>11069</v>
      </c>
      <c r="V418" s="150">
        <f t="shared" si="39"/>
        <v>184.48333333333332</v>
      </c>
      <c r="W418" s="149"/>
    </row>
    <row r="419" spans="15:23" x14ac:dyDescent="0.25">
      <c r="O419" s="147"/>
      <c r="P419" s="150">
        <f t="shared" si="40"/>
        <v>0</v>
      </c>
      <c r="Q419" s="149"/>
      <c r="R419" s="147">
        <f t="shared" si="37"/>
        <v>11099</v>
      </c>
      <c r="S419" s="150">
        <f t="shared" si="38"/>
        <v>92.49166666666666</v>
      </c>
      <c r="T419" s="149"/>
      <c r="U419" s="147">
        <v>11099</v>
      </c>
      <c r="V419" s="150">
        <f t="shared" si="39"/>
        <v>184.98333333333332</v>
      </c>
      <c r="W419" s="149"/>
    </row>
    <row r="420" spans="15:23" x14ac:dyDescent="0.25">
      <c r="O420" s="147"/>
      <c r="P420" s="150">
        <f t="shared" si="40"/>
        <v>0</v>
      </c>
      <c r="Q420" s="149"/>
      <c r="R420" s="147">
        <f t="shared" si="37"/>
        <v>11129</v>
      </c>
      <c r="S420" s="150">
        <f t="shared" si="38"/>
        <v>92.74166666666666</v>
      </c>
      <c r="T420" s="149"/>
      <c r="U420" s="147">
        <v>11129</v>
      </c>
      <c r="V420" s="150">
        <f t="shared" si="39"/>
        <v>185.48333333333332</v>
      </c>
      <c r="W420" s="149"/>
    </row>
    <row r="421" spans="15:23" x14ac:dyDescent="0.25">
      <c r="O421" s="147"/>
      <c r="P421" s="150">
        <f t="shared" si="40"/>
        <v>0</v>
      </c>
      <c r="Q421" s="149"/>
      <c r="R421" s="147">
        <f t="shared" si="37"/>
        <v>11159</v>
      </c>
      <c r="S421" s="150">
        <f t="shared" si="38"/>
        <v>92.99166666666666</v>
      </c>
      <c r="T421" s="149"/>
      <c r="U421" s="147">
        <v>11159</v>
      </c>
      <c r="V421" s="150">
        <f t="shared" si="39"/>
        <v>185.98333333333332</v>
      </c>
      <c r="W421" s="149"/>
    </row>
    <row r="422" spans="15:23" x14ac:dyDescent="0.25">
      <c r="O422" s="147"/>
      <c r="P422" s="150">
        <f t="shared" si="40"/>
        <v>0</v>
      </c>
      <c r="Q422" s="149"/>
      <c r="R422" s="147">
        <f t="shared" si="37"/>
        <v>11175</v>
      </c>
      <c r="S422" s="150">
        <f t="shared" si="38"/>
        <v>93.125</v>
      </c>
      <c r="T422" s="149"/>
      <c r="U422" s="147">
        <v>11175</v>
      </c>
      <c r="V422" s="150">
        <f t="shared" si="39"/>
        <v>186.25</v>
      </c>
      <c r="W422" s="149"/>
    </row>
    <row r="423" spans="15:23" x14ac:dyDescent="0.25">
      <c r="O423" s="147"/>
      <c r="P423" s="150">
        <f t="shared" si="40"/>
        <v>0</v>
      </c>
      <c r="Q423" s="149"/>
      <c r="R423" s="147" t="e">
        <f t="shared" si="37"/>
        <v>#DIV/0!</v>
      </c>
      <c r="S423" s="147">
        <f t="shared" si="38"/>
        <v>0</v>
      </c>
      <c r="T423" s="149"/>
      <c r="U423" s="147"/>
      <c r="V423" s="150">
        <f t="shared" si="39"/>
        <v>0</v>
      </c>
      <c r="W423" s="149"/>
    </row>
    <row r="424" spans="15:23" x14ac:dyDescent="0.25">
      <c r="O424" s="147"/>
      <c r="P424" s="150">
        <f t="shared" si="40"/>
        <v>0</v>
      </c>
      <c r="Q424" s="149"/>
      <c r="R424" s="147" t="e">
        <f t="shared" si="37"/>
        <v>#DIV/0!</v>
      </c>
      <c r="S424" s="147">
        <f t="shared" si="38"/>
        <v>0</v>
      </c>
      <c r="T424" s="149"/>
      <c r="U424" s="147"/>
      <c r="V424" s="150">
        <f t="shared" si="39"/>
        <v>0</v>
      </c>
      <c r="W424" s="149"/>
    </row>
    <row r="425" spans="15:23" x14ac:dyDescent="0.25">
      <c r="O425" s="147"/>
      <c r="P425" s="150">
        <f t="shared" si="40"/>
        <v>0</v>
      </c>
      <c r="Q425" s="149"/>
      <c r="R425" s="147" t="e">
        <f t="shared" si="37"/>
        <v>#DIV/0!</v>
      </c>
      <c r="S425" s="147">
        <f t="shared" si="38"/>
        <v>0</v>
      </c>
      <c r="T425" s="149"/>
      <c r="U425" s="147"/>
      <c r="V425" s="150">
        <f t="shared" si="39"/>
        <v>0</v>
      </c>
      <c r="W425" s="149"/>
    </row>
    <row r="426" spans="15:23" x14ac:dyDescent="0.25">
      <c r="O426" s="147"/>
      <c r="P426" s="150">
        <f t="shared" si="40"/>
        <v>0</v>
      </c>
      <c r="Q426" s="149"/>
      <c r="R426" s="147" t="e">
        <f t="shared" si="37"/>
        <v>#DIV/0!</v>
      </c>
      <c r="S426" s="147">
        <f t="shared" si="38"/>
        <v>0</v>
      </c>
      <c r="T426" s="149"/>
      <c r="U426" s="147"/>
      <c r="V426" s="150">
        <f t="shared" si="39"/>
        <v>0</v>
      </c>
      <c r="W426" s="149"/>
    </row>
    <row r="427" spans="15:23" x14ac:dyDescent="0.25">
      <c r="O427" s="147"/>
      <c r="P427" s="150">
        <f t="shared" si="40"/>
        <v>0</v>
      </c>
      <c r="Q427" s="149"/>
      <c r="R427" s="147" t="e">
        <f t="shared" si="37"/>
        <v>#DIV/0!</v>
      </c>
      <c r="S427" s="147">
        <f t="shared" si="38"/>
        <v>0</v>
      </c>
      <c r="T427" s="149"/>
      <c r="U427" s="147"/>
      <c r="V427" s="150">
        <f t="shared" si="39"/>
        <v>0</v>
      </c>
      <c r="W427" s="149"/>
    </row>
    <row r="428" spans="15:23" x14ac:dyDescent="0.25">
      <c r="O428" s="147"/>
      <c r="P428" s="150">
        <f t="shared" si="40"/>
        <v>0</v>
      </c>
      <c r="Q428" s="149"/>
      <c r="R428" s="147" t="e">
        <f t="shared" si="37"/>
        <v>#DIV/0!</v>
      </c>
      <c r="S428" s="147">
        <f t="shared" si="38"/>
        <v>0</v>
      </c>
      <c r="T428" s="149"/>
      <c r="U428" s="147"/>
      <c r="V428" s="150">
        <f t="shared" si="39"/>
        <v>0</v>
      </c>
      <c r="W428" s="149"/>
    </row>
    <row r="429" spans="15:23" x14ac:dyDescent="0.25">
      <c r="O429" s="147"/>
      <c r="P429" s="150">
        <f t="shared" si="40"/>
        <v>0</v>
      </c>
      <c r="Q429" s="149"/>
      <c r="R429" s="147" t="e">
        <f t="shared" si="37"/>
        <v>#DIV/0!</v>
      </c>
      <c r="S429" s="147">
        <f t="shared" si="38"/>
        <v>0</v>
      </c>
      <c r="T429" s="149"/>
      <c r="U429" s="147"/>
      <c r="V429" s="150">
        <f t="shared" si="39"/>
        <v>0</v>
      </c>
      <c r="W429" s="149"/>
    </row>
    <row r="430" spans="15:23" x14ac:dyDescent="0.25">
      <c r="O430" s="147"/>
      <c r="P430" s="150">
        <f t="shared" si="40"/>
        <v>0</v>
      </c>
      <c r="Q430" s="149"/>
      <c r="R430" s="147" t="e">
        <f t="shared" si="37"/>
        <v>#DIV/0!</v>
      </c>
      <c r="S430" s="147">
        <f t="shared" si="38"/>
        <v>0</v>
      </c>
      <c r="T430" s="149"/>
      <c r="U430" s="147"/>
      <c r="V430" s="150">
        <f t="shared" si="39"/>
        <v>0</v>
      </c>
      <c r="W430" s="149"/>
    </row>
    <row r="431" spans="15:23" x14ac:dyDescent="0.25">
      <c r="O431" s="147"/>
      <c r="P431" s="150">
        <f t="shared" si="40"/>
        <v>0</v>
      </c>
      <c r="Q431" s="149"/>
      <c r="R431" s="147" t="e">
        <f t="shared" si="37"/>
        <v>#DIV/0!</v>
      </c>
      <c r="S431" s="147">
        <f t="shared" si="38"/>
        <v>0</v>
      </c>
      <c r="T431" s="149"/>
      <c r="U431" s="147"/>
      <c r="V431" s="150">
        <f t="shared" si="39"/>
        <v>0</v>
      </c>
      <c r="W431" s="149"/>
    </row>
    <row r="432" spans="15:23" x14ac:dyDescent="0.25">
      <c r="O432" s="147"/>
      <c r="P432" s="150">
        <f t="shared" si="40"/>
        <v>0</v>
      </c>
      <c r="Q432" s="149"/>
      <c r="R432" s="147" t="e">
        <f t="shared" si="37"/>
        <v>#DIV/0!</v>
      </c>
      <c r="S432" s="147">
        <f t="shared" si="38"/>
        <v>0</v>
      </c>
      <c r="T432" s="149"/>
      <c r="U432" s="147"/>
      <c r="V432" s="150">
        <f t="shared" si="39"/>
        <v>0</v>
      </c>
      <c r="W432" s="149"/>
    </row>
    <row r="433" spans="15:23" x14ac:dyDescent="0.25">
      <c r="O433" s="147"/>
      <c r="P433" s="150">
        <f t="shared" si="40"/>
        <v>0</v>
      </c>
      <c r="Q433" s="149"/>
      <c r="R433" s="147" t="e">
        <f t="shared" si="37"/>
        <v>#DIV/0!</v>
      </c>
      <c r="S433" s="147">
        <f t="shared" si="38"/>
        <v>0</v>
      </c>
      <c r="T433" s="149"/>
      <c r="U433" s="147"/>
      <c r="V433" s="150">
        <f t="shared" si="39"/>
        <v>0</v>
      </c>
      <c r="W433" s="149"/>
    </row>
    <row r="434" spans="15:23" x14ac:dyDescent="0.25">
      <c r="O434" s="147"/>
      <c r="P434" s="150">
        <f t="shared" si="40"/>
        <v>0</v>
      </c>
      <c r="Q434" s="149"/>
      <c r="R434" s="147" t="e">
        <f t="shared" si="37"/>
        <v>#DIV/0!</v>
      </c>
      <c r="S434" s="147">
        <f t="shared" si="38"/>
        <v>0</v>
      </c>
      <c r="T434" s="149"/>
      <c r="U434" s="147"/>
      <c r="V434" s="150">
        <f t="shared" si="39"/>
        <v>0</v>
      </c>
      <c r="W434" s="149"/>
    </row>
    <row r="435" spans="15:23" x14ac:dyDescent="0.25">
      <c r="O435" s="147"/>
      <c r="P435" s="150">
        <f t="shared" si="40"/>
        <v>0</v>
      </c>
      <c r="Q435" s="149"/>
      <c r="R435" s="147" t="e">
        <f t="shared" si="37"/>
        <v>#DIV/0!</v>
      </c>
      <c r="S435" s="147">
        <f t="shared" si="38"/>
        <v>0</v>
      </c>
      <c r="T435" s="149"/>
      <c r="U435" s="147"/>
      <c r="V435" s="150">
        <f t="shared" si="39"/>
        <v>0</v>
      </c>
      <c r="W435" s="149"/>
    </row>
    <row r="436" spans="15:23" x14ac:dyDescent="0.25">
      <c r="O436" s="147"/>
      <c r="P436" s="150">
        <f t="shared" si="40"/>
        <v>0</v>
      </c>
      <c r="Q436" s="149"/>
      <c r="R436" s="147" t="e">
        <f t="shared" si="37"/>
        <v>#DIV/0!</v>
      </c>
      <c r="S436" s="147">
        <f t="shared" si="38"/>
        <v>0</v>
      </c>
      <c r="T436" s="149"/>
      <c r="U436" s="147"/>
      <c r="V436" s="150">
        <f t="shared" si="39"/>
        <v>0</v>
      </c>
      <c r="W436" s="149"/>
    </row>
    <row r="437" spans="15:23" x14ac:dyDescent="0.25">
      <c r="O437" s="147"/>
      <c r="P437" s="150">
        <f t="shared" si="40"/>
        <v>0</v>
      </c>
      <c r="Q437" s="149"/>
      <c r="R437" s="147" t="e">
        <f t="shared" si="37"/>
        <v>#DIV/0!</v>
      </c>
      <c r="S437" s="147">
        <f t="shared" si="38"/>
        <v>0</v>
      </c>
      <c r="T437" s="149"/>
      <c r="U437" s="147"/>
      <c r="V437" s="150">
        <f t="shared" si="39"/>
        <v>0</v>
      </c>
      <c r="W437" s="149"/>
    </row>
    <row r="438" spans="15:23" x14ac:dyDescent="0.25">
      <c r="O438" s="147"/>
      <c r="P438" s="150">
        <f t="shared" si="40"/>
        <v>0</v>
      </c>
      <c r="Q438" s="149"/>
      <c r="R438" s="147" t="e">
        <f t="shared" si="37"/>
        <v>#DIV/0!</v>
      </c>
      <c r="S438" s="147">
        <f t="shared" si="38"/>
        <v>0</v>
      </c>
      <c r="T438" s="149"/>
      <c r="U438" s="147"/>
      <c r="V438" s="150">
        <f t="shared" si="39"/>
        <v>0</v>
      </c>
      <c r="W438" s="149"/>
    </row>
    <row r="439" spans="15:23" x14ac:dyDescent="0.25">
      <c r="O439" s="147"/>
      <c r="P439" s="150">
        <f t="shared" si="40"/>
        <v>0</v>
      </c>
      <c r="Q439" s="149"/>
      <c r="R439" s="147" t="e">
        <f t="shared" si="37"/>
        <v>#DIV/0!</v>
      </c>
      <c r="S439" s="147">
        <f t="shared" si="38"/>
        <v>0</v>
      </c>
      <c r="T439" s="149"/>
      <c r="U439" s="147"/>
      <c r="V439" s="150">
        <f t="shared" si="39"/>
        <v>0</v>
      </c>
      <c r="W439" s="149"/>
    </row>
    <row r="440" spans="15:23" x14ac:dyDescent="0.25">
      <c r="O440" s="147"/>
      <c r="P440" s="150">
        <f t="shared" si="40"/>
        <v>0</v>
      </c>
      <c r="Q440" s="149"/>
      <c r="R440" s="147" t="e">
        <f t="shared" si="37"/>
        <v>#DIV/0!</v>
      </c>
      <c r="S440" s="147">
        <f t="shared" si="38"/>
        <v>0</v>
      </c>
      <c r="T440" s="149"/>
      <c r="U440" s="147"/>
      <c r="V440" s="150">
        <f t="shared" si="39"/>
        <v>0</v>
      </c>
      <c r="W440" s="149"/>
    </row>
    <row r="441" spans="15:23" x14ac:dyDescent="0.25">
      <c r="O441" s="147"/>
      <c r="P441" s="150">
        <f t="shared" si="40"/>
        <v>0</v>
      </c>
      <c r="Q441" s="149"/>
      <c r="R441" s="147" t="e">
        <f t="shared" si="37"/>
        <v>#DIV/0!</v>
      </c>
      <c r="S441" s="147">
        <f t="shared" si="38"/>
        <v>0</v>
      </c>
      <c r="T441" s="149"/>
      <c r="U441" s="147"/>
      <c r="V441" s="150">
        <f t="shared" si="39"/>
        <v>0</v>
      </c>
      <c r="W441" s="149"/>
    </row>
    <row r="442" spans="15:23" x14ac:dyDescent="0.25">
      <c r="O442" s="147"/>
      <c r="P442" s="150">
        <f t="shared" si="40"/>
        <v>0</v>
      </c>
      <c r="Q442" s="149"/>
      <c r="R442" s="147" t="e">
        <f t="shared" si="37"/>
        <v>#DIV/0!</v>
      </c>
      <c r="S442" s="147">
        <f t="shared" si="38"/>
        <v>0</v>
      </c>
      <c r="T442" s="149"/>
      <c r="U442" s="147"/>
      <c r="V442" s="150">
        <f t="shared" si="39"/>
        <v>0</v>
      </c>
      <c r="W442" s="149"/>
    </row>
    <row r="443" spans="15:23" x14ac:dyDescent="0.25">
      <c r="O443" s="147"/>
      <c r="P443" s="150">
        <f t="shared" si="40"/>
        <v>0</v>
      </c>
      <c r="Q443" s="149"/>
      <c r="R443" s="147" t="e">
        <f t="shared" si="37"/>
        <v>#DIV/0!</v>
      </c>
      <c r="S443" s="147">
        <f t="shared" si="38"/>
        <v>0</v>
      </c>
      <c r="T443" s="149"/>
      <c r="U443" s="147"/>
      <c r="V443" s="150">
        <f t="shared" si="39"/>
        <v>0</v>
      </c>
      <c r="W443" s="149"/>
    </row>
    <row r="444" spans="15:23" x14ac:dyDescent="0.25">
      <c r="O444" s="147"/>
      <c r="P444" s="150">
        <f t="shared" si="40"/>
        <v>0</v>
      </c>
      <c r="Q444" s="149"/>
      <c r="R444" s="147" t="e">
        <f t="shared" si="37"/>
        <v>#DIV/0!</v>
      </c>
      <c r="S444" s="147">
        <f t="shared" si="38"/>
        <v>0</v>
      </c>
      <c r="T444" s="149"/>
      <c r="U444" s="147"/>
      <c r="V444" s="150">
        <f t="shared" si="39"/>
        <v>0</v>
      </c>
      <c r="W444" s="149"/>
    </row>
    <row r="445" spans="15:23" x14ac:dyDescent="0.25">
      <c r="O445" s="147"/>
      <c r="P445" s="150">
        <f t="shared" si="40"/>
        <v>0</v>
      </c>
      <c r="Q445" s="149"/>
      <c r="R445" s="147" t="e">
        <f t="shared" si="37"/>
        <v>#DIV/0!</v>
      </c>
      <c r="S445" s="147">
        <f t="shared" si="38"/>
        <v>0</v>
      </c>
      <c r="T445" s="149"/>
      <c r="U445" s="147"/>
      <c r="V445" s="150">
        <f t="shared" si="39"/>
        <v>0</v>
      </c>
      <c r="W445" s="149"/>
    </row>
    <row r="446" spans="15:23" x14ac:dyDescent="0.25">
      <c r="O446" s="147"/>
      <c r="P446" s="150">
        <f t="shared" si="40"/>
        <v>0</v>
      </c>
      <c r="Q446" s="149"/>
      <c r="R446" s="147" t="e">
        <f t="shared" si="37"/>
        <v>#DIV/0!</v>
      </c>
      <c r="S446" s="147">
        <f t="shared" si="38"/>
        <v>0</v>
      </c>
      <c r="T446" s="149"/>
      <c r="U446" s="147"/>
      <c r="V446" s="150">
        <f t="shared" si="39"/>
        <v>0</v>
      </c>
      <c r="W446" s="149"/>
    </row>
    <row r="447" spans="15:23" x14ac:dyDescent="0.25">
      <c r="O447" s="147"/>
      <c r="P447" s="150">
        <f t="shared" si="40"/>
        <v>0</v>
      </c>
      <c r="Q447" s="149"/>
      <c r="R447" s="147" t="e">
        <f t="shared" si="37"/>
        <v>#DIV/0!</v>
      </c>
      <c r="S447" s="147">
        <f t="shared" si="38"/>
        <v>0</v>
      </c>
      <c r="T447" s="149"/>
      <c r="U447" s="147"/>
      <c r="V447" s="150">
        <f t="shared" si="39"/>
        <v>0</v>
      </c>
      <c r="W447" s="149"/>
    </row>
    <row r="448" spans="15:23" x14ac:dyDescent="0.25">
      <c r="O448" s="147"/>
      <c r="P448" s="150">
        <f t="shared" si="40"/>
        <v>0</v>
      </c>
      <c r="Q448" s="149"/>
      <c r="R448" s="147" t="e">
        <f t="shared" si="37"/>
        <v>#DIV/0!</v>
      </c>
      <c r="S448" s="147">
        <f t="shared" si="38"/>
        <v>0</v>
      </c>
      <c r="T448" s="149"/>
      <c r="U448" s="147"/>
      <c r="V448" s="150">
        <f t="shared" si="39"/>
        <v>0</v>
      </c>
      <c r="W448" s="149"/>
    </row>
    <row r="449" spans="15:23" x14ac:dyDescent="0.25">
      <c r="O449" s="147"/>
      <c r="P449" s="150">
        <f t="shared" si="40"/>
        <v>0</v>
      </c>
      <c r="Q449" s="149"/>
      <c r="R449" s="147" t="e">
        <f t="shared" si="37"/>
        <v>#DIV/0!</v>
      </c>
      <c r="S449" s="147">
        <f t="shared" si="38"/>
        <v>0</v>
      </c>
      <c r="T449" s="149"/>
      <c r="U449" s="147"/>
      <c r="V449" s="150">
        <f t="shared" si="39"/>
        <v>0</v>
      </c>
      <c r="W449" s="149"/>
    </row>
    <row r="450" spans="15:23" x14ac:dyDescent="0.25">
      <c r="O450" s="147"/>
      <c r="P450" s="150">
        <f t="shared" si="40"/>
        <v>0</v>
      </c>
      <c r="Q450" s="149"/>
      <c r="R450" s="147" t="e">
        <f t="shared" si="37"/>
        <v>#DIV/0!</v>
      </c>
      <c r="S450" s="147">
        <f t="shared" si="38"/>
        <v>0</v>
      </c>
      <c r="T450" s="149"/>
      <c r="U450" s="147"/>
      <c r="V450" s="150">
        <f t="shared" si="39"/>
        <v>0</v>
      </c>
      <c r="W450" s="149"/>
    </row>
    <row r="451" spans="15:23" x14ac:dyDescent="0.25">
      <c r="O451" s="147"/>
      <c r="P451" s="150">
        <f t="shared" si="40"/>
        <v>0</v>
      </c>
      <c r="Q451" s="149"/>
      <c r="R451" s="147" t="e">
        <f t="shared" si="37"/>
        <v>#DIV/0!</v>
      </c>
      <c r="S451" s="147">
        <f t="shared" si="38"/>
        <v>0</v>
      </c>
      <c r="T451" s="149"/>
      <c r="U451" s="147"/>
      <c r="V451" s="150">
        <f t="shared" si="39"/>
        <v>0</v>
      </c>
      <c r="W451" s="149"/>
    </row>
    <row r="452" spans="15:23" x14ac:dyDescent="0.25">
      <c r="O452" s="147"/>
      <c r="P452" s="150">
        <f t="shared" si="40"/>
        <v>0</v>
      </c>
      <c r="Q452" s="149"/>
      <c r="R452" s="147" t="e">
        <f t="shared" si="37"/>
        <v>#DIV/0!</v>
      </c>
      <c r="S452" s="147">
        <f t="shared" si="38"/>
        <v>0</v>
      </c>
      <c r="T452" s="149"/>
      <c r="U452" s="147"/>
      <c r="V452" s="150">
        <f t="shared" si="39"/>
        <v>0</v>
      </c>
      <c r="W452" s="149"/>
    </row>
    <row r="453" spans="15:23" x14ac:dyDescent="0.25">
      <c r="O453" s="147"/>
      <c r="P453" s="150">
        <f t="shared" si="40"/>
        <v>0</v>
      </c>
      <c r="Q453" s="149"/>
      <c r="R453" s="147" t="e">
        <f t="shared" si="37"/>
        <v>#DIV/0!</v>
      </c>
      <c r="S453" s="147">
        <f t="shared" si="38"/>
        <v>0</v>
      </c>
      <c r="T453" s="149"/>
      <c r="U453" s="147"/>
      <c r="V453" s="150">
        <f t="shared" si="39"/>
        <v>0</v>
      </c>
      <c r="W453" s="149"/>
    </row>
    <row r="454" spans="15:23" x14ac:dyDescent="0.25">
      <c r="O454" s="147"/>
      <c r="P454" s="150">
        <f t="shared" si="40"/>
        <v>0</v>
      </c>
      <c r="Q454" s="149"/>
      <c r="R454" s="147" t="e">
        <f t="shared" si="37"/>
        <v>#DIV/0!</v>
      </c>
      <c r="S454" s="147">
        <f t="shared" si="38"/>
        <v>0</v>
      </c>
      <c r="T454" s="149"/>
      <c r="U454" s="147"/>
      <c r="V454" s="150">
        <f t="shared" si="39"/>
        <v>0</v>
      </c>
      <c r="W454" s="149"/>
    </row>
    <row r="455" spans="15:23" x14ac:dyDescent="0.25">
      <c r="O455" s="147"/>
      <c r="P455" s="150">
        <f t="shared" si="40"/>
        <v>0</v>
      </c>
      <c r="Q455" s="149"/>
      <c r="R455" s="147" t="e">
        <f t="shared" si="37"/>
        <v>#DIV/0!</v>
      </c>
      <c r="S455" s="147">
        <f t="shared" si="38"/>
        <v>0</v>
      </c>
      <c r="T455" s="149"/>
      <c r="U455" s="147"/>
      <c r="V455" s="150">
        <f t="shared" si="39"/>
        <v>0</v>
      </c>
      <c r="W455" s="149"/>
    </row>
    <row r="456" spans="15:23" x14ac:dyDescent="0.25">
      <c r="O456" s="147"/>
      <c r="P456" s="150">
        <f t="shared" si="40"/>
        <v>0</v>
      </c>
      <c r="Q456" s="149"/>
      <c r="R456" s="147" t="e">
        <f t="shared" si="37"/>
        <v>#DIV/0!</v>
      </c>
      <c r="S456" s="147">
        <f t="shared" si="38"/>
        <v>0</v>
      </c>
      <c r="T456" s="149"/>
      <c r="U456" s="147"/>
      <c r="V456" s="150">
        <f t="shared" si="39"/>
        <v>0</v>
      </c>
      <c r="W456" s="149"/>
    </row>
    <row r="457" spans="15:23" x14ac:dyDescent="0.25">
      <c r="O457" s="147"/>
      <c r="P457" s="150">
        <f t="shared" si="40"/>
        <v>0</v>
      </c>
      <c r="Q457" s="149"/>
      <c r="R457" s="147" t="e">
        <f t="shared" si="37"/>
        <v>#DIV/0!</v>
      </c>
      <c r="S457" s="147">
        <f t="shared" si="38"/>
        <v>0</v>
      </c>
      <c r="T457" s="149"/>
      <c r="U457" s="147"/>
      <c r="V457" s="150">
        <f t="shared" si="39"/>
        <v>0</v>
      </c>
      <c r="W457" s="149"/>
    </row>
    <row r="458" spans="15:23" x14ac:dyDescent="0.25">
      <c r="O458" s="147"/>
      <c r="P458" s="150">
        <f t="shared" si="40"/>
        <v>0</v>
      </c>
      <c r="Q458" s="149"/>
      <c r="R458" s="147" t="e">
        <f t="shared" si="37"/>
        <v>#DIV/0!</v>
      </c>
      <c r="S458" s="147">
        <f t="shared" si="38"/>
        <v>0</v>
      </c>
      <c r="T458" s="149"/>
      <c r="U458" s="147"/>
      <c r="V458" s="150">
        <f t="shared" si="39"/>
        <v>0</v>
      </c>
      <c r="W458" s="149"/>
    </row>
    <row r="459" spans="15:23" x14ac:dyDescent="0.25">
      <c r="O459" s="147"/>
      <c r="P459" s="150">
        <f t="shared" si="40"/>
        <v>0</v>
      </c>
      <c r="Q459" s="149"/>
      <c r="R459" s="147" t="e">
        <f t="shared" si="37"/>
        <v>#DIV/0!</v>
      </c>
      <c r="S459" s="147">
        <f t="shared" si="38"/>
        <v>0</v>
      </c>
      <c r="T459" s="149"/>
      <c r="U459" s="147"/>
      <c r="V459" s="150">
        <f t="shared" si="39"/>
        <v>0</v>
      </c>
      <c r="W459" s="149"/>
    </row>
    <row r="460" spans="15:23" x14ac:dyDescent="0.25">
      <c r="O460" s="147"/>
      <c r="P460" s="150">
        <f t="shared" si="40"/>
        <v>0</v>
      </c>
      <c r="Q460" s="149"/>
      <c r="R460" s="147" t="e">
        <f t="shared" si="37"/>
        <v>#DIV/0!</v>
      </c>
      <c r="S460" s="147">
        <f t="shared" si="38"/>
        <v>0</v>
      </c>
      <c r="T460" s="149"/>
      <c r="U460" s="147"/>
      <c r="V460" s="150">
        <f t="shared" si="39"/>
        <v>0</v>
      </c>
      <c r="W460" s="149"/>
    </row>
    <row r="461" spans="15:23" x14ac:dyDescent="0.25">
      <c r="O461" s="147"/>
      <c r="P461" s="150">
        <f t="shared" si="40"/>
        <v>0</v>
      </c>
      <c r="Q461" s="149"/>
      <c r="R461" s="147" t="e">
        <f t="shared" si="37"/>
        <v>#DIV/0!</v>
      </c>
      <c r="S461" s="147">
        <f t="shared" si="38"/>
        <v>0</v>
      </c>
      <c r="T461" s="149"/>
      <c r="U461" s="147"/>
      <c r="V461" s="150">
        <f t="shared" si="39"/>
        <v>0</v>
      </c>
      <c r="W461" s="149"/>
    </row>
    <row r="462" spans="15:23" x14ac:dyDescent="0.25">
      <c r="O462" s="147"/>
      <c r="P462" s="150">
        <f t="shared" si="40"/>
        <v>0</v>
      </c>
      <c r="Q462" s="149"/>
      <c r="R462" s="147" t="e">
        <f t="shared" si="37"/>
        <v>#DIV/0!</v>
      </c>
      <c r="S462" s="147">
        <f t="shared" si="38"/>
        <v>0</v>
      </c>
      <c r="T462" s="149"/>
      <c r="U462" s="147"/>
      <c r="V462" s="150">
        <f t="shared" si="39"/>
        <v>0</v>
      </c>
      <c r="W462" s="149"/>
    </row>
    <row r="463" spans="15:23" x14ac:dyDescent="0.25">
      <c r="O463" s="147"/>
      <c r="P463" s="150">
        <f t="shared" si="40"/>
        <v>0</v>
      </c>
      <c r="Q463" s="149"/>
      <c r="R463" s="147" t="e">
        <f t="shared" si="37"/>
        <v>#DIV/0!</v>
      </c>
      <c r="S463" s="147">
        <f t="shared" si="38"/>
        <v>0</v>
      </c>
      <c r="T463" s="149"/>
      <c r="U463" s="147"/>
      <c r="V463" s="150">
        <f t="shared" si="39"/>
        <v>0</v>
      </c>
      <c r="W463" s="149"/>
    </row>
    <row r="464" spans="15:23" x14ac:dyDescent="0.25">
      <c r="O464" s="147"/>
      <c r="P464" s="150">
        <f t="shared" si="40"/>
        <v>0</v>
      </c>
      <c r="Q464" s="149"/>
      <c r="R464" s="147" t="e">
        <f t="shared" si="37"/>
        <v>#DIV/0!</v>
      </c>
      <c r="S464" s="147">
        <f t="shared" si="38"/>
        <v>0</v>
      </c>
      <c r="T464" s="149"/>
      <c r="U464" s="147"/>
      <c r="V464" s="150">
        <f t="shared" si="39"/>
        <v>0</v>
      </c>
      <c r="W464" s="149"/>
    </row>
    <row r="465" spans="15:23" x14ac:dyDescent="0.25">
      <c r="O465" s="147"/>
      <c r="P465" s="150">
        <f t="shared" si="40"/>
        <v>0</v>
      </c>
      <c r="Q465" s="149"/>
      <c r="R465" s="147" t="e">
        <f t="shared" si="37"/>
        <v>#DIV/0!</v>
      </c>
      <c r="S465" s="147">
        <f t="shared" si="38"/>
        <v>0</v>
      </c>
      <c r="T465" s="149"/>
      <c r="U465" s="147"/>
      <c r="V465" s="150">
        <f t="shared" si="39"/>
        <v>0</v>
      </c>
      <c r="W465" s="149"/>
    </row>
    <row r="466" spans="15:23" x14ac:dyDescent="0.25">
      <c r="O466" s="147"/>
      <c r="P466" s="150">
        <f t="shared" si="40"/>
        <v>0</v>
      </c>
      <c r="Q466" s="149"/>
      <c r="R466" s="147" t="e">
        <f t="shared" si="37"/>
        <v>#DIV/0!</v>
      </c>
      <c r="S466" s="147">
        <f t="shared" si="38"/>
        <v>0</v>
      </c>
      <c r="T466" s="149"/>
      <c r="U466" s="147"/>
      <c r="V466" s="150">
        <f t="shared" si="39"/>
        <v>0</v>
      </c>
      <c r="W466" s="149"/>
    </row>
    <row r="467" spans="15:23" x14ac:dyDescent="0.25">
      <c r="O467" s="147"/>
      <c r="P467" s="150">
        <f t="shared" si="40"/>
        <v>0</v>
      </c>
      <c r="Q467" s="149"/>
      <c r="R467" s="147" t="e">
        <f t="shared" si="37"/>
        <v>#DIV/0!</v>
      </c>
      <c r="S467" s="147">
        <f t="shared" si="38"/>
        <v>0</v>
      </c>
      <c r="T467" s="149"/>
      <c r="U467" s="147"/>
      <c r="V467" s="150">
        <f t="shared" si="39"/>
        <v>0</v>
      </c>
      <c r="W467" s="149"/>
    </row>
    <row r="468" spans="15:23" x14ac:dyDescent="0.25">
      <c r="O468" s="147"/>
      <c r="P468" s="150">
        <f t="shared" si="40"/>
        <v>0</v>
      </c>
      <c r="Q468" s="149"/>
      <c r="R468" s="147" t="e">
        <f t="shared" si="37"/>
        <v>#DIV/0!</v>
      </c>
      <c r="S468" s="147">
        <f t="shared" si="38"/>
        <v>0</v>
      </c>
      <c r="T468" s="149"/>
      <c r="U468" s="147"/>
      <c r="V468" s="150">
        <f t="shared" si="39"/>
        <v>0</v>
      </c>
      <c r="W468" s="149"/>
    </row>
    <row r="469" spans="15:23" x14ac:dyDescent="0.25">
      <c r="O469" s="147"/>
      <c r="P469" s="150">
        <f t="shared" si="40"/>
        <v>0</v>
      </c>
      <c r="Q469" s="149"/>
      <c r="R469" s="147" t="e">
        <f t="shared" ref="R469:R532" si="41">AVERAGE(O469,U469)</f>
        <v>#DIV/0!</v>
      </c>
      <c r="S469" s="147">
        <f t="shared" ref="S469:S532" si="42">AVERAGE(P469,V469)</f>
        <v>0</v>
      </c>
      <c r="T469" s="149"/>
      <c r="U469" s="147"/>
      <c r="V469" s="150">
        <f t="shared" ref="V469:V532" si="43">U469/60</f>
        <v>0</v>
      </c>
      <c r="W469" s="149"/>
    </row>
    <row r="470" spans="15:23" x14ac:dyDescent="0.25">
      <c r="O470" s="147"/>
      <c r="P470" s="150">
        <f t="shared" ref="P470:P533" si="44">O470/60</f>
        <v>0</v>
      </c>
      <c r="Q470" s="149"/>
      <c r="R470" s="147" t="e">
        <f t="shared" si="41"/>
        <v>#DIV/0!</v>
      </c>
      <c r="S470" s="147">
        <f t="shared" si="42"/>
        <v>0</v>
      </c>
      <c r="T470" s="149"/>
      <c r="U470" s="147"/>
      <c r="V470" s="150">
        <f t="shared" si="43"/>
        <v>0</v>
      </c>
      <c r="W470" s="149"/>
    </row>
    <row r="471" spans="15:23" x14ac:dyDescent="0.25">
      <c r="O471" s="147"/>
      <c r="P471" s="150">
        <f t="shared" si="44"/>
        <v>0</v>
      </c>
      <c r="Q471" s="149"/>
      <c r="R471" s="147" t="e">
        <f t="shared" si="41"/>
        <v>#DIV/0!</v>
      </c>
      <c r="S471" s="147">
        <f t="shared" si="42"/>
        <v>0</v>
      </c>
      <c r="T471" s="149"/>
      <c r="U471" s="147"/>
      <c r="V471" s="150">
        <f t="shared" si="43"/>
        <v>0</v>
      </c>
      <c r="W471" s="149"/>
    </row>
    <row r="472" spans="15:23" x14ac:dyDescent="0.25">
      <c r="O472" s="147"/>
      <c r="P472" s="150">
        <f t="shared" si="44"/>
        <v>0</v>
      </c>
      <c r="Q472" s="149"/>
      <c r="R472" s="147" t="e">
        <f t="shared" si="41"/>
        <v>#DIV/0!</v>
      </c>
      <c r="S472" s="147">
        <f t="shared" si="42"/>
        <v>0</v>
      </c>
      <c r="T472" s="149"/>
      <c r="U472" s="147"/>
      <c r="V472" s="150">
        <f t="shared" si="43"/>
        <v>0</v>
      </c>
      <c r="W472" s="149"/>
    </row>
    <row r="473" spans="15:23" x14ac:dyDescent="0.25">
      <c r="O473" s="147"/>
      <c r="P473" s="150">
        <f t="shared" si="44"/>
        <v>0</v>
      </c>
      <c r="Q473" s="149"/>
      <c r="R473" s="147" t="e">
        <f t="shared" si="41"/>
        <v>#DIV/0!</v>
      </c>
      <c r="S473" s="147">
        <f t="shared" si="42"/>
        <v>0</v>
      </c>
      <c r="T473" s="149"/>
      <c r="U473" s="147"/>
      <c r="V473" s="150">
        <f t="shared" si="43"/>
        <v>0</v>
      </c>
      <c r="W473" s="149"/>
    </row>
    <row r="474" spans="15:23" x14ac:dyDescent="0.25">
      <c r="O474" s="147"/>
      <c r="P474" s="150">
        <f t="shared" si="44"/>
        <v>0</v>
      </c>
      <c r="Q474" s="149"/>
      <c r="R474" s="147" t="e">
        <f t="shared" si="41"/>
        <v>#DIV/0!</v>
      </c>
      <c r="S474" s="147">
        <f t="shared" si="42"/>
        <v>0</v>
      </c>
      <c r="T474" s="149"/>
      <c r="U474" s="147"/>
      <c r="V474" s="150">
        <f t="shared" si="43"/>
        <v>0</v>
      </c>
      <c r="W474" s="149"/>
    </row>
    <row r="475" spans="15:23" x14ac:dyDescent="0.25">
      <c r="O475" s="147"/>
      <c r="P475" s="150">
        <f t="shared" si="44"/>
        <v>0</v>
      </c>
      <c r="Q475" s="149"/>
      <c r="R475" s="147" t="e">
        <f t="shared" si="41"/>
        <v>#DIV/0!</v>
      </c>
      <c r="S475" s="147">
        <f t="shared" si="42"/>
        <v>0</v>
      </c>
      <c r="T475" s="149"/>
      <c r="U475" s="147"/>
      <c r="V475" s="150">
        <f t="shared" si="43"/>
        <v>0</v>
      </c>
      <c r="W475" s="149"/>
    </row>
    <row r="476" spans="15:23" x14ac:dyDescent="0.25">
      <c r="O476" s="147"/>
      <c r="P476" s="150">
        <f t="shared" si="44"/>
        <v>0</v>
      </c>
      <c r="Q476" s="149"/>
      <c r="R476" s="147" t="e">
        <f t="shared" si="41"/>
        <v>#DIV/0!</v>
      </c>
      <c r="S476" s="147">
        <f t="shared" si="42"/>
        <v>0</v>
      </c>
      <c r="T476" s="149"/>
      <c r="U476" s="147"/>
      <c r="V476" s="150">
        <f t="shared" si="43"/>
        <v>0</v>
      </c>
      <c r="W476" s="149"/>
    </row>
    <row r="477" spans="15:23" x14ac:dyDescent="0.25">
      <c r="O477" s="147"/>
      <c r="P477" s="150">
        <f t="shared" si="44"/>
        <v>0</v>
      </c>
      <c r="Q477" s="149"/>
      <c r="R477" s="147" t="e">
        <f t="shared" si="41"/>
        <v>#DIV/0!</v>
      </c>
      <c r="S477" s="147">
        <f t="shared" si="42"/>
        <v>0</v>
      </c>
      <c r="T477" s="149"/>
      <c r="U477" s="147"/>
      <c r="V477" s="150">
        <f t="shared" si="43"/>
        <v>0</v>
      </c>
      <c r="W477" s="149"/>
    </row>
    <row r="478" spans="15:23" x14ac:dyDescent="0.25">
      <c r="O478" s="147"/>
      <c r="P478" s="150">
        <f t="shared" si="44"/>
        <v>0</v>
      </c>
      <c r="Q478" s="149"/>
      <c r="R478" s="147" t="e">
        <f t="shared" si="41"/>
        <v>#DIV/0!</v>
      </c>
      <c r="S478" s="147">
        <f t="shared" si="42"/>
        <v>0</v>
      </c>
      <c r="T478" s="149"/>
      <c r="U478" s="147"/>
      <c r="V478" s="150">
        <f t="shared" si="43"/>
        <v>0</v>
      </c>
      <c r="W478" s="149"/>
    </row>
    <row r="479" spans="15:23" x14ac:dyDescent="0.25">
      <c r="O479" s="147"/>
      <c r="P479" s="150">
        <f t="shared" si="44"/>
        <v>0</v>
      </c>
      <c r="Q479" s="149"/>
      <c r="R479" s="147" t="e">
        <f t="shared" si="41"/>
        <v>#DIV/0!</v>
      </c>
      <c r="S479" s="147">
        <f t="shared" si="42"/>
        <v>0</v>
      </c>
      <c r="T479" s="149"/>
      <c r="U479" s="147"/>
      <c r="V479" s="150">
        <f t="shared" si="43"/>
        <v>0</v>
      </c>
      <c r="W479" s="149"/>
    </row>
    <row r="480" spans="15:23" x14ac:dyDescent="0.25">
      <c r="O480" s="147"/>
      <c r="P480" s="150">
        <f t="shared" si="44"/>
        <v>0</v>
      </c>
      <c r="Q480" s="149"/>
      <c r="R480" s="147" t="e">
        <f t="shared" si="41"/>
        <v>#DIV/0!</v>
      </c>
      <c r="S480" s="147">
        <f t="shared" si="42"/>
        <v>0</v>
      </c>
      <c r="T480" s="149"/>
      <c r="U480" s="147"/>
      <c r="V480" s="150">
        <f t="shared" si="43"/>
        <v>0</v>
      </c>
      <c r="W480" s="149"/>
    </row>
    <row r="481" spans="15:23" x14ac:dyDescent="0.25">
      <c r="O481" s="147"/>
      <c r="P481" s="150">
        <f t="shared" si="44"/>
        <v>0</v>
      </c>
      <c r="Q481" s="149"/>
      <c r="R481" s="147" t="e">
        <f t="shared" si="41"/>
        <v>#DIV/0!</v>
      </c>
      <c r="S481" s="147">
        <f t="shared" si="42"/>
        <v>0</v>
      </c>
      <c r="T481" s="149"/>
      <c r="U481" s="147"/>
      <c r="V481" s="150">
        <f t="shared" si="43"/>
        <v>0</v>
      </c>
      <c r="W481" s="149"/>
    </row>
    <row r="482" spans="15:23" x14ac:dyDescent="0.25">
      <c r="O482" s="147"/>
      <c r="P482" s="150">
        <f t="shared" si="44"/>
        <v>0</v>
      </c>
      <c r="Q482" s="149"/>
      <c r="R482" s="147" t="e">
        <f t="shared" si="41"/>
        <v>#DIV/0!</v>
      </c>
      <c r="S482" s="147">
        <f t="shared" si="42"/>
        <v>0</v>
      </c>
      <c r="T482" s="149"/>
      <c r="U482" s="147"/>
      <c r="V482" s="150">
        <f t="shared" si="43"/>
        <v>0</v>
      </c>
      <c r="W482" s="149"/>
    </row>
    <row r="483" spans="15:23" x14ac:dyDescent="0.25">
      <c r="O483" s="147"/>
      <c r="P483" s="150">
        <f t="shared" si="44"/>
        <v>0</v>
      </c>
      <c r="Q483" s="149"/>
      <c r="R483" s="147" t="e">
        <f t="shared" si="41"/>
        <v>#DIV/0!</v>
      </c>
      <c r="S483" s="147">
        <f t="shared" si="42"/>
        <v>0</v>
      </c>
      <c r="T483" s="149"/>
      <c r="U483" s="147"/>
      <c r="V483" s="150">
        <f t="shared" si="43"/>
        <v>0</v>
      </c>
      <c r="W483" s="149"/>
    </row>
    <row r="484" spans="15:23" x14ac:dyDescent="0.25">
      <c r="O484" s="147"/>
      <c r="P484" s="150">
        <f t="shared" si="44"/>
        <v>0</v>
      </c>
      <c r="Q484" s="149"/>
      <c r="R484" s="147" t="e">
        <f t="shared" si="41"/>
        <v>#DIV/0!</v>
      </c>
      <c r="S484" s="147">
        <f t="shared" si="42"/>
        <v>0</v>
      </c>
      <c r="T484" s="149"/>
      <c r="U484" s="147"/>
      <c r="V484" s="150">
        <f t="shared" si="43"/>
        <v>0</v>
      </c>
      <c r="W484" s="149"/>
    </row>
    <row r="485" spans="15:23" x14ac:dyDescent="0.25">
      <c r="O485" s="147"/>
      <c r="P485" s="150">
        <f t="shared" si="44"/>
        <v>0</v>
      </c>
      <c r="Q485" s="149"/>
      <c r="R485" s="147" t="e">
        <f t="shared" si="41"/>
        <v>#DIV/0!</v>
      </c>
      <c r="S485" s="147">
        <f t="shared" si="42"/>
        <v>0</v>
      </c>
      <c r="T485" s="149"/>
      <c r="U485" s="147"/>
      <c r="V485" s="150">
        <f t="shared" si="43"/>
        <v>0</v>
      </c>
      <c r="W485" s="149"/>
    </row>
    <row r="486" spans="15:23" x14ac:dyDescent="0.25">
      <c r="O486" s="147"/>
      <c r="P486" s="150">
        <f t="shared" si="44"/>
        <v>0</v>
      </c>
      <c r="Q486" s="149"/>
      <c r="R486" s="147" t="e">
        <f t="shared" si="41"/>
        <v>#DIV/0!</v>
      </c>
      <c r="S486" s="147">
        <f t="shared" si="42"/>
        <v>0</v>
      </c>
      <c r="T486" s="149"/>
      <c r="U486" s="147"/>
      <c r="V486" s="150">
        <f t="shared" si="43"/>
        <v>0</v>
      </c>
      <c r="W486" s="149"/>
    </row>
    <row r="487" spans="15:23" x14ac:dyDescent="0.25">
      <c r="O487" s="147"/>
      <c r="P487" s="150">
        <f t="shared" si="44"/>
        <v>0</v>
      </c>
      <c r="Q487" s="149"/>
      <c r="R487" s="147" t="e">
        <f t="shared" si="41"/>
        <v>#DIV/0!</v>
      </c>
      <c r="S487" s="147">
        <f t="shared" si="42"/>
        <v>0</v>
      </c>
      <c r="T487" s="149"/>
      <c r="U487" s="147"/>
      <c r="V487" s="150">
        <f t="shared" si="43"/>
        <v>0</v>
      </c>
      <c r="W487" s="149"/>
    </row>
    <row r="488" spans="15:23" x14ac:dyDescent="0.25">
      <c r="O488" s="147"/>
      <c r="P488" s="150">
        <f t="shared" si="44"/>
        <v>0</v>
      </c>
      <c r="Q488" s="149"/>
      <c r="R488" s="147" t="e">
        <f t="shared" si="41"/>
        <v>#DIV/0!</v>
      </c>
      <c r="S488" s="147">
        <f t="shared" si="42"/>
        <v>0</v>
      </c>
      <c r="T488" s="149"/>
      <c r="U488" s="147"/>
      <c r="V488" s="150">
        <f t="shared" si="43"/>
        <v>0</v>
      </c>
      <c r="W488" s="149"/>
    </row>
    <row r="489" spans="15:23" x14ac:dyDescent="0.25">
      <c r="O489" s="147"/>
      <c r="P489" s="150">
        <f t="shared" si="44"/>
        <v>0</v>
      </c>
      <c r="Q489" s="149"/>
      <c r="R489" s="147" t="e">
        <f t="shared" si="41"/>
        <v>#DIV/0!</v>
      </c>
      <c r="S489" s="147">
        <f t="shared" si="42"/>
        <v>0</v>
      </c>
      <c r="T489" s="149"/>
      <c r="U489" s="147"/>
      <c r="V489" s="150">
        <f t="shared" si="43"/>
        <v>0</v>
      </c>
      <c r="W489" s="149"/>
    </row>
    <row r="490" spans="15:23" x14ac:dyDescent="0.25">
      <c r="O490" s="147"/>
      <c r="P490" s="150">
        <f t="shared" si="44"/>
        <v>0</v>
      </c>
      <c r="Q490" s="149"/>
      <c r="R490" s="147" t="e">
        <f t="shared" si="41"/>
        <v>#DIV/0!</v>
      </c>
      <c r="S490" s="147">
        <f t="shared" si="42"/>
        <v>0</v>
      </c>
      <c r="T490" s="149"/>
      <c r="U490" s="147"/>
      <c r="V490" s="150">
        <f t="shared" si="43"/>
        <v>0</v>
      </c>
      <c r="W490" s="149"/>
    </row>
    <row r="491" spans="15:23" x14ac:dyDescent="0.25">
      <c r="O491" s="147"/>
      <c r="P491" s="150">
        <f t="shared" si="44"/>
        <v>0</v>
      </c>
      <c r="Q491" s="149"/>
      <c r="R491" s="147" t="e">
        <f t="shared" si="41"/>
        <v>#DIV/0!</v>
      </c>
      <c r="S491" s="147">
        <f t="shared" si="42"/>
        <v>0</v>
      </c>
      <c r="T491" s="149"/>
      <c r="U491" s="147"/>
      <c r="V491" s="150">
        <f t="shared" si="43"/>
        <v>0</v>
      </c>
      <c r="W491" s="149"/>
    </row>
    <row r="492" spans="15:23" x14ac:dyDescent="0.25">
      <c r="O492" s="147"/>
      <c r="P492" s="150">
        <f t="shared" si="44"/>
        <v>0</v>
      </c>
      <c r="Q492" s="149"/>
      <c r="R492" s="147" t="e">
        <f t="shared" si="41"/>
        <v>#DIV/0!</v>
      </c>
      <c r="S492" s="147">
        <f t="shared" si="42"/>
        <v>0</v>
      </c>
      <c r="T492" s="149"/>
      <c r="U492" s="147"/>
      <c r="V492" s="150">
        <f t="shared" si="43"/>
        <v>0</v>
      </c>
      <c r="W492" s="149"/>
    </row>
    <row r="493" spans="15:23" x14ac:dyDescent="0.25">
      <c r="O493" s="147"/>
      <c r="P493" s="150">
        <f t="shared" si="44"/>
        <v>0</v>
      </c>
      <c r="Q493" s="149"/>
      <c r="R493" s="147" t="e">
        <f t="shared" si="41"/>
        <v>#DIV/0!</v>
      </c>
      <c r="S493" s="147">
        <f t="shared" si="42"/>
        <v>0</v>
      </c>
      <c r="T493" s="149"/>
      <c r="U493" s="147"/>
      <c r="V493" s="150">
        <f t="shared" si="43"/>
        <v>0</v>
      </c>
      <c r="W493" s="149"/>
    </row>
    <row r="494" spans="15:23" x14ac:dyDescent="0.25">
      <c r="O494" s="147"/>
      <c r="P494" s="150">
        <f t="shared" si="44"/>
        <v>0</v>
      </c>
      <c r="Q494" s="149"/>
      <c r="R494" s="147" t="e">
        <f t="shared" si="41"/>
        <v>#DIV/0!</v>
      </c>
      <c r="S494" s="147">
        <f t="shared" si="42"/>
        <v>0</v>
      </c>
      <c r="T494" s="149"/>
      <c r="U494" s="147"/>
      <c r="V494" s="150">
        <f t="shared" si="43"/>
        <v>0</v>
      </c>
      <c r="W494" s="149"/>
    </row>
    <row r="495" spans="15:23" x14ac:dyDescent="0.25">
      <c r="O495" s="147"/>
      <c r="P495" s="150">
        <f t="shared" si="44"/>
        <v>0</v>
      </c>
      <c r="Q495" s="149"/>
      <c r="R495" s="147" t="e">
        <f t="shared" si="41"/>
        <v>#DIV/0!</v>
      </c>
      <c r="S495" s="147">
        <f t="shared" si="42"/>
        <v>0</v>
      </c>
      <c r="T495" s="149"/>
      <c r="U495" s="147"/>
      <c r="V495" s="150">
        <f t="shared" si="43"/>
        <v>0</v>
      </c>
      <c r="W495" s="149"/>
    </row>
    <row r="496" spans="15:23" x14ac:dyDescent="0.25">
      <c r="O496" s="147"/>
      <c r="P496" s="150">
        <f t="shared" si="44"/>
        <v>0</v>
      </c>
      <c r="Q496" s="149"/>
      <c r="R496" s="147" t="e">
        <f t="shared" si="41"/>
        <v>#DIV/0!</v>
      </c>
      <c r="S496" s="147">
        <f t="shared" si="42"/>
        <v>0</v>
      </c>
      <c r="T496" s="149"/>
      <c r="U496" s="147"/>
      <c r="V496" s="150">
        <f t="shared" si="43"/>
        <v>0</v>
      </c>
      <c r="W496" s="149"/>
    </row>
    <row r="497" spans="15:23" x14ac:dyDescent="0.25">
      <c r="O497" s="147"/>
      <c r="P497" s="150">
        <f t="shared" si="44"/>
        <v>0</v>
      </c>
      <c r="Q497" s="149"/>
      <c r="R497" s="147" t="e">
        <f t="shared" si="41"/>
        <v>#DIV/0!</v>
      </c>
      <c r="S497" s="147">
        <f t="shared" si="42"/>
        <v>0</v>
      </c>
      <c r="T497" s="149"/>
      <c r="U497" s="147"/>
      <c r="V497" s="150">
        <f t="shared" si="43"/>
        <v>0</v>
      </c>
      <c r="W497" s="149"/>
    </row>
    <row r="498" spans="15:23" x14ac:dyDescent="0.25">
      <c r="O498" s="147"/>
      <c r="P498" s="150">
        <f t="shared" si="44"/>
        <v>0</v>
      </c>
      <c r="Q498" s="149"/>
      <c r="R498" s="147" t="e">
        <f t="shared" si="41"/>
        <v>#DIV/0!</v>
      </c>
      <c r="S498" s="147">
        <f t="shared" si="42"/>
        <v>0</v>
      </c>
      <c r="T498" s="149"/>
      <c r="U498" s="147"/>
      <c r="V498" s="150">
        <f t="shared" si="43"/>
        <v>0</v>
      </c>
      <c r="W498" s="149"/>
    </row>
    <row r="499" spans="15:23" x14ac:dyDescent="0.25">
      <c r="O499" s="147"/>
      <c r="P499" s="150">
        <f t="shared" si="44"/>
        <v>0</v>
      </c>
      <c r="Q499" s="149"/>
      <c r="R499" s="147" t="e">
        <f t="shared" si="41"/>
        <v>#DIV/0!</v>
      </c>
      <c r="S499" s="147">
        <f t="shared" si="42"/>
        <v>0</v>
      </c>
      <c r="T499" s="149"/>
      <c r="U499" s="147"/>
      <c r="V499" s="150">
        <f t="shared" si="43"/>
        <v>0</v>
      </c>
      <c r="W499" s="149"/>
    </row>
    <row r="500" spans="15:23" x14ac:dyDescent="0.25">
      <c r="O500" s="147"/>
      <c r="P500" s="150">
        <f t="shared" si="44"/>
        <v>0</v>
      </c>
      <c r="Q500" s="149"/>
      <c r="R500" s="147" t="e">
        <f t="shared" si="41"/>
        <v>#DIV/0!</v>
      </c>
      <c r="S500" s="147">
        <f t="shared" si="42"/>
        <v>0</v>
      </c>
      <c r="T500" s="149"/>
      <c r="U500" s="147"/>
      <c r="V500" s="150">
        <f t="shared" si="43"/>
        <v>0</v>
      </c>
      <c r="W500" s="149"/>
    </row>
    <row r="501" spans="15:23" x14ac:dyDescent="0.25">
      <c r="O501" s="147"/>
      <c r="P501" s="150">
        <f t="shared" si="44"/>
        <v>0</v>
      </c>
      <c r="Q501" s="149"/>
      <c r="R501" s="147" t="e">
        <f t="shared" si="41"/>
        <v>#DIV/0!</v>
      </c>
      <c r="S501" s="147">
        <f t="shared" si="42"/>
        <v>0</v>
      </c>
      <c r="T501" s="149"/>
      <c r="U501" s="147"/>
      <c r="V501" s="150">
        <f t="shared" si="43"/>
        <v>0</v>
      </c>
      <c r="W501" s="149"/>
    </row>
    <row r="502" spans="15:23" x14ac:dyDescent="0.25">
      <c r="O502" s="147"/>
      <c r="P502" s="150">
        <f t="shared" si="44"/>
        <v>0</v>
      </c>
      <c r="Q502" s="149"/>
      <c r="R502" s="147" t="e">
        <f t="shared" si="41"/>
        <v>#DIV/0!</v>
      </c>
      <c r="S502" s="147">
        <f t="shared" si="42"/>
        <v>0</v>
      </c>
      <c r="T502" s="149"/>
      <c r="U502" s="147"/>
      <c r="V502" s="150">
        <f t="shared" si="43"/>
        <v>0</v>
      </c>
      <c r="W502" s="149"/>
    </row>
    <row r="503" spans="15:23" x14ac:dyDescent="0.25">
      <c r="O503" s="147"/>
      <c r="P503" s="150">
        <f t="shared" si="44"/>
        <v>0</v>
      </c>
      <c r="Q503" s="149"/>
      <c r="R503" s="147" t="e">
        <f t="shared" si="41"/>
        <v>#DIV/0!</v>
      </c>
      <c r="S503" s="147">
        <f t="shared" si="42"/>
        <v>0</v>
      </c>
      <c r="T503" s="149"/>
      <c r="U503" s="147"/>
      <c r="V503" s="150">
        <f t="shared" si="43"/>
        <v>0</v>
      </c>
      <c r="W503" s="149"/>
    </row>
    <row r="504" spans="15:23" x14ac:dyDescent="0.25">
      <c r="O504" s="147"/>
      <c r="P504" s="150">
        <f t="shared" si="44"/>
        <v>0</v>
      </c>
      <c r="Q504" s="149"/>
      <c r="R504" s="147" t="e">
        <f t="shared" si="41"/>
        <v>#DIV/0!</v>
      </c>
      <c r="S504" s="147">
        <f t="shared" si="42"/>
        <v>0</v>
      </c>
      <c r="T504" s="149"/>
      <c r="U504" s="147"/>
      <c r="V504" s="150">
        <f t="shared" si="43"/>
        <v>0</v>
      </c>
      <c r="W504" s="149"/>
    </row>
    <row r="505" spans="15:23" x14ac:dyDescent="0.25">
      <c r="O505" s="147"/>
      <c r="P505" s="150">
        <f t="shared" si="44"/>
        <v>0</v>
      </c>
      <c r="Q505" s="149"/>
      <c r="R505" s="147" t="e">
        <f t="shared" si="41"/>
        <v>#DIV/0!</v>
      </c>
      <c r="S505" s="147">
        <f t="shared" si="42"/>
        <v>0</v>
      </c>
      <c r="T505" s="149"/>
      <c r="U505" s="147"/>
      <c r="V505" s="150">
        <f t="shared" si="43"/>
        <v>0</v>
      </c>
      <c r="W505" s="149"/>
    </row>
    <row r="506" spans="15:23" x14ac:dyDescent="0.25">
      <c r="O506" s="147"/>
      <c r="P506" s="150">
        <f t="shared" si="44"/>
        <v>0</v>
      </c>
      <c r="Q506" s="149"/>
      <c r="R506" s="147" t="e">
        <f t="shared" si="41"/>
        <v>#DIV/0!</v>
      </c>
      <c r="S506" s="147">
        <f t="shared" si="42"/>
        <v>0</v>
      </c>
      <c r="T506" s="149"/>
      <c r="U506" s="147"/>
      <c r="V506" s="150">
        <f t="shared" si="43"/>
        <v>0</v>
      </c>
      <c r="W506" s="149"/>
    </row>
    <row r="507" spans="15:23" x14ac:dyDescent="0.25">
      <c r="O507" s="147"/>
      <c r="P507" s="150">
        <f t="shared" si="44"/>
        <v>0</v>
      </c>
      <c r="Q507" s="149"/>
      <c r="R507" s="147" t="e">
        <f t="shared" si="41"/>
        <v>#DIV/0!</v>
      </c>
      <c r="S507" s="147">
        <f t="shared" si="42"/>
        <v>0</v>
      </c>
      <c r="T507" s="149"/>
      <c r="U507" s="147"/>
      <c r="V507" s="150">
        <f t="shared" si="43"/>
        <v>0</v>
      </c>
      <c r="W507" s="149"/>
    </row>
    <row r="508" spans="15:23" x14ac:dyDescent="0.25">
      <c r="O508" s="147"/>
      <c r="P508" s="150">
        <f t="shared" si="44"/>
        <v>0</v>
      </c>
      <c r="Q508" s="149"/>
      <c r="R508" s="147" t="e">
        <f t="shared" si="41"/>
        <v>#DIV/0!</v>
      </c>
      <c r="S508" s="147">
        <f t="shared" si="42"/>
        <v>0</v>
      </c>
      <c r="T508" s="149"/>
      <c r="U508" s="147"/>
      <c r="V508" s="150">
        <f t="shared" si="43"/>
        <v>0</v>
      </c>
      <c r="W508" s="149"/>
    </row>
    <row r="509" spans="15:23" x14ac:dyDescent="0.25">
      <c r="O509" s="147"/>
      <c r="P509" s="150">
        <f t="shared" si="44"/>
        <v>0</v>
      </c>
      <c r="Q509" s="149"/>
      <c r="R509" s="147" t="e">
        <f t="shared" si="41"/>
        <v>#DIV/0!</v>
      </c>
      <c r="S509" s="147">
        <f t="shared" si="42"/>
        <v>0</v>
      </c>
      <c r="T509" s="149"/>
      <c r="U509" s="147"/>
      <c r="V509" s="150">
        <f t="shared" si="43"/>
        <v>0</v>
      </c>
      <c r="W509" s="149"/>
    </row>
    <row r="510" spans="15:23" x14ac:dyDescent="0.25">
      <c r="O510" s="147"/>
      <c r="P510" s="150">
        <f t="shared" si="44"/>
        <v>0</v>
      </c>
      <c r="Q510" s="149"/>
      <c r="R510" s="147" t="e">
        <f t="shared" si="41"/>
        <v>#DIV/0!</v>
      </c>
      <c r="S510" s="147">
        <f t="shared" si="42"/>
        <v>0</v>
      </c>
      <c r="T510" s="149"/>
      <c r="U510" s="147"/>
      <c r="V510" s="150">
        <f t="shared" si="43"/>
        <v>0</v>
      </c>
      <c r="W510" s="149"/>
    </row>
    <row r="511" spans="15:23" x14ac:dyDescent="0.25">
      <c r="O511" s="147"/>
      <c r="P511" s="150">
        <f t="shared" si="44"/>
        <v>0</v>
      </c>
      <c r="Q511" s="149"/>
      <c r="R511" s="147" t="e">
        <f t="shared" si="41"/>
        <v>#DIV/0!</v>
      </c>
      <c r="S511" s="147">
        <f t="shared" si="42"/>
        <v>0</v>
      </c>
      <c r="T511" s="149"/>
      <c r="U511" s="147"/>
      <c r="V511" s="150">
        <f>U511/60</f>
        <v>0</v>
      </c>
      <c r="W511" s="149"/>
    </row>
    <row r="512" spans="15:23" x14ac:dyDescent="0.25">
      <c r="O512" s="147"/>
      <c r="P512" s="150">
        <f t="shared" si="44"/>
        <v>0</v>
      </c>
      <c r="Q512" s="149"/>
      <c r="R512" s="147" t="e">
        <f t="shared" si="41"/>
        <v>#DIV/0!</v>
      </c>
      <c r="S512" s="147">
        <f t="shared" si="42"/>
        <v>0</v>
      </c>
      <c r="T512" s="149"/>
      <c r="U512" s="147"/>
      <c r="V512" s="150">
        <f t="shared" si="43"/>
        <v>0</v>
      </c>
      <c r="W512" s="149"/>
    </row>
    <row r="513" spans="15:23" x14ac:dyDescent="0.25">
      <c r="O513" s="147"/>
      <c r="P513" s="150">
        <f t="shared" si="44"/>
        <v>0</v>
      </c>
      <c r="Q513" s="149"/>
      <c r="R513" s="147" t="e">
        <f t="shared" si="41"/>
        <v>#DIV/0!</v>
      </c>
      <c r="S513" s="147">
        <f t="shared" si="42"/>
        <v>0</v>
      </c>
      <c r="T513" s="149"/>
      <c r="U513" s="147"/>
      <c r="V513" s="150">
        <f t="shared" si="43"/>
        <v>0</v>
      </c>
      <c r="W513" s="149"/>
    </row>
    <row r="514" spans="15:23" x14ac:dyDescent="0.25">
      <c r="O514" s="147"/>
      <c r="P514" s="150">
        <f t="shared" si="44"/>
        <v>0</v>
      </c>
      <c r="Q514" s="149"/>
      <c r="R514" s="147" t="e">
        <f t="shared" si="41"/>
        <v>#DIV/0!</v>
      </c>
      <c r="S514" s="147">
        <f t="shared" si="42"/>
        <v>0</v>
      </c>
      <c r="T514" s="149"/>
      <c r="U514" s="147"/>
      <c r="V514" s="150">
        <f t="shared" si="43"/>
        <v>0</v>
      </c>
      <c r="W514" s="149"/>
    </row>
    <row r="515" spans="15:23" x14ac:dyDescent="0.25">
      <c r="O515" s="147"/>
      <c r="P515" s="150">
        <f t="shared" si="44"/>
        <v>0</v>
      </c>
      <c r="Q515" s="149"/>
      <c r="R515" s="147" t="e">
        <f t="shared" si="41"/>
        <v>#DIV/0!</v>
      </c>
      <c r="S515" s="147">
        <f t="shared" si="42"/>
        <v>0</v>
      </c>
      <c r="T515" s="149"/>
      <c r="U515" s="147"/>
      <c r="V515" s="150">
        <f t="shared" si="43"/>
        <v>0</v>
      </c>
      <c r="W515" s="149"/>
    </row>
    <row r="516" spans="15:23" x14ac:dyDescent="0.25">
      <c r="O516" s="147"/>
      <c r="P516" s="150">
        <f t="shared" si="44"/>
        <v>0</v>
      </c>
      <c r="Q516" s="149"/>
      <c r="R516" s="147" t="e">
        <f t="shared" si="41"/>
        <v>#DIV/0!</v>
      </c>
      <c r="S516" s="147">
        <f t="shared" si="42"/>
        <v>0</v>
      </c>
      <c r="T516" s="149"/>
      <c r="U516" s="147"/>
      <c r="V516" s="150">
        <f t="shared" si="43"/>
        <v>0</v>
      </c>
      <c r="W516" s="149"/>
    </row>
    <row r="517" spans="15:23" x14ac:dyDescent="0.25">
      <c r="O517" s="147"/>
      <c r="P517" s="150">
        <f t="shared" si="44"/>
        <v>0</v>
      </c>
      <c r="Q517" s="149"/>
      <c r="R517" s="147" t="e">
        <f t="shared" si="41"/>
        <v>#DIV/0!</v>
      </c>
      <c r="S517" s="147">
        <f t="shared" si="42"/>
        <v>0</v>
      </c>
      <c r="T517" s="149"/>
      <c r="U517" s="147"/>
      <c r="V517" s="150">
        <f t="shared" si="43"/>
        <v>0</v>
      </c>
      <c r="W517" s="149"/>
    </row>
    <row r="518" spans="15:23" x14ac:dyDescent="0.25">
      <c r="O518" s="147"/>
      <c r="P518" s="150">
        <f t="shared" si="44"/>
        <v>0</v>
      </c>
      <c r="Q518" s="149"/>
      <c r="R518" s="147" t="e">
        <f t="shared" si="41"/>
        <v>#DIV/0!</v>
      </c>
      <c r="S518" s="147">
        <f t="shared" si="42"/>
        <v>0</v>
      </c>
      <c r="T518" s="149"/>
      <c r="U518" s="147"/>
      <c r="V518" s="150">
        <f t="shared" si="43"/>
        <v>0</v>
      </c>
      <c r="W518" s="149"/>
    </row>
    <row r="519" spans="15:23" x14ac:dyDescent="0.25">
      <c r="O519" s="147"/>
      <c r="P519" s="150">
        <f t="shared" si="44"/>
        <v>0</v>
      </c>
      <c r="Q519" s="149"/>
      <c r="R519" s="147" t="e">
        <f t="shared" si="41"/>
        <v>#DIV/0!</v>
      </c>
      <c r="S519" s="147">
        <f t="shared" si="42"/>
        <v>0</v>
      </c>
      <c r="T519" s="149"/>
      <c r="U519" s="147"/>
      <c r="V519" s="150">
        <f t="shared" si="43"/>
        <v>0</v>
      </c>
      <c r="W519" s="149"/>
    </row>
    <row r="520" spans="15:23" x14ac:dyDescent="0.25">
      <c r="O520" s="147"/>
      <c r="P520" s="150">
        <f t="shared" si="44"/>
        <v>0</v>
      </c>
      <c r="Q520" s="149"/>
      <c r="R520" s="147" t="e">
        <f t="shared" si="41"/>
        <v>#DIV/0!</v>
      </c>
      <c r="S520" s="147">
        <f t="shared" si="42"/>
        <v>0</v>
      </c>
      <c r="T520" s="149"/>
      <c r="U520" s="147"/>
      <c r="V520" s="150">
        <f t="shared" si="43"/>
        <v>0</v>
      </c>
      <c r="W520" s="149"/>
    </row>
    <row r="521" spans="15:23" x14ac:dyDescent="0.25">
      <c r="O521" s="147"/>
      <c r="P521" s="150">
        <f t="shared" si="44"/>
        <v>0</v>
      </c>
      <c r="Q521" s="149"/>
      <c r="R521" s="147" t="e">
        <f t="shared" si="41"/>
        <v>#DIV/0!</v>
      </c>
      <c r="S521" s="147">
        <f t="shared" si="42"/>
        <v>0</v>
      </c>
      <c r="T521" s="149"/>
      <c r="U521" s="147"/>
      <c r="V521" s="150">
        <f t="shared" si="43"/>
        <v>0</v>
      </c>
      <c r="W521" s="149"/>
    </row>
    <row r="522" spans="15:23" x14ac:dyDescent="0.25">
      <c r="O522" s="147"/>
      <c r="P522" s="150">
        <f t="shared" si="44"/>
        <v>0</v>
      </c>
      <c r="Q522" s="149"/>
      <c r="R522" s="147" t="e">
        <f t="shared" si="41"/>
        <v>#DIV/0!</v>
      </c>
      <c r="S522" s="147">
        <f t="shared" si="42"/>
        <v>0</v>
      </c>
      <c r="T522" s="149"/>
      <c r="U522" s="147"/>
      <c r="V522" s="150">
        <f t="shared" si="43"/>
        <v>0</v>
      </c>
      <c r="W522" s="149"/>
    </row>
    <row r="523" spans="15:23" x14ac:dyDescent="0.25">
      <c r="O523" s="147"/>
      <c r="P523" s="150">
        <f t="shared" si="44"/>
        <v>0</v>
      </c>
      <c r="Q523" s="149"/>
      <c r="R523" s="147" t="e">
        <f t="shared" si="41"/>
        <v>#DIV/0!</v>
      </c>
      <c r="S523" s="147">
        <f t="shared" si="42"/>
        <v>0</v>
      </c>
      <c r="T523" s="149"/>
      <c r="U523" s="147"/>
      <c r="V523" s="150">
        <f t="shared" si="43"/>
        <v>0</v>
      </c>
      <c r="W523" s="149"/>
    </row>
    <row r="524" spans="15:23" x14ac:dyDescent="0.25">
      <c r="O524" s="147"/>
      <c r="P524" s="150">
        <f t="shared" si="44"/>
        <v>0</v>
      </c>
      <c r="Q524" s="149"/>
      <c r="R524" s="147" t="e">
        <f t="shared" si="41"/>
        <v>#DIV/0!</v>
      </c>
      <c r="S524" s="147">
        <f t="shared" si="42"/>
        <v>0</v>
      </c>
      <c r="T524" s="149"/>
      <c r="U524" s="147"/>
      <c r="V524" s="150">
        <f t="shared" si="43"/>
        <v>0</v>
      </c>
      <c r="W524" s="149"/>
    </row>
    <row r="525" spans="15:23" x14ac:dyDescent="0.25">
      <c r="O525" s="147"/>
      <c r="P525" s="150">
        <f t="shared" si="44"/>
        <v>0</v>
      </c>
      <c r="Q525" s="149"/>
      <c r="R525" s="147" t="e">
        <f t="shared" si="41"/>
        <v>#DIV/0!</v>
      </c>
      <c r="S525" s="147">
        <f t="shared" si="42"/>
        <v>0</v>
      </c>
      <c r="T525" s="149"/>
      <c r="U525" s="147"/>
      <c r="V525" s="150">
        <f t="shared" si="43"/>
        <v>0</v>
      </c>
      <c r="W525" s="149"/>
    </row>
    <row r="526" spans="15:23" x14ac:dyDescent="0.25">
      <c r="O526" s="147"/>
      <c r="P526" s="150">
        <f t="shared" si="44"/>
        <v>0</v>
      </c>
      <c r="Q526" s="149"/>
      <c r="R526" s="147" t="e">
        <f t="shared" si="41"/>
        <v>#DIV/0!</v>
      </c>
      <c r="S526" s="147">
        <f t="shared" si="42"/>
        <v>0</v>
      </c>
      <c r="T526" s="149"/>
      <c r="U526" s="147"/>
      <c r="V526" s="150">
        <f t="shared" si="43"/>
        <v>0</v>
      </c>
      <c r="W526" s="149"/>
    </row>
    <row r="527" spans="15:23" x14ac:dyDescent="0.25">
      <c r="O527" s="147"/>
      <c r="P527" s="150">
        <f t="shared" si="44"/>
        <v>0</v>
      </c>
      <c r="Q527" s="149"/>
      <c r="R527" s="147" t="e">
        <f t="shared" si="41"/>
        <v>#DIV/0!</v>
      </c>
      <c r="S527" s="147">
        <f t="shared" si="42"/>
        <v>0</v>
      </c>
      <c r="T527" s="149"/>
      <c r="U527" s="147"/>
      <c r="V527" s="150">
        <f t="shared" si="43"/>
        <v>0</v>
      </c>
      <c r="W527" s="149"/>
    </row>
    <row r="528" spans="15:23" x14ac:dyDescent="0.25">
      <c r="O528" s="147"/>
      <c r="P528" s="150">
        <f t="shared" si="44"/>
        <v>0</v>
      </c>
      <c r="Q528" s="149"/>
      <c r="R528" s="147" t="e">
        <f t="shared" si="41"/>
        <v>#DIV/0!</v>
      </c>
      <c r="S528" s="147">
        <f t="shared" si="42"/>
        <v>0</v>
      </c>
      <c r="T528" s="149"/>
      <c r="U528" s="147"/>
      <c r="V528" s="150">
        <f t="shared" si="43"/>
        <v>0</v>
      </c>
      <c r="W528" s="149"/>
    </row>
    <row r="529" spans="15:23" x14ac:dyDescent="0.25">
      <c r="O529" s="147"/>
      <c r="P529" s="150">
        <f t="shared" si="44"/>
        <v>0</v>
      </c>
      <c r="Q529" s="149"/>
      <c r="R529" s="147" t="e">
        <f t="shared" si="41"/>
        <v>#DIV/0!</v>
      </c>
      <c r="S529" s="147">
        <f t="shared" si="42"/>
        <v>0</v>
      </c>
      <c r="T529" s="149"/>
      <c r="U529" s="147"/>
      <c r="V529" s="150">
        <f t="shared" si="43"/>
        <v>0</v>
      </c>
      <c r="W529" s="149"/>
    </row>
    <row r="530" spans="15:23" x14ac:dyDescent="0.25">
      <c r="O530" s="147"/>
      <c r="P530" s="150">
        <f t="shared" si="44"/>
        <v>0</v>
      </c>
      <c r="Q530" s="149"/>
      <c r="R530" s="147" t="e">
        <f t="shared" si="41"/>
        <v>#DIV/0!</v>
      </c>
      <c r="S530" s="147">
        <f t="shared" si="42"/>
        <v>0</v>
      </c>
      <c r="T530" s="149"/>
      <c r="U530" s="147"/>
      <c r="V530" s="150">
        <f t="shared" si="43"/>
        <v>0</v>
      </c>
      <c r="W530" s="149"/>
    </row>
    <row r="531" spans="15:23" x14ac:dyDescent="0.25">
      <c r="O531" s="147"/>
      <c r="P531" s="150">
        <f t="shared" si="44"/>
        <v>0</v>
      </c>
      <c r="Q531" s="149"/>
      <c r="R531" s="147" t="e">
        <f t="shared" si="41"/>
        <v>#DIV/0!</v>
      </c>
      <c r="S531" s="147">
        <f t="shared" si="42"/>
        <v>0</v>
      </c>
      <c r="T531" s="149"/>
      <c r="U531" s="147"/>
      <c r="V531" s="150">
        <f t="shared" si="43"/>
        <v>0</v>
      </c>
      <c r="W531" s="149"/>
    </row>
    <row r="532" spans="15:23" x14ac:dyDescent="0.25">
      <c r="O532" s="147"/>
      <c r="P532" s="150">
        <f t="shared" si="44"/>
        <v>0</v>
      </c>
      <c r="Q532" s="149"/>
      <c r="R532" s="147" t="e">
        <f t="shared" si="41"/>
        <v>#DIV/0!</v>
      </c>
      <c r="S532" s="147">
        <f t="shared" si="42"/>
        <v>0</v>
      </c>
      <c r="T532" s="149"/>
      <c r="U532" s="147"/>
      <c r="V532" s="150">
        <f t="shared" si="43"/>
        <v>0</v>
      </c>
      <c r="W532" s="149"/>
    </row>
    <row r="533" spans="15:23" x14ac:dyDescent="0.25">
      <c r="O533" s="147"/>
      <c r="P533" s="150">
        <f t="shared" si="44"/>
        <v>0</v>
      </c>
      <c r="Q533" s="149"/>
      <c r="R533" s="147" t="e">
        <f t="shared" ref="R533:R538" si="45">AVERAGE(O533,U533)</f>
        <v>#DIV/0!</v>
      </c>
      <c r="S533" s="147">
        <f t="shared" ref="S533:S538" si="46">AVERAGE(P533,V533)</f>
        <v>0</v>
      </c>
      <c r="T533" s="149"/>
      <c r="U533" s="147"/>
      <c r="V533" s="150">
        <f>U533/60</f>
        <v>0</v>
      </c>
      <c r="W533" s="149"/>
    </row>
    <row r="534" spans="15:23" x14ac:dyDescent="0.25">
      <c r="O534" s="147"/>
      <c r="P534" s="150">
        <f t="shared" ref="P534:P557" si="47">O534/60</f>
        <v>0</v>
      </c>
      <c r="Q534" s="149"/>
      <c r="R534" s="147" t="e">
        <f t="shared" si="45"/>
        <v>#DIV/0!</v>
      </c>
      <c r="S534" s="147">
        <f t="shared" si="46"/>
        <v>0</v>
      </c>
      <c r="T534" s="149"/>
      <c r="U534" s="147"/>
      <c r="V534" s="150">
        <f>U534/60</f>
        <v>0</v>
      </c>
      <c r="W534" s="149"/>
    </row>
    <row r="535" spans="15:23" x14ac:dyDescent="0.25">
      <c r="O535" s="147"/>
      <c r="P535" s="150">
        <f t="shared" si="47"/>
        <v>0</v>
      </c>
      <c r="Q535" s="149"/>
      <c r="R535" s="147" t="e">
        <f t="shared" si="45"/>
        <v>#DIV/0!</v>
      </c>
      <c r="S535" s="147">
        <f t="shared" si="46"/>
        <v>0</v>
      </c>
      <c r="T535" s="149"/>
      <c r="U535" s="147"/>
      <c r="V535" s="150"/>
      <c r="W535" s="149"/>
    </row>
    <row r="536" spans="15:23" x14ac:dyDescent="0.25">
      <c r="O536" s="147"/>
      <c r="P536" s="150">
        <f t="shared" si="47"/>
        <v>0</v>
      </c>
      <c r="Q536" s="149"/>
      <c r="R536" s="147" t="e">
        <f t="shared" si="45"/>
        <v>#DIV/0!</v>
      </c>
      <c r="S536" s="147">
        <f t="shared" si="46"/>
        <v>0</v>
      </c>
      <c r="T536" s="149"/>
      <c r="U536" s="147"/>
      <c r="V536" s="150"/>
      <c r="W536" s="149"/>
    </row>
    <row r="537" spans="15:23" x14ac:dyDescent="0.25">
      <c r="O537" s="147"/>
      <c r="P537" s="150">
        <f t="shared" si="47"/>
        <v>0</v>
      </c>
      <c r="Q537" s="149"/>
      <c r="R537" s="147" t="e">
        <f t="shared" si="45"/>
        <v>#DIV/0!</v>
      </c>
      <c r="S537" s="147">
        <f t="shared" si="46"/>
        <v>0</v>
      </c>
      <c r="T537" s="149"/>
      <c r="U537" s="147"/>
      <c r="V537" s="150"/>
      <c r="W537" s="149"/>
    </row>
    <row r="538" spans="15:23" x14ac:dyDescent="0.25">
      <c r="O538" s="147"/>
      <c r="P538" s="150">
        <f t="shared" si="47"/>
        <v>0</v>
      </c>
      <c r="Q538" s="149"/>
      <c r="R538" s="147" t="e">
        <f t="shared" si="45"/>
        <v>#DIV/0!</v>
      </c>
      <c r="S538" s="147">
        <f t="shared" si="46"/>
        <v>0</v>
      </c>
      <c r="T538" s="149"/>
      <c r="U538" s="147"/>
      <c r="V538" s="150"/>
      <c r="W538" s="149"/>
    </row>
    <row r="539" spans="15:23" x14ac:dyDescent="0.25">
      <c r="O539" s="147"/>
      <c r="P539" s="150">
        <f t="shared" si="47"/>
        <v>0</v>
      </c>
      <c r="Q539" s="149"/>
      <c r="R539" s="147">
        <v>245.5</v>
      </c>
      <c r="S539" s="150"/>
      <c r="T539" s="149"/>
      <c r="U539" s="147"/>
      <c r="V539" s="150"/>
      <c r="W539" s="149"/>
    </row>
    <row r="540" spans="15:23" x14ac:dyDescent="0.25">
      <c r="O540" s="147"/>
      <c r="P540" s="150">
        <f t="shared" si="47"/>
        <v>0</v>
      </c>
      <c r="Q540" s="149"/>
      <c r="R540" s="147">
        <v>246</v>
      </c>
      <c r="S540" s="150"/>
      <c r="T540" s="149"/>
      <c r="U540" s="147"/>
      <c r="V540" s="150"/>
      <c r="W540" s="149"/>
    </row>
    <row r="541" spans="15:23" x14ac:dyDescent="0.25">
      <c r="O541" s="147"/>
      <c r="P541" s="150">
        <f t="shared" si="47"/>
        <v>0</v>
      </c>
      <c r="Q541" s="149"/>
      <c r="R541" s="147">
        <v>246.5</v>
      </c>
      <c r="S541" s="150"/>
      <c r="T541" s="149"/>
      <c r="U541" s="147"/>
      <c r="V541" s="150"/>
      <c r="W541" s="149"/>
    </row>
    <row r="542" spans="15:23" x14ac:dyDescent="0.25">
      <c r="O542" s="147"/>
      <c r="P542" s="150">
        <f t="shared" si="47"/>
        <v>0</v>
      </c>
      <c r="Q542" s="149"/>
      <c r="R542" s="147">
        <v>247</v>
      </c>
      <c r="S542" s="150"/>
      <c r="T542" s="149"/>
      <c r="U542" s="147"/>
      <c r="V542" s="150"/>
      <c r="W542" s="149"/>
    </row>
    <row r="543" spans="15:23" x14ac:dyDescent="0.25">
      <c r="O543" s="147"/>
      <c r="P543" s="150">
        <f t="shared" si="47"/>
        <v>0</v>
      </c>
      <c r="Q543" s="149"/>
      <c r="R543" s="147">
        <v>247.5</v>
      </c>
      <c r="S543" s="150"/>
      <c r="T543" s="149"/>
      <c r="U543" s="147"/>
      <c r="V543" s="150"/>
      <c r="W543" s="149"/>
    </row>
    <row r="544" spans="15:23" x14ac:dyDescent="0.25">
      <c r="O544" s="147"/>
      <c r="P544" s="150">
        <f t="shared" si="47"/>
        <v>0</v>
      </c>
      <c r="Q544" s="149"/>
      <c r="R544" s="147">
        <v>248</v>
      </c>
      <c r="S544" s="150"/>
      <c r="T544" s="149"/>
      <c r="U544" s="147"/>
      <c r="V544" s="150"/>
      <c r="W544" s="149"/>
    </row>
    <row r="545" spans="15:23" x14ac:dyDescent="0.25">
      <c r="O545" s="147"/>
      <c r="P545" s="150">
        <f t="shared" si="47"/>
        <v>0</v>
      </c>
      <c r="Q545" s="149"/>
      <c r="R545" s="147">
        <v>248.5</v>
      </c>
      <c r="S545" s="150"/>
      <c r="T545" s="149"/>
      <c r="U545" s="147"/>
      <c r="V545" s="150"/>
      <c r="W545" s="149"/>
    </row>
    <row r="546" spans="15:23" x14ac:dyDescent="0.25">
      <c r="O546" s="147"/>
      <c r="P546" s="150">
        <f t="shared" si="47"/>
        <v>0</v>
      </c>
      <c r="Q546" s="149"/>
      <c r="R546" s="147">
        <v>249</v>
      </c>
      <c r="S546" s="150"/>
      <c r="T546" s="149"/>
      <c r="U546" s="147"/>
      <c r="V546" s="150"/>
      <c r="W546" s="149"/>
    </row>
    <row r="547" spans="15:23" x14ac:dyDescent="0.25">
      <c r="O547" s="147"/>
      <c r="P547" s="150">
        <f t="shared" si="47"/>
        <v>0</v>
      </c>
      <c r="Q547" s="149"/>
      <c r="R547" s="147">
        <v>249.5</v>
      </c>
      <c r="S547" s="150"/>
      <c r="T547" s="149"/>
      <c r="U547" s="147"/>
      <c r="V547" s="150"/>
      <c r="W547" s="149"/>
    </row>
    <row r="548" spans="15:23" x14ac:dyDescent="0.25">
      <c r="O548" s="147"/>
      <c r="P548" s="150">
        <f t="shared" si="47"/>
        <v>0</v>
      </c>
      <c r="Q548" s="149"/>
      <c r="R548" s="147">
        <v>250</v>
      </c>
      <c r="S548" s="150"/>
      <c r="T548" s="149"/>
      <c r="U548" s="147"/>
      <c r="V548" s="150"/>
      <c r="W548" s="149"/>
    </row>
    <row r="549" spans="15:23" x14ac:dyDescent="0.25">
      <c r="O549" s="147"/>
      <c r="P549" s="150">
        <f t="shared" si="47"/>
        <v>0</v>
      </c>
      <c r="Q549" s="149"/>
      <c r="R549" s="147">
        <v>250.5</v>
      </c>
      <c r="S549" s="150"/>
      <c r="T549" s="149"/>
      <c r="U549" s="147"/>
      <c r="V549" s="150"/>
      <c r="W549" s="149"/>
    </row>
    <row r="550" spans="15:23" x14ac:dyDescent="0.25">
      <c r="O550" s="147"/>
      <c r="P550" s="150">
        <f t="shared" si="47"/>
        <v>0</v>
      </c>
      <c r="Q550" s="149"/>
      <c r="R550" s="147">
        <v>251</v>
      </c>
      <c r="S550" s="150"/>
      <c r="T550" s="149"/>
      <c r="U550" s="147"/>
      <c r="V550" s="150"/>
      <c r="W550" s="149"/>
    </row>
    <row r="551" spans="15:23" x14ac:dyDescent="0.25">
      <c r="O551" s="147"/>
      <c r="P551" s="150">
        <f t="shared" si="47"/>
        <v>0</v>
      </c>
      <c r="Q551" s="149"/>
      <c r="R551" s="147">
        <v>251.5</v>
      </c>
      <c r="S551" s="150"/>
      <c r="T551" s="149"/>
      <c r="U551" s="147"/>
      <c r="V551" s="150"/>
      <c r="W551" s="149"/>
    </row>
    <row r="552" spans="15:23" x14ac:dyDescent="0.25">
      <c r="O552" s="147"/>
      <c r="P552" s="150">
        <f t="shared" si="47"/>
        <v>0</v>
      </c>
      <c r="Q552" s="149"/>
      <c r="R552" s="147">
        <v>252</v>
      </c>
      <c r="S552" s="150"/>
      <c r="T552" s="149"/>
      <c r="U552" s="147"/>
      <c r="V552" s="150"/>
      <c r="W552" s="149"/>
    </row>
    <row r="553" spans="15:23" x14ac:dyDescent="0.25">
      <c r="O553" s="147"/>
      <c r="P553" s="150">
        <f t="shared" si="47"/>
        <v>0</v>
      </c>
      <c r="Q553" s="149"/>
      <c r="R553" s="147">
        <v>252.5</v>
      </c>
      <c r="S553" s="150"/>
      <c r="T553" s="149"/>
      <c r="U553" s="147"/>
      <c r="V553" s="150"/>
      <c r="W553" s="149"/>
    </row>
    <row r="554" spans="15:23" x14ac:dyDescent="0.25">
      <c r="O554" s="147"/>
      <c r="P554" s="150">
        <f t="shared" si="47"/>
        <v>0</v>
      </c>
      <c r="Q554" s="149"/>
      <c r="R554" s="147">
        <v>253</v>
      </c>
      <c r="S554" s="150"/>
      <c r="T554" s="149"/>
      <c r="U554" s="147"/>
      <c r="V554" s="150"/>
      <c r="W554" s="149"/>
    </row>
    <row r="555" spans="15:23" x14ac:dyDescent="0.25">
      <c r="O555" s="147"/>
      <c r="P555" s="150">
        <f t="shared" si="47"/>
        <v>0</v>
      </c>
      <c r="Q555" s="149"/>
      <c r="R555" s="147">
        <v>253.5</v>
      </c>
      <c r="S555" s="150"/>
      <c r="T555" s="149"/>
      <c r="U555" s="147"/>
      <c r="V555" s="150"/>
      <c r="W555" s="149"/>
    </row>
    <row r="556" spans="15:23" x14ac:dyDescent="0.25">
      <c r="O556" s="147"/>
      <c r="P556" s="150">
        <f t="shared" si="47"/>
        <v>0</v>
      </c>
      <c r="Q556" s="149"/>
      <c r="R556" s="147">
        <v>254</v>
      </c>
      <c r="S556" s="150"/>
      <c r="T556" s="149"/>
      <c r="U556" s="147"/>
      <c r="V556" s="150"/>
      <c r="W556" s="149"/>
    </row>
    <row r="557" spans="15:23" x14ac:dyDescent="0.25">
      <c r="O557" s="147"/>
      <c r="P557" s="150">
        <f t="shared" si="47"/>
        <v>0</v>
      </c>
      <c r="Q557" s="149"/>
      <c r="R557" s="147">
        <v>254.5</v>
      </c>
      <c r="S557" s="150"/>
      <c r="T557" s="149"/>
      <c r="U557" s="147"/>
      <c r="V557" s="150"/>
      <c r="W557" s="149"/>
    </row>
    <row r="558" spans="15:23" x14ac:dyDescent="0.25">
      <c r="O558" s="147"/>
      <c r="P558" s="150"/>
      <c r="Q558" s="149"/>
      <c r="R558" s="147">
        <v>255</v>
      </c>
      <c r="S558" s="150"/>
      <c r="T558" s="149"/>
      <c r="U558" s="147"/>
      <c r="V558" s="150"/>
      <c r="W558" s="149"/>
    </row>
    <row r="559" spans="15:23" x14ac:dyDescent="0.25">
      <c r="O559" s="147"/>
      <c r="P559" s="150"/>
      <c r="Q559" s="149"/>
      <c r="R559" s="147">
        <v>255.5</v>
      </c>
      <c r="S559" s="150"/>
      <c r="T559" s="149"/>
      <c r="U559" s="147"/>
      <c r="V559" s="150"/>
      <c r="W559" s="149"/>
    </row>
    <row r="560" spans="15:23" x14ac:dyDescent="0.25">
      <c r="O560" s="147"/>
      <c r="P560" s="150"/>
      <c r="Q560" s="149"/>
      <c r="R560" s="147">
        <v>256</v>
      </c>
      <c r="S560" s="150"/>
      <c r="T560" s="149"/>
      <c r="U560" s="147"/>
      <c r="V560" s="150"/>
      <c r="W560" s="149"/>
    </row>
    <row r="561" spans="15:23" x14ac:dyDescent="0.25">
      <c r="O561" s="147"/>
      <c r="P561" s="150"/>
      <c r="Q561" s="149"/>
      <c r="R561" s="147">
        <v>256.5</v>
      </c>
      <c r="S561" s="150"/>
      <c r="T561" s="149"/>
      <c r="U561" s="147"/>
      <c r="V561" s="150"/>
      <c r="W561" s="149"/>
    </row>
    <row r="562" spans="15:23" x14ac:dyDescent="0.25">
      <c r="O562" s="147"/>
      <c r="P562" s="150"/>
      <c r="Q562" s="149"/>
      <c r="R562" s="147">
        <v>257</v>
      </c>
      <c r="S562" s="150"/>
      <c r="T562" s="149"/>
      <c r="U562" s="147"/>
      <c r="V562" s="150"/>
      <c r="W562" s="149"/>
    </row>
    <row r="563" spans="15:23" x14ac:dyDescent="0.25">
      <c r="O563" s="147"/>
      <c r="P563" s="150"/>
      <c r="Q563" s="149"/>
      <c r="R563" s="147">
        <v>257.5</v>
      </c>
      <c r="S563" s="150"/>
      <c r="T563" s="149"/>
      <c r="U563" s="147"/>
      <c r="V563" s="150"/>
      <c r="W563" s="149"/>
    </row>
    <row r="564" spans="15:23" x14ac:dyDescent="0.25">
      <c r="O564" s="147"/>
      <c r="P564" s="150"/>
      <c r="Q564" s="149"/>
      <c r="R564" s="147">
        <v>258</v>
      </c>
      <c r="S564" s="150"/>
      <c r="T564" s="149"/>
      <c r="U564" s="147"/>
      <c r="V564" s="150"/>
      <c r="W564" s="149"/>
    </row>
    <row r="565" spans="15:23" x14ac:dyDescent="0.25">
      <c r="O565" s="147"/>
      <c r="P565" s="150"/>
      <c r="Q565" s="149"/>
      <c r="R565" s="147">
        <v>258.5</v>
      </c>
      <c r="S565" s="150"/>
      <c r="T565" s="149"/>
      <c r="U565" s="147"/>
      <c r="V565" s="150"/>
      <c r="W565" s="149"/>
    </row>
    <row r="566" spans="15:23" x14ac:dyDescent="0.25">
      <c r="O566" s="147"/>
      <c r="P566" s="150"/>
      <c r="Q566" s="149"/>
      <c r="R566" s="147">
        <v>259</v>
      </c>
      <c r="S566" s="150"/>
      <c r="T566" s="149"/>
      <c r="U566" s="147"/>
      <c r="V566" s="150"/>
      <c r="W566" s="149"/>
    </row>
    <row r="567" spans="15:23" x14ac:dyDescent="0.25">
      <c r="O567" s="147"/>
      <c r="P567" s="150"/>
      <c r="Q567" s="149"/>
      <c r="R567" s="147">
        <v>259.5</v>
      </c>
      <c r="S567" s="150"/>
      <c r="T567" s="149"/>
      <c r="U567" s="147"/>
      <c r="V567" s="150"/>
      <c r="W567" s="149"/>
    </row>
    <row r="568" spans="15:23" x14ac:dyDescent="0.25">
      <c r="O568" s="147"/>
      <c r="P568" s="150"/>
      <c r="Q568" s="149"/>
      <c r="R568" s="147">
        <v>260</v>
      </c>
      <c r="S568" s="150"/>
      <c r="T568" s="149"/>
      <c r="U568" s="147"/>
      <c r="V568" s="150"/>
      <c r="W568" s="149"/>
    </row>
    <row r="569" spans="15:23" x14ac:dyDescent="0.25">
      <c r="O569" s="147"/>
      <c r="P569" s="150"/>
      <c r="Q569" s="149"/>
      <c r="R569" s="147">
        <v>260.5</v>
      </c>
      <c r="S569" s="150"/>
      <c r="T569" s="149"/>
      <c r="U569" s="147"/>
      <c r="V569" s="150"/>
      <c r="W569" s="149"/>
    </row>
    <row r="570" spans="15:23" x14ac:dyDescent="0.25">
      <c r="O570" s="147"/>
      <c r="P570" s="150"/>
      <c r="Q570" s="149"/>
      <c r="R570" s="147">
        <v>261</v>
      </c>
      <c r="S570" s="150"/>
      <c r="T570" s="149"/>
      <c r="U570" s="147"/>
      <c r="V570" s="150"/>
      <c r="W570" s="149"/>
    </row>
    <row r="571" spans="15:23" x14ac:dyDescent="0.25">
      <c r="O571" s="147"/>
      <c r="P571" s="150"/>
      <c r="Q571" s="149"/>
      <c r="R571" s="147">
        <v>261.5</v>
      </c>
      <c r="S571" s="150"/>
      <c r="T571" s="149"/>
      <c r="U571" s="147"/>
      <c r="V571" s="150"/>
      <c r="W571" s="149"/>
    </row>
    <row r="572" spans="15:23" x14ac:dyDescent="0.25">
      <c r="O572" s="147"/>
      <c r="P572" s="150"/>
      <c r="Q572" s="149"/>
      <c r="R572" s="147">
        <v>262</v>
      </c>
      <c r="S572" s="150"/>
      <c r="T572" s="149"/>
      <c r="U572" s="147"/>
      <c r="V572" s="150"/>
      <c r="W572" s="149"/>
    </row>
    <row r="573" spans="15:23" x14ac:dyDescent="0.25">
      <c r="O573" s="147"/>
      <c r="P573" s="150"/>
      <c r="Q573" s="149"/>
      <c r="R573" s="147">
        <v>262.5</v>
      </c>
      <c r="S573" s="150"/>
      <c r="T573" s="149"/>
      <c r="U573" s="147"/>
      <c r="V573" s="150"/>
      <c r="W573" s="149"/>
    </row>
    <row r="574" spans="15:23" x14ac:dyDescent="0.25">
      <c r="O574" s="147"/>
      <c r="P574" s="150"/>
      <c r="Q574" s="149"/>
      <c r="R574" s="147">
        <v>263</v>
      </c>
      <c r="S574" s="150"/>
      <c r="T574" s="149"/>
      <c r="U574" s="147"/>
      <c r="V574" s="150"/>
      <c r="W574" s="149"/>
    </row>
    <row r="575" spans="15:23" x14ac:dyDescent="0.25">
      <c r="O575" s="147"/>
      <c r="P575" s="150"/>
      <c r="Q575" s="149"/>
      <c r="R575" s="147">
        <v>263.5</v>
      </c>
      <c r="S575" s="150"/>
      <c r="T575" s="149"/>
      <c r="U575" s="147"/>
      <c r="V575" s="150"/>
      <c r="W575" s="149"/>
    </row>
    <row r="576" spans="15:23" x14ac:dyDescent="0.25">
      <c r="O576" s="147"/>
      <c r="P576" s="150"/>
      <c r="Q576" s="149"/>
      <c r="R576" s="147">
        <v>264</v>
      </c>
      <c r="S576" s="150"/>
      <c r="T576" s="149"/>
      <c r="U576" s="147"/>
      <c r="V576" s="150"/>
      <c r="W576" s="149"/>
    </row>
    <row r="577" spans="15:23" x14ac:dyDescent="0.25">
      <c r="O577" s="147"/>
      <c r="P577" s="150"/>
      <c r="Q577" s="149"/>
      <c r="R577" s="147">
        <v>264.5</v>
      </c>
      <c r="S577" s="150"/>
      <c r="T577" s="149"/>
      <c r="U577" s="147"/>
      <c r="V577" s="150"/>
      <c r="W577" s="149"/>
    </row>
    <row r="578" spans="15:23" x14ac:dyDescent="0.25">
      <c r="O578" s="147"/>
      <c r="P578" s="150"/>
      <c r="Q578" s="149"/>
      <c r="R578" s="147">
        <v>265</v>
      </c>
      <c r="S578" s="150"/>
      <c r="T578" s="149"/>
      <c r="U578" s="147"/>
      <c r="V578" s="150"/>
      <c r="W578" s="149"/>
    </row>
    <row r="579" spans="15:23" x14ac:dyDescent="0.25">
      <c r="O579" s="147"/>
      <c r="P579" s="150"/>
      <c r="Q579" s="149"/>
      <c r="R579" s="147">
        <v>265.5</v>
      </c>
      <c r="S579" s="150"/>
      <c r="T579" s="149"/>
      <c r="U579" s="147"/>
      <c r="V579" s="150"/>
      <c r="W579" s="149"/>
    </row>
    <row r="580" spans="15:23" x14ac:dyDescent="0.25">
      <c r="O580" s="147"/>
      <c r="P580" s="150"/>
      <c r="Q580" s="149"/>
      <c r="R580" s="147">
        <v>266</v>
      </c>
      <c r="S580" s="150"/>
      <c r="T580" s="149"/>
      <c r="U580" s="147"/>
      <c r="V580" s="150"/>
      <c r="W580" s="149"/>
    </row>
    <row r="581" spans="15:23" x14ac:dyDescent="0.25">
      <c r="O581" s="147"/>
      <c r="P581" s="150"/>
      <c r="Q581" s="149"/>
      <c r="R581" s="147">
        <v>266.5</v>
      </c>
      <c r="S581" s="150"/>
      <c r="T581" s="149"/>
      <c r="U581" s="147"/>
      <c r="V581" s="150"/>
      <c r="W581" s="149"/>
    </row>
    <row r="582" spans="15:23" x14ac:dyDescent="0.25">
      <c r="O582" s="147"/>
      <c r="P582" s="150"/>
      <c r="Q582" s="149"/>
      <c r="R582" s="147">
        <v>267</v>
      </c>
      <c r="S582" s="150"/>
      <c r="T582" s="149"/>
      <c r="U582" s="147"/>
      <c r="V582" s="150"/>
      <c r="W582" s="149"/>
    </row>
    <row r="583" spans="15:23" x14ac:dyDescent="0.25">
      <c r="O583" s="147"/>
      <c r="P583" s="150"/>
      <c r="Q583" s="149"/>
      <c r="R583" s="147">
        <v>267.5</v>
      </c>
      <c r="S583" s="150"/>
      <c r="T583" s="149"/>
      <c r="U583" s="147"/>
      <c r="V583" s="150"/>
      <c r="W583" s="149"/>
    </row>
    <row r="584" spans="15:23" x14ac:dyDescent="0.25">
      <c r="O584" s="147"/>
      <c r="P584" s="150"/>
      <c r="Q584" s="149"/>
      <c r="R584" s="147">
        <v>268</v>
      </c>
      <c r="S584" s="150"/>
      <c r="T584" s="149"/>
      <c r="U584" s="147"/>
      <c r="V584" s="150"/>
      <c r="W584" s="149"/>
    </row>
    <row r="585" spans="15:23" x14ac:dyDescent="0.25">
      <c r="O585" s="147"/>
      <c r="P585" s="150"/>
      <c r="Q585" s="149"/>
      <c r="R585" s="147">
        <v>268.5</v>
      </c>
      <c r="S585" s="150"/>
      <c r="T585" s="149"/>
      <c r="U585" s="147"/>
      <c r="V585" s="150"/>
      <c r="W585" s="149"/>
    </row>
    <row r="586" spans="15:23" x14ac:dyDescent="0.25">
      <c r="O586" s="147"/>
      <c r="P586" s="150"/>
      <c r="Q586" s="149"/>
      <c r="R586" s="147">
        <v>269</v>
      </c>
      <c r="S586" s="150"/>
      <c r="T586" s="149"/>
      <c r="U586" s="147"/>
      <c r="V586" s="150"/>
      <c r="W586" s="149"/>
    </row>
    <row r="587" spans="15:23" x14ac:dyDescent="0.25">
      <c r="O587" s="147"/>
      <c r="P587" s="150"/>
      <c r="Q587" s="149"/>
      <c r="R587" s="147">
        <v>269.5</v>
      </c>
      <c r="S587" s="150"/>
      <c r="T587" s="149"/>
      <c r="U587" s="147"/>
      <c r="V587" s="150"/>
      <c r="W587" s="149"/>
    </row>
    <row r="588" spans="15:23" x14ac:dyDescent="0.25">
      <c r="O588" s="147"/>
      <c r="P588" s="150"/>
      <c r="Q588" s="149"/>
      <c r="R588" s="147">
        <v>270</v>
      </c>
      <c r="S588" s="150"/>
      <c r="T588" s="149"/>
      <c r="U588" s="147"/>
      <c r="V588" s="150"/>
      <c r="W588" s="149"/>
    </row>
    <row r="589" spans="15:23" x14ac:dyDescent="0.25">
      <c r="O589" s="147"/>
      <c r="P589" s="150"/>
      <c r="Q589" s="149"/>
      <c r="R589" s="147">
        <v>270.5</v>
      </c>
      <c r="S589" s="150"/>
      <c r="T589" s="149"/>
      <c r="U589" s="147"/>
      <c r="V589" s="150"/>
      <c r="W589" s="149"/>
    </row>
    <row r="590" spans="15:23" x14ac:dyDescent="0.25">
      <c r="O590" s="147"/>
      <c r="P590" s="150"/>
      <c r="Q590" s="149"/>
      <c r="R590" s="147">
        <v>271</v>
      </c>
      <c r="S590" s="150"/>
      <c r="T590" s="149"/>
      <c r="U590" s="147"/>
      <c r="V590" s="150"/>
      <c r="W590" s="149"/>
    </row>
    <row r="591" spans="15:23" x14ac:dyDescent="0.25">
      <c r="O591" s="147"/>
      <c r="P591" s="150"/>
      <c r="Q591" s="149"/>
      <c r="R591" s="147">
        <v>271.5</v>
      </c>
      <c r="S591" s="150"/>
      <c r="T591" s="149"/>
      <c r="U591" s="147"/>
      <c r="V591" s="150"/>
      <c r="W591" s="149"/>
    </row>
    <row r="592" spans="15:23" x14ac:dyDescent="0.25">
      <c r="O592" s="147"/>
      <c r="P592" s="150"/>
      <c r="Q592" s="149"/>
      <c r="R592" s="147">
        <v>272</v>
      </c>
      <c r="S592" s="150"/>
      <c r="T592" s="149"/>
      <c r="U592" s="147"/>
      <c r="V592" s="150"/>
      <c r="W592" s="149"/>
    </row>
    <row r="593" spans="15:23" x14ac:dyDescent="0.25">
      <c r="O593" s="147"/>
      <c r="P593" s="150"/>
      <c r="Q593" s="149"/>
      <c r="R593" s="147">
        <v>272.5</v>
      </c>
      <c r="S593" s="150"/>
      <c r="T593" s="149"/>
      <c r="U593" s="147"/>
      <c r="V593" s="150"/>
      <c r="W593" s="149"/>
    </row>
    <row r="594" spans="15:23" x14ac:dyDescent="0.25">
      <c r="O594" s="147"/>
      <c r="P594" s="150"/>
      <c r="Q594" s="149"/>
      <c r="R594" s="147">
        <v>273</v>
      </c>
      <c r="S594" s="150"/>
      <c r="T594" s="149"/>
      <c r="U594" s="147"/>
      <c r="V594" s="150"/>
      <c r="W594" s="149"/>
    </row>
    <row r="595" spans="15:23" x14ac:dyDescent="0.25">
      <c r="O595" s="147"/>
      <c r="P595" s="150"/>
      <c r="Q595" s="149"/>
      <c r="R595" s="147">
        <v>273.5</v>
      </c>
      <c r="S595" s="150"/>
      <c r="T595" s="149"/>
      <c r="U595" s="147"/>
      <c r="V595" s="150"/>
      <c r="W595" s="149"/>
    </row>
    <row r="596" spans="15:23" x14ac:dyDescent="0.25">
      <c r="O596" s="147"/>
      <c r="P596" s="150"/>
      <c r="Q596" s="149"/>
      <c r="R596" s="147">
        <v>274</v>
      </c>
      <c r="S596" s="150"/>
      <c r="T596" s="149"/>
      <c r="U596" s="147"/>
      <c r="V596" s="150"/>
      <c r="W596" s="149"/>
    </row>
    <row r="597" spans="15:23" x14ac:dyDescent="0.25">
      <c r="O597" s="147"/>
      <c r="P597" s="150"/>
      <c r="Q597" s="149"/>
      <c r="R597" s="147">
        <v>274.5</v>
      </c>
      <c r="S597" s="150"/>
      <c r="T597" s="149"/>
      <c r="U597" s="147"/>
      <c r="V597" s="150"/>
      <c r="W597" s="149"/>
    </row>
    <row r="598" spans="15:23" x14ac:dyDescent="0.25">
      <c r="O598" s="147"/>
      <c r="P598" s="150"/>
      <c r="Q598" s="149"/>
      <c r="R598" s="147">
        <v>275</v>
      </c>
      <c r="S598" s="150"/>
      <c r="T598" s="149"/>
      <c r="U598" s="147"/>
      <c r="V598" s="150"/>
      <c r="W598" s="149"/>
    </row>
    <row r="599" spans="15:23" x14ac:dyDescent="0.25">
      <c r="O599" s="147"/>
      <c r="P599" s="150"/>
      <c r="Q599" s="149"/>
      <c r="R599" s="147">
        <v>275.5</v>
      </c>
      <c r="S599" s="150"/>
      <c r="T599" s="149"/>
      <c r="U599" s="147"/>
      <c r="V599" s="150"/>
      <c r="W599" s="149"/>
    </row>
    <row r="600" spans="15:23" x14ac:dyDescent="0.25">
      <c r="O600" s="147"/>
      <c r="P600" s="150"/>
      <c r="Q600" s="149"/>
      <c r="R600" s="147">
        <v>276</v>
      </c>
      <c r="S600" s="150"/>
      <c r="T600" s="149"/>
      <c r="U600" s="147"/>
      <c r="V600" s="150"/>
      <c r="W600" s="149"/>
    </row>
    <row r="601" spans="15:23" x14ac:dyDescent="0.25">
      <c r="O601" s="147"/>
      <c r="P601" s="150"/>
      <c r="Q601" s="149"/>
      <c r="R601" s="147">
        <v>276.5</v>
      </c>
      <c r="S601" s="150"/>
      <c r="T601" s="149"/>
      <c r="U601" s="147"/>
      <c r="V601" s="150"/>
      <c r="W601" s="149"/>
    </row>
    <row r="602" spans="15:23" x14ac:dyDescent="0.25">
      <c r="O602" s="147"/>
      <c r="P602" s="150"/>
      <c r="Q602" s="149"/>
      <c r="R602" s="147">
        <v>277</v>
      </c>
      <c r="S602" s="150"/>
      <c r="T602" s="149"/>
      <c r="U602" s="147"/>
      <c r="V602" s="150"/>
      <c r="W602" s="149"/>
    </row>
    <row r="603" spans="15:23" x14ac:dyDescent="0.25">
      <c r="O603" s="147"/>
      <c r="P603" s="150"/>
      <c r="Q603" s="149"/>
      <c r="R603" s="147">
        <v>277.5</v>
      </c>
      <c r="S603" s="150"/>
      <c r="T603" s="149"/>
      <c r="U603" s="147"/>
      <c r="V603" s="150"/>
      <c r="W603" s="149"/>
    </row>
    <row r="604" spans="15:23" x14ac:dyDescent="0.25">
      <c r="O604" s="147"/>
      <c r="P604" s="150"/>
      <c r="Q604" s="149"/>
      <c r="R604" s="147">
        <v>278</v>
      </c>
      <c r="S604" s="150"/>
      <c r="T604" s="149"/>
      <c r="U604" s="147"/>
      <c r="V604" s="150"/>
      <c r="W604" s="149"/>
    </row>
    <row r="605" spans="15:23" x14ac:dyDescent="0.25">
      <c r="O605" s="147"/>
      <c r="P605" s="150"/>
      <c r="Q605" s="149"/>
      <c r="R605" s="147">
        <v>278.5</v>
      </c>
      <c r="S605" s="150"/>
      <c r="T605" s="149"/>
      <c r="U605" s="147"/>
      <c r="V605" s="150"/>
      <c r="W605" s="149"/>
    </row>
    <row r="606" spans="15:23" x14ac:dyDescent="0.25">
      <c r="O606" s="147"/>
      <c r="P606" s="150"/>
      <c r="Q606" s="149"/>
      <c r="R606" s="147">
        <v>279</v>
      </c>
      <c r="S606" s="150"/>
      <c r="T606" s="149"/>
      <c r="U606" s="147"/>
      <c r="V606" s="150"/>
      <c r="W606" s="149"/>
    </row>
    <row r="607" spans="15:23" x14ac:dyDescent="0.25">
      <c r="O607" s="147"/>
      <c r="P607" s="150"/>
      <c r="Q607" s="149"/>
      <c r="R607" s="147">
        <v>279.5</v>
      </c>
      <c r="S607" s="150"/>
      <c r="T607" s="149"/>
      <c r="U607" s="147"/>
      <c r="V607" s="150"/>
      <c r="W607" s="149"/>
    </row>
    <row r="608" spans="15:23" x14ac:dyDescent="0.25">
      <c r="O608" s="147"/>
      <c r="P608" s="150"/>
      <c r="Q608" s="149"/>
      <c r="R608" s="147">
        <v>280</v>
      </c>
      <c r="S608" s="150"/>
      <c r="T608" s="149"/>
      <c r="U608" s="147"/>
      <c r="V608" s="150"/>
      <c r="W608" s="149"/>
    </row>
    <row r="609" spans="15:23" x14ac:dyDescent="0.25">
      <c r="O609" s="147"/>
      <c r="P609" s="150"/>
      <c r="Q609" s="149"/>
      <c r="R609" s="147">
        <v>280.5</v>
      </c>
      <c r="S609" s="150"/>
      <c r="T609" s="149"/>
      <c r="U609" s="147"/>
      <c r="V609" s="150"/>
      <c r="W609" s="149"/>
    </row>
    <row r="610" spans="15:23" x14ac:dyDescent="0.25">
      <c r="O610" s="147"/>
      <c r="P610" s="150"/>
      <c r="Q610" s="149"/>
      <c r="R610" s="147">
        <v>281</v>
      </c>
      <c r="S610" s="150"/>
      <c r="T610" s="149"/>
      <c r="U610" s="147"/>
      <c r="V610" s="150"/>
      <c r="W610" s="149"/>
    </row>
    <row r="611" spans="15:23" x14ac:dyDescent="0.25">
      <c r="O611" s="147"/>
      <c r="P611" s="150"/>
      <c r="Q611" s="149"/>
      <c r="R611" s="147">
        <v>281.5</v>
      </c>
      <c r="S611" s="150"/>
      <c r="T611" s="149"/>
      <c r="U611" s="147"/>
      <c r="V611" s="150"/>
      <c r="W611" s="149"/>
    </row>
    <row r="612" spans="15:23" x14ac:dyDescent="0.25">
      <c r="O612" s="147"/>
      <c r="P612" s="150"/>
      <c r="Q612" s="149"/>
      <c r="R612" s="147">
        <v>282</v>
      </c>
      <c r="S612" s="150"/>
      <c r="T612" s="149"/>
      <c r="U612" s="147"/>
      <c r="V612" s="150"/>
      <c r="W612" s="149"/>
    </row>
    <row r="613" spans="15:23" x14ac:dyDescent="0.25">
      <c r="O613" s="147"/>
      <c r="P613" s="150"/>
      <c r="Q613" s="149"/>
      <c r="R613" s="147">
        <v>282.5</v>
      </c>
      <c r="S613" s="150"/>
      <c r="T613" s="149"/>
      <c r="U613" s="147"/>
      <c r="V613" s="150"/>
      <c r="W613" s="149"/>
    </row>
    <row r="614" spans="15:23" x14ac:dyDescent="0.25">
      <c r="O614" s="147"/>
      <c r="P614" s="150"/>
      <c r="Q614" s="149"/>
      <c r="R614" s="147">
        <v>283</v>
      </c>
      <c r="S614" s="150"/>
      <c r="T614" s="149"/>
      <c r="U614" s="147"/>
      <c r="V614" s="150"/>
      <c r="W614" s="149"/>
    </row>
    <row r="615" spans="15:23" x14ac:dyDescent="0.25">
      <c r="O615" s="147"/>
      <c r="P615" s="150"/>
      <c r="Q615" s="149"/>
      <c r="R615" s="147">
        <v>283.5</v>
      </c>
      <c r="S615" s="150"/>
      <c r="T615" s="149"/>
      <c r="U615" s="147"/>
      <c r="V615" s="150"/>
      <c r="W615" s="149"/>
    </row>
    <row r="616" spans="15:23" x14ac:dyDescent="0.25">
      <c r="O616" s="147"/>
      <c r="P616" s="150"/>
      <c r="Q616" s="149"/>
      <c r="R616" s="147">
        <v>284</v>
      </c>
      <c r="S616" s="150"/>
      <c r="T616" s="149"/>
      <c r="U616" s="147"/>
      <c r="V616" s="150"/>
      <c r="W616" s="149"/>
    </row>
    <row r="617" spans="15:23" x14ac:dyDescent="0.25">
      <c r="O617" s="147"/>
      <c r="P617" s="150"/>
      <c r="Q617" s="149"/>
      <c r="R617" s="147">
        <v>284.5</v>
      </c>
      <c r="S617" s="150"/>
      <c r="T617" s="149"/>
      <c r="U617" s="147"/>
      <c r="V617" s="150"/>
      <c r="W617" s="149"/>
    </row>
    <row r="618" spans="15:23" x14ac:dyDescent="0.25">
      <c r="O618" s="147"/>
      <c r="P618" s="150"/>
      <c r="Q618" s="149"/>
      <c r="R618" s="147">
        <v>285</v>
      </c>
      <c r="S618" s="150"/>
      <c r="T618" s="149"/>
      <c r="U618" s="147"/>
      <c r="V618" s="150"/>
      <c r="W618" s="149"/>
    </row>
    <row r="619" spans="15:23" x14ac:dyDescent="0.25">
      <c r="O619" s="147"/>
      <c r="P619" s="150"/>
      <c r="Q619" s="149"/>
      <c r="R619" s="147">
        <v>285.5</v>
      </c>
      <c r="S619" s="150"/>
      <c r="T619" s="149"/>
      <c r="U619" s="147"/>
      <c r="V619" s="150"/>
      <c r="W619" s="149"/>
    </row>
    <row r="620" spans="15:23" x14ac:dyDescent="0.25">
      <c r="O620" s="147"/>
      <c r="P620" s="150"/>
      <c r="Q620" s="149"/>
      <c r="R620" s="147">
        <v>286</v>
      </c>
      <c r="S620" s="150"/>
      <c r="T620" s="149"/>
      <c r="U620" s="147"/>
      <c r="V620" s="150"/>
      <c r="W620" s="149"/>
    </row>
    <row r="621" spans="15:23" x14ac:dyDescent="0.25">
      <c r="O621" s="147"/>
      <c r="P621" s="150"/>
      <c r="Q621" s="149"/>
      <c r="R621" s="147">
        <v>286.5</v>
      </c>
      <c r="S621" s="150"/>
      <c r="T621" s="149"/>
      <c r="U621" s="147"/>
      <c r="V621" s="150"/>
      <c r="W621" s="149"/>
    </row>
    <row r="622" spans="15:23" x14ac:dyDescent="0.25">
      <c r="O622" s="147"/>
      <c r="P622" s="150"/>
      <c r="Q622" s="149"/>
      <c r="R622" s="147">
        <v>287</v>
      </c>
      <c r="S622" s="150"/>
      <c r="T622" s="149"/>
      <c r="U622" s="147"/>
      <c r="V622" s="150"/>
      <c r="W622" s="149"/>
    </row>
    <row r="623" spans="15:23" x14ac:dyDescent="0.25">
      <c r="O623" s="147"/>
      <c r="P623" s="150"/>
      <c r="Q623" s="149"/>
      <c r="R623" s="147">
        <v>287.5</v>
      </c>
      <c r="S623" s="150"/>
      <c r="T623" s="149"/>
      <c r="U623" s="147"/>
      <c r="V623" s="150"/>
      <c r="W623" s="149"/>
    </row>
    <row r="624" spans="15:23" x14ac:dyDescent="0.25">
      <c r="O624" s="147"/>
      <c r="P624" s="150"/>
      <c r="Q624" s="149"/>
      <c r="R624" s="147">
        <v>288</v>
      </c>
      <c r="S624" s="150"/>
      <c r="T624" s="149"/>
      <c r="U624" s="147"/>
      <c r="V624" s="150"/>
      <c r="W624" s="149"/>
    </row>
    <row r="625" spans="15:23" x14ac:dyDescent="0.25">
      <c r="O625" s="147"/>
      <c r="P625" s="150"/>
      <c r="Q625" s="149"/>
      <c r="R625" s="147">
        <v>288.5</v>
      </c>
      <c r="S625" s="150"/>
      <c r="T625" s="149"/>
      <c r="U625" s="147"/>
      <c r="V625" s="150"/>
      <c r="W625" s="149"/>
    </row>
    <row r="626" spans="15:23" x14ac:dyDescent="0.25">
      <c r="O626" s="147"/>
      <c r="P626" s="150"/>
      <c r="Q626" s="149"/>
      <c r="R626" s="147">
        <v>289</v>
      </c>
      <c r="S626" s="150"/>
      <c r="T626" s="149"/>
      <c r="U626" s="147"/>
      <c r="V626" s="150"/>
      <c r="W626" s="149"/>
    </row>
    <row r="627" spans="15:23" x14ac:dyDescent="0.25">
      <c r="O627" s="147"/>
      <c r="P627" s="150"/>
      <c r="Q627" s="149"/>
      <c r="R627" s="147">
        <v>289.5</v>
      </c>
      <c r="S627" s="150"/>
      <c r="T627" s="149"/>
      <c r="U627" s="147"/>
      <c r="V627" s="150"/>
      <c r="W627" s="149"/>
    </row>
    <row r="628" spans="15:23" x14ac:dyDescent="0.25">
      <c r="O628" s="147"/>
      <c r="P628" s="150"/>
      <c r="Q628" s="149"/>
      <c r="R628" s="147">
        <v>290</v>
      </c>
      <c r="S628" s="150"/>
      <c r="T628" s="149"/>
      <c r="U628" s="147"/>
      <c r="V628" s="150"/>
      <c r="W628" s="149"/>
    </row>
    <row r="629" spans="15:23" x14ac:dyDescent="0.25">
      <c r="O629" s="147"/>
      <c r="P629" s="150"/>
      <c r="Q629" s="149"/>
      <c r="R629" s="147">
        <v>290.5</v>
      </c>
      <c r="S629" s="150"/>
      <c r="T629" s="149"/>
      <c r="U629" s="147"/>
      <c r="V629" s="150"/>
      <c r="W629" s="149"/>
    </row>
    <row r="630" spans="15:23" x14ac:dyDescent="0.25">
      <c r="O630" s="147"/>
      <c r="P630" s="150"/>
      <c r="Q630" s="149"/>
      <c r="R630" s="147">
        <v>291</v>
      </c>
      <c r="S630" s="150"/>
      <c r="T630" s="149"/>
      <c r="U630" s="147"/>
      <c r="V630" s="150"/>
      <c r="W630" s="149"/>
    </row>
    <row r="631" spans="15:23" x14ac:dyDescent="0.25">
      <c r="O631" s="147"/>
      <c r="P631" s="150"/>
      <c r="Q631" s="149"/>
      <c r="R631" s="147">
        <v>291.5</v>
      </c>
      <c r="S631" s="150"/>
      <c r="T631" s="149"/>
      <c r="U631" s="147"/>
      <c r="V631" s="150"/>
      <c r="W631" s="149"/>
    </row>
    <row r="632" spans="15:23" x14ac:dyDescent="0.25">
      <c r="O632" s="147"/>
      <c r="P632" s="150"/>
      <c r="Q632" s="149"/>
      <c r="R632" s="147">
        <v>292</v>
      </c>
      <c r="S632" s="150"/>
      <c r="T632" s="149"/>
      <c r="U632" s="147"/>
      <c r="V632" s="150"/>
      <c r="W632" s="149"/>
    </row>
    <row r="633" spans="15:23" x14ac:dyDescent="0.25">
      <c r="O633" s="147"/>
      <c r="P633" s="150"/>
      <c r="Q633" s="149"/>
      <c r="R633" s="147">
        <v>292.5</v>
      </c>
      <c r="S633" s="150"/>
      <c r="T633" s="149"/>
      <c r="U633" s="147"/>
      <c r="V633" s="150"/>
      <c r="W633" s="149"/>
    </row>
    <row r="634" spans="15:23" x14ac:dyDescent="0.25">
      <c r="O634" s="147"/>
      <c r="P634" s="150"/>
      <c r="Q634" s="149"/>
      <c r="R634" s="147">
        <v>293</v>
      </c>
      <c r="S634" s="150"/>
      <c r="T634" s="149"/>
      <c r="U634" s="147"/>
      <c r="V634" s="150"/>
      <c r="W634" s="149"/>
    </row>
    <row r="635" spans="15:23" x14ac:dyDescent="0.25">
      <c r="O635" s="147"/>
      <c r="P635" s="150"/>
      <c r="Q635" s="149"/>
      <c r="R635" s="147">
        <v>293.5</v>
      </c>
      <c r="S635" s="150"/>
      <c r="T635" s="149"/>
      <c r="U635" s="147"/>
      <c r="V635" s="150"/>
      <c r="W635" s="149"/>
    </row>
    <row r="636" spans="15:23" x14ac:dyDescent="0.25">
      <c r="O636" s="147"/>
      <c r="P636" s="150"/>
      <c r="Q636" s="149"/>
      <c r="R636" s="147">
        <v>294</v>
      </c>
      <c r="S636" s="150"/>
      <c r="T636" s="149"/>
      <c r="U636" s="147"/>
      <c r="V636" s="150"/>
      <c r="W636" s="149"/>
    </row>
    <row r="637" spans="15:23" x14ac:dyDescent="0.25">
      <c r="O637" s="147"/>
      <c r="P637" s="150"/>
      <c r="Q637" s="149"/>
      <c r="R637" s="147">
        <v>294.5</v>
      </c>
      <c r="S637" s="150"/>
      <c r="T637" s="149"/>
      <c r="U637" s="147"/>
      <c r="V637" s="150"/>
      <c r="W637" s="149"/>
    </row>
    <row r="638" spans="15:23" x14ac:dyDescent="0.25">
      <c r="O638" s="147"/>
      <c r="P638" s="150"/>
      <c r="Q638" s="149"/>
      <c r="R638" s="147">
        <v>295</v>
      </c>
      <c r="S638" s="150"/>
      <c r="T638" s="149"/>
      <c r="U638" s="147"/>
      <c r="V638" s="150"/>
      <c r="W638" s="149"/>
    </row>
    <row r="639" spans="15:23" x14ac:dyDescent="0.25">
      <c r="O639" s="147"/>
      <c r="P639" s="150"/>
      <c r="Q639" s="149"/>
      <c r="R639" s="147">
        <v>295.5</v>
      </c>
      <c r="S639" s="150"/>
      <c r="T639" s="149"/>
      <c r="U639" s="147"/>
      <c r="V639" s="150"/>
      <c r="W639" s="149"/>
    </row>
    <row r="640" spans="15:23" x14ac:dyDescent="0.25">
      <c r="O640" s="147"/>
      <c r="P640" s="150"/>
      <c r="Q640" s="149"/>
      <c r="R640" s="147">
        <v>296</v>
      </c>
      <c r="S640" s="150"/>
      <c r="T640" s="149"/>
      <c r="U640" s="147"/>
      <c r="V640" s="150"/>
      <c r="W640" s="149"/>
    </row>
    <row r="641" spans="15:23" x14ac:dyDescent="0.25">
      <c r="O641" s="147"/>
      <c r="P641" s="150"/>
      <c r="Q641" s="149"/>
      <c r="R641" s="147">
        <v>296.5</v>
      </c>
      <c r="S641" s="150"/>
      <c r="T641" s="149"/>
      <c r="U641" s="147"/>
      <c r="V641" s="150"/>
      <c r="W641" s="149"/>
    </row>
    <row r="642" spans="15:23" x14ac:dyDescent="0.25">
      <c r="O642" s="147"/>
      <c r="P642" s="150"/>
      <c r="Q642" s="149"/>
      <c r="R642" s="147">
        <v>297</v>
      </c>
      <c r="S642" s="150"/>
      <c r="T642" s="149"/>
      <c r="U642" s="147"/>
      <c r="V642" s="150"/>
      <c r="W642" s="149"/>
    </row>
    <row r="643" spans="15:23" x14ac:dyDescent="0.25">
      <c r="O643" s="147"/>
      <c r="P643" s="150"/>
      <c r="Q643" s="149"/>
      <c r="R643" s="147">
        <v>297.5</v>
      </c>
      <c r="S643" s="150"/>
      <c r="T643" s="149"/>
      <c r="U643" s="147"/>
      <c r="V643" s="150"/>
      <c r="W643" s="149"/>
    </row>
    <row r="644" spans="15:23" x14ac:dyDescent="0.25">
      <c r="O644" s="147"/>
      <c r="P644" s="150"/>
      <c r="Q644" s="149"/>
      <c r="R644" s="147">
        <v>298</v>
      </c>
      <c r="S644" s="150"/>
      <c r="T644" s="149"/>
      <c r="U644" s="147"/>
      <c r="V644" s="150"/>
      <c r="W644" s="149"/>
    </row>
    <row r="645" spans="15:23" x14ac:dyDescent="0.25">
      <c r="O645" s="147"/>
      <c r="P645" s="150"/>
      <c r="Q645" s="149"/>
      <c r="R645" s="147">
        <v>298.5</v>
      </c>
      <c r="S645" s="150"/>
      <c r="T645" s="149"/>
      <c r="U645" s="147"/>
      <c r="V645" s="150"/>
      <c r="W645" s="149"/>
    </row>
    <row r="646" spans="15:23" x14ac:dyDescent="0.25">
      <c r="O646" s="147"/>
      <c r="P646" s="150"/>
      <c r="Q646" s="149"/>
      <c r="R646" s="147">
        <v>299</v>
      </c>
      <c r="S646" s="150"/>
      <c r="T646" s="149"/>
      <c r="U646" s="147"/>
      <c r="V646" s="150"/>
      <c r="W646" s="149"/>
    </row>
    <row r="647" spans="15:23" x14ac:dyDescent="0.25">
      <c r="O647" s="147"/>
      <c r="P647" s="150"/>
      <c r="Q647" s="149"/>
      <c r="R647" s="147">
        <v>299.5</v>
      </c>
      <c r="S647" s="150"/>
      <c r="T647" s="149"/>
      <c r="U647" s="147"/>
      <c r="V647" s="150"/>
      <c r="W647" s="149"/>
    </row>
    <row r="648" spans="15:23" x14ac:dyDescent="0.25">
      <c r="O648" s="147"/>
      <c r="P648" s="150"/>
      <c r="Q648" s="149"/>
      <c r="R648" s="147">
        <v>300</v>
      </c>
      <c r="S648" s="150"/>
      <c r="T648" s="149"/>
      <c r="U648" s="147"/>
      <c r="V648" s="150"/>
      <c r="W648" s="149"/>
    </row>
    <row r="649" spans="15:23" x14ac:dyDescent="0.25">
      <c r="O649" s="147"/>
      <c r="P649" s="150"/>
      <c r="Q649" s="149"/>
      <c r="R649" s="147">
        <v>330</v>
      </c>
      <c r="S649" s="150"/>
      <c r="T649" s="149"/>
      <c r="U649" s="147"/>
      <c r="V649" s="150"/>
      <c r="W649" s="149"/>
    </row>
    <row r="650" spans="15:23" x14ac:dyDescent="0.25">
      <c r="O650" s="147"/>
      <c r="P650" s="150"/>
      <c r="Q650" s="149"/>
      <c r="R650" s="147">
        <v>360</v>
      </c>
      <c r="S650" s="150"/>
      <c r="T650" s="149"/>
      <c r="U650" s="147"/>
      <c r="V650" s="150"/>
      <c r="W650" s="149"/>
    </row>
    <row r="651" spans="15:23" x14ac:dyDescent="0.25">
      <c r="O651" s="147"/>
      <c r="P651" s="150"/>
      <c r="Q651" s="149"/>
      <c r="R651" s="147">
        <v>390</v>
      </c>
      <c r="S651" s="150"/>
      <c r="T651" s="149"/>
      <c r="U651" s="147"/>
      <c r="V651" s="150"/>
      <c r="W651" s="149"/>
    </row>
    <row r="652" spans="15:23" x14ac:dyDescent="0.25">
      <c r="O652" s="147"/>
      <c r="P652" s="150"/>
      <c r="Q652" s="149"/>
      <c r="R652" s="147">
        <v>420</v>
      </c>
      <c r="S652" s="150"/>
      <c r="T652" s="149"/>
      <c r="U652" s="147"/>
      <c r="V652" s="150"/>
      <c r="W652" s="149"/>
    </row>
    <row r="653" spans="15:23" x14ac:dyDescent="0.25">
      <c r="O653" s="147"/>
      <c r="P653" s="150"/>
      <c r="Q653" s="149"/>
      <c r="R653" s="147">
        <v>450</v>
      </c>
      <c r="S653" s="150"/>
      <c r="T653" s="149"/>
      <c r="U653" s="147"/>
      <c r="V653" s="150"/>
      <c r="W653" s="149"/>
    </row>
    <row r="654" spans="15:23" x14ac:dyDescent="0.25">
      <c r="O654" s="147"/>
      <c r="P654" s="150"/>
      <c r="Q654" s="149"/>
      <c r="R654" s="147">
        <v>480</v>
      </c>
      <c r="S654" s="150"/>
      <c r="T654" s="149"/>
      <c r="U654" s="147"/>
      <c r="V654" s="150"/>
      <c r="W654" s="149"/>
    </row>
    <row r="655" spans="15:23" x14ac:dyDescent="0.25">
      <c r="O655" s="147"/>
      <c r="P655" s="150"/>
      <c r="Q655" s="149"/>
      <c r="R655" s="147">
        <v>510</v>
      </c>
      <c r="S655" s="150"/>
      <c r="T655" s="149"/>
      <c r="U655" s="147"/>
      <c r="V655" s="150"/>
      <c r="W655" s="149"/>
    </row>
    <row r="656" spans="15:23" x14ac:dyDescent="0.25">
      <c r="O656" s="147"/>
      <c r="P656" s="150"/>
      <c r="Q656" s="149"/>
      <c r="R656" s="147">
        <v>540</v>
      </c>
      <c r="S656" s="150"/>
      <c r="T656" s="149"/>
      <c r="U656" s="147"/>
      <c r="V656" s="150"/>
      <c r="W656" s="149"/>
    </row>
    <row r="657" spans="15:23" x14ac:dyDescent="0.25">
      <c r="O657" s="147"/>
      <c r="P657" s="150"/>
      <c r="Q657" s="149"/>
      <c r="R657" s="147">
        <v>570</v>
      </c>
      <c r="S657" s="150"/>
      <c r="T657" s="149"/>
      <c r="U657" s="147"/>
      <c r="V657" s="150"/>
      <c r="W657" s="149"/>
    </row>
    <row r="658" spans="15:23" x14ac:dyDescent="0.25">
      <c r="O658" s="147"/>
      <c r="P658" s="150"/>
      <c r="Q658" s="149"/>
      <c r="R658" s="147">
        <v>600</v>
      </c>
      <c r="S658" s="150"/>
      <c r="T658" s="149"/>
      <c r="U658" s="147"/>
      <c r="V658" s="150"/>
      <c r="W658" s="149"/>
    </row>
    <row r="659" spans="15:23" x14ac:dyDescent="0.25">
      <c r="O659" s="147"/>
      <c r="P659" s="150"/>
      <c r="Q659" s="149"/>
      <c r="R659" s="147">
        <v>630</v>
      </c>
      <c r="S659" s="150"/>
      <c r="T659" s="149"/>
      <c r="U659" s="147"/>
      <c r="V659" s="150"/>
      <c r="W659" s="149"/>
    </row>
    <row r="660" spans="15:23" x14ac:dyDescent="0.25">
      <c r="O660" s="147"/>
      <c r="P660" s="150"/>
      <c r="Q660" s="149"/>
      <c r="R660" s="147">
        <v>660</v>
      </c>
      <c r="S660" s="150"/>
      <c r="T660" s="149"/>
      <c r="U660" s="147"/>
      <c r="V660" s="150"/>
      <c r="W660" s="149"/>
    </row>
    <row r="661" spans="15:23" x14ac:dyDescent="0.25">
      <c r="O661" s="147"/>
      <c r="P661" s="150"/>
      <c r="Q661" s="149"/>
      <c r="R661" s="147">
        <v>690</v>
      </c>
      <c r="S661" s="150"/>
      <c r="T661" s="149"/>
      <c r="U661" s="147"/>
      <c r="V661" s="150"/>
      <c r="W661" s="149"/>
    </row>
    <row r="662" spans="15:23" x14ac:dyDescent="0.25">
      <c r="O662" s="147"/>
      <c r="P662" s="150"/>
      <c r="Q662" s="149"/>
      <c r="R662" s="147">
        <v>720</v>
      </c>
      <c r="S662" s="150"/>
      <c r="T662" s="149"/>
      <c r="U662" s="147"/>
      <c r="V662" s="150"/>
      <c r="W662" s="149"/>
    </row>
    <row r="663" spans="15:23" x14ac:dyDescent="0.25">
      <c r="O663" s="147"/>
      <c r="P663" s="150"/>
      <c r="Q663" s="149"/>
      <c r="R663" s="147">
        <v>750</v>
      </c>
      <c r="S663" s="150"/>
      <c r="T663" s="149"/>
      <c r="U663" s="147"/>
      <c r="V663" s="150"/>
      <c r="W663" s="149"/>
    </row>
    <row r="664" spans="15:23" x14ac:dyDescent="0.25">
      <c r="O664" s="147"/>
      <c r="P664" s="150"/>
      <c r="Q664" s="149"/>
      <c r="R664" s="147">
        <v>780</v>
      </c>
      <c r="S664" s="150"/>
      <c r="T664" s="149"/>
      <c r="U664" s="147"/>
      <c r="V664" s="150"/>
      <c r="W664" s="149"/>
    </row>
    <row r="665" spans="15:23" x14ac:dyDescent="0.25">
      <c r="O665" s="147"/>
      <c r="P665" s="150"/>
      <c r="Q665" s="149"/>
      <c r="R665" s="147">
        <v>810</v>
      </c>
      <c r="S665" s="150"/>
      <c r="T665" s="149"/>
      <c r="U665" s="147"/>
      <c r="V665" s="150"/>
      <c r="W665" s="149"/>
    </row>
    <row r="666" spans="15:23" x14ac:dyDescent="0.25">
      <c r="O666" s="147"/>
      <c r="P666" s="150"/>
      <c r="Q666" s="149"/>
      <c r="R666" s="147">
        <v>840</v>
      </c>
      <c r="S666" s="150"/>
      <c r="T666" s="149"/>
      <c r="U666" s="147"/>
      <c r="V666" s="150"/>
      <c r="W666" s="149"/>
    </row>
    <row r="667" spans="15:23" x14ac:dyDescent="0.25">
      <c r="O667" s="147"/>
      <c r="P667" s="150"/>
      <c r="Q667" s="149"/>
      <c r="R667" s="147">
        <v>870</v>
      </c>
      <c r="S667" s="150"/>
      <c r="T667" s="149"/>
      <c r="U667" s="147"/>
      <c r="V667" s="150"/>
      <c r="W667" s="149"/>
    </row>
    <row r="668" spans="15:23" x14ac:dyDescent="0.25">
      <c r="O668" s="147"/>
      <c r="P668" s="150"/>
      <c r="Q668" s="149"/>
      <c r="R668" s="147">
        <v>900</v>
      </c>
      <c r="S668" s="150"/>
      <c r="T668" s="149"/>
      <c r="U668" s="147"/>
      <c r="V668" s="150"/>
      <c r="W668" s="149"/>
    </row>
    <row r="669" spans="15:23" x14ac:dyDescent="0.25">
      <c r="O669" s="147"/>
      <c r="P669" s="150"/>
      <c r="Q669" s="149"/>
      <c r="R669" s="147">
        <v>930</v>
      </c>
      <c r="S669" s="150"/>
      <c r="T669" s="149"/>
      <c r="U669" s="147"/>
      <c r="V669" s="150"/>
      <c r="W669" s="149"/>
    </row>
    <row r="670" spans="15:23" x14ac:dyDescent="0.25">
      <c r="O670" s="147"/>
      <c r="P670" s="150"/>
      <c r="Q670" s="149"/>
      <c r="R670" s="147">
        <v>960</v>
      </c>
      <c r="S670" s="150"/>
      <c r="T670" s="149"/>
      <c r="U670" s="147"/>
      <c r="V670" s="150"/>
      <c r="W670" s="149"/>
    </row>
    <row r="671" spans="15:23" x14ac:dyDescent="0.25">
      <c r="O671" s="147"/>
      <c r="P671" s="150"/>
      <c r="Q671" s="149"/>
      <c r="R671" s="147">
        <v>990</v>
      </c>
      <c r="S671" s="150"/>
      <c r="T671" s="149"/>
      <c r="U671" s="147"/>
      <c r="V671" s="150"/>
      <c r="W671" s="149"/>
    </row>
    <row r="672" spans="15:23" x14ac:dyDescent="0.25">
      <c r="O672" s="156"/>
      <c r="P672" s="150"/>
      <c r="Q672" s="149"/>
      <c r="R672" s="156">
        <v>1020.0166666666667</v>
      </c>
      <c r="S672" s="150"/>
      <c r="T672" s="149"/>
      <c r="U672" s="156"/>
      <c r="V672" s="150"/>
      <c r="W672" s="149"/>
    </row>
    <row r="673" spans="15:23" x14ac:dyDescent="0.25">
      <c r="O673" s="156"/>
      <c r="P673" s="150"/>
      <c r="Q673" s="149"/>
      <c r="R673" s="156">
        <v>1050.0166666666667</v>
      </c>
      <c r="S673" s="150"/>
      <c r="T673" s="149"/>
      <c r="U673" s="156"/>
      <c r="V673" s="150"/>
      <c r="W673" s="149"/>
    </row>
    <row r="674" spans="15:23" x14ac:dyDescent="0.25">
      <c r="O674" s="156"/>
      <c r="P674" s="150"/>
      <c r="Q674" s="149"/>
      <c r="R674" s="156">
        <v>1080.0166666666667</v>
      </c>
      <c r="S674" s="150"/>
      <c r="T674" s="149"/>
      <c r="U674" s="156"/>
      <c r="V674" s="150"/>
      <c r="W674" s="149"/>
    </row>
    <row r="675" spans="15:23" x14ac:dyDescent="0.25">
      <c r="O675" s="156"/>
      <c r="P675" s="150"/>
      <c r="Q675" s="149"/>
      <c r="R675" s="156">
        <v>1110.0166666666667</v>
      </c>
      <c r="S675" s="150"/>
      <c r="T675" s="149"/>
      <c r="U675" s="156"/>
      <c r="V675" s="150"/>
      <c r="W675" s="149"/>
    </row>
    <row r="676" spans="15:23" x14ac:dyDescent="0.25">
      <c r="O676" s="156"/>
      <c r="P676" s="150"/>
      <c r="Q676" s="149"/>
      <c r="R676" s="156">
        <v>1140.0166666666667</v>
      </c>
      <c r="S676" s="150"/>
      <c r="T676" s="149"/>
      <c r="U676" s="156"/>
      <c r="V676" s="150"/>
      <c r="W676" s="149"/>
    </row>
    <row r="677" spans="15:23" x14ac:dyDescent="0.25">
      <c r="O677" s="156"/>
      <c r="P677" s="150"/>
      <c r="Q677" s="149"/>
      <c r="R677" s="156">
        <v>1170.0166666666667</v>
      </c>
      <c r="S677" s="150"/>
      <c r="T677" s="149"/>
      <c r="U677" s="156"/>
      <c r="V677" s="150"/>
      <c r="W677" s="149"/>
    </row>
    <row r="678" spans="15:23" x14ac:dyDescent="0.25">
      <c r="O678" s="156"/>
      <c r="P678" s="150"/>
      <c r="Q678" s="149"/>
      <c r="R678" s="156">
        <v>1200.0166666666667</v>
      </c>
      <c r="S678" s="150"/>
      <c r="T678" s="149"/>
      <c r="U678" s="156"/>
      <c r="V678" s="150"/>
      <c r="W678" s="149"/>
    </row>
    <row r="679" spans="15:23" x14ac:dyDescent="0.25">
      <c r="O679" s="156"/>
      <c r="P679" s="150"/>
      <c r="Q679" s="149"/>
      <c r="R679" s="156">
        <v>1230.0166666666667</v>
      </c>
      <c r="S679" s="150"/>
      <c r="T679" s="149"/>
      <c r="U679" s="156"/>
      <c r="V679" s="150"/>
      <c r="W679" s="149"/>
    </row>
    <row r="680" spans="15:23" x14ac:dyDescent="0.25">
      <c r="O680" s="156"/>
      <c r="P680" s="150"/>
      <c r="Q680" s="149"/>
      <c r="R680" s="156">
        <v>1260.0166666666667</v>
      </c>
      <c r="S680" s="150"/>
      <c r="T680" s="149"/>
      <c r="U680" s="156"/>
      <c r="V680" s="150"/>
      <c r="W680" s="149"/>
    </row>
    <row r="681" spans="15:23" x14ac:dyDescent="0.25">
      <c r="O681" s="156"/>
      <c r="P681" s="150"/>
      <c r="Q681" s="149"/>
      <c r="R681" s="156">
        <v>1290.0166666666667</v>
      </c>
      <c r="S681" s="150"/>
      <c r="T681" s="149"/>
      <c r="U681" s="156"/>
      <c r="V681" s="150"/>
      <c r="W681" s="149"/>
    </row>
    <row r="682" spans="15:23" x14ac:dyDescent="0.25">
      <c r="O682" s="156"/>
      <c r="P682" s="150"/>
      <c r="Q682" s="149"/>
      <c r="R682" s="156">
        <v>1320.0166666666667</v>
      </c>
      <c r="S682" s="150"/>
      <c r="T682" s="149"/>
      <c r="U682" s="156"/>
      <c r="V682" s="150"/>
      <c r="W682" s="149"/>
    </row>
    <row r="683" spans="15:23" x14ac:dyDescent="0.25">
      <c r="O683" s="156"/>
      <c r="P683" s="150"/>
      <c r="Q683" s="149"/>
      <c r="R683" s="156">
        <v>1350.0166666666667</v>
      </c>
      <c r="S683" s="150"/>
      <c r="T683" s="149"/>
      <c r="U683" s="156"/>
      <c r="V683" s="150"/>
      <c r="W683" s="149"/>
    </row>
    <row r="684" spans="15:23" x14ac:dyDescent="0.25">
      <c r="O684" s="156"/>
      <c r="P684" s="150"/>
      <c r="Q684" s="149"/>
      <c r="R684" s="156">
        <v>1380.0166666666667</v>
      </c>
      <c r="S684" s="150"/>
      <c r="T684" s="149"/>
      <c r="U684" s="156"/>
      <c r="V684" s="150"/>
      <c r="W684" s="149"/>
    </row>
    <row r="685" spans="15:23" x14ac:dyDescent="0.25">
      <c r="O685" s="156"/>
      <c r="P685" s="150"/>
      <c r="Q685" s="149"/>
      <c r="R685" s="156">
        <v>1410.0166666666667</v>
      </c>
      <c r="S685" s="150"/>
      <c r="T685" s="149"/>
      <c r="U685" s="156"/>
      <c r="V685" s="150"/>
      <c r="W685" s="149"/>
    </row>
    <row r="686" spans="15:23" x14ac:dyDescent="0.25">
      <c r="O686" s="156"/>
      <c r="P686" s="150"/>
      <c r="Q686" s="149"/>
      <c r="R686" s="156">
        <v>1440.0166666666667</v>
      </c>
      <c r="S686" s="150"/>
      <c r="T686" s="149"/>
      <c r="U686" s="156"/>
      <c r="V686" s="150"/>
      <c r="W686" s="149"/>
    </row>
    <row r="687" spans="15:23" x14ac:dyDescent="0.25">
      <c r="O687" s="156"/>
      <c r="P687" s="150"/>
      <c r="Q687" s="149"/>
      <c r="R687" s="156">
        <v>1470.0166666666667</v>
      </c>
      <c r="S687" s="150"/>
      <c r="T687" s="149"/>
      <c r="U687" s="156"/>
      <c r="V687" s="150"/>
      <c r="W687" s="149"/>
    </row>
    <row r="688" spans="15:23" x14ac:dyDescent="0.25">
      <c r="O688" s="156"/>
      <c r="P688" s="150"/>
      <c r="Q688" s="149"/>
      <c r="R688" s="156">
        <v>1500.0166666666667</v>
      </c>
      <c r="S688" s="150"/>
      <c r="T688" s="149"/>
      <c r="U688" s="156"/>
      <c r="V688" s="150"/>
      <c r="W688" s="149"/>
    </row>
    <row r="689" spans="15:23" x14ac:dyDescent="0.25">
      <c r="O689" s="156"/>
      <c r="P689" s="150"/>
      <c r="Q689" s="149"/>
      <c r="R689" s="156">
        <v>1530.0166666666667</v>
      </c>
      <c r="S689" s="150"/>
      <c r="T689" s="149"/>
      <c r="U689" s="156"/>
      <c r="V689" s="150"/>
      <c r="W689" s="149"/>
    </row>
    <row r="690" spans="15:23" x14ac:dyDescent="0.25">
      <c r="O690" s="156"/>
      <c r="P690" s="150"/>
      <c r="Q690" s="149"/>
      <c r="R690" s="156">
        <v>1553.6166666666666</v>
      </c>
      <c r="S690" s="150"/>
      <c r="T690" s="149"/>
      <c r="U690" s="156"/>
      <c r="V690" s="150"/>
      <c r="W690" s="149"/>
    </row>
    <row r="691" spans="15:23" x14ac:dyDescent="0.25">
      <c r="O691" s="156"/>
      <c r="P691" s="150"/>
      <c r="Q691" s="149"/>
      <c r="R691" s="156">
        <v>1553.6166666666666</v>
      </c>
      <c r="S691" s="150"/>
      <c r="T691" s="149"/>
      <c r="U691" s="156"/>
      <c r="V691" s="150"/>
      <c r="W691" s="149"/>
    </row>
  </sheetData>
  <sheetProtection insertColumns="0" insertRows="0" insertHyperlinks="0" deleteColumns="0" deleteRows="0"/>
  <mergeCells count="75">
    <mergeCell ref="H10:I10"/>
    <mergeCell ref="J10:M10"/>
    <mergeCell ref="H7:I7"/>
    <mergeCell ref="J7:M7"/>
    <mergeCell ref="R18:T19"/>
    <mergeCell ref="L12:M12"/>
    <mergeCell ref="U18:W19"/>
    <mergeCell ref="A7:B7"/>
    <mergeCell ref="C7:G7"/>
    <mergeCell ref="O18:Q19"/>
    <mergeCell ref="A8:B8"/>
    <mergeCell ref="C8:G8"/>
    <mergeCell ref="H8:I8"/>
    <mergeCell ref="J8:M8"/>
    <mergeCell ref="A9:B9"/>
    <mergeCell ref="C9:G9"/>
    <mergeCell ref="H9:I9"/>
    <mergeCell ref="A10:B10"/>
    <mergeCell ref="C10:G10"/>
    <mergeCell ref="B11:K11"/>
    <mergeCell ref="A12:B12"/>
    <mergeCell ref="H12:I12"/>
    <mergeCell ref="C6:G6"/>
    <mergeCell ref="A1:C4"/>
    <mergeCell ref="D1:J1"/>
    <mergeCell ref="D2:J4"/>
    <mergeCell ref="B5:K5"/>
    <mergeCell ref="A6:B6"/>
    <mergeCell ref="H6:I6"/>
    <mergeCell ref="J6:M6"/>
    <mergeCell ref="K1:M1"/>
    <mergeCell ref="K2:M2"/>
    <mergeCell ref="K3:M3"/>
    <mergeCell ref="K4:M4"/>
    <mergeCell ref="C12:E12"/>
    <mergeCell ref="A13:B13"/>
    <mergeCell ref="C13:M13"/>
    <mergeCell ref="K18:M18"/>
    <mergeCell ref="K19:M19"/>
    <mergeCell ref="A16:M16"/>
    <mergeCell ref="G17:H17"/>
    <mergeCell ref="K20:M20"/>
    <mergeCell ref="K21:M21"/>
    <mergeCell ref="K22:M22"/>
    <mergeCell ref="K23:M23"/>
    <mergeCell ref="K24:M24"/>
    <mergeCell ref="K25:M25"/>
    <mergeCell ref="K26:M26"/>
    <mergeCell ref="K27:M27"/>
    <mergeCell ref="K28:M28"/>
    <mergeCell ref="K29:M29"/>
    <mergeCell ref="K30:M30"/>
    <mergeCell ref="K31:M31"/>
    <mergeCell ref="K32:M32"/>
    <mergeCell ref="K33:M33"/>
    <mergeCell ref="K34:M34"/>
    <mergeCell ref="K35:M35"/>
    <mergeCell ref="K36:M36"/>
    <mergeCell ref="K37:M37"/>
    <mergeCell ref="K38:M38"/>
    <mergeCell ref="K39:M39"/>
    <mergeCell ref="K40:M40"/>
    <mergeCell ref="K41:M41"/>
    <mergeCell ref="K42:M42"/>
    <mergeCell ref="K43:M43"/>
    <mergeCell ref="K44:M44"/>
    <mergeCell ref="A71:M71"/>
    <mergeCell ref="A72:M73"/>
    <mergeCell ref="A74:M74"/>
    <mergeCell ref="K45:M45"/>
    <mergeCell ref="K46:M46"/>
    <mergeCell ref="K47:M47"/>
    <mergeCell ref="K48:M48"/>
    <mergeCell ref="K49:M49"/>
    <mergeCell ref="A53:A68"/>
  </mergeCells>
  <conditionalFormatting sqref="C6:C10 C12:C13 H6:J8 K9:M9 F12:L12 A6:A10 H9:I10 A12:A13">
    <cfRule type="containsBlanks" dxfId="25" priority="5">
      <formula>LEN(TRIM(A6))=0</formula>
    </cfRule>
  </conditionalFormatting>
  <conditionalFormatting sqref="C6:C10">
    <cfRule type="containsBlanks" dxfId="24" priority="4">
      <formula>LEN(TRIM(C6))=0</formula>
    </cfRule>
  </conditionalFormatting>
  <conditionalFormatting sqref="C12:C13">
    <cfRule type="containsBlanks" dxfId="23" priority="2">
      <formula>LEN(TRIM(C12))=0</formula>
    </cfRule>
  </conditionalFormatting>
  <conditionalFormatting sqref="J6:J8 J9:M9 G12 J12 L12">
    <cfRule type="containsBlanks" dxfId="22" priority="1">
      <formula>LEN(TRIM(G6))=0</formula>
    </cfRule>
  </conditionalFormatting>
  <hyperlinks>
    <hyperlink ref="C8" r:id="rId1" display="GERENCIA.DCMING@GMAIL.COM" xr:uid="{00000000-0004-0000-0200-000000000000}"/>
  </hyperlinks>
  <printOptions horizontalCentered="1" verticalCentered="1"/>
  <pageMargins left="0.25" right="0.25" top="0.75" bottom="0.75" header="0.3" footer="0.3"/>
  <pageSetup scale="45" orientation="landscape" copies="30" r:id="rId2"/>
  <headerFooter>
    <oddFooter>&amp;C&amp;"Verdana,Negrita"&amp;8&amp;K000000GEODELTA S.A.S. Calle 68 B bis No 70 C 95, Móvil: 318 7902368 Bogotá DC - Colombia
e-mail: laboratoriogeodelta@gmail.com</oddFooter>
  </headerFooter>
  <rowBreaks count="1" manualBreakCount="1">
    <brk id="74" max="11" man="1"/>
  </rowBreaks>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023"/>
  <sheetViews>
    <sheetView topLeftCell="E1" zoomScaleNormal="100" workbookViewId="0">
      <selection activeCell="W986" sqref="W986"/>
    </sheetView>
  </sheetViews>
  <sheetFormatPr baseColWidth="10" defaultRowHeight="15" x14ac:dyDescent="0.25"/>
  <cols>
    <col min="1" max="1" width="15.42578125" bestFit="1" customWidth="1"/>
    <col min="2" max="2" width="20.85546875" bestFit="1" customWidth="1"/>
    <col min="3" max="3" width="8" bestFit="1" customWidth="1"/>
    <col min="4" max="5" width="18.42578125" bestFit="1" customWidth="1"/>
    <col min="8" max="8" width="15.42578125" bestFit="1" customWidth="1"/>
    <col min="9" max="9" width="20.85546875" bestFit="1" customWidth="1"/>
    <col min="10" max="10" width="8" bestFit="1" customWidth="1"/>
    <col min="11" max="12" width="18.42578125" bestFit="1" customWidth="1"/>
    <col min="15" max="15" width="17.85546875" style="4" customWidth="1"/>
    <col min="16" max="18" width="17.85546875" style="222" customWidth="1"/>
    <col min="19" max="19" width="18.42578125" bestFit="1" customWidth="1"/>
  </cols>
  <sheetData>
    <row r="1" spans="1:21" x14ac:dyDescent="0.25">
      <c r="A1" s="7" t="s">
        <v>0</v>
      </c>
      <c r="B1" s="8" t="s">
        <v>155</v>
      </c>
      <c r="C1" s="8" t="s">
        <v>2</v>
      </c>
      <c r="D1" s="8" t="s">
        <v>3</v>
      </c>
      <c r="E1" s="1" t="s">
        <v>3</v>
      </c>
      <c r="F1" s="224"/>
      <c r="H1" s="13" t="s">
        <v>0</v>
      </c>
      <c r="I1" s="14" t="s">
        <v>1</v>
      </c>
      <c r="J1" s="14" t="s">
        <v>2</v>
      </c>
      <c r="K1" s="14" t="s">
        <v>3</v>
      </c>
      <c r="L1" s="1" t="s">
        <v>3</v>
      </c>
      <c r="M1" s="226"/>
      <c r="O1" s="7" t="s">
        <v>0</v>
      </c>
      <c r="P1" s="8" t="s">
        <v>1</v>
      </c>
      <c r="Q1" s="8" t="s">
        <v>2</v>
      </c>
      <c r="R1" s="8" t="s">
        <v>3</v>
      </c>
      <c r="S1" s="1" t="s">
        <v>3</v>
      </c>
      <c r="T1" s="225"/>
      <c r="U1" s="228"/>
    </row>
    <row r="2" spans="1:21" x14ac:dyDescent="0.25">
      <c r="A2" s="9" t="s">
        <v>4</v>
      </c>
      <c r="B2" s="10" t="s">
        <v>5</v>
      </c>
      <c r="C2" s="10" t="s">
        <v>6</v>
      </c>
      <c r="D2" s="10" t="s">
        <v>14</v>
      </c>
      <c r="E2" s="2" t="s">
        <v>10</v>
      </c>
      <c r="F2" s="225"/>
      <c r="G2" s="228"/>
      <c r="H2" s="15" t="s">
        <v>4</v>
      </c>
      <c r="I2" s="16" t="s">
        <v>5</v>
      </c>
      <c r="J2" s="16" t="s">
        <v>6</v>
      </c>
      <c r="K2" s="16" t="s">
        <v>14</v>
      </c>
      <c r="L2" s="2" t="s">
        <v>10</v>
      </c>
      <c r="N2" s="228"/>
      <c r="O2" s="9" t="s">
        <v>4</v>
      </c>
      <c r="P2" s="10" t="s">
        <v>5</v>
      </c>
      <c r="Q2" s="10" t="s">
        <v>6</v>
      </c>
      <c r="R2" s="10" t="s">
        <v>14</v>
      </c>
      <c r="S2" s="2" t="s">
        <v>10</v>
      </c>
      <c r="T2" s="225"/>
      <c r="U2" s="228"/>
    </row>
    <row r="3" spans="1:21" x14ac:dyDescent="0.25">
      <c r="E3" s="431">
        <v>0</v>
      </c>
      <c r="H3" s="223"/>
      <c r="I3" s="223"/>
      <c r="J3" s="223"/>
      <c r="K3" s="223"/>
      <c r="L3" s="431">
        <f>+K3/100</f>
        <v>0</v>
      </c>
      <c r="M3" s="227"/>
      <c r="O3" s="11"/>
      <c r="P3" s="12"/>
      <c r="Q3" s="12"/>
      <c r="R3" s="12"/>
      <c r="S3" s="431">
        <f>+R3/100</f>
        <v>0</v>
      </c>
    </row>
    <row r="4" spans="1:21" x14ac:dyDescent="0.25">
      <c r="E4" s="431">
        <f t="shared" ref="E4:E67" si="0">+D4/100</f>
        <v>0</v>
      </c>
      <c r="H4" s="223"/>
      <c r="I4" s="223"/>
      <c r="J4" s="223"/>
      <c r="K4" s="223"/>
      <c r="L4" s="431">
        <f>+K4/100</f>
        <v>0</v>
      </c>
      <c r="M4" s="227"/>
      <c r="O4" s="11"/>
      <c r="P4" s="12"/>
      <c r="Q4" s="12"/>
      <c r="R4" s="12"/>
      <c r="S4" s="431">
        <f>+R4/100</f>
        <v>0</v>
      </c>
    </row>
    <row r="5" spans="1:21" ht="13.5" customHeight="1" x14ac:dyDescent="0.25">
      <c r="E5" s="431">
        <f t="shared" si="0"/>
        <v>0</v>
      </c>
      <c r="H5" s="223"/>
      <c r="I5" s="223"/>
      <c r="J5" s="223"/>
      <c r="K5" s="223"/>
      <c r="L5" s="431">
        <f t="shared" ref="L5:L67" si="1">+K5/100</f>
        <v>0</v>
      </c>
      <c r="M5" s="227"/>
      <c r="O5" s="11"/>
      <c r="P5" s="12"/>
      <c r="Q5" s="12"/>
      <c r="R5" s="12"/>
      <c r="S5" s="431">
        <f t="shared" ref="S5:S68" si="2">+R5/100</f>
        <v>0</v>
      </c>
    </row>
    <row r="6" spans="1:21" x14ac:dyDescent="0.25">
      <c r="E6" s="431">
        <f t="shared" si="0"/>
        <v>0</v>
      </c>
      <c r="H6" s="223"/>
      <c r="I6" s="223"/>
      <c r="J6" s="223"/>
      <c r="K6" s="223"/>
      <c r="L6" s="431">
        <f>+K6/100</f>
        <v>0</v>
      </c>
      <c r="M6" s="227"/>
      <c r="O6" s="11"/>
      <c r="P6" s="12"/>
      <c r="Q6" s="12"/>
      <c r="R6" s="12"/>
      <c r="S6" s="431">
        <f t="shared" si="2"/>
        <v>0</v>
      </c>
    </row>
    <row r="7" spans="1:21" x14ac:dyDescent="0.25">
      <c r="E7" s="431">
        <f t="shared" si="0"/>
        <v>0</v>
      </c>
      <c r="H7" s="223"/>
      <c r="I7" s="223"/>
      <c r="J7" s="223"/>
      <c r="K7" s="223"/>
      <c r="L7" s="431">
        <f t="shared" si="1"/>
        <v>0</v>
      </c>
      <c r="M7" s="227"/>
      <c r="O7" s="11"/>
      <c r="P7" s="12"/>
      <c r="Q7" s="12"/>
      <c r="R7" s="12"/>
      <c r="S7" s="431">
        <f t="shared" si="2"/>
        <v>0</v>
      </c>
    </row>
    <row r="8" spans="1:21" x14ac:dyDescent="0.25">
      <c r="E8" s="431">
        <f t="shared" si="0"/>
        <v>0</v>
      </c>
      <c r="H8" s="223"/>
      <c r="I8" s="223"/>
      <c r="J8" s="223"/>
      <c r="K8" s="223"/>
      <c r="L8" s="431">
        <f t="shared" si="1"/>
        <v>0</v>
      </c>
      <c r="M8" s="227"/>
      <c r="O8" s="11"/>
      <c r="P8" s="12"/>
      <c r="Q8" s="12"/>
      <c r="R8" s="12"/>
      <c r="S8" s="431">
        <f t="shared" si="2"/>
        <v>0</v>
      </c>
    </row>
    <row r="9" spans="1:21" x14ac:dyDescent="0.25">
      <c r="E9" s="431">
        <f t="shared" si="0"/>
        <v>0</v>
      </c>
      <c r="H9" s="223"/>
      <c r="I9" s="223"/>
      <c r="J9" s="223"/>
      <c r="K9" s="223"/>
      <c r="L9" s="431">
        <f t="shared" si="1"/>
        <v>0</v>
      </c>
      <c r="M9" s="227"/>
      <c r="O9" s="11"/>
      <c r="P9" s="12"/>
      <c r="Q9" s="12"/>
      <c r="R9" s="12"/>
      <c r="S9" s="431">
        <f t="shared" si="2"/>
        <v>0</v>
      </c>
    </row>
    <row r="10" spans="1:21" x14ac:dyDescent="0.25">
      <c r="E10" s="431">
        <f t="shared" si="0"/>
        <v>0</v>
      </c>
      <c r="H10" s="223"/>
      <c r="I10" s="223"/>
      <c r="J10" s="223"/>
      <c r="K10" s="223"/>
      <c r="L10" s="431">
        <f t="shared" si="1"/>
        <v>0</v>
      </c>
      <c r="M10" s="227"/>
      <c r="O10" s="11"/>
      <c r="P10" s="12"/>
      <c r="Q10" s="12"/>
      <c r="R10" s="12"/>
      <c r="S10" s="431">
        <f t="shared" si="2"/>
        <v>0</v>
      </c>
    </row>
    <row r="11" spans="1:21" x14ac:dyDescent="0.25">
      <c r="E11" s="431">
        <f t="shared" si="0"/>
        <v>0</v>
      </c>
      <c r="H11" s="223"/>
      <c r="I11" s="223"/>
      <c r="J11" s="223"/>
      <c r="K11" s="223"/>
      <c r="L11" s="431">
        <f t="shared" si="1"/>
        <v>0</v>
      </c>
      <c r="M11" s="227"/>
      <c r="O11" s="11"/>
      <c r="P11" s="12"/>
      <c r="Q11" s="12"/>
      <c r="R11" s="12"/>
      <c r="S11" s="431">
        <f t="shared" si="2"/>
        <v>0</v>
      </c>
    </row>
    <row r="12" spans="1:21" x14ac:dyDescent="0.25">
      <c r="E12" s="431">
        <f t="shared" si="0"/>
        <v>0</v>
      </c>
      <c r="H12" s="223"/>
      <c r="I12" s="223"/>
      <c r="J12" s="223"/>
      <c r="K12" s="223"/>
      <c r="L12" s="431">
        <f t="shared" si="1"/>
        <v>0</v>
      </c>
      <c r="M12" s="227"/>
      <c r="O12" s="11"/>
      <c r="P12" s="12"/>
      <c r="Q12" s="12"/>
      <c r="R12" s="12"/>
      <c r="S12" s="431">
        <f t="shared" si="2"/>
        <v>0</v>
      </c>
    </row>
    <row r="13" spans="1:21" x14ac:dyDescent="0.25">
      <c r="E13" s="431">
        <f t="shared" si="0"/>
        <v>0</v>
      </c>
      <c r="H13" s="223"/>
      <c r="I13" s="223"/>
      <c r="J13" s="223"/>
      <c r="K13" s="223"/>
      <c r="L13" s="431">
        <f t="shared" si="1"/>
        <v>0</v>
      </c>
      <c r="M13" s="227"/>
      <c r="O13" s="11"/>
      <c r="P13" s="12"/>
      <c r="Q13" s="12"/>
      <c r="R13" s="12"/>
      <c r="S13" s="431">
        <f t="shared" si="2"/>
        <v>0</v>
      </c>
    </row>
    <row r="14" spans="1:21" x14ac:dyDescent="0.25">
      <c r="E14" s="431">
        <f t="shared" si="0"/>
        <v>0</v>
      </c>
      <c r="H14" s="223"/>
      <c r="I14" s="223"/>
      <c r="J14" s="223"/>
      <c r="K14" s="223"/>
      <c r="L14" s="431">
        <f t="shared" si="1"/>
        <v>0</v>
      </c>
      <c r="M14" s="227"/>
      <c r="O14" s="11"/>
      <c r="P14" s="12"/>
      <c r="Q14" s="12"/>
      <c r="R14" s="12"/>
      <c r="S14" s="431">
        <f t="shared" si="2"/>
        <v>0</v>
      </c>
    </row>
    <row r="15" spans="1:21" x14ac:dyDescent="0.25">
      <c r="E15" s="431">
        <f t="shared" si="0"/>
        <v>0</v>
      </c>
      <c r="H15" s="223"/>
      <c r="I15" s="223"/>
      <c r="J15" s="223"/>
      <c r="K15" s="223"/>
      <c r="L15" s="431">
        <f t="shared" si="1"/>
        <v>0</v>
      </c>
      <c r="M15" s="227"/>
      <c r="O15" s="11"/>
      <c r="P15" s="12"/>
      <c r="Q15" s="12"/>
      <c r="R15" s="12"/>
      <c r="S15" s="431">
        <f t="shared" si="2"/>
        <v>0</v>
      </c>
    </row>
    <row r="16" spans="1:21" x14ac:dyDescent="0.25">
      <c r="E16" s="431">
        <f t="shared" si="0"/>
        <v>0</v>
      </c>
      <c r="H16" s="223"/>
      <c r="I16" s="223"/>
      <c r="J16" s="223"/>
      <c r="K16" s="223"/>
      <c r="L16" s="431">
        <f t="shared" si="1"/>
        <v>0</v>
      </c>
      <c r="M16" s="227"/>
      <c r="O16" s="11"/>
      <c r="P16" s="12"/>
      <c r="Q16" s="12"/>
      <c r="R16" s="12"/>
      <c r="S16" s="431">
        <f t="shared" si="2"/>
        <v>0</v>
      </c>
    </row>
    <row r="17" spans="5:19" x14ac:dyDescent="0.25">
      <c r="E17" s="431">
        <f t="shared" si="0"/>
        <v>0</v>
      </c>
      <c r="H17" s="223"/>
      <c r="I17" s="223"/>
      <c r="J17" s="223"/>
      <c r="K17" s="223"/>
      <c r="L17" s="431">
        <f t="shared" si="1"/>
        <v>0</v>
      </c>
      <c r="M17" s="227"/>
      <c r="O17" s="11"/>
      <c r="P17" s="12"/>
      <c r="Q17" s="12"/>
      <c r="R17" s="12"/>
      <c r="S17" s="431">
        <f t="shared" si="2"/>
        <v>0</v>
      </c>
    </row>
    <row r="18" spans="5:19" x14ac:dyDescent="0.25">
      <c r="E18" s="431">
        <f t="shared" si="0"/>
        <v>0</v>
      </c>
      <c r="H18" s="223"/>
      <c r="I18" s="223"/>
      <c r="J18" s="223"/>
      <c r="K18" s="223"/>
      <c r="L18" s="431">
        <f t="shared" si="1"/>
        <v>0</v>
      </c>
      <c r="M18" s="227"/>
      <c r="O18" s="11"/>
      <c r="P18" s="12"/>
      <c r="Q18" s="12"/>
      <c r="R18" s="12"/>
      <c r="S18" s="431">
        <f t="shared" si="2"/>
        <v>0</v>
      </c>
    </row>
    <row r="19" spans="5:19" x14ac:dyDescent="0.25">
      <c r="E19" s="431">
        <f t="shared" si="0"/>
        <v>0</v>
      </c>
      <c r="H19" s="223"/>
      <c r="I19" s="223"/>
      <c r="J19" s="223"/>
      <c r="K19" s="223"/>
      <c r="L19" s="431">
        <f t="shared" si="1"/>
        <v>0</v>
      </c>
      <c r="M19" s="227"/>
      <c r="O19" s="11"/>
      <c r="P19" s="12"/>
      <c r="Q19" s="12"/>
      <c r="R19" s="12"/>
      <c r="S19" s="431">
        <f t="shared" si="2"/>
        <v>0</v>
      </c>
    </row>
    <row r="20" spans="5:19" x14ac:dyDescent="0.25">
      <c r="E20" s="431">
        <f t="shared" si="0"/>
        <v>0</v>
      </c>
      <c r="H20" s="223"/>
      <c r="I20" s="223"/>
      <c r="J20" s="223"/>
      <c r="K20" s="223"/>
      <c r="L20" s="431">
        <f t="shared" si="1"/>
        <v>0</v>
      </c>
      <c r="M20" s="227"/>
      <c r="O20" s="11"/>
      <c r="P20" s="12"/>
      <c r="Q20" s="12"/>
      <c r="R20" s="12"/>
      <c r="S20" s="431">
        <f t="shared" si="2"/>
        <v>0</v>
      </c>
    </row>
    <row r="21" spans="5:19" x14ac:dyDescent="0.25">
      <c r="E21" s="431">
        <f t="shared" si="0"/>
        <v>0</v>
      </c>
      <c r="H21" s="223"/>
      <c r="I21" s="223"/>
      <c r="J21" s="223"/>
      <c r="K21" s="223"/>
      <c r="L21" s="431">
        <f t="shared" si="1"/>
        <v>0</v>
      </c>
      <c r="M21" s="227"/>
      <c r="O21" s="11"/>
      <c r="P21" s="12"/>
      <c r="Q21" s="12"/>
      <c r="R21" s="12"/>
      <c r="S21" s="431">
        <f t="shared" si="2"/>
        <v>0</v>
      </c>
    </row>
    <row r="22" spans="5:19" x14ac:dyDescent="0.25">
      <c r="E22" s="431">
        <f t="shared" si="0"/>
        <v>0</v>
      </c>
      <c r="H22" s="223"/>
      <c r="I22" s="223"/>
      <c r="J22" s="223"/>
      <c r="K22" s="223"/>
      <c r="L22" s="431">
        <f t="shared" si="1"/>
        <v>0</v>
      </c>
      <c r="M22" s="227"/>
      <c r="O22" s="11"/>
      <c r="P22" s="12"/>
      <c r="Q22" s="12"/>
      <c r="R22" s="12"/>
      <c r="S22" s="431">
        <f t="shared" si="2"/>
        <v>0</v>
      </c>
    </row>
    <row r="23" spans="5:19" x14ac:dyDescent="0.25">
      <c r="E23" s="431">
        <f t="shared" si="0"/>
        <v>0</v>
      </c>
      <c r="H23" s="223"/>
      <c r="I23" s="223"/>
      <c r="J23" s="223"/>
      <c r="K23" s="223"/>
      <c r="L23" s="431">
        <f t="shared" si="1"/>
        <v>0</v>
      </c>
      <c r="M23" s="227"/>
      <c r="O23" s="11"/>
      <c r="P23" s="12"/>
      <c r="Q23" s="12"/>
      <c r="R23" s="12"/>
      <c r="S23" s="431">
        <f t="shared" si="2"/>
        <v>0</v>
      </c>
    </row>
    <row r="24" spans="5:19" x14ac:dyDescent="0.25">
      <c r="E24" s="431">
        <f t="shared" si="0"/>
        <v>0</v>
      </c>
      <c r="H24" s="223"/>
      <c r="I24" s="223"/>
      <c r="J24" s="223"/>
      <c r="K24" s="223"/>
      <c r="L24" s="431">
        <f t="shared" si="1"/>
        <v>0</v>
      </c>
      <c r="M24" s="227"/>
      <c r="O24" s="11"/>
      <c r="P24" s="12"/>
      <c r="Q24" s="12"/>
      <c r="R24" s="12"/>
      <c r="S24" s="431">
        <f t="shared" si="2"/>
        <v>0</v>
      </c>
    </row>
    <row r="25" spans="5:19" x14ac:dyDescent="0.25">
      <c r="E25" s="431">
        <f t="shared" si="0"/>
        <v>0</v>
      </c>
      <c r="H25" s="223"/>
      <c r="I25" s="223"/>
      <c r="J25" s="223"/>
      <c r="K25" s="223"/>
      <c r="L25" s="431">
        <f t="shared" si="1"/>
        <v>0</v>
      </c>
      <c r="M25" s="227"/>
      <c r="O25" s="11"/>
      <c r="P25" s="12"/>
      <c r="Q25" s="12"/>
      <c r="R25" s="12"/>
      <c r="S25" s="431">
        <f t="shared" si="2"/>
        <v>0</v>
      </c>
    </row>
    <row r="26" spans="5:19" x14ac:dyDescent="0.25">
      <c r="E26" s="431">
        <f t="shared" si="0"/>
        <v>0</v>
      </c>
      <c r="H26" s="223"/>
      <c r="I26" s="223"/>
      <c r="J26" s="223"/>
      <c r="K26" s="223"/>
      <c r="L26" s="431">
        <f t="shared" si="1"/>
        <v>0</v>
      </c>
      <c r="M26" s="227"/>
      <c r="O26" s="11"/>
      <c r="P26" s="12"/>
      <c r="Q26" s="12"/>
      <c r="R26" s="12"/>
      <c r="S26" s="431">
        <f t="shared" si="2"/>
        <v>0</v>
      </c>
    </row>
    <row r="27" spans="5:19" x14ac:dyDescent="0.25">
      <c r="E27" s="431">
        <f t="shared" si="0"/>
        <v>0</v>
      </c>
      <c r="H27" s="223"/>
      <c r="I27" s="223"/>
      <c r="J27" s="223"/>
      <c r="K27" s="223"/>
      <c r="L27" s="431">
        <f t="shared" si="1"/>
        <v>0</v>
      </c>
      <c r="M27" s="227"/>
      <c r="O27" s="11"/>
      <c r="P27" s="12"/>
      <c r="Q27" s="12"/>
      <c r="R27" s="12"/>
      <c r="S27" s="431">
        <f t="shared" si="2"/>
        <v>0</v>
      </c>
    </row>
    <row r="28" spans="5:19" x14ac:dyDescent="0.25">
      <c r="E28" s="431">
        <f t="shared" si="0"/>
        <v>0</v>
      </c>
      <c r="H28" s="223"/>
      <c r="I28" s="223"/>
      <c r="J28" s="223"/>
      <c r="K28" s="223"/>
      <c r="L28" s="431">
        <f t="shared" si="1"/>
        <v>0</v>
      </c>
      <c r="M28" s="227"/>
      <c r="O28" s="11"/>
      <c r="P28" s="12"/>
      <c r="Q28" s="12"/>
      <c r="R28" s="12"/>
      <c r="S28" s="431">
        <f t="shared" si="2"/>
        <v>0</v>
      </c>
    </row>
    <row r="29" spans="5:19" x14ac:dyDescent="0.25">
      <c r="E29" s="431">
        <f t="shared" si="0"/>
        <v>0</v>
      </c>
      <c r="H29" s="223"/>
      <c r="I29" s="223"/>
      <c r="J29" s="223"/>
      <c r="K29" s="223"/>
      <c r="L29" s="431">
        <f t="shared" si="1"/>
        <v>0</v>
      </c>
      <c r="M29" s="227"/>
      <c r="O29" s="11"/>
      <c r="P29" s="12"/>
      <c r="Q29" s="12"/>
      <c r="R29" s="12"/>
      <c r="S29" s="431">
        <f t="shared" si="2"/>
        <v>0</v>
      </c>
    </row>
    <row r="30" spans="5:19" x14ac:dyDescent="0.25">
      <c r="E30" s="431">
        <f t="shared" si="0"/>
        <v>0</v>
      </c>
      <c r="H30" s="223"/>
      <c r="I30" s="223"/>
      <c r="J30" s="223"/>
      <c r="K30" s="223"/>
      <c r="L30" s="431">
        <f t="shared" si="1"/>
        <v>0</v>
      </c>
      <c r="M30" s="227"/>
      <c r="O30" s="11"/>
      <c r="P30" s="12"/>
      <c r="Q30" s="12"/>
      <c r="R30" s="12"/>
      <c r="S30" s="431">
        <f t="shared" si="2"/>
        <v>0</v>
      </c>
    </row>
    <row r="31" spans="5:19" x14ac:dyDescent="0.25">
      <c r="E31" s="431">
        <f t="shared" si="0"/>
        <v>0</v>
      </c>
      <c r="H31" s="223"/>
      <c r="I31" s="223"/>
      <c r="J31" s="223"/>
      <c r="K31" s="223"/>
      <c r="L31" s="431">
        <f t="shared" si="1"/>
        <v>0</v>
      </c>
      <c r="M31" s="227"/>
      <c r="O31" s="11"/>
      <c r="P31" s="12"/>
      <c r="Q31" s="12"/>
      <c r="R31" s="12"/>
      <c r="S31" s="431">
        <f t="shared" si="2"/>
        <v>0</v>
      </c>
    </row>
    <row r="32" spans="5:19" x14ac:dyDescent="0.25">
      <c r="E32" s="431">
        <f t="shared" si="0"/>
        <v>0</v>
      </c>
      <c r="H32" s="223"/>
      <c r="I32" s="223"/>
      <c r="J32" s="223"/>
      <c r="K32" s="223"/>
      <c r="L32" s="431">
        <f t="shared" si="1"/>
        <v>0</v>
      </c>
      <c r="M32" s="227"/>
      <c r="O32" s="11"/>
      <c r="P32" s="12"/>
      <c r="Q32" s="12"/>
      <c r="R32" s="12"/>
      <c r="S32" s="431">
        <f t="shared" si="2"/>
        <v>0</v>
      </c>
    </row>
    <row r="33" spans="5:19" x14ac:dyDescent="0.25">
      <c r="E33" s="431">
        <f t="shared" si="0"/>
        <v>0</v>
      </c>
      <c r="H33" s="223"/>
      <c r="I33" s="223"/>
      <c r="J33" s="223"/>
      <c r="K33" s="223"/>
      <c r="L33" s="431">
        <f t="shared" si="1"/>
        <v>0</v>
      </c>
      <c r="M33" s="227"/>
      <c r="O33" s="11"/>
      <c r="P33" s="12"/>
      <c r="Q33" s="12"/>
      <c r="R33" s="12"/>
      <c r="S33" s="431">
        <f t="shared" si="2"/>
        <v>0</v>
      </c>
    </row>
    <row r="34" spans="5:19" x14ac:dyDescent="0.25">
      <c r="E34" s="431">
        <f t="shared" si="0"/>
        <v>0</v>
      </c>
      <c r="H34" s="223"/>
      <c r="I34" s="223"/>
      <c r="J34" s="223"/>
      <c r="K34" s="223"/>
      <c r="L34" s="431">
        <f t="shared" si="1"/>
        <v>0</v>
      </c>
      <c r="M34" s="227"/>
      <c r="O34" s="11"/>
      <c r="P34" s="12"/>
      <c r="Q34" s="12"/>
      <c r="R34" s="12"/>
      <c r="S34" s="431">
        <f t="shared" si="2"/>
        <v>0</v>
      </c>
    </row>
    <row r="35" spans="5:19" x14ac:dyDescent="0.25">
      <c r="E35" s="431">
        <f t="shared" si="0"/>
        <v>0</v>
      </c>
      <c r="H35" s="223"/>
      <c r="I35" s="223"/>
      <c r="J35" s="223"/>
      <c r="K35" s="223"/>
      <c r="L35" s="431">
        <f t="shared" si="1"/>
        <v>0</v>
      </c>
      <c r="M35" s="227"/>
      <c r="O35" s="11"/>
      <c r="P35" s="12"/>
      <c r="Q35" s="12"/>
      <c r="R35" s="12"/>
      <c r="S35" s="431">
        <f t="shared" si="2"/>
        <v>0</v>
      </c>
    </row>
    <row r="36" spans="5:19" x14ac:dyDescent="0.25">
      <c r="E36" s="431">
        <f t="shared" si="0"/>
        <v>0</v>
      </c>
      <c r="H36" s="223"/>
      <c r="I36" s="223"/>
      <c r="J36" s="223"/>
      <c r="K36" s="223"/>
      <c r="L36" s="431">
        <f t="shared" si="1"/>
        <v>0</v>
      </c>
      <c r="M36" s="227"/>
      <c r="O36" s="11"/>
      <c r="P36" s="12"/>
      <c r="Q36" s="12"/>
      <c r="R36" s="12"/>
      <c r="S36" s="431">
        <f t="shared" si="2"/>
        <v>0</v>
      </c>
    </row>
    <row r="37" spans="5:19" x14ac:dyDescent="0.25">
      <c r="E37" s="431">
        <f t="shared" si="0"/>
        <v>0</v>
      </c>
      <c r="H37" s="223"/>
      <c r="I37" s="223"/>
      <c r="J37" s="223"/>
      <c r="K37" s="223"/>
      <c r="L37" s="431">
        <f t="shared" si="1"/>
        <v>0</v>
      </c>
      <c r="M37" s="227"/>
      <c r="O37" s="11"/>
      <c r="P37" s="12"/>
      <c r="Q37" s="12"/>
      <c r="R37" s="12"/>
      <c r="S37" s="431">
        <f t="shared" si="2"/>
        <v>0</v>
      </c>
    </row>
    <row r="38" spans="5:19" x14ac:dyDescent="0.25">
      <c r="E38" s="431">
        <f t="shared" si="0"/>
        <v>0</v>
      </c>
      <c r="H38" s="223"/>
      <c r="I38" s="223"/>
      <c r="J38" s="223"/>
      <c r="K38" s="223"/>
      <c r="L38" s="431">
        <f t="shared" si="1"/>
        <v>0</v>
      </c>
      <c r="M38" s="227"/>
      <c r="O38" s="11"/>
      <c r="P38" s="12"/>
      <c r="Q38" s="12"/>
      <c r="R38" s="12"/>
      <c r="S38" s="431">
        <f t="shared" si="2"/>
        <v>0</v>
      </c>
    </row>
    <row r="39" spans="5:19" x14ac:dyDescent="0.25">
      <c r="E39" s="431">
        <f t="shared" si="0"/>
        <v>0</v>
      </c>
      <c r="H39" s="223"/>
      <c r="I39" s="223"/>
      <c r="J39" s="223"/>
      <c r="K39" s="223"/>
      <c r="L39" s="431">
        <f t="shared" si="1"/>
        <v>0</v>
      </c>
      <c r="M39" s="227"/>
      <c r="O39" s="11"/>
      <c r="P39" s="12"/>
      <c r="Q39" s="12"/>
      <c r="R39" s="12"/>
      <c r="S39" s="431">
        <f t="shared" si="2"/>
        <v>0</v>
      </c>
    </row>
    <row r="40" spans="5:19" x14ac:dyDescent="0.25">
      <c r="E40" s="431">
        <f t="shared" si="0"/>
        <v>0</v>
      </c>
      <c r="H40" s="223"/>
      <c r="I40" s="223"/>
      <c r="J40" s="223"/>
      <c r="K40" s="223"/>
      <c r="L40" s="431">
        <f t="shared" si="1"/>
        <v>0</v>
      </c>
      <c r="M40" s="227"/>
      <c r="O40" s="11"/>
      <c r="P40" s="12"/>
      <c r="Q40" s="12"/>
      <c r="R40" s="12"/>
      <c r="S40" s="431">
        <f t="shared" si="2"/>
        <v>0</v>
      </c>
    </row>
    <row r="41" spans="5:19" x14ac:dyDescent="0.25">
      <c r="E41" s="431">
        <f t="shared" si="0"/>
        <v>0</v>
      </c>
      <c r="H41" s="223"/>
      <c r="I41" s="223"/>
      <c r="J41" s="223"/>
      <c r="K41" s="223"/>
      <c r="L41" s="431">
        <f t="shared" si="1"/>
        <v>0</v>
      </c>
      <c r="M41" s="227"/>
      <c r="O41" s="11"/>
      <c r="P41" s="12"/>
      <c r="Q41" s="12"/>
      <c r="R41" s="12"/>
      <c r="S41" s="431">
        <f t="shared" si="2"/>
        <v>0</v>
      </c>
    </row>
    <row r="42" spans="5:19" x14ac:dyDescent="0.25">
      <c r="E42" s="431">
        <f t="shared" si="0"/>
        <v>0</v>
      </c>
      <c r="H42" s="223"/>
      <c r="I42" s="223"/>
      <c r="J42" s="223"/>
      <c r="K42" s="223"/>
      <c r="L42" s="431">
        <f t="shared" si="1"/>
        <v>0</v>
      </c>
      <c r="M42" s="227"/>
      <c r="O42" s="11"/>
      <c r="P42" s="12"/>
      <c r="Q42" s="12"/>
      <c r="R42" s="12"/>
      <c r="S42" s="431">
        <f t="shared" si="2"/>
        <v>0</v>
      </c>
    </row>
    <row r="43" spans="5:19" x14ac:dyDescent="0.25">
      <c r="E43" s="431">
        <f t="shared" si="0"/>
        <v>0</v>
      </c>
      <c r="H43" s="223"/>
      <c r="I43" s="223"/>
      <c r="J43" s="223"/>
      <c r="K43" s="223"/>
      <c r="L43" s="431">
        <f t="shared" si="1"/>
        <v>0</v>
      </c>
      <c r="M43" s="227"/>
      <c r="O43" s="11"/>
      <c r="P43" s="12"/>
      <c r="Q43" s="12"/>
      <c r="R43" s="12"/>
      <c r="S43" s="431">
        <f t="shared" si="2"/>
        <v>0</v>
      </c>
    </row>
    <row r="44" spans="5:19" x14ac:dyDescent="0.25">
      <c r="E44" s="431">
        <f t="shared" si="0"/>
        <v>0</v>
      </c>
      <c r="H44" s="223"/>
      <c r="I44" s="223"/>
      <c r="J44" s="223"/>
      <c r="K44" s="223"/>
      <c r="L44" s="431">
        <f t="shared" si="1"/>
        <v>0</v>
      </c>
      <c r="M44" s="227"/>
      <c r="O44" s="11"/>
      <c r="P44" s="12"/>
      <c r="Q44" s="12"/>
      <c r="R44" s="12"/>
      <c r="S44" s="431">
        <f t="shared" si="2"/>
        <v>0</v>
      </c>
    </row>
    <row r="45" spans="5:19" x14ac:dyDescent="0.25">
      <c r="E45" s="431">
        <f t="shared" si="0"/>
        <v>0</v>
      </c>
      <c r="H45" s="223"/>
      <c r="I45" s="223"/>
      <c r="J45" s="223"/>
      <c r="K45" s="223"/>
      <c r="L45" s="431">
        <f t="shared" si="1"/>
        <v>0</v>
      </c>
      <c r="M45" s="227"/>
      <c r="O45" s="11"/>
      <c r="P45" s="12"/>
      <c r="Q45" s="12"/>
      <c r="R45" s="12"/>
      <c r="S45" s="431">
        <f t="shared" si="2"/>
        <v>0</v>
      </c>
    </row>
    <row r="46" spans="5:19" x14ac:dyDescent="0.25">
      <c r="E46" s="431">
        <f t="shared" si="0"/>
        <v>0</v>
      </c>
      <c r="H46" s="223"/>
      <c r="I46" s="223"/>
      <c r="J46" s="223"/>
      <c r="K46" s="223"/>
      <c r="L46" s="431">
        <f t="shared" si="1"/>
        <v>0</v>
      </c>
      <c r="M46" s="227"/>
      <c r="O46" s="11"/>
      <c r="P46" s="12"/>
      <c r="Q46" s="12"/>
      <c r="R46" s="12"/>
      <c r="S46" s="431">
        <f t="shared" si="2"/>
        <v>0</v>
      </c>
    </row>
    <row r="47" spans="5:19" x14ac:dyDescent="0.25">
      <c r="E47" s="431">
        <f t="shared" si="0"/>
        <v>0</v>
      </c>
      <c r="H47" s="223"/>
      <c r="I47" s="223"/>
      <c r="J47" s="223"/>
      <c r="K47" s="223"/>
      <c r="L47" s="431">
        <f t="shared" si="1"/>
        <v>0</v>
      </c>
      <c r="M47" s="227"/>
      <c r="O47" s="11"/>
      <c r="P47" s="12"/>
      <c r="Q47" s="12"/>
      <c r="R47" s="12"/>
      <c r="S47" s="431">
        <f t="shared" si="2"/>
        <v>0</v>
      </c>
    </row>
    <row r="48" spans="5:19" x14ac:dyDescent="0.25">
      <c r="E48" s="431">
        <f t="shared" si="0"/>
        <v>0</v>
      </c>
      <c r="H48" s="223"/>
      <c r="I48" s="223"/>
      <c r="J48" s="223"/>
      <c r="K48" s="223"/>
      <c r="L48" s="431">
        <f t="shared" si="1"/>
        <v>0</v>
      </c>
      <c r="M48" s="227"/>
      <c r="O48" s="11"/>
      <c r="P48" s="12"/>
      <c r="Q48" s="12"/>
      <c r="R48" s="12"/>
      <c r="S48" s="431">
        <f t="shared" si="2"/>
        <v>0</v>
      </c>
    </row>
    <row r="49" spans="5:19" x14ac:dyDescent="0.25">
      <c r="E49" s="431">
        <f t="shared" si="0"/>
        <v>0</v>
      </c>
      <c r="H49" s="223"/>
      <c r="I49" s="223"/>
      <c r="J49" s="223"/>
      <c r="K49" s="223"/>
      <c r="L49" s="431">
        <f t="shared" si="1"/>
        <v>0</v>
      </c>
      <c r="M49" s="227"/>
      <c r="O49" s="11"/>
      <c r="P49" s="12"/>
      <c r="Q49" s="12"/>
      <c r="R49" s="12"/>
      <c r="S49" s="431">
        <f t="shared" si="2"/>
        <v>0</v>
      </c>
    </row>
    <row r="50" spans="5:19" x14ac:dyDescent="0.25">
      <c r="E50" s="431">
        <f t="shared" si="0"/>
        <v>0</v>
      </c>
      <c r="H50" s="223"/>
      <c r="I50" s="223"/>
      <c r="J50" s="223"/>
      <c r="K50" s="223"/>
      <c r="L50" s="431">
        <f t="shared" si="1"/>
        <v>0</v>
      </c>
      <c r="M50" s="227"/>
      <c r="O50" s="11"/>
      <c r="P50" s="12"/>
      <c r="Q50" s="12"/>
      <c r="R50" s="12"/>
      <c r="S50" s="431">
        <f t="shared" si="2"/>
        <v>0</v>
      </c>
    </row>
    <row r="51" spans="5:19" x14ac:dyDescent="0.25">
      <c r="E51" s="431">
        <f t="shared" si="0"/>
        <v>0</v>
      </c>
      <c r="H51" s="223"/>
      <c r="I51" s="223"/>
      <c r="J51" s="223"/>
      <c r="K51" s="223"/>
      <c r="L51" s="431">
        <f t="shared" si="1"/>
        <v>0</v>
      </c>
      <c r="M51" s="227"/>
      <c r="O51" s="11"/>
      <c r="P51" s="12"/>
      <c r="Q51" s="12"/>
      <c r="R51" s="12"/>
      <c r="S51" s="431">
        <f t="shared" si="2"/>
        <v>0</v>
      </c>
    </row>
    <row r="52" spans="5:19" x14ac:dyDescent="0.25">
      <c r="E52" s="431">
        <f t="shared" si="0"/>
        <v>0</v>
      </c>
      <c r="H52" s="223"/>
      <c r="I52" s="223"/>
      <c r="J52" s="223"/>
      <c r="K52" s="223"/>
      <c r="L52" s="431">
        <f t="shared" si="1"/>
        <v>0</v>
      </c>
      <c r="M52" s="227"/>
      <c r="O52" s="11"/>
      <c r="P52" s="12"/>
      <c r="Q52" s="12"/>
      <c r="R52" s="12"/>
      <c r="S52" s="431">
        <f t="shared" si="2"/>
        <v>0</v>
      </c>
    </row>
    <row r="53" spans="5:19" x14ac:dyDescent="0.25">
      <c r="E53" s="431">
        <f t="shared" si="0"/>
        <v>0</v>
      </c>
      <c r="H53" s="223"/>
      <c r="I53" s="223"/>
      <c r="J53" s="223"/>
      <c r="K53" s="223"/>
      <c r="L53" s="431">
        <f t="shared" si="1"/>
        <v>0</v>
      </c>
      <c r="M53" s="227"/>
      <c r="O53" s="11"/>
      <c r="P53" s="12"/>
      <c r="Q53" s="12"/>
      <c r="R53" s="12"/>
      <c r="S53" s="431">
        <f t="shared" si="2"/>
        <v>0</v>
      </c>
    </row>
    <row r="54" spans="5:19" x14ac:dyDescent="0.25">
      <c r="E54" s="431">
        <f t="shared" si="0"/>
        <v>0</v>
      </c>
      <c r="H54" s="223"/>
      <c r="I54" s="223"/>
      <c r="J54" s="223"/>
      <c r="K54" s="223"/>
      <c r="L54" s="431">
        <f t="shared" si="1"/>
        <v>0</v>
      </c>
      <c r="M54" s="227"/>
      <c r="O54" s="11"/>
      <c r="P54" s="12"/>
      <c r="Q54" s="12"/>
      <c r="R54" s="12"/>
      <c r="S54" s="431">
        <f t="shared" si="2"/>
        <v>0</v>
      </c>
    </row>
    <row r="55" spans="5:19" x14ac:dyDescent="0.25">
      <c r="E55" s="431">
        <f t="shared" si="0"/>
        <v>0</v>
      </c>
      <c r="H55" s="223"/>
      <c r="I55" s="223"/>
      <c r="J55" s="223"/>
      <c r="K55" s="223"/>
      <c r="L55" s="431">
        <f t="shared" si="1"/>
        <v>0</v>
      </c>
      <c r="M55" s="227"/>
      <c r="O55" s="11"/>
      <c r="P55" s="12"/>
      <c r="Q55" s="12"/>
      <c r="R55" s="12"/>
      <c r="S55" s="431">
        <f t="shared" si="2"/>
        <v>0</v>
      </c>
    </row>
    <row r="56" spans="5:19" x14ac:dyDescent="0.25">
      <c r="E56" s="431">
        <f t="shared" si="0"/>
        <v>0</v>
      </c>
      <c r="H56" s="223"/>
      <c r="I56" s="223"/>
      <c r="J56" s="223"/>
      <c r="K56" s="223"/>
      <c r="L56" s="431">
        <f t="shared" si="1"/>
        <v>0</v>
      </c>
      <c r="M56" s="227"/>
      <c r="O56" s="11"/>
      <c r="P56" s="12"/>
      <c r="Q56" s="12"/>
      <c r="R56" s="12"/>
      <c r="S56" s="431">
        <f t="shared" si="2"/>
        <v>0</v>
      </c>
    </row>
    <row r="57" spans="5:19" x14ac:dyDescent="0.25">
      <c r="E57" s="431">
        <f t="shared" si="0"/>
        <v>0</v>
      </c>
      <c r="H57" s="223"/>
      <c r="I57" s="223"/>
      <c r="J57" s="223"/>
      <c r="K57" s="223"/>
      <c r="L57" s="431">
        <f t="shared" si="1"/>
        <v>0</v>
      </c>
      <c r="M57" s="227"/>
      <c r="O57" s="11"/>
      <c r="P57" s="12"/>
      <c r="Q57" s="12"/>
      <c r="R57" s="12"/>
      <c r="S57" s="431">
        <f t="shared" si="2"/>
        <v>0</v>
      </c>
    </row>
    <row r="58" spans="5:19" x14ac:dyDescent="0.25">
      <c r="E58" s="431">
        <f t="shared" si="0"/>
        <v>0</v>
      </c>
      <c r="H58" s="223"/>
      <c r="I58" s="223"/>
      <c r="J58" s="223"/>
      <c r="K58" s="223"/>
      <c r="L58" s="431">
        <f t="shared" si="1"/>
        <v>0</v>
      </c>
      <c r="M58" s="227"/>
      <c r="O58" s="11"/>
      <c r="P58" s="12"/>
      <c r="Q58" s="12"/>
      <c r="R58" s="12"/>
      <c r="S58" s="431">
        <f t="shared" si="2"/>
        <v>0</v>
      </c>
    </row>
    <row r="59" spans="5:19" x14ac:dyDescent="0.25">
      <c r="E59" s="431">
        <f t="shared" si="0"/>
        <v>0</v>
      </c>
      <c r="H59" s="223"/>
      <c r="I59" s="223"/>
      <c r="J59" s="223"/>
      <c r="K59" s="223"/>
      <c r="L59" s="431">
        <f t="shared" si="1"/>
        <v>0</v>
      </c>
      <c r="M59" s="227"/>
      <c r="O59" s="11"/>
      <c r="P59" s="12"/>
      <c r="Q59" s="12"/>
      <c r="R59" s="12"/>
      <c r="S59" s="431">
        <f t="shared" si="2"/>
        <v>0</v>
      </c>
    </row>
    <row r="60" spans="5:19" x14ac:dyDescent="0.25">
      <c r="E60" s="431">
        <f t="shared" si="0"/>
        <v>0</v>
      </c>
      <c r="H60" s="223"/>
      <c r="I60" s="223"/>
      <c r="J60" s="223"/>
      <c r="K60" s="223"/>
      <c r="L60" s="431">
        <f t="shared" si="1"/>
        <v>0</v>
      </c>
      <c r="M60" s="227"/>
      <c r="O60" s="11"/>
      <c r="P60" s="12"/>
      <c r="Q60" s="12"/>
      <c r="R60" s="12"/>
      <c r="S60" s="431">
        <f t="shared" si="2"/>
        <v>0</v>
      </c>
    </row>
    <row r="61" spans="5:19" x14ac:dyDescent="0.25">
      <c r="E61" s="431">
        <f t="shared" si="0"/>
        <v>0</v>
      </c>
      <c r="H61" s="223"/>
      <c r="I61" s="223"/>
      <c r="J61" s="223"/>
      <c r="K61" s="223"/>
      <c r="L61" s="431">
        <f t="shared" si="1"/>
        <v>0</v>
      </c>
      <c r="M61" s="227"/>
      <c r="O61" s="11"/>
      <c r="P61" s="12"/>
      <c r="Q61" s="12"/>
      <c r="R61" s="12"/>
      <c r="S61" s="431">
        <f t="shared" si="2"/>
        <v>0</v>
      </c>
    </row>
    <row r="62" spans="5:19" x14ac:dyDescent="0.25">
      <c r="E62" s="431">
        <f t="shared" si="0"/>
        <v>0</v>
      </c>
      <c r="H62" s="223"/>
      <c r="I62" s="223"/>
      <c r="J62" s="223"/>
      <c r="K62" s="223"/>
      <c r="L62" s="431">
        <f t="shared" si="1"/>
        <v>0</v>
      </c>
      <c r="M62" s="227"/>
      <c r="O62" s="11"/>
      <c r="P62" s="12"/>
      <c r="Q62" s="12"/>
      <c r="R62" s="12"/>
      <c r="S62" s="431">
        <f t="shared" si="2"/>
        <v>0</v>
      </c>
    </row>
    <row r="63" spans="5:19" x14ac:dyDescent="0.25">
      <c r="E63" s="431">
        <f t="shared" si="0"/>
        <v>0</v>
      </c>
      <c r="H63" s="223"/>
      <c r="I63" s="223"/>
      <c r="J63" s="223"/>
      <c r="K63" s="223"/>
      <c r="L63" s="431">
        <f t="shared" si="1"/>
        <v>0</v>
      </c>
      <c r="M63" s="227"/>
      <c r="O63" s="11"/>
      <c r="P63" s="12"/>
      <c r="Q63" s="12"/>
      <c r="R63" s="12"/>
      <c r="S63" s="431">
        <f t="shared" si="2"/>
        <v>0</v>
      </c>
    </row>
    <row r="64" spans="5:19" x14ac:dyDescent="0.25">
      <c r="E64" s="431">
        <f t="shared" si="0"/>
        <v>0</v>
      </c>
      <c r="H64" s="223"/>
      <c r="I64" s="223"/>
      <c r="J64" s="223"/>
      <c r="K64" s="223"/>
      <c r="L64" s="431">
        <f t="shared" si="1"/>
        <v>0</v>
      </c>
      <c r="M64" s="227"/>
      <c r="O64" s="11"/>
      <c r="P64" s="12"/>
      <c r="Q64" s="12"/>
      <c r="R64" s="12"/>
      <c r="S64" s="431">
        <f t="shared" si="2"/>
        <v>0</v>
      </c>
    </row>
    <row r="65" spans="5:19" x14ac:dyDescent="0.25">
      <c r="E65" s="431">
        <f t="shared" si="0"/>
        <v>0</v>
      </c>
      <c r="H65" s="223"/>
      <c r="I65" s="223"/>
      <c r="J65" s="223"/>
      <c r="K65" s="223"/>
      <c r="L65" s="431">
        <f t="shared" si="1"/>
        <v>0</v>
      </c>
      <c r="M65" s="227"/>
      <c r="O65" s="11"/>
      <c r="P65" s="12"/>
      <c r="Q65" s="12"/>
      <c r="R65" s="12"/>
      <c r="S65" s="431">
        <f t="shared" si="2"/>
        <v>0</v>
      </c>
    </row>
    <row r="66" spans="5:19" x14ac:dyDescent="0.25">
      <c r="E66" s="431">
        <f t="shared" si="0"/>
        <v>0</v>
      </c>
      <c r="H66" s="223"/>
      <c r="I66" s="223"/>
      <c r="J66" s="223"/>
      <c r="K66" s="223"/>
      <c r="L66" s="431">
        <f t="shared" si="1"/>
        <v>0</v>
      </c>
      <c r="M66" s="227"/>
      <c r="O66" s="11"/>
      <c r="P66" s="12"/>
      <c r="Q66" s="12"/>
      <c r="R66" s="12"/>
      <c r="S66" s="431">
        <f t="shared" si="2"/>
        <v>0</v>
      </c>
    </row>
    <row r="67" spans="5:19" x14ac:dyDescent="0.25">
      <c r="E67" s="431">
        <f t="shared" si="0"/>
        <v>0</v>
      </c>
      <c r="H67" s="223"/>
      <c r="I67" s="223"/>
      <c r="J67" s="223"/>
      <c r="K67" s="223"/>
      <c r="L67" s="431">
        <f t="shared" si="1"/>
        <v>0</v>
      </c>
      <c r="M67" s="227"/>
      <c r="O67" s="11"/>
      <c r="P67" s="12"/>
      <c r="Q67" s="12"/>
      <c r="R67" s="12"/>
      <c r="S67" s="431">
        <f t="shared" si="2"/>
        <v>0</v>
      </c>
    </row>
    <row r="68" spans="5:19" x14ac:dyDescent="0.25">
      <c r="E68" s="431">
        <f t="shared" ref="E68:E131" si="3">+D68/100</f>
        <v>0</v>
      </c>
      <c r="H68" s="223"/>
      <c r="I68" s="223"/>
      <c r="J68" s="223"/>
      <c r="K68" s="223"/>
      <c r="L68" s="431">
        <f t="shared" ref="L68:L131" si="4">+K68/100</f>
        <v>0</v>
      </c>
      <c r="M68" s="227"/>
      <c r="O68" s="11"/>
      <c r="P68" s="12"/>
      <c r="Q68" s="12"/>
      <c r="R68" s="12"/>
      <c r="S68" s="431">
        <f t="shared" si="2"/>
        <v>0</v>
      </c>
    </row>
    <row r="69" spans="5:19" x14ac:dyDescent="0.25">
      <c r="E69" s="431">
        <f t="shared" si="3"/>
        <v>0</v>
      </c>
      <c r="H69" s="223"/>
      <c r="I69" s="223"/>
      <c r="J69" s="223"/>
      <c r="K69" s="223"/>
      <c r="L69" s="431">
        <f t="shared" si="4"/>
        <v>0</v>
      </c>
      <c r="M69" s="227"/>
      <c r="O69" s="11"/>
      <c r="P69" s="12"/>
      <c r="Q69" s="12"/>
      <c r="R69" s="12"/>
      <c r="S69" s="431">
        <f t="shared" ref="S69:S132" si="5">+R69/100</f>
        <v>0</v>
      </c>
    </row>
    <row r="70" spans="5:19" x14ac:dyDescent="0.25">
      <c r="E70" s="431">
        <f t="shared" si="3"/>
        <v>0</v>
      </c>
      <c r="H70" s="223"/>
      <c r="I70" s="223"/>
      <c r="J70" s="223"/>
      <c r="K70" s="223"/>
      <c r="L70" s="431">
        <f t="shared" si="4"/>
        <v>0</v>
      </c>
      <c r="M70" s="227"/>
      <c r="O70" s="11"/>
      <c r="P70" s="12"/>
      <c r="Q70" s="12"/>
      <c r="R70" s="12"/>
      <c r="S70" s="431">
        <f t="shared" si="5"/>
        <v>0</v>
      </c>
    </row>
    <row r="71" spans="5:19" x14ac:dyDescent="0.25">
      <c r="E71" s="431">
        <f t="shared" si="3"/>
        <v>0</v>
      </c>
      <c r="H71" s="223"/>
      <c r="I71" s="223"/>
      <c r="J71" s="223"/>
      <c r="K71" s="223"/>
      <c r="L71" s="431">
        <f t="shared" si="4"/>
        <v>0</v>
      </c>
      <c r="M71" s="227"/>
      <c r="O71" s="11"/>
      <c r="P71" s="12"/>
      <c r="Q71" s="12"/>
      <c r="R71" s="12"/>
      <c r="S71" s="431">
        <f t="shared" si="5"/>
        <v>0</v>
      </c>
    </row>
    <row r="72" spans="5:19" x14ac:dyDescent="0.25">
      <c r="E72" s="431">
        <f t="shared" si="3"/>
        <v>0</v>
      </c>
      <c r="H72" s="223"/>
      <c r="I72" s="223"/>
      <c r="J72" s="223"/>
      <c r="K72" s="223"/>
      <c r="L72" s="431">
        <f t="shared" si="4"/>
        <v>0</v>
      </c>
      <c r="M72" s="227"/>
      <c r="O72" s="11"/>
      <c r="P72" s="12"/>
      <c r="Q72" s="12"/>
      <c r="R72" s="12"/>
      <c r="S72" s="431">
        <f t="shared" si="5"/>
        <v>0</v>
      </c>
    </row>
    <row r="73" spans="5:19" x14ac:dyDescent="0.25">
      <c r="E73" s="431">
        <f t="shared" si="3"/>
        <v>0</v>
      </c>
      <c r="H73" s="223"/>
      <c r="I73" s="223"/>
      <c r="J73" s="223"/>
      <c r="K73" s="223"/>
      <c r="L73" s="431">
        <f t="shared" si="4"/>
        <v>0</v>
      </c>
      <c r="M73" s="227"/>
      <c r="O73" s="11"/>
      <c r="P73" s="12"/>
      <c r="Q73" s="12"/>
      <c r="R73" s="12"/>
      <c r="S73" s="431">
        <f t="shared" si="5"/>
        <v>0</v>
      </c>
    </row>
    <row r="74" spans="5:19" x14ac:dyDescent="0.25">
      <c r="E74" s="431">
        <f t="shared" si="3"/>
        <v>0</v>
      </c>
      <c r="H74" s="223"/>
      <c r="I74" s="223"/>
      <c r="J74" s="223"/>
      <c r="K74" s="223"/>
      <c r="L74" s="431">
        <f t="shared" si="4"/>
        <v>0</v>
      </c>
      <c r="M74" s="227"/>
      <c r="O74" s="11"/>
      <c r="P74" s="12"/>
      <c r="Q74" s="12"/>
      <c r="R74" s="12"/>
      <c r="S74" s="431">
        <f t="shared" si="5"/>
        <v>0</v>
      </c>
    </row>
    <row r="75" spans="5:19" x14ac:dyDescent="0.25">
      <c r="E75" s="431">
        <f t="shared" si="3"/>
        <v>0</v>
      </c>
      <c r="H75" s="223"/>
      <c r="I75" s="223"/>
      <c r="J75" s="223"/>
      <c r="K75" s="223"/>
      <c r="L75" s="431">
        <f t="shared" si="4"/>
        <v>0</v>
      </c>
      <c r="M75" s="227"/>
      <c r="O75" s="11"/>
      <c r="P75" s="12"/>
      <c r="Q75" s="12"/>
      <c r="R75" s="12"/>
      <c r="S75" s="431">
        <f t="shared" si="5"/>
        <v>0</v>
      </c>
    </row>
    <row r="76" spans="5:19" x14ac:dyDescent="0.25">
      <c r="E76" s="431">
        <f t="shared" si="3"/>
        <v>0</v>
      </c>
      <c r="H76" s="223"/>
      <c r="I76" s="223"/>
      <c r="J76" s="223"/>
      <c r="K76" s="223"/>
      <c r="L76" s="431">
        <f t="shared" si="4"/>
        <v>0</v>
      </c>
      <c r="M76" s="227"/>
      <c r="O76" s="11"/>
      <c r="P76" s="12"/>
      <c r="Q76" s="12"/>
      <c r="R76" s="12"/>
      <c r="S76" s="431">
        <f t="shared" si="5"/>
        <v>0</v>
      </c>
    </row>
    <row r="77" spans="5:19" x14ac:dyDescent="0.25">
      <c r="E77" s="431">
        <f t="shared" si="3"/>
        <v>0</v>
      </c>
      <c r="H77" s="223"/>
      <c r="I77" s="223"/>
      <c r="J77" s="223"/>
      <c r="K77" s="223"/>
      <c r="L77" s="431">
        <f t="shared" si="4"/>
        <v>0</v>
      </c>
      <c r="M77" s="227"/>
      <c r="O77" s="11"/>
      <c r="P77" s="12"/>
      <c r="Q77" s="12"/>
      <c r="R77" s="12"/>
      <c r="S77" s="431">
        <f t="shared" si="5"/>
        <v>0</v>
      </c>
    </row>
    <row r="78" spans="5:19" x14ac:dyDescent="0.25">
      <c r="E78" s="431">
        <f t="shared" si="3"/>
        <v>0</v>
      </c>
      <c r="H78" s="223"/>
      <c r="I78" s="223"/>
      <c r="J78" s="223"/>
      <c r="K78" s="223"/>
      <c r="L78" s="431">
        <f t="shared" si="4"/>
        <v>0</v>
      </c>
      <c r="M78" s="227"/>
      <c r="O78" s="11"/>
      <c r="P78" s="12"/>
      <c r="Q78" s="12"/>
      <c r="R78" s="12"/>
      <c r="S78" s="431">
        <f t="shared" si="5"/>
        <v>0</v>
      </c>
    </row>
    <row r="79" spans="5:19" x14ac:dyDescent="0.25">
      <c r="E79" s="431">
        <f t="shared" si="3"/>
        <v>0</v>
      </c>
      <c r="H79" s="223"/>
      <c r="I79" s="223"/>
      <c r="J79" s="223"/>
      <c r="K79" s="223"/>
      <c r="L79" s="431">
        <f t="shared" si="4"/>
        <v>0</v>
      </c>
      <c r="M79" s="227"/>
      <c r="O79" s="11"/>
      <c r="P79" s="12"/>
      <c r="Q79" s="12"/>
      <c r="R79" s="12"/>
      <c r="S79" s="431">
        <f t="shared" si="5"/>
        <v>0</v>
      </c>
    </row>
    <row r="80" spans="5:19" x14ac:dyDescent="0.25">
      <c r="E80" s="431">
        <f t="shared" si="3"/>
        <v>0</v>
      </c>
      <c r="H80" s="223"/>
      <c r="I80" s="223"/>
      <c r="J80" s="223"/>
      <c r="K80" s="223"/>
      <c r="L80" s="431">
        <f t="shared" si="4"/>
        <v>0</v>
      </c>
      <c r="M80" s="227"/>
      <c r="O80" s="11"/>
      <c r="P80" s="12"/>
      <c r="Q80" s="12"/>
      <c r="R80" s="12"/>
      <c r="S80" s="431">
        <f t="shared" si="5"/>
        <v>0</v>
      </c>
    </row>
    <row r="81" spans="5:19" x14ac:dyDescent="0.25">
      <c r="E81" s="431">
        <f t="shared" si="3"/>
        <v>0</v>
      </c>
      <c r="H81" s="223"/>
      <c r="I81" s="223"/>
      <c r="J81" s="223"/>
      <c r="K81" s="223"/>
      <c r="L81" s="431">
        <f t="shared" si="4"/>
        <v>0</v>
      </c>
      <c r="M81" s="227"/>
      <c r="O81" s="11"/>
      <c r="P81" s="12"/>
      <c r="Q81" s="12"/>
      <c r="R81" s="12"/>
      <c r="S81" s="431">
        <f t="shared" si="5"/>
        <v>0</v>
      </c>
    </row>
    <row r="82" spans="5:19" x14ac:dyDescent="0.25">
      <c r="E82" s="431">
        <f t="shared" si="3"/>
        <v>0</v>
      </c>
      <c r="H82" s="223"/>
      <c r="I82" s="223"/>
      <c r="J82" s="223"/>
      <c r="K82" s="223"/>
      <c r="L82" s="431">
        <f t="shared" si="4"/>
        <v>0</v>
      </c>
      <c r="M82" s="227"/>
      <c r="O82" s="11"/>
      <c r="P82" s="12"/>
      <c r="Q82" s="12"/>
      <c r="R82" s="12"/>
      <c r="S82" s="431">
        <f t="shared" si="5"/>
        <v>0</v>
      </c>
    </row>
    <row r="83" spans="5:19" x14ac:dyDescent="0.25">
      <c r="E83" s="431">
        <f t="shared" si="3"/>
        <v>0</v>
      </c>
      <c r="H83" s="223"/>
      <c r="I83" s="223"/>
      <c r="J83" s="223"/>
      <c r="K83" s="223"/>
      <c r="L83" s="431">
        <f t="shared" si="4"/>
        <v>0</v>
      </c>
      <c r="M83" s="227"/>
      <c r="O83" s="11"/>
      <c r="P83" s="12"/>
      <c r="Q83" s="12"/>
      <c r="R83" s="12"/>
      <c r="S83" s="431">
        <f t="shared" si="5"/>
        <v>0</v>
      </c>
    </row>
    <row r="84" spans="5:19" x14ac:dyDescent="0.25">
      <c r="E84" s="431">
        <f t="shared" si="3"/>
        <v>0</v>
      </c>
      <c r="H84" s="223"/>
      <c r="I84" s="223"/>
      <c r="J84" s="223"/>
      <c r="K84" s="223"/>
      <c r="L84" s="431">
        <f t="shared" si="4"/>
        <v>0</v>
      </c>
      <c r="M84" s="227"/>
      <c r="O84" s="11"/>
      <c r="P84" s="12"/>
      <c r="Q84" s="12"/>
      <c r="R84" s="12"/>
      <c r="S84" s="431">
        <f t="shared" si="5"/>
        <v>0</v>
      </c>
    </row>
    <row r="85" spans="5:19" x14ac:dyDescent="0.25">
      <c r="E85" s="431">
        <f t="shared" si="3"/>
        <v>0</v>
      </c>
      <c r="H85" s="223"/>
      <c r="I85" s="223"/>
      <c r="J85" s="223"/>
      <c r="K85" s="223"/>
      <c r="L85" s="431">
        <f t="shared" si="4"/>
        <v>0</v>
      </c>
      <c r="M85" s="227"/>
      <c r="O85" s="11"/>
      <c r="P85" s="12"/>
      <c r="Q85" s="12"/>
      <c r="R85" s="12"/>
      <c r="S85" s="431">
        <f t="shared" si="5"/>
        <v>0</v>
      </c>
    </row>
    <row r="86" spans="5:19" x14ac:dyDescent="0.25">
      <c r="E86" s="431">
        <f t="shared" si="3"/>
        <v>0</v>
      </c>
      <c r="H86" s="223"/>
      <c r="I86" s="223"/>
      <c r="J86" s="223"/>
      <c r="K86" s="223"/>
      <c r="L86" s="431">
        <f t="shared" si="4"/>
        <v>0</v>
      </c>
      <c r="M86" s="227"/>
      <c r="O86" s="11"/>
      <c r="P86" s="12"/>
      <c r="Q86" s="12"/>
      <c r="R86" s="12"/>
      <c r="S86" s="431">
        <f t="shared" si="5"/>
        <v>0</v>
      </c>
    </row>
    <row r="87" spans="5:19" x14ac:dyDescent="0.25">
      <c r="E87" s="431">
        <f t="shared" si="3"/>
        <v>0</v>
      </c>
      <c r="H87" s="223"/>
      <c r="I87" s="223"/>
      <c r="J87" s="223"/>
      <c r="K87" s="223"/>
      <c r="L87" s="431">
        <f t="shared" si="4"/>
        <v>0</v>
      </c>
      <c r="M87" s="227"/>
      <c r="O87" s="11"/>
      <c r="P87" s="12"/>
      <c r="Q87" s="12"/>
      <c r="R87" s="12"/>
      <c r="S87" s="431">
        <f t="shared" si="5"/>
        <v>0</v>
      </c>
    </row>
    <row r="88" spans="5:19" x14ac:dyDescent="0.25">
      <c r="E88" s="431">
        <f t="shared" si="3"/>
        <v>0</v>
      </c>
      <c r="H88" s="223"/>
      <c r="I88" s="223"/>
      <c r="J88" s="223"/>
      <c r="K88" s="223"/>
      <c r="L88" s="431">
        <f t="shared" si="4"/>
        <v>0</v>
      </c>
      <c r="M88" s="227"/>
      <c r="O88" s="11"/>
      <c r="P88" s="12"/>
      <c r="Q88" s="12"/>
      <c r="R88" s="12"/>
      <c r="S88" s="431">
        <f t="shared" si="5"/>
        <v>0</v>
      </c>
    </row>
    <row r="89" spans="5:19" x14ac:dyDescent="0.25">
      <c r="E89" s="431">
        <f t="shared" si="3"/>
        <v>0</v>
      </c>
      <c r="H89" s="223"/>
      <c r="I89" s="223"/>
      <c r="J89" s="223"/>
      <c r="K89" s="223"/>
      <c r="L89" s="431">
        <f t="shared" si="4"/>
        <v>0</v>
      </c>
      <c r="M89" s="227"/>
      <c r="O89" s="11"/>
      <c r="P89" s="12"/>
      <c r="Q89" s="12"/>
      <c r="R89" s="12"/>
      <c r="S89" s="431">
        <f t="shared" si="5"/>
        <v>0</v>
      </c>
    </row>
    <row r="90" spans="5:19" x14ac:dyDescent="0.25">
      <c r="E90" s="431">
        <f t="shared" si="3"/>
        <v>0</v>
      </c>
      <c r="H90" s="223"/>
      <c r="I90" s="223"/>
      <c r="J90" s="223"/>
      <c r="K90" s="223"/>
      <c r="L90" s="431">
        <f t="shared" si="4"/>
        <v>0</v>
      </c>
      <c r="M90" s="227"/>
      <c r="O90" s="11"/>
      <c r="P90" s="12"/>
      <c r="Q90" s="12"/>
      <c r="R90" s="12"/>
      <c r="S90" s="431">
        <f t="shared" si="5"/>
        <v>0</v>
      </c>
    </row>
    <row r="91" spans="5:19" x14ac:dyDescent="0.25">
      <c r="E91" s="431">
        <f t="shared" si="3"/>
        <v>0</v>
      </c>
      <c r="H91" s="223"/>
      <c r="I91" s="223"/>
      <c r="J91" s="223"/>
      <c r="K91" s="223"/>
      <c r="L91" s="431">
        <f t="shared" si="4"/>
        <v>0</v>
      </c>
      <c r="M91" s="227"/>
      <c r="O91" s="11"/>
      <c r="P91" s="12"/>
      <c r="Q91" s="12"/>
      <c r="R91" s="12"/>
      <c r="S91" s="431">
        <f t="shared" si="5"/>
        <v>0</v>
      </c>
    </row>
    <row r="92" spans="5:19" x14ac:dyDescent="0.25">
      <c r="E92" s="431">
        <f t="shared" si="3"/>
        <v>0</v>
      </c>
      <c r="H92" s="223"/>
      <c r="I92" s="223"/>
      <c r="J92" s="223"/>
      <c r="K92" s="223"/>
      <c r="L92" s="431">
        <f t="shared" si="4"/>
        <v>0</v>
      </c>
      <c r="M92" s="227"/>
      <c r="O92" s="11"/>
      <c r="P92" s="12"/>
      <c r="Q92" s="12"/>
      <c r="R92" s="12"/>
      <c r="S92" s="431">
        <f t="shared" si="5"/>
        <v>0</v>
      </c>
    </row>
    <row r="93" spans="5:19" x14ac:dyDescent="0.25">
      <c r="E93" s="431">
        <f t="shared" si="3"/>
        <v>0</v>
      </c>
      <c r="H93" s="223"/>
      <c r="I93" s="223"/>
      <c r="J93" s="223"/>
      <c r="K93" s="223"/>
      <c r="L93" s="431">
        <f t="shared" si="4"/>
        <v>0</v>
      </c>
      <c r="M93" s="227"/>
      <c r="O93" s="11"/>
      <c r="P93" s="12"/>
      <c r="Q93" s="12"/>
      <c r="R93" s="12"/>
      <c r="S93" s="431">
        <f t="shared" si="5"/>
        <v>0</v>
      </c>
    </row>
    <row r="94" spans="5:19" x14ac:dyDescent="0.25">
      <c r="E94" s="431">
        <f t="shared" si="3"/>
        <v>0</v>
      </c>
      <c r="H94" s="223"/>
      <c r="I94" s="223"/>
      <c r="J94" s="223"/>
      <c r="K94" s="223"/>
      <c r="L94" s="431">
        <f t="shared" si="4"/>
        <v>0</v>
      </c>
      <c r="M94" s="227"/>
      <c r="O94" s="11"/>
      <c r="P94" s="12"/>
      <c r="Q94" s="12"/>
      <c r="R94" s="12"/>
      <c r="S94" s="431">
        <f t="shared" si="5"/>
        <v>0</v>
      </c>
    </row>
    <row r="95" spans="5:19" x14ac:dyDescent="0.25">
      <c r="E95" s="431">
        <f t="shared" si="3"/>
        <v>0</v>
      </c>
      <c r="H95" s="223"/>
      <c r="I95" s="223"/>
      <c r="J95" s="223"/>
      <c r="K95" s="223"/>
      <c r="L95" s="431">
        <f t="shared" si="4"/>
        <v>0</v>
      </c>
      <c r="M95" s="227"/>
      <c r="O95" s="11"/>
      <c r="P95" s="12"/>
      <c r="Q95" s="12"/>
      <c r="R95" s="12"/>
      <c r="S95" s="431">
        <f t="shared" si="5"/>
        <v>0</v>
      </c>
    </row>
    <row r="96" spans="5:19" x14ac:dyDescent="0.25">
      <c r="E96" s="431">
        <f t="shared" si="3"/>
        <v>0</v>
      </c>
      <c r="H96" s="223"/>
      <c r="I96" s="223"/>
      <c r="J96" s="223"/>
      <c r="K96" s="223"/>
      <c r="L96" s="431">
        <f t="shared" si="4"/>
        <v>0</v>
      </c>
      <c r="M96" s="227"/>
      <c r="O96" s="11"/>
      <c r="P96" s="12"/>
      <c r="Q96" s="12"/>
      <c r="R96" s="12"/>
      <c r="S96" s="431">
        <f t="shared" si="5"/>
        <v>0</v>
      </c>
    </row>
    <row r="97" spans="5:19" x14ac:dyDescent="0.25">
      <c r="E97" s="431">
        <f t="shared" si="3"/>
        <v>0</v>
      </c>
      <c r="H97" s="223"/>
      <c r="I97" s="223"/>
      <c r="J97" s="223"/>
      <c r="K97" s="223"/>
      <c r="L97" s="431">
        <f t="shared" si="4"/>
        <v>0</v>
      </c>
      <c r="M97" s="227"/>
      <c r="O97" s="11"/>
      <c r="P97" s="12"/>
      <c r="Q97" s="12"/>
      <c r="R97" s="12"/>
      <c r="S97" s="431">
        <f t="shared" si="5"/>
        <v>0</v>
      </c>
    </row>
    <row r="98" spans="5:19" x14ac:dyDescent="0.25">
      <c r="E98" s="431">
        <f t="shared" si="3"/>
        <v>0</v>
      </c>
      <c r="H98" s="223"/>
      <c r="I98" s="223"/>
      <c r="J98" s="223"/>
      <c r="K98" s="223"/>
      <c r="L98" s="431">
        <f t="shared" si="4"/>
        <v>0</v>
      </c>
      <c r="M98" s="227"/>
      <c r="O98" s="11"/>
      <c r="P98" s="12"/>
      <c r="Q98" s="12"/>
      <c r="R98" s="12"/>
      <c r="S98" s="431">
        <f t="shared" si="5"/>
        <v>0</v>
      </c>
    </row>
    <row r="99" spans="5:19" x14ac:dyDescent="0.25">
      <c r="E99" s="431">
        <f t="shared" si="3"/>
        <v>0</v>
      </c>
      <c r="H99" s="223"/>
      <c r="I99" s="223"/>
      <c r="J99" s="223"/>
      <c r="K99" s="223"/>
      <c r="L99" s="431">
        <f t="shared" si="4"/>
        <v>0</v>
      </c>
      <c r="M99" s="227"/>
      <c r="O99" s="11"/>
      <c r="P99" s="12"/>
      <c r="Q99" s="12"/>
      <c r="R99" s="12"/>
      <c r="S99" s="431">
        <f t="shared" si="5"/>
        <v>0</v>
      </c>
    </row>
    <row r="100" spans="5:19" x14ac:dyDescent="0.25">
      <c r="E100" s="431">
        <f t="shared" si="3"/>
        <v>0</v>
      </c>
      <c r="H100" s="223"/>
      <c r="I100" s="223"/>
      <c r="J100" s="223"/>
      <c r="K100" s="223"/>
      <c r="L100" s="431">
        <f t="shared" si="4"/>
        <v>0</v>
      </c>
      <c r="M100" s="227"/>
      <c r="O100" s="11"/>
      <c r="P100" s="12"/>
      <c r="Q100" s="12"/>
      <c r="R100" s="12"/>
      <c r="S100" s="431">
        <f t="shared" si="5"/>
        <v>0</v>
      </c>
    </row>
    <row r="101" spans="5:19" x14ac:dyDescent="0.25">
      <c r="E101" s="431">
        <f t="shared" si="3"/>
        <v>0</v>
      </c>
      <c r="H101" s="223"/>
      <c r="I101" s="223"/>
      <c r="J101" s="223"/>
      <c r="K101" s="223"/>
      <c r="L101" s="431">
        <f t="shared" si="4"/>
        <v>0</v>
      </c>
      <c r="M101" s="227"/>
      <c r="O101" s="11"/>
      <c r="P101" s="12"/>
      <c r="Q101" s="12"/>
      <c r="R101" s="12"/>
      <c r="S101" s="431">
        <f t="shared" si="5"/>
        <v>0</v>
      </c>
    </row>
    <row r="102" spans="5:19" x14ac:dyDescent="0.25">
      <c r="E102" s="431">
        <f t="shared" si="3"/>
        <v>0</v>
      </c>
      <c r="H102" s="223"/>
      <c r="I102" s="223"/>
      <c r="J102" s="223"/>
      <c r="K102" s="223"/>
      <c r="L102" s="431">
        <f t="shared" si="4"/>
        <v>0</v>
      </c>
      <c r="M102" s="227"/>
      <c r="O102" s="11"/>
      <c r="P102" s="12"/>
      <c r="Q102" s="12"/>
      <c r="R102" s="12"/>
      <c r="S102" s="431">
        <f t="shared" si="5"/>
        <v>0</v>
      </c>
    </row>
    <row r="103" spans="5:19" x14ac:dyDescent="0.25">
      <c r="E103" s="431">
        <f t="shared" si="3"/>
        <v>0</v>
      </c>
      <c r="H103" s="223"/>
      <c r="I103" s="223"/>
      <c r="J103" s="223"/>
      <c r="K103" s="223"/>
      <c r="L103" s="431">
        <f t="shared" si="4"/>
        <v>0</v>
      </c>
      <c r="M103" s="227"/>
      <c r="O103" s="11"/>
      <c r="P103" s="12"/>
      <c r="Q103" s="12"/>
      <c r="R103" s="12"/>
      <c r="S103" s="431">
        <f t="shared" si="5"/>
        <v>0</v>
      </c>
    </row>
    <row r="104" spans="5:19" x14ac:dyDescent="0.25">
      <c r="E104" s="431">
        <f t="shared" si="3"/>
        <v>0</v>
      </c>
      <c r="H104" s="223"/>
      <c r="I104" s="223"/>
      <c r="J104" s="223"/>
      <c r="K104" s="223"/>
      <c r="L104" s="431">
        <f t="shared" si="4"/>
        <v>0</v>
      </c>
      <c r="M104" s="227"/>
      <c r="O104" s="11"/>
      <c r="P104" s="12"/>
      <c r="Q104" s="12"/>
      <c r="R104" s="12"/>
      <c r="S104" s="431">
        <f t="shared" si="5"/>
        <v>0</v>
      </c>
    </row>
    <row r="105" spans="5:19" x14ac:dyDescent="0.25">
      <c r="E105" s="431">
        <f t="shared" si="3"/>
        <v>0</v>
      </c>
      <c r="H105" s="223"/>
      <c r="I105" s="223"/>
      <c r="J105" s="223"/>
      <c r="K105" s="223"/>
      <c r="L105" s="431">
        <f t="shared" si="4"/>
        <v>0</v>
      </c>
      <c r="M105" s="227"/>
      <c r="O105" s="11"/>
      <c r="P105" s="12"/>
      <c r="Q105" s="12"/>
      <c r="R105" s="12"/>
      <c r="S105" s="431">
        <f t="shared" si="5"/>
        <v>0</v>
      </c>
    </row>
    <row r="106" spans="5:19" x14ac:dyDescent="0.25">
      <c r="E106" s="431">
        <f t="shared" si="3"/>
        <v>0</v>
      </c>
      <c r="H106" s="223"/>
      <c r="I106" s="223"/>
      <c r="J106" s="223"/>
      <c r="K106" s="223"/>
      <c r="L106" s="431">
        <f t="shared" si="4"/>
        <v>0</v>
      </c>
      <c r="M106" s="227"/>
      <c r="O106" s="11"/>
      <c r="P106" s="12"/>
      <c r="Q106" s="12"/>
      <c r="R106" s="12"/>
      <c r="S106" s="431">
        <f t="shared" si="5"/>
        <v>0</v>
      </c>
    </row>
    <row r="107" spans="5:19" x14ac:dyDescent="0.25">
      <c r="E107" s="431">
        <f t="shared" si="3"/>
        <v>0</v>
      </c>
      <c r="H107" s="223"/>
      <c r="I107" s="223"/>
      <c r="J107" s="223"/>
      <c r="K107" s="223"/>
      <c r="L107" s="431">
        <f t="shared" si="4"/>
        <v>0</v>
      </c>
      <c r="M107" s="227"/>
      <c r="O107" s="11"/>
      <c r="P107" s="12"/>
      <c r="Q107" s="12"/>
      <c r="R107" s="12"/>
      <c r="S107" s="431">
        <f t="shared" si="5"/>
        <v>0</v>
      </c>
    </row>
    <row r="108" spans="5:19" x14ac:dyDescent="0.25">
      <c r="E108" s="431">
        <f t="shared" si="3"/>
        <v>0</v>
      </c>
      <c r="H108" s="223"/>
      <c r="I108" s="223"/>
      <c r="J108" s="223"/>
      <c r="K108" s="223"/>
      <c r="L108" s="431">
        <f t="shared" si="4"/>
        <v>0</v>
      </c>
      <c r="M108" s="227"/>
      <c r="O108" s="11"/>
      <c r="P108" s="12"/>
      <c r="Q108" s="12"/>
      <c r="R108" s="12"/>
      <c r="S108" s="431">
        <f t="shared" si="5"/>
        <v>0</v>
      </c>
    </row>
    <row r="109" spans="5:19" x14ac:dyDescent="0.25">
      <c r="E109" s="431">
        <f t="shared" si="3"/>
        <v>0</v>
      </c>
      <c r="H109" s="223"/>
      <c r="I109" s="223"/>
      <c r="J109" s="223"/>
      <c r="K109" s="223"/>
      <c r="L109" s="431">
        <f t="shared" si="4"/>
        <v>0</v>
      </c>
      <c r="M109" s="227"/>
      <c r="O109" s="11"/>
      <c r="P109" s="12"/>
      <c r="Q109" s="12"/>
      <c r="R109" s="12"/>
      <c r="S109" s="431">
        <f t="shared" si="5"/>
        <v>0</v>
      </c>
    </row>
    <row r="110" spans="5:19" x14ac:dyDescent="0.25">
      <c r="E110" s="431">
        <f t="shared" si="3"/>
        <v>0</v>
      </c>
      <c r="H110" s="223"/>
      <c r="I110" s="223"/>
      <c r="J110" s="223"/>
      <c r="K110" s="223"/>
      <c r="L110" s="431">
        <f t="shared" si="4"/>
        <v>0</v>
      </c>
      <c r="M110" s="227"/>
      <c r="O110" s="11"/>
      <c r="P110" s="12"/>
      <c r="Q110" s="12"/>
      <c r="R110" s="12"/>
      <c r="S110" s="431">
        <f t="shared" si="5"/>
        <v>0</v>
      </c>
    </row>
    <row r="111" spans="5:19" x14ac:dyDescent="0.25">
      <c r="E111" s="431">
        <f t="shared" si="3"/>
        <v>0</v>
      </c>
      <c r="H111" s="223"/>
      <c r="I111" s="223"/>
      <c r="J111" s="223"/>
      <c r="K111" s="223"/>
      <c r="L111" s="431">
        <f t="shared" si="4"/>
        <v>0</v>
      </c>
      <c r="M111" s="227"/>
      <c r="O111" s="11"/>
      <c r="P111" s="12"/>
      <c r="Q111" s="12"/>
      <c r="R111" s="12"/>
      <c r="S111" s="431">
        <f t="shared" si="5"/>
        <v>0</v>
      </c>
    </row>
    <row r="112" spans="5:19" x14ac:dyDescent="0.25">
      <c r="E112" s="431">
        <f t="shared" si="3"/>
        <v>0</v>
      </c>
      <c r="H112" s="223"/>
      <c r="I112" s="223"/>
      <c r="J112" s="223"/>
      <c r="K112" s="223"/>
      <c r="L112" s="431">
        <f t="shared" si="4"/>
        <v>0</v>
      </c>
      <c r="M112" s="227"/>
      <c r="O112" s="11"/>
      <c r="P112" s="12"/>
      <c r="Q112" s="12"/>
      <c r="R112" s="12"/>
      <c r="S112" s="431">
        <f t="shared" si="5"/>
        <v>0</v>
      </c>
    </row>
    <row r="113" spans="5:19" x14ac:dyDescent="0.25">
      <c r="E113" s="431">
        <f t="shared" si="3"/>
        <v>0</v>
      </c>
      <c r="H113" s="223"/>
      <c r="I113" s="223"/>
      <c r="J113" s="223"/>
      <c r="K113" s="223"/>
      <c r="L113" s="431">
        <f t="shared" si="4"/>
        <v>0</v>
      </c>
      <c r="M113" s="227"/>
      <c r="O113" s="11"/>
      <c r="P113" s="12"/>
      <c r="Q113" s="12"/>
      <c r="R113" s="12"/>
      <c r="S113" s="431">
        <f t="shared" si="5"/>
        <v>0</v>
      </c>
    </row>
    <row r="114" spans="5:19" x14ac:dyDescent="0.25">
      <c r="E114" s="431">
        <f t="shared" si="3"/>
        <v>0</v>
      </c>
      <c r="H114" s="223"/>
      <c r="I114" s="223"/>
      <c r="J114" s="223"/>
      <c r="K114" s="223"/>
      <c r="L114" s="431">
        <f t="shared" si="4"/>
        <v>0</v>
      </c>
      <c r="M114" s="227"/>
      <c r="O114" s="11"/>
      <c r="P114" s="12"/>
      <c r="Q114" s="12"/>
      <c r="R114" s="12"/>
      <c r="S114" s="431">
        <f t="shared" si="5"/>
        <v>0</v>
      </c>
    </row>
    <row r="115" spans="5:19" x14ac:dyDescent="0.25">
      <c r="E115" s="431">
        <f t="shared" si="3"/>
        <v>0</v>
      </c>
      <c r="H115" s="223"/>
      <c r="I115" s="223"/>
      <c r="J115" s="223"/>
      <c r="K115" s="223"/>
      <c r="L115" s="431">
        <f t="shared" si="4"/>
        <v>0</v>
      </c>
      <c r="M115" s="227"/>
      <c r="O115" s="11"/>
      <c r="P115" s="12"/>
      <c r="Q115" s="12"/>
      <c r="R115" s="12"/>
      <c r="S115" s="431">
        <f t="shared" si="5"/>
        <v>0</v>
      </c>
    </row>
    <row r="116" spans="5:19" x14ac:dyDescent="0.25">
      <c r="E116" s="431">
        <f t="shared" si="3"/>
        <v>0</v>
      </c>
      <c r="H116" s="223"/>
      <c r="I116" s="223"/>
      <c r="J116" s="223"/>
      <c r="K116" s="223"/>
      <c r="L116" s="431">
        <f t="shared" si="4"/>
        <v>0</v>
      </c>
      <c r="M116" s="227"/>
      <c r="O116" s="11"/>
      <c r="P116" s="12"/>
      <c r="Q116" s="12"/>
      <c r="R116" s="12"/>
      <c r="S116" s="431">
        <f t="shared" si="5"/>
        <v>0</v>
      </c>
    </row>
    <row r="117" spans="5:19" x14ac:dyDescent="0.25">
      <c r="E117" s="431">
        <f t="shared" si="3"/>
        <v>0</v>
      </c>
      <c r="H117" s="223"/>
      <c r="I117" s="223"/>
      <c r="J117" s="223"/>
      <c r="K117" s="223"/>
      <c r="L117" s="431">
        <f t="shared" si="4"/>
        <v>0</v>
      </c>
      <c r="M117" s="227"/>
      <c r="O117" s="11"/>
      <c r="P117" s="12"/>
      <c r="Q117" s="12"/>
      <c r="R117" s="12"/>
      <c r="S117" s="431">
        <f t="shared" si="5"/>
        <v>0</v>
      </c>
    </row>
    <row r="118" spans="5:19" x14ac:dyDescent="0.25">
      <c r="E118" s="431">
        <f t="shared" si="3"/>
        <v>0</v>
      </c>
      <c r="H118" s="223"/>
      <c r="I118" s="223"/>
      <c r="J118" s="223"/>
      <c r="K118" s="223"/>
      <c r="L118" s="431">
        <f t="shared" si="4"/>
        <v>0</v>
      </c>
      <c r="M118" s="227"/>
      <c r="O118" s="11"/>
      <c r="P118" s="12"/>
      <c r="Q118" s="12"/>
      <c r="R118" s="12"/>
      <c r="S118" s="431">
        <f t="shared" si="5"/>
        <v>0</v>
      </c>
    </row>
    <row r="119" spans="5:19" x14ac:dyDescent="0.25">
      <c r="E119" s="431">
        <f t="shared" si="3"/>
        <v>0</v>
      </c>
      <c r="H119" s="223"/>
      <c r="I119" s="223"/>
      <c r="J119" s="223"/>
      <c r="K119" s="223"/>
      <c r="L119" s="431">
        <f t="shared" si="4"/>
        <v>0</v>
      </c>
      <c r="M119" s="227"/>
      <c r="O119" s="11"/>
      <c r="P119" s="12"/>
      <c r="Q119" s="12"/>
      <c r="R119" s="12"/>
      <c r="S119" s="431">
        <f t="shared" si="5"/>
        <v>0</v>
      </c>
    </row>
    <row r="120" spans="5:19" x14ac:dyDescent="0.25">
      <c r="E120" s="431">
        <f t="shared" si="3"/>
        <v>0</v>
      </c>
      <c r="H120" s="223"/>
      <c r="I120" s="223"/>
      <c r="J120" s="223"/>
      <c r="K120" s="223"/>
      <c r="L120" s="431">
        <f t="shared" si="4"/>
        <v>0</v>
      </c>
      <c r="M120" s="227"/>
      <c r="O120" s="11"/>
      <c r="P120" s="12"/>
      <c r="Q120" s="12"/>
      <c r="R120" s="12"/>
      <c r="S120" s="431">
        <f t="shared" si="5"/>
        <v>0</v>
      </c>
    </row>
    <row r="121" spans="5:19" x14ac:dyDescent="0.25">
      <c r="E121" s="431">
        <f t="shared" si="3"/>
        <v>0</v>
      </c>
      <c r="H121" s="223"/>
      <c r="I121" s="223"/>
      <c r="J121" s="223"/>
      <c r="K121" s="223"/>
      <c r="L121" s="431">
        <f t="shared" si="4"/>
        <v>0</v>
      </c>
      <c r="M121" s="227"/>
      <c r="O121" s="11"/>
      <c r="P121" s="12"/>
      <c r="Q121" s="12"/>
      <c r="R121" s="12"/>
      <c r="S121" s="431">
        <f t="shared" si="5"/>
        <v>0</v>
      </c>
    </row>
    <row r="122" spans="5:19" x14ac:dyDescent="0.25">
      <c r="E122" s="431">
        <f t="shared" si="3"/>
        <v>0</v>
      </c>
      <c r="H122" s="223"/>
      <c r="I122" s="223"/>
      <c r="J122" s="223"/>
      <c r="K122" s="223"/>
      <c r="L122" s="431">
        <f t="shared" si="4"/>
        <v>0</v>
      </c>
      <c r="M122" s="227"/>
      <c r="O122" s="11"/>
      <c r="P122" s="12"/>
      <c r="Q122" s="12"/>
      <c r="R122" s="12"/>
      <c r="S122" s="431">
        <f t="shared" si="5"/>
        <v>0</v>
      </c>
    </row>
    <row r="123" spans="5:19" x14ac:dyDescent="0.25">
      <c r="E123" s="431">
        <f t="shared" si="3"/>
        <v>0</v>
      </c>
      <c r="H123" s="223"/>
      <c r="I123" s="223"/>
      <c r="J123" s="223"/>
      <c r="K123" s="223"/>
      <c r="L123" s="431">
        <f t="shared" si="4"/>
        <v>0</v>
      </c>
      <c r="M123" s="227"/>
      <c r="O123" s="11"/>
      <c r="P123" s="12"/>
      <c r="Q123" s="12"/>
      <c r="R123" s="12"/>
      <c r="S123" s="431">
        <f t="shared" si="5"/>
        <v>0</v>
      </c>
    </row>
    <row r="124" spans="5:19" x14ac:dyDescent="0.25">
      <c r="E124" s="431">
        <f t="shared" si="3"/>
        <v>0</v>
      </c>
      <c r="H124" s="223"/>
      <c r="I124" s="223"/>
      <c r="J124" s="223"/>
      <c r="K124" s="223"/>
      <c r="L124" s="431">
        <f t="shared" si="4"/>
        <v>0</v>
      </c>
      <c r="M124" s="227"/>
      <c r="O124" s="11"/>
      <c r="P124" s="12"/>
      <c r="Q124" s="12"/>
      <c r="R124" s="12"/>
      <c r="S124" s="431">
        <f t="shared" si="5"/>
        <v>0</v>
      </c>
    </row>
    <row r="125" spans="5:19" x14ac:dyDescent="0.25">
      <c r="E125" s="431">
        <f t="shared" si="3"/>
        <v>0</v>
      </c>
      <c r="H125" s="223"/>
      <c r="I125" s="223"/>
      <c r="J125" s="223"/>
      <c r="K125" s="223"/>
      <c r="L125" s="431">
        <f t="shared" si="4"/>
        <v>0</v>
      </c>
      <c r="M125" s="227"/>
      <c r="O125" s="11"/>
      <c r="P125" s="12"/>
      <c r="Q125" s="12"/>
      <c r="R125" s="12"/>
      <c r="S125" s="431">
        <f t="shared" si="5"/>
        <v>0</v>
      </c>
    </row>
    <row r="126" spans="5:19" x14ac:dyDescent="0.25">
      <c r="E126" s="431">
        <f t="shared" si="3"/>
        <v>0</v>
      </c>
      <c r="H126" s="223"/>
      <c r="I126" s="223"/>
      <c r="J126" s="223"/>
      <c r="K126" s="223"/>
      <c r="L126" s="431">
        <f t="shared" si="4"/>
        <v>0</v>
      </c>
      <c r="M126" s="227"/>
      <c r="O126" s="11"/>
      <c r="P126" s="12"/>
      <c r="Q126" s="12"/>
      <c r="R126" s="12"/>
      <c r="S126" s="431">
        <f t="shared" si="5"/>
        <v>0</v>
      </c>
    </row>
    <row r="127" spans="5:19" x14ac:dyDescent="0.25">
      <c r="E127" s="431">
        <f t="shared" si="3"/>
        <v>0</v>
      </c>
      <c r="H127" s="223"/>
      <c r="I127" s="223"/>
      <c r="J127" s="223"/>
      <c r="K127" s="223"/>
      <c r="L127" s="431">
        <f t="shared" si="4"/>
        <v>0</v>
      </c>
      <c r="M127" s="227"/>
      <c r="O127" s="11"/>
      <c r="P127" s="12"/>
      <c r="Q127" s="12"/>
      <c r="R127" s="12"/>
      <c r="S127" s="431">
        <f t="shared" si="5"/>
        <v>0</v>
      </c>
    </row>
    <row r="128" spans="5:19" x14ac:dyDescent="0.25">
      <c r="E128" s="431">
        <f t="shared" si="3"/>
        <v>0</v>
      </c>
      <c r="H128" s="223"/>
      <c r="I128" s="223"/>
      <c r="J128" s="223"/>
      <c r="K128" s="223"/>
      <c r="L128" s="431">
        <f t="shared" si="4"/>
        <v>0</v>
      </c>
      <c r="M128" s="227"/>
      <c r="O128" s="11"/>
      <c r="P128" s="12"/>
      <c r="Q128" s="12"/>
      <c r="R128" s="12"/>
      <c r="S128" s="431">
        <f t="shared" si="5"/>
        <v>0</v>
      </c>
    </row>
    <row r="129" spans="5:19" x14ac:dyDescent="0.25">
      <c r="E129" s="431">
        <f t="shared" si="3"/>
        <v>0</v>
      </c>
      <c r="H129" s="223"/>
      <c r="I129" s="223"/>
      <c r="J129" s="223"/>
      <c r="K129" s="223"/>
      <c r="L129" s="431">
        <f t="shared" si="4"/>
        <v>0</v>
      </c>
      <c r="M129" s="227"/>
      <c r="O129" s="11"/>
      <c r="P129" s="12"/>
      <c r="Q129" s="12"/>
      <c r="R129" s="12"/>
      <c r="S129" s="431">
        <f t="shared" si="5"/>
        <v>0</v>
      </c>
    </row>
    <row r="130" spans="5:19" x14ac:dyDescent="0.25">
      <c r="E130" s="431">
        <f t="shared" si="3"/>
        <v>0</v>
      </c>
      <c r="H130" s="223"/>
      <c r="I130" s="223"/>
      <c r="J130" s="223"/>
      <c r="K130" s="223"/>
      <c r="L130" s="431">
        <f t="shared" si="4"/>
        <v>0</v>
      </c>
      <c r="M130" s="227"/>
      <c r="O130" s="11"/>
      <c r="P130" s="12"/>
      <c r="Q130" s="12"/>
      <c r="R130" s="12"/>
      <c r="S130" s="431">
        <f t="shared" si="5"/>
        <v>0</v>
      </c>
    </row>
    <row r="131" spans="5:19" x14ac:dyDescent="0.25">
      <c r="E131" s="431">
        <f t="shared" si="3"/>
        <v>0</v>
      </c>
      <c r="H131" s="223"/>
      <c r="I131" s="223"/>
      <c r="J131" s="223"/>
      <c r="K131" s="223"/>
      <c r="L131" s="431">
        <f t="shared" si="4"/>
        <v>0</v>
      </c>
      <c r="M131" s="227"/>
      <c r="O131" s="11"/>
      <c r="P131" s="12"/>
      <c r="Q131" s="12"/>
      <c r="R131" s="12"/>
      <c r="S131" s="431">
        <f t="shared" si="5"/>
        <v>0</v>
      </c>
    </row>
    <row r="132" spans="5:19" x14ac:dyDescent="0.25">
      <c r="E132" s="431">
        <f t="shared" ref="E132:E195" si="6">+D132/100</f>
        <v>0</v>
      </c>
      <c r="H132" s="223"/>
      <c r="I132" s="223"/>
      <c r="J132" s="223"/>
      <c r="K132" s="223"/>
      <c r="L132" s="431">
        <f t="shared" ref="L132:L195" si="7">+K132/100</f>
        <v>0</v>
      </c>
      <c r="M132" s="227"/>
      <c r="O132" s="11"/>
      <c r="P132" s="12"/>
      <c r="Q132" s="12"/>
      <c r="R132" s="12"/>
      <c r="S132" s="431">
        <f t="shared" si="5"/>
        <v>0</v>
      </c>
    </row>
    <row r="133" spans="5:19" x14ac:dyDescent="0.25">
      <c r="E133" s="431">
        <f t="shared" si="6"/>
        <v>0</v>
      </c>
      <c r="H133" s="223"/>
      <c r="I133" s="223"/>
      <c r="J133" s="223"/>
      <c r="K133" s="223"/>
      <c r="L133" s="431">
        <f t="shared" si="7"/>
        <v>0</v>
      </c>
      <c r="M133" s="227"/>
      <c r="O133" s="11"/>
      <c r="P133" s="12"/>
      <c r="Q133" s="12"/>
      <c r="R133" s="12"/>
      <c r="S133" s="431">
        <f t="shared" ref="S133:S196" si="8">+R133/100</f>
        <v>0</v>
      </c>
    </row>
    <row r="134" spans="5:19" x14ac:dyDescent="0.25">
      <c r="E134" s="431">
        <f t="shared" si="6"/>
        <v>0</v>
      </c>
      <c r="H134" s="223"/>
      <c r="I134" s="223"/>
      <c r="J134" s="223"/>
      <c r="K134" s="223"/>
      <c r="L134" s="431">
        <f t="shared" si="7"/>
        <v>0</v>
      </c>
      <c r="M134" s="227"/>
      <c r="O134" s="11"/>
      <c r="P134" s="12"/>
      <c r="Q134" s="12"/>
      <c r="R134" s="12"/>
      <c r="S134" s="431">
        <f t="shared" si="8"/>
        <v>0</v>
      </c>
    </row>
    <row r="135" spans="5:19" x14ac:dyDescent="0.25">
      <c r="E135" s="431">
        <f t="shared" si="6"/>
        <v>0</v>
      </c>
      <c r="H135" s="223"/>
      <c r="I135" s="223"/>
      <c r="J135" s="223"/>
      <c r="K135" s="223"/>
      <c r="L135" s="431">
        <f t="shared" si="7"/>
        <v>0</v>
      </c>
      <c r="M135" s="227"/>
      <c r="O135" s="11"/>
      <c r="P135" s="12"/>
      <c r="Q135" s="12"/>
      <c r="R135" s="12"/>
      <c r="S135" s="431">
        <f t="shared" si="8"/>
        <v>0</v>
      </c>
    </row>
    <row r="136" spans="5:19" x14ac:dyDescent="0.25">
      <c r="E136" s="431">
        <f t="shared" si="6"/>
        <v>0</v>
      </c>
      <c r="H136" s="223"/>
      <c r="I136" s="223"/>
      <c r="J136" s="223"/>
      <c r="K136" s="223"/>
      <c r="L136" s="431">
        <f t="shared" si="7"/>
        <v>0</v>
      </c>
      <c r="M136" s="227"/>
      <c r="O136" s="11"/>
      <c r="P136" s="12"/>
      <c r="Q136" s="12"/>
      <c r="R136" s="12"/>
      <c r="S136" s="431">
        <f t="shared" si="8"/>
        <v>0</v>
      </c>
    </row>
    <row r="137" spans="5:19" x14ac:dyDescent="0.25">
      <c r="E137" s="431">
        <f t="shared" si="6"/>
        <v>0</v>
      </c>
      <c r="H137" s="223"/>
      <c r="I137" s="223"/>
      <c r="J137" s="223"/>
      <c r="K137" s="223"/>
      <c r="L137" s="431">
        <f t="shared" si="7"/>
        <v>0</v>
      </c>
      <c r="M137" s="227"/>
      <c r="O137" s="11"/>
      <c r="P137" s="12"/>
      <c r="Q137" s="12"/>
      <c r="R137" s="12"/>
      <c r="S137" s="431">
        <f t="shared" si="8"/>
        <v>0</v>
      </c>
    </row>
    <row r="138" spans="5:19" x14ac:dyDescent="0.25">
      <c r="E138" s="431">
        <f t="shared" si="6"/>
        <v>0</v>
      </c>
      <c r="H138" s="223"/>
      <c r="I138" s="223"/>
      <c r="J138" s="223"/>
      <c r="K138" s="223"/>
      <c r="L138" s="431">
        <f t="shared" si="7"/>
        <v>0</v>
      </c>
      <c r="M138" s="227"/>
      <c r="O138" s="11"/>
      <c r="P138" s="12"/>
      <c r="Q138" s="12"/>
      <c r="R138" s="12"/>
      <c r="S138" s="431">
        <f t="shared" si="8"/>
        <v>0</v>
      </c>
    </row>
    <row r="139" spans="5:19" x14ac:dyDescent="0.25">
      <c r="E139" s="431">
        <f t="shared" si="6"/>
        <v>0</v>
      </c>
      <c r="H139" s="223"/>
      <c r="I139" s="223"/>
      <c r="J139" s="223"/>
      <c r="K139" s="223"/>
      <c r="L139" s="431">
        <f t="shared" si="7"/>
        <v>0</v>
      </c>
      <c r="M139" s="227"/>
      <c r="O139" s="11"/>
      <c r="P139" s="12"/>
      <c r="Q139" s="12"/>
      <c r="R139" s="12"/>
      <c r="S139" s="431">
        <f t="shared" si="8"/>
        <v>0</v>
      </c>
    </row>
    <row r="140" spans="5:19" x14ac:dyDescent="0.25">
      <c r="E140" s="431">
        <f t="shared" si="6"/>
        <v>0</v>
      </c>
      <c r="H140" s="223"/>
      <c r="I140" s="223"/>
      <c r="J140" s="223"/>
      <c r="K140" s="223"/>
      <c r="L140" s="431">
        <f t="shared" si="7"/>
        <v>0</v>
      </c>
      <c r="M140" s="227"/>
      <c r="O140" s="11"/>
      <c r="P140" s="12"/>
      <c r="Q140" s="12"/>
      <c r="R140" s="12"/>
      <c r="S140" s="431">
        <f t="shared" si="8"/>
        <v>0</v>
      </c>
    </row>
    <row r="141" spans="5:19" x14ac:dyDescent="0.25">
      <c r="E141" s="431">
        <f t="shared" si="6"/>
        <v>0</v>
      </c>
      <c r="H141" s="223"/>
      <c r="I141" s="223"/>
      <c r="J141" s="223"/>
      <c r="K141" s="223"/>
      <c r="L141" s="431">
        <f t="shared" si="7"/>
        <v>0</v>
      </c>
      <c r="M141" s="227"/>
      <c r="O141" s="11"/>
      <c r="P141" s="12"/>
      <c r="Q141" s="12"/>
      <c r="R141" s="12"/>
      <c r="S141" s="431">
        <f t="shared" si="8"/>
        <v>0</v>
      </c>
    </row>
    <row r="142" spans="5:19" x14ac:dyDescent="0.25">
      <c r="E142" s="431">
        <f t="shared" si="6"/>
        <v>0</v>
      </c>
      <c r="H142" s="223"/>
      <c r="I142" s="223"/>
      <c r="J142" s="223"/>
      <c r="K142" s="223"/>
      <c r="L142" s="431">
        <f t="shared" si="7"/>
        <v>0</v>
      </c>
      <c r="M142" s="227"/>
      <c r="O142" s="11"/>
      <c r="P142" s="12"/>
      <c r="Q142" s="12"/>
      <c r="R142" s="12"/>
      <c r="S142" s="431">
        <f t="shared" si="8"/>
        <v>0</v>
      </c>
    </row>
    <row r="143" spans="5:19" x14ac:dyDescent="0.25">
      <c r="E143" s="431">
        <f t="shared" si="6"/>
        <v>0</v>
      </c>
      <c r="H143" s="223"/>
      <c r="I143" s="223"/>
      <c r="J143" s="223"/>
      <c r="K143" s="223"/>
      <c r="L143" s="431">
        <f t="shared" si="7"/>
        <v>0</v>
      </c>
      <c r="M143" s="227"/>
      <c r="O143" s="11"/>
      <c r="P143" s="12"/>
      <c r="Q143" s="12"/>
      <c r="R143" s="12"/>
      <c r="S143" s="431">
        <f t="shared" si="8"/>
        <v>0</v>
      </c>
    </row>
    <row r="144" spans="5:19" x14ac:dyDescent="0.25">
      <c r="E144" s="431">
        <f t="shared" si="6"/>
        <v>0</v>
      </c>
      <c r="H144" s="223"/>
      <c r="I144" s="223"/>
      <c r="J144" s="223"/>
      <c r="K144" s="223"/>
      <c r="L144" s="431">
        <f t="shared" si="7"/>
        <v>0</v>
      </c>
      <c r="M144" s="227"/>
      <c r="O144" s="11"/>
      <c r="P144" s="12"/>
      <c r="Q144" s="12"/>
      <c r="R144" s="12"/>
      <c r="S144" s="431">
        <f t="shared" si="8"/>
        <v>0</v>
      </c>
    </row>
    <row r="145" spans="5:19" x14ac:dyDescent="0.25">
      <c r="E145" s="431">
        <f t="shared" si="6"/>
        <v>0</v>
      </c>
      <c r="H145" s="223"/>
      <c r="I145" s="223"/>
      <c r="J145" s="223"/>
      <c r="K145" s="223"/>
      <c r="L145" s="431">
        <f t="shared" si="7"/>
        <v>0</v>
      </c>
      <c r="M145" s="227"/>
      <c r="O145" s="11"/>
      <c r="P145" s="12"/>
      <c r="Q145" s="12"/>
      <c r="R145" s="12"/>
      <c r="S145" s="431">
        <f t="shared" si="8"/>
        <v>0</v>
      </c>
    </row>
    <row r="146" spans="5:19" x14ac:dyDescent="0.25">
      <c r="E146" s="431">
        <f t="shared" si="6"/>
        <v>0</v>
      </c>
      <c r="H146" s="223"/>
      <c r="I146" s="223"/>
      <c r="J146" s="223"/>
      <c r="K146" s="223"/>
      <c r="L146" s="431">
        <f t="shared" si="7"/>
        <v>0</v>
      </c>
      <c r="M146" s="227"/>
      <c r="O146" s="11"/>
      <c r="P146" s="12"/>
      <c r="Q146" s="12"/>
      <c r="R146" s="12"/>
      <c r="S146" s="431">
        <f t="shared" si="8"/>
        <v>0</v>
      </c>
    </row>
    <row r="147" spans="5:19" x14ac:dyDescent="0.25">
      <c r="E147" s="431">
        <f t="shared" si="6"/>
        <v>0</v>
      </c>
      <c r="H147" s="223"/>
      <c r="I147" s="223"/>
      <c r="J147" s="223"/>
      <c r="K147" s="223"/>
      <c r="L147" s="431">
        <f t="shared" si="7"/>
        <v>0</v>
      </c>
      <c r="M147" s="227"/>
      <c r="O147" s="11"/>
      <c r="P147" s="12"/>
      <c r="Q147" s="12"/>
      <c r="R147" s="12"/>
      <c r="S147" s="431">
        <f t="shared" si="8"/>
        <v>0</v>
      </c>
    </row>
    <row r="148" spans="5:19" x14ac:dyDescent="0.25">
      <c r="E148" s="431">
        <f t="shared" si="6"/>
        <v>0</v>
      </c>
      <c r="H148" s="223"/>
      <c r="I148" s="223"/>
      <c r="J148" s="223"/>
      <c r="K148" s="223"/>
      <c r="L148" s="431">
        <f t="shared" si="7"/>
        <v>0</v>
      </c>
      <c r="M148" s="227"/>
      <c r="O148" s="11"/>
      <c r="P148" s="12"/>
      <c r="Q148" s="12"/>
      <c r="R148" s="12"/>
      <c r="S148" s="431">
        <f t="shared" si="8"/>
        <v>0</v>
      </c>
    </row>
    <row r="149" spans="5:19" x14ac:dyDescent="0.25">
      <c r="E149" s="431">
        <f t="shared" si="6"/>
        <v>0</v>
      </c>
      <c r="H149" s="223"/>
      <c r="I149" s="223"/>
      <c r="J149" s="223"/>
      <c r="K149" s="223"/>
      <c r="L149" s="431">
        <f t="shared" si="7"/>
        <v>0</v>
      </c>
      <c r="M149" s="227"/>
      <c r="O149" s="11"/>
      <c r="P149" s="12"/>
      <c r="Q149" s="12"/>
      <c r="R149" s="12"/>
      <c r="S149" s="431">
        <f t="shared" si="8"/>
        <v>0</v>
      </c>
    </row>
    <row r="150" spans="5:19" x14ac:dyDescent="0.25">
      <c r="E150" s="431">
        <f t="shared" si="6"/>
        <v>0</v>
      </c>
      <c r="H150" s="223"/>
      <c r="I150" s="223"/>
      <c r="J150" s="223"/>
      <c r="K150" s="223"/>
      <c r="L150" s="431">
        <f t="shared" si="7"/>
        <v>0</v>
      </c>
      <c r="M150" s="227"/>
      <c r="O150" s="11"/>
      <c r="P150" s="12"/>
      <c r="Q150" s="12"/>
      <c r="R150" s="12"/>
      <c r="S150" s="431">
        <f t="shared" si="8"/>
        <v>0</v>
      </c>
    </row>
    <row r="151" spans="5:19" x14ac:dyDescent="0.25">
      <c r="E151" s="431">
        <f t="shared" si="6"/>
        <v>0</v>
      </c>
      <c r="H151" s="223"/>
      <c r="I151" s="223"/>
      <c r="J151" s="223"/>
      <c r="K151" s="223"/>
      <c r="L151" s="431">
        <f t="shared" si="7"/>
        <v>0</v>
      </c>
      <c r="M151" s="227"/>
      <c r="O151" s="11"/>
      <c r="P151" s="12"/>
      <c r="Q151" s="12"/>
      <c r="R151" s="12"/>
      <c r="S151" s="431">
        <f t="shared" si="8"/>
        <v>0</v>
      </c>
    </row>
    <row r="152" spans="5:19" x14ac:dyDescent="0.25">
      <c r="E152" s="431">
        <f t="shared" si="6"/>
        <v>0</v>
      </c>
      <c r="H152" s="223"/>
      <c r="I152" s="223"/>
      <c r="J152" s="223"/>
      <c r="K152" s="223"/>
      <c r="L152" s="431">
        <f t="shared" si="7"/>
        <v>0</v>
      </c>
      <c r="M152" s="227"/>
      <c r="O152" s="11"/>
      <c r="P152" s="12"/>
      <c r="Q152" s="12"/>
      <c r="R152" s="12"/>
      <c r="S152" s="431">
        <f t="shared" si="8"/>
        <v>0</v>
      </c>
    </row>
    <row r="153" spans="5:19" x14ac:dyDescent="0.25">
      <c r="E153" s="431">
        <f t="shared" si="6"/>
        <v>0</v>
      </c>
      <c r="H153" s="223"/>
      <c r="I153" s="223"/>
      <c r="J153" s="223"/>
      <c r="K153" s="223"/>
      <c r="L153" s="431">
        <f t="shared" si="7"/>
        <v>0</v>
      </c>
      <c r="M153" s="227"/>
      <c r="O153" s="11"/>
      <c r="P153" s="12"/>
      <c r="Q153" s="12"/>
      <c r="R153" s="12"/>
      <c r="S153" s="431">
        <f t="shared" si="8"/>
        <v>0</v>
      </c>
    </row>
    <row r="154" spans="5:19" x14ac:dyDescent="0.25">
      <c r="E154" s="431">
        <f t="shared" si="6"/>
        <v>0</v>
      </c>
      <c r="H154" s="223"/>
      <c r="I154" s="223"/>
      <c r="J154" s="223"/>
      <c r="K154" s="223"/>
      <c r="L154" s="431">
        <f t="shared" si="7"/>
        <v>0</v>
      </c>
      <c r="M154" s="227"/>
      <c r="O154" s="11"/>
      <c r="P154" s="12"/>
      <c r="Q154" s="12"/>
      <c r="R154" s="12"/>
      <c r="S154" s="431">
        <f t="shared" si="8"/>
        <v>0</v>
      </c>
    </row>
    <row r="155" spans="5:19" x14ac:dyDescent="0.25">
      <c r="E155" s="431">
        <f t="shared" si="6"/>
        <v>0</v>
      </c>
      <c r="H155" s="223"/>
      <c r="I155" s="223"/>
      <c r="J155" s="223"/>
      <c r="K155" s="223"/>
      <c r="L155" s="431">
        <f t="shared" si="7"/>
        <v>0</v>
      </c>
      <c r="M155" s="227"/>
      <c r="O155" s="11"/>
      <c r="P155" s="12"/>
      <c r="Q155" s="12"/>
      <c r="R155" s="12"/>
      <c r="S155" s="431">
        <f t="shared" si="8"/>
        <v>0</v>
      </c>
    </row>
    <row r="156" spans="5:19" x14ac:dyDescent="0.25">
      <c r="E156" s="431">
        <f t="shared" si="6"/>
        <v>0</v>
      </c>
      <c r="H156" s="223"/>
      <c r="I156" s="223"/>
      <c r="J156" s="223"/>
      <c r="K156" s="223"/>
      <c r="L156" s="431">
        <f t="shared" si="7"/>
        <v>0</v>
      </c>
      <c r="M156" s="227"/>
      <c r="O156" s="11"/>
      <c r="P156" s="12"/>
      <c r="Q156" s="12"/>
      <c r="R156" s="12"/>
      <c r="S156" s="431">
        <f t="shared" si="8"/>
        <v>0</v>
      </c>
    </row>
    <row r="157" spans="5:19" x14ac:dyDescent="0.25">
      <c r="E157" s="431">
        <f t="shared" si="6"/>
        <v>0</v>
      </c>
      <c r="H157" s="223"/>
      <c r="I157" s="223"/>
      <c r="J157" s="223"/>
      <c r="K157" s="223"/>
      <c r="L157" s="431">
        <f t="shared" si="7"/>
        <v>0</v>
      </c>
      <c r="M157" s="227"/>
      <c r="O157" s="11"/>
      <c r="P157" s="12"/>
      <c r="Q157" s="12"/>
      <c r="R157" s="12"/>
      <c r="S157" s="431">
        <f t="shared" si="8"/>
        <v>0</v>
      </c>
    </row>
    <row r="158" spans="5:19" x14ac:dyDescent="0.25">
      <c r="E158" s="431">
        <f t="shared" si="6"/>
        <v>0</v>
      </c>
      <c r="H158" s="223"/>
      <c r="I158" s="223"/>
      <c r="J158" s="223"/>
      <c r="K158" s="223"/>
      <c r="L158" s="431">
        <f t="shared" si="7"/>
        <v>0</v>
      </c>
      <c r="M158" s="227"/>
      <c r="O158" s="11"/>
      <c r="P158" s="12"/>
      <c r="Q158" s="12"/>
      <c r="R158" s="12"/>
      <c r="S158" s="431">
        <f t="shared" si="8"/>
        <v>0</v>
      </c>
    </row>
    <row r="159" spans="5:19" x14ac:dyDescent="0.25">
      <c r="E159" s="431">
        <f t="shared" si="6"/>
        <v>0</v>
      </c>
      <c r="H159" s="223"/>
      <c r="I159" s="223"/>
      <c r="J159" s="223"/>
      <c r="K159" s="223"/>
      <c r="L159" s="431">
        <f t="shared" si="7"/>
        <v>0</v>
      </c>
      <c r="M159" s="227"/>
      <c r="O159" s="11"/>
      <c r="P159" s="12"/>
      <c r="Q159" s="12"/>
      <c r="R159" s="12"/>
      <c r="S159" s="431">
        <f t="shared" si="8"/>
        <v>0</v>
      </c>
    </row>
    <row r="160" spans="5:19" x14ac:dyDescent="0.25">
      <c r="E160" s="431">
        <f t="shared" si="6"/>
        <v>0</v>
      </c>
      <c r="H160" s="223"/>
      <c r="I160" s="223"/>
      <c r="J160" s="223"/>
      <c r="K160" s="223"/>
      <c r="L160" s="431">
        <f t="shared" si="7"/>
        <v>0</v>
      </c>
      <c r="M160" s="227"/>
      <c r="O160" s="11"/>
      <c r="P160" s="12"/>
      <c r="Q160" s="12"/>
      <c r="R160" s="12"/>
      <c r="S160" s="431">
        <f t="shared" si="8"/>
        <v>0</v>
      </c>
    </row>
    <row r="161" spans="5:19" x14ac:dyDescent="0.25">
      <c r="E161" s="431">
        <f t="shared" si="6"/>
        <v>0</v>
      </c>
      <c r="H161" s="223"/>
      <c r="I161" s="223"/>
      <c r="J161" s="223"/>
      <c r="K161" s="223"/>
      <c r="L161" s="431">
        <f t="shared" si="7"/>
        <v>0</v>
      </c>
      <c r="M161" s="227"/>
      <c r="O161" s="11"/>
      <c r="P161" s="12"/>
      <c r="Q161" s="12"/>
      <c r="R161" s="12"/>
      <c r="S161" s="431">
        <f t="shared" si="8"/>
        <v>0</v>
      </c>
    </row>
    <row r="162" spans="5:19" x14ac:dyDescent="0.25">
      <c r="E162" s="431">
        <f t="shared" si="6"/>
        <v>0</v>
      </c>
      <c r="H162" s="223"/>
      <c r="I162" s="223"/>
      <c r="J162" s="223"/>
      <c r="K162" s="223"/>
      <c r="L162" s="431">
        <f t="shared" si="7"/>
        <v>0</v>
      </c>
      <c r="M162" s="227"/>
      <c r="O162" s="11"/>
      <c r="P162" s="12"/>
      <c r="Q162" s="12"/>
      <c r="R162" s="12"/>
      <c r="S162" s="431">
        <f t="shared" si="8"/>
        <v>0</v>
      </c>
    </row>
    <row r="163" spans="5:19" x14ac:dyDescent="0.25">
      <c r="E163" s="431">
        <f t="shared" si="6"/>
        <v>0</v>
      </c>
      <c r="H163" s="223"/>
      <c r="I163" s="223"/>
      <c r="J163" s="223"/>
      <c r="K163" s="223"/>
      <c r="L163" s="431">
        <f t="shared" si="7"/>
        <v>0</v>
      </c>
      <c r="M163" s="227"/>
      <c r="O163" s="11"/>
      <c r="P163" s="12"/>
      <c r="Q163" s="12"/>
      <c r="R163" s="12"/>
      <c r="S163" s="431">
        <f t="shared" si="8"/>
        <v>0</v>
      </c>
    </row>
    <row r="164" spans="5:19" x14ac:dyDescent="0.25">
      <c r="E164" s="431">
        <f t="shared" si="6"/>
        <v>0</v>
      </c>
      <c r="H164" s="223"/>
      <c r="I164" s="223"/>
      <c r="J164" s="223"/>
      <c r="K164" s="223"/>
      <c r="L164" s="431">
        <f t="shared" si="7"/>
        <v>0</v>
      </c>
      <c r="M164" s="227"/>
      <c r="O164" s="11"/>
      <c r="P164" s="12"/>
      <c r="Q164" s="12"/>
      <c r="R164" s="12"/>
      <c r="S164" s="431">
        <f t="shared" si="8"/>
        <v>0</v>
      </c>
    </row>
    <row r="165" spans="5:19" x14ac:dyDescent="0.25">
      <c r="E165" s="431">
        <f t="shared" si="6"/>
        <v>0</v>
      </c>
      <c r="H165" s="223"/>
      <c r="I165" s="223"/>
      <c r="J165" s="223"/>
      <c r="K165" s="223"/>
      <c r="L165" s="431">
        <f t="shared" si="7"/>
        <v>0</v>
      </c>
      <c r="M165" s="227"/>
      <c r="O165" s="11"/>
      <c r="P165" s="12"/>
      <c r="Q165" s="12"/>
      <c r="R165" s="12"/>
      <c r="S165" s="431">
        <f t="shared" si="8"/>
        <v>0</v>
      </c>
    </row>
    <row r="166" spans="5:19" x14ac:dyDescent="0.25">
      <c r="E166" s="431">
        <f t="shared" si="6"/>
        <v>0</v>
      </c>
      <c r="H166" s="223"/>
      <c r="I166" s="223"/>
      <c r="J166" s="223"/>
      <c r="K166" s="223"/>
      <c r="L166" s="431">
        <f t="shared" si="7"/>
        <v>0</v>
      </c>
      <c r="M166" s="227"/>
      <c r="O166" s="11"/>
      <c r="P166" s="12"/>
      <c r="Q166" s="12"/>
      <c r="R166" s="12"/>
      <c r="S166" s="431">
        <f t="shared" si="8"/>
        <v>0</v>
      </c>
    </row>
    <row r="167" spans="5:19" x14ac:dyDescent="0.25">
      <c r="E167" s="431">
        <f t="shared" si="6"/>
        <v>0</v>
      </c>
      <c r="H167" s="223"/>
      <c r="I167" s="223"/>
      <c r="J167" s="223"/>
      <c r="K167" s="223"/>
      <c r="L167" s="431">
        <f t="shared" si="7"/>
        <v>0</v>
      </c>
      <c r="M167" s="227"/>
      <c r="O167" s="11"/>
      <c r="P167" s="12"/>
      <c r="Q167" s="12"/>
      <c r="R167" s="12"/>
      <c r="S167" s="431">
        <f t="shared" si="8"/>
        <v>0</v>
      </c>
    </row>
    <row r="168" spans="5:19" x14ac:dyDescent="0.25">
      <c r="E168" s="431">
        <f t="shared" si="6"/>
        <v>0</v>
      </c>
      <c r="H168" s="223"/>
      <c r="I168" s="223"/>
      <c r="J168" s="223"/>
      <c r="K168" s="223"/>
      <c r="L168" s="431">
        <f t="shared" si="7"/>
        <v>0</v>
      </c>
      <c r="M168" s="227"/>
      <c r="O168" s="11"/>
      <c r="P168" s="12"/>
      <c r="Q168" s="12"/>
      <c r="R168" s="12"/>
      <c r="S168" s="431">
        <f t="shared" si="8"/>
        <v>0</v>
      </c>
    </row>
    <row r="169" spans="5:19" x14ac:dyDescent="0.25">
      <c r="E169" s="431">
        <f t="shared" si="6"/>
        <v>0</v>
      </c>
      <c r="H169" s="223"/>
      <c r="I169" s="223"/>
      <c r="J169" s="223"/>
      <c r="K169" s="223"/>
      <c r="L169" s="431">
        <f t="shared" si="7"/>
        <v>0</v>
      </c>
      <c r="M169" s="227"/>
      <c r="O169" s="11"/>
      <c r="P169" s="12"/>
      <c r="Q169" s="12"/>
      <c r="R169" s="12"/>
      <c r="S169" s="431">
        <f t="shared" si="8"/>
        <v>0</v>
      </c>
    </row>
    <row r="170" spans="5:19" x14ac:dyDescent="0.25">
      <c r="E170" s="431">
        <f t="shared" si="6"/>
        <v>0</v>
      </c>
      <c r="H170" s="223"/>
      <c r="I170" s="223"/>
      <c r="J170" s="223"/>
      <c r="K170" s="223"/>
      <c r="L170" s="431">
        <f t="shared" si="7"/>
        <v>0</v>
      </c>
      <c r="M170" s="227"/>
      <c r="O170" s="11"/>
      <c r="P170" s="12"/>
      <c r="Q170" s="12"/>
      <c r="R170" s="12"/>
      <c r="S170" s="431">
        <f t="shared" si="8"/>
        <v>0</v>
      </c>
    </row>
    <row r="171" spans="5:19" x14ac:dyDescent="0.25">
      <c r="E171" s="431">
        <f t="shared" si="6"/>
        <v>0</v>
      </c>
      <c r="H171" s="223"/>
      <c r="I171" s="223"/>
      <c r="J171" s="223"/>
      <c r="K171" s="223"/>
      <c r="L171" s="431">
        <f t="shared" si="7"/>
        <v>0</v>
      </c>
      <c r="M171" s="227"/>
      <c r="O171" s="11"/>
      <c r="P171" s="12"/>
      <c r="Q171" s="12"/>
      <c r="R171" s="12"/>
      <c r="S171" s="431">
        <f t="shared" si="8"/>
        <v>0</v>
      </c>
    </row>
    <row r="172" spans="5:19" x14ac:dyDescent="0.25">
      <c r="E172" s="431">
        <f t="shared" si="6"/>
        <v>0</v>
      </c>
      <c r="H172" s="223"/>
      <c r="I172" s="223"/>
      <c r="J172" s="223"/>
      <c r="K172" s="223"/>
      <c r="L172" s="431">
        <f t="shared" si="7"/>
        <v>0</v>
      </c>
      <c r="M172" s="227"/>
      <c r="O172" s="11"/>
      <c r="P172" s="12"/>
      <c r="Q172" s="12"/>
      <c r="R172" s="12"/>
      <c r="S172" s="431">
        <f t="shared" si="8"/>
        <v>0</v>
      </c>
    </row>
    <row r="173" spans="5:19" x14ac:dyDescent="0.25">
      <c r="E173" s="431">
        <f t="shared" si="6"/>
        <v>0</v>
      </c>
      <c r="H173" s="223"/>
      <c r="I173" s="223"/>
      <c r="J173" s="223"/>
      <c r="K173" s="223"/>
      <c r="L173" s="431">
        <f t="shared" si="7"/>
        <v>0</v>
      </c>
      <c r="M173" s="227"/>
      <c r="O173" s="11"/>
      <c r="P173" s="12"/>
      <c r="Q173" s="12"/>
      <c r="R173" s="12"/>
      <c r="S173" s="431">
        <f t="shared" si="8"/>
        <v>0</v>
      </c>
    </row>
    <row r="174" spans="5:19" x14ac:dyDescent="0.25">
      <c r="E174" s="431">
        <f t="shared" si="6"/>
        <v>0</v>
      </c>
      <c r="H174" s="223"/>
      <c r="I174" s="223"/>
      <c r="J174" s="223"/>
      <c r="K174" s="223"/>
      <c r="L174" s="431">
        <f t="shared" si="7"/>
        <v>0</v>
      </c>
      <c r="M174" s="227"/>
      <c r="O174" s="11"/>
      <c r="P174" s="12"/>
      <c r="Q174" s="12"/>
      <c r="R174" s="12"/>
      <c r="S174" s="431">
        <f t="shared" si="8"/>
        <v>0</v>
      </c>
    </row>
    <row r="175" spans="5:19" x14ac:dyDescent="0.25">
      <c r="E175" s="431">
        <f t="shared" si="6"/>
        <v>0</v>
      </c>
      <c r="H175" s="223"/>
      <c r="I175" s="223"/>
      <c r="J175" s="223"/>
      <c r="K175" s="223"/>
      <c r="L175" s="431">
        <f t="shared" si="7"/>
        <v>0</v>
      </c>
      <c r="M175" s="227"/>
      <c r="O175" s="11"/>
      <c r="P175" s="12"/>
      <c r="Q175" s="12"/>
      <c r="R175" s="12"/>
      <c r="S175" s="431">
        <f t="shared" si="8"/>
        <v>0</v>
      </c>
    </row>
    <row r="176" spans="5:19" x14ac:dyDescent="0.25">
      <c r="E176" s="431">
        <f t="shared" si="6"/>
        <v>0</v>
      </c>
      <c r="H176" s="223"/>
      <c r="I176" s="223"/>
      <c r="J176" s="223"/>
      <c r="K176" s="223"/>
      <c r="L176" s="431">
        <f t="shared" si="7"/>
        <v>0</v>
      </c>
      <c r="M176" s="227"/>
      <c r="O176" s="11"/>
      <c r="P176" s="12"/>
      <c r="Q176" s="12"/>
      <c r="R176" s="12"/>
      <c r="S176" s="431">
        <f t="shared" si="8"/>
        <v>0</v>
      </c>
    </row>
    <row r="177" spans="5:19" x14ac:dyDescent="0.25">
      <c r="E177" s="431">
        <f t="shared" si="6"/>
        <v>0</v>
      </c>
      <c r="H177" s="223"/>
      <c r="I177" s="223"/>
      <c r="J177" s="223"/>
      <c r="K177" s="223"/>
      <c r="L177" s="431">
        <f t="shared" si="7"/>
        <v>0</v>
      </c>
      <c r="M177" s="227"/>
      <c r="O177" s="11"/>
      <c r="P177" s="12"/>
      <c r="Q177" s="12"/>
      <c r="R177" s="12"/>
      <c r="S177" s="431">
        <f t="shared" si="8"/>
        <v>0</v>
      </c>
    </row>
    <row r="178" spans="5:19" x14ac:dyDescent="0.25">
      <c r="E178" s="431">
        <f t="shared" si="6"/>
        <v>0</v>
      </c>
      <c r="H178" s="223"/>
      <c r="I178" s="223"/>
      <c r="J178" s="223"/>
      <c r="K178" s="223"/>
      <c r="L178" s="431">
        <f t="shared" si="7"/>
        <v>0</v>
      </c>
      <c r="M178" s="227"/>
      <c r="O178" s="11"/>
      <c r="P178" s="12"/>
      <c r="Q178" s="12"/>
      <c r="R178" s="12"/>
      <c r="S178" s="431">
        <f t="shared" si="8"/>
        <v>0</v>
      </c>
    </row>
    <row r="179" spans="5:19" x14ac:dyDescent="0.25">
      <c r="E179" s="431">
        <f t="shared" si="6"/>
        <v>0</v>
      </c>
      <c r="H179" s="223"/>
      <c r="I179" s="223"/>
      <c r="J179" s="223"/>
      <c r="K179" s="223"/>
      <c r="L179" s="431">
        <f t="shared" si="7"/>
        <v>0</v>
      </c>
      <c r="M179" s="227"/>
      <c r="O179" s="11"/>
      <c r="P179" s="12"/>
      <c r="Q179" s="12"/>
      <c r="R179" s="12"/>
      <c r="S179" s="431">
        <f t="shared" si="8"/>
        <v>0</v>
      </c>
    </row>
    <row r="180" spans="5:19" x14ac:dyDescent="0.25">
      <c r="E180" s="431">
        <f t="shared" si="6"/>
        <v>0</v>
      </c>
      <c r="H180" s="223"/>
      <c r="I180" s="223"/>
      <c r="J180" s="223"/>
      <c r="K180" s="223"/>
      <c r="L180" s="431">
        <f t="shared" si="7"/>
        <v>0</v>
      </c>
      <c r="M180" s="227"/>
      <c r="O180" s="11"/>
      <c r="P180" s="12"/>
      <c r="Q180" s="12"/>
      <c r="R180" s="12"/>
      <c r="S180" s="431">
        <f t="shared" si="8"/>
        <v>0</v>
      </c>
    </row>
    <row r="181" spans="5:19" x14ac:dyDescent="0.25">
      <c r="E181" s="431">
        <f t="shared" si="6"/>
        <v>0</v>
      </c>
      <c r="H181" s="223"/>
      <c r="I181" s="223"/>
      <c r="J181" s="223"/>
      <c r="K181" s="223"/>
      <c r="L181" s="431">
        <f t="shared" si="7"/>
        <v>0</v>
      </c>
      <c r="M181" s="227"/>
      <c r="O181" s="11"/>
      <c r="P181" s="12"/>
      <c r="Q181" s="12"/>
      <c r="R181" s="12"/>
      <c r="S181" s="431">
        <f t="shared" si="8"/>
        <v>0</v>
      </c>
    </row>
    <row r="182" spans="5:19" x14ac:dyDescent="0.25">
      <c r="E182" s="431">
        <f t="shared" si="6"/>
        <v>0</v>
      </c>
      <c r="H182" s="223"/>
      <c r="I182" s="223"/>
      <c r="J182" s="223"/>
      <c r="K182" s="223"/>
      <c r="L182" s="431">
        <f t="shared" si="7"/>
        <v>0</v>
      </c>
      <c r="M182" s="227"/>
      <c r="O182" s="11"/>
      <c r="P182" s="12"/>
      <c r="Q182" s="12"/>
      <c r="R182" s="12"/>
      <c r="S182" s="431">
        <f t="shared" si="8"/>
        <v>0</v>
      </c>
    </row>
    <row r="183" spans="5:19" x14ac:dyDescent="0.25">
      <c r="E183" s="431">
        <f t="shared" si="6"/>
        <v>0</v>
      </c>
      <c r="H183" s="223"/>
      <c r="I183" s="223"/>
      <c r="J183" s="223"/>
      <c r="K183" s="223"/>
      <c r="L183" s="431">
        <f t="shared" si="7"/>
        <v>0</v>
      </c>
      <c r="M183" s="227"/>
      <c r="O183" s="11"/>
      <c r="P183" s="12"/>
      <c r="Q183" s="12"/>
      <c r="R183" s="12"/>
      <c r="S183" s="431">
        <f t="shared" si="8"/>
        <v>0</v>
      </c>
    </row>
    <row r="184" spans="5:19" x14ac:dyDescent="0.25">
      <c r="E184" s="431">
        <f t="shared" si="6"/>
        <v>0</v>
      </c>
      <c r="H184" s="223"/>
      <c r="I184" s="223"/>
      <c r="J184" s="223"/>
      <c r="K184" s="223"/>
      <c r="L184" s="431">
        <f t="shared" si="7"/>
        <v>0</v>
      </c>
      <c r="M184" s="227"/>
      <c r="O184" s="11"/>
      <c r="P184" s="12"/>
      <c r="Q184" s="12"/>
      <c r="R184" s="12"/>
      <c r="S184" s="431">
        <f t="shared" si="8"/>
        <v>0</v>
      </c>
    </row>
    <row r="185" spans="5:19" x14ac:dyDescent="0.25">
      <c r="E185" s="431">
        <f t="shared" si="6"/>
        <v>0</v>
      </c>
      <c r="H185" s="223"/>
      <c r="I185" s="223"/>
      <c r="J185" s="223"/>
      <c r="K185" s="223"/>
      <c r="L185" s="431">
        <f t="shared" si="7"/>
        <v>0</v>
      </c>
      <c r="M185" s="227"/>
      <c r="O185" s="11"/>
      <c r="P185" s="12"/>
      <c r="Q185" s="12"/>
      <c r="R185" s="12"/>
      <c r="S185" s="431">
        <f t="shared" si="8"/>
        <v>0</v>
      </c>
    </row>
    <row r="186" spans="5:19" x14ac:dyDescent="0.25">
      <c r="E186" s="431">
        <f t="shared" si="6"/>
        <v>0</v>
      </c>
      <c r="H186" s="223"/>
      <c r="I186" s="223"/>
      <c r="J186" s="223"/>
      <c r="K186" s="223"/>
      <c r="L186" s="431">
        <f t="shared" si="7"/>
        <v>0</v>
      </c>
      <c r="M186" s="227"/>
      <c r="O186" s="11"/>
      <c r="P186" s="12"/>
      <c r="Q186" s="12"/>
      <c r="R186" s="12"/>
      <c r="S186" s="431">
        <f t="shared" si="8"/>
        <v>0</v>
      </c>
    </row>
    <row r="187" spans="5:19" x14ac:dyDescent="0.25">
      <c r="E187" s="431">
        <f t="shared" si="6"/>
        <v>0</v>
      </c>
      <c r="H187" s="223"/>
      <c r="I187" s="223"/>
      <c r="J187" s="223"/>
      <c r="K187" s="223"/>
      <c r="L187" s="431">
        <f t="shared" si="7"/>
        <v>0</v>
      </c>
      <c r="M187" s="227"/>
      <c r="O187" s="11"/>
      <c r="P187" s="12"/>
      <c r="Q187" s="12"/>
      <c r="R187" s="12"/>
      <c r="S187" s="431">
        <f t="shared" si="8"/>
        <v>0</v>
      </c>
    </row>
    <row r="188" spans="5:19" x14ac:dyDescent="0.25">
      <c r="E188" s="431">
        <f t="shared" si="6"/>
        <v>0</v>
      </c>
      <c r="H188" s="223"/>
      <c r="I188" s="223"/>
      <c r="J188" s="223"/>
      <c r="K188" s="223"/>
      <c r="L188" s="431">
        <f t="shared" si="7"/>
        <v>0</v>
      </c>
      <c r="M188" s="227"/>
      <c r="O188" s="11"/>
      <c r="P188" s="12"/>
      <c r="Q188" s="12"/>
      <c r="R188" s="12"/>
      <c r="S188" s="431">
        <f t="shared" si="8"/>
        <v>0</v>
      </c>
    </row>
    <row r="189" spans="5:19" x14ac:dyDescent="0.25">
      <c r="E189" s="431">
        <f t="shared" si="6"/>
        <v>0</v>
      </c>
      <c r="H189" s="223"/>
      <c r="I189" s="223"/>
      <c r="J189" s="223"/>
      <c r="K189" s="223"/>
      <c r="L189" s="431">
        <f t="shared" si="7"/>
        <v>0</v>
      </c>
      <c r="M189" s="227"/>
      <c r="O189" s="11"/>
      <c r="P189" s="12"/>
      <c r="Q189" s="12"/>
      <c r="R189" s="12"/>
      <c r="S189" s="431">
        <f t="shared" si="8"/>
        <v>0</v>
      </c>
    </row>
    <row r="190" spans="5:19" x14ac:dyDescent="0.25">
      <c r="E190" s="431">
        <f t="shared" si="6"/>
        <v>0</v>
      </c>
      <c r="H190" s="223"/>
      <c r="I190" s="223"/>
      <c r="J190" s="223"/>
      <c r="K190" s="223"/>
      <c r="L190" s="431">
        <f t="shared" si="7"/>
        <v>0</v>
      </c>
      <c r="M190" s="227"/>
      <c r="O190" s="11"/>
      <c r="P190" s="12"/>
      <c r="Q190" s="12"/>
      <c r="R190" s="12"/>
      <c r="S190" s="431">
        <f t="shared" si="8"/>
        <v>0</v>
      </c>
    </row>
    <row r="191" spans="5:19" x14ac:dyDescent="0.25">
      <c r="E191" s="431">
        <f t="shared" si="6"/>
        <v>0</v>
      </c>
      <c r="H191" s="223"/>
      <c r="I191" s="223"/>
      <c r="J191" s="223"/>
      <c r="K191" s="223"/>
      <c r="L191" s="431">
        <f t="shared" si="7"/>
        <v>0</v>
      </c>
      <c r="M191" s="227"/>
      <c r="O191" s="11"/>
      <c r="P191" s="12"/>
      <c r="Q191" s="12"/>
      <c r="R191" s="12"/>
      <c r="S191" s="431">
        <f t="shared" si="8"/>
        <v>0</v>
      </c>
    </row>
    <row r="192" spans="5:19" x14ac:dyDescent="0.25">
      <c r="E192" s="431">
        <f t="shared" si="6"/>
        <v>0</v>
      </c>
      <c r="H192" s="223"/>
      <c r="I192" s="223"/>
      <c r="J192" s="223"/>
      <c r="K192" s="223"/>
      <c r="L192" s="431">
        <f t="shared" si="7"/>
        <v>0</v>
      </c>
      <c r="M192" s="227"/>
      <c r="O192" s="11"/>
      <c r="P192" s="12"/>
      <c r="Q192" s="12"/>
      <c r="R192" s="12"/>
      <c r="S192" s="431">
        <f t="shared" si="8"/>
        <v>0</v>
      </c>
    </row>
    <row r="193" spans="5:23" x14ac:dyDescent="0.25">
      <c r="E193" s="431">
        <f t="shared" si="6"/>
        <v>0</v>
      </c>
      <c r="H193" s="223"/>
      <c r="I193" s="223"/>
      <c r="J193" s="223"/>
      <c r="K193" s="223"/>
      <c r="L193" s="431">
        <f t="shared" si="7"/>
        <v>0</v>
      </c>
      <c r="M193" s="227"/>
      <c r="O193" s="11"/>
      <c r="P193" s="12"/>
      <c r="Q193" s="12"/>
      <c r="R193" s="12"/>
      <c r="S193" s="431">
        <f t="shared" si="8"/>
        <v>0</v>
      </c>
    </row>
    <row r="194" spans="5:23" x14ac:dyDescent="0.25">
      <c r="E194" s="431">
        <f t="shared" si="6"/>
        <v>0</v>
      </c>
      <c r="H194" s="223"/>
      <c r="I194" s="223"/>
      <c r="J194" s="223"/>
      <c r="K194" s="223"/>
      <c r="L194" s="431">
        <f t="shared" si="7"/>
        <v>0</v>
      </c>
      <c r="M194" s="227"/>
      <c r="O194" s="11"/>
      <c r="P194" s="12"/>
      <c r="Q194" s="12"/>
      <c r="R194" s="12"/>
      <c r="S194" s="431">
        <f t="shared" si="8"/>
        <v>0</v>
      </c>
    </row>
    <row r="195" spans="5:23" x14ac:dyDescent="0.25">
      <c r="E195" s="431">
        <f t="shared" si="6"/>
        <v>0</v>
      </c>
      <c r="H195" s="223"/>
      <c r="I195" s="223"/>
      <c r="J195" s="223"/>
      <c r="K195" s="223"/>
      <c r="L195" s="431">
        <f t="shared" si="7"/>
        <v>0</v>
      </c>
      <c r="M195" s="227"/>
      <c r="O195" s="11"/>
      <c r="P195" s="12"/>
      <c r="Q195" s="12"/>
      <c r="R195" s="12"/>
      <c r="S195" s="431">
        <f t="shared" si="8"/>
        <v>0</v>
      </c>
    </row>
    <row r="196" spans="5:23" x14ac:dyDescent="0.25">
      <c r="E196" s="431">
        <f t="shared" ref="E196:E259" si="9">+D196/100</f>
        <v>0</v>
      </c>
      <c r="H196" s="223"/>
      <c r="I196" s="223"/>
      <c r="J196" s="223"/>
      <c r="K196" s="223"/>
      <c r="L196" s="431">
        <f t="shared" ref="L196:L259" si="10">+K196/100</f>
        <v>0</v>
      </c>
      <c r="M196" s="227"/>
      <c r="O196" s="11"/>
      <c r="P196" s="12"/>
      <c r="Q196" s="12"/>
      <c r="R196" s="12"/>
      <c r="S196" s="431">
        <f t="shared" si="8"/>
        <v>0</v>
      </c>
    </row>
    <row r="197" spans="5:23" x14ac:dyDescent="0.25">
      <c r="E197" s="431">
        <f t="shared" si="9"/>
        <v>0</v>
      </c>
      <c r="H197" s="223"/>
      <c r="I197" s="223"/>
      <c r="J197" s="223"/>
      <c r="K197" s="223"/>
      <c r="L197" s="431">
        <f t="shared" si="10"/>
        <v>0</v>
      </c>
      <c r="M197" s="227"/>
      <c r="O197" s="11"/>
      <c r="P197" s="12"/>
      <c r="Q197" s="12"/>
      <c r="R197" s="12"/>
      <c r="S197" s="431">
        <f t="shared" ref="S197:S260" si="11">+R197/100</f>
        <v>0</v>
      </c>
    </row>
    <row r="198" spans="5:23" x14ac:dyDescent="0.25">
      <c r="E198" s="431">
        <f t="shared" si="9"/>
        <v>0</v>
      </c>
      <c r="H198" s="223"/>
      <c r="I198" s="223"/>
      <c r="J198" s="223"/>
      <c r="K198" s="223"/>
      <c r="L198" s="431">
        <f t="shared" si="10"/>
        <v>0</v>
      </c>
      <c r="M198" s="227"/>
      <c r="O198" s="11"/>
      <c r="P198" s="12"/>
      <c r="Q198" s="12"/>
      <c r="R198" s="12"/>
      <c r="S198" s="431">
        <f t="shared" si="11"/>
        <v>0</v>
      </c>
    </row>
    <row r="199" spans="5:23" x14ac:dyDescent="0.25">
      <c r="E199" s="431">
        <f t="shared" si="9"/>
        <v>0</v>
      </c>
      <c r="H199" s="223"/>
      <c r="I199" s="223"/>
      <c r="J199" s="223"/>
      <c r="K199" s="223"/>
      <c r="L199" s="431">
        <f t="shared" si="10"/>
        <v>0</v>
      </c>
      <c r="M199" s="227"/>
      <c r="O199" s="11"/>
      <c r="P199" s="12"/>
      <c r="Q199" s="12"/>
      <c r="R199" s="12"/>
      <c r="S199" s="431">
        <f t="shared" si="11"/>
        <v>0</v>
      </c>
    </row>
    <row r="200" spans="5:23" x14ac:dyDescent="0.25">
      <c r="E200" s="431">
        <f t="shared" si="9"/>
        <v>0</v>
      </c>
      <c r="H200" s="223"/>
      <c r="I200" s="223"/>
      <c r="J200" s="223"/>
      <c r="K200" s="223"/>
      <c r="L200" s="431">
        <f t="shared" si="10"/>
        <v>0</v>
      </c>
      <c r="M200" s="227"/>
      <c r="O200" s="11"/>
      <c r="P200" s="12"/>
      <c r="Q200" s="12"/>
      <c r="R200" s="12"/>
      <c r="S200" s="431">
        <f t="shared" si="11"/>
        <v>0</v>
      </c>
    </row>
    <row r="201" spans="5:23" x14ac:dyDescent="0.25">
      <c r="E201" s="431">
        <f t="shared" si="9"/>
        <v>0</v>
      </c>
      <c r="H201" s="223"/>
      <c r="I201" s="223"/>
      <c r="J201" s="223"/>
      <c r="K201" s="223"/>
      <c r="L201" s="431">
        <f t="shared" si="10"/>
        <v>0</v>
      </c>
      <c r="M201" s="227"/>
      <c r="O201" s="11"/>
      <c r="P201" s="12"/>
      <c r="Q201" s="12"/>
      <c r="R201" s="12"/>
      <c r="S201" s="431">
        <f t="shared" si="11"/>
        <v>0</v>
      </c>
    </row>
    <row r="202" spans="5:23" x14ac:dyDescent="0.25">
      <c r="E202" s="431">
        <f t="shared" si="9"/>
        <v>0</v>
      </c>
      <c r="H202" s="223"/>
      <c r="I202" s="223"/>
      <c r="J202" s="223"/>
      <c r="K202" s="223"/>
      <c r="L202" s="431">
        <f t="shared" si="10"/>
        <v>0</v>
      </c>
      <c r="M202" s="227"/>
      <c r="O202" s="11"/>
      <c r="P202" s="12"/>
      <c r="Q202" s="12"/>
      <c r="R202" s="12"/>
      <c r="S202" s="431">
        <f t="shared" si="11"/>
        <v>0</v>
      </c>
    </row>
    <row r="203" spans="5:23" x14ac:dyDescent="0.25">
      <c r="E203" s="431">
        <f t="shared" si="9"/>
        <v>0</v>
      </c>
      <c r="H203" s="223"/>
      <c r="I203" s="223"/>
      <c r="J203" s="223"/>
      <c r="K203" s="223"/>
      <c r="L203" s="431">
        <f t="shared" si="10"/>
        <v>0</v>
      </c>
      <c r="M203" s="293"/>
      <c r="N203" s="228"/>
      <c r="O203" s="11"/>
      <c r="P203" s="12"/>
      <c r="Q203" s="12"/>
      <c r="R203" s="12"/>
      <c r="S203" s="431">
        <f t="shared" si="11"/>
        <v>0</v>
      </c>
      <c r="V203" s="228"/>
      <c r="W203" s="228"/>
    </row>
    <row r="204" spans="5:23" x14ac:dyDescent="0.25">
      <c r="E204" s="431">
        <f t="shared" si="9"/>
        <v>0</v>
      </c>
      <c r="H204" s="223"/>
      <c r="I204" s="223"/>
      <c r="J204" s="223"/>
      <c r="K204" s="223"/>
      <c r="L204" s="431">
        <f t="shared" si="10"/>
        <v>0</v>
      </c>
      <c r="M204" s="227"/>
      <c r="O204" s="11"/>
      <c r="P204" s="12"/>
      <c r="Q204" s="12"/>
      <c r="R204" s="12"/>
      <c r="S204" s="431">
        <f t="shared" si="11"/>
        <v>0</v>
      </c>
    </row>
    <row r="205" spans="5:23" x14ac:dyDescent="0.25">
      <c r="E205" s="431">
        <f t="shared" si="9"/>
        <v>0</v>
      </c>
      <c r="H205" s="223"/>
      <c r="I205" s="223"/>
      <c r="J205" s="223"/>
      <c r="K205" s="223"/>
      <c r="L205" s="431">
        <f t="shared" si="10"/>
        <v>0</v>
      </c>
      <c r="M205" s="227"/>
      <c r="O205" s="11"/>
      <c r="P205" s="12"/>
      <c r="Q205" s="12"/>
      <c r="R205" s="12"/>
      <c r="S205" s="431">
        <f t="shared" si="11"/>
        <v>0</v>
      </c>
    </row>
    <row r="206" spans="5:23" x14ac:dyDescent="0.25">
      <c r="E206" s="431">
        <f t="shared" si="9"/>
        <v>0</v>
      </c>
      <c r="H206" s="223"/>
      <c r="I206" s="223"/>
      <c r="J206" s="223"/>
      <c r="K206" s="223"/>
      <c r="L206" s="431">
        <f t="shared" si="10"/>
        <v>0</v>
      </c>
      <c r="M206" s="227"/>
      <c r="O206" s="11"/>
      <c r="P206" s="12"/>
      <c r="Q206" s="12"/>
      <c r="R206" s="12"/>
      <c r="S206" s="431">
        <f t="shared" si="11"/>
        <v>0</v>
      </c>
    </row>
    <row r="207" spans="5:23" x14ac:dyDescent="0.25">
      <c r="E207" s="431">
        <f t="shared" si="9"/>
        <v>0</v>
      </c>
      <c r="H207" s="223"/>
      <c r="I207" s="223"/>
      <c r="J207" s="223"/>
      <c r="K207" s="223"/>
      <c r="L207" s="431">
        <f t="shared" si="10"/>
        <v>0</v>
      </c>
      <c r="M207" s="227"/>
      <c r="O207" s="11"/>
      <c r="P207" s="12"/>
      <c r="Q207" s="12"/>
      <c r="R207" s="12"/>
      <c r="S207" s="431">
        <f t="shared" si="11"/>
        <v>0</v>
      </c>
    </row>
    <row r="208" spans="5:23" x14ac:dyDescent="0.25">
      <c r="E208" s="431">
        <f t="shared" si="9"/>
        <v>0</v>
      </c>
      <c r="H208" s="223"/>
      <c r="I208" s="223"/>
      <c r="J208" s="223"/>
      <c r="K208" s="223"/>
      <c r="L208" s="431">
        <f t="shared" si="10"/>
        <v>0</v>
      </c>
      <c r="M208" s="227"/>
      <c r="O208" s="11"/>
      <c r="P208" s="12"/>
      <c r="Q208" s="12"/>
      <c r="R208" s="12"/>
      <c r="S208" s="431">
        <f t="shared" si="11"/>
        <v>0</v>
      </c>
    </row>
    <row r="209" spans="5:19" x14ac:dyDescent="0.25">
      <c r="E209" s="431">
        <f t="shared" si="9"/>
        <v>0</v>
      </c>
      <c r="H209" s="223"/>
      <c r="I209" s="223"/>
      <c r="J209" s="223"/>
      <c r="K209" s="223"/>
      <c r="L209" s="431">
        <f t="shared" si="10"/>
        <v>0</v>
      </c>
      <c r="M209" s="227"/>
      <c r="O209" s="11"/>
      <c r="P209" s="12"/>
      <c r="Q209" s="12"/>
      <c r="R209" s="12"/>
      <c r="S209" s="431">
        <f t="shared" si="11"/>
        <v>0</v>
      </c>
    </row>
    <row r="210" spans="5:19" x14ac:dyDescent="0.25">
      <c r="E210" s="431">
        <f t="shared" si="9"/>
        <v>0</v>
      </c>
      <c r="H210" s="223"/>
      <c r="I210" s="223"/>
      <c r="J210" s="223"/>
      <c r="K210" s="223"/>
      <c r="L210" s="431">
        <f t="shared" si="10"/>
        <v>0</v>
      </c>
      <c r="M210" s="227"/>
      <c r="O210" s="11"/>
      <c r="P210" s="12"/>
      <c r="Q210" s="12"/>
      <c r="R210" s="12"/>
      <c r="S210" s="431">
        <f t="shared" si="11"/>
        <v>0</v>
      </c>
    </row>
    <row r="211" spans="5:19" x14ac:dyDescent="0.25">
      <c r="E211" s="431">
        <f t="shared" si="9"/>
        <v>0</v>
      </c>
      <c r="H211" s="223"/>
      <c r="I211" s="223"/>
      <c r="J211" s="223"/>
      <c r="K211" s="223"/>
      <c r="L211" s="431">
        <f t="shared" si="10"/>
        <v>0</v>
      </c>
      <c r="M211" s="227"/>
      <c r="O211" s="11"/>
      <c r="P211" s="12"/>
      <c r="Q211" s="12"/>
      <c r="R211" s="12"/>
      <c r="S211" s="431">
        <f t="shared" si="11"/>
        <v>0</v>
      </c>
    </row>
    <row r="212" spans="5:19" x14ac:dyDescent="0.25">
      <c r="E212" s="431">
        <f t="shared" si="9"/>
        <v>0</v>
      </c>
      <c r="H212" s="223"/>
      <c r="I212" s="223"/>
      <c r="J212" s="223"/>
      <c r="K212" s="223"/>
      <c r="L212" s="431">
        <f t="shared" si="10"/>
        <v>0</v>
      </c>
      <c r="M212" s="227"/>
      <c r="O212" s="11"/>
      <c r="P212" s="12"/>
      <c r="Q212" s="12"/>
      <c r="R212" s="12"/>
      <c r="S212" s="431">
        <f t="shared" si="11"/>
        <v>0</v>
      </c>
    </row>
    <row r="213" spans="5:19" x14ac:dyDescent="0.25">
      <c r="E213" s="431">
        <f t="shared" si="9"/>
        <v>0</v>
      </c>
      <c r="H213" s="223"/>
      <c r="I213" s="223"/>
      <c r="J213" s="223"/>
      <c r="K213" s="223"/>
      <c r="L213" s="431">
        <f t="shared" si="10"/>
        <v>0</v>
      </c>
      <c r="M213" s="227"/>
      <c r="O213" s="11"/>
      <c r="P213" s="12"/>
      <c r="Q213" s="12"/>
      <c r="R213" s="12"/>
      <c r="S213" s="431">
        <f t="shared" si="11"/>
        <v>0</v>
      </c>
    </row>
    <row r="214" spans="5:19" x14ac:dyDescent="0.25">
      <c r="E214" s="431">
        <f t="shared" si="9"/>
        <v>0</v>
      </c>
      <c r="H214" s="223"/>
      <c r="I214" s="223"/>
      <c r="J214" s="223"/>
      <c r="K214" s="223"/>
      <c r="L214" s="431">
        <f t="shared" si="10"/>
        <v>0</v>
      </c>
      <c r="M214" s="227"/>
      <c r="O214" s="11"/>
      <c r="P214" s="12"/>
      <c r="Q214" s="12"/>
      <c r="R214" s="12"/>
      <c r="S214" s="431">
        <f t="shared" si="11"/>
        <v>0</v>
      </c>
    </row>
    <row r="215" spans="5:19" x14ac:dyDescent="0.25">
      <c r="E215" s="431">
        <f t="shared" si="9"/>
        <v>0</v>
      </c>
      <c r="H215" s="223"/>
      <c r="I215" s="223"/>
      <c r="J215" s="223"/>
      <c r="K215" s="223"/>
      <c r="L215" s="431">
        <f t="shared" si="10"/>
        <v>0</v>
      </c>
      <c r="M215" s="227"/>
      <c r="O215" s="11"/>
      <c r="P215" s="12"/>
      <c r="Q215" s="12"/>
      <c r="R215" s="12"/>
      <c r="S215" s="431">
        <f t="shared" si="11"/>
        <v>0</v>
      </c>
    </row>
    <row r="216" spans="5:19" x14ac:dyDescent="0.25">
      <c r="E216" s="431">
        <f t="shared" si="9"/>
        <v>0</v>
      </c>
      <c r="H216" s="223"/>
      <c r="I216" s="223"/>
      <c r="J216" s="223"/>
      <c r="K216" s="223"/>
      <c r="L216" s="431">
        <f t="shared" si="10"/>
        <v>0</v>
      </c>
      <c r="M216" s="227"/>
      <c r="O216" s="11"/>
      <c r="P216" s="12"/>
      <c r="Q216" s="12"/>
      <c r="R216" s="12"/>
      <c r="S216" s="431">
        <f t="shared" si="11"/>
        <v>0</v>
      </c>
    </row>
    <row r="217" spans="5:19" x14ac:dyDescent="0.25">
      <c r="E217" s="431">
        <f t="shared" si="9"/>
        <v>0</v>
      </c>
      <c r="H217" s="223"/>
      <c r="I217" s="223"/>
      <c r="J217" s="223"/>
      <c r="K217" s="223"/>
      <c r="L217" s="431">
        <f t="shared" si="10"/>
        <v>0</v>
      </c>
      <c r="M217" s="227"/>
      <c r="O217" s="11"/>
      <c r="P217" s="12"/>
      <c r="Q217" s="12"/>
      <c r="R217" s="12"/>
      <c r="S217" s="431">
        <f t="shared" si="11"/>
        <v>0</v>
      </c>
    </row>
    <row r="218" spans="5:19" x14ac:dyDescent="0.25">
      <c r="E218" s="431">
        <f t="shared" si="9"/>
        <v>0</v>
      </c>
      <c r="H218" s="223"/>
      <c r="I218" s="223"/>
      <c r="J218" s="223"/>
      <c r="K218" s="223"/>
      <c r="L218" s="431">
        <f t="shared" si="10"/>
        <v>0</v>
      </c>
      <c r="M218" s="227"/>
      <c r="O218" s="11"/>
      <c r="P218" s="12"/>
      <c r="Q218" s="12"/>
      <c r="R218" s="12"/>
      <c r="S218" s="431">
        <f t="shared" si="11"/>
        <v>0</v>
      </c>
    </row>
    <row r="219" spans="5:19" x14ac:dyDescent="0.25">
      <c r="E219" s="431">
        <f t="shared" si="9"/>
        <v>0</v>
      </c>
      <c r="H219" s="223"/>
      <c r="I219" s="223"/>
      <c r="J219" s="223"/>
      <c r="K219" s="223"/>
      <c r="L219" s="431">
        <f t="shared" si="10"/>
        <v>0</v>
      </c>
      <c r="M219" s="227"/>
      <c r="O219" s="11"/>
      <c r="P219" s="12"/>
      <c r="Q219" s="12"/>
      <c r="R219" s="12"/>
      <c r="S219" s="431">
        <f t="shared" si="11"/>
        <v>0</v>
      </c>
    </row>
    <row r="220" spans="5:19" x14ac:dyDescent="0.25">
      <c r="E220" s="431">
        <f t="shared" si="9"/>
        <v>0</v>
      </c>
      <c r="H220" s="223"/>
      <c r="I220" s="223"/>
      <c r="J220" s="223"/>
      <c r="K220" s="223"/>
      <c r="L220" s="431">
        <f t="shared" si="10"/>
        <v>0</v>
      </c>
      <c r="M220" s="227"/>
      <c r="O220" s="11"/>
      <c r="P220" s="12"/>
      <c r="Q220" s="12"/>
      <c r="R220" s="12"/>
      <c r="S220" s="431">
        <f t="shared" si="11"/>
        <v>0</v>
      </c>
    </row>
    <row r="221" spans="5:19" x14ac:dyDescent="0.25">
      <c r="E221" s="431">
        <f t="shared" si="9"/>
        <v>0</v>
      </c>
      <c r="H221" s="223"/>
      <c r="I221" s="223"/>
      <c r="J221" s="223"/>
      <c r="K221" s="223"/>
      <c r="L221" s="431">
        <f t="shared" si="10"/>
        <v>0</v>
      </c>
      <c r="M221" s="227"/>
      <c r="O221" s="11"/>
      <c r="P221" s="12"/>
      <c r="Q221" s="12"/>
      <c r="R221" s="12"/>
      <c r="S221" s="431">
        <f t="shared" si="11"/>
        <v>0</v>
      </c>
    </row>
    <row r="222" spans="5:19" x14ac:dyDescent="0.25">
      <c r="E222" s="431">
        <f t="shared" si="9"/>
        <v>0</v>
      </c>
      <c r="H222" s="223"/>
      <c r="I222" s="223"/>
      <c r="J222" s="223"/>
      <c r="K222" s="223"/>
      <c r="L222" s="431">
        <f t="shared" si="10"/>
        <v>0</v>
      </c>
      <c r="M222" s="227"/>
      <c r="O222" s="11"/>
      <c r="P222" s="12"/>
      <c r="Q222" s="12"/>
      <c r="R222" s="12"/>
      <c r="S222" s="431">
        <f t="shared" si="11"/>
        <v>0</v>
      </c>
    </row>
    <row r="223" spans="5:19" x14ac:dyDescent="0.25">
      <c r="E223" s="431">
        <f t="shared" si="9"/>
        <v>0</v>
      </c>
      <c r="H223" s="223"/>
      <c r="I223" s="223"/>
      <c r="J223" s="223"/>
      <c r="K223" s="223"/>
      <c r="L223" s="431">
        <f t="shared" si="10"/>
        <v>0</v>
      </c>
      <c r="M223" s="227"/>
      <c r="O223" s="11"/>
      <c r="P223" s="12"/>
      <c r="Q223" s="12"/>
      <c r="R223" s="12"/>
      <c r="S223" s="431">
        <f t="shared" si="11"/>
        <v>0</v>
      </c>
    </row>
    <row r="224" spans="5:19" x14ac:dyDescent="0.25">
      <c r="E224" s="431">
        <f t="shared" si="9"/>
        <v>0</v>
      </c>
      <c r="H224" s="223"/>
      <c r="I224" s="223"/>
      <c r="J224" s="223"/>
      <c r="K224" s="223"/>
      <c r="L224" s="431">
        <f t="shared" si="10"/>
        <v>0</v>
      </c>
      <c r="M224" s="227"/>
      <c r="O224" s="11"/>
      <c r="P224" s="12"/>
      <c r="Q224" s="12"/>
      <c r="R224" s="12"/>
      <c r="S224" s="431">
        <f t="shared" si="11"/>
        <v>0</v>
      </c>
    </row>
    <row r="225" spans="5:19" x14ac:dyDescent="0.25">
      <c r="E225" s="431">
        <f t="shared" si="9"/>
        <v>0</v>
      </c>
      <c r="H225" s="223"/>
      <c r="I225" s="223"/>
      <c r="J225" s="223"/>
      <c r="K225" s="223"/>
      <c r="L225" s="431">
        <f t="shared" si="10"/>
        <v>0</v>
      </c>
      <c r="M225" s="227"/>
      <c r="O225" s="11"/>
      <c r="P225" s="12"/>
      <c r="Q225" s="12"/>
      <c r="R225" s="12"/>
      <c r="S225" s="431">
        <f t="shared" si="11"/>
        <v>0</v>
      </c>
    </row>
    <row r="226" spans="5:19" x14ac:dyDescent="0.25">
      <c r="E226" s="431">
        <f t="shared" si="9"/>
        <v>0</v>
      </c>
      <c r="H226" s="223"/>
      <c r="I226" s="223"/>
      <c r="J226" s="223"/>
      <c r="K226" s="223"/>
      <c r="L226" s="431">
        <f t="shared" si="10"/>
        <v>0</v>
      </c>
      <c r="M226" s="227"/>
      <c r="O226" s="11"/>
      <c r="P226" s="12"/>
      <c r="Q226" s="12"/>
      <c r="R226" s="12"/>
      <c r="S226" s="431">
        <f t="shared" si="11"/>
        <v>0</v>
      </c>
    </row>
    <row r="227" spans="5:19" x14ac:dyDescent="0.25">
      <c r="E227" s="431">
        <f t="shared" si="9"/>
        <v>0</v>
      </c>
      <c r="H227" s="223"/>
      <c r="I227" s="223"/>
      <c r="J227" s="223"/>
      <c r="K227" s="223"/>
      <c r="L227" s="431">
        <f t="shared" si="10"/>
        <v>0</v>
      </c>
      <c r="M227" s="227"/>
      <c r="O227" s="11"/>
      <c r="P227" s="12"/>
      <c r="Q227" s="12"/>
      <c r="R227" s="12"/>
      <c r="S227" s="431">
        <f t="shared" si="11"/>
        <v>0</v>
      </c>
    </row>
    <row r="228" spans="5:19" x14ac:dyDescent="0.25">
      <c r="E228" s="431">
        <f t="shared" si="9"/>
        <v>0</v>
      </c>
      <c r="H228" s="223"/>
      <c r="I228" s="223"/>
      <c r="J228" s="223"/>
      <c r="K228" s="223"/>
      <c r="L228" s="431">
        <f t="shared" si="10"/>
        <v>0</v>
      </c>
      <c r="M228" s="227"/>
      <c r="O228" s="11"/>
      <c r="P228" s="12"/>
      <c r="Q228" s="12"/>
      <c r="R228" s="12"/>
      <c r="S228" s="431">
        <f t="shared" si="11"/>
        <v>0</v>
      </c>
    </row>
    <row r="229" spans="5:19" x14ac:dyDescent="0.25">
      <c r="E229" s="431">
        <f t="shared" si="9"/>
        <v>0</v>
      </c>
      <c r="H229" s="223"/>
      <c r="I229" s="223"/>
      <c r="J229" s="223"/>
      <c r="K229" s="223"/>
      <c r="L229" s="431">
        <f t="shared" si="10"/>
        <v>0</v>
      </c>
      <c r="M229" s="227"/>
      <c r="O229" s="11"/>
      <c r="P229" s="12"/>
      <c r="Q229" s="12"/>
      <c r="R229" s="12"/>
      <c r="S229" s="431">
        <f t="shared" si="11"/>
        <v>0</v>
      </c>
    </row>
    <row r="230" spans="5:19" x14ac:dyDescent="0.25">
      <c r="E230" s="431">
        <f t="shared" si="9"/>
        <v>0</v>
      </c>
      <c r="H230" s="223"/>
      <c r="I230" s="223"/>
      <c r="J230" s="223"/>
      <c r="K230" s="223"/>
      <c r="L230" s="431">
        <f t="shared" si="10"/>
        <v>0</v>
      </c>
      <c r="M230" s="227"/>
      <c r="O230" s="11"/>
      <c r="P230" s="12"/>
      <c r="Q230" s="12"/>
      <c r="R230" s="12"/>
      <c r="S230" s="431">
        <f t="shared" si="11"/>
        <v>0</v>
      </c>
    </row>
    <row r="231" spans="5:19" x14ac:dyDescent="0.25">
      <c r="E231" s="431">
        <f t="shared" si="9"/>
        <v>0</v>
      </c>
      <c r="H231" s="223"/>
      <c r="I231" s="223"/>
      <c r="J231" s="223"/>
      <c r="K231" s="223"/>
      <c r="L231" s="431">
        <f t="shared" si="10"/>
        <v>0</v>
      </c>
      <c r="M231" s="227"/>
      <c r="O231" s="11"/>
      <c r="P231" s="12"/>
      <c r="Q231" s="12"/>
      <c r="R231" s="12"/>
      <c r="S231" s="431">
        <f t="shared" si="11"/>
        <v>0</v>
      </c>
    </row>
    <row r="232" spans="5:19" x14ac:dyDescent="0.25">
      <c r="E232" s="431">
        <f t="shared" si="9"/>
        <v>0</v>
      </c>
      <c r="H232" s="223"/>
      <c r="I232" s="223"/>
      <c r="J232" s="223"/>
      <c r="K232" s="223"/>
      <c r="L232" s="431">
        <f t="shared" si="10"/>
        <v>0</v>
      </c>
      <c r="M232" s="227"/>
      <c r="O232" s="11"/>
      <c r="P232" s="12"/>
      <c r="Q232" s="12"/>
      <c r="R232" s="12"/>
      <c r="S232" s="431">
        <f t="shared" si="11"/>
        <v>0</v>
      </c>
    </row>
    <row r="233" spans="5:19" x14ac:dyDescent="0.25">
      <c r="E233" s="431">
        <f t="shared" si="9"/>
        <v>0</v>
      </c>
      <c r="H233" s="223"/>
      <c r="I233" s="223"/>
      <c r="J233" s="223"/>
      <c r="K233" s="223"/>
      <c r="L233" s="431">
        <f t="shared" si="10"/>
        <v>0</v>
      </c>
      <c r="M233" s="227"/>
      <c r="O233" s="11"/>
      <c r="P233" s="12"/>
      <c r="Q233" s="12"/>
      <c r="R233" s="12"/>
      <c r="S233" s="431">
        <f t="shared" si="11"/>
        <v>0</v>
      </c>
    </row>
    <row r="234" spans="5:19" x14ac:dyDescent="0.25">
      <c r="E234" s="431">
        <f t="shared" si="9"/>
        <v>0</v>
      </c>
      <c r="H234" s="223"/>
      <c r="I234" s="223"/>
      <c r="J234" s="223"/>
      <c r="K234" s="223"/>
      <c r="L234" s="431">
        <f t="shared" si="10"/>
        <v>0</v>
      </c>
      <c r="M234" s="227"/>
      <c r="O234" s="11"/>
      <c r="P234" s="12"/>
      <c r="Q234" s="12"/>
      <c r="R234" s="12"/>
      <c r="S234" s="431">
        <f t="shared" si="11"/>
        <v>0</v>
      </c>
    </row>
    <row r="235" spans="5:19" x14ac:dyDescent="0.25">
      <c r="E235" s="431">
        <f t="shared" si="9"/>
        <v>0</v>
      </c>
      <c r="H235" s="223"/>
      <c r="I235" s="223"/>
      <c r="J235" s="223"/>
      <c r="K235" s="223"/>
      <c r="L235" s="431">
        <f t="shared" si="10"/>
        <v>0</v>
      </c>
      <c r="M235" s="227"/>
      <c r="O235" s="11"/>
      <c r="P235" s="12"/>
      <c r="Q235" s="12"/>
      <c r="R235" s="12"/>
      <c r="S235" s="431">
        <f t="shared" si="11"/>
        <v>0</v>
      </c>
    </row>
    <row r="236" spans="5:19" x14ac:dyDescent="0.25">
      <c r="E236" s="431">
        <f t="shared" si="9"/>
        <v>0</v>
      </c>
      <c r="H236" s="223"/>
      <c r="I236" s="223"/>
      <c r="J236" s="223"/>
      <c r="K236" s="223"/>
      <c r="L236" s="431">
        <f t="shared" si="10"/>
        <v>0</v>
      </c>
      <c r="M236" s="227"/>
      <c r="O236" s="11"/>
      <c r="P236" s="12"/>
      <c r="Q236" s="12"/>
      <c r="R236" s="12"/>
      <c r="S236" s="431">
        <f t="shared" si="11"/>
        <v>0</v>
      </c>
    </row>
    <row r="237" spans="5:19" x14ac:dyDescent="0.25">
      <c r="E237" s="431">
        <f t="shared" si="9"/>
        <v>0</v>
      </c>
      <c r="H237" s="223"/>
      <c r="I237" s="223"/>
      <c r="J237" s="223"/>
      <c r="K237" s="223"/>
      <c r="L237" s="431">
        <f t="shared" si="10"/>
        <v>0</v>
      </c>
      <c r="M237" s="227"/>
      <c r="O237" s="11"/>
      <c r="P237" s="12"/>
      <c r="Q237" s="12"/>
      <c r="R237" s="12"/>
      <c r="S237" s="431">
        <f t="shared" si="11"/>
        <v>0</v>
      </c>
    </row>
    <row r="238" spans="5:19" x14ac:dyDescent="0.25">
      <c r="E238" s="431">
        <f t="shared" si="9"/>
        <v>0</v>
      </c>
      <c r="H238" s="223"/>
      <c r="I238" s="223"/>
      <c r="J238" s="223"/>
      <c r="K238" s="223"/>
      <c r="L238" s="431">
        <f t="shared" si="10"/>
        <v>0</v>
      </c>
      <c r="M238" s="227"/>
      <c r="O238" s="11"/>
      <c r="P238" s="12"/>
      <c r="Q238" s="12"/>
      <c r="R238" s="12"/>
      <c r="S238" s="431">
        <f t="shared" si="11"/>
        <v>0</v>
      </c>
    </row>
    <row r="239" spans="5:19" x14ac:dyDescent="0.25">
      <c r="E239" s="431">
        <f t="shared" si="9"/>
        <v>0</v>
      </c>
      <c r="H239" s="223"/>
      <c r="I239" s="223"/>
      <c r="J239" s="223"/>
      <c r="K239" s="223"/>
      <c r="L239" s="431">
        <f t="shared" si="10"/>
        <v>0</v>
      </c>
      <c r="M239" s="227"/>
      <c r="O239" s="11"/>
      <c r="P239" s="12"/>
      <c r="Q239" s="12"/>
      <c r="R239" s="12"/>
      <c r="S239" s="431">
        <f t="shared" si="11"/>
        <v>0</v>
      </c>
    </row>
    <row r="240" spans="5:19" x14ac:dyDescent="0.25">
      <c r="E240" s="431">
        <f t="shared" si="9"/>
        <v>0</v>
      </c>
      <c r="H240" s="223"/>
      <c r="I240" s="223"/>
      <c r="J240" s="223"/>
      <c r="K240" s="223"/>
      <c r="L240" s="431">
        <f t="shared" si="10"/>
        <v>0</v>
      </c>
      <c r="M240" s="227"/>
      <c r="O240" s="11"/>
      <c r="P240" s="12"/>
      <c r="Q240" s="12"/>
      <c r="R240" s="12"/>
      <c r="S240" s="431">
        <f t="shared" si="11"/>
        <v>0</v>
      </c>
    </row>
    <row r="241" spans="5:19" x14ac:dyDescent="0.25">
      <c r="E241" s="431">
        <f t="shared" si="9"/>
        <v>0</v>
      </c>
      <c r="H241" s="223"/>
      <c r="I241" s="223"/>
      <c r="J241" s="223"/>
      <c r="K241" s="223"/>
      <c r="L241" s="431">
        <f t="shared" si="10"/>
        <v>0</v>
      </c>
      <c r="M241" s="227"/>
      <c r="O241" s="11"/>
      <c r="P241" s="12"/>
      <c r="Q241" s="12"/>
      <c r="R241" s="12"/>
      <c r="S241" s="431">
        <f t="shared" si="11"/>
        <v>0</v>
      </c>
    </row>
    <row r="242" spans="5:19" x14ac:dyDescent="0.25">
      <c r="E242" s="431">
        <f t="shared" si="9"/>
        <v>0</v>
      </c>
      <c r="H242" s="223"/>
      <c r="I242" s="223"/>
      <c r="J242" s="223"/>
      <c r="K242" s="223"/>
      <c r="L242" s="431">
        <f t="shared" si="10"/>
        <v>0</v>
      </c>
      <c r="M242" s="227"/>
      <c r="O242" s="11"/>
      <c r="P242" s="12"/>
      <c r="Q242" s="12"/>
      <c r="R242" s="12"/>
      <c r="S242" s="431">
        <f t="shared" si="11"/>
        <v>0</v>
      </c>
    </row>
    <row r="243" spans="5:19" x14ac:dyDescent="0.25">
      <c r="E243" s="431">
        <f t="shared" si="9"/>
        <v>0</v>
      </c>
      <c r="H243" s="223"/>
      <c r="I243" s="223"/>
      <c r="J243" s="223"/>
      <c r="K243" s="223"/>
      <c r="L243" s="431">
        <f t="shared" si="10"/>
        <v>0</v>
      </c>
      <c r="M243" s="227"/>
      <c r="O243" s="11"/>
      <c r="P243" s="12"/>
      <c r="Q243" s="12"/>
      <c r="R243" s="12"/>
      <c r="S243" s="431">
        <f t="shared" si="11"/>
        <v>0</v>
      </c>
    </row>
    <row r="244" spans="5:19" x14ac:dyDescent="0.25">
      <c r="E244" s="431">
        <f t="shared" si="9"/>
        <v>0</v>
      </c>
      <c r="H244" s="223"/>
      <c r="I244" s="223"/>
      <c r="J244" s="223"/>
      <c r="K244" s="223"/>
      <c r="L244" s="431">
        <f t="shared" si="10"/>
        <v>0</v>
      </c>
      <c r="M244" s="227"/>
      <c r="O244" s="11"/>
      <c r="P244" s="12"/>
      <c r="Q244" s="12"/>
      <c r="R244" s="12"/>
      <c r="S244" s="431">
        <f t="shared" si="11"/>
        <v>0</v>
      </c>
    </row>
    <row r="245" spans="5:19" x14ac:dyDescent="0.25">
      <c r="E245" s="431">
        <f t="shared" si="9"/>
        <v>0</v>
      </c>
      <c r="H245" s="223"/>
      <c r="I245" s="223"/>
      <c r="J245" s="223"/>
      <c r="K245" s="223"/>
      <c r="L245" s="431">
        <f t="shared" si="10"/>
        <v>0</v>
      </c>
      <c r="M245" s="227"/>
      <c r="O245" s="11"/>
      <c r="P245" s="12"/>
      <c r="Q245" s="12"/>
      <c r="R245" s="12"/>
      <c r="S245" s="431">
        <f t="shared" si="11"/>
        <v>0</v>
      </c>
    </row>
    <row r="246" spans="5:19" x14ac:dyDescent="0.25">
      <c r="E246" s="431">
        <f t="shared" si="9"/>
        <v>0</v>
      </c>
      <c r="H246" s="223"/>
      <c r="I246" s="223"/>
      <c r="J246" s="223"/>
      <c r="K246" s="223"/>
      <c r="L246" s="431">
        <f t="shared" si="10"/>
        <v>0</v>
      </c>
      <c r="M246" s="227"/>
      <c r="O246" s="11"/>
      <c r="P246" s="12"/>
      <c r="Q246" s="12"/>
      <c r="R246" s="12"/>
      <c r="S246" s="431">
        <f t="shared" si="11"/>
        <v>0</v>
      </c>
    </row>
    <row r="247" spans="5:19" x14ac:dyDescent="0.25">
      <c r="E247" s="431">
        <f t="shared" si="9"/>
        <v>0</v>
      </c>
      <c r="H247" s="223"/>
      <c r="I247" s="223"/>
      <c r="J247" s="223"/>
      <c r="K247" s="223"/>
      <c r="L247" s="431">
        <f t="shared" si="10"/>
        <v>0</v>
      </c>
      <c r="M247" s="227"/>
      <c r="O247" s="11"/>
      <c r="P247" s="12"/>
      <c r="Q247" s="12"/>
      <c r="R247" s="12"/>
      <c r="S247" s="431">
        <f t="shared" si="11"/>
        <v>0</v>
      </c>
    </row>
    <row r="248" spans="5:19" x14ac:dyDescent="0.25">
      <c r="E248" s="431">
        <f t="shared" si="9"/>
        <v>0</v>
      </c>
      <c r="H248" s="223"/>
      <c r="I248" s="223"/>
      <c r="J248" s="223"/>
      <c r="K248" s="223"/>
      <c r="L248" s="431">
        <f t="shared" si="10"/>
        <v>0</v>
      </c>
      <c r="M248" s="227"/>
      <c r="O248" s="11"/>
      <c r="P248" s="12"/>
      <c r="Q248" s="12"/>
      <c r="R248" s="12"/>
      <c r="S248" s="431">
        <f t="shared" si="11"/>
        <v>0</v>
      </c>
    </row>
    <row r="249" spans="5:19" x14ac:dyDescent="0.25">
      <c r="E249" s="431">
        <f t="shared" si="9"/>
        <v>0</v>
      </c>
      <c r="H249" s="223"/>
      <c r="I249" s="223"/>
      <c r="J249" s="223"/>
      <c r="K249" s="223"/>
      <c r="L249" s="431">
        <f t="shared" si="10"/>
        <v>0</v>
      </c>
      <c r="M249" s="227"/>
      <c r="O249" s="11"/>
      <c r="P249" s="12"/>
      <c r="Q249" s="12"/>
      <c r="R249" s="12"/>
      <c r="S249" s="431">
        <f t="shared" si="11"/>
        <v>0</v>
      </c>
    </row>
    <row r="250" spans="5:19" x14ac:dyDescent="0.25">
      <c r="E250" s="431">
        <f t="shared" si="9"/>
        <v>0</v>
      </c>
      <c r="H250" s="223"/>
      <c r="I250" s="223"/>
      <c r="J250" s="223"/>
      <c r="K250" s="223"/>
      <c r="L250" s="431">
        <f t="shared" si="10"/>
        <v>0</v>
      </c>
      <c r="M250" s="227"/>
      <c r="O250" s="11"/>
      <c r="P250" s="12"/>
      <c r="Q250" s="12"/>
      <c r="R250" s="12"/>
      <c r="S250" s="431">
        <f t="shared" si="11"/>
        <v>0</v>
      </c>
    </row>
    <row r="251" spans="5:19" x14ac:dyDescent="0.25">
      <c r="E251" s="431">
        <f t="shared" si="9"/>
        <v>0</v>
      </c>
      <c r="H251" s="223"/>
      <c r="I251" s="223"/>
      <c r="J251" s="223"/>
      <c r="K251" s="223"/>
      <c r="L251" s="431">
        <f t="shared" si="10"/>
        <v>0</v>
      </c>
      <c r="M251" s="227"/>
      <c r="O251" s="11"/>
      <c r="P251" s="12"/>
      <c r="Q251" s="12"/>
      <c r="R251" s="12"/>
      <c r="S251" s="431">
        <f t="shared" si="11"/>
        <v>0</v>
      </c>
    </row>
    <row r="252" spans="5:19" x14ac:dyDescent="0.25">
      <c r="E252" s="431">
        <f t="shared" si="9"/>
        <v>0</v>
      </c>
      <c r="H252" s="223"/>
      <c r="I252" s="223"/>
      <c r="J252" s="223"/>
      <c r="K252" s="223"/>
      <c r="L252" s="431">
        <f t="shared" si="10"/>
        <v>0</v>
      </c>
      <c r="M252" s="227"/>
      <c r="O252" s="11"/>
      <c r="P252" s="12"/>
      <c r="Q252" s="12"/>
      <c r="R252" s="12"/>
      <c r="S252" s="431">
        <f t="shared" si="11"/>
        <v>0</v>
      </c>
    </row>
    <row r="253" spans="5:19" x14ac:dyDescent="0.25">
      <c r="E253" s="431">
        <f t="shared" si="9"/>
        <v>0</v>
      </c>
      <c r="H253" s="223"/>
      <c r="I253" s="223"/>
      <c r="J253" s="223"/>
      <c r="K253" s="223"/>
      <c r="L253" s="431">
        <f t="shared" si="10"/>
        <v>0</v>
      </c>
      <c r="M253" s="227"/>
      <c r="O253" s="11"/>
      <c r="P253" s="12"/>
      <c r="Q253" s="12"/>
      <c r="R253" s="12"/>
      <c r="S253" s="431">
        <f t="shared" si="11"/>
        <v>0</v>
      </c>
    </row>
    <row r="254" spans="5:19" x14ac:dyDescent="0.25">
      <c r="E254" s="431">
        <f t="shared" si="9"/>
        <v>0</v>
      </c>
      <c r="H254" s="223"/>
      <c r="I254" s="223"/>
      <c r="J254" s="223"/>
      <c r="K254" s="223"/>
      <c r="L254" s="431">
        <f t="shared" si="10"/>
        <v>0</v>
      </c>
      <c r="M254" s="227"/>
      <c r="O254" s="11"/>
      <c r="P254" s="12"/>
      <c r="Q254" s="12"/>
      <c r="R254" s="12"/>
      <c r="S254" s="431">
        <f t="shared" si="11"/>
        <v>0</v>
      </c>
    </row>
    <row r="255" spans="5:19" x14ac:dyDescent="0.25">
      <c r="E255" s="431">
        <f t="shared" si="9"/>
        <v>0</v>
      </c>
      <c r="H255" s="223"/>
      <c r="I255" s="223"/>
      <c r="J255" s="223"/>
      <c r="K255" s="223"/>
      <c r="L255" s="431">
        <f t="shared" si="10"/>
        <v>0</v>
      </c>
      <c r="M255" s="227"/>
      <c r="O255" s="11"/>
      <c r="P255" s="12"/>
      <c r="Q255" s="12"/>
      <c r="R255" s="12"/>
      <c r="S255" s="431">
        <f t="shared" si="11"/>
        <v>0</v>
      </c>
    </row>
    <row r="256" spans="5:19" x14ac:dyDescent="0.25">
      <c r="E256" s="431">
        <f t="shared" si="9"/>
        <v>0</v>
      </c>
      <c r="H256" s="223"/>
      <c r="I256" s="223"/>
      <c r="J256" s="223"/>
      <c r="K256" s="223"/>
      <c r="L256" s="431">
        <f t="shared" si="10"/>
        <v>0</v>
      </c>
      <c r="M256" s="227"/>
      <c r="O256" s="11"/>
      <c r="P256" s="12"/>
      <c r="Q256" s="12"/>
      <c r="R256" s="12"/>
      <c r="S256" s="431">
        <f t="shared" si="11"/>
        <v>0</v>
      </c>
    </row>
    <row r="257" spans="5:19" x14ac:dyDescent="0.25">
      <c r="E257" s="431">
        <f t="shared" si="9"/>
        <v>0</v>
      </c>
      <c r="H257" s="223"/>
      <c r="I257" s="223"/>
      <c r="J257" s="223"/>
      <c r="K257" s="223"/>
      <c r="L257" s="431">
        <f t="shared" si="10"/>
        <v>0</v>
      </c>
      <c r="M257" s="227"/>
      <c r="O257" s="11"/>
      <c r="P257" s="12"/>
      <c r="Q257" s="12"/>
      <c r="R257" s="12"/>
      <c r="S257" s="431">
        <f t="shared" si="11"/>
        <v>0</v>
      </c>
    </row>
    <row r="258" spans="5:19" x14ac:dyDescent="0.25">
      <c r="E258" s="431">
        <f t="shared" si="9"/>
        <v>0</v>
      </c>
      <c r="H258" s="223"/>
      <c r="I258" s="223"/>
      <c r="J258" s="223"/>
      <c r="K258" s="223"/>
      <c r="L258" s="431">
        <f t="shared" si="10"/>
        <v>0</v>
      </c>
      <c r="M258" s="227"/>
      <c r="O258" s="11"/>
      <c r="P258" s="12"/>
      <c r="Q258" s="12"/>
      <c r="R258" s="12"/>
      <c r="S258" s="431">
        <f t="shared" si="11"/>
        <v>0</v>
      </c>
    </row>
    <row r="259" spans="5:19" x14ac:dyDescent="0.25">
      <c r="E259" s="431">
        <f t="shared" si="9"/>
        <v>0</v>
      </c>
      <c r="H259" s="223"/>
      <c r="I259" s="223"/>
      <c r="J259" s="223"/>
      <c r="K259" s="223"/>
      <c r="L259" s="431">
        <f t="shared" si="10"/>
        <v>0</v>
      </c>
      <c r="M259" s="227"/>
      <c r="O259" s="11"/>
      <c r="P259" s="12"/>
      <c r="Q259" s="12"/>
      <c r="R259" s="12"/>
      <c r="S259" s="431">
        <f t="shared" si="11"/>
        <v>0</v>
      </c>
    </row>
    <row r="260" spans="5:19" x14ac:dyDescent="0.25">
      <c r="E260" s="431">
        <f t="shared" ref="E260:E323" si="12">+D260/100</f>
        <v>0</v>
      </c>
      <c r="H260" s="223"/>
      <c r="I260" s="223"/>
      <c r="J260" s="223"/>
      <c r="K260" s="223"/>
      <c r="L260" s="431">
        <f t="shared" ref="L260:L323" si="13">+K260/100</f>
        <v>0</v>
      </c>
      <c r="M260" s="227"/>
      <c r="O260" s="11"/>
      <c r="P260" s="12"/>
      <c r="Q260" s="12"/>
      <c r="R260" s="12"/>
      <c r="S260" s="431">
        <f t="shared" si="11"/>
        <v>0</v>
      </c>
    </row>
    <row r="261" spans="5:19" x14ac:dyDescent="0.25">
      <c r="E261" s="431">
        <f t="shared" si="12"/>
        <v>0</v>
      </c>
      <c r="H261" s="223"/>
      <c r="I261" s="223"/>
      <c r="J261" s="223"/>
      <c r="K261" s="223"/>
      <c r="L261" s="431">
        <f t="shared" si="13"/>
        <v>0</v>
      </c>
      <c r="M261" s="227"/>
      <c r="O261" s="11"/>
      <c r="P261" s="12"/>
      <c r="Q261" s="12"/>
      <c r="R261" s="12"/>
      <c r="S261" s="431">
        <f t="shared" ref="S261:S324" si="14">+R261/100</f>
        <v>0</v>
      </c>
    </row>
    <row r="262" spans="5:19" x14ac:dyDescent="0.25">
      <c r="E262" s="431">
        <f t="shared" si="12"/>
        <v>0</v>
      </c>
      <c r="H262" s="223"/>
      <c r="I262" s="223"/>
      <c r="J262" s="223"/>
      <c r="K262" s="223"/>
      <c r="L262" s="431">
        <f t="shared" si="13"/>
        <v>0</v>
      </c>
      <c r="M262" s="227"/>
      <c r="O262" s="11"/>
      <c r="P262" s="12"/>
      <c r="Q262" s="12"/>
      <c r="R262" s="12"/>
      <c r="S262" s="431">
        <f t="shared" si="14"/>
        <v>0</v>
      </c>
    </row>
    <row r="263" spans="5:19" x14ac:dyDescent="0.25">
      <c r="E263" s="431">
        <f t="shared" si="12"/>
        <v>0</v>
      </c>
      <c r="H263" s="223"/>
      <c r="I263" s="223"/>
      <c r="J263" s="223"/>
      <c r="K263" s="223"/>
      <c r="L263" s="431">
        <f t="shared" si="13"/>
        <v>0</v>
      </c>
      <c r="M263" s="227"/>
      <c r="O263" s="11"/>
      <c r="P263" s="12"/>
      <c r="Q263" s="12"/>
      <c r="R263" s="12"/>
      <c r="S263" s="431">
        <f t="shared" si="14"/>
        <v>0</v>
      </c>
    </row>
    <row r="264" spans="5:19" x14ac:dyDescent="0.25">
      <c r="E264" s="431">
        <f t="shared" si="12"/>
        <v>0</v>
      </c>
      <c r="H264" s="223"/>
      <c r="I264" s="223"/>
      <c r="J264" s="223"/>
      <c r="K264" s="223"/>
      <c r="L264" s="431">
        <f t="shared" si="13"/>
        <v>0</v>
      </c>
      <c r="M264" s="227"/>
      <c r="O264" s="11"/>
      <c r="P264" s="12"/>
      <c r="Q264" s="12"/>
      <c r="R264" s="12"/>
      <c r="S264" s="431">
        <f t="shared" si="14"/>
        <v>0</v>
      </c>
    </row>
    <row r="265" spans="5:19" x14ac:dyDescent="0.25">
      <c r="E265" s="431">
        <f t="shared" si="12"/>
        <v>0</v>
      </c>
      <c r="H265" s="223"/>
      <c r="I265" s="223"/>
      <c r="J265" s="223"/>
      <c r="K265" s="223"/>
      <c r="L265" s="431">
        <f t="shared" si="13"/>
        <v>0</v>
      </c>
      <c r="M265" s="227"/>
      <c r="O265" s="11"/>
      <c r="P265" s="12"/>
      <c r="Q265" s="12"/>
      <c r="R265" s="12"/>
      <c r="S265" s="431">
        <f t="shared" si="14"/>
        <v>0</v>
      </c>
    </row>
    <row r="266" spans="5:19" x14ac:dyDescent="0.25">
      <c r="E266" s="431">
        <f t="shared" si="12"/>
        <v>0</v>
      </c>
      <c r="H266" s="223"/>
      <c r="I266" s="223"/>
      <c r="J266" s="223"/>
      <c r="K266" s="223"/>
      <c r="L266" s="431">
        <f t="shared" si="13"/>
        <v>0</v>
      </c>
      <c r="M266" s="227"/>
      <c r="O266" s="11"/>
      <c r="P266" s="12"/>
      <c r="Q266" s="12"/>
      <c r="R266" s="12"/>
      <c r="S266" s="431">
        <f t="shared" si="14"/>
        <v>0</v>
      </c>
    </row>
    <row r="267" spans="5:19" x14ac:dyDescent="0.25">
      <c r="E267" s="431">
        <f t="shared" si="12"/>
        <v>0</v>
      </c>
      <c r="H267" s="223"/>
      <c r="I267" s="223"/>
      <c r="J267" s="223"/>
      <c r="K267" s="223"/>
      <c r="L267" s="431">
        <f t="shared" si="13"/>
        <v>0</v>
      </c>
      <c r="M267" s="227"/>
      <c r="O267" s="11"/>
      <c r="P267" s="12"/>
      <c r="Q267" s="12"/>
      <c r="R267" s="12"/>
      <c r="S267" s="431">
        <f t="shared" si="14"/>
        <v>0</v>
      </c>
    </row>
    <row r="268" spans="5:19" x14ac:dyDescent="0.25">
      <c r="E268" s="431">
        <f t="shared" si="12"/>
        <v>0</v>
      </c>
      <c r="H268" s="223"/>
      <c r="I268" s="223"/>
      <c r="J268" s="223"/>
      <c r="K268" s="223"/>
      <c r="L268" s="431">
        <f t="shared" si="13"/>
        <v>0</v>
      </c>
      <c r="M268" s="227"/>
      <c r="O268" s="11"/>
      <c r="P268" s="12"/>
      <c r="Q268" s="12"/>
      <c r="R268" s="12"/>
      <c r="S268" s="431">
        <f t="shared" si="14"/>
        <v>0</v>
      </c>
    </row>
    <row r="269" spans="5:19" x14ac:dyDescent="0.25">
      <c r="E269" s="431">
        <f t="shared" si="12"/>
        <v>0</v>
      </c>
      <c r="H269" s="223"/>
      <c r="I269" s="223"/>
      <c r="J269" s="223"/>
      <c r="K269" s="223"/>
      <c r="L269" s="431">
        <f t="shared" si="13"/>
        <v>0</v>
      </c>
      <c r="M269" s="227"/>
      <c r="O269" s="11"/>
      <c r="P269" s="12"/>
      <c r="Q269" s="12"/>
      <c r="R269" s="12"/>
      <c r="S269" s="431">
        <f t="shared" si="14"/>
        <v>0</v>
      </c>
    </row>
    <row r="270" spans="5:19" x14ac:dyDescent="0.25">
      <c r="E270" s="431">
        <f t="shared" si="12"/>
        <v>0</v>
      </c>
      <c r="H270" s="223"/>
      <c r="I270" s="223"/>
      <c r="J270" s="223"/>
      <c r="K270" s="223"/>
      <c r="L270" s="431">
        <f t="shared" si="13"/>
        <v>0</v>
      </c>
      <c r="M270" s="227"/>
      <c r="O270" s="11"/>
      <c r="P270" s="12"/>
      <c r="Q270" s="12"/>
      <c r="R270" s="12"/>
      <c r="S270" s="431">
        <f t="shared" si="14"/>
        <v>0</v>
      </c>
    </row>
    <row r="271" spans="5:19" x14ac:dyDescent="0.25">
      <c r="E271" s="431">
        <f t="shared" si="12"/>
        <v>0</v>
      </c>
      <c r="H271" s="223"/>
      <c r="I271" s="223"/>
      <c r="J271" s="223"/>
      <c r="K271" s="223"/>
      <c r="L271" s="431">
        <f t="shared" si="13"/>
        <v>0</v>
      </c>
      <c r="M271" s="227"/>
      <c r="O271" s="11"/>
      <c r="P271" s="12"/>
      <c r="Q271" s="12"/>
      <c r="R271" s="12"/>
      <c r="S271" s="431">
        <f t="shared" si="14"/>
        <v>0</v>
      </c>
    </row>
    <row r="272" spans="5:19" x14ac:dyDescent="0.25">
      <c r="E272" s="431">
        <f t="shared" si="12"/>
        <v>0</v>
      </c>
      <c r="H272" s="223"/>
      <c r="I272" s="223"/>
      <c r="J272" s="223"/>
      <c r="K272" s="223"/>
      <c r="L272" s="431">
        <f t="shared" si="13"/>
        <v>0</v>
      </c>
      <c r="M272" s="227"/>
      <c r="O272" s="11"/>
      <c r="P272" s="12"/>
      <c r="Q272" s="12"/>
      <c r="R272" s="12"/>
      <c r="S272" s="431">
        <f t="shared" si="14"/>
        <v>0</v>
      </c>
    </row>
    <row r="273" spans="5:19" x14ac:dyDescent="0.25">
      <c r="E273" s="431">
        <f t="shared" si="12"/>
        <v>0</v>
      </c>
      <c r="H273" s="223"/>
      <c r="I273" s="223"/>
      <c r="J273" s="223"/>
      <c r="K273" s="223"/>
      <c r="L273" s="431">
        <f t="shared" si="13"/>
        <v>0</v>
      </c>
      <c r="M273" s="227"/>
      <c r="O273" s="11"/>
      <c r="P273" s="12"/>
      <c r="Q273" s="12"/>
      <c r="R273" s="12"/>
      <c r="S273" s="431">
        <f t="shared" si="14"/>
        <v>0</v>
      </c>
    </row>
    <row r="274" spans="5:19" x14ac:dyDescent="0.25">
      <c r="E274" s="431">
        <f t="shared" si="12"/>
        <v>0</v>
      </c>
      <c r="H274" s="223"/>
      <c r="I274" s="223"/>
      <c r="J274" s="223"/>
      <c r="K274" s="223"/>
      <c r="L274" s="431">
        <f t="shared" si="13"/>
        <v>0</v>
      </c>
      <c r="M274" s="227"/>
      <c r="O274" s="11"/>
      <c r="P274" s="12"/>
      <c r="Q274" s="12"/>
      <c r="R274" s="12"/>
      <c r="S274" s="431">
        <f t="shared" si="14"/>
        <v>0</v>
      </c>
    </row>
    <row r="275" spans="5:19" x14ac:dyDescent="0.25">
      <c r="E275" s="431">
        <f t="shared" si="12"/>
        <v>0</v>
      </c>
      <c r="H275" s="223"/>
      <c r="I275" s="223"/>
      <c r="J275" s="223"/>
      <c r="K275" s="223"/>
      <c r="L275" s="431">
        <f t="shared" si="13"/>
        <v>0</v>
      </c>
      <c r="M275" s="227"/>
      <c r="O275" s="11"/>
      <c r="P275" s="12"/>
      <c r="Q275" s="12"/>
      <c r="R275" s="12"/>
      <c r="S275" s="431">
        <f t="shared" si="14"/>
        <v>0</v>
      </c>
    </row>
    <row r="276" spans="5:19" x14ac:dyDescent="0.25">
      <c r="E276" s="431">
        <f t="shared" si="12"/>
        <v>0</v>
      </c>
      <c r="H276" s="223"/>
      <c r="I276" s="223"/>
      <c r="J276" s="223"/>
      <c r="K276" s="223"/>
      <c r="L276" s="431">
        <f t="shared" si="13"/>
        <v>0</v>
      </c>
      <c r="M276" s="227"/>
      <c r="O276" s="11"/>
      <c r="P276" s="12"/>
      <c r="Q276" s="12"/>
      <c r="R276" s="12"/>
      <c r="S276" s="431">
        <f t="shared" si="14"/>
        <v>0</v>
      </c>
    </row>
    <row r="277" spans="5:19" x14ac:dyDescent="0.25">
      <c r="E277" s="431">
        <f t="shared" si="12"/>
        <v>0</v>
      </c>
      <c r="H277" s="223"/>
      <c r="I277" s="223"/>
      <c r="J277" s="223"/>
      <c r="K277" s="223"/>
      <c r="L277" s="431">
        <f t="shared" si="13"/>
        <v>0</v>
      </c>
      <c r="M277" s="227"/>
      <c r="O277" s="11"/>
      <c r="P277" s="12"/>
      <c r="Q277" s="12"/>
      <c r="R277" s="12"/>
      <c r="S277" s="431">
        <f t="shared" si="14"/>
        <v>0</v>
      </c>
    </row>
    <row r="278" spans="5:19" x14ac:dyDescent="0.25">
      <c r="E278" s="431">
        <f t="shared" si="12"/>
        <v>0</v>
      </c>
      <c r="H278" s="223"/>
      <c r="I278" s="223"/>
      <c r="J278" s="223"/>
      <c r="K278" s="223"/>
      <c r="L278" s="431">
        <f t="shared" si="13"/>
        <v>0</v>
      </c>
      <c r="M278" s="227"/>
      <c r="O278" s="11"/>
      <c r="P278" s="12"/>
      <c r="Q278" s="12"/>
      <c r="R278" s="12"/>
      <c r="S278" s="431">
        <f t="shared" si="14"/>
        <v>0</v>
      </c>
    </row>
    <row r="279" spans="5:19" x14ac:dyDescent="0.25">
      <c r="E279" s="431">
        <f t="shared" si="12"/>
        <v>0</v>
      </c>
      <c r="H279" s="223"/>
      <c r="I279" s="223"/>
      <c r="J279" s="223"/>
      <c r="K279" s="223"/>
      <c r="L279" s="431">
        <f t="shared" si="13"/>
        <v>0</v>
      </c>
      <c r="M279" s="227"/>
      <c r="O279" s="11"/>
      <c r="P279" s="12"/>
      <c r="Q279" s="12"/>
      <c r="R279" s="12"/>
      <c r="S279" s="431">
        <f t="shared" si="14"/>
        <v>0</v>
      </c>
    </row>
    <row r="280" spans="5:19" x14ac:dyDescent="0.25">
      <c r="E280" s="431">
        <f t="shared" si="12"/>
        <v>0</v>
      </c>
      <c r="H280" s="223"/>
      <c r="I280" s="223"/>
      <c r="J280" s="223"/>
      <c r="K280" s="223"/>
      <c r="L280" s="431">
        <f t="shared" si="13"/>
        <v>0</v>
      </c>
      <c r="M280" s="227"/>
      <c r="O280" s="11"/>
      <c r="P280" s="12"/>
      <c r="Q280" s="12"/>
      <c r="R280" s="12"/>
      <c r="S280" s="431">
        <f t="shared" si="14"/>
        <v>0</v>
      </c>
    </row>
    <row r="281" spans="5:19" x14ac:dyDescent="0.25">
      <c r="E281" s="431">
        <f t="shared" si="12"/>
        <v>0</v>
      </c>
      <c r="H281" s="223"/>
      <c r="I281" s="223"/>
      <c r="J281" s="223"/>
      <c r="K281" s="223"/>
      <c r="L281" s="431">
        <f t="shared" si="13"/>
        <v>0</v>
      </c>
      <c r="M281" s="227"/>
      <c r="O281" s="11"/>
      <c r="P281" s="12"/>
      <c r="Q281" s="12"/>
      <c r="R281" s="12"/>
      <c r="S281" s="431">
        <f t="shared" si="14"/>
        <v>0</v>
      </c>
    </row>
    <row r="282" spans="5:19" x14ac:dyDescent="0.25">
      <c r="E282" s="431">
        <f t="shared" si="12"/>
        <v>0</v>
      </c>
      <c r="H282" s="223"/>
      <c r="I282" s="223"/>
      <c r="J282" s="223"/>
      <c r="K282" s="223"/>
      <c r="L282" s="431">
        <f t="shared" si="13"/>
        <v>0</v>
      </c>
      <c r="M282" s="227"/>
      <c r="O282" s="11"/>
      <c r="P282" s="12"/>
      <c r="Q282" s="12"/>
      <c r="R282" s="12"/>
      <c r="S282" s="431">
        <f t="shared" si="14"/>
        <v>0</v>
      </c>
    </row>
    <row r="283" spans="5:19" x14ac:dyDescent="0.25">
      <c r="E283" s="431">
        <f t="shared" si="12"/>
        <v>0</v>
      </c>
      <c r="H283" s="223"/>
      <c r="I283" s="223"/>
      <c r="J283" s="223"/>
      <c r="K283" s="223"/>
      <c r="L283" s="431">
        <f t="shared" si="13"/>
        <v>0</v>
      </c>
      <c r="M283" s="227"/>
      <c r="O283" s="11"/>
      <c r="P283" s="12"/>
      <c r="Q283" s="12"/>
      <c r="R283" s="12"/>
      <c r="S283" s="431">
        <f t="shared" si="14"/>
        <v>0</v>
      </c>
    </row>
    <row r="284" spans="5:19" x14ac:dyDescent="0.25">
      <c r="E284" s="431">
        <f t="shared" si="12"/>
        <v>0</v>
      </c>
      <c r="H284" s="223"/>
      <c r="I284" s="223"/>
      <c r="J284" s="223"/>
      <c r="K284" s="223"/>
      <c r="L284" s="431">
        <f t="shared" si="13"/>
        <v>0</v>
      </c>
      <c r="M284" s="227"/>
      <c r="O284" s="11"/>
      <c r="P284" s="12"/>
      <c r="Q284" s="12"/>
      <c r="R284" s="12"/>
      <c r="S284" s="431">
        <f t="shared" si="14"/>
        <v>0</v>
      </c>
    </row>
    <row r="285" spans="5:19" x14ac:dyDescent="0.25">
      <c r="E285" s="431">
        <f t="shared" si="12"/>
        <v>0</v>
      </c>
      <c r="H285" s="223"/>
      <c r="I285" s="223"/>
      <c r="J285" s="223"/>
      <c r="K285" s="223"/>
      <c r="L285" s="431">
        <f t="shared" si="13"/>
        <v>0</v>
      </c>
      <c r="M285" s="227"/>
      <c r="O285" s="11"/>
      <c r="P285" s="12"/>
      <c r="Q285" s="12"/>
      <c r="R285" s="12"/>
      <c r="S285" s="431">
        <f t="shared" si="14"/>
        <v>0</v>
      </c>
    </row>
    <row r="286" spans="5:19" x14ac:dyDescent="0.25">
      <c r="E286" s="431">
        <f t="shared" si="12"/>
        <v>0</v>
      </c>
      <c r="H286" s="223"/>
      <c r="I286" s="223"/>
      <c r="J286" s="223"/>
      <c r="K286" s="223"/>
      <c r="L286" s="431">
        <f t="shared" si="13"/>
        <v>0</v>
      </c>
      <c r="M286" s="227"/>
      <c r="O286" s="11"/>
      <c r="P286" s="12"/>
      <c r="Q286" s="12"/>
      <c r="R286" s="12"/>
      <c r="S286" s="431">
        <f t="shared" si="14"/>
        <v>0</v>
      </c>
    </row>
    <row r="287" spans="5:19" x14ac:dyDescent="0.25">
      <c r="E287" s="431">
        <f t="shared" si="12"/>
        <v>0</v>
      </c>
      <c r="H287" s="223"/>
      <c r="I287" s="223"/>
      <c r="J287" s="223"/>
      <c r="K287" s="223"/>
      <c r="L287" s="431">
        <f t="shared" si="13"/>
        <v>0</v>
      </c>
      <c r="M287" s="227"/>
      <c r="O287" s="11"/>
      <c r="P287" s="12"/>
      <c r="Q287" s="12"/>
      <c r="R287" s="12"/>
      <c r="S287" s="431">
        <f t="shared" si="14"/>
        <v>0</v>
      </c>
    </row>
    <row r="288" spans="5:19" x14ac:dyDescent="0.25">
      <c r="E288" s="431">
        <f t="shared" si="12"/>
        <v>0</v>
      </c>
      <c r="H288" s="223"/>
      <c r="I288" s="223"/>
      <c r="J288" s="223"/>
      <c r="K288" s="223"/>
      <c r="L288" s="431">
        <f t="shared" si="13"/>
        <v>0</v>
      </c>
      <c r="M288" s="227"/>
      <c r="O288" s="11"/>
      <c r="P288" s="12"/>
      <c r="Q288" s="12"/>
      <c r="R288" s="12"/>
      <c r="S288" s="431">
        <f t="shared" si="14"/>
        <v>0</v>
      </c>
    </row>
    <row r="289" spans="5:19" x14ac:dyDescent="0.25">
      <c r="E289" s="431">
        <f t="shared" si="12"/>
        <v>0</v>
      </c>
      <c r="H289" s="223"/>
      <c r="I289" s="223"/>
      <c r="J289" s="223"/>
      <c r="K289" s="223"/>
      <c r="L289" s="431">
        <f t="shared" si="13"/>
        <v>0</v>
      </c>
      <c r="M289" s="227"/>
      <c r="O289" s="11"/>
      <c r="P289" s="12"/>
      <c r="Q289" s="12"/>
      <c r="R289" s="12"/>
      <c r="S289" s="431">
        <f t="shared" si="14"/>
        <v>0</v>
      </c>
    </row>
    <row r="290" spans="5:19" x14ac:dyDescent="0.25">
      <c r="E290" s="431">
        <f t="shared" si="12"/>
        <v>0</v>
      </c>
      <c r="H290" s="223"/>
      <c r="I290" s="223"/>
      <c r="J290" s="223"/>
      <c r="K290" s="223"/>
      <c r="L290" s="431">
        <f t="shared" si="13"/>
        <v>0</v>
      </c>
      <c r="M290" s="227"/>
      <c r="O290" s="11"/>
      <c r="P290" s="12"/>
      <c r="Q290" s="12"/>
      <c r="R290" s="12"/>
      <c r="S290" s="431">
        <f t="shared" si="14"/>
        <v>0</v>
      </c>
    </row>
    <row r="291" spans="5:19" x14ac:dyDescent="0.25">
      <c r="E291" s="431">
        <f t="shared" si="12"/>
        <v>0</v>
      </c>
      <c r="H291" s="223"/>
      <c r="I291" s="223"/>
      <c r="J291" s="223"/>
      <c r="K291" s="223"/>
      <c r="L291" s="431">
        <f t="shared" si="13"/>
        <v>0</v>
      </c>
      <c r="M291" s="227"/>
      <c r="O291" s="11"/>
      <c r="P291" s="12"/>
      <c r="Q291" s="12"/>
      <c r="R291" s="12"/>
      <c r="S291" s="431">
        <f t="shared" si="14"/>
        <v>0</v>
      </c>
    </row>
    <row r="292" spans="5:19" x14ac:dyDescent="0.25">
      <c r="E292" s="431">
        <f t="shared" si="12"/>
        <v>0</v>
      </c>
      <c r="H292" s="223"/>
      <c r="I292" s="223"/>
      <c r="J292" s="223"/>
      <c r="K292" s="223"/>
      <c r="L292" s="431">
        <f t="shared" si="13"/>
        <v>0</v>
      </c>
      <c r="M292" s="227"/>
      <c r="O292" s="11"/>
      <c r="P292" s="12"/>
      <c r="Q292" s="12"/>
      <c r="R292" s="12"/>
      <c r="S292" s="431">
        <f t="shared" si="14"/>
        <v>0</v>
      </c>
    </row>
    <row r="293" spans="5:19" x14ac:dyDescent="0.25">
      <c r="E293" s="431">
        <f t="shared" si="12"/>
        <v>0</v>
      </c>
      <c r="H293" s="223"/>
      <c r="I293" s="223"/>
      <c r="J293" s="223"/>
      <c r="K293" s="223"/>
      <c r="L293" s="431">
        <f t="shared" si="13"/>
        <v>0</v>
      </c>
      <c r="M293" s="227"/>
      <c r="O293" s="11"/>
      <c r="P293" s="12"/>
      <c r="Q293" s="12"/>
      <c r="R293" s="12"/>
      <c r="S293" s="431">
        <f t="shared" si="14"/>
        <v>0</v>
      </c>
    </row>
    <row r="294" spans="5:19" x14ac:dyDescent="0.25">
      <c r="E294" s="431">
        <f t="shared" si="12"/>
        <v>0</v>
      </c>
      <c r="H294" s="223"/>
      <c r="I294" s="223"/>
      <c r="J294" s="223"/>
      <c r="K294" s="223"/>
      <c r="L294" s="431">
        <f t="shared" si="13"/>
        <v>0</v>
      </c>
      <c r="M294" s="227"/>
      <c r="O294" s="11"/>
      <c r="P294" s="12"/>
      <c r="Q294" s="12"/>
      <c r="R294" s="12"/>
      <c r="S294" s="431">
        <f t="shared" si="14"/>
        <v>0</v>
      </c>
    </row>
    <row r="295" spans="5:19" x14ac:dyDescent="0.25">
      <c r="E295" s="431">
        <f t="shared" si="12"/>
        <v>0</v>
      </c>
      <c r="H295" s="223"/>
      <c r="I295" s="223"/>
      <c r="J295" s="223"/>
      <c r="K295" s="223"/>
      <c r="L295" s="431">
        <f t="shared" si="13"/>
        <v>0</v>
      </c>
      <c r="M295" s="227"/>
      <c r="O295" s="11"/>
      <c r="P295" s="12"/>
      <c r="Q295" s="12"/>
      <c r="R295" s="12"/>
      <c r="S295" s="431">
        <f t="shared" si="14"/>
        <v>0</v>
      </c>
    </row>
    <row r="296" spans="5:19" x14ac:dyDescent="0.25">
      <c r="E296" s="431">
        <f t="shared" si="12"/>
        <v>0</v>
      </c>
      <c r="H296" s="223"/>
      <c r="I296" s="223"/>
      <c r="J296" s="223"/>
      <c r="K296" s="223"/>
      <c r="L296" s="431">
        <f t="shared" si="13"/>
        <v>0</v>
      </c>
      <c r="M296" s="227"/>
      <c r="O296" s="11"/>
      <c r="P296" s="12"/>
      <c r="Q296" s="12"/>
      <c r="R296" s="12"/>
      <c r="S296" s="431">
        <f t="shared" si="14"/>
        <v>0</v>
      </c>
    </row>
    <row r="297" spans="5:19" x14ac:dyDescent="0.25">
      <c r="E297" s="431">
        <f t="shared" si="12"/>
        <v>0</v>
      </c>
      <c r="H297" s="223"/>
      <c r="I297" s="223"/>
      <c r="J297" s="223"/>
      <c r="K297" s="223"/>
      <c r="L297" s="431">
        <f t="shared" si="13"/>
        <v>0</v>
      </c>
      <c r="M297" s="227"/>
      <c r="O297" s="11"/>
      <c r="P297" s="12"/>
      <c r="Q297" s="12"/>
      <c r="R297" s="12"/>
      <c r="S297" s="431">
        <f t="shared" si="14"/>
        <v>0</v>
      </c>
    </row>
    <row r="298" spans="5:19" x14ac:dyDescent="0.25">
      <c r="E298" s="431">
        <f t="shared" si="12"/>
        <v>0</v>
      </c>
      <c r="H298" s="223"/>
      <c r="I298" s="223"/>
      <c r="J298" s="223"/>
      <c r="K298" s="223"/>
      <c r="L298" s="431">
        <f t="shared" si="13"/>
        <v>0</v>
      </c>
      <c r="M298" s="227"/>
      <c r="O298" s="11"/>
      <c r="P298" s="12"/>
      <c r="Q298" s="12"/>
      <c r="R298" s="12"/>
      <c r="S298" s="431">
        <f t="shared" si="14"/>
        <v>0</v>
      </c>
    </row>
    <row r="299" spans="5:19" x14ac:dyDescent="0.25">
      <c r="E299" s="431">
        <f t="shared" si="12"/>
        <v>0</v>
      </c>
      <c r="H299" s="223"/>
      <c r="I299" s="223"/>
      <c r="J299" s="223"/>
      <c r="K299" s="223"/>
      <c r="L299" s="431">
        <f t="shared" si="13"/>
        <v>0</v>
      </c>
      <c r="M299" s="227"/>
      <c r="O299" s="11"/>
      <c r="P299" s="12"/>
      <c r="Q299" s="12"/>
      <c r="R299" s="12"/>
      <c r="S299" s="431">
        <f t="shared" si="14"/>
        <v>0</v>
      </c>
    </row>
    <row r="300" spans="5:19" x14ac:dyDescent="0.25">
      <c r="E300" s="431">
        <f t="shared" si="12"/>
        <v>0</v>
      </c>
      <c r="H300" s="223"/>
      <c r="I300" s="223"/>
      <c r="J300" s="223"/>
      <c r="K300" s="223"/>
      <c r="L300" s="431">
        <f t="shared" si="13"/>
        <v>0</v>
      </c>
      <c r="M300" s="227"/>
      <c r="O300" s="11"/>
      <c r="P300" s="12"/>
      <c r="Q300" s="12"/>
      <c r="R300" s="12"/>
      <c r="S300" s="431">
        <f t="shared" si="14"/>
        <v>0</v>
      </c>
    </row>
    <row r="301" spans="5:19" x14ac:dyDescent="0.25">
      <c r="E301" s="431">
        <f t="shared" si="12"/>
        <v>0</v>
      </c>
      <c r="H301" s="223"/>
      <c r="I301" s="223"/>
      <c r="J301" s="223"/>
      <c r="K301" s="223"/>
      <c r="L301" s="431">
        <f t="shared" si="13"/>
        <v>0</v>
      </c>
      <c r="M301" s="227"/>
      <c r="O301" s="11"/>
      <c r="P301" s="12"/>
      <c r="Q301" s="12"/>
      <c r="R301" s="12"/>
      <c r="S301" s="431">
        <f t="shared" si="14"/>
        <v>0</v>
      </c>
    </row>
    <row r="302" spans="5:19" x14ac:dyDescent="0.25">
      <c r="E302" s="431">
        <f t="shared" si="12"/>
        <v>0</v>
      </c>
      <c r="H302" s="223"/>
      <c r="I302" s="223"/>
      <c r="J302" s="223"/>
      <c r="K302" s="223"/>
      <c r="L302" s="431">
        <f t="shared" si="13"/>
        <v>0</v>
      </c>
      <c r="M302" s="227"/>
      <c r="O302" s="11"/>
      <c r="P302" s="12"/>
      <c r="Q302" s="12"/>
      <c r="R302" s="12"/>
      <c r="S302" s="431">
        <f t="shared" si="14"/>
        <v>0</v>
      </c>
    </row>
    <row r="303" spans="5:19" x14ac:dyDescent="0.25">
      <c r="E303" s="431">
        <f t="shared" si="12"/>
        <v>0</v>
      </c>
      <c r="H303" s="223"/>
      <c r="I303" s="223"/>
      <c r="J303" s="223"/>
      <c r="K303" s="223"/>
      <c r="L303" s="431">
        <f t="shared" si="13"/>
        <v>0</v>
      </c>
      <c r="M303" s="227"/>
      <c r="O303" s="11"/>
      <c r="P303" s="12"/>
      <c r="Q303" s="12"/>
      <c r="R303" s="12"/>
      <c r="S303" s="431">
        <f t="shared" si="14"/>
        <v>0</v>
      </c>
    </row>
    <row r="304" spans="5:19" x14ac:dyDescent="0.25">
      <c r="E304" s="431">
        <f t="shared" si="12"/>
        <v>0</v>
      </c>
      <c r="H304" s="223"/>
      <c r="I304" s="223"/>
      <c r="J304" s="223"/>
      <c r="K304" s="223"/>
      <c r="L304" s="431">
        <f t="shared" si="13"/>
        <v>0</v>
      </c>
      <c r="M304" s="227"/>
      <c r="O304" s="11"/>
      <c r="P304" s="12"/>
      <c r="Q304" s="12"/>
      <c r="R304" s="12"/>
      <c r="S304" s="431">
        <f t="shared" si="14"/>
        <v>0</v>
      </c>
    </row>
    <row r="305" spans="5:19" x14ac:dyDescent="0.25">
      <c r="E305" s="431">
        <f t="shared" si="12"/>
        <v>0</v>
      </c>
      <c r="H305" s="223"/>
      <c r="I305" s="223"/>
      <c r="J305" s="223"/>
      <c r="K305" s="223"/>
      <c r="L305" s="431">
        <f t="shared" si="13"/>
        <v>0</v>
      </c>
      <c r="M305" s="227"/>
      <c r="O305" s="11"/>
      <c r="P305" s="12"/>
      <c r="Q305" s="12"/>
      <c r="R305" s="12"/>
      <c r="S305" s="431">
        <f t="shared" si="14"/>
        <v>0</v>
      </c>
    </row>
    <row r="306" spans="5:19" x14ac:dyDescent="0.25">
      <c r="E306" s="431">
        <f t="shared" si="12"/>
        <v>0</v>
      </c>
      <c r="H306" s="223"/>
      <c r="I306" s="223"/>
      <c r="J306" s="223"/>
      <c r="K306" s="223"/>
      <c r="L306" s="431">
        <f t="shared" si="13"/>
        <v>0</v>
      </c>
      <c r="M306" s="227"/>
      <c r="O306" s="11"/>
      <c r="P306" s="12"/>
      <c r="Q306" s="12"/>
      <c r="R306" s="12"/>
      <c r="S306" s="431">
        <f t="shared" si="14"/>
        <v>0</v>
      </c>
    </row>
    <row r="307" spans="5:19" x14ac:dyDescent="0.25">
      <c r="E307" s="431">
        <f t="shared" si="12"/>
        <v>0</v>
      </c>
      <c r="H307" s="223"/>
      <c r="I307" s="223"/>
      <c r="J307" s="223"/>
      <c r="K307" s="223"/>
      <c r="L307" s="431">
        <f t="shared" si="13"/>
        <v>0</v>
      </c>
      <c r="M307" s="227"/>
      <c r="O307" s="11"/>
      <c r="P307" s="12"/>
      <c r="Q307" s="12"/>
      <c r="R307" s="12"/>
      <c r="S307" s="431">
        <f t="shared" si="14"/>
        <v>0</v>
      </c>
    </row>
    <row r="308" spans="5:19" x14ac:dyDescent="0.25">
      <c r="E308" s="431">
        <f t="shared" si="12"/>
        <v>0</v>
      </c>
      <c r="H308" s="223"/>
      <c r="I308" s="223"/>
      <c r="J308" s="223"/>
      <c r="K308" s="223"/>
      <c r="L308" s="431">
        <f t="shared" si="13"/>
        <v>0</v>
      </c>
      <c r="M308" s="227"/>
      <c r="O308" s="11"/>
      <c r="P308" s="12"/>
      <c r="Q308" s="12"/>
      <c r="R308" s="12"/>
      <c r="S308" s="431">
        <f t="shared" si="14"/>
        <v>0</v>
      </c>
    </row>
    <row r="309" spans="5:19" x14ac:dyDescent="0.25">
      <c r="E309" s="431">
        <f t="shared" si="12"/>
        <v>0</v>
      </c>
      <c r="H309" s="223"/>
      <c r="I309" s="223"/>
      <c r="J309" s="223"/>
      <c r="K309" s="223"/>
      <c r="L309" s="431">
        <f t="shared" si="13"/>
        <v>0</v>
      </c>
      <c r="M309" s="227"/>
      <c r="O309" s="11"/>
      <c r="P309" s="12"/>
      <c r="Q309" s="12"/>
      <c r="R309" s="12"/>
      <c r="S309" s="431">
        <f t="shared" si="14"/>
        <v>0</v>
      </c>
    </row>
    <row r="310" spans="5:19" x14ac:dyDescent="0.25">
      <c r="E310" s="431">
        <f t="shared" si="12"/>
        <v>0</v>
      </c>
      <c r="H310" s="223"/>
      <c r="I310" s="223"/>
      <c r="J310" s="223"/>
      <c r="K310" s="223"/>
      <c r="L310" s="431">
        <f t="shared" si="13"/>
        <v>0</v>
      </c>
      <c r="M310" s="227"/>
      <c r="O310" s="11"/>
      <c r="P310" s="12"/>
      <c r="Q310" s="12"/>
      <c r="R310" s="12"/>
      <c r="S310" s="431">
        <f t="shared" si="14"/>
        <v>0</v>
      </c>
    </row>
    <row r="311" spans="5:19" x14ac:dyDescent="0.25">
      <c r="E311" s="431">
        <f t="shared" si="12"/>
        <v>0</v>
      </c>
      <c r="H311" s="223"/>
      <c r="I311" s="223"/>
      <c r="J311" s="223"/>
      <c r="K311" s="223"/>
      <c r="L311" s="431">
        <f t="shared" si="13"/>
        <v>0</v>
      </c>
      <c r="M311" s="227"/>
      <c r="O311" s="11"/>
      <c r="P311" s="12"/>
      <c r="Q311" s="12"/>
      <c r="R311" s="12"/>
      <c r="S311" s="431">
        <f t="shared" si="14"/>
        <v>0</v>
      </c>
    </row>
    <row r="312" spans="5:19" x14ac:dyDescent="0.25">
      <c r="E312" s="431">
        <f t="shared" si="12"/>
        <v>0</v>
      </c>
      <c r="H312" s="223"/>
      <c r="I312" s="223"/>
      <c r="J312" s="223"/>
      <c r="K312" s="223"/>
      <c r="L312" s="431">
        <f t="shared" si="13"/>
        <v>0</v>
      </c>
      <c r="M312" s="227"/>
      <c r="O312" s="11"/>
      <c r="P312" s="12"/>
      <c r="Q312" s="12"/>
      <c r="R312" s="12"/>
      <c r="S312" s="431">
        <f t="shared" si="14"/>
        <v>0</v>
      </c>
    </row>
    <row r="313" spans="5:19" x14ac:dyDescent="0.25">
      <c r="E313" s="431">
        <f t="shared" si="12"/>
        <v>0</v>
      </c>
      <c r="H313" s="223"/>
      <c r="I313" s="223"/>
      <c r="J313" s="223"/>
      <c r="K313" s="223"/>
      <c r="L313" s="431">
        <f t="shared" si="13"/>
        <v>0</v>
      </c>
      <c r="M313" s="227"/>
      <c r="O313" s="11"/>
      <c r="P313" s="12"/>
      <c r="Q313" s="12"/>
      <c r="R313" s="12"/>
      <c r="S313" s="431">
        <f t="shared" si="14"/>
        <v>0</v>
      </c>
    </row>
    <row r="314" spans="5:19" x14ac:dyDescent="0.25">
      <c r="E314" s="431">
        <f t="shared" si="12"/>
        <v>0</v>
      </c>
      <c r="H314" s="223"/>
      <c r="I314" s="223"/>
      <c r="J314" s="223"/>
      <c r="K314" s="223"/>
      <c r="L314" s="431">
        <f t="shared" si="13"/>
        <v>0</v>
      </c>
      <c r="M314" s="227"/>
      <c r="O314" s="11"/>
      <c r="P314" s="12"/>
      <c r="Q314" s="12"/>
      <c r="R314" s="12"/>
      <c r="S314" s="431">
        <f t="shared" si="14"/>
        <v>0</v>
      </c>
    </row>
    <row r="315" spans="5:19" x14ac:dyDescent="0.25">
      <c r="E315" s="431">
        <f t="shared" si="12"/>
        <v>0</v>
      </c>
      <c r="H315" s="223"/>
      <c r="I315" s="223"/>
      <c r="J315" s="223"/>
      <c r="K315" s="223"/>
      <c r="L315" s="431">
        <f t="shared" si="13"/>
        <v>0</v>
      </c>
      <c r="M315" s="227"/>
      <c r="O315" s="11"/>
      <c r="P315" s="12"/>
      <c r="Q315" s="12"/>
      <c r="R315" s="12"/>
      <c r="S315" s="431">
        <f t="shared" si="14"/>
        <v>0</v>
      </c>
    </row>
    <row r="316" spans="5:19" x14ac:dyDescent="0.25">
      <c r="E316" s="431">
        <f t="shared" si="12"/>
        <v>0</v>
      </c>
      <c r="H316" s="223"/>
      <c r="I316" s="223"/>
      <c r="J316" s="223"/>
      <c r="K316" s="223"/>
      <c r="L316" s="431">
        <f t="shared" si="13"/>
        <v>0</v>
      </c>
      <c r="M316" s="227"/>
      <c r="O316" s="11"/>
      <c r="P316" s="12"/>
      <c r="Q316" s="12"/>
      <c r="R316" s="12"/>
      <c r="S316" s="431">
        <f t="shared" si="14"/>
        <v>0</v>
      </c>
    </row>
    <row r="317" spans="5:19" x14ac:dyDescent="0.25">
      <c r="E317" s="431">
        <f t="shared" si="12"/>
        <v>0</v>
      </c>
      <c r="H317" s="223"/>
      <c r="I317" s="223"/>
      <c r="J317" s="223"/>
      <c r="K317" s="223"/>
      <c r="L317" s="431">
        <f t="shared" si="13"/>
        <v>0</v>
      </c>
      <c r="M317" s="227"/>
      <c r="O317" s="11"/>
      <c r="P317" s="12"/>
      <c r="Q317" s="12"/>
      <c r="R317" s="12"/>
      <c r="S317" s="431">
        <f t="shared" si="14"/>
        <v>0</v>
      </c>
    </row>
    <row r="318" spans="5:19" x14ac:dyDescent="0.25">
      <c r="E318" s="431">
        <f t="shared" si="12"/>
        <v>0</v>
      </c>
      <c r="H318" s="223"/>
      <c r="I318" s="223"/>
      <c r="J318" s="223"/>
      <c r="K318" s="223"/>
      <c r="L318" s="431">
        <f t="shared" si="13"/>
        <v>0</v>
      </c>
      <c r="M318" s="227"/>
      <c r="O318" s="11"/>
      <c r="P318" s="12"/>
      <c r="Q318" s="12"/>
      <c r="R318" s="12"/>
      <c r="S318" s="431">
        <f t="shared" si="14"/>
        <v>0</v>
      </c>
    </row>
    <row r="319" spans="5:19" x14ac:dyDescent="0.25">
      <c r="E319" s="431">
        <f t="shared" si="12"/>
        <v>0</v>
      </c>
      <c r="H319" s="223"/>
      <c r="I319" s="223"/>
      <c r="J319" s="223"/>
      <c r="K319" s="223"/>
      <c r="L319" s="431">
        <f t="shared" si="13"/>
        <v>0</v>
      </c>
      <c r="M319" s="227"/>
      <c r="O319" s="11"/>
      <c r="P319" s="12"/>
      <c r="Q319" s="12"/>
      <c r="R319" s="12"/>
      <c r="S319" s="431">
        <f t="shared" si="14"/>
        <v>0</v>
      </c>
    </row>
    <row r="320" spans="5:19" x14ac:dyDescent="0.25">
      <c r="E320" s="431">
        <f t="shared" si="12"/>
        <v>0</v>
      </c>
      <c r="H320" s="223"/>
      <c r="I320" s="223"/>
      <c r="J320" s="223"/>
      <c r="K320" s="223"/>
      <c r="L320" s="431">
        <f t="shared" si="13"/>
        <v>0</v>
      </c>
      <c r="M320" s="227"/>
      <c r="O320" s="11"/>
      <c r="P320" s="12"/>
      <c r="Q320" s="12"/>
      <c r="R320" s="12"/>
      <c r="S320" s="431">
        <f t="shared" si="14"/>
        <v>0</v>
      </c>
    </row>
    <row r="321" spans="5:19" x14ac:dyDescent="0.25">
      <c r="E321" s="431">
        <f t="shared" si="12"/>
        <v>0</v>
      </c>
      <c r="H321" s="223"/>
      <c r="I321" s="223"/>
      <c r="J321" s="223"/>
      <c r="K321" s="223"/>
      <c r="L321" s="431">
        <f t="shared" si="13"/>
        <v>0</v>
      </c>
      <c r="M321" s="227"/>
      <c r="O321" s="11"/>
      <c r="P321" s="12"/>
      <c r="Q321" s="12"/>
      <c r="R321" s="12"/>
      <c r="S321" s="431">
        <f t="shared" si="14"/>
        <v>0</v>
      </c>
    </row>
    <row r="322" spans="5:19" x14ac:dyDescent="0.25">
      <c r="E322" s="431">
        <f t="shared" si="12"/>
        <v>0</v>
      </c>
      <c r="H322" s="223"/>
      <c r="I322" s="223"/>
      <c r="J322" s="223"/>
      <c r="K322" s="223"/>
      <c r="L322" s="431">
        <f t="shared" si="13"/>
        <v>0</v>
      </c>
      <c r="M322" s="227"/>
      <c r="O322" s="11"/>
      <c r="P322" s="12"/>
      <c r="Q322" s="12"/>
      <c r="R322" s="12"/>
      <c r="S322" s="431">
        <f t="shared" si="14"/>
        <v>0</v>
      </c>
    </row>
    <row r="323" spans="5:19" x14ac:dyDescent="0.25">
      <c r="E323" s="431">
        <f t="shared" si="12"/>
        <v>0</v>
      </c>
      <c r="H323" s="223"/>
      <c r="I323" s="223"/>
      <c r="J323" s="223"/>
      <c r="K323" s="223"/>
      <c r="L323" s="431">
        <f t="shared" si="13"/>
        <v>0</v>
      </c>
      <c r="M323" s="227"/>
      <c r="O323" s="11"/>
      <c r="P323" s="12"/>
      <c r="Q323" s="12"/>
      <c r="R323" s="12"/>
      <c r="S323" s="431">
        <f t="shared" si="14"/>
        <v>0</v>
      </c>
    </row>
    <row r="324" spans="5:19" x14ac:dyDescent="0.25">
      <c r="E324" s="431">
        <f t="shared" ref="E324:E387" si="15">+D324/100</f>
        <v>0</v>
      </c>
      <c r="H324" s="223"/>
      <c r="I324" s="223"/>
      <c r="J324" s="223"/>
      <c r="K324" s="223"/>
      <c r="L324" s="431">
        <f t="shared" ref="L324:L387" si="16">+K324/100</f>
        <v>0</v>
      </c>
      <c r="M324" s="227"/>
      <c r="O324" s="11"/>
      <c r="P324" s="12"/>
      <c r="Q324" s="12"/>
      <c r="R324" s="12"/>
      <c r="S324" s="431">
        <f t="shared" si="14"/>
        <v>0</v>
      </c>
    </row>
    <row r="325" spans="5:19" x14ac:dyDescent="0.25">
      <c r="E325" s="431">
        <f t="shared" si="15"/>
        <v>0</v>
      </c>
      <c r="H325" s="223"/>
      <c r="I325" s="223"/>
      <c r="J325" s="223"/>
      <c r="K325" s="223"/>
      <c r="L325" s="431">
        <f t="shared" si="16"/>
        <v>0</v>
      </c>
      <c r="M325" s="227"/>
      <c r="O325" s="11"/>
      <c r="P325" s="12"/>
      <c r="Q325" s="12"/>
      <c r="R325" s="12"/>
      <c r="S325" s="431">
        <f t="shared" ref="S325:S388" si="17">+R325/100</f>
        <v>0</v>
      </c>
    </row>
    <row r="326" spans="5:19" x14ac:dyDescent="0.25">
      <c r="E326" s="431">
        <f t="shared" si="15"/>
        <v>0</v>
      </c>
      <c r="H326" s="223"/>
      <c r="I326" s="223"/>
      <c r="J326" s="223"/>
      <c r="K326" s="223"/>
      <c r="L326" s="431">
        <f t="shared" si="16"/>
        <v>0</v>
      </c>
      <c r="M326" s="227"/>
      <c r="O326" s="11"/>
      <c r="P326" s="12"/>
      <c r="Q326" s="12"/>
      <c r="R326" s="12"/>
      <c r="S326" s="431">
        <f t="shared" si="17"/>
        <v>0</v>
      </c>
    </row>
    <row r="327" spans="5:19" x14ac:dyDescent="0.25">
      <c r="E327" s="431">
        <f t="shared" si="15"/>
        <v>0</v>
      </c>
      <c r="H327" s="223"/>
      <c r="I327" s="223"/>
      <c r="J327" s="223"/>
      <c r="K327" s="223"/>
      <c r="L327" s="431">
        <f t="shared" si="16"/>
        <v>0</v>
      </c>
      <c r="M327" s="227"/>
      <c r="O327" s="11"/>
      <c r="P327" s="12"/>
      <c r="Q327" s="12"/>
      <c r="R327" s="12"/>
      <c r="S327" s="431">
        <f t="shared" si="17"/>
        <v>0</v>
      </c>
    </row>
    <row r="328" spans="5:19" x14ac:dyDescent="0.25">
      <c r="E328" s="431">
        <f t="shared" si="15"/>
        <v>0</v>
      </c>
      <c r="H328" s="223"/>
      <c r="I328" s="223"/>
      <c r="J328" s="223"/>
      <c r="K328" s="223"/>
      <c r="L328" s="431">
        <f t="shared" si="16"/>
        <v>0</v>
      </c>
      <c r="M328" s="227"/>
      <c r="O328" s="11"/>
      <c r="P328" s="12"/>
      <c r="Q328" s="12"/>
      <c r="R328" s="12"/>
      <c r="S328" s="431">
        <f t="shared" si="17"/>
        <v>0</v>
      </c>
    </row>
    <row r="329" spans="5:19" x14ac:dyDescent="0.25">
      <c r="E329" s="431">
        <f t="shared" si="15"/>
        <v>0</v>
      </c>
      <c r="H329" s="223"/>
      <c r="I329" s="223"/>
      <c r="J329" s="223"/>
      <c r="K329" s="223"/>
      <c r="L329" s="431">
        <f t="shared" si="16"/>
        <v>0</v>
      </c>
      <c r="M329" s="227"/>
      <c r="O329" s="11"/>
      <c r="P329" s="12"/>
      <c r="Q329" s="12"/>
      <c r="R329" s="12"/>
      <c r="S329" s="431">
        <f t="shared" si="17"/>
        <v>0</v>
      </c>
    </row>
    <row r="330" spans="5:19" x14ac:dyDescent="0.25">
      <c r="E330" s="431">
        <f t="shared" si="15"/>
        <v>0</v>
      </c>
      <c r="H330" s="223"/>
      <c r="I330" s="223"/>
      <c r="J330" s="223"/>
      <c r="K330" s="223"/>
      <c r="L330" s="431">
        <f t="shared" si="16"/>
        <v>0</v>
      </c>
      <c r="M330" s="227"/>
      <c r="O330" s="11"/>
      <c r="P330" s="12"/>
      <c r="Q330" s="12"/>
      <c r="R330" s="12"/>
      <c r="S330" s="431">
        <f t="shared" si="17"/>
        <v>0</v>
      </c>
    </row>
    <row r="331" spans="5:19" x14ac:dyDescent="0.25">
      <c r="E331" s="431">
        <f t="shared" si="15"/>
        <v>0</v>
      </c>
      <c r="H331" s="223"/>
      <c r="I331" s="223"/>
      <c r="J331" s="223"/>
      <c r="K331" s="223"/>
      <c r="L331" s="431">
        <f t="shared" si="16"/>
        <v>0</v>
      </c>
      <c r="M331" s="227"/>
      <c r="O331" s="11"/>
      <c r="P331" s="12"/>
      <c r="Q331" s="12"/>
      <c r="R331" s="12"/>
      <c r="S331" s="431">
        <f t="shared" si="17"/>
        <v>0</v>
      </c>
    </row>
    <row r="332" spans="5:19" x14ac:dyDescent="0.25">
      <c r="E332" s="431">
        <f t="shared" si="15"/>
        <v>0</v>
      </c>
      <c r="H332" s="223"/>
      <c r="I332" s="223"/>
      <c r="J332" s="223"/>
      <c r="K332" s="223"/>
      <c r="L332" s="431">
        <f t="shared" si="16"/>
        <v>0</v>
      </c>
      <c r="M332" s="227"/>
      <c r="O332" s="11"/>
      <c r="P332" s="12"/>
      <c r="Q332" s="12"/>
      <c r="R332" s="12"/>
      <c r="S332" s="431">
        <f t="shared" si="17"/>
        <v>0</v>
      </c>
    </row>
    <row r="333" spans="5:19" x14ac:dyDescent="0.25">
      <c r="E333" s="431">
        <f t="shared" si="15"/>
        <v>0</v>
      </c>
      <c r="H333" s="223"/>
      <c r="I333" s="223"/>
      <c r="J333" s="223"/>
      <c r="K333" s="223"/>
      <c r="L333" s="431">
        <f t="shared" si="16"/>
        <v>0</v>
      </c>
      <c r="M333" s="227"/>
      <c r="O333" s="11"/>
      <c r="P333" s="12"/>
      <c r="Q333" s="12"/>
      <c r="R333" s="12"/>
      <c r="S333" s="431">
        <f t="shared" si="17"/>
        <v>0</v>
      </c>
    </row>
    <row r="334" spans="5:19" x14ac:dyDescent="0.25">
      <c r="E334" s="431">
        <f t="shared" si="15"/>
        <v>0</v>
      </c>
      <c r="H334" s="223"/>
      <c r="I334" s="223"/>
      <c r="J334" s="223"/>
      <c r="K334" s="223"/>
      <c r="L334" s="431">
        <f t="shared" si="16"/>
        <v>0</v>
      </c>
      <c r="M334" s="227"/>
      <c r="O334" s="11"/>
      <c r="P334" s="12"/>
      <c r="Q334" s="12"/>
      <c r="R334" s="12"/>
      <c r="S334" s="431">
        <f t="shared" si="17"/>
        <v>0</v>
      </c>
    </row>
    <row r="335" spans="5:19" x14ac:dyDescent="0.25">
      <c r="E335" s="431">
        <f t="shared" si="15"/>
        <v>0</v>
      </c>
      <c r="H335" s="223"/>
      <c r="I335" s="223"/>
      <c r="J335" s="223"/>
      <c r="K335" s="223"/>
      <c r="L335" s="431">
        <f t="shared" si="16"/>
        <v>0</v>
      </c>
      <c r="M335" s="227"/>
      <c r="O335" s="11"/>
      <c r="P335" s="12"/>
      <c r="Q335" s="12"/>
      <c r="R335" s="12"/>
      <c r="S335" s="431">
        <f t="shared" si="17"/>
        <v>0</v>
      </c>
    </row>
    <row r="336" spans="5:19" x14ac:dyDescent="0.25">
      <c r="E336" s="431">
        <f t="shared" si="15"/>
        <v>0</v>
      </c>
      <c r="H336" s="223"/>
      <c r="I336" s="223"/>
      <c r="J336" s="223"/>
      <c r="K336" s="223"/>
      <c r="L336" s="431">
        <f t="shared" si="16"/>
        <v>0</v>
      </c>
      <c r="M336" s="227"/>
      <c r="O336" s="11"/>
      <c r="P336" s="12"/>
      <c r="Q336" s="12"/>
      <c r="R336" s="12"/>
      <c r="S336" s="431">
        <f t="shared" si="17"/>
        <v>0</v>
      </c>
    </row>
    <row r="337" spans="5:19" x14ac:dyDescent="0.25">
      <c r="E337" s="431">
        <f t="shared" si="15"/>
        <v>0</v>
      </c>
      <c r="H337" s="223"/>
      <c r="I337" s="223"/>
      <c r="J337" s="223"/>
      <c r="K337" s="223"/>
      <c r="L337" s="431">
        <f t="shared" si="16"/>
        <v>0</v>
      </c>
      <c r="M337" s="227"/>
      <c r="O337" s="11"/>
      <c r="P337" s="12"/>
      <c r="Q337" s="12"/>
      <c r="R337" s="12"/>
      <c r="S337" s="431">
        <f t="shared" si="17"/>
        <v>0</v>
      </c>
    </row>
    <row r="338" spans="5:19" x14ac:dyDescent="0.25">
      <c r="E338" s="431">
        <f t="shared" si="15"/>
        <v>0</v>
      </c>
      <c r="H338" s="223"/>
      <c r="I338" s="223"/>
      <c r="J338" s="223"/>
      <c r="K338" s="223"/>
      <c r="L338" s="431">
        <f t="shared" si="16"/>
        <v>0</v>
      </c>
      <c r="M338" s="227"/>
      <c r="O338" s="11"/>
      <c r="P338" s="12"/>
      <c r="Q338" s="12"/>
      <c r="R338" s="12"/>
      <c r="S338" s="431">
        <f t="shared" si="17"/>
        <v>0</v>
      </c>
    </row>
    <row r="339" spans="5:19" x14ac:dyDescent="0.25">
      <c r="E339" s="431">
        <f t="shared" si="15"/>
        <v>0</v>
      </c>
      <c r="H339" s="223"/>
      <c r="I339" s="223"/>
      <c r="J339" s="223"/>
      <c r="K339" s="223"/>
      <c r="L339" s="431">
        <f t="shared" si="16"/>
        <v>0</v>
      </c>
      <c r="M339" s="227"/>
      <c r="O339" s="11"/>
      <c r="P339" s="12"/>
      <c r="Q339" s="12"/>
      <c r="R339" s="12"/>
      <c r="S339" s="431">
        <f t="shared" si="17"/>
        <v>0</v>
      </c>
    </row>
    <row r="340" spans="5:19" x14ac:dyDescent="0.25">
      <c r="E340" s="431">
        <f t="shared" si="15"/>
        <v>0</v>
      </c>
      <c r="H340" s="223"/>
      <c r="I340" s="223"/>
      <c r="J340" s="223"/>
      <c r="K340" s="223"/>
      <c r="L340" s="431">
        <f t="shared" si="16"/>
        <v>0</v>
      </c>
      <c r="M340" s="227"/>
      <c r="O340" s="11"/>
      <c r="P340" s="12"/>
      <c r="Q340" s="12"/>
      <c r="R340" s="12"/>
      <c r="S340" s="431">
        <f t="shared" si="17"/>
        <v>0</v>
      </c>
    </row>
    <row r="341" spans="5:19" x14ac:dyDescent="0.25">
      <c r="E341" s="431">
        <f t="shared" si="15"/>
        <v>0</v>
      </c>
      <c r="H341" s="223"/>
      <c r="I341" s="223"/>
      <c r="J341" s="223"/>
      <c r="K341" s="223"/>
      <c r="L341" s="431">
        <f t="shared" si="16"/>
        <v>0</v>
      </c>
      <c r="M341" s="227"/>
      <c r="O341" s="11"/>
      <c r="P341" s="12"/>
      <c r="Q341" s="12"/>
      <c r="R341" s="12"/>
      <c r="S341" s="431">
        <f t="shared" si="17"/>
        <v>0</v>
      </c>
    </row>
    <row r="342" spans="5:19" x14ac:dyDescent="0.25">
      <c r="E342" s="431">
        <f t="shared" si="15"/>
        <v>0</v>
      </c>
      <c r="H342" s="223"/>
      <c r="I342" s="223"/>
      <c r="J342" s="223"/>
      <c r="K342" s="223"/>
      <c r="L342" s="431">
        <f t="shared" si="16"/>
        <v>0</v>
      </c>
      <c r="M342" s="227"/>
      <c r="O342" s="11"/>
      <c r="P342" s="12"/>
      <c r="Q342" s="12"/>
      <c r="R342" s="12"/>
      <c r="S342" s="431">
        <f t="shared" si="17"/>
        <v>0</v>
      </c>
    </row>
    <row r="343" spans="5:19" x14ac:dyDescent="0.25">
      <c r="E343" s="431">
        <f t="shared" si="15"/>
        <v>0</v>
      </c>
      <c r="H343" s="223"/>
      <c r="I343" s="223"/>
      <c r="J343" s="223"/>
      <c r="K343" s="223"/>
      <c r="L343" s="431">
        <f t="shared" si="16"/>
        <v>0</v>
      </c>
      <c r="M343" s="227"/>
      <c r="O343" s="11"/>
      <c r="P343" s="12"/>
      <c r="Q343" s="12"/>
      <c r="R343" s="12"/>
      <c r="S343" s="431">
        <f t="shared" si="17"/>
        <v>0</v>
      </c>
    </row>
    <row r="344" spans="5:19" x14ac:dyDescent="0.25">
      <c r="E344" s="431">
        <f t="shared" si="15"/>
        <v>0</v>
      </c>
      <c r="H344" s="223"/>
      <c r="I344" s="223"/>
      <c r="J344" s="223"/>
      <c r="K344" s="223"/>
      <c r="L344" s="431">
        <f t="shared" si="16"/>
        <v>0</v>
      </c>
      <c r="M344" s="227"/>
      <c r="O344" s="11"/>
      <c r="P344" s="12"/>
      <c r="Q344" s="12"/>
      <c r="R344" s="12"/>
      <c r="S344" s="431">
        <f t="shared" si="17"/>
        <v>0</v>
      </c>
    </row>
    <row r="345" spans="5:19" x14ac:dyDescent="0.25">
      <c r="E345" s="431">
        <f t="shared" si="15"/>
        <v>0</v>
      </c>
      <c r="H345" s="223"/>
      <c r="I345" s="223"/>
      <c r="J345" s="223"/>
      <c r="K345" s="223"/>
      <c r="L345" s="431">
        <f t="shared" si="16"/>
        <v>0</v>
      </c>
      <c r="M345" s="227"/>
      <c r="O345" s="11"/>
      <c r="P345" s="12"/>
      <c r="Q345" s="12"/>
      <c r="R345" s="12"/>
      <c r="S345" s="431">
        <f t="shared" si="17"/>
        <v>0</v>
      </c>
    </row>
    <row r="346" spans="5:19" x14ac:dyDescent="0.25">
      <c r="E346" s="431">
        <f t="shared" si="15"/>
        <v>0</v>
      </c>
      <c r="H346" s="223"/>
      <c r="I346" s="223"/>
      <c r="J346" s="223"/>
      <c r="K346" s="223"/>
      <c r="L346" s="431">
        <f t="shared" si="16"/>
        <v>0</v>
      </c>
      <c r="M346" s="227"/>
      <c r="O346" s="11"/>
      <c r="P346" s="12"/>
      <c r="Q346" s="12"/>
      <c r="R346" s="12"/>
      <c r="S346" s="431">
        <f t="shared" si="17"/>
        <v>0</v>
      </c>
    </row>
    <row r="347" spans="5:19" x14ac:dyDescent="0.25">
      <c r="E347" s="431">
        <f t="shared" si="15"/>
        <v>0</v>
      </c>
      <c r="H347" s="223"/>
      <c r="I347" s="223"/>
      <c r="J347" s="223"/>
      <c r="K347" s="223"/>
      <c r="L347" s="431">
        <f t="shared" si="16"/>
        <v>0</v>
      </c>
      <c r="M347" s="227"/>
      <c r="O347" s="11"/>
      <c r="P347" s="12"/>
      <c r="Q347" s="12"/>
      <c r="R347" s="12"/>
      <c r="S347" s="431">
        <f t="shared" si="17"/>
        <v>0</v>
      </c>
    </row>
    <row r="348" spans="5:19" x14ac:dyDescent="0.25">
      <c r="E348" s="431">
        <f t="shared" si="15"/>
        <v>0</v>
      </c>
      <c r="H348" s="223"/>
      <c r="I348" s="223"/>
      <c r="J348" s="223"/>
      <c r="K348" s="223"/>
      <c r="L348" s="431">
        <f t="shared" si="16"/>
        <v>0</v>
      </c>
      <c r="M348" s="227"/>
      <c r="O348" s="11"/>
      <c r="P348" s="12"/>
      <c r="Q348" s="12"/>
      <c r="R348" s="12"/>
      <c r="S348" s="431">
        <f t="shared" si="17"/>
        <v>0</v>
      </c>
    </row>
    <row r="349" spans="5:19" x14ac:dyDescent="0.25">
      <c r="E349" s="431">
        <f t="shared" si="15"/>
        <v>0</v>
      </c>
      <c r="H349" s="223"/>
      <c r="I349" s="223"/>
      <c r="J349" s="223"/>
      <c r="K349" s="223"/>
      <c r="L349" s="431">
        <f t="shared" si="16"/>
        <v>0</v>
      </c>
      <c r="M349" s="227"/>
      <c r="O349" s="11"/>
      <c r="P349" s="12"/>
      <c r="Q349" s="12"/>
      <c r="R349" s="12"/>
      <c r="S349" s="431">
        <f t="shared" si="17"/>
        <v>0</v>
      </c>
    </row>
    <row r="350" spans="5:19" x14ac:dyDescent="0.25">
      <c r="E350" s="431">
        <f t="shared" si="15"/>
        <v>0</v>
      </c>
      <c r="H350" s="223"/>
      <c r="I350" s="223"/>
      <c r="J350" s="223"/>
      <c r="K350" s="223"/>
      <c r="L350" s="431">
        <f t="shared" si="16"/>
        <v>0</v>
      </c>
      <c r="M350" s="227"/>
      <c r="O350" s="11"/>
      <c r="P350" s="12"/>
      <c r="Q350" s="12"/>
      <c r="R350" s="12"/>
      <c r="S350" s="431">
        <f t="shared" si="17"/>
        <v>0</v>
      </c>
    </row>
    <row r="351" spans="5:19" x14ac:dyDescent="0.25">
      <c r="E351" s="431">
        <f t="shared" si="15"/>
        <v>0</v>
      </c>
      <c r="H351" s="223"/>
      <c r="I351" s="223"/>
      <c r="J351" s="223"/>
      <c r="K351" s="223"/>
      <c r="L351" s="431">
        <f t="shared" si="16"/>
        <v>0</v>
      </c>
      <c r="M351" s="227"/>
      <c r="O351" s="11"/>
      <c r="P351" s="12"/>
      <c r="Q351" s="12"/>
      <c r="R351" s="12"/>
      <c r="S351" s="431">
        <f t="shared" si="17"/>
        <v>0</v>
      </c>
    </row>
    <row r="352" spans="5:19" x14ac:dyDescent="0.25">
      <c r="E352" s="431">
        <f t="shared" si="15"/>
        <v>0</v>
      </c>
      <c r="H352" s="223"/>
      <c r="I352" s="223"/>
      <c r="J352" s="223"/>
      <c r="K352" s="223"/>
      <c r="L352" s="431">
        <f t="shared" si="16"/>
        <v>0</v>
      </c>
      <c r="M352" s="227"/>
      <c r="O352" s="11"/>
      <c r="P352" s="12"/>
      <c r="Q352" s="12"/>
      <c r="R352" s="12"/>
      <c r="S352" s="431">
        <f t="shared" si="17"/>
        <v>0</v>
      </c>
    </row>
    <row r="353" spans="5:19" x14ac:dyDescent="0.25">
      <c r="E353" s="431">
        <f t="shared" si="15"/>
        <v>0</v>
      </c>
      <c r="H353" s="223"/>
      <c r="I353" s="223"/>
      <c r="J353" s="223"/>
      <c r="K353" s="223"/>
      <c r="L353" s="431">
        <f t="shared" si="16"/>
        <v>0</v>
      </c>
      <c r="M353" s="227"/>
      <c r="O353" s="11"/>
      <c r="P353" s="12"/>
      <c r="Q353" s="12"/>
      <c r="R353" s="12"/>
      <c r="S353" s="431">
        <f t="shared" si="17"/>
        <v>0</v>
      </c>
    </row>
    <row r="354" spans="5:19" x14ac:dyDescent="0.25">
      <c r="E354" s="431">
        <f t="shared" si="15"/>
        <v>0</v>
      </c>
      <c r="H354" s="223"/>
      <c r="I354" s="223"/>
      <c r="J354" s="223"/>
      <c r="K354" s="223"/>
      <c r="L354" s="431">
        <f t="shared" si="16"/>
        <v>0</v>
      </c>
      <c r="M354" s="227"/>
      <c r="O354" s="11"/>
      <c r="P354" s="12"/>
      <c r="Q354" s="12"/>
      <c r="R354" s="12"/>
      <c r="S354" s="431">
        <f t="shared" si="17"/>
        <v>0</v>
      </c>
    </row>
    <row r="355" spans="5:19" x14ac:dyDescent="0.25">
      <c r="E355" s="431">
        <f t="shared" si="15"/>
        <v>0</v>
      </c>
      <c r="H355" s="223"/>
      <c r="I355" s="223"/>
      <c r="J355" s="223"/>
      <c r="K355" s="223"/>
      <c r="L355" s="431">
        <f t="shared" si="16"/>
        <v>0</v>
      </c>
      <c r="M355" s="227"/>
      <c r="O355" s="11"/>
      <c r="P355" s="12"/>
      <c r="Q355" s="12"/>
      <c r="R355" s="12"/>
      <c r="S355" s="431">
        <f t="shared" si="17"/>
        <v>0</v>
      </c>
    </row>
    <row r="356" spans="5:19" x14ac:dyDescent="0.25">
      <c r="E356" s="431">
        <f t="shared" si="15"/>
        <v>0</v>
      </c>
      <c r="H356" s="223"/>
      <c r="I356" s="223"/>
      <c r="J356" s="223"/>
      <c r="K356" s="223"/>
      <c r="L356" s="431">
        <f t="shared" si="16"/>
        <v>0</v>
      </c>
      <c r="M356" s="227"/>
      <c r="O356" s="11"/>
      <c r="P356" s="12"/>
      <c r="Q356" s="12"/>
      <c r="R356" s="12"/>
      <c r="S356" s="431">
        <f t="shared" si="17"/>
        <v>0</v>
      </c>
    </row>
    <row r="357" spans="5:19" x14ac:dyDescent="0.25">
      <c r="E357" s="431">
        <f t="shared" si="15"/>
        <v>0</v>
      </c>
      <c r="H357" s="223"/>
      <c r="I357" s="223"/>
      <c r="J357" s="223"/>
      <c r="K357" s="223"/>
      <c r="L357" s="431">
        <f t="shared" si="16"/>
        <v>0</v>
      </c>
      <c r="M357" s="227"/>
      <c r="O357" s="11"/>
      <c r="P357" s="12"/>
      <c r="Q357" s="12"/>
      <c r="R357" s="12"/>
      <c r="S357" s="431">
        <f t="shared" si="17"/>
        <v>0</v>
      </c>
    </row>
    <row r="358" spans="5:19" x14ac:dyDescent="0.25">
      <c r="E358" s="431">
        <f t="shared" si="15"/>
        <v>0</v>
      </c>
      <c r="H358" s="223"/>
      <c r="I358" s="223"/>
      <c r="J358" s="223"/>
      <c r="K358" s="223"/>
      <c r="L358" s="431">
        <f t="shared" si="16"/>
        <v>0</v>
      </c>
      <c r="M358" s="227"/>
      <c r="O358" s="11"/>
      <c r="P358" s="12"/>
      <c r="Q358" s="12"/>
      <c r="R358" s="12"/>
      <c r="S358" s="431">
        <f t="shared" si="17"/>
        <v>0</v>
      </c>
    </row>
    <row r="359" spans="5:19" x14ac:dyDescent="0.25">
      <c r="E359" s="431">
        <f t="shared" si="15"/>
        <v>0</v>
      </c>
      <c r="H359" s="223"/>
      <c r="I359" s="223"/>
      <c r="J359" s="223"/>
      <c r="K359" s="223"/>
      <c r="L359" s="431">
        <f t="shared" si="16"/>
        <v>0</v>
      </c>
      <c r="M359" s="227"/>
      <c r="O359" s="11"/>
      <c r="P359" s="12"/>
      <c r="Q359" s="12"/>
      <c r="R359" s="12"/>
      <c r="S359" s="431">
        <f t="shared" si="17"/>
        <v>0</v>
      </c>
    </row>
    <row r="360" spans="5:19" x14ac:dyDescent="0.25">
      <c r="E360" s="431">
        <f t="shared" si="15"/>
        <v>0</v>
      </c>
      <c r="H360" s="223"/>
      <c r="I360" s="223"/>
      <c r="J360" s="223"/>
      <c r="K360" s="223"/>
      <c r="L360" s="431">
        <f t="shared" si="16"/>
        <v>0</v>
      </c>
      <c r="M360" s="227"/>
      <c r="O360" s="11"/>
      <c r="P360" s="12"/>
      <c r="Q360" s="12"/>
      <c r="R360" s="12"/>
      <c r="S360" s="431">
        <f t="shared" si="17"/>
        <v>0</v>
      </c>
    </row>
    <row r="361" spans="5:19" x14ac:dyDescent="0.25">
      <c r="E361" s="431">
        <f t="shared" si="15"/>
        <v>0</v>
      </c>
      <c r="H361" s="223"/>
      <c r="I361" s="223"/>
      <c r="J361" s="223"/>
      <c r="K361" s="223"/>
      <c r="L361" s="431">
        <f t="shared" si="16"/>
        <v>0</v>
      </c>
      <c r="M361" s="227"/>
      <c r="O361" s="11"/>
      <c r="P361" s="12"/>
      <c r="Q361" s="12"/>
      <c r="R361" s="12"/>
      <c r="S361" s="431">
        <f t="shared" si="17"/>
        <v>0</v>
      </c>
    </row>
    <row r="362" spans="5:19" x14ac:dyDescent="0.25">
      <c r="E362" s="431">
        <f t="shared" si="15"/>
        <v>0</v>
      </c>
      <c r="H362" s="223"/>
      <c r="I362" s="223"/>
      <c r="J362" s="223"/>
      <c r="K362" s="223"/>
      <c r="L362" s="431">
        <f t="shared" si="16"/>
        <v>0</v>
      </c>
      <c r="M362" s="227"/>
      <c r="O362" s="11"/>
      <c r="P362" s="12"/>
      <c r="Q362" s="12"/>
      <c r="R362" s="12"/>
      <c r="S362" s="431">
        <f t="shared" si="17"/>
        <v>0</v>
      </c>
    </row>
    <row r="363" spans="5:19" x14ac:dyDescent="0.25">
      <c r="E363" s="431">
        <f t="shared" si="15"/>
        <v>0</v>
      </c>
      <c r="H363" s="223"/>
      <c r="I363" s="223"/>
      <c r="J363" s="223"/>
      <c r="K363" s="223"/>
      <c r="L363" s="431">
        <f t="shared" si="16"/>
        <v>0</v>
      </c>
      <c r="M363" s="227"/>
      <c r="O363" s="11"/>
      <c r="P363" s="12"/>
      <c r="Q363" s="12"/>
      <c r="R363" s="12"/>
      <c r="S363" s="431">
        <f t="shared" si="17"/>
        <v>0</v>
      </c>
    </row>
    <row r="364" spans="5:19" x14ac:dyDescent="0.25">
      <c r="E364" s="431">
        <f t="shared" si="15"/>
        <v>0</v>
      </c>
      <c r="H364" s="223"/>
      <c r="I364" s="223"/>
      <c r="J364" s="223"/>
      <c r="K364" s="223"/>
      <c r="L364" s="431">
        <f t="shared" si="16"/>
        <v>0</v>
      </c>
      <c r="M364" s="227"/>
      <c r="O364" s="11"/>
      <c r="P364" s="12"/>
      <c r="Q364" s="12"/>
      <c r="R364" s="12"/>
      <c r="S364" s="431">
        <f t="shared" si="17"/>
        <v>0</v>
      </c>
    </row>
    <row r="365" spans="5:19" x14ac:dyDescent="0.25">
      <c r="E365" s="431">
        <f t="shared" si="15"/>
        <v>0</v>
      </c>
      <c r="H365" s="223"/>
      <c r="I365" s="223"/>
      <c r="J365" s="223"/>
      <c r="K365" s="223"/>
      <c r="L365" s="431">
        <f t="shared" si="16"/>
        <v>0</v>
      </c>
      <c r="M365" s="227"/>
      <c r="O365" s="11"/>
      <c r="P365" s="12"/>
      <c r="Q365" s="12"/>
      <c r="R365" s="12"/>
      <c r="S365" s="431">
        <f t="shared" si="17"/>
        <v>0</v>
      </c>
    </row>
    <row r="366" spans="5:19" x14ac:dyDescent="0.25">
      <c r="E366" s="431">
        <f t="shared" si="15"/>
        <v>0</v>
      </c>
      <c r="H366" s="223"/>
      <c r="I366" s="223"/>
      <c r="J366" s="223"/>
      <c r="K366" s="223"/>
      <c r="L366" s="431">
        <f t="shared" si="16"/>
        <v>0</v>
      </c>
      <c r="M366" s="227"/>
      <c r="O366" s="11"/>
      <c r="P366" s="12"/>
      <c r="Q366" s="12"/>
      <c r="R366" s="12"/>
      <c r="S366" s="431">
        <f t="shared" si="17"/>
        <v>0</v>
      </c>
    </row>
    <row r="367" spans="5:19" x14ac:dyDescent="0.25">
      <c r="E367" s="431">
        <f t="shared" si="15"/>
        <v>0</v>
      </c>
      <c r="H367" s="223"/>
      <c r="I367" s="223"/>
      <c r="J367" s="223"/>
      <c r="K367" s="223"/>
      <c r="L367" s="431">
        <f t="shared" si="16"/>
        <v>0</v>
      </c>
      <c r="M367" s="227"/>
      <c r="O367" s="11"/>
      <c r="P367" s="12"/>
      <c r="Q367" s="12"/>
      <c r="R367" s="12"/>
      <c r="S367" s="431">
        <f t="shared" si="17"/>
        <v>0</v>
      </c>
    </row>
    <row r="368" spans="5:19" x14ac:dyDescent="0.25">
      <c r="E368" s="431">
        <f t="shared" si="15"/>
        <v>0</v>
      </c>
      <c r="H368" s="223"/>
      <c r="I368" s="223"/>
      <c r="J368" s="223"/>
      <c r="K368" s="223"/>
      <c r="L368" s="431">
        <f t="shared" si="16"/>
        <v>0</v>
      </c>
      <c r="M368" s="227"/>
      <c r="O368" s="11"/>
      <c r="P368" s="12"/>
      <c r="Q368" s="12"/>
      <c r="R368" s="12"/>
      <c r="S368" s="431">
        <f t="shared" si="17"/>
        <v>0</v>
      </c>
    </row>
    <row r="369" spans="5:19" x14ac:dyDescent="0.25">
      <c r="E369" s="431">
        <f t="shared" si="15"/>
        <v>0</v>
      </c>
      <c r="H369" s="223"/>
      <c r="I369" s="223"/>
      <c r="J369" s="223"/>
      <c r="K369" s="223"/>
      <c r="L369" s="431">
        <f t="shared" si="16"/>
        <v>0</v>
      </c>
      <c r="M369" s="227"/>
      <c r="O369" s="11"/>
      <c r="P369" s="12"/>
      <c r="Q369" s="12"/>
      <c r="R369" s="12"/>
      <c r="S369" s="431">
        <f t="shared" si="17"/>
        <v>0</v>
      </c>
    </row>
    <row r="370" spans="5:19" x14ac:dyDescent="0.25">
      <c r="E370" s="431">
        <f t="shared" si="15"/>
        <v>0</v>
      </c>
      <c r="H370" s="223"/>
      <c r="I370" s="223"/>
      <c r="J370" s="223"/>
      <c r="K370" s="223"/>
      <c r="L370" s="431">
        <f t="shared" si="16"/>
        <v>0</v>
      </c>
      <c r="M370" s="227"/>
      <c r="O370" s="11"/>
      <c r="P370" s="12"/>
      <c r="Q370" s="12"/>
      <c r="R370" s="12"/>
      <c r="S370" s="431">
        <f t="shared" si="17"/>
        <v>0</v>
      </c>
    </row>
    <row r="371" spans="5:19" x14ac:dyDescent="0.25">
      <c r="E371" s="431">
        <f t="shared" si="15"/>
        <v>0</v>
      </c>
      <c r="H371" s="223"/>
      <c r="I371" s="223"/>
      <c r="J371" s="223"/>
      <c r="K371" s="223"/>
      <c r="L371" s="431">
        <f t="shared" si="16"/>
        <v>0</v>
      </c>
      <c r="M371" s="227"/>
      <c r="O371" s="11"/>
      <c r="P371" s="12"/>
      <c r="Q371" s="12"/>
      <c r="R371" s="12"/>
      <c r="S371" s="431">
        <f t="shared" si="17"/>
        <v>0</v>
      </c>
    </row>
    <row r="372" spans="5:19" x14ac:dyDescent="0.25">
      <c r="E372" s="431">
        <f t="shared" si="15"/>
        <v>0</v>
      </c>
      <c r="H372" s="223"/>
      <c r="I372" s="223"/>
      <c r="J372" s="223"/>
      <c r="K372" s="223"/>
      <c r="L372" s="431">
        <f t="shared" si="16"/>
        <v>0</v>
      </c>
      <c r="M372" s="227"/>
      <c r="O372" s="11"/>
      <c r="P372" s="12"/>
      <c r="Q372" s="12"/>
      <c r="R372" s="12"/>
      <c r="S372" s="431">
        <f t="shared" si="17"/>
        <v>0</v>
      </c>
    </row>
    <row r="373" spans="5:19" x14ac:dyDescent="0.25">
      <c r="E373" s="431">
        <f t="shared" si="15"/>
        <v>0</v>
      </c>
      <c r="H373" s="223"/>
      <c r="I373" s="223"/>
      <c r="J373" s="223"/>
      <c r="K373" s="223"/>
      <c r="L373" s="431">
        <f t="shared" si="16"/>
        <v>0</v>
      </c>
      <c r="M373" s="227"/>
      <c r="O373" s="11"/>
      <c r="P373" s="12"/>
      <c r="Q373" s="12"/>
      <c r="R373" s="12"/>
      <c r="S373" s="431">
        <f t="shared" si="17"/>
        <v>0</v>
      </c>
    </row>
    <row r="374" spans="5:19" x14ac:dyDescent="0.25">
      <c r="E374" s="431">
        <f t="shared" si="15"/>
        <v>0</v>
      </c>
      <c r="H374" s="223"/>
      <c r="I374" s="223"/>
      <c r="J374" s="223"/>
      <c r="K374" s="223"/>
      <c r="L374" s="431">
        <f t="shared" si="16"/>
        <v>0</v>
      </c>
      <c r="M374" s="227"/>
      <c r="O374" s="11"/>
      <c r="P374" s="12"/>
      <c r="Q374" s="12"/>
      <c r="R374" s="12"/>
      <c r="S374" s="431">
        <f t="shared" si="17"/>
        <v>0</v>
      </c>
    </row>
    <row r="375" spans="5:19" x14ac:dyDescent="0.25">
      <c r="E375" s="431">
        <f t="shared" si="15"/>
        <v>0</v>
      </c>
      <c r="H375" s="223"/>
      <c r="I375" s="223"/>
      <c r="J375" s="223"/>
      <c r="K375" s="223"/>
      <c r="L375" s="431">
        <f t="shared" si="16"/>
        <v>0</v>
      </c>
      <c r="M375" s="227"/>
      <c r="O375" s="11"/>
      <c r="P375" s="12"/>
      <c r="Q375" s="12"/>
      <c r="R375" s="12"/>
      <c r="S375" s="431">
        <f t="shared" si="17"/>
        <v>0</v>
      </c>
    </row>
    <row r="376" spans="5:19" x14ac:dyDescent="0.25">
      <c r="E376" s="431">
        <f t="shared" si="15"/>
        <v>0</v>
      </c>
      <c r="H376" s="223"/>
      <c r="I376" s="223"/>
      <c r="J376" s="223"/>
      <c r="K376" s="223"/>
      <c r="L376" s="431">
        <f t="shared" si="16"/>
        <v>0</v>
      </c>
      <c r="M376" s="227"/>
      <c r="O376" s="11"/>
      <c r="P376" s="12"/>
      <c r="Q376" s="12"/>
      <c r="R376" s="12"/>
      <c r="S376" s="431">
        <f t="shared" si="17"/>
        <v>0</v>
      </c>
    </row>
    <row r="377" spans="5:19" x14ac:dyDescent="0.25">
      <c r="E377" s="431">
        <f t="shared" si="15"/>
        <v>0</v>
      </c>
      <c r="H377" s="223"/>
      <c r="I377" s="223"/>
      <c r="J377" s="223"/>
      <c r="K377" s="223"/>
      <c r="L377" s="431">
        <f t="shared" si="16"/>
        <v>0</v>
      </c>
      <c r="M377" s="227"/>
      <c r="O377" s="11"/>
      <c r="P377" s="12"/>
      <c r="Q377" s="12"/>
      <c r="R377" s="12"/>
      <c r="S377" s="431">
        <f t="shared" si="17"/>
        <v>0</v>
      </c>
    </row>
    <row r="378" spans="5:19" x14ac:dyDescent="0.25">
      <c r="E378" s="431">
        <f t="shared" si="15"/>
        <v>0</v>
      </c>
      <c r="H378" s="223"/>
      <c r="I378" s="223"/>
      <c r="J378" s="223"/>
      <c r="K378" s="223"/>
      <c r="L378" s="431">
        <f t="shared" si="16"/>
        <v>0</v>
      </c>
      <c r="M378" s="227"/>
      <c r="O378" s="11"/>
      <c r="P378" s="12"/>
      <c r="Q378" s="12"/>
      <c r="R378" s="12"/>
      <c r="S378" s="431">
        <f t="shared" si="17"/>
        <v>0</v>
      </c>
    </row>
    <row r="379" spans="5:19" x14ac:dyDescent="0.25">
      <c r="E379" s="431">
        <f t="shared" si="15"/>
        <v>0</v>
      </c>
      <c r="H379" s="223"/>
      <c r="I379" s="223"/>
      <c r="J379" s="223"/>
      <c r="K379" s="223"/>
      <c r="L379" s="431">
        <f t="shared" si="16"/>
        <v>0</v>
      </c>
      <c r="M379" s="227"/>
      <c r="O379" s="11"/>
      <c r="P379" s="12"/>
      <c r="Q379" s="12"/>
      <c r="R379" s="12"/>
      <c r="S379" s="431">
        <f t="shared" si="17"/>
        <v>0</v>
      </c>
    </row>
    <row r="380" spans="5:19" x14ac:dyDescent="0.25">
      <c r="E380" s="431">
        <f t="shared" si="15"/>
        <v>0</v>
      </c>
      <c r="H380" s="223"/>
      <c r="I380" s="223"/>
      <c r="J380" s="223"/>
      <c r="K380" s="223"/>
      <c r="L380" s="431">
        <f t="shared" si="16"/>
        <v>0</v>
      </c>
      <c r="M380" s="227"/>
      <c r="O380" s="11"/>
      <c r="P380" s="12"/>
      <c r="Q380" s="12"/>
      <c r="R380" s="12"/>
      <c r="S380" s="431">
        <f t="shared" si="17"/>
        <v>0</v>
      </c>
    </row>
    <row r="381" spans="5:19" x14ac:dyDescent="0.25">
      <c r="E381" s="431">
        <f t="shared" si="15"/>
        <v>0</v>
      </c>
      <c r="H381" s="223"/>
      <c r="I381" s="223"/>
      <c r="J381" s="223"/>
      <c r="K381" s="223"/>
      <c r="L381" s="431">
        <f t="shared" si="16"/>
        <v>0</v>
      </c>
      <c r="M381" s="227"/>
      <c r="O381" s="11"/>
      <c r="P381" s="12"/>
      <c r="Q381" s="12"/>
      <c r="R381" s="12"/>
      <c r="S381" s="431">
        <f t="shared" si="17"/>
        <v>0</v>
      </c>
    </row>
    <row r="382" spans="5:19" x14ac:dyDescent="0.25">
      <c r="E382" s="431">
        <f t="shared" si="15"/>
        <v>0</v>
      </c>
      <c r="H382" s="223"/>
      <c r="I382" s="223"/>
      <c r="J382" s="223"/>
      <c r="K382" s="223"/>
      <c r="L382" s="431">
        <f t="shared" si="16"/>
        <v>0</v>
      </c>
      <c r="M382" s="227"/>
      <c r="O382" s="11"/>
      <c r="P382" s="12"/>
      <c r="Q382" s="12"/>
      <c r="R382" s="12"/>
      <c r="S382" s="431">
        <f t="shared" si="17"/>
        <v>0</v>
      </c>
    </row>
    <row r="383" spans="5:19" x14ac:dyDescent="0.25">
      <c r="E383" s="431">
        <f t="shared" si="15"/>
        <v>0</v>
      </c>
      <c r="H383" s="223"/>
      <c r="I383" s="223"/>
      <c r="J383" s="223"/>
      <c r="K383" s="223"/>
      <c r="L383" s="431">
        <f t="shared" si="16"/>
        <v>0</v>
      </c>
      <c r="M383" s="227"/>
      <c r="O383" s="11"/>
      <c r="P383" s="12"/>
      <c r="Q383" s="12"/>
      <c r="R383" s="12"/>
      <c r="S383" s="431">
        <f t="shared" si="17"/>
        <v>0</v>
      </c>
    </row>
    <row r="384" spans="5:19" x14ac:dyDescent="0.25">
      <c r="E384" s="431">
        <f t="shared" si="15"/>
        <v>0</v>
      </c>
      <c r="H384" s="223"/>
      <c r="I384" s="223"/>
      <c r="J384" s="223"/>
      <c r="K384" s="223"/>
      <c r="L384" s="431">
        <f t="shared" si="16"/>
        <v>0</v>
      </c>
      <c r="M384" s="227"/>
      <c r="O384" s="11"/>
      <c r="P384" s="12"/>
      <c r="Q384" s="12"/>
      <c r="R384" s="12"/>
      <c r="S384" s="431">
        <f>+R384/100</f>
        <v>0</v>
      </c>
    </row>
    <row r="385" spans="5:19" x14ac:dyDescent="0.25">
      <c r="E385" s="431">
        <f t="shared" si="15"/>
        <v>0</v>
      </c>
      <c r="H385" s="223"/>
      <c r="I385" s="223"/>
      <c r="J385" s="223"/>
      <c r="K385" s="223"/>
      <c r="L385" s="431">
        <f t="shared" si="16"/>
        <v>0</v>
      </c>
      <c r="M385" s="227"/>
      <c r="O385" s="11"/>
      <c r="P385" s="12"/>
      <c r="Q385" s="12"/>
      <c r="R385" s="12"/>
      <c r="S385" s="431">
        <f t="shared" si="17"/>
        <v>0</v>
      </c>
    </row>
    <row r="386" spans="5:19" x14ac:dyDescent="0.25">
      <c r="E386" s="431">
        <f t="shared" si="15"/>
        <v>0</v>
      </c>
      <c r="H386" s="223"/>
      <c r="I386" s="223"/>
      <c r="J386" s="223"/>
      <c r="K386" s="223"/>
      <c r="L386" s="431">
        <f t="shared" si="16"/>
        <v>0</v>
      </c>
      <c r="M386" s="227"/>
      <c r="O386" s="11"/>
      <c r="P386" s="12"/>
      <c r="Q386" s="12"/>
      <c r="R386" s="12"/>
      <c r="S386" s="431">
        <f t="shared" si="17"/>
        <v>0</v>
      </c>
    </row>
    <row r="387" spans="5:19" x14ac:dyDescent="0.25">
      <c r="E387" s="431">
        <f t="shared" si="15"/>
        <v>0</v>
      </c>
      <c r="H387" s="223"/>
      <c r="I387" s="223"/>
      <c r="J387" s="223"/>
      <c r="K387" s="223"/>
      <c r="L387" s="431">
        <f t="shared" si="16"/>
        <v>0</v>
      </c>
      <c r="M387" s="227"/>
      <c r="O387" s="11"/>
      <c r="P387" s="12"/>
      <c r="Q387" s="12"/>
      <c r="R387" s="12"/>
      <c r="S387" s="431">
        <f t="shared" si="17"/>
        <v>0</v>
      </c>
    </row>
    <row r="388" spans="5:19" x14ac:dyDescent="0.25">
      <c r="E388" s="431">
        <f t="shared" ref="E388:E451" si="18">+D388/100</f>
        <v>0</v>
      </c>
      <c r="H388" s="223"/>
      <c r="I388" s="223"/>
      <c r="J388" s="223"/>
      <c r="K388" s="223"/>
      <c r="L388" s="431">
        <f t="shared" ref="L388:L451" si="19">+K388/100</f>
        <v>0</v>
      </c>
      <c r="M388" s="227"/>
      <c r="O388" s="11"/>
      <c r="P388" s="12"/>
      <c r="Q388" s="12"/>
      <c r="R388" s="12"/>
      <c r="S388" s="431">
        <f t="shared" si="17"/>
        <v>0</v>
      </c>
    </row>
    <row r="389" spans="5:19" x14ac:dyDescent="0.25">
      <c r="E389" s="431">
        <f t="shared" si="18"/>
        <v>0</v>
      </c>
      <c r="H389" s="223"/>
      <c r="I389" s="223"/>
      <c r="J389" s="223"/>
      <c r="K389" s="223"/>
      <c r="L389" s="431">
        <f t="shared" si="19"/>
        <v>0</v>
      </c>
      <c r="M389" s="227"/>
      <c r="O389" s="11"/>
      <c r="P389" s="12"/>
      <c r="Q389" s="12"/>
      <c r="R389" s="12"/>
      <c r="S389" s="431">
        <f t="shared" ref="S389:S451" si="20">+R389/100</f>
        <v>0</v>
      </c>
    </row>
    <row r="390" spans="5:19" x14ac:dyDescent="0.25">
      <c r="E390" s="431">
        <f t="shared" si="18"/>
        <v>0</v>
      </c>
      <c r="H390" s="223"/>
      <c r="I390" s="223"/>
      <c r="J390" s="223"/>
      <c r="K390" s="223"/>
      <c r="L390" s="431">
        <f t="shared" si="19"/>
        <v>0</v>
      </c>
      <c r="M390" s="227"/>
      <c r="O390" s="11"/>
      <c r="P390" s="12"/>
      <c r="Q390" s="12"/>
      <c r="R390" s="12"/>
      <c r="S390" s="431">
        <f t="shared" si="20"/>
        <v>0</v>
      </c>
    </row>
    <row r="391" spans="5:19" x14ac:dyDescent="0.25">
      <c r="E391" s="431">
        <f t="shared" si="18"/>
        <v>0</v>
      </c>
      <c r="H391" s="223"/>
      <c r="I391" s="223"/>
      <c r="J391" s="223"/>
      <c r="K391" s="223"/>
      <c r="L391" s="431">
        <f t="shared" si="19"/>
        <v>0</v>
      </c>
      <c r="M391" s="227"/>
      <c r="O391" s="11"/>
      <c r="P391" s="12"/>
      <c r="Q391" s="12"/>
      <c r="R391" s="12"/>
      <c r="S391" s="431">
        <f t="shared" si="20"/>
        <v>0</v>
      </c>
    </row>
    <row r="392" spans="5:19" x14ac:dyDescent="0.25">
      <c r="E392" s="431">
        <f t="shared" si="18"/>
        <v>0</v>
      </c>
      <c r="H392" s="223"/>
      <c r="I392" s="223"/>
      <c r="J392" s="223"/>
      <c r="K392" s="223"/>
      <c r="L392" s="431">
        <f>+K392/100</f>
        <v>0</v>
      </c>
      <c r="M392" s="227"/>
      <c r="O392" s="11"/>
      <c r="P392" s="12"/>
      <c r="Q392" s="12"/>
      <c r="R392" s="12"/>
      <c r="S392" s="431">
        <f t="shared" si="20"/>
        <v>0</v>
      </c>
    </row>
    <row r="393" spans="5:19" x14ac:dyDescent="0.25">
      <c r="E393" s="431">
        <f t="shared" si="18"/>
        <v>0</v>
      </c>
      <c r="H393" s="223"/>
      <c r="I393" s="223"/>
      <c r="J393" s="223"/>
      <c r="K393" s="223"/>
      <c r="L393" s="431">
        <f t="shared" si="19"/>
        <v>0</v>
      </c>
      <c r="M393" s="227"/>
      <c r="O393" s="11"/>
      <c r="P393" s="12"/>
      <c r="Q393" s="12"/>
      <c r="R393" s="12"/>
      <c r="S393" s="431">
        <f t="shared" si="20"/>
        <v>0</v>
      </c>
    </row>
    <row r="394" spans="5:19" x14ac:dyDescent="0.25">
      <c r="E394" s="431">
        <f t="shared" si="18"/>
        <v>0</v>
      </c>
      <c r="H394" s="223"/>
      <c r="I394" s="223"/>
      <c r="J394" s="223"/>
      <c r="K394" s="223"/>
      <c r="L394" s="431">
        <f t="shared" si="19"/>
        <v>0</v>
      </c>
      <c r="M394" s="227"/>
      <c r="O394" s="11"/>
      <c r="P394" s="12"/>
      <c r="Q394" s="12"/>
      <c r="R394" s="12"/>
      <c r="S394" s="431">
        <f t="shared" si="20"/>
        <v>0</v>
      </c>
    </row>
    <row r="395" spans="5:19" x14ac:dyDescent="0.25">
      <c r="E395" s="431">
        <f t="shared" si="18"/>
        <v>0</v>
      </c>
      <c r="H395" s="223"/>
      <c r="I395" s="223"/>
      <c r="J395" s="223"/>
      <c r="K395" s="223"/>
      <c r="L395" s="431">
        <f t="shared" si="19"/>
        <v>0</v>
      </c>
      <c r="M395" s="227"/>
      <c r="O395" s="11"/>
      <c r="P395" s="12"/>
      <c r="Q395" s="12"/>
      <c r="R395" s="12"/>
      <c r="S395" s="431">
        <f t="shared" si="20"/>
        <v>0</v>
      </c>
    </row>
    <row r="396" spans="5:19" x14ac:dyDescent="0.25">
      <c r="E396" s="431">
        <f t="shared" si="18"/>
        <v>0</v>
      </c>
      <c r="H396" s="223"/>
      <c r="I396" s="223"/>
      <c r="J396" s="223"/>
      <c r="K396" s="223"/>
      <c r="L396" s="431">
        <f t="shared" si="19"/>
        <v>0</v>
      </c>
      <c r="M396" s="227"/>
      <c r="O396" s="11"/>
      <c r="P396" s="12"/>
      <c r="Q396" s="12"/>
      <c r="R396" s="12"/>
      <c r="S396" s="431">
        <f t="shared" si="20"/>
        <v>0</v>
      </c>
    </row>
    <row r="397" spans="5:19" x14ac:dyDescent="0.25">
      <c r="E397" s="431">
        <f t="shared" si="18"/>
        <v>0</v>
      </c>
      <c r="H397" s="223"/>
      <c r="I397" s="223"/>
      <c r="J397" s="223"/>
      <c r="K397" s="223"/>
      <c r="L397" s="431">
        <f t="shared" si="19"/>
        <v>0</v>
      </c>
      <c r="M397" s="227"/>
      <c r="O397" s="11"/>
      <c r="P397" s="12"/>
      <c r="Q397" s="12"/>
      <c r="R397" s="12"/>
      <c r="S397" s="431">
        <f t="shared" si="20"/>
        <v>0</v>
      </c>
    </row>
    <row r="398" spans="5:19" x14ac:dyDescent="0.25">
      <c r="E398" s="431">
        <f t="shared" si="18"/>
        <v>0</v>
      </c>
      <c r="H398" s="223"/>
      <c r="I398" s="223"/>
      <c r="J398" s="223"/>
      <c r="K398" s="223"/>
      <c r="L398" s="431">
        <f t="shared" si="19"/>
        <v>0</v>
      </c>
      <c r="M398" s="227"/>
      <c r="O398" s="11"/>
      <c r="P398" s="12"/>
      <c r="Q398" s="12"/>
      <c r="R398" s="12"/>
      <c r="S398" s="431">
        <f t="shared" si="20"/>
        <v>0</v>
      </c>
    </row>
    <row r="399" spans="5:19" x14ac:dyDescent="0.25">
      <c r="E399" s="431">
        <f t="shared" si="18"/>
        <v>0</v>
      </c>
      <c r="H399" s="223"/>
      <c r="I399" s="223"/>
      <c r="J399" s="223"/>
      <c r="K399" s="223"/>
      <c r="L399" s="431">
        <f t="shared" si="19"/>
        <v>0</v>
      </c>
      <c r="M399" s="227"/>
      <c r="O399" s="11"/>
      <c r="P399" s="12"/>
      <c r="Q399" s="12"/>
      <c r="R399" s="12"/>
      <c r="S399" s="431">
        <f t="shared" si="20"/>
        <v>0</v>
      </c>
    </row>
    <row r="400" spans="5:19" x14ac:dyDescent="0.25">
      <c r="E400" s="431">
        <f t="shared" si="18"/>
        <v>0</v>
      </c>
      <c r="H400" s="223"/>
      <c r="I400" s="223"/>
      <c r="J400" s="223"/>
      <c r="K400" s="223"/>
      <c r="L400" s="431">
        <f t="shared" si="19"/>
        <v>0</v>
      </c>
      <c r="M400" s="227"/>
      <c r="O400" s="11"/>
      <c r="P400" s="12"/>
      <c r="Q400" s="12"/>
      <c r="R400" s="12"/>
      <c r="S400" s="431">
        <f t="shared" si="20"/>
        <v>0</v>
      </c>
    </row>
    <row r="401" spans="1:19" x14ac:dyDescent="0.25">
      <c r="E401" s="431">
        <f t="shared" si="18"/>
        <v>0</v>
      </c>
      <c r="H401" s="223"/>
      <c r="I401" s="223"/>
      <c r="J401" s="223"/>
      <c r="K401" s="223"/>
      <c r="L401" s="431">
        <f t="shared" si="19"/>
        <v>0</v>
      </c>
      <c r="M401" s="227"/>
      <c r="O401" s="11"/>
      <c r="P401" s="12"/>
      <c r="Q401" s="12"/>
      <c r="R401" s="12"/>
      <c r="S401" s="431">
        <f t="shared" si="20"/>
        <v>0</v>
      </c>
    </row>
    <row r="402" spans="1:19" x14ac:dyDescent="0.25">
      <c r="E402" s="431">
        <f t="shared" si="18"/>
        <v>0</v>
      </c>
      <c r="H402" s="223"/>
      <c r="I402" s="223"/>
      <c r="J402" s="223"/>
      <c r="K402" s="223"/>
      <c r="L402" s="431">
        <f t="shared" si="19"/>
        <v>0</v>
      </c>
      <c r="M402" s="227"/>
      <c r="O402" s="11"/>
      <c r="P402" s="12"/>
      <c r="Q402" s="12"/>
      <c r="R402" s="12"/>
      <c r="S402" s="431">
        <f t="shared" si="20"/>
        <v>0</v>
      </c>
    </row>
    <row r="403" spans="1:19" x14ac:dyDescent="0.25">
      <c r="E403" s="431">
        <f t="shared" si="18"/>
        <v>0</v>
      </c>
      <c r="H403" s="223"/>
      <c r="I403" s="223"/>
      <c r="J403" s="223"/>
      <c r="K403" s="223"/>
      <c r="L403" s="431">
        <f t="shared" si="19"/>
        <v>0</v>
      </c>
      <c r="M403" s="227"/>
      <c r="O403" s="11"/>
      <c r="P403" s="12"/>
      <c r="Q403" s="12"/>
      <c r="R403" s="12"/>
      <c r="S403" s="431">
        <f t="shared" si="20"/>
        <v>0</v>
      </c>
    </row>
    <row r="404" spans="1:19" x14ac:dyDescent="0.25">
      <c r="A404" s="11"/>
      <c r="B404" s="11"/>
      <c r="E404" s="431">
        <f t="shared" si="18"/>
        <v>0</v>
      </c>
      <c r="H404" s="223"/>
      <c r="I404" s="223"/>
      <c r="J404" s="223"/>
      <c r="K404" s="223"/>
      <c r="L404" s="431">
        <f t="shared" si="19"/>
        <v>0</v>
      </c>
      <c r="M404" s="227"/>
      <c r="P404" s="12"/>
      <c r="Q404" s="12"/>
      <c r="R404" s="12"/>
      <c r="S404" s="431">
        <f t="shared" si="20"/>
        <v>0</v>
      </c>
    </row>
    <row r="405" spans="1:19" x14ac:dyDescent="0.25">
      <c r="A405" s="11"/>
      <c r="B405" s="11"/>
      <c r="E405" s="431">
        <f t="shared" si="18"/>
        <v>0</v>
      </c>
      <c r="H405" s="223"/>
      <c r="I405" s="223"/>
      <c r="J405" s="223"/>
      <c r="K405" s="223"/>
      <c r="L405" s="431">
        <f t="shared" si="19"/>
        <v>0</v>
      </c>
      <c r="M405" s="227"/>
      <c r="P405" s="12"/>
      <c r="Q405" s="12"/>
      <c r="R405" s="12"/>
      <c r="S405" s="431">
        <f t="shared" si="20"/>
        <v>0</v>
      </c>
    </row>
    <row r="406" spans="1:19" x14ac:dyDescent="0.25">
      <c r="A406" s="11"/>
      <c r="B406" s="11"/>
      <c r="E406" s="431">
        <f t="shared" si="18"/>
        <v>0</v>
      </c>
      <c r="H406" s="223"/>
      <c r="I406" s="223"/>
      <c r="J406" s="223"/>
      <c r="K406" s="223"/>
      <c r="L406" s="431">
        <f t="shared" si="19"/>
        <v>0</v>
      </c>
      <c r="M406" s="227"/>
      <c r="P406" s="12"/>
      <c r="Q406" s="12"/>
      <c r="R406" s="12"/>
      <c r="S406" s="431">
        <f t="shared" si="20"/>
        <v>0</v>
      </c>
    </row>
    <row r="407" spans="1:19" x14ac:dyDescent="0.25">
      <c r="A407" s="11"/>
      <c r="B407" s="11"/>
      <c r="E407" s="431">
        <f t="shared" si="18"/>
        <v>0</v>
      </c>
      <c r="H407" s="223"/>
      <c r="I407" s="223"/>
      <c r="J407" s="223"/>
      <c r="K407" s="223"/>
      <c r="L407" s="431">
        <f t="shared" si="19"/>
        <v>0</v>
      </c>
      <c r="M407" s="227"/>
      <c r="P407" s="12"/>
      <c r="Q407" s="12"/>
      <c r="R407" s="12"/>
      <c r="S407" s="431">
        <f t="shared" si="20"/>
        <v>0</v>
      </c>
    </row>
    <row r="408" spans="1:19" x14ac:dyDescent="0.25">
      <c r="A408" s="11"/>
      <c r="B408" s="11"/>
      <c r="E408" s="431">
        <f t="shared" si="18"/>
        <v>0</v>
      </c>
      <c r="H408" s="223"/>
      <c r="I408" s="223"/>
      <c r="J408" s="223"/>
      <c r="K408" s="223"/>
      <c r="L408" s="431">
        <f t="shared" si="19"/>
        <v>0</v>
      </c>
      <c r="M408" s="227"/>
      <c r="P408" s="12"/>
      <c r="Q408" s="12"/>
      <c r="R408" s="12"/>
      <c r="S408" s="431">
        <f t="shared" si="20"/>
        <v>0</v>
      </c>
    </row>
    <row r="409" spans="1:19" x14ac:dyDescent="0.25">
      <c r="A409" s="11"/>
      <c r="B409" s="11"/>
      <c r="E409" s="431">
        <f t="shared" si="18"/>
        <v>0</v>
      </c>
      <c r="H409" s="223"/>
      <c r="I409" s="223"/>
      <c r="J409" s="223"/>
      <c r="K409" s="223"/>
      <c r="L409" s="431">
        <f t="shared" si="19"/>
        <v>0</v>
      </c>
      <c r="M409" s="227"/>
      <c r="P409" s="12"/>
      <c r="Q409" s="12"/>
      <c r="R409" s="12"/>
      <c r="S409" s="431">
        <f t="shared" si="20"/>
        <v>0</v>
      </c>
    </row>
    <row r="410" spans="1:19" x14ac:dyDescent="0.25">
      <c r="A410" s="11"/>
      <c r="B410" s="11"/>
      <c r="E410" s="431">
        <f t="shared" si="18"/>
        <v>0</v>
      </c>
      <c r="H410" s="223"/>
      <c r="I410" s="223"/>
      <c r="J410" s="223"/>
      <c r="K410" s="223"/>
      <c r="L410" s="431">
        <f t="shared" si="19"/>
        <v>0</v>
      </c>
      <c r="M410" s="227"/>
      <c r="P410" s="12"/>
      <c r="Q410" s="12"/>
      <c r="R410" s="12"/>
      <c r="S410" s="431">
        <f t="shared" si="20"/>
        <v>0</v>
      </c>
    </row>
    <row r="411" spans="1:19" x14ac:dyDescent="0.25">
      <c r="A411" s="11"/>
      <c r="B411" s="11"/>
      <c r="E411" s="431">
        <f t="shared" si="18"/>
        <v>0</v>
      </c>
      <c r="H411" s="223"/>
      <c r="I411" s="223"/>
      <c r="J411" s="223"/>
      <c r="K411" s="223"/>
      <c r="L411" s="431">
        <f t="shared" si="19"/>
        <v>0</v>
      </c>
      <c r="M411" s="227"/>
      <c r="P411" s="12"/>
      <c r="Q411" s="12"/>
      <c r="R411" s="12"/>
      <c r="S411" s="431">
        <f t="shared" si="20"/>
        <v>0</v>
      </c>
    </row>
    <row r="412" spans="1:19" x14ac:dyDescent="0.25">
      <c r="A412" s="11"/>
      <c r="B412" s="11"/>
      <c r="E412" s="431">
        <f t="shared" si="18"/>
        <v>0</v>
      </c>
      <c r="H412" s="223"/>
      <c r="I412" s="223"/>
      <c r="J412" s="223"/>
      <c r="K412" s="223"/>
      <c r="L412" s="431">
        <f t="shared" si="19"/>
        <v>0</v>
      </c>
      <c r="M412" s="227"/>
      <c r="P412" s="12"/>
      <c r="Q412" s="12"/>
      <c r="R412" s="12"/>
      <c r="S412" s="431">
        <f t="shared" si="20"/>
        <v>0</v>
      </c>
    </row>
    <row r="413" spans="1:19" x14ac:dyDescent="0.25">
      <c r="A413" s="11"/>
      <c r="B413" s="11"/>
      <c r="E413" s="431">
        <f t="shared" si="18"/>
        <v>0</v>
      </c>
      <c r="H413" s="223"/>
      <c r="I413" s="223"/>
      <c r="J413" s="223"/>
      <c r="K413" s="223"/>
      <c r="L413" s="431">
        <f t="shared" si="19"/>
        <v>0</v>
      </c>
      <c r="M413" s="227"/>
      <c r="P413" s="12"/>
      <c r="Q413" s="12"/>
      <c r="R413" s="12"/>
      <c r="S413" s="431">
        <f t="shared" si="20"/>
        <v>0</v>
      </c>
    </row>
    <row r="414" spans="1:19" x14ac:dyDescent="0.25">
      <c r="A414" s="11"/>
      <c r="B414" s="11"/>
      <c r="E414" s="431">
        <f t="shared" si="18"/>
        <v>0</v>
      </c>
      <c r="H414" s="223"/>
      <c r="I414" s="223"/>
      <c r="J414" s="223"/>
      <c r="K414" s="223"/>
      <c r="L414" s="431">
        <f t="shared" si="19"/>
        <v>0</v>
      </c>
      <c r="M414" s="227"/>
      <c r="P414" s="12"/>
      <c r="Q414" s="12"/>
      <c r="R414" s="12"/>
      <c r="S414" s="431">
        <f t="shared" si="20"/>
        <v>0</v>
      </c>
    </row>
    <row r="415" spans="1:19" x14ac:dyDescent="0.25">
      <c r="A415" s="11"/>
      <c r="B415" s="11"/>
      <c r="E415" s="431">
        <f t="shared" si="18"/>
        <v>0</v>
      </c>
      <c r="H415" s="223"/>
      <c r="I415" s="223"/>
      <c r="J415" s="223"/>
      <c r="K415" s="223"/>
      <c r="L415" s="431">
        <f t="shared" si="19"/>
        <v>0</v>
      </c>
      <c r="M415" s="227"/>
      <c r="P415" s="12"/>
      <c r="Q415" s="12"/>
      <c r="R415" s="12"/>
      <c r="S415" s="431">
        <f t="shared" si="20"/>
        <v>0</v>
      </c>
    </row>
    <row r="416" spans="1:19" x14ac:dyDescent="0.25">
      <c r="A416" s="11"/>
      <c r="B416" s="11"/>
      <c r="E416" s="431">
        <f t="shared" si="18"/>
        <v>0</v>
      </c>
      <c r="H416" s="223"/>
      <c r="I416" s="223"/>
      <c r="J416" s="223"/>
      <c r="K416" s="223"/>
      <c r="L416" s="431">
        <f t="shared" si="19"/>
        <v>0</v>
      </c>
      <c r="M416" s="227"/>
      <c r="P416" s="12"/>
      <c r="Q416" s="12"/>
      <c r="R416" s="12"/>
      <c r="S416" s="431">
        <f t="shared" si="20"/>
        <v>0</v>
      </c>
    </row>
    <row r="417" spans="1:19" x14ac:dyDescent="0.25">
      <c r="A417" s="11"/>
      <c r="B417" s="11"/>
      <c r="E417" s="431">
        <f t="shared" si="18"/>
        <v>0</v>
      </c>
      <c r="H417" s="223"/>
      <c r="I417" s="223"/>
      <c r="J417" s="223"/>
      <c r="K417" s="223"/>
      <c r="L417" s="431">
        <f t="shared" si="19"/>
        <v>0</v>
      </c>
      <c r="M417" s="227"/>
      <c r="P417" s="12"/>
      <c r="Q417" s="12"/>
      <c r="R417" s="12"/>
      <c r="S417" s="431">
        <f t="shared" si="20"/>
        <v>0</v>
      </c>
    </row>
    <row r="418" spans="1:19" x14ac:dyDescent="0.25">
      <c r="A418" s="11"/>
      <c r="B418" s="11"/>
      <c r="C418" s="12"/>
      <c r="D418" s="12"/>
      <c r="E418" s="431">
        <f t="shared" si="18"/>
        <v>0</v>
      </c>
      <c r="H418" s="223"/>
      <c r="I418" s="223"/>
      <c r="J418" s="223"/>
      <c r="K418" s="223"/>
      <c r="L418" s="431">
        <f t="shared" si="19"/>
        <v>0</v>
      </c>
      <c r="M418" s="227"/>
      <c r="P418" s="12"/>
      <c r="Q418" s="12"/>
      <c r="R418" s="12"/>
      <c r="S418" s="431">
        <f t="shared" si="20"/>
        <v>0</v>
      </c>
    </row>
    <row r="419" spans="1:19" x14ac:dyDescent="0.25">
      <c r="A419" s="11"/>
      <c r="B419" s="11"/>
      <c r="C419" s="12"/>
      <c r="D419" s="12"/>
      <c r="E419" s="431">
        <f t="shared" si="18"/>
        <v>0</v>
      </c>
      <c r="H419" s="223"/>
      <c r="I419" s="223"/>
      <c r="J419" s="223"/>
      <c r="K419" s="223"/>
      <c r="L419" s="431">
        <f t="shared" si="19"/>
        <v>0</v>
      </c>
      <c r="M419" s="227"/>
      <c r="P419" s="12"/>
      <c r="Q419" s="12"/>
      <c r="R419" s="12"/>
      <c r="S419" s="431">
        <f t="shared" si="20"/>
        <v>0</v>
      </c>
    </row>
    <row r="420" spans="1:19" x14ac:dyDescent="0.25">
      <c r="A420" s="11"/>
      <c r="B420" s="11"/>
      <c r="C420" s="12"/>
      <c r="D420" s="12"/>
      <c r="E420" s="431">
        <f t="shared" si="18"/>
        <v>0</v>
      </c>
      <c r="H420" s="223"/>
      <c r="I420" s="223"/>
      <c r="J420" s="223"/>
      <c r="K420" s="223"/>
      <c r="L420" s="431">
        <f t="shared" si="19"/>
        <v>0</v>
      </c>
      <c r="M420" s="227"/>
      <c r="P420" s="12"/>
      <c r="Q420" s="12"/>
      <c r="R420" s="12"/>
      <c r="S420" s="431">
        <f t="shared" si="20"/>
        <v>0</v>
      </c>
    </row>
    <row r="421" spans="1:19" x14ac:dyDescent="0.25">
      <c r="A421" s="11"/>
      <c r="B421" s="11"/>
      <c r="C421" s="12"/>
      <c r="D421" s="12"/>
      <c r="E421" s="431">
        <f t="shared" si="18"/>
        <v>0</v>
      </c>
      <c r="H421" s="223"/>
      <c r="I421" s="223"/>
      <c r="J421" s="223"/>
      <c r="K421" s="223"/>
      <c r="L421" s="431">
        <f t="shared" si="19"/>
        <v>0</v>
      </c>
      <c r="M421" s="227"/>
      <c r="P421" s="12"/>
      <c r="Q421" s="12"/>
      <c r="R421" s="12"/>
      <c r="S421" s="431">
        <f t="shared" si="20"/>
        <v>0</v>
      </c>
    </row>
    <row r="422" spans="1:19" x14ac:dyDescent="0.25">
      <c r="A422" s="11"/>
      <c r="B422" s="11"/>
      <c r="C422" s="12"/>
      <c r="D422" s="12"/>
      <c r="E422" s="431">
        <f t="shared" si="18"/>
        <v>0</v>
      </c>
      <c r="H422" s="223"/>
      <c r="I422" s="223"/>
      <c r="J422" s="223"/>
      <c r="K422" s="223"/>
      <c r="L422" s="431">
        <f t="shared" si="19"/>
        <v>0</v>
      </c>
      <c r="M422" s="227"/>
      <c r="P422" s="12"/>
      <c r="Q422" s="12"/>
      <c r="R422" s="12"/>
      <c r="S422" s="431">
        <f t="shared" si="20"/>
        <v>0</v>
      </c>
    </row>
    <row r="423" spans="1:19" x14ac:dyDescent="0.25">
      <c r="A423" s="11"/>
      <c r="B423" s="11"/>
      <c r="C423" s="12"/>
      <c r="D423" s="12"/>
      <c r="E423" s="431">
        <f t="shared" si="18"/>
        <v>0</v>
      </c>
      <c r="H423" s="223"/>
      <c r="I423" s="223"/>
      <c r="J423" s="223"/>
      <c r="K423" s="223"/>
      <c r="L423" s="431">
        <f t="shared" si="19"/>
        <v>0</v>
      </c>
      <c r="M423" s="227"/>
      <c r="P423" s="12"/>
      <c r="Q423" s="12"/>
      <c r="R423" s="12"/>
      <c r="S423" s="431">
        <f t="shared" si="20"/>
        <v>0</v>
      </c>
    </row>
    <row r="424" spans="1:19" x14ac:dyDescent="0.25">
      <c r="A424" s="11"/>
      <c r="B424" s="11"/>
      <c r="C424" s="12"/>
      <c r="D424" s="12"/>
      <c r="E424" s="431">
        <f t="shared" si="18"/>
        <v>0</v>
      </c>
      <c r="H424" s="223"/>
      <c r="I424" s="223"/>
      <c r="J424" s="223"/>
      <c r="K424" s="223"/>
      <c r="L424" s="431">
        <f t="shared" si="19"/>
        <v>0</v>
      </c>
      <c r="M424" s="227"/>
      <c r="P424" s="12"/>
      <c r="Q424" s="12"/>
      <c r="R424" s="12"/>
      <c r="S424" s="431">
        <f t="shared" si="20"/>
        <v>0</v>
      </c>
    </row>
    <row r="425" spans="1:19" x14ac:dyDescent="0.25">
      <c r="A425" s="11"/>
      <c r="B425" s="11"/>
      <c r="C425" s="12"/>
      <c r="D425" s="12"/>
      <c r="E425" s="431">
        <f t="shared" si="18"/>
        <v>0</v>
      </c>
      <c r="H425" s="223"/>
      <c r="I425" s="223"/>
      <c r="J425" s="223"/>
      <c r="K425" s="223"/>
      <c r="L425" s="431">
        <f t="shared" si="19"/>
        <v>0</v>
      </c>
      <c r="M425" s="227"/>
      <c r="P425" s="12"/>
      <c r="Q425" s="12"/>
      <c r="R425" s="12"/>
      <c r="S425" s="431">
        <f t="shared" si="20"/>
        <v>0</v>
      </c>
    </row>
    <row r="426" spans="1:19" x14ac:dyDescent="0.25">
      <c r="A426" s="11"/>
      <c r="B426" s="11"/>
      <c r="C426" s="12"/>
      <c r="D426" s="12"/>
      <c r="E426" s="431">
        <f t="shared" si="18"/>
        <v>0</v>
      </c>
      <c r="H426" s="223"/>
      <c r="I426" s="223"/>
      <c r="J426" s="223"/>
      <c r="K426" s="223"/>
      <c r="L426" s="431">
        <f t="shared" si="19"/>
        <v>0</v>
      </c>
      <c r="M426" s="227"/>
      <c r="P426" s="12"/>
      <c r="Q426" s="12"/>
      <c r="R426" s="12"/>
      <c r="S426" s="431">
        <f t="shared" si="20"/>
        <v>0</v>
      </c>
    </row>
    <row r="427" spans="1:19" x14ac:dyDescent="0.25">
      <c r="A427" s="11"/>
      <c r="B427" s="11"/>
      <c r="C427" s="12"/>
      <c r="D427" s="12"/>
      <c r="E427" s="431">
        <f t="shared" si="18"/>
        <v>0</v>
      </c>
      <c r="H427" s="223"/>
      <c r="I427" s="223"/>
      <c r="J427" s="223"/>
      <c r="K427" s="223"/>
      <c r="L427" s="431">
        <f t="shared" si="19"/>
        <v>0</v>
      </c>
      <c r="M427" s="227"/>
      <c r="P427" s="12"/>
      <c r="Q427" s="12"/>
      <c r="R427" s="12"/>
      <c r="S427" s="431">
        <f t="shared" si="20"/>
        <v>0</v>
      </c>
    </row>
    <row r="428" spans="1:19" x14ac:dyDescent="0.25">
      <c r="A428" s="11"/>
      <c r="B428" s="11"/>
      <c r="C428" s="12"/>
      <c r="D428" s="12"/>
      <c r="E428" s="431">
        <f t="shared" si="18"/>
        <v>0</v>
      </c>
      <c r="H428" s="223"/>
      <c r="I428" s="223"/>
      <c r="J428" s="223"/>
      <c r="K428" s="223"/>
      <c r="L428" s="431">
        <f t="shared" si="19"/>
        <v>0</v>
      </c>
      <c r="M428" s="227"/>
      <c r="P428" s="12"/>
      <c r="Q428" s="12"/>
      <c r="R428" s="12"/>
      <c r="S428" s="431">
        <f t="shared" si="20"/>
        <v>0</v>
      </c>
    </row>
    <row r="429" spans="1:19" x14ac:dyDescent="0.25">
      <c r="A429" s="11"/>
      <c r="B429" s="11"/>
      <c r="C429" s="12"/>
      <c r="D429" s="12"/>
      <c r="E429" s="431">
        <f t="shared" si="18"/>
        <v>0</v>
      </c>
      <c r="H429" s="223"/>
      <c r="I429" s="223"/>
      <c r="J429" s="223"/>
      <c r="K429" s="223"/>
      <c r="L429" s="431">
        <f t="shared" si="19"/>
        <v>0</v>
      </c>
      <c r="M429" s="227"/>
      <c r="P429" s="12"/>
      <c r="Q429" s="12"/>
      <c r="R429" s="12"/>
      <c r="S429" s="431">
        <f t="shared" si="20"/>
        <v>0</v>
      </c>
    </row>
    <row r="430" spans="1:19" x14ac:dyDescent="0.25">
      <c r="A430" s="11"/>
      <c r="B430" s="11"/>
      <c r="C430" s="12"/>
      <c r="D430" s="12"/>
      <c r="E430" s="431">
        <f t="shared" si="18"/>
        <v>0</v>
      </c>
      <c r="H430" s="223"/>
      <c r="I430" s="223"/>
      <c r="J430" s="223"/>
      <c r="K430" s="223"/>
      <c r="L430" s="431">
        <f t="shared" si="19"/>
        <v>0</v>
      </c>
      <c r="M430" s="227"/>
      <c r="P430" s="12"/>
      <c r="Q430" s="12"/>
      <c r="R430" s="12"/>
      <c r="S430" s="431">
        <f t="shared" si="20"/>
        <v>0</v>
      </c>
    </row>
    <row r="431" spans="1:19" x14ac:dyDescent="0.25">
      <c r="A431" s="11"/>
      <c r="B431" s="11"/>
      <c r="C431" s="12"/>
      <c r="D431" s="12"/>
      <c r="E431" s="431">
        <f t="shared" si="18"/>
        <v>0</v>
      </c>
      <c r="H431" s="223"/>
      <c r="I431" s="223"/>
      <c r="J431" s="223"/>
      <c r="K431" s="223"/>
      <c r="L431" s="431">
        <f t="shared" si="19"/>
        <v>0</v>
      </c>
      <c r="M431" s="227"/>
      <c r="P431" s="12"/>
      <c r="Q431" s="12"/>
      <c r="R431" s="12"/>
      <c r="S431" s="431">
        <f t="shared" si="20"/>
        <v>0</v>
      </c>
    </row>
    <row r="432" spans="1:19" x14ac:dyDescent="0.25">
      <c r="A432" s="11"/>
      <c r="B432" s="11"/>
      <c r="C432" s="12"/>
      <c r="D432" s="12"/>
      <c r="E432" s="431">
        <f t="shared" si="18"/>
        <v>0</v>
      </c>
      <c r="H432" s="223"/>
      <c r="I432" s="223"/>
      <c r="J432" s="223"/>
      <c r="K432" s="223"/>
      <c r="L432" s="431">
        <f t="shared" si="19"/>
        <v>0</v>
      </c>
      <c r="M432" s="227"/>
      <c r="P432" s="12"/>
      <c r="Q432" s="12"/>
      <c r="R432" s="12"/>
      <c r="S432" s="431">
        <f t="shared" si="20"/>
        <v>0</v>
      </c>
    </row>
    <row r="433" spans="1:19" x14ac:dyDescent="0.25">
      <c r="A433" s="11"/>
      <c r="B433" s="11"/>
      <c r="C433" s="12"/>
      <c r="D433" s="12"/>
      <c r="E433" s="431">
        <f t="shared" si="18"/>
        <v>0</v>
      </c>
      <c r="H433" s="223"/>
      <c r="I433" s="223"/>
      <c r="J433" s="223"/>
      <c r="K433" s="223"/>
      <c r="L433" s="431">
        <f t="shared" si="19"/>
        <v>0</v>
      </c>
      <c r="M433" s="227"/>
      <c r="P433" s="12"/>
      <c r="Q433" s="12"/>
      <c r="R433" s="12"/>
      <c r="S433" s="431">
        <f t="shared" si="20"/>
        <v>0</v>
      </c>
    </row>
    <row r="434" spans="1:19" x14ac:dyDescent="0.25">
      <c r="A434" s="11"/>
      <c r="B434" s="11"/>
      <c r="C434" s="12"/>
      <c r="D434" s="12"/>
      <c r="E434" s="431">
        <f t="shared" si="18"/>
        <v>0</v>
      </c>
      <c r="H434" s="223"/>
      <c r="I434" s="223"/>
      <c r="J434" s="223"/>
      <c r="K434" s="223"/>
      <c r="L434" s="431">
        <f t="shared" si="19"/>
        <v>0</v>
      </c>
      <c r="M434" s="227"/>
      <c r="P434" s="12"/>
      <c r="Q434" s="12"/>
      <c r="R434" s="12"/>
      <c r="S434" s="431">
        <f t="shared" si="20"/>
        <v>0</v>
      </c>
    </row>
    <row r="435" spans="1:19" x14ac:dyDescent="0.25">
      <c r="A435" s="11"/>
      <c r="B435" s="11"/>
      <c r="C435" s="12"/>
      <c r="D435" s="12"/>
      <c r="E435" s="431">
        <f t="shared" si="18"/>
        <v>0</v>
      </c>
      <c r="H435" s="223"/>
      <c r="I435" s="223"/>
      <c r="J435" s="223"/>
      <c r="K435" s="223"/>
      <c r="L435" s="431">
        <f t="shared" si="19"/>
        <v>0</v>
      </c>
      <c r="M435" s="227"/>
      <c r="P435" s="12"/>
      <c r="Q435" s="12"/>
      <c r="R435" s="12"/>
      <c r="S435" s="431">
        <f t="shared" si="20"/>
        <v>0</v>
      </c>
    </row>
    <row r="436" spans="1:19" x14ac:dyDescent="0.25">
      <c r="A436" s="11"/>
      <c r="B436" s="11"/>
      <c r="C436" s="12"/>
      <c r="D436" s="12"/>
      <c r="E436" s="431">
        <f t="shared" si="18"/>
        <v>0</v>
      </c>
      <c r="H436" s="223"/>
      <c r="I436" s="223"/>
      <c r="J436" s="223"/>
      <c r="K436" s="223"/>
      <c r="L436" s="431">
        <f t="shared" si="19"/>
        <v>0</v>
      </c>
      <c r="M436" s="227"/>
      <c r="P436" s="12"/>
      <c r="Q436" s="12"/>
      <c r="R436" s="12"/>
      <c r="S436" s="431">
        <f t="shared" si="20"/>
        <v>0</v>
      </c>
    </row>
    <row r="437" spans="1:19" x14ac:dyDescent="0.25">
      <c r="A437" s="11"/>
      <c r="B437" s="11"/>
      <c r="C437" s="12"/>
      <c r="D437" s="12"/>
      <c r="E437" s="431">
        <f t="shared" si="18"/>
        <v>0</v>
      </c>
      <c r="H437" s="223"/>
      <c r="I437" s="223"/>
      <c r="J437" s="223"/>
      <c r="K437" s="223"/>
      <c r="L437" s="431">
        <f t="shared" si="19"/>
        <v>0</v>
      </c>
      <c r="M437" s="227"/>
      <c r="P437" s="12"/>
      <c r="Q437" s="12"/>
      <c r="R437" s="12"/>
      <c r="S437" s="431">
        <f t="shared" si="20"/>
        <v>0</v>
      </c>
    </row>
    <row r="438" spans="1:19" x14ac:dyDescent="0.25">
      <c r="A438" s="11"/>
      <c r="B438" s="11"/>
      <c r="C438" s="12"/>
      <c r="D438" s="12"/>
      <c r="E438" s="431">
        <f t="shared" si="18"/>
        <v>0</v>
      </c>
      <c r="H438" s="223"/>
      <c r="I438" s="223"/>
      <c r="J438" s="223"/>
      <c r="K438" s="223"/>
      <c r="L438" s="431">
        <f t="shared" si="19"/>
        <v>0</v>
      </c>
      <c r="M438" s="227"/>
      <c r="P438" s="12"/>
      <c r="Q438" s="12"/>
      <c r="R438" s="12"/>
      <c r="S438" s="431">
        <f t="shared" si="20"/>
        <v>0</v>
      </c>
    </row>
    <row r="439" spans="1:19" x14ac:dyDescent="0.25">
      <c r="A439" s="11"/>
      <c r="B439" s="11"/>
      <c r="C439" s="12"/>
      <c r="D439" s="12"/>
      <c r="E439" s="431">
        <f t="shared" si="18"/>
        <v>0</v>
      </c>
      <c r="H439" s="223"/>
      <c r="I439" s="223"/>
      <c r="J439" s="223"/>
      <c r="K439" s="223"/>
      <c r="L439" s="431">
        <f t="shared" si="19"/>
        <v>0</v>
      </c>
      <c r="M439" s="227"/>
      <c r="P439" s="12"/>
      <c r="Q439" s="12"/>
      <c r="R439" s="12"/>
      <c r="S439" s="431">
        <f t="shared" si="20"/>
        <v>0</v>
      </c>
    </row>
    <row r="440" spans="1:19" x14ac:dyDescent="0.25">
      <c r="A440" s="11"/>
      <c r="B440" s="11"/>
      <c r="C440" s="12"/>
      <c r="D440" s="12"/>
      <c r="E440" s="431">
        <f t="shared" si="18"/>
        <v>0</v>
      </c>
      <c r="H440" s="223"/>
      <c r="I440" s="223"/>
      <c r="J440" s="223"/>
      <c r="K440" s="223"/>
      <c r="L440" s="431">
        <f t="shared" si="19"/>
        <v>0</v>
      </c>
      <c r="M440" s="227"/>
      <c r="P440" s="12"/>
      <c r="Q440" s="12"/>
      <c r="R440" s="12"/>
      <c r="S440" s="431">
        <f t="shared" si="20"/>
        <v>0</v>
      </c>
    </row>
    <row r="441" spans="1:19" x14ac:dyDescent="0.25">
      <c r="A441" s="11"/>
      <c r="B441" s="11"/>
      <c r="C441" s="12"/>
      <c r="D441" s="12"/>
      <c r="E441" s="431">
        <f t="shared" si="18"/>
        <v>0</v>
      </c>
      <c r="H441" s="223"/>
      <c r="I441" s="223"/>
      <c r="J441" s="223"/>
      <c r="K441" s="223"/>
      <c r="L441" s="431">
        <f t="shared" si="19"/>
        <v>0</v>
      </c>
      <c r="M441" s="227"/>
      <c r="P441" s="12"/>
      <c r="Q441" s="12"/>
      <c r="R441" s="12"/>
      <c r="S441" s="431">
        <f t="shared" si="20"/>
        <v>0</v>
      </c>
    </row>
    <row r="442" spans="1:19" x14ac:dyDescent="0.25">
      <c r="A442" s="11"/>
      <c r="B442" s="11"/>
      <c r="C442" s="12"/>
      <c r="D442" s="12"/>
      <c r="E442" s="431">
        <f t="shared" si="18"/>
        <v>0</v>
      </c>
      <c r="H442" s="223"/>
      <c r="I442" s="223"/>
      <c r="J442" s="223"/>
      <c r="K442" s="223"/>
      <c r="L442" s="431">
        <f t="shared" si="19"/>
        <v>0</v>
      </c>
      <c r="M442" s="227"/>
      <c r="P442" s="12"/>
      <c r="Q442" s="12"/>
      <c r="R442" s="12"/>
      <c r="S442" s="431">
        <f t="shared" si="20"/>
        <v>0</v>
      </c>
    </row>
    <row r="443" spans="1:19" x14ac:dyDescent="0.25">
      <c r="A443" s="11"/>
      <c r="B443" s="11"/>
      <c r="C443" s="12"/>
      <c r="D443" s="12"/>
      <c r="E443" s="431">
        <f t="shared" si="18"/>
        <v>0</v>
      </c>
      <c r="H443" s="223"/>
      <c r="I443" s="223"/>
      <c r="J443" s="223"/>
      <c r="K443" s="223"/>
      <c r="L443" s="431">
        <f t="shared" si="19"/>
        <v>0</v>
      </c>
      <c r="M443" s="227"/>
      <c r="P443" s="12"/>
      <c r="Q443" s="12"/>
      <c r="R443" s="12"/>
      <c r="S443" s="431">
        <f t="shared" si="20"/>
        <v>0</v>
      </c>
    </row>
    <row r="444" spans="1:19" x14ac:dyDescent="0.25">
      <c r="A444" s="11"/>
      <c r="B444" s="11"/>
      <c r="C444" s="12"/>
      <c r="D444" s="12"/>
      <c r="E444" s="431">
        <f t="shared" si="18"/>
        <v>0</v>
      </c>
      <c r="H444" s="223"/>
      <c r="I444" s="223"/>
      <c r="J444" s="223"/>
      <c r="K444" s="223"/>
      <c r="L444" s="431">
        <f t="shared" si="19"/>
        <v>0</v>
      </c>
      <c r="M444" s="227"/>
      <c r="P444" s="12"/>
      <c r="Q444" s="12"/>
      <c r="R444" s="12"/>
      <c r="S444" s="431">
        <f t="shared" si="20"/>
        <v>0</v>
      </c>
    </row>
    <row r="445" spans="1:19" x14ac:dyDescent="0.25">
      <c r="A445" s="11"/>
      <c r="B445" s="11"/>
      <c r="C445" s="12"/>
      <c r="D445" s="12"/>
      <c r="E445" s="431">
        <f t="shared" si="18"/>
        <v>0</v>
      </c>
      <c r="H445" s="223"/>
      <c r="I445" s="223"/>
      <c r="J445" s="223"/>
      <c r="K445" s="223"/>
      <c r="L445" s="431">
        <f t="shared" si="19"/>
        <v>0</v>
      </c>
      <c r="M445" s="227"/>
      <c r="P445" s="12"/>
      <c r="Q445" s="12"/>
      <c r="R445" s="12"/>
      <c r="S445" s="431">
        <f t="shared" si="20"/>
        <v>0</v>
      </c>
    </row>
    <row r="446" spans="1:19" x14ac:dyDescent="0.25">
      <c r="A446" s="11"/>
      <c r="B446" s="11"/>
      <c r="C446" s="12"/>
      <c r="D446" s="12"/>
      <c r="E446" s="431">
        <f t="shared" si="18"/>
        <v>0</v>
      </c>
      <c r="H446" s="223"/>
      <c r="I446" s="223"/>
      <c r="J446" s="223"/>
      <c r="K446" s="223"/>
      <c r="L446" s="431">
        <f t="shared" si="19"/>
        <v>0</v>
      </c>
      <c r="M446" s="227"/>
      <c r="P446" s="12"/>
      <c r="Q446" s="12"/>
      <c r="R446" s="12"/>
      <c r="S446" s="431">
        <f t="shared" si="20"/>
        <v>0</v>
      </c>
    </row>
    <row r="447" spans="1:19" x14ac:dyDescent="0.25">
      <c r="A447" s="11"/>
      <c r="B447" s="11"/>
      <c r="C447" s="12"/>
      <c r="D447" s="12"/>
      <c r="E447" s="431">
        <f t="shared" si="18"/>
        <v>0</v>
      </c>
      <c r="H447" s="223"/>
      <c r="I447" s="223"/>
      <c r="J447" s="223"/>
      <c r="K447" s="223"/>
      <c r="L447" s="431">
        <f t="shared" si="19"/>
        <v>0</v>
      </c>
      <c r="M447" s="227"/>
      <c r="P447" s="12"/>
      <c r="Q447" s="12"/>
      <c r="R447" s="12"/>
      <c r="S447" s="431">
        <f t="shared" si="20"/>
        <v>0</v>
      </c>
    </row>
    <row r="448" spans="1:19" x14ac:dyDescent="0.25">
      <c r="A448" s="11"/>
      <c r="B448" s="11"/>
      <c r="C448" s="12"/>
      <c r="D448" s="12"/>
      <c r="E448" s="431">
        <f t="shared" si="18"/>
        <v>0</v>
      </c>
      <c r="H448" s="223"/>
      <c r="I448" s="223"/>
      <c r="J448" s="223"/>
      <c r="K448" s="223"/>
      <c r="L448" s="431">
        <f t="shared" si="19"/>
        <v>0</v>
      </c>
      <c r="M448" s="227"/>
      <c r="P448" s="12"/>
      <c r="Q448" s="12"/>
      <c r="R448" s="12"/>
      <c r="S448" s="431">
        <f t="shared" si="20"/>
        <v>0</v>
      </c>
    </row>
    <row r="449" spans="1:19" x14ac:dyDescent="0.25">
      <c r="A449" s="11"/>
      <c r="B449" s="11"/>
      <c r="C449" s="12"/>
      <c r="D449" s="12"/>
      <c r="E449" s="431">
        <f t="shared" si="18"/>
        <v>0</v>
      </c>
      <c r="H449" s="223"/>
      <c r="I449" s="223"/>
      <c r="J449" s="223"/>
      <c r="K449" s="223"/>
      <c r="L449" s="431">
        <f t="shared" si="19"/>
        <v>0</v>
      </c>
      <c r="M449" s="227"/>
      <c r="P449" s="12"/>
      <c r="Q449" s="12"/>
      <c r="R449" s="12"/>
      <c r="S449" s="431">
        <f t="shared" si="20"/>
        <v>0</v>
      </c>
    </row>
    <row r="450" spans="1:19" x14ac:dyDescent="0.25">
      <c r="A450" s="11"/>
      <c r="B450" s="11"/>
      <c r="C450" s="12"/>
      <c r="D450" s="12"/>
      <c r="E450" s="431">
        <f t="shared" si="18"/>
        <v>0</v>
      </c>
      <c r="H450" s="223"/>
      <c r="I450" s="223"/>
      <c r="J450" s="223"/>
      <c r="K450" s="223"/>
      <c r="L450" s="431">
        <f t="shared" si="19"/>
        <v>0</v>
      </c>
      <c r="M450" s="227"/>
      <c r="P450" s="12"/>
      <c r="Q450" s="12"/>
      <c r="R450" s="12"/>
      <c r="S450" s="431">
        <f t="shared" si="20"/>
        <v>0</v>
      </c>
    </row>
    <row r="451" spans="1:19" x14ac:dyDescent="0.25">
      <c r="A451" s="11"/>
      <c r="B451" s="11"/>
      <c r="C451" s="12"/>
      <c r="D451" s="12"/>
      <c r="E451" s="431">
        <f t="shared" si="18"/>
        <v>0</v>
      </c>
      <c r="H451" s="223"/>
      <c r="I451" s="223"/>
      <c r="J451" s="223"/>
      <c r="K451" s="223"/>
      <c r="L451" s="431">
        <f t="shared" si="19"/>
        <v>0</v>
      </c>
      <c r="M451" s="227"/>
      <c r="P451" s="12"/>
      <c r="Q451" s="12"/>
      <c r="R451" s="12"/>
      <c r="S451" s="431">
        <f t="shared" si="20"/>
        <v>0</v>
      </c>
    </row>
    <row r="452" spans="1:19" x14ac:dyDescent="0.25">
      <c r="A452" s="11"/>
      <c r="B452" s="11"/>
      <c r="C452" s="12"/>
      <c r="D452" s="12"/>
      <c r="E452" s="431">
        <f t="shared" ref="E452:E515" si="21">+D452/100</f>
        <v>0</v>
      </c>
      <c r="H452" s="223"/>
      <c r="I452" s="223"/>
      <c r="J452" s="223"/>
      <c r="K452" s="223"/>
      <c r="L452" s="431">
        <f t="shared" ref="L452:L515" si="22">+K452/100</f>
        <v>0</v>
      </c>
      <c r="M452" s="227"/>
      <c r="P452" s="12"/>
      <c r="Q452" s="12"/>
      <c r="R452" s="12"/>
      <c r="S452" s="431">
        <f t="shared" ref="S452:S515" si="23">+R452/100</f>
        <v>0</v>
      </c>
    </row>
    <row r="453" spans="1:19" x14ac:dyDescent="0.25">
      <c r="A453" s="11"/>
      <c r="B453" s="11"/>
      <c r="C453" s="12"/>
      <c r="D453" s="12"/>
      <c r="E453" s="431">
        <f t="shared" si="21"/>
        <v>0</v>
      </c>
      <c r="H453" s="223"/>
      <c r="I453" s="223"/>
      <c r="J453" s="223"/>
      <c r="K453" s="223"/>
      <c r="L453" s="431">
        <f t="shared" si="22"/>
        <v>0</v>
      </c>
      <c r="M453" s="227"/>
      <c r="P453" s="12"/>
      <c r="Q453" s="12"/>
      <c r="R453" s="12"/>
      <c r="S453" s="431">
        <f t="shared" si="23"/>
        <v>0</v>
      </c>
    </row>
    <row r="454" spans="1:19" x14ac:dyDescent="0.25">
      <c r="A454" s="11"/>
      <c r="B454" s="11"/>
      <c r="C454" s="12"/>
      <c r="D454" s="12"/>
      <c r="E454" s="431">
        <f t="shared" si="21"/>
        <v>0</v>
      </c>
      <c r="H454" s="223"/>
      <c r="I454" s="223"/>
      <c r="J454" s="223"/>
      <c r="K454" s="223"/>
      <c r="L454" s="431">
        <f t="shared" si="22"/>
        <v>0</v>
      </c>
      <c r="M454" s="227"/>
      <c r="P454" s="12"/>
      <c r="Q454" s="12"/>
      <c r="R454" s="12"/>
      <c r="S454" s="431">
        <f t="shared" si="23"/>
        <v>0</v>
      </c>
    </row>
    <row r="455" spans="1:19" x14ac:dyDescent="0.25">
      <c r="A455" s="11"/>
      <c r="B455" s="11"/>
      <c r="C455" s="12"/>
      <c r="D455" s="12"/>
      <c r="E455" s="431">
        <f t="shared" si="21"/>
        <v>0</v>
      </c>
      <c r="H455" s="223"/>
      <c r="I455" s="223"/>
      <c r="J455" s="223"/>
      <c r="K455" s="223"/>
      <c r="L455" s="431">
        <f t="shared" si="22"/>
        <v>0</v>
      </c>
      <c r="M455" s="227"/>
      <c r="P455" s="12"/>
      <c r="Q455" s="12"/>
      <c r="R455" s="12"/>
      <c r="S455" s="431">
        <f t="shared" si="23"/>
        <v>0</v>
      </c>
    </row>
    <row r="456" spans="1:19" x14ac:dyDescent="0.25">
      <c r="A456" s="11"/>
      <c r="B456" s="11"/>
      <c r="C456" s="12"/>
      <c r="D456" s="12"/>
      <c r="E456" s="431">
        <f t="shared" si="21"/>
        <v>0</v>
      </c>
      <c r="H456" s="223"/>
      <c r="I456" s="223"/>
      <c r="J456" s="223"/>
      <c r="K456" s="223"/>
      <c r="L456" s="431">
        <f t="shared" si="22"/>
        <v>0</v>
      </c>
      <c r="M456" s="227"/>
      <c r="P456" s="12"/>
      <c r="Q456" s="12"/>
      <c r="R456" s="12"/>
      <c r="S456" s="431">
        <f t="shared" si="23"/>
        <v>0</v>
      </c>
    </row>
    <row r="457" spans="1:19" x14ac:dyDescent="0.25">
      <c r="A457" s="11"/>
      <c r="B457" s="11"/>
      <c r="C457" s="12"/>
      <c r="D457" s="12"/>
      <c r="E457" s="431">
        <f t="shared" si="21"/>
        <v>0</v>
      </c>
      <c r="H457" s="223"/>
      <c r="I457" s="223"/>
      <c r="J457" s="223"/>
      <c r="K457" s="223"/>
      <c r="L457" s="431">
        <f t="shared" si="22"/>
        <v>0</v>
      </c>
      <c r="M457" s="227"/>
      <c r="P457" s="12"/>
      <c r="Q457" s="12"/>
      <c r="R457" s="12"/>
      <c r="S457" s="431">
        <f t="shared" si="23"/>
        <v>0</v>
      </c>
    </row>
    <row r="458" spans="1:19" x14ac:dyDescent="0.25">
      <c r="A458" s="11"/>
      <c r="B458" s="11"/>
      <c r="C458" s="12"/>
      <c r="D458" s="12"/>
      <c r="E458" s="431">
        <f t="shared" si="21"/>
        <v>0</v>
      </c>
      <c r="H458" s="223"/>
      <c r="I458" s="223"/>
      <c r="J458" s="223"/>
      <c r="K458" s="223"/>
      <c r="L458" s="431">
        <f t="shared" si="22"/>
        <v>0</v>
      </c>
      <c r="M458" s="227"/>
      <c r="P458" s="12"/>
      <c r="Q458" s="12"/>
      <c r="R458" s="12"/>
      <c r="S458" s="431">
        <f t="shared" si="23"/>
        <v>0</v>
      </c>
    </row>
    <row r="459" spans="1:19" x14ac:dyDescent="0.25">
      <c r="A459" s="11"/>
      <c r="B459" s="11"/>
      <c r="C459" s="12"/>
      <c r="D459" s="12"/>
      <c r="E459" s="431">
        <f t="shared" si="21"/>
        <v>0</v>
      </c>
      <c r="H459" s="223"/>
      <c r="I459" s="223"/>
      <c r="J459" s="223"/>
      <c r="K459" s="223"/>
      <c r="L459" s="431">
        <f t="shared" si="22"/>
        <v>0</v>
      </c>
      <c r="M459" s="227"/>
      <c r="P459" s="12"/>
      <c r="Q459" s="12"/>
      <c r="R459" s="12"/>
      <c r="S459" s="431">
        <f t="shared" si="23"/>
        <v>0</v>
      </c>
    </row>
    <row r="460" spans="1:19" x14ac:dyDescent="0.25">
      <c r="A460" s="11"/>
      <c r="B460" s="11"/>
      <c r="C460" s="12"/>
      <c r="D460" s="12"/>
      <c r="E460" s="431">
        <f t="shared" si="21"/>
        <v>0</v>
      </c>
      <c r="H460" s="223"/>
      <c r="I460" s="223"/>
      <c r="J460" s="223"/>
      <c r="K460" s="223"/>
      <c r="L460" s="431">
        <f t="shared" si="22"/>
        <v>0</v>
      </c>
      <c r="M460" s="227"/>
      <c r="P460" s="12"/>
      <c r="Q460" s="12"/>
      <c r="R460" s="12"/>
      <c r="S460" s="431">
        <f t="shared" si="23"/>
        <v>0</v>
      </c>
    </row>
    <row r="461" spans="1:19" x14ac:dyDescent="0.25">
      <c r="A461" s="11"/>
      <c r="B461" s="11"/>
      <c r="C461" s="12"/>
      <c r="D461" s="12"/>
      <c r="E461" s="431">
        <f t="shared" si="21"/>
        <v>0</v>
      </c>
      <c r="H461" s="223"/>
      <c r="I461" s="223"/>
      <c r="J461" s="223"/>
      <c r="K461" s="223"/>
      <c r="L461" s="431">
        <f t="shared" si="22"/>
        <v>0</v>
      </c>
      <c r="M461" s="227"/>
      <c r="P461" s="12"/>
      <c r="Q461" s="12"/>
      <c r="R461" s="12"/>
      <c r="S461" s="431">
        <f t="shared" si="23"/>
        <v>0</v>
      </c>
    </row>
    <row r="462" spans="1:19" x14ac:dyDescent="0.25">
      <c r="A462" s="11"/>
      <c r="B462" s="11"/>
      <c r="C462" s="12"/>
      <c r="D462" s="12"/>
      <c r="E462" s="431">
        <f t="shared" si="21"/>
        <v>0</v>
      </c>
      <c r="H462" s="223"/>
      <c r="I462" s="223"/>
      <c r="J462" s="223"/>
      <c r="K462" s="223"/>
      <c r="L462" s="431">
        <f t="shared" si="22"/>
        <v>0</v>
      </c>
      <c r="M462" s="227"/>
      <c r="P462" s="12"/>
      <c r="Q462" s="12"/>
      <c r="R462" s="12"/>
      <c r="S462" s="431">
        <f t="shared" si="23"/>
        <v>0</v>
      </c>
    </row>
    <row r="463" spans="1:19" x14ac:dyDescent="0.25">
      <c r="A463" s="11"/>
      <c r="B463" s="11"/>
      <c r="C463" s="12"/>
      <c r="D463" s="12"/>
      <c r="E463" s="431">
        <f t="shared" si="21"/>
        <v>0</v>
      </c>
      <c r="H463" s="223"/>
      <c r="I463" s="223"/>
      <c r="J463" s="223"/>
      <c r="K463" s="223"/>
      <c r="L463" s="431">
        <f t="shared" si="22"/>
        <v>0</v>
      </c>
      <c r="M463" s="227"/>
      <c r="P463" s="12"/>
      <c r="Q463" s="12"/>
      <c r="R463" s="12"/>
      <c r="S463" s="431">
        <f t="shared" si="23"/>
        <v>0</v>
      </c>
    </row>
    <row r="464" spans="1:19" x14ac:dyDescent="0.25">
      <c r="A464" s="11"/>
      <c r="B464" s="11"/>
      <c r="C464" s="12"/>
      <c r="D464" s="12"/>
      <c r="E464" s="431">
        <f t="shared" si="21"/>
        <v>0</v>
      </c>
      <c r="H464" s="223"/>
      <c r="I464" s="223"/>
      <c r="J464" s="223"/>
      <c r="K464" s="223"/>
      <c r="L464" s="431">
        <f t="shared" si="22"/>
        <v>0</v>
      </c>
      <c r="M464" s="227"/>
      <c r="P464" s="12"/>
      <c r="Q464" s="12"/>
      <c r="R464" s="12"/>
      <c r="S464" s="431">
        <f t="shared" si="23"/>
        <v>0</v>
      </c>
    </row>
    <row r="465" spans="1:19" x14ac:dyDescent="0.25">
      <c r="A465" s="11"/>
      <c r="B465" s="11"/>
      <c r="C465" s="12"/>
      <c r="D465" s="12"/>
      <c r="E465" s="431">
        <f t="shared" si="21"/>
        <v>0</v>
      </c>
      <c r="H465" s="223"/>
      <c r="I465" s="223"/>
      <c r="J465" s="223"/>
      <c r="K465" s="223"/>
      <c r="L465" s="431">
        <f t="shared" si="22"/>
        <v>0</v>
      </c>
      <c r="M465" s="227"/>
      <c r="P465" s="12"/>
      <c r="Q465" s="12"/>
      <c r="R465" s="12"/>
      <c r="S465" s="431">
        <f t="shared" si="23"/>
        <v>0</v>
      </c>
    </row>
    <row r="466" spans="1:19" x14ac:dyDescent="0.25">
      <c r="A466" s="11"/>
      <c r="B466" s="11"/>
      <c r="C466" s="12"/>
      <c r="D466" s="12"/>
      <c r="E466" s="431">
        <f t="shared" si="21"/>
        <v>0</v>
      </c>
      <c r="H466" s="223"/>
      <c r="I466" s="223"/>
      <c r="J466" s="223"/>
      <c r="K466" s="223"/>
      <c r="L466" s="431">
        <f t="shared" si="22"/>
        <v>0</v>
      </c>
      <c r="M466" s="227"/>
      <c r="P466" s="12"/>
      <c r="Q466" s="12"/>
      <c r="R466" s="12"/>
      <c r="S466" s="431">
        <f t="shared" si="23"/>
        <v>0</v>
      </c>
    </row>
    <row r="467" spans="1:19" x14ac:dyDescent="0.25">
      <c r="A467" s="11"/>
      <c r="B467" s="11"/>
      <c r="C467" s="12"/>
      <c r="D467" s="12"/>
      <c r="E467" s="431">
        <f t="shared" si="21"/>
        <v>0</v>
      </c>
      <c r="H467" s="223"/>
      <c r="I467" s="223"/>
      <c r="J467" s="223"/>
      <c r="K467" s="223"/>
      <c r="L467" s="431">
        <f t="shared" si="22"/>
        <v>0</v>
      </c>
      <c r="M467" s="227"/>
      <c r="P467" s="12"/>
      <c r="Q467" s="12"/>
      <c r="R467" s="12"/>
      <c r="S467" s="431">
        <f t="shared" si="23"/>
        <v>0</v>
      </c>
    </row>
    <row r="468" spans="1:19" x14ac:dyDescent="0.25">
      <c r="A468" s="11"/>
      <c r="B468" s="11"/>
      <c r="C468" s="12"/>
      <c r="D468" s="12"/>
      <c r="E468" s="431">
        <f t="shared" si="21"/>
        <v>0</v>
      </c>
      <c r="H468" s="223"/>
      <c r="I468" s="223"/>
      <c r="J468" s="223"/>
      <c r="K468" s="223"/>
      <c r="L468" s="431">
        <f t="shared" si="22"/>
        <v>0</v>
      </c>
      <c r="M468" s="227"/>
      <c r="P468" s="12"/>
      <c r="Q468" s="12"/>
      <c r="R468" s="12"/>
      <c r="S468" s="431">
        <f t="shared" si="23"/>
        <v>0</v>
      </c>
    </row>
    <row r="469" spans="1:19" x14ac:dyDescent="0.25">
      <c r="A469" s="11"/>
      <c r="B469" s="11"/>
      <c r="C469" s="12"/>
      <c r="D469" s="12"/>
      <c r="E469" s="431">
        <f t="shared" si="21"/>
        <v>0</v>
      </c>
      <c r="H469" s="223"/>
      <c r="I469" s="223"/>
      <c r="J469" s="223"/>
      <c r="K469" s="223"/>
      <c r="L469" s="431">
        <f t="shared" si="22"/>
        <v>0</v>
      </c>
      <c r="M469" s="227"/>
      <c r="P469" s="12"/>
      <c r="Q469" s="12"/>
      <c r="R469" s="12"/>
      <c r="S469" s="431">
        <f t="shared" si="23"/>
        <v>0</v>
      </c>
    </row>
    <row r="470" spans="1:19" x14ac:dyDescent="0.25">
      <c r="A470" s="11"/>
      <c r="B470" s="11"/>
      <c r="C470" s="12"/>
      <c r="D470" s="12"/>
      <c r="E470" s="431">
        <f t="shared" si="21"/>
        <v>0</v>
      </c>
      <c r="H470" s="223"/>
      <c r="I470" s="223"/>
      <c r="J470" s="223"/>
      <c r="K470" s="223"/>
      <c r="L470" s="431">
        <f t="shared" si="22"/>
        <v>0</v>
      </c>
      <c r="M470" s="227"/>
      <c r="P470" s="12"/>
      <c r="Q470" s="12"/>
      <c r="R470" s="12"/>
      <c r="S470" s="431">
        <f t="shared" si="23"/>
        <v>0</v>
      </c>
    </row>
    <row r="471" spans="1:19" x14ac:dyDescent="0.25">
      <c r="A471" s="11"/>
      <c r="B471" s="11"/>
      <c r="C471" s="12"/>
      <c r="D471" s="12"/>
      <c r="E471" s="431">
        <f t="shared" si="21"/>
        <v>0</v>
      </c>
      <c r="H471" s="223"/>
      <c r="I471" s="223"/>
      <c r="J471" s="223"/>
      <c r="K471" s="223"/>
      <c r="L471" s="431">
        <f t="shared" si="22"/>
        <v>0</v>
      </c>
      <c r="M471" s="227"/>
      <c r="P471" s="12"/>
      <c r="Q471" s="12"/>
      <c r="R471" s="12"/>
      <c r="S471" s="431">
        <f t="shared" si="23"/>
        <v>0</v>
      </c>
    </row>
    <row r="472" spans="1:19" x14ac:dyDescent="0.25">
      <c r="A472" s="11"/>
      <c r="B472" s="11"/>
      <c r="C472" s="12"/>
      <c r="D472" s="12"/>
      <c r="E472" s="431">
        <f t="shared" si="21"/>
        <v>0</v>
      </c>
      <c r="H472" s="223"/>
      <c r="I472" s="223"/>
      <c r="J472" s="223"/>
      <c r="K472" s="223"/>
      <c r="L472" s="431">
        <f t="shared" si="22"/>
        <v>0</v>
      </c>
      <c r="M472" s="227"/>
      <c r="P472" s="12"/>
      <c r="Q472" s="12"/>
      <c r="R472" s="12"/>
      <c r="S472" s="431">
        <f t="shared" si="23"/>
        <v>0</v>
      </c>
    </row>
    <row r="473" spans="1:19" x14ac:dyDescent="0.25">
      <c r="A473" s="11"/>
      <c r="B473" s="11"/>
      <c r="C473" s="12"/>
      <c r="D473" s="12"/>
      <c r="E473" s="431">
        <f t="shared" si="21"/>
        <v>0</v>
      </c>
      <c r="H473" s="223"/>
      <c r="I473" s="223"/>
      <c r="J473" s="223"/>
      <c r="K473" s="223"/>
      <c r="L473" s="431">
        <f t="shared" si="22"/>
        <v>0</v>
      </c>
      <c r="M473" s="227"/>
      <c r="P473" s="12"/>
      <c r="Q473" s="12"/>
      <c r="R473" s="12"/>
      <c r="S473" s="431">
        <f t="shared" si="23"/>
        <v>0</v>
      </c>
    </row>
    <row r="474" spans="1:19" x14ac:dyDescent="0.25">
      <c r="A474" s="11"/>
      <c r="B474" s="11"/>
      <c r="C474" s="12"/>
      <c r="D474" s="12"/>
      <c r="E474" s="431">
        <f t="shared" si="21"/>
        <v>0</v>
      </c>
      <c r="H474" s="223"/>
      <c r="I474" s="223"/>
      <c r="J474" s="223"/>
      <c r="K474" s="223"/>
      <c r="L474" s="431">
        <f t="shared" si="22"/>
        <v>0</v>
      </c>
      <c r="M474" s="227"/>
      <c r="P474" s="12"/>
      <c r="Q474" s="12"/>
      <c r="R474" s="12"/>
      <c r="S474" s="431">
        <f t="shared" si="23"/>
        <v>0</v>
      </c>
    </row>
    <row r="475" spans="1:19" x14ac:dyDescent="0.25">
      <c r="A475" s="11"/>
      <c r="B475" s="11"/>
      <c r="C475" s="12"/>
      <c r="D475" s="12"/>
      <c r="E475" s="431">
        <f t="shared" si="21"/>
        <v>0</v>
      </c>
      <c r="H475" s="223"/>
      <c r="I475" s="223"/>
      <c r="J475" s="223"/>
      <c r="K475" s="223"/>
      <c r="L475" s="431">
        <f t="shared" si="22"/>
        <v>0</v>
      </c>
      <c r="M475" s="227"/>
      <c r="P475" s="12"/>
      <c r="Q475" s="12"/>
      <c r="R475" s="12"/>
      <c r="S475" s="431">
        <f t="shared" si="23"/>
        <v>0</v>
      </c>
    </row>
    <row r="476" spans="1:19" x14ac:dyDescent="0.25">
      <c r="A476" s="11"/>
      <c r="B476" s="11"/>
      <c r="C476" s="12"/>
      <c r="D476" s="12"/>
      <c r="E476" s="431">
        <f t="shared" si="21"/>
        <v>0</v>
      </c>
      <c r="H476" s="223"/>
      <c r="I476" s="223"/>
      <c r="J476" s="223"/>
      <c r="K476" s="223"/>
      <c r="L476" s="431">
        <f t="shared" si="22"/>
        <v>0</v>
      </c>
      <c r="M476" s="227"/>
      <c r="P476" s="12"/>
      <c r="Q476" s="12"/>
      <c r="R476" s="12"/>
      <c r="S476" s="431">
        <f t="shared" si="23"/>
        <v>0</v>
      </c>
    </row>
    <row r="477" spans="1:19" x14ac:dyDescent="0.25">
      <c r="A477" s="11"/>
      <c r="B477" s="11"/>
      <c r="C477" s="12"/>
      <c r="D477" s="12"/>
      <c r="E477" s="431">
        <f t="shared" si="21"/>
        <v>0</v>
      </c>
      <c r="H477" s="223"/>
      <c r="I477" s="223"/>
      <c r="J477" s="223"/>
      <c r="K477" s="223"/>
      <c r="L477" s="431">
        <f t="shared" si="22"/>
        <v>0</v>
      </c>
      <c r="M477" s="227"/>
      <c r="P477" s="12"/>
      <c r="Q477" s="12"/>
      <c r="R477" s="12"/>
      <c r="S477" s="431">
        <f t="shared" si="23"/>
        <v>0</v>
      </c>
    </row>
    <row r="478" spans="1:19" x14ac:dyDescent="0.25">
      <c r="A478" s="11"/>
      <c r="B478" s="11"/>
      <c r="C478" s="12"/>
      <c r="D478" s="12"/>
      <c r="E478" s="431">
        <f t="shared" si="21"/>
        <v>0</v>
      </c>
      <c r="H478" s="223"/>
      <c r="I478" s="223"/>
      <c r="J478" s="223"/>
      <c r="K478" s="223"/>
      <c r="L478" s="431">
        <f t="shared" si="22"/>
        <v>0</v>
      </c>
      <c r="M478" s="227"/>
      <c r="P478" s="12"/>
      <c r="Q478" s="12"/>
      <c r="R478" s="12"/>
      <c r="S478" s="431">
        <f t="shared" si="23"/>
        <v>0</v>
      </c>
    </row>
    <row r="479" spans="1:19" x14ac:dyDescent="0.25">
      <c r="A479" s="11"/>
      <c r="B479" s="11"/>
      <c r="C479" s="12"/>
      <c r="D479" s="12"/>
      <c r="E479" s="431">
        <f t="shared" si="21"/>
        <v>0</v>
      </c>
      <c r="H479" s="223"/>
      <c r="I479" s="223"/>
      <c r="J479" s="223"/>
      <c r="K479" s="223"/>
      <c r="L479" s="431">
        <f t="shared" si="22"/>
        <v>0</v>
      </c>
      <c r="M479" s="227"/>
      <c r="P479" s="12"/>
      <c r="Q479" s="12"/>
      <c r="R479" s="12"/>
      <c r="S479" s="431">
        <f t="shared" si="23"/>
        <v>0</v>
      </c>
    </row>
    <row r="480" spans="1:19" x14ac:dyDescent="0.25">
      <c r="A480" s="11"/>
      <c r="B480" s="11"/>
      <c r="C480" s="12"/>
      <c r="D480" s="12"/>
      <c r="E480" s="431">
        <f t="shared" si="21"/>
        <v>0</v>
      </c>
      <c r="H480" s="223"/>
      <c r="I480" s="223"/>
      <c r="J480" s="223"/>
      <c r="K480" s="223"/>
      <c r="L480" s="431">
        <f t="shared" si="22"/>
        <v>0</v>
      </c>
      <c r="M480" s="227"/>
      <c r="P480" s="12"/>
      <c r="Q480" s="12"/>
      <c r="R480" s="12"/>
      <c r="S480" s="431">
        <f t="shared" si="23"/>
        <v>0</v>
      </c>
    </row>
    <row r="481" spans="1:19" x14ac:dyDescent="0.25">
      <c r="A481" s="11"/>
      <c r="B481" s="11"/>
      <c r="C481" s="12"/>
      <c r="D481" s="12"/>
      <c r="E481" s="431">
        <f t="shared" si="21"/>
        <v>0</v>
      </c>
      <c r="H481" s="223"/>
      <c r="I481" s="223"/>
      <c r="J481" s="223"/>
      <c r="K481" s="223"/>
      <c r="L481" s="431">
        <f t="shared" si="22"/>
        <v>0</v>
      </c>
      <c r="M481" s="227"/>
      <c r="P481" s="12"/>
      <c r="Q481" s="12"/>
      <c r="R481" s="12"/>
      <c r="S481" s="431">
        <f t="shared" si="23"/>
        <v>0</v>
      </c>
    </row>
    <row r="482" spans="1:19" x14ac:dyDescent="0.25">
      <c r="A482" s="11"/>
      <c r="B482" s="11"/>
      <c r="C482" s="12"/>
      <c r="D482" s="12"/>
      <c r="E482" s="431">
        <f t="shared" si="21"/>
        <v>0</v>
      </c>
      <c r="H482" s="223"/>
      <c r="I482" s="223"/>
      <c r="J482" s="223"/>
      <c r="K482" s="223"/>
      <c r="L482" s="431">
        <f t="shared" si="22"/>
        <v>0</v>
      </c>
      <c r="M482" s="227"/>
      <c r="P482" s="12"/>
      <c r="Q482" s="12"/>
      <c r="R482" s="12"/>
      <c r="S482" s="431">
        <f t="shared" si="23"/>
        <v>0</v>
      </c>
    </row>
    <row r="483" spans="1:19" x14ac:dyDescent="0.25">
      <c r="A483" s="11"/>
      <c r="B483" s="11"/>
      <c r="C483" s="12"/>
      <c r="D483" s="12"/>
      <c r="E483" s="431">
        <f t="shared" si="21"/>
        <v>0</v>
      </c>
      <c r="H483" s="223"/>
      <c r="I483" s="223"/>
      <c r="J483" s="223"/>
      <c r="K483" s="223"/>
      <c r="L483" s="431">
        <f t="shared" si="22"/>
        <v>0</v>
      </c>
      <c r="M483" s="227"/>
      <c r="P483" s="12"/>
      <c r="Q483" s="12"/>
      <c r="R483" s="12"/>
      <c r="S483" s="431">
        <f t="shared" si="23"/>
        <v>0</v>
      </c>
    </row>
    <row r="484" spans="1:19" x14ac:dyDescent="0.25">
      <c r="A484" s="11"/>
      <c r="B484" s="11"/>
      <c r="C484" s="12"/>
      <c r="D484" s="12"/>
      <c r="E484" s="431">
        <f t="shared" si="21"/>
        <v>0</v>
      </c>
      <c r="H484" s="223"/>
      <c r="I484" s="223"/>
      <c r="J484" s="223"/>
      <c r="K484" s="223"/>
      <c r="L484" s="431">
        <f t="shared" si="22"/>
        <v>0</v>
      </c>
      <c r="M484" s="227"/>
      <c r="P484" s="12"/>
      <c r="Q484" s="12"/>
      <c r="R484" s="12"/>
      <c r="S484" s="431">
        <f t="shared" si="23"/>
        <v>0</v>
      </c>
    </row>
    <row r="485" spans="1:19" x14ac:dyDescent="0.25">
      <c r="A485" s="11"/>
      <c r="B485" s="11"/>
      <c r="C485" s="12"/>
      <c r="D485" s="12"/>
      <c r="E485" s="431">
        <f t="shared" si="21"/>
        <v>0</v>
      </c>
      <c r="H485" s="223"/>
      <c r="I485" s="223"/>
      <c r="J485" s="223"/>
      <c r="K485" s="223"/>
      <c r="L485" s="431">
        <f t="shared" si="22"/>
        <v>0</v>
      </c>
      <c r="M485" s="227"/>
      <c r="P485" s="12"/>
      <c r="Q485" s="12"/>
      <c r="R485" s="12"/>
      <c r="S485" s="431">
        <f t="shared" si="23"/>
        <v>0</v>
      </c>
    </row>
    <row r="486" spans="1:19" x14ac:dyDescent="0.25">
      <c r="A486" s="11"/>
      <c r="B486" s="11"/>
      <c r="C486" s="12"/>
      <c r="D486" s="12"/>
      <c r="E486" s="431">
        <f t="shared" si="21"/>
        <v>0</v>
      </c>
      <c r="H486" s="223"/>
      <c r="I486" s="223"/>
      <c r="J486" s="223"/>
      <c r="K486" s="223"/>
      <c r="L486" s="431">
        <f t="shared" si="22"/>
        <v>0</v>
      </c>
      <c r="M486" s="227"/>
      <c r="P486" s="12"/>
      <c r="Q486" s="12"/>
      <c r="R486" s="12"/>
      <c r="S486" s="431">
        <f t="shared" si="23"/>
        <v>0</v>
      </c>
    </row>
    <row r="487" spans="1:19" x14ac:dyDescent="0.25">
      <c r="A487" s="11"/>
      <c r="B487" s="11"/>
      <c r="C487" s="12"/>
      <c r="D487" s="12"/>
      <c r="E487" s="431">
        <f t="shared" si="21"/>
        <v>0</v>
      </c>
      <c r="H487" s="223"/>
      <c r="I487" s="223"/>
      <c r="J487" s="223"/>
      <c r="K487" s="223"/>
      <c r="L487" s="431">
        <f t="shared" si="22"/>
        <v>0</v>
      </c>
      <c r="M487" s="227"/>
      <c r="P487" s="12"/>
      <c r="Q487" s="12"/>
      <c r="R487" s="12"/>
      <c r="S487" s="431">
        <f t="shared" si="23"/>
        <v>0</v>
      </c>
    </row>
    <row r="488" spans="1:19" x14ac:dyDescent="0.25">
      <c r="A488" s="11"/>
      <c r="B488" s="11"/>
      <c r="C488" s="12"/>
      <c r="D488" s="12"/>
      <c r="E488" s="431">
        <f t="shared" si="21"/>
        <v>0</v>
      </c>
      <c r="H488" s="223"/>
      <c r="I488" s="223"/>
      <c r="J488" s="223"/>
      <c r="K488" s="223"/>
      <c r="L488" s="431">
        <f t="shared" si="22"/>
        <v>0</v>
      </c>
      <c r="M488" s="227"/>
      <c r="P488" s="12"/>
      <c r="Q488" s="12"/>
      <c r="R488" s="12"/>
      <c r="S488" s="431">
        <f t="shared" si="23"/>
        <v>0</v>
      </c>
    </row>
    <row r="489" spans="1:19" x14ac:dyDescent="0.25">
      <c r="A489" s="11"/>
      <c r="B489" s="11"/>
      <c r="C489" s="12"/>
      <c r="D489" s="12"/>
      <c r="E489" s="431">
        <f t="shared" si="21"/>
        <v>0</v>
      </c>
      <c r="H489" s="223"/>
      <c r="I489" s="223"/>
      <c r="J489" s="223"/>
      <c r="K489" s="223"/>
      <c r="L489" s="431">
        <f t="shared" si="22"/>
        <v>0</v>
      </c>
      <c r="M489" s="227"/>
      <c r="P489" s="12"/>
      <c r="Q489" s="12"/>
      <c r="R489" s="12"/>
      <c r="S489" s="431">
        <f t="shared" si="23"/>
        <v>0</v>
      </c>
    </row>
    <row r="490" spans="1:19" x14ac:dyDescent="0.25">
      <c r="A490" s="11"/>
      <c r="B490" s="11"/>
      <c r="C490" s="12"/>
      <c r="D490" s="12"/>
      <c r="E490" s="431">
        <f t="shared" si="21"/>
        <v>0</v>
      </c>
      <c r="H490" s="223"/>
      <c r="I490" s="223"/>
      <c r="J490" s="223"/>
      <c r="K490" s="223"/>
      <c r="L490" s="431">
        <f t="shared" si="22"/>
        <v>0</v>
      </c>
      <c r="M490" s="227"/>
      <c r="P490" s="12"/>
      <c r="Q490" s="12"/>
      <c r="R490" s="12"/>
      <c r="S490" s="431">
        <f t="shared" si="23"/>
        <v>0</v>
      </c>
    </row>
    <row r="491" spans="1:19" x14ac:dyDescent="0.25">
      <c r="A491" s="11"/>
      <c r="B491" s="11"/>
      <c r="C491" s="12"/>
      <c r="D491" s="12"/>
      <c r="E491" s="431">
        <f t="shared" si="21"/>
        <v>0</v>
      </c>
      <c r="H491" s="223"/>
      <c r="I491" s="223"/>
      <c r="J491" s="223"/>
      <c r="K491" s="223"/>
      <c r="L491" s="431">
        <f t="shared" si="22"/>
        <v>0</v>
      </c>
      <c r="M491" s="227"/>
      <c r="P491" s="12"/>
      <c r="Q491" s="12"/>
      <c r="R491" s="12"/>
      <c r="S491" s="431">
        <f t="shared" si="23"/>
        <v>0</v>
      </c>
    </row>
    <row r="492" spans="1:19" x14ac:dyDescent="0.25">
      <c r="A492" s="11"/>
      <c r="B492" s="11"/>
      <c r="C492" s="12"/>
      <c r="D492" s="12"/>
      <c r="E492" s="431">
        <f t="shared" si="21"/>
        <v>0</v>
      </c>
      <c r="H492" s="223"/>
      <c r="I492" s="223"/>
      <c r="J492" s="223"/>
      <c r="K492" s="223"/>
      <c r="L492" s="431">
        <f t="shared" si="22"/>
        <v>0</v>
      </c>
      <c r="M492" s="227"/>
      <c r="P492" s="12"/>
      <c r="Q492" s="12"/>
      <c r="R492" s="12"/>
      <c r="S492" s="431">
        <f t="shared" si="23"/>
        <v>0</v>
      </c>
    </row>
    <row r="493" spans="1:19" x14ac:dyDescent="0.25">
      <c r="A493" s="11"/>
      <c r="B493" s="11"/>
      <c r="C493" s="12"/>
      <c r="D493" s="12"/>
      <c r="E493" s="431">
        <f t="shared" si="21"/>
        <v>0</v>
      </c>
      <c r="H493" s="223"/>
      <c r="I493" s="223"/>
      <c r="J493" s="223"/>
      <c r="K493" s="223"/>
      <c r="L493" s="431">
        <f t="shared" si="22"/>
        <v>0</v>
      </c>
      <c r="M493" s="227"/>
      <c r="P493" s="12"/>
      <c r="Q493" s="12"/>
      <c r="R493" s="12"/>
      <c r="S493" s="431">
        <f t="shared" si="23"/>
        <v>0</v>
      </c>
    </row>
    <row r="494" spans="1:19" x14ac:dyDescent="0.25">
      <c r="A494" s="11"/>
      <c r="B494" s="11"/>
      <c r="C494" s="12"/>
      <c r="D494" s="12"/>
      <c r="E494" s="431">
        <f t="shared" si="21"/>
        <v>0</v>
      </c>
      <c r="H494" s="223"/>
      <c r="I494" s="223"/>
      <c r="J494" s="223"/>
      <c r="K494" s="223"/>
      <c r="L494" s="431">
        <f t="shared" si="22"/>
        <v>0</v>
      </c>
      <c r="M494" s="227"/>
      <c r="P494" s="12"/>
      <c r="Q494" s="12"/>
      <c r="R494" s="12"/>
      <c r="S494" s="431">
        <f t="shared" si="23"/>
        <v>0</v>
      </c>
    </row>
    <row r="495" spans="1:19" x14ac:dyDescent="0.25">
      <c r="A495" s="11"/>
      <c r="B495" s="11"/>
      <c r="C495" s="12"/>
      <c r="D495" s="12"/>
      <c r="E495" s="431">
        <f t="shared" si="21"/>
        <v>0</v>
      </c>
      <c r="H495" s="223"/>
      <c r="I495" s="223"/>
      <c r="J495" s="223"/>
      <c r="K495" s="223"/>
      <c r="L495" s="431">
        <f t="shared" si="22"/>
        <v>0</v>
      </c>
      <c r="M495" s="227"/>
      <c r="P495" s="12"/>
      <c r="Q495" s="12"/>
      <c r="R495" s="12"/>
      <c r="S495" s="431">
        <f t="shared" si="23"/>
        <v>0</v>
      </c>
    </row>
    <row r="496" spans="1:19" x14ac:dyDescent="0.25">
      <c r="A496" s="11"/>
      <c r="B496" s="11"/>
      <c r="C496" s="12"/>
      <c r="D496" s="12"/>
      <c r="E496" s="431">
        <f t="shared" si="21"/>
        <v>0</v>
      </c>
      <c r="H496" s="223"/>
      <c r="I496" s="223"/>
      <c r="J496" s="223"/>
      <c r="K496" s="223"/>
      <c r="L496" s="431">
        <f t="shared" si="22"/>
        <v>0</v>
      </c>
      <c r="M496" s="227"/>
      <c r="P496" s="12"/>
      <c r="Q496" s="12"/>
      <c r="R496" s="12"/>
      <c r="S496" s="431">
        <f t="shared" si="23"/>
        <v>0</v>
      </c>
    </row>
    <row r="497" spans="1:19" x14ac:dyDescent="0.25">
      <c r="A497" s="11"/>
      <c r="B497" s="11"/>
      <c r="C497" s="12"/>
      <c r="D497" s="12"/>
      <c r="E497" s="431">
        <f t="shared" si="21"/>
        <v>0</v>
      </c>
      <c r="H497" s="223"/>
      <c r="I497" s="223"/>
      <c r="J497" s="223"/>
      <c r="K497" s="223"/>
      <c r="L497" s="431">
        <f t="shared" si="22"/>
        <v>0</v>
      </c>
      <c r="M497" s="227"/>
      <c r="P497" s="12"/>
      <c r="Q497" s="12"/>
      <c r="R497" s="12"/>
      <c r="S497" s="431">
        <f t="shared" si="23"/>
        <v>0</v>
      </c>
    </row>
    <row r="498" spans="1:19" x14ac:dyDescent="0.25">
      <c r="A498" s="11"/>
      <c r="B498" s="11"/>
      <c r="C498" s="12"/>
      <c r="D498" s="12"/>
      <c r="E498" s="431">
        <f t="shared" si="21"/>
        <v>0</v>
      </c>
      <c r="H498" s="223"/>
      <c r="I498" s="223"/>
      <c r="J498" s="223"/>
      <c r="K498" s="223"/>
      <c r="L498" s="431">
        <f t="shared" si="22"/>
        <v>0</v>
      </c>
      <c r="M498" s="227"/>
      <c r="P498" s="12"/>
      <c r="Q498" s="12"/>
      <c r="R498" s="12"/>
      <c r="S498" s="431">
        <f t="shared" si="23"/>
        <v>0</v>
      </c>
    </row>
    <row r="499" spans="1:19" x14ac:dyDescent="0.25">
      <c r="A499" s="11"/>
      <c r="B499" s="11"/>
      <c r="C499" s="12"/>
      <c r="D499" s="12"/>
      <c r="E499" s="431">
        <f t="shared" si="21"/>
        <v>0</v>
      </c>
      <c r="H499" s="223"/>
      <c r="I499" s="223"/>
      <c r="J499" s="223"/>
      <c r="K499" s="223"/>
      <c r="L499" s="431">
        <f t="shared" si="22"/>
        <v>0</v>
      </c>
      <c r="M499" s="227"/>
      <c r="P499" s="12"/>
      <c r="Q499" s="12"/>
      <c r="R499" s="12"/>
      <c r="S499" s="431">
        <f t="shared" si="23"/>
        <v>0</v>
      </c>
    </row>
    <row r="500" spans="1:19" x14ac:dyDescent="0.25">
      <c r="A500" s="11"/>
      <c r="B500" s="11"/>
      <c r="C500" s="12"/>
      <c r="D500" s="12"/>
      <c r="E500" s="431">
        <f t="shared" si="21"/>
        <v>0</v>
      </c>
      <c r="H500" s="223"/>
      <c r="I500" s="223"/>
      <c r="J500" s="223"/>
      <c r="K500" s="223"/>
      <c r="L500" s="431">
        <f t="shared" si="22"/>
        <v>0</v>
      </c>
      <c r="M500" s="227"/>
      <c r="P500" s="12"/>
      <c r="Q500" s="12"/>
      <c r="R500" s="12"/>
      <c r="S500" s="431">
        <f t="shared" si="23"/>
        <v>0</v>
      </c>
    </row>
    <row r="501" spans="1:19" x14ac:dyDescent="0.25">
      <c r="A501" s="11"/>
      <c r="B501" s="11"/>
      <c r="C501" s="12"/>
      <c r="D501" s="12"/>
      <c r="E501" s="431">
        <f t="shared" si="21"/>
        <v>0</v>
      </c>
      <c r="H501" s="223"/>
      <c r="I501" s="223"/>
      <c r="J501" s="223"/>
      <c r="K501" s="223"/>
      <c r="L501" s="431">
        <f t="shared" si="22"/>
        <v>0</v>
      </c>
      <c r="M501" s="227"/>
      <c r="P501" s="12"/>
      <c r="Q501" s="12"/>
      <c r="R501" s="12"/>
      <c r="S501" s="431">
        <f t="shared" si="23"/>
        <v>0</v>
      </c>
    </row>
    <row r="502" spans="1:19" x14ac:dyDescent="0.25">
      <c r="A502" s="11"/>
      <c r="B502" s="11"/>
      <c r="C502" s="12"/>
      <c r="D502" s="12"/>
      <c r="E502" s="431">
        <f t="shared" si="21"/>
        <v>0</v>
      </c>
      <c r="H502" s="223"/>
      <c r="I502" s="223"/>
      <c r="J502" s="223"/>
      <c r="K502" s="223"/>
      <c r="L502" s="431">
        <f t="shared" si="22"/>
        <v>0</v>
      </c>
      <c r="M502" s="227"/>
      <c r="P502" s="12"/>
      <c r="Q502" s="12"/>
      <c r="R502" s="12"/>
      <c r="S502" s="431">
        <f t="shared" si="23"/>
        <v>0</v>
      </c>
    </row>
    <row r="503" spans="1:19" x14ac:dyDescent="0.25">
      <c r="A503" s="11"/>
      <c r="B503" s="11"/>
      <c r="C503" s="12"/>
      <c r="D503" s="12"/>
      <c r="E503" s="431">
        <f t="shared" si="21"/>
        <v>0</v>
      </c>
      <c r="H503" s="223"/>
      <c r="I503" s="223"/>
      <c r="J503" s="223"/>
      <c r="K503" s="223"/>
      <c r="L503" s="431">
        <f t="shared" si="22"/>
        <v>0</v>
      </c>
      <c r="M503" s="227"/>
      <c r="P503" s="12"/>
      <c r="Q503" s="12"/>
      <c r="R503" s="12"/>
      <c r="S503" s="431">
        <f t="shared" si="23"/>
        <v>0</v>
      </c>
    </row>
    <row r="504" spans="1:19" x14ac:dyDescent="0.25">
      <c r="A504" s="11"/>
      <c r="B504" s="11"/>
      <c r="C504" s="12"/>
      <c r="D504" s="12"/>
      <c r="E504" s="431">
        <f t="shared" si="21"/>
        <v>0</v>
      </c>
      <c r="H504" s="223"/>
      <c r="I504" s="223"/>
      <c r="J504" s="223"/>
      <c r="K504" s="223"/>
      <c r="L504" s="431">
        <f t="shared" si="22"/>
        <v>0</v>
      </c>
      <c r="M504" s="227"/>
      <c r="P504" s="12"/>
      <c r="Q504" s="12"/>
      <c r="R504" s="12"/>
      <c r="S504" s="431">
        <f t="shared" si="23"/>
        <v>0</v>
      </c>
    </row>
    <row r="505" spans="1:19" x14ac:dyDescent="0.25">
      <c r="A505" s="11"/>
      <c r="B505" s="11"/>
      <c r="C505" s="12"/>
      <c r="D505" s="12"/>
      <c r="E505" s="431">
        <f t="shared" si="21"/>
        <v>0</v>
      </c>
      <c r="H505" s="223"/>
      <c r="I505" s="223"/>
      <c r="J505" s="223"/>
      <c r="K505" s="223"/>
      <c r="L505" s="431">
        <f t="shared" si="22"/>
        <v>0</v>
      </c>
      <c r="M505" s="227"/>
      <c r="P505" s="12"/>
      <c r="Q505" s="12"/>
      <c r="R505" s="12"/>
      <c r="S505" s="431">
        <f t="shared" si="23"/>
        <v>0</v>
      </c>
    </row>
    <row r="506" spans="1:19" x14ac:dyDescent="0.25">
      <c r="A506" s="11"/>
      <c r="B506" s="11"/>
      <c r="C506" s="12"/>
      <c r="D506" s="12"/>
      <c r="E506" s="431">
        <f t="shared" si="21"/>
        <v>0</v>
      </c>
      <c r="H506" s="223"/>
      <c r="I506" s="223"/>
      <c r="J506" s="223"/>
      <c r="K506" s="223"/>
      <c r="L506" s="431">
        <f t="shared" si="22"/>
        <v>0</v>
      </c>
      <c r="M506" s="227"/>
      <c r="P506" s="12"/>
      <c r="Q506" s="12"/>
      <c r="R506" s="12"/>
      <c r="S506" s="431">
        <f t="shared" si="23"/>
        <v>0</v>
      </c>
    </row>
    <row r="507" spans="1:19" x14ac:dyDescent="0.25">
      <c r="A507" s="11"/>
      <c r="B507" s="11"/>
      <c r="C507" s="12"/>
      <c r="D507" s="12"/>
      <c r="E507" s="431">
        <f t="shared" si="21"/>
        <v>0</v>
      </c>
      <c r="H507" s="223"/>
      <c r="I507" s="223"/>
      <c r="J507" s="223"/>
      <c r="K507" s="223"/>
      <c r="L507" s="431">
        <f t="shared" si="22"/>
        <v>0</v>
      </c>
      <c r="M507" s="227"/>
      <c r="P507" s="12"/>
      <c r="Q507" s="12"/>
      <c r="R507" s="12"/>
      <c r="S507" s="431">
        <f t="shared" si="23"/>
        <v>0</v>
      </c>
    </row>
    <row r="508" spans="1:19" x14ac:dyDescent="0.25">
      <c r="A508" s="11"/>
      <c r="B508" s="11"/>
      <c r="C508" s="12"/>
      <c r="D508" s="12"/>
      <c r="E508" s="431">
        <f t="shared" si="21"/>
        <v>0</v>
      </c>
      <c r="H508" s="223"/>
      <c r="I508" s="223"/>
      <c r="J508" s="223"/>
      <c r="K508" s="223"/>
      <c r="L508" s="431">
        <f t="shared" si="22"/>
        <v>0</v>
      </c>
      <c r="M508" s="227"/>
      <c r="P508" s="12"/>
      <c r="Q508" s="12"/>
      <c r="R508" s="12"/>
      <c r="S508" s="431">
        <f t="shared" si="23"/>
        <v>0</v>
      </c>
    </row>
    <row r="509" spans="1:19" x14ac:dyDescent="0.25">
      <c r="A509" s="11"/>
      <c r="B509" s="11"/>
      <c r="C509" s="12"/>
      <c r="D509" s="12"/>
      <c r="E509" s="431">
        <f t="shared" si="21"/>
        <v>0</v>
      </c>
      <c r="H509" s="223"/>
      <c r="I509" s="223"/>
      <c r="J509" s="223"/>
      <c r="K509" s="223"/>
      <c r="L509" s="431">
        <f t="shared" si="22"/>
        <v>0</v>
      </c>
      <c r="M509" s="227"/>
      <c r="P509" s="12"/>
      <c r="Q509" s="12"/>
      <c r="R509" s="12"/>
      <c r="S509" s="431">
        <f t="shared" si="23"/>
        <v>0</v>
      </c>
    </row>
    <row r="510" spans="1:19" x14ac:dyDescent="0.25">
      <c r="A510" s="11"/>
      <c r="B510" s="11"/>
      <c r="C510" s="12"/>
      <c r="D510" s="12"/>
      <c r="E510" s="431">
        <f t="shared" si="21"/>
        <v>0</v>
      </c>
      <c r="H510" s="223"/>
      <c r="I510" s="223"/>
      <c r="J510" s="223"/>
      <c r="K510" s="223"/>
      <c r="L510" s="431">
        <f t="shared" si="22"/>
        <v>0</v>
      </c>
      <c r="M510" s="227"/>
      <c r="P510" s="12"/>
      <c r="Q510" s="12"/>
      <c r="R510" s="12"/>
      <c r="S510" s="431">
        <f t="shared" si="23"/>
        <v>0</v>
      </c>
    </row>
    <row r="511" spans="1:19" x14ac:dyDescent="0.25">
      <c r="A511" s="11"/>
      <c r="B511" s="11"/>
      <c r="C511" s="12"/>
      <c r="D511" s="12"/>
      <c r="E511" s="431">
        <f t="shared" si="21"/>
        <v>0</v>
      </c>
      <c r="H511" s="223"/>
      <c r="I511" s="223"/>
      <c r="J511" s="223"/>
      <c r="K511" s="223"/>
      <c r="L511" s="431">
        <f t="shared" si="22"/>
        <v>0</v>
      </c>
      <c r="M511" s="227"/>
      <c r="P511" s="12"/>
      <c r="Q511" s="12"/>
      <c r="R511" s="12"/>
      <c r="S511" s="431">
        <f t="shared" si="23"/>
        <v>0</v>
      </c>
    </row>
    <row r="512" spans="1:19" x14ac:dyDescent="0.25">
      <c r="A512" s="11"/>
      <c r="B512" s="11"/>
      <c r="C512" s="12"/>
      <c r="D512" s="12"/>
      <c r="E512" s="431">
        <f t="shared" si="21"/>
        <v>0</v>
      </c>
      <c r="H512" s="223"/>
      <c r="I512" s="223"/>
      <c r="J512" s="223"/>
      <c r="K512" s="223"/>
      <c r="L512" s="431">
        <f t="shared" si="22"/>
        <v>0</v>
      </c>
      <c r="M512" s="227"/>
      <c r="P512" s="12"/>
      <c r="Q512" s="12"/>
      <c r="R512" s="12"/>
      <c r="S512" s="431">
        <f t="shared" si="23"/>
        <v>0</v>
      </c>
    </row>
    <row r="513" spans="1:19" x14ac:dyDescent="0.25">
      <c r="A513" s="11"/>
      <c r="B513" s="11"/>
      <c r="C513" s="12"/>
      <c r="D513" s="12"/>
      <c r="E513" s="431">
        <f t="shared" si="21"/>
        <v>0</v>
      </c>
      <c r="H513" s="223"/>
      <c r="I513" s="223"/>
      <c r="J513" s="223"/>
      <c r="K513" s="223"/>
      <c r="L513" s="431">
        <f t="shared" si="22"/>
        <v>0</v>
      </c>
      <c r="M513" s="227"/>
      <c r="P513" s="12"/>
      <c r="Q513" s="12"/>
      <c r="R513" s="12"/>
      <c r="S513" s="431">
        <f t="shared" si="23"/>
        <v>0</v>
      </c>
    </row>
    <row r="514" spans="1:19" x14ac:dyDescent="0.25">
      <c r="A514" s="11"/>
      <c r="B514" s="11"/>
      <c r="C514" s="12"/>
      <c r="D514" s="12"/>
      <c r="E514" s="431">
        <f t="shared" si="21"/>
        <v>0</v>
      </c>
      <c r="H514" s="223"/>
      <c r="I514" s="223"/>
      <c r="J514" s="223"/>
      <c r="K514" s="223"/>
      <c r="L514" s="431">
        <f t="shared" si="22"/>
        <v>0</v>
      </c>
      <c r="M514" s="227"/>
      <c r="P514" s="12"/>
      <c r="Q514" s="12"/>
      <c r="R514" s="12"/>
      <c r="S514" s="431">
        <f t="shared" si="23"/>
        <v>0</v>
      </c>
    </row>
    <row r="515" spans="1:19" x14ac:dyDescent="0.25">
      <c r="A515" s="11"/>
      <c r="B515" s="11"/>
      <c r="C515" s="12"/>
      <c r="D515" s="12"/>
      <c r="E515" s="431">
        <f t="shared" si="21"/>
        <v>0</v>
      </c>
      <c r="H515" s="223"/>
      <c r="I515" s="223"/>
      <c r="J515" s="223"/>
      <c r="K515" s="223"/>
      <c r="L515" s="431">
        <f t="shared" si="22"/>
        <v>0</v>
      </c>
      <c r="M515" s="227"/>
      <c r="P515" s="12"/>
      <c r="Q515" s="12"/>
      <c r="R515" s="12"/>
      <c r="S515" s="431">
        <f t="shared" si="23"/>
        <v>0</v>
      </c>
    </row>
    <row r="516" spans="1:19" x14ac:dyDescent="0.25">
      <c r="A516" s="11"/>
      <c r="B516" s="11"/>
      <c r="C516" s="12"/>
      <c r="D516" s="12"/>
      <c r="E516" s="431">
        <f t="shared" ref="E516:E579" si="24">+D516/100</f>
        <v>0</v>
      </c>
      <c r="H516" s="223"/>
      <c r="I516" s="223"/>
      <c r="J516" s="223"/>
      <c r="K516" s="223"/>
      <c r="L516" s="431">
        <f t="shared" ref="L516:L579" si="25">+K516/100</f>
        <v>0</v>
      </c>
      <c r="M516" s="227"/>
      <c r="P516" s="12"/>
      <c r="Q516" s="12"/>
      <c r="R516" s="12"/>
      <c r="S516" s="431">
        <f t="shared" ref="S516:S579" si="26">+R516/100</f>
        <v>0</v>
      </c>
    </row>
    <row r="517" spans="1:19" x14ac:dyDescent="0.25">
      <c r="A517" s="11"/>
      <c r="B517" s="11"/>
      <c r="C517" s="12"/>
      <c r="D517" s="12"/>
      <c r="E517" s="431">
        <f t="shared" si="24"/>
        <v>0</v>
      </c>
      <c r="H517" s="223"/>
      <c r="I517" s="223"/>
      <c r="J517" s="223"/>
      <c r="K517" s="223"/>
      <c r="L517" s="431">
        <f t="shared" si="25"/>
        <v>0</v>
      </c>
      <c r="M517" s="227"/>
      <c r="P517" s="12"/>
      <c r="Q517" s="12"/>
      <c r="R517" s="12"/>
      <c r="S517" s="431">
        <f t="shared" si="26"/>
        <v>0</v>
      </c>
    </row>
    <row r="518" spans="1:19" x14ac:dyDescent="0.25">
      <c r="A518" s="11"/>
      <c r="B518" s="11"/>
      <c r="C518" s="12"/>
      <c r="D518" s="12"/>
      <c r="E518" s="431">
        <f t="shared" si="24"/>
        <v>0</v>
      </c>
      <c r="H518" s="223"/>
      <c r="I518" s="223"/>
      <c r="J518" s="223"/>
      <c r="K518" s="223"/>
      <c r="L518" s="431">
        <f t="shared" si="25"/>
        <v>0</v>
      </c>
      <c r="M518" s="227"/>
      <c r="P518" s="12"/>
      <c r="Q518" s="12"/>
      <c r="R518" s="12"/>
      <c r="S518" s="431">
        <f t="shared" si="26"/>
        <v>0</v>
      </c>
    </row>
    <row r="519" spans="1:19" x14ac:dyDescent="0.25">
      <c r="A519" s="11"/>
      <c r="B519" s="11"/>
      <c r="C519" s="12"/>
      <c r="D519" s="12"/>
      <c r="E519" s="431">
        <f t="shared" si="24"/>
        <v>0</v>
      </c>
      <c r="H519" s="223"/>
      <c r="I519" s="223"/>
      <c r="J519" s="223"/>
      <c r="K519" s="223"/>
      <c r="L519" s="431">
        <f t="shared" si="25"/>
        <v>0</v>
      </c>
      <c r="M519" s="227"/>
      <c r="P519" s="12"/>
      <c r="Q519" s="12"/>
      <c r="R519" s="12"/>
      <c r="S519" s="431">
        <f t="shared" si="26"/>
        <v>0</v>
      </c>
    </row>
    <row r="520" spans="1:19" x14ac:dyDescent="0.25">
      <c r="A520" s="11"/>
      <c r="B520" s="11"/>
      <c r="C520" s="12"/>
      <c r="D520" s="12"/>
      <c r="E520" s="431">
        <f t="shared" si="24"/>
        <v>0</v>
      </c>
      <c r="H520" s="223"/>
      <c r="I520" s="223"/>
      <c r="J520" s="223"/>
      <c r="K520" s="223"/>
      <c r="L520" s="431">
        <f t="shared" si="25"/>
        <v>0</v>
      </c>
      <c r="M520" s="227"/>
      <c r="P520" s="12"/>
      <c r="Q520" s="12"/>
      <c r="R520" s="12"/>
      <c r="S520" s="431">
        <f t="shared" si="26"/>
        <v>0</v>
      </c>
    </row>
    <row r="521" spans="1:19" x14ac:dyDescent="0.25">
      <c r="A521" s="11"/>
      <c r="B521" s="11"/>
      <c r="C521" s="12"/>
      <c r="D521" s="12"/>
      <c r="E521" s="431">
        <f t="shared" si="24"/>
        <v>0</v>
      </c>
      <c r="H521" s="223"/>
      <c r="I521" s="223"/>
      <c r="J521" s="223"/>
      <c r="K521" s="223"/>
      <c r="L521" s="431">
        <f t="shared" si="25"/>
        <v>0</v>
      </c>
      <c r="M521" s="227"/>
      <c r="P521" s="12"/>
      <c r="Q521" s="12"/>
      <c r="R521" s="12"/>
      <c r="S521" s="431">
        <f t="shared" si="26"/>
        <v>0</v>
      </c>
    </row>
    <row r="522" spans="1:19" x14ac:dyDescent="0.25">
      <c r="A522" s="11"/>
      <c r="B522" s="11"/>
      <c r="C522" s="12"/>
      <c r="D522" s="12"/>
      <c r="E522" s="431">
        <f t="shared" si="24"/>
        <v>0</v>
      </c>
      <c r="H522" s="223"/>
      <c r="I522" s="223"/>
      <c r="J522" s="223"/>
      <c r="K522" s="223"/>
      <c r="L522" s="431">
        <f t="shared" si="25"/>
        <v>0</v>
      </c>
      <c r="M522" s="227"/>
      <c r="P522" s="12"/>
      <c r="Q522" s="12"/>
      <c r="R522" s="12"/>
      <c r="S522" s="431">
        <f t="shared" si="26"/>
        <v>0</v>
      </c>
    </row>
    <row r="523" spans="1:19" x14ac:dyDescent="0.25">
      <c r="A523" s="11"/>
      <c r="B523" s="11"/>
      <c r="C523" s="12"/>
      <c r="D523" s="12"/>
      <c r="E523" s="431">
        <f t="shared" si="24"/>
        <v>0</v>
      </c>
      <c r="H523" s="223"/>
      <c r="I523" s="223"/>
      <c r="J523" s="223"/>
      <c r="K523" s="223"/>
      <c r="L523" s="431">
        <f t="shared" si="25"/>
        <v>0</v>
      </c>
      <c r="M523" s="227"/>
      <c r="P523" s="12"/>
      <c r="Q523" s="12"/>
      <c r="R523" s="12"/>
      <c r="S523" s="431">
        <f t="shared" si="26"/>
        <v>0</v>
      </c>
    </row>
    <row r="524" spans="1:19" x14ac:dyDescent="0.25">
      <c r="A524" s="11"/>
      <c r="B524" s="11"/>
      <c r="C524" s="12"/>
      <c r="D524" s="12"/>
      <c r="E524" s="431">
        <f t="shared" si="24"/>
        <v>0</v>
      </c>
      <c r="H524" s="223"/>
      <c r="I524" s="223"/>
      <c r="J524" s="223"/>
      <c r="K524" s="223"/>
      <c r="L524" s="431">
        <f t="shared" si="25"/>
        <v>0</v>
      </c>
      <c r="M524" s="227"/>
      <c r="P524" s="12"/>
      <c r="Q524" s="12"/>
      <c r="R524" s="12"/>
      <c r="S524" s="431">
        <f t="shared" si="26"/>
        <v>0</v>
      </c>
    </row>
    <row r="525" spans="1:19" x14ac:dyDescent="0.25">
      <c r="A525" s="11"/>
      <c r="B525" s="11"/>
      <c r="C525" s="12"/>
      <c r="D525" s="12"/>
      <c r="E525" s="431">
        <f t="shared" si="24"/>
        <v>0</v>
      </c>
      <c r="H525" s="223"/>
      <c r="I525" s="223"/>
      <c r="J525" s="223"/>
      <c r="K525" s="223"/>
      <c r="L525" s="431">
        <f t="shared" si="25"/>
        <v>0</v>
      </c>
      <c r="M525" s="227"/>
      <c r="P525" s="12"/>
      <c r="Q525" s="12"/>
      <c r="R525" s="12"/>
      <c r="S525" s="431">
        <f t="shared" si="26"/>
        <v>0</v>
      </c>
    </row>
    <row r="526" spans="1:19" x14ac:dyDescent="0.25">
      <c r="A526" s="11"/>
      <c r="B526" s="11"/>
      <c r="C526" s="12"/>
      <c r="D526" s="12"/>
      <c r="E526" s="431">
        <f t="shared" si="24"/>
        <v>0</v>
      </c>
      <c r="H526" s="223"/>
      <c r="I526" s="223"/>
      <c r="J526" s="223"/>
      <c r="K526" s="223"/>
      <c r="L526" s="431">
        <f t="shared" si="25"/>
        <v>0</v>
      </c>
      <c r="M526" s="227"/>
      <c r="P526" s="12"/>
      <c r="Q526" s="12"/>
      <c r="R526" s="12"/>
      <c r="S526" s="431">
        <f t="shared" si="26"/>
        <v>0</v>
      </c>
    </row>
    <row r="527" spans="1:19" x14ac:dyDescent="0.25">
      <c r="A527" s="11"/>
      <c r="B527" s="11"/>
      <c r="C527" s="12"/>
      <c r="D527" s="12"/>
      <c r="E527" s="431">
        <f t="shared" si="24"/>
        <v>0</v>
      </c>
      <c r="H527" s="223"/>
      <c r="I527" s="223"/>
      <c r="J527" s="223"/>
      <c r="K527" s="223"/>
      <c r="L527" s="431">
        <f t="shared" si="25"/>
        <v>0</v>
      </c>
      <c r="M527" s="227"/>
      <c r="P527" s="12"/>
      <c r="Q527" s="12"/>
      <c r="R527" s="12"/>
      <c r="S527" s="431">
        <f t="shared" si="26"/>
        <v>0</v>
      </c>
    </row>
    <row r="528" spans="1:19" x14ac:dyDescent="0.25">
      <c r="A528" s="11"/>
      <c r="B528" s="11"/>
      <c r="C528" s="12"/>
      <c r="D528" s="12"/>
      <c r="E528" s="431">
        <f t="shared" si="24"/>
        <v>0</v>
      </c>
      <c r="H528" s="223"/>
      <c r="I528" s="223"/>
      <c r="J528" s="223"/>
      <c r="K528" s="223"/>
      <c r="L528" s="431">
        <f t="shared" si="25"/>
        <v>0</v>
      </c>
      <c r="M528" s="227"/>
      <c r="P528" s="12"/>
      <c r="Q528" s="12"/>
      <c r="R528" s="12"/>
      <c r="S528" s="431">
        <f t="shared" si="26"/>
        <v>0</v>
      </c>
    </row>
    <row r="529" spans="1:19" x14ac:dyDescent="0.25">
      <c r="A529" s="11"/>
      <c r="B529" s="11"/>
      <c r="C529" s="12"/>
      <c r="D529" s="12"/>
      <c r="E529" s="431">
        <f t="shared" si="24"/>
        <v>0</v>
      </c>
      <c r="H529" s="223"/>
      <c r="I529" s="223"/>
      <c r="J529" s="223"/>
      <c r="K529" s="223"/>
      <c r="L529" s="431">
        <f t="shared" si="25"/>
        <v>0</v>
      </c>
      <c r="M529" s="227"/>
      <c r="P529" s="12"/>
      <c r="Q529" s="12"/>
      <c r="R529" s="12"/>
      <c r="S529" s="431">
        <f t="shared" si="26"/>
        <v>0</v>
      </c>
    </row>
    <row r="530" spans="1:19" x14ac:dyDescent="0.25">
      <c r="A530" s="11"/>
      <c r="B530" s="11"/>
      <c r="C530" s="12"/>
      <c r="D530" s="12"/>
      <c r="E530" s="431">
        <f t="shared" si="24"/>
        <v>0</v>
      </c>
      <c r="H530" s="223"/>
      <c r="I530" s="223"/>
      <c r="J530" s="223"/>
      <c r="K530" s="223"/>
      <c r="L530" s="431">
        <f t="shared" si="25"/>
        <v>0</v>
      </c>
      <c r="M530" s="227"/>
      <c r="P530" s="12"/>
      <c r="Q530" s="12"/>
      <c r="R530" s="12"/>
      <c r="S530" s="431">
        <f t="shared" si="26"/>
        <v>0</v>
      </c>
    </row>
    <row r="531" spans="1:19" x14ac:dyDescent="0.25">
      <c r="A531" s="11"/>
      <c r="B531" s="11"/>
      <c r="C531" s="12"/>
      <c r="D531" s="12"/>
      <c r="E531" s="431">
        <f t="shared" si="24"/>
        <v>0</v>
      </c>
      <c r="H531" s="223"/>
      <c r="I531" s="223"/>
      <c r="J531" s="223"/>
      <c r="K531" s="223"/>
      <c r="L531" s="431">
        <f t="shared" si="25"/>
        <v>0</v>
      </c>
      <c r="M531" s="227"/>
      <c r="P531" s="12"/>
      <c r="Q531" s="12"/>
      <c r="R531" s="12"/>
      <c r="S531" s="431">
        <f t="shared" si="26"/>
        <v>0</v>
      </c>
    </row>
    <row r="532" spans="1:19" x14ac:dyDescent="0.25">
      <c r="A532" s="11"/>
      <c r="B532" s="11"/>
      <c r="C532" s="12"/>
      <c r="D532" s="12"/>
      <c r="E532" s="431">
        <f t="shared" si="24"/>
        <v>0</v>
      </c>
      <c r="H532" s="223"/>
      <c r="I532" s="223"/>
      <c r="J532" s="223"/>
      <c r="K532" s="223"/>
      <c r="L532" s="431">
        <f t="shared" si="25"/>
        <v>0</v>
      </c>
      <c r="M532" s="227"/>
      <c r="P532" s="12"/>
      <c r="Q532" s="12"/>
      <c r="R532" s="12"/>
      <c r="S532" s="431">
        <f t="shared" si="26"/>
        <v>0</v>
      </c>
    </row>
    <row r="533" spans="1:19" x14ac:dyDescent="0.25">
      <c r="A533" s="11"/>
      <c r="B533" s="11"/>
      <c r="C533" s="12"/>
      <c r="D533" s="12"/>
      <c r="E533" s="431">
        <f t="shared" si="24"/>
        <v>0</v>
      </c>
      <c r="H533" s="223"/>
      <c r="I533" s="223"/>
      <c r="J533" s="223"/>
      <c r="K533" s="223"/>
      <c r="L533" s="431">
        <f t="shared" si="25"/>
        <v>0</v>
      </c>
      <c r="M533" s="227"/>
      <c r="P533" s="12"/>
      <c r="Q533" s="12"/>
      <c r="R533" s="12"/>
      <c r="S533" s="431">
        <f t="shared" si="26"/>
        <v>0</v>
      </c>
    </row>
    <row r="534" spans="1:19" x14ac:dyDescent="0.25">
      <c r="A534" s="11"/>
      <c r="B534" s="11"/>
      <c r="C534" s="12"/>
      <c r="D534" s="12"/>
      <c r="E534" s="431">
        <f t="shared" si="24"/>
        <v>0</v>
      </c>
      <c r="H534" s="223"/>
      <c r="I534" s="223"/>
      <c r="J534" s="223"/>
      <c r="K534" s="223"/>
      <c r="L534" s="431">
        <f t="shared" si="25"/>
        <v>0</v>
      </c>
      <c r="M534" s="227"/>
      <c r="P534" s="12"/>
      <c r="Q534" s="12"/>
      <c r="R534" s="12"/>
      <c r="S534" s="431">
        <f t="shared" si="26"/>
        <v>0</v>
      </c>
    </row>
    <row r="535" spans="1:19" x14ac:dyDescent="0.25">
      <c r="A535" s="11"/>
      <c r="B535" s="11"/>
      <c r="C535" s="12"/>
      <c r="D535" s="12"/>
      <c r="E535" s="431">
        <f t="shared" si="24"/>
        <v>0</v>
      </c>
      <c r="H535" s="223"/>
      <c r="I535" s="223"/>
      <c r="J535" s="223"/>
      <c r="K535" s="223"/>
      <c r="L535" s="431">
        <f t="shared" si="25"/>
        <v>0</v>
      </c>
      <c r="M535" s="227"/>
      <c r="P535" s="12"/>
      <c r="Q535" s="12"/>
      <c r="R535" s="12"/>
      <c r="S535" s="431">
        <f t="shared" si="26"/>
        <v>0</v>
      </c>
    </row>
    <row r="536" spans="1:19" x14ac:dyDescent="0.25">
      <c r="A536" s="11"/>
      <c r="B536" s="11"/>
      <c r="C536" s="12"/>
      <c r="D536" s="12"/>
      <c r="E536" s="431">
        <f t="shared" si="24"/>
        <v>0</v>
      </c>
      <c r="H536" s="223"/>
      <c r="I536" s="223"/>
      <c r="J536" s="223"/>
      <c r="K536" s="223"/>
      <c r="L536" s="431">
        <f t="shared" si="25"/>
        <v>0</v>
      </c>
      <c r="M536" s="227"/>
      <c r="P536" s="12"/>
      <c r="Q536" s="12"/>
      <c r="R536" s="12"/>
      <c r="S536" s="431">
        <f t="shared" si="26"/>
        <v>0</v>
      </c>
    </row>
    <row r="537" spans="1:19" x14ac:dyDescent="0.25">
      <c r="A537" s="11"/>
      <c r="B537" s="11"/>
      <c r="C537" s="12"/>
      <c r="D537" s="12"/>
      <c r="E537" s="431">
        <f t="shared" si="24"/>
        <v>0</v>
      </c>
      <c r="H537" s="223"/>
      <c r="I537" s="223"/>
      <c r="J537" s="223"/>
      <c r="K537" s="223"/>
      <c r="L537" s="431">
        <f t="shared" si="25"/>
        <v>0</v>
      </c>
      <c r="M537" s="227"/>
      <c r="P537" s="12"/>
      <c r="Q537" s="12"/>
      <c r="R537" s="12"/>
      <c r="S537" s="431">
        <f t="shared" si="26"/>
        <v>0</v>
      </c>
    </row>
    <row r="538" spans="1:19" x14ac:dyDescent="0.25">
      <c r="A538" s="11"/>
      <c r="B538" s="11"/>
      <c r="C538" s="12"/>
      <c r="D538" s="12"/>
      <c r="E538" s="431">
        <f t="shared" si="24"/>
        <v>0</v>
      </c>
      <c r="H538" s="223"/>
      <c r="I538" s="223"/>
      <c r="J538" s="223"/>
      <c r="K538" s="223"/>
      <c r="L538" s="431">
        <f t="shared" si="25"/>
        <v>0</v>
      </c>
      <c r="M538" s="227"/>
      <c r="P538" s="12"/>
      <c r="Q538" s="12"/>
      <c r="R538" s="12"/>
      <c r="S538" s="431">
        <f t="shared" si="26"/>
        <v>0</v>
      </c>
    </row>
    <row r="539" spans="1:19" x14ac:dyDescent="0.25">
      <c r="A539" s="11"/>
      <c r="B539" s="11"/>
      <c r="C539" s="12"/>
      <c r="D539" s="12"/>
      <c r="E539" s="431">
        <f t="shared" si="24"/>
        <v>0</v>
      </c>
      <c r="H539" s="223"/>
      <c r="I539" s="223"/>
      <c r="J539" s="223"/>
      <c r="K539" s="223"/>
      <c r="L539" s="431">
        <f t="shared" si="25"/>
        <v>0</v>
      </c>
      <c r="M539" s="227"/>
      <c r="P539" s="12"/>
      <c r="Q539" s="12"/>
      <c r="R539" s="12"/>
      <c r="S539" s="431">
        <f t="shared" si="26"/>
        <v>0</v>
      </c>
    </row>
    <row r="540" spans="1:19" x14ac:dyDescent="0.25">
      <c r="A540" s="11"/>
      <c r="B540" s="11"/>
      <c r="C540" s="12"/>
      <c r="D540" s="12"/>
      <c r="E540" s="431">
        <f t="shared" si="24"/>
        <v>0</v>
      </c>
      <c r="H540" s="223"/>
      <c r="I540" s="223"/>
      <c r="J540" s="223"/>
      <c r="K540" s="223"/>
      <c r="L540" s="431">
        <f t="shared" si="25"/>
        <v>0</v>
      </c>
      <c r="M540" s="227"/>
      <c r="P540" s="12"/>
      <c r="Q540" s="12"/>
      <c r="R540" s="12"/>
      <c r="S540" s="431">
        <f t="shared" si="26"/>
        <v>0</v>
      </c>
    </row>
    <row r="541" spans="1:19" x14ac:dyDescent="0.25">
      <c r="A541" s="11"/>
      <c r="B541" s="11"/>
      <c r="C541" s="12"/>
      <c r="D541" s="12"/>
      <c r="E541" s="431">
        <f t="shared" si="24"/>
        <v>0</v>
      </c>
      <c r="H541" s="223"/>
      <c r="I541" s="223"/>
      <c r="J541" s="223"/>
      <c r="K541" s="223"/>
      <c r="L541" s="431">
        <f t="shared" si="25"/>
        <v>0</v>
      </c>
      <c r="M541" s="227"/>
      <c r="P541" s="12"/>
      <c r="Q541" s="12"/>
      <c r="R541" s="12"/>
      <c r="S541" s="431">
        <f t="shared" si="26"/>
        <v>0</v>
      </c>
    </row>
    <row r="542" spans="1:19" x14ac:dyDescent="0.25">
      <c r="A542" s="11"/>
      <c r="B542" s="11"/>
      <c r="C542" s="12"/>
      <c r="D542" s="12"/>
      <c r="E542" s="431">
        <f t="shared" si="24"/>
        <v>0</v>
      </c>
      <c r="H542" s="223"/>
      <c r="I542" s="223"/>
      <c r="J542" s="223"/>
      <c r="K542" s="223"/>
      <c r="L542" s="431">
        <f t="shared" si="25"/>
        <v>0</v>
      </c>
      <c r="M542" s="227"/>
      <c r="P542" s="12"/>
      <c r="Q542" s="12"/>
      <c r="R542" s="12"/>
      <c r="S542" s="431">
        <f t="shared" si="26"/>
        <v>0</v>
      </c>
    </row>
    <row r="543" spans="1:19" x14ac:dyDescent="0.25">
      <c r="A543" s="11"/>
      <c r="B543" s="11"/>
      <c r="C543" s="12"/>
      <c r="D543" s="12"/>
      <c r="E543" s="431">
        <f t="shared" si="24"/>
        <v>0</v>
      </c>
      <c r="H543" s="223"/>
      <c r="I543" s="223"/>
      <c r="J543" s="223"/>
      <c r="K543" s="223"/>
      <c r="L543" s="431">
        <f t="shared" si="25"/>
        <v>0</v>
      </c>
      <c r="M543" s="227"/>
      <c r="P543" s="12"/>
      <c r="Q543" s="12"/>
      <c r="R543" s="12"/>
      <c r="S543" s="431">
        <f t="shared" si="26"/>
        <v>0</v>
      </c>
    </row>
    <row r="544" spans="1:19" x14ac:dyDescent="0.25">
      <c r="A544" s="11"/>
      <c r="B544" s="11"/>
      <c r="C544" s="12"/>
      <c r="D544" s="12"/>
      <c r="E544" s="431">
        <f t="shared" si="24"/>
        <v>0</v>
      </c>
      <c r="H544" s="223"/>
      <c r="I544" s="223"/>
      <c r="J544" s="223"/>
      <c r="K544" s="223"/>
      <c r="L544" s="431">
        <f t="shared" si="25"/>
        <v>0</v>
      </c>
      <c r="M544" s="227"/>
      <c r="P544" s="12"/>
      <c r="Q544" s="12"/>
      <c r="R544" s="12"/>
      <c r="S544" s="431">
        <f t="shared" si="26"/>
        <v>0</v>
      </c>
    </row>
    <row r="545" spans="1:19" x14ac:dyDescent="0.25">
      <c r="A545" s="11"/>
      <c r="B545" s="11"/>
      <c r="C545" s="12"/>
      <c r="D545" s="12"/>
      <c r="E545" s="431">
        <f t="shared" si="24"/>
        <v>0</v>
      </c>
      <c r="H545" s="223"/>
      <c r="I545" s="223"/>
      <c r="J545" s="223"/>
      <c r="K545" s="223"/>
      <c r="L545" s="431">
        <f t="shared" si="25"/>
        <v>0</v>
      </c>
      <c r="M545" s="227"/>
      <c r="P545" s="12"/>
      <c r="Q545" s="12"/>
      <c r="R545" s="12"/>
      <c r="S545" s="431">
        <f t="shared" si="26"/>
        <v>0</v>
      </c>
    </row>
    <row r="546" spans="1:19" x14ac:dyDescent="0.25">
      <c r="A546" s="11"/>
      <c r="B546" s="11"/>
      <c r="C546" s="12"/>
      <c r="D546" s="12"/>
      <c r="E546" s="431">
        <f t="shared" si="24"/>
        <v>0</v>
      </c>
      <c r="H546" s="223"/>
      <c r="I546" s="223"/>
      <c r="J546" s="223"/>
      <c r="K546" s="223"/>
      <c r="L546" s="431">
        <f t="shared" si="25"/>
        <v>0</v>
      </c>
      <c r="M546" s="227"/>
      <c r="P546" s="12"/>
      <c r="Q546" s="12"/>
      <c r="R546" s="12"/>
      <c r="S546" s="431">
        <f t="shared" si="26"/>
        <v>0</v>
      </c>
    </row>
    <row r="547" spans="1:19" x14ac:dyDescent="0.25">
      <c r="A547" s="11"/>
      <c r="B547" s="11"/>
      <c r="C547" s="12"/>
      <c r="D547" s="12"/>
      <c r="E547" s="431">
        <f t="shared" si="24"/>
        <v>0</v>
      </c>
      <c r="H547" s="223"/>
      <c r="I547" s="223"/>
      <c r="J547" s="223"/>
      <c r="K547" s="223"/>
      <c r="L547" s="431">
        <f t="shared" si="25"/>
        <v>0</v>
      </c>
      <c r="M547" s="227"/>
      <c r="P547" s="12"/>
      <c r="Q547" s="12"/>
      <c r="R547" s="12"/>
      <c r="S547" s="431">
        <f t="shared" si="26"/>
        <v>0</v>
      </c>
    </row>
    <row r="548" spans="1:19" x14ac:dyDescent="0.25">
      <c r="A548" s="11"/>
      <c r="B548" s="11"/>
      <c r="C548" s="12"/>
      <c r="D548" s="12"/>
      <c r="E548" s="431">
        <f t="shared" si="24"/>
        <v>0</v>
      </c>
      <c r="H548" s="223"/>
      <c r="I548" s="223"/>
      <c r="J548" s="223"/>
      <c r="K548" s="223"/>
      <c r="L548" s="431">
        <f t="shared" si="25"/>
        <v>0</v>
      </c>
      <c r="M548" s="227"/>
      <c r="P548" s="12"/>
      <c r="Q548" s="12"/>
      <c r="R548" s="12"/>
      <c r="S548" s="431">
        <f t="shared" si="26"/>
        <v>0</v>
      </c>
    </row>
    <row r="549" spans="1:19" x14ac:dyDescent="0.25">
      <c r="A549" s="11"/>
      <c r="B549" s="11"/>
      <c r="C549" s="12"/>
      <c r="D549" s="12"/>
      <c r="E549" s="431">
        <f t="shared" si="24"/>
        <v>0</v>
      </c>
      <c r="H549" s="223"/>
      <c r="I549" s="223"/>
      <c r="J549" s="223"/>
      <c r="K549" s="223"/>
      <c r="L549" s="431">
        <f t="shared" si="25"/>
        <v>0</v>
      </c>
      <c r="M549" s="227"/>
      <c r="P549" s="12"/>
      <c r="Q549" s="12"/>
      <c r="R549" s="12"/>
      <c r="S549" s="431">
        <f t="shared" si="26"/>
        <v>0</v>
      </c>
    </row>
    <row r="550" spans="1:19" x14ac:dyDescent="0.25">
      <c r="A550" s="11"/>
      <c r="B550" s="11"/>
      <c r="C550" s="12"/>
      <c r="D550" s="12"/>
      <c r="E550" s="431">
        <f t="shared" si="24"/>
        <v>0</v>
      </c>
      <c r="H550" s="223"/>
      <c r="I550" s="223"/>
      <c r="J550" s="223"/>
      <c r="K550" s="223"/>
      <c r="L550" s="431">
        <f t="shared" si="25"/>
        <v>0</v>
      </c>
      <c r="M550" s="227"/>
      <c r="P550" s="12"/>
      <c r="Q550" s="12"/>
      <c r="R550" s="12"/>
      <c r="S550" s="431">
        <f t="shared" si="26"/>
        <v>0</v>
      </c>
    </row>
    <row r="551" spans="1:19" x14ac:dyDescent="0.25">
      <c r="A551" s="11"/>
      <c r="B551" s="11"/>
      <c r="C551" s="12"/>
      <c r="D551" s="12"/>
      <c r="E551" s="431">
        <f t="shared" si="24"/>
        <v>0</v>
      </c>
      <c r="H551" s="223"/>
      <c r="I551" s="223"/>
      <c r="J551" s="223"/>
      <c r="K551" s="223"/>
      <c r="L551" s="431">
        <f t="shared" si="25"/>
        <v>0</v>
      </c>
      <c r="M551" s="227"/>
      <c r="P551" s="12"/>
      <c r="Q551" s="12"/>
      <c r="R551" s="12"/>
      <c r="S551" s="431">
        <f t="shared" si="26"/>
        <v>0</v>
      </c>
    </row>
    <row r="552" spans="1:19" x14ac:dyDescent="0.25">
      <c r="A552" s="11"/>
      <c r="B552" s="11"/>
      <c r="C552" s="12"/>
      <c r="D552" s="12"/>
      <c r="E552" s="431">
        <f t="shared" si="24"/>
        <v>0</v>
      </c>
      <c r="H552" s="223"/>
      <c r="I552" s="223"/>
      <c r="J552" s="223"/>
      <c r="K552" s="223"/>
      <c r="L552" s="431">
        <f t="shared" si="25"/>
        <v>0</v>
      </c>
      <c r="M552" s="227"/>
      <c r="P552" s="12"/>
      <c r="Q552" s="12"/>
      <c r="R552" s="12"/>
      <c r="S552" s="431">
        <f t="shared" si="26"/>
        <v>0</v>
      </c>
    </row>
    <row r="553" spans="1:19" x14ac:dyDescent="0.25">
      <c r="A553" s="11"/>
      <c r="B553" s="11"/>
      <c r="C553" s="12"/>
      <c r="D553" s="12"/>
      <c r="E553" s="431">
        <f t="shared" si="24"/>
        <v>0</v>
      </c>
      <c r="H553" s="223"/>
      <c r="I553" s="223"/>
      <c r="J553" s="223"/>
      <c r="K553" s="223"/>
      <c r="L553" s="431">
        <f t="shared" si="25"/>
        <v>0</v>
      </c>
      <c r="M553" s="227"/>
      <c r="P553" s="12"/>
      <c r="Q553" s="12"/>
      <c r="R553" s="12"/>
      <c r="S553" s="431">
        <f t="shared" si="26"/>
        <v>0</v>
      </c>
    </row>
    <row r="554" spans="1:19" x14ac:dyDescent="0.25">
      <c r="A554" s="11"/>
      <c r="B554" s="11"/>
      <c r="C554" s="12"/>
      <c r="D554" s="12"/>
      <c r="E554" s="431">
        <f t="shared" si="24"/>
        <v>0</v>
      </c>
      <c r="H554" s="223"/>
      <c r="I554" s="223"/>
      <c r="J554" s="223"/>
      <c r="K554" s="223"/>
      <c r="L554" s="431">
        <f t="shared" si="25"/>
        <v>0</v>
      </c>
      <c r="M554" s="227"/>
      <c r="P554" s="12"/>
      <c r="Q554" s="12"/>
      <c r="R554" s="12"/>
      <c r="S554" s="431">
        <f t="shared" si="26"/>
        <v>0</v>
      </c>
    </row>
    <row r="555" spans="1:19" x14ac:dyDescent="0.25">
      <c r="A555" s="11"/>
      <c r="B555" s="11"/>
      <c r="C555" s="12"/>
      <c r="D555" s="12"/>
      <c r="E555" s="431">
        <f t="shared" si="24"/>
        <v>0</v>
      </c>
      <c r="H555" s="223"/>
      <c r="I555" s="223"/>
      <c r="J555" s="223"/>
      <c r="K555" s="223"/>
      <c r="L555" s="431">
        <f t="shared" si="25"/>
        <v>0</v>
      </c>
      <c r="M555" s="227"/>
      <c r="P555" s="12"/>
      <c r="Q555" s="12"/>
      <c r="R555" s="12"/>
      <c r="S555" s="431">
        <f t="shared" si="26"/>
        <v>0</v>
      </c>
    </row>
    <row r="556" spans="1:19" x14ac:dyDescent="0.25">
      <c r="A556" s="11"/>
      <c r="B556" s="11"/>
      <c r="C556" s="12"/>
      <c r="D556" s="12"/>
      <c r="E556" s="431">
        <f t="shared" si="24"/>
        <v>0</v>
      </c>
      <c r="H556" s="223"/>
      <c r="I556" s="223"/>
      <c r="J556" s="223"/>
      <c r="K556" s="223"/>
      <c r="L556" s="431">
        <f t="shared" si="25"/>
        <v>0</v>
      </c>
      <c r="M556" s="227"/>
      <c r="P556" s="12"/>
      <c r="Q556" s="12"/>
      <c r="R556" s="12"/>
      <c r="S556" s="431">
        <f t="shared" si="26"/>
        <v>0</v>
      </c>
    </row>
    <row r="557" spans="1:19" x14ac:dyDescent="0.25">
      <c r="A557" s="11"/>
      <c r="B557" s="11"/>
      <c r="C557" s="12"/>
      <c r="D557" s="12"/>
      <c r="E557" s="431">
        <f t="shared" si="24"/>
        <v>0</v>
      </c>
      <c r="H557" s="223"/>
      <c r="I557" s="223"/>
      <c r="J557" s="223"/>
      <c r="K557" s="223"/>
      <c r="L557" s="431">
        <f t="shared" si="25"/>
        <v>0</v>
      </c>
      <c r="M557" s="227"/>
      <c r="P557" s="12"/>
      <c r="Q557" s="12"/>
      <c r="R557" s="12"/>
      <c r="S557" s="431">
        <f t="shared" si="26"/>
        <v>0</v>
      </c>
    </row>
    <row r="558" spans="1:19" x14ac:dyDescent="0.25">
      <c r="A558" s="11"/>
      <c r="B558" s="11"/>
      <c r="C558" s="12"/>
      <c r="D558" s="12"/>
      <c r="E558" s="431">
        <f t="shared" si="24"/>
        <v>0</v>
      </c>
      <c r="H558" s="223"/>
      <c r="I558" s="223"/>
      <c r="J558" s="223"/>
      <c r="K558" s="223"/>
      <c r="L558" s="431">
        <f t="shared" si="25"/>
        <v>0</v>
      </c>
      <c r="M558" s="227"/>
      <c r="P558" s="12"/>
      <c r="Q558" s="12"/>
      <c r="R558" s="12"/>
      <c r="S558" s="431">
        <f t="shared" si="26"/>
        <v>0</v>
      </c>
    </row>
    <row r="559" spans="1:19" x14ac:dyDescent="0.25">
      <c r="A559" s="11"/>
      <c r="B559" s="11"/>
      <c r="C559" s="12"/>
      <c r="D559" s="12"/>
      <c r="E559" s="431">
        <f t="shared" si="24"/>
        <v>0</v>
      </c>
      <c r="H559" s="223"/>
      <c r="I559" s="223"/>
      <c r="J559" s="223"/>
      <c r="K559" s="223"/>
      <c r="L559" s="431">
        <f t="shared" si="25"/>
        <v>0</v>
      </c>
      <c r="M559" s="227"/>
      <c r="P559" s="12"/>
      <c r="Q559" s="12"/>
      <c r="R559" s="12"/>
      <c r="S559" s="431">
        <f t="shared" si="26"/>
        <v>0</v>
      </c>
    </row>
    <row r="560" spans="1:19" x14ac:dyDescent="0.25">
      <c r="A560" s="11"/>
      <c r="B560" s="11"/>
      <c r="C560" s="12"/>
      <c r="D560" s="12"/>
      <c r="E560" s="431">
        <f t="shared" si="24"/>
        <v>0</v>
      </c>
      <c r="H560" s="223"/>
      <c r="I560" s="223"/>
      <c r="J560" s="223"/>
      <c r="K560" s="223"/>
      <c r="L560" s="431">
        <f t="shared" si="25"/>
        <v>0</v>
      </c>
      <c r="M560" s="227"/>
      <c r="P560" s="12"/>
      <c r="Q560" s="12"/>
      <c r="R560" s="12"/>
      <c r="S560" s="431">
        <f t="shared" si="26"/>
        <v>0</v>
      </c>
    </row>
    <row r="561" spans="1:19" x14ac:dyDescent="0.25">
      <c r="A561" s="11"/>
      <c r="B561" s="11"/>
      <c r="C561" s="12"/>
      <c r="D561" s="12"/>
      <c r="E561" s="431">
        <f t="shared" si="24"/>
        <v>0</v>
      </c>
      <c r="H561" s="223"/>
      <c r="I561" s="223"/>
      <c r="J561" s="223"/>
      <c r="K561" s="223"/>
      <c r="L561" s="431">
        <f t="shared" si="25"/>
        <v>0</v>
      </c>
      <c r="M561" s="227"/>
      <c r="P561" s="12"/>
      <c r="Q561" s="12"/>
      <c r="R561" s="12"/>
      <c r="S561" s="431">
        <f t="shared" si="26"/>
        <v>0</v>
      </c>
    </row>
    <row r="562" spans="1:19" x14ac:dyDescent="0.25">
      <c r="A562" s="11"/>
      <c r="B562" s="11"/>
      <c r="C562" s="12"/>
      <c r="D562" s="12"/>
      <c r="E562" s="431">
        <f t="shared" si="24"/>
        <v>0</v>
      </c>
      <c r="H562" s="223"/>
      <c r="I562" s="223"/>
      <c r="J562" s="223"/>
      <c r="K562" s="223"/>
      <c r="L562" s="431">
        <f t="shared" si="25"/>
        <v>0</v>
      </c>
      <c r="M562" s="227"/>
      <c r="P562" s="12"/>
      <c r="Q562" s="12"/>
      <c r="R562" s="12"/>
      <c r="S562" s="431">
        <f t="shared" si="26"/>
        <v>0</v>
      </c>
    </row>
    <row r="563" spans="1:19" x14ac:dyDescent="0.25">
      <c r="A563" s="11"/>
      <c r="B563" s="11"/>
      <c r="C563" s="12"/>
      <c r="D563" s="12"/>
      <c r="E563" s="431">
        <f t="shared" si="24"/>
        <v>0</v>
      </c>
      <c r="H563" s="223"/>
      <c r="I563" s="223"/>
      <c r="J563" s="223"/>
      <c r="K563" s="223"/>
      <c r="L563" s="431">
        <f t="shared" si="25"/>
        <v>0</v>
      </c>
      <c r="M563" s="227"/>
      <c r="P563" s="12"/>
      <c r="Q563" s="12"/>
      <c r="R563" s="12"/>
      <c r="S563" s="431">
        <f t="shared" si="26"/>
        <v>0</v>
      </c>
    </row>
    <row r="564" spans="1:19" x14ac:dyDescent="0.25">
      <c r="A564" s="11"/>
      <c r="B564" s="11"/>
      <c r="C564" s="12"/>
      <c r="D564" s="12"/>
      <c r="E564" s="431">
        <f t="shared" si="24"/>
        <v>0</v>
      </c>
      <c r="H564" s="223"/>
      <c r="I564" s="223"/>
      <c r="J564" s="223"/>
      <c r="K564" s="223"/>
      <c r="L564" s="431">
        <f t="shared" si="25"/>
        <v>0</v>
      </c>
      <c r="M564" s="227"/>
      <c r="P564" s="12"/>
      <c r="Q564" s="12"/>
      <c r="R564" s="12"/>
      <c r="S564" s="431">
        <f t="shared" si="26"/>
        <v>0</v>
      </c>
    </row>
    <row r="565" spans="1:19" x14ac:dyDescent="0.25">
      <c r="A565" s="11"/>
      <c r="B565" s="11"/>
      <c r="C565" s="12"/>
      <c r="D565" s="12"/>
      <c r="E565" s="431">
        <f t="shared" si="24"/>
        <v>0</v>
      </c>
      <c r="H565" s="223"/>
      <c r="I565" s="223"/>
      <c r="J565" s="223"/>
      <c r="K565" s="223"/>
      <c r="L565" s="431">
        <f t="shared" si="25"/>
        <v>0</v>
      </c>
      <c r="M565" s="227"/>
      <c r="P565" s="12"/>
      <c r="Q565" s="12"/>
      <c r="R565" s="12"/>
      <c r="S565" s="431">
        <f t="shared" si="26"/>
        <v>0</v>
      </c>
    </row>
    <row r="566" spans="1:19" x14ac:dyDescent="0.25">
      <c r="A566" s="11"/>
      <c r="B566" s="11"/>
      <c r="C566" s="12"/>
      <c r="D566" s="12"/>
      <c r="E566" s="431">
        <f t="shared" si="24"/>
        <v>0</v>
      </c>
      <c r="H566" s="223"/>
      <c r="I566" s="223"/>
      <c r="J566" s="223"/>
      <c r="K566" s="223"/>
      <c r="L566" s="431">
        <f t="shared" si="25"/>
        <v>0</v>
      </c>
      <c r="M566" s="227"/>
      <c r="P566" s="12"/>
      <c r="Q566" s="12"/>
      <c r="R566" s="12"/>
      <c r="S566" s="431">
        <f t="shared" si="26"/>
        <v>0</v>
      </c>
    </row>
    <row r="567" spans="1:19" x14ac:dyDescent="0.25">
      <c r="A567" s="11"/>
      <c r="B567" s="11"/>
      <c r="C567" s="12"/>
      <c r="D567" s="12"/>
      <c r="E567" s="431">
        <f t="shared" si="24"/>
        <v>0</v>
      </c>
      <c r="H567" s="223"/>
      <c r="I567" s="223"/>
      <c r="J567" s="223"/>
      <c r="K567" s="223"/>
      <c r="L567" s="431">
        <f t="shared" si="25"/>
        <v>0</v>
      </c>
      <c r="M567" s="227"/>
      <c r="P567" s="12"/>
      <c r="Q567" s="12"/>
      <c r="R567" s="12"/>
      <c r="S567" s="431">
        <f t="shared" si="26"/>
        <v>0</v>
      </c>
    </row>
    <row r="568" spans="1:19" x14ac:dyDescent="0.25">
      <c r="A568" s="11"/>
      <c r="B568" s="11"/>
      <c r="C568" s="12"/>
      <c r="D568" s="12"/>
      <c r="E568" s="431">
        <f t="shared" si="24"/>
        <v>0</v>
      </c>
      <c r="H568" s="223"/>
      <c r="I568" s="223"/>
      <c r="J568" s="223"/>
      <c r="K568" s="223"/>
      <c r="L568" s="431">
        <f t="shared" si="25"/>
        <v>0</v>
      </c>
      <c r="M568" s="227"/>
      <c r="P568" s="12"/>
      <c r="Q568" s="12"/>
      <c r="R568" s="12"/>
      <c r="S568" s="431">
        <f t="shared" si="26"/>
        <v>0</v>
      </c>
    </row>
    <row r="569" spans="1:19" x14ac:dyDescent="0.25">
      <c r="A569" s="11"/>
      <c r="B569" s="11"/>
      <c r="C569" s="12"/>
      <c r="D569" s="12"/>
      <c r="E569" s="431">
        <f t="shared" si="24"/>
        <v>0</v>
      </c>
      <c r="H569" s="223"/>
      <c r="I569" s="223"/>
      <c r="J569" s="223"/>
      <c r="K569" s="223"/>
      <c r="L569" s="431">
        <f t="shared" si="25"/>
        <v>0</v>
      </c>
      <c r="M569" s="227"/>
      <c r="P569" s="12"/>
      <c r="Q569" s="12"/>
      <c r="R569" s="12"/>
      <c r="S569" s="431">
        <f t="shared" si="26"/>
        <v>0</v>
      </c>
    </row>
    <row r="570" spans="1:19" x14ac:dyDescent="0.25">
      <c r="A570" s="11"/>
      <c r="B570" s="11"/>
      <c r="C570" s="12"/>
      <c r="D570" s="12"/>
      <c r="E570" s="431">
        <f t="shared" si="24"/>
        <v>0</v>
      </c>
      <c r="H570" s="223"/>
      <c r="I570" s="223"/>
      <c r="J570" s="223"/>
      <c r="K570" s="223"/>
      <c r="L570" s="431">
        <f t="shared" si="25"/>
        <v>0</v>
      </c>
      <c r="M570" s="227"/>
      <c r="P570" s="12"/>
      <c r="Q570" s="12"/>
      <c r="R570" s="12"/>
      <c r="S570" s="431">
        <f t="shared" si="26"/>
        <v>0</v>
      </c>
    </row>
    <row r="571" spans="1:19" x14ac:dyDescent="0.25">
      <c r="A571" s="11"/>
      <c r="B571" s="11"/>
      <c r="C571" s="12"/>
      <c r="D571" s="12"/>
      <c r="E571" s="431">
        <f t="shared" si="24"/>
        <v>0</v>
      </c>
      <c r="H571" s="223"/>
      <c r="I571" s="223"/>
      <c r="J571" s="223"/>
      <c r="K571" s="223"/>
      <c r="L571" s="431">
        <f t="shared" si="25"/>
        <v>0</v>
      </c>
      <c r="M571" s="227"/>
      <c r="P571" s="12"/>
      <c r="Q571" s="12"/>
      <c r="R571" s="12"/>
      <c r="S571" s="431">
        <f t="shared" si="26"/>
        <v>0</v>
      </c>
    </row>
    <row r="572" spans="1:19" x14ac:dyDescent="0.25">
      <c r="A572" s="11"/>
      <c r="B572" s="11"/>
      <c r="C572" s="12"/>
      <c r="D572" s="12"/>
      <c r="E572" s="431">
        <f t="shared" si="24"/>
        <v>0</v>
      </c>
      <c r="H572" s="223"/>
      <c r="I572" s="223"/>
      <c r="J572" s="223"/>
      <c r="K572" s="223"/>
      <c r="L572" s="431">
        <f t="shared" si="25"/>
        <v>0</v>
      </c>
      <c r="M572" s="227"/>
      <c r="P572" s="12"/>
      <c r="Q572" s="12"/>
      <c r="R572" s="12"/>
      <c r="S572" s="431">
        <f t="shared" si="26"/>
        <v>0</v>
      </c>
    </row>
    <row r="573" spans="1:19" x14ac:dyDescent="0.25">
      <c r="A573" s="11"/>
      <c r="B573" s="11"/>
      <c r="C573" s="12"/>
      <c r="D573" s="12"/>
      <c r="E573" s="431">
        <f t="shared" si="24"/>
        <v>0</v>
      </c>
      <c r="H573" s="223"/>
      <c r="I573" s="223"/>
      <c r="J573" s="223"/>
      <c r="K573" s="223"/>
      <c r="L573" s="431">
        <f t="shared" si="25"/>
        <v>0</v>
      </c>
      <c r="M573" s="227"/>
      <c r="P573" s="12"/>
      <c r="Q573" s="12"/>
      <c r="R573" s="12"/>
      <c r="S573" s="431">
        <f t="shared" si="26"/>
        <v>0</v>
      </c>
    </row>
    <row r="574" spans="1:19" x14ac:dyDescent="0.25">
      <c r="A574" s="11"/>
      <c r="B574" s="11"/>
      <c r="C574" s="12"/>
      <c r="D574" s="12"/>
      <c r="E574" s="431">
        <f t="shared" si="24"/>
        <v>0</v>
      </c>
      <c r="H574" s="223"/>
      <c r="I574" s="223"/>
      <c r="J574" s="223"/>
      <c r="K574" s="223"/>
      <c r="L574" s="431">
        <f t="shared" si="25"/>
        <v>0</v>
      </c>
      <c r="M574" s="227"/>
      <c r="P574" s="12"/>
      <c r="Q574" s="12"/>
      <c r="R574" s="12"/>
      <c r="S574" s="431">
        <f t="shared" si="26"/>
        <v>0</v>
      </c>
    </row>
    <row r="575" spans="1:19" x14ac:dyDescent="0.25">
      <c r="A575" s="11"/>
      <c r="B575" s="11"/>
      <c r="C575" s="12"/>
      <c r="D575" s="12"/>
      <c r="E575" s="431">
        <f t="shared" si="24"/>
        <v>0</v>
      </c>
      <c r="H575" s="223"/>
      <c r="I575" s="223"/>
      <c r="J575" s="223"/>
      <c r="K575" s="223"/>
      <c r="L575" s="431">
        <f t="shared" si="25"/>
        <v>0</v>
      </c>
      <c r="M575" s="227"/>
      <c r="P575" s="12"/>
      <c r="Q575" s="12"/>
      <c r="R575" s="12"/>
      <c r="S575" s="431">
        <f t="shared" si="26"/>
        <v>0</v>
      </c>
    </row>
    <row r="576" spans="1:19" x14ac:dyDescent="0.25">
      <c r="A576" s="11"/>
      <c r="B576" s="11"/>
      <c r="C576" s="12"/>
      <c r="D576" s="12"/>
      <c r="E576" s="431">
        <f t="shared" si="24"/>
        <v>0</v>
      </c>
      <c r="H576" s="223"/>
      <c r="I576" s="223"/>
      <c r="J576" s="223"/>
      <c r="K576" s="223"/>
      <c r="L576" s="431">
        <f t="shared" si="25"/>
        <v>0</v>
      </c>
      <c r="M576" s="227"/>
      <c r="P576" s="12"/>
      <c r="Q576" s="12"/>
      <c r="R576" s="12"/>
      <c r="S576" s="431">
        <f t="shared" si="26"/>
        <v>0</v>
      </c>
    </row>
    <row r="577" spans="1:19" x14ac:dyDescent="0.25">
      <c r="A577" s="11"/>
      <c r="B577" s="11"/>
      <c r="C577" s="12"/>
      <c r="D577" s="12"/>
      <c r="E577" s="431">
        <f t="shared" si="24"/>
        <v>0</v>
      </c>
      <c r="H577" s="223"/>
      <c r="I577" s="223"/>
      <c r="J577" s="223"/>
      <c r="K577" s="223"/>
      <c r="L577" s="431">
        <f t="shared" si="25"/>
        <v>0</v>
      </c>
      <c r="M577" s="227"/>
      <c r="P577" s="12"/>
      <c r="Q577" s="12"/>
      <c r="R577" s="12"/>
      <c r="S577" s="431">
        <f t="shared" si="26"/>
        <v>0</v>
      </c>
    </row>
    <row r="578" spans="1:19" x14ac:dyDescent="0.25">
      <c r="A578" s="11"/>
      <c r="B578" s="11"/>
      <c r="C578" s="12"/>
      <c r="D578" s="12"/>
      <c r="E578" s="431">
        <f t="shared" si="24"/>
        <v>0</v>
      </c>
      <c r="H578" s="223"/>
      <c r="I578" s="223"/>
      <c r="J578" s="223"/>
      <c r="K578" s="223"/>
      <c r="L578" s="431">
        <f t="shared" si="25"/>
        <v>0</v>
      </c>
      <c r="M578" s="227"/>
      <c r="P578" s="12"/>
      <c r="Q578" s="12"/>
      <c r="R578" s="12"/>
      <c r="S578" s="431">
        <f t="shared" si="26"/>
        <v>0</v>
      </c>
    </row>
    <row r="579" spans="1:19" x14ac:dyDescent="0.25">
      <c r="A579" s="11"/>
      <c r="B579" s="11"/>
      <c r="C579" s="12"/>
      <c r="D579" s="12"/>
      <c r="E579" s="431">
        <f t="shared" si="24"/>
        <v>0</v>
      </c>
      <c r="H579" s="223"/>
      <c r="I579" s="223"/>
      <c r="J579" s="223"/>
      <c r="K579" s="223"/>
      <c r="L579" s="431">
        <f t="shared" si="25"/>
        <v>0</v>
      </c>
      <c r="M579" s="227"/>
      <c r="P579" s="12"/>
      <c r="Q579" s="12"/>
      <c r="R579" s="12"/>
      <c r="S579" s="431">
        <f t="shared" si="26"/>
        <v>0</v>
      </c>
    </row>
    <row r="580" spans="1:19" x14ac:dyDescent="0.25">
      <c r="A580" s="11"/>
      <c r="B580" s="11"/>
      <c r="C580" s="12"/>
      <c r="D580" s="12"/>
      <c r="E580" s="431">
        <f t="shared" ref="E580:E643" si="27">+D580/100</f>
        <v>0</v>
      </c>
      <c r="H580" s="223"/>
      <c r="I580" s="223"/>
      <c r="J580" s="223"/>
      <c r="K580" s="223"/>
      <c r="L580" s="431">
        <f t="shared" ref="L580:L643" si="28">+K580/100</f>
        <v>0</v>
      </c>
      <c r="M580" s="227"/>
      <c r="P580" s="12"/>
      <c r="Q580" s="12"/>
      <c r="R580" s="12"/>
      <c r="S580" s="431">
        <f t="shared" ref="S580:S643" si="29">+R580/100</f>
        <v>0</v>
      </c>
    </row>
    <row r="581" spans="1:19" x14ac:dyDescent="0.25">
      <c r="A581" s="11"/>
      <c r="B581" s="11"/>
      <c r="C581" s="12"/>
      <c r="D581" s="12"/>
      <c r="E581" s="431">
        <f t="shared" si="27"/>
        <v>0</v>
      </c>
      <c r="H581" s="223"/>
      <c r="I581" s="223"/>
      <c r="J581" s="223"/>
      <c r="K581" s="223"/>
      <c r="L581" s="431">
        <f t="shared" si="28"/>
        <v>0</v>
      </c>
      <c r="M581" s="227"/>
      <c r="P581" s="12"/>
      <c r="Q581" s="12"/>
      <c r="R581" s="12"/>
      <c r="S581" s="431">
        <f t="shared" si="29"/>
        <v>0</v>
      </c>
    </row>
    <row r="582" spans="1:19" x14ac:dyDescent="0.25">
      <c r="A582" s="11"/>
      <c r="B582" s="11"/>
      <c r="C582" s="12"/>
      <c r="D582" s="12"/>
      <c r="E582" s="431">
        <f t="shared" si="27"/>
        <v>0</v>
      </c>
      <c r="H582" s="223"/>
      <c r="I582" s="223"/>
      <c r="J582" s="223"/>
      <c r="K582" s="223"/>
      <c r="L582" s="431">
        <f t="shared" si="28"/>
        <v>0</v>
      </c>
      <c r="M582" s="227"/>
      <c r="P582" s="12"/>
      <c r="Q582" s="12"/>
      <c r="R582" s="12"/>
      <c r="S582" s="431">
        <f t="shared" si="29"/>
        <v>0</v>
      </c>
    </row>
    <row r="583" spans="1:19" x14ac:dyDescent="0.25">
      <c r="A583" s="11"/>
      <c r="B583" s="11"/>
      <c r="C583" s="12"/>
      <c r="D583" s="12"/>
      <c r="E583" s="431">
        <f t="shared" si="27"/>
        <v>0</v>
      </c>
      <c r="H583" s="223"/>
      <c r="I583" s="223"/>
      <c r="J583" s="223"/>
      <c r="K583" s="223"/>
      <c r="L583" s="431">
        <f t="shared" si="28"/>
        <v>0</v>
      </c>
      <c r="M583" s="227"/>
      <c r="P583" s="12"/>
      <c r="Q583" s="12"/>
      <c r="R583" s="12"/>
      <c r="S583" s="431">
        <f t="shared" si="29"/>
        <v>0</v>
      </c>
    </row>
    <row r="584" spans="1:19" x14ac:dyDescent="0.25">
      <c r="A584" s="11"/>
      <c r="B584" s="11"/>
      <c r="C584" s="12"/>
      <c r="D584" s="12"/>
      <c r="E584" s="431">
        <f t="shared" si="27"/>
        <v>0</v>
      </c>
      <c r="H584" s="223"/>
      <c r="I584" s="223"/>
      <c r="J584" s="223"/>
      <c r="K584" s="223"/>
      <c r="L584" s="431">
        <f t="shared" si="28"/>
        <v>0</v>
      </c>
      <c r="M584" s="227"/>
      <c r="P584" s="12"/>
      <c r="Q584" s="12"/>
      <c r="R584" s="12"/>
      <c r="S584" s="431">
        <f t="shared" si="29"/>
        <v>0</v>
      </c>
    </row>
    <row r="585" spans="1:19" x14ac:dyDescent="0.25">
      <c r="A585" s="11"/>
      <c r="B585" s="11"/>
      <c r="C585" s="12"/>
      <c r="D585" s="12"/>
      <c r="E585" s="431">
        <f t="shared" si="27"/>
        <v>0</v>
      </c>
      <c r="H585" s="223"/>
      <c r="I585" s="223"/>
      <c r="J585" s="223"/>
      <c r="K585" s="223"/>
      <c r="L585" s="431">
        <f t="shared" si="28"/>
        <v>0</v>
      </c>
      <c r="M585" s="227"/>
      <c r="P585" s="12"/>
      <c r="Q585" s="12"/>
      <c r="R585" s="12"/>
      <c r="S585" s="431">
        <f t="shared" si="29"/>
        <v>0</v>
      </c>
    </row>
    <row r="586" spans="1:19" x14ac:dyDescent="0.25">
      <c r="A586" s="11"/>
      <c r="B586" s="11"/>
      <c r="C586" s="11"/>
      <c r="D586" s="11"/>
      <c r="E586" s="431">
        <f t="shared" si="27"/>
        <v>0</v>
      </c>
      <c r="H586" s="223"/>
      <c r="I586" s="223"/>
      <c r="J586" s="223"/>
      <c r="K586" s="223"/>
      <c r="L586" s="431">
        <f t="shared" si="28"/>
        <v>0</v>
      </c>
      <c r="M586" s="227"/>
      <c r="P586" s="12"/>
      <c r="Q586" s="12"/>
      <c r="R586" s="12"/>
      <c r="S586" s="431">
        <f t="shared" si="29"/>
        <v>0</v>
      </c>
    </row>
    <row r="587" spans="1:19" x14ac:dyDescent="0.25">
      <c r="A587" s="11"/>
      <c r="B587" s="11"/>
      <c r="C587" s="11"/>
      <c r="D587" s="11"/>
      <c r="E587" s="431">
        <f t="shared" si="27"/>
        <v>0</v>
      </c>
      <c r="H587" s="223"/>
      <c r="I587" s="223"/>
      <c r="J587" s="223"/>
      <c r="K587" s="223"/>
      <c r="L587" s="431">
        <f t="shared" si="28"/>
        <v>0</v>
      </c>
      <c r="M587" s="227"/>
      <c r="P587" s="12"/>
      <c r="Q587" s="12"/>
      <c r="R587" s="12"/>
      <c r="S587" s="431">
        <f t="shared" si="29"/>
        <v>0</v>
      </c>
    </row>
    <row r="588" spans="1:19" x14ac:dyDescent="0.25">
      <c r="A588" s="11"/>
      <c r="B588" s="11"/>
      <c r="C588" s="11"/>
      <c r="D588" s="11"/>
      <c r="E588" s="431">
        <f t="shared" si="27"/>
        <v>0</v>
      </c>
      <c r="H588" s="223"/>
      <c r="I588" s="223"/>
      <c r="J588" s="223"/>
      <c r="K588" s="223"/>
      <c r="L588" s="431">
        <f t="shared" si="28"/>
        <v>0</v>
      </c>
      <c r="M588" s="227"/>
      <c r="P588" s="12"/>
      <c r="Q588" s="12"/>
      <c r="R588" s="12"/>
      <c r="S588" s="431">
        <f t="shared" si="29"/>
        <v>0</v>
      </c>
    </row>
    <row r="589" spans="1:19" x14ac:dyDescent="0.25">
      <c r="A589" s="11"/>
      <c r="B589" s="11"/>
      <c r="C589" s="11"/>
      <c r="D589" s="11"/>
      <c r="E589" s="431">
        <f t="shared" si="27"/>
        <v>0</v>
      </c>
      <c r="H589" s="223"/>
      <c r="I589" s="223"/>
      <c r="J589" s="223"/>
      <c r="K589" s="223"/>
      <c r="L589" s="431">
        <f t="shared" si="28"/>
        <v>0</v>
      </c>
      <c r="M589" s="227"/>
      <c r="P589" s="12"/>
      <c r="Q589" s="12"/>
      <c r="R589" s="12"/>
      <c r="S589" s="431">
        <f t="shared" si="29"/>
        <v>0</v>
      </c>
    </row>
    <row r="590" spans="1:19" x14ac:dyDescent="0.25">
      <c r="A590" s="11"/>
      <c r="B590" s="11"/>
      <c r="C590" s="11"/>
      <c r="D590" s="11"/>
      <c r="E590" s="431">
        <f t="shared" si="27"/>
        <v>0</v>
      </c>
      <c r="H590" s="223"/>
      <c r="I590" s="223"/>
      <c r="J590" s="223"/>
      <c r="K590" s="223"/>
      <c r="L590" s="431">
        <f t="shared" si="28"/>
        <v>0</v>
      </c>
      <c r="M590" s="227"/>
      <c r="P590" s="12"/>
      <c r="Q590" s="12"/>
      <c r="R590" s="12"/>
      <c r="S590" s="431">
        <f t="shared" si="29"/>
        <v>0</v>
      </c>
    </row>
    <row r="591" spans="1:19" x14ac:dyDescent="0.25">
      <c r="A591" s="11"/>
      <c r="B591" s="11"/>
      <c r="C591" s="11"/>
      <c r="D591" s="11"/>
      <c r="E591" s="431">
        <f t="shared" si="27"/>
        <v>0</v>
      </c>
      <c r="H591" s="223"/>
      <c r="I591" s="223"/>
      <c r="J591" s="223"/>
      <c r="K591" s="223"/>
      <c r="L591" s="431">
        <f t="shared" si="28"/>
        <v>0</v>
      </c>
      <c r="M591" s="227"/>
      <c r="P591" s="12"/>
      <c r="Q591" s="12"/>
      <c r="R591" s="12"/>
      <c r="S591" s="431">
        <f t="shared" si="29"/>
        <v>0</v>
      </c>
    </row>
    <row r="592" spans="1:19" x14ac:dyDescent="0.25">
      <c r="A592" s="11"/>
      <c r="B592" s="11"/>
      <c r="C592" s="11"/>
      <c r="D592" s="11"/>
      <c r="E592" s="431">
        <f t="shared" si="27"/>
        <v>0</v>
      </c>
      <c r="H592" s="223"/>
      <c r="I592" s="223"/>
      <c r="J592" s="223"/>
      <c r="K592" s="223"/>
      <c r="L592" s="431">
        <f t="shared" si="28"/>
        <v>0</v>
      </c>
      <c r="M592" s="227"/>
      <c r="P592" s="12"/>
      <c r="Q592" s="12"/>
      <c r="R592" s="12"/>
      <c r="S592" s="431">
        <f t="shared" si="29"/>
        <v>0</v>
      </c>
    </row>
    <row r="593" spans="1:19" x14ac:dyDescent="0.25">
      <c r="A593" s="11"/>
      <c r="B593" s="11"/>
      <c r="C593" s="11"/>
      <c r="D593" s="11"/>
      <c r="E593" s="431">
        <f t="shared" si="27"/>
        <v>0</v>
      </c>
      <c r="H593" s="223"/>
      <c r="I593" s="223"/>
      <c r="J593" s="223"/>
      <c r="K593" s="223"/>
      <c r="L593" s="431">
        <f t="shared" si="28"/>
        <v>0</v>
      </c>
      <c r="M593" s="227"/>
      <c r="P593" s="12"/>
      <c r="Q593" s="12"/>
      <c r="R593" s="12"/>
      <c r="S593" s="431">
        <f t="shared" si="29"/>
        <v>0</v>
      </c>
    </row>
    <row r="594" spans="1:19" x14ac:dyDescent="0.25">
      <c r="A594" s="11"/>
      <c r="B594" s="11"/>
      <c r="C594" s="11"/>
      <c r="D594" s="11"/>
      <c r="E594" s="431">
        <f t="shared" si="27"/>
        <v>0</v>
      </c>
      <c r="H594" s="223"/>
      <c r="I594" s="223"/>
      <c r="J594" s="223"/>
      <c r="K594" s="223"/>
      <c r="L594" s="431">
        <f t="shared" si="28"/>
        <v>0</v>
      </c>
      <c r="M594" s="227"/>
      <c r="P594" s="12"/>
      <c r="Q594" s="12"/>
      <c r="R594" s="12"/>
      <c r="S594" s="431">
        <f t="shared" si="29"/>
        <v>0</v>
      </c>
    </row>
    <row r="595" spans="1:19" x14ac:dyDescent="0.25">
      <c r="A595" s="11"/>
      <c r="B595" s="11"/>
      <c r="C595" s="11"/>
      <c r="D595" s="11"/>
      <c r="E595" s="431">
        <f t="shared" si="27"/>
        <v>0</v>
      </c>
      <c r="H595" s="223"/>
      <c r="I595" s="223"/>
      <c r="J595" s="223"/>
      <c r="K595" s="223"/>
      <c r="L595" s="431">
        <f t="shared" si="28"/>
        <v>0</v>
      </c>
      <c r="M595" s="227"/>
      <c r="P595" s="12"/>
      <c r="Q595" s="12"/>
      <c r="R595" s="12"/>
      <c r="S595" s="431">
        <f t="shared" si="29"/>
        <v>0</v>
      </c>
    </row>
    <row r="596" spans="1:19" x14ac:dyDescent="0.25">
      <c r="A596" s="11"/>
      <c r="B596" s="11"/>
      <c r="C596" s="11"/>
      <c r="D596" s="11"/>
      <c r="E596" s="431">
        <f t="shared" si="27"/>
        <v>0</v>
      </c>
      <c r="H596" s="223"/>
      <c r="I596" s="223"/>
      <c r="J596" s="223"/>
      <c r="K596" s="223"/>
      <c r="L596" s="431">
        <f t="shared" si="28"/>
        <v>0</v>
      </c>
      <c r="M596" s="227"/>
      <c r="P596" s="12"/>
      <c r="Q596" s="12"/>
      <c r="R596" s="12"/>
      <c r="S596" s="431">
        <f t="shared" si="29"/>
        <v>0</v>
      </c>
    </row>
    <row r="597" spans="1:19" x14ac:dyDescent="0.25">
      <c r="A597" s="11"/>
      <c r="B597" s="11"/>
      <c r="C597" s="11"/>
      <c r="D597" s="11"/>
      <c r="E597" s="431">
        <f t="shared" si="27"/>
        <v>0</v>
      </c>
      <c r="H597" s="223"/>
      <c r="I597" s="223"/>
      <c r="J597" s="223"/>
      <c r="K597" s="223"/>
      <c r="L597" s="431">
        <f t="shared" si="28"/>
        <v>0</v>
      </c>
      <c r="M597" s="227"/>
      <c r="P597" s="12"/>
      <c r="Q597" s="12"/>
      <c r="R597" s="12"/>
      <c r="S597" s="431">
        <f t="shared" si="29"/>
        <v>0</v>
      </c>
    </row>
    <row r="598" spans="1:19" x14ac:dyDescent="0.25">
      <c r="A598" s="11"/>
      <c r="B598" s="11"/>
      <c r="C598" s="11"/>
      <c r="D598" s="11"/>
      <c r="E598" s="431">
        <f t="shared" si="27"/>
        <v>0</v>
      </c>
      <c r="H598" s="223"/>
      <c r="I598" s="223"/>
      <c r="J598" s="223"/>
      <c r="K598" s="223"/>
      <c r="L598" s="431">
        <f t="shared" si="28"/>
        <v>0</v>
      </c>
      <c r="M598" s="227"/>
      <c r="P598" s="12"/>
      <c r="Q598" s="12"/>
      <c r="R598" s="12"/>
      <c r="S598" s="431">
        <f t="shared" si="29"/>
        <v>0</v>
      </c>
    </row>
    <row r="599" spans="1:19" x14ac:dyDescent="0.25">
      <c r="A599" s="11"/>
      <c r="B599" s="11"/>
      <c r="C599" s="11"/>
      <c r="D599" s="11"/>
      <c r="E599" s="431">
        <f t="shared" si="27"/>
        <v>0</v>
      </c>
      <c r="H599" s="223"/>
      <c r="I599" s="223"/>
      <c r="J599" s="223"/>
      <c r="K599" s="223"/>
      <c r="L599" s="431">
        <f t="shared" si="28"/>
        <v>0</v>
      </c>
      <c r="M599" s="227"/>
      <c r="P599" s="12"/>
      <c r="Q599" s="12"/>
      <c r="R599" s="12"/>
      <c r="S599" s="431">
        <f t="shared" si="29"/>
        <v>0</v>
      </c>
    </row>
    <row r="600" spans="1:19" x14ac:dyDescent="0.25">
      <c r="A600" s="11"/>
      <c r="B600" s="11"/>
      <c r="C600" s="11"/>
      <c r="D600" s="11"/>
      <c r="E600" s="431">
        <f t="shared" si="27"/>
        <v>0</v>
      </c>
      <c r="H600" s="223"/>
      <c r="I600" s="223"/>
      <c r="J600" s="223"/>
      <c r="K600" s="223"/>
      <c r="L600" s="431">
        <f t="shared" si="28"/>
        <v>0</v>
      </c>
      <c r="M600" s="227"/>
      <c r="P600" s="12"/>
      <c r="Q600" s="12"/>
      <c r="R600" s="12"/>
      <c r="S600" s="431">
        <f t="shared" si="29"/>
        <v>0</v>
      </c>
    </row>
    <row r="601" spans="1:19" x14ac:dyDescent="0.25">
      <c r="A601" s="11"/>
      <c r="B601" s="11"/>
      <c r="C601" s="11"/>
      <c r="D601" s="11"/>
      <c r="E601" s="431">
        <f t="shared" si="27"/>
        <v>0</v>
      </c>
      <c r="H601" s="223"/>
      <c r="I601" s="223"/>
      <c r="J601" s="223"/>
      <c r="K601" s="223"/>
      <c r="L601" s="431">
        <f t="shared" si="28"/>
        <v>0</v>
      </c>
      <c r="M601" s="227"/>
      <c r="P601" s="12"/>
      <c r="Q601" s="12"/>
      <c r="R601" s="12"/>
      <c r="S601" s="431">
        <f t="shared" si="29"/>
        <v>0</v>
      </c>
    </row>
    <row r="602" spans="1:19" x14ac:dyDescent="0.25">
      <c r="A602" s="11"/>
      <c r="B602" s="11"/>
      <c r="C602" s="11"/>
      <c r="D602" s="11"/>
      <c r="E602" s="431">
        <f t="shared" si="27"/>
        <v>0</v>
      </c>
      <c r="H602" s="223"/>
      <c r="I602" s="223"/>
      <c r="J602" s="223"/>
      <c r="K602" s="223"/>
      <c r="L602" s="431">
        <f t="shared" si="28"/>
        <v>0</v>
      </c>
      <c r="M602" s="227"/>
      <c r="P602" s="12"/>
      <c r="Q602" s="12"/>
      <c r="R602" s="12"/>
      <c r="S602" s="431">
        <f t="shared" si="29"/>
        <v>0</v>
      </c>
    </row>
    <row r="603" spans="1:19" x14ac:dyDescent="0.25">
      <c r="A603" s="11"/>
      <c r="B603" s="11"/>
      <c r="C603" s="11"/>
      <c r="D603" s="11"/>
      <c r="E603" s="431">
        <f t="shared" si="27"/>
        <v>0</v>
      </c>
      <c r="H603" s="223"/>
      <c r="I603" s="223"/>
      <c r="J603" s="223"/>
      <c r="K603" s="223"/>
      <c r="L603" s="431">
        <f t="shared" si="28"/>
        <v>0</v>
      </c>
      <c r="M603" s="227"/>
      <c r="P603" s="12"/>
      <c r="Q603" s="12"/>
      <c r="R603" s="12"/>
      <c r="S603" s="431">
        <f t="shared" si="29"/>
        <v>0</v>
      </c>
    </row>
    <row r="604" spans="1:19" x14ac:dyDescent="0.25">
      <c r="A604" s="11"/>
      <c r="B604" s="11"/>
      <c r="C604" s="11"/>
      <c r="D604" s="11"/>
      <c r="E604" s="431">
        <f t="shared" si="27"/>
        <v>0</v>
      </c>
      <c r="H604" s="223"/>
      <c r="I604" s="223"/>
      <c r="J604" s="223"/>
      <c r="K604" s="223"/>
      <c r="L604" s="431">
        <f t="shared" si="28"/>
        <v>0</v>
      </c>
      <c r="M604" s="227"/>
      <c r="P604" s="12"/>
      <c r="Q604" s="12"/>
      <c r="R604" s="12"/>
      <c r="S604" s="431">
        <f t="shared" si="29"/>
        <v>0</v>
      </c>
    </row>
    <row r="605" spans="1:19" x14ac:dyDescent="0.25">
      <c r="A605" s="11"/>
      <c r="B605" s="11"/>
      <c r="C605" s="11"/>
      <c r="D605" s="11"/>
      <c r="E605" s="431">
        <f t="shared" si="27"/>
        <v>0</v>
      </c>
      <c r="H605" s="223"/>
      <c r="I605" s="223"/>
      <c r="J605" s="223"/>
      <c r="K605" s="223"/>
      <c r="L605" s="431">
        <f t="shared" si="28"/>
        <v>0</v>
      </c>
      <c r="M605" s="227"/>
      <c r="P605" s="12"/>
      <c r="Q605" s="12"/>
      <c r="R605" s="12"/>
      <c r="S605" s="431">
        <f t="shared" si="29"/>
        <v>0</v>
      </c>
    </row>
    <row r="606" spans="1:19" x14ac:dyDescent="0.25">
      <c r="A606" s="11"/>
      <c r="B606" s="11"/>
      <c r="C606" s="11"/>
      <c r="D606" s="11"/>
      <c r="E606" s="431">
        <f t="shared" si="27"/>
        <v>0</v>
      </c>
      <c r="H606" s="223"/>
      <c r="I606" s="223"/>
      <c r="J606" s="223"/>
      <c r="K606" s="223"/>
      <c r="L606" s="431">
        <f t="shared" si="28"/>
        <v>0</v>
      </c>
      <c r="M606" s="227"/>
      <c r="P606" s="12"/>
      <c r="Q606" s="12"/>
      <c r="R606" s="12"/>
      <c r="S606" s="431">
        <f t="shared" si="29"/>
        <v>0</v>
      </c>
    </row>
    <row r="607" spans="1:19" x14ac:dyDescent="0.25">
      <c r="A607" s="11"/>
      <c r="B607" s="11"/>
      <c r="C607" s="11"/>
      <c r="D607" s="11"/>
      <c r="E607" s="431">
        <f t="shared" si="27"/>
        <v>0</v>
      </c>
      <c r="H607" s="223"/>
      <c r="I607" s="223"/>
      <c r="J607" s="223"/>
      <c r="K607" s="223"/>
      <c r="L607" s="431">
        <f t="shared" si="28"/>
        <v>0</v>
      </c>
      <c r="M607" s="227"/>
      <c r="P607" s="12"/>
      <c r="Q607" s="12"/>
      <c r="R607" s="12"/>
      <c r="S607" s="431">
        <f t="shared" si="29"/>
        <v>0</v>
      </c>
    </row>
    <row r="608" spans="1:19" x14ac:dyDescent="0.25">
      <c r="A608" s="11"/>
      <c r="B608" s="11"/>
      <c r="C608" s="11"/>
      <c r="D608" s="11"/>
      <c r="E608" s="431">
        <f t="shared" si="27"/>
        <v>0</v>
      </c>
      <c r="H608" s="223"/>
      <c r="I608" s="223"/>
      <c r="J608" s="223"/>
      <c r="K608" s="223"/>
      <c r="L608" s="431">
        <f t="shared" si="28"/>
        <v>0</v>
      </c>
      <c r="M608" s="227"/>
      <c r="P608" s="12"/>
      <c r="Q608" s="12"/>
      <c r="R608" s="12"/>
      <c r="S608" s="431">
        <f t="shared" si="29"/>
        <v>0</v>
      </c>
    </row>
    <row r="609" spans="1:19" x14ac:dyDescent="0.25">
      <c r="A609" s="11"/>
      <c r="B609" s="11"/>
      <c r="C609" s="11"/>
      <c r="D609" s="11"/>
      <c r="E609" s="431">
        <f t="shared" si="27"/>
        <v>0</v>
      </c>
      <c r="H609" s="223"/>
      <c r="I609" s="223"/>
      <c r="J609" s="223"/>
      <c r="K609" s="223"/>
      <c r="L609" s="431">
        <f t="shared" si="28"/>
        <v>0</v>
      </c>
      <c r="M609" s="227"/>
      <c r="P609" s="12"/>
      <c r="Q609" s="12"/>
      <c r="R609" s="12"/>
      <c r="S609" s="431">
        <f t="shared" si="29"/>
        <v>0</v>
      </c>
    </row>
    <row r="610" spans="1:19" x14ac:dyDescent="0.25">
      <c r="A610" s="11"/>
      <c r="B610" s="11"/>
      <c r="C610" s="11"/>
      <c r="D610" s="11"/>
      <c r="E610" s="431">
        <f t="shared" si="27"/>
        <v>0</v>
      </c>
      <c r="H610" s="223"/>
      <c r="I610" s="223"/>
      <c r="J610" s="223"/>
      <c r="K610" s="223"/>
      <c r="L610" s="431">
        <f t="shared" si="28"/>
        <v>0</v>
      </c>
      <c r="M610" s="227"/>
      <c r="P610" s="12"/>
      <c r="Q610" s="12"/>
      <c r="R610" s="12"/>
      <c r="S610" s="431">
        <f t="shared" si="29"/>
        <v>0</v>
      </c>
    </row>
    <row r="611" spans="1:19" x14ac:dyDescent="0.25">
      <c r="A611" s="11"/>
      <c r="B611" s="11"/>
      <c r="C611" s="11"/>
      <c r="D611" s="11"/>
      <c r="E611" s="431">
        <f t="shared" si="27"/>
        <v>0</v>
      </c>
      <c r="H611" s="223"/>
      <c r="I611" s="223"/>
      <c r="J611" s="223"/>
      <c r="K611" s="223"/>
      <c r="L611" s="431">
        <f t="shared" si="28"/>
        <v>0</v>
      </c>
      <c r="M611" s="227"/>
      <c r="P611" s="12"/>
      <c r="Q611" s="12"/>
      <c r="R611" s="12"/>
      <c r="S611" s="431">
        <f t="shared" si="29"/>
        <v>0</v>
      </c>
    </row>
    <row r="612" spans="1:19" x14ac:dyDescent="0.25">
      <c r="A612" s="11"/>
      <c r="B612" s="11"/>
      <c r="C612" s="11"/>
      <c r="D612" s="11"/>
      <c r="E612" s="431">
        <f t="shared" si="27"/>
        <v>0</v>
      </c>
      <c r="H612" s="223"/>
      <c r="I612" s="223"/>
      <c r="J612" s="223"/>
      <c r="K612" s="223"/>
      <c r="L612" s="431">
        <f t="shared" si="28"/>
        <v>0</v>
      </c>
      <c r="M612" s="227"/>
      <c r="P612" s="12"/>
      <c r="Q612" s="12"/>
      <c r="R612" s="12"/>
      <c r="S612" s="431">
        <f t="shared" si="29"/>
        <v>0</v>
      </c>
    </row>
    <row r="613" spans="1:19" x14ac:dyDescent="0.25">
      <c r="A613" s="11"/>
      <c r="B613" s="11"/>
      <c r="C613" s="11"/>
      <c r="D613" s="11"/>
      <c r="E613" s="431">
        <f t="shared" si="27"/>
        <v>0</v>
      </c>
      <c r="H613" s="223"/>
      <c r="I613" s="223"/>
      <c r="J613" s="223"/>
      <c r="K613" s="223"/>
      <c r="L613" s="431">
        <f t="shared" si="28"/>
        <v>0</v>
      </c>
      <c r="M613" s="227"/>
      <c r="P613" s="12"/>
      <c r="Q613" s="12"/>
      <c r="R613" s="12"/>
      <c r="S613" s="431">
        <f t="shared" si="29"/>
        <v>0</v>
      </c>
    </row>
    <row r="614" spans="1:19" x14ac:dyDescent="0.25">
      <c r="A614" s="11"/>
      <c r="B614" s="11"/>
      <c r="C614" s="11"/>
      <c r="D614" s="11"/>
      <c r="E614" s="431">
        <f t="shared" si="27"/>
        <v>0</v>
      </c>
      <c r="H614" s="223"/>
      <c r="I614" s="223"/>
      <c r="J614" s="223"/>
      <c r="K614" s="223"/>
      <c r="L614" s="431">
        <f t="shared" si="28"/>
        <v>0</v>
      </c>
      <c r="M614" s="227"/>
      <c r="P614" s="12"/>
      <c r="Q614" s="12"/>
      <c r="R614" s="12"/>
      <c r="S614" s="431">
        <f t="shared" si="29"/>
        <v>0</v>
      </c>
    </row>
    <row r="615" spans="1:19" x14ac:dyDescent="0.25">
      <c r="A615" s="11"/>
      <c r="B615" s="11"/>
      <c r="C615" s="11"/>
      <c r="D615" s="11"/>
      <c r="E615" s="431">
        <f t="shared" si="27"/>
        <v>0</v>
      </c>
      <c r="H615" s="223"/>
      <c r="I615" s="223"/>
      <c r="J615" s="223"/>
      <c r="K615" s="223"/>
      <c r="L615" s="431">
        <f t="shared" si="28"/>
        <v>0</v>
      </c>
      <c r="M615" s="227"/>
      <c r="P615" s="12"/>
      <c r="Q615" s="12"/>
      <c r="R615" s="12"/>
      <c r="S615" s="431">
        <f t="shared" si="29"/>
        <v>0</v>
      </c>
    </row>
    <row r="616" spans="1:19" x14ac:dyDescent="0.25">
      <c r="A616" s="11"/>
      <c r="B616" s="11"/>
      <c r="C616" s="11"/>
      <c r="D616" s="11"/>
      <c r="E616" s="431">
        <f t="shared" si="27"/>
        <v>0</v>
      </c>
      <c r="H616" s="223"/>
      <c r="I616" s="223"/>
      <c r="J616" s="223"/>
      <c r="K616" s="223"/>
      <c r="L616" s="431">
        <f t="shared" si="28"/>
        <v>0</v>
      </c>
      <c r="M616" s="227"/>
      <c r="P616" s="12"/>
      <c r="Q616" s="12"/>
      <c r="R616" s="12"/>
      <c r="S616" s="431">
        <f t="shared" si="29"/>
        <v>0</v>
      </c>
    </row>
    <row r="617" spans="1:19" x14ac:dyDescent="0.25">
      <c r="A617" s="11"/>
      <c r="B617" s="11"/>
      <c r="C617" s="11"/>
      <c r="D617" s="11"/>
      <c r="E617" s="431">
        <f t="shared" si="27"/>
        <v>0</v>
      </c>
      <c r="H617" s="223"/>
      <c r="I617" s="223"/>
      <c r="J617" s="223"/>
      <c r="K617" s="223"/>
      <c r="L617" s="431">
        <f t="shared" si="28"/>
        <v>0</v>
      </c>
      <c r="M617" s="227"/>
      <c r="P617" s="12"/>
      <c r="Q617" s="12"/>
      <c r="R617" s="12"/>
      <c r="S617" s="431">
        <f t="shared" si="29"/>
        <v>0</v>
      </c>
    </row>
    <row r="618" spans="1:19" x14ac:dyDescent="0.25">
      <c r="A618" s="11"/>
      <c r="B618" s="11"/>
      <c r="C618" s="11"/>
      <c r="D618" s="11"/>
      <c r="E618" s="431">
        <f t="shared" si="27"/>
        <v>0</v>
      </c>
      <c r="H618" s="223"/>
      <c r="I618" s="223"/>
      <c r="J618" s="223"/>
      <c r="K618" s="223"/>
      <c r="L618" s="431">
        <f t="shared" si="28"/>
        <v>0</v>
      </c>
      <c r="M618" s="227"/>
      <c r="P618" s="12"/>
      <c r="Q618" s="12"/>
      <c r="R618" s="12"/>
      <c r="S618" s="431">
        <f t="shared" si="29"/>
        <v>0</v>
      </c>
    </row>
    <row r="619" spans="1:19" x14ac:dyDescent="0.25">
      <c r="A619" s="11"/>
      <c r="B619" s="11"/>
      <c r="C619" s="11"/>
      <c r="D619" s="11"/>
      <c r="E619" s="431">
        <f t="shared" si="27"/>
        <v>0</v>
      </c>
      <c r="H619" s="223"/>
      <c r="I619" s="223"/>
      <c r="J619" s="223"/>
      <c r="K619" s="223"/>
      <c r="L619" s="431">
        <f t="shared" si="28"/>
        <v>0</v>
      </c>
      <c r="M619" s="227"/>
      <c r="P619" s="12"/>
      <c r="Q619" s="12"/>
      <c r="R619" s="12"/>
      <c r="S619" s="431">
        <f t="shared" si="29"/>
        <v>0</v>
      </c>
    </row>
    <row r="620" spans="1:19" x14ac:dyDescent="0.25">
      <c r="A620" s="11"/>
      <c r="B620" s="11"/>
      <c r="C620" s="11"/>
      <c r="D620" s="11"/>
      <c r="E620" s="431">
        <f t="shared" si="27"/>
        <v>0</v>
      </c>
      <c r="H620" s="223"/>
      <c r="I620" s="223"/>
      <c r="J620" s="223"/>
      <c r="K620" s="223"/>
      <c r="L620" s="431">
        <f t="shared" si="28"/>
        <v>0</v>
      </c>
      <c r="M620" s="227"/>
      <c r="P620" s="12"/>
      <c r="Q620" s="12"/>
      <c r="R620" s="12"/>
      <c r="S620" s="431">
        <f t="shared" si="29"/>
        <v>0</v>
      </c>
    </row>
    <row r="621" spans="1:19" x14ac:dyDescent="0.25">
      <c r="A621" s="11"/>
      <c r="B621" s="11"/>
      <c r="C621" s="11"/>
      <c r="D621" s="11"/>
      <c r="E621" s="431">
        <f t="shared" si="27"/>
        <v>0</v>
      </c>
      <c r="H621" s="223"/>
      <c r="I621" s="223"/>
      <c r="J621" s="223"/>
      <c r="K621" s="223"/>
      <c r="L621" s="431">
        <f t="shared" si="28"/>
        <v>0</v>
      </c>
      <c r="M621" s="227"/>
      <c r="P621" s="12"/>
      <c r="Q621" s="12"/>
      <c r="R621" s="12"/>
      <c r="S621" s="431">
        <f t="shared" si="29"/>
        <v>0</v>
      </c>
    </row>
    <row r="622" spans="1:19" x14ac:dyDescent="0.25">
      <c r="A622" s="11"/>
      <c r="B622" s="11"/>
      <c r="C622" s="11"/>
      <c r="D622" s="11"/>
      <c r="E622" s="431">
        <f t="shared" si="27"/>
        <v>0</v>
      </c>
      <c r="H622" s="223"/>
      <c r="I622" s="223"/>
      <c r="J622" s="223"/>
      <c r="K622" s="223"/>
      <c r="L622" s="431">
        <f t="shared" si="28"/>
        <v>0</v>
      </c>
      <c r="M622" s="227"/>
      <c r="P622" s="12"/>
      <c r="Q622" s="12"/>
      <c r="R622" s="12"/>
      <c r="S622" s="431">
        <f t="shared" si="29"/>
        <v>0</v>
      </c>
    </row>
    <row r="623" spans="1:19" x14ac:dyDescent="0.25">
      <c r="A623" s="11"/>
      <c r="B623" s="11"/>
      <c r="C623" s="11"/>
      <c r="D623" s="11"/>
      <c r="E623" s="431">
        <f t="shared" si="27"/>
        <v>0</v>
      </c>
      <c r="H623" s="223"/>
      <c r="I623" s="223"/>
      <c r="J623" s="223"/>
      <c r="K623" s="223"/>
      <c r="L623" s="431">
        <f t="shared" si="28"/>
        <v>0</v>
      </c>
      <c r="M623" s="227"/>
      <c r="P623" s="12"/>
      <c r="Q623" s="12"/>
      <c r="R623" s="12"/>
      <c r="S623" s="431">
        <f t="shared" si="29"/>
        <v>0</v>
      </c>
    </row>
    <row r="624" spans="1:19" x14ac:dyDescent="0.25">
      <c r="A624" s="11"/>
      <c r="B624" s="11"/>
      <c r="C624" s="11"/>
      <c r="D624" s="11"/>
      <c r="E624" s="431">
        <f t="shared" si="27"/>
        <v>0</v>
      </c>
      <c r="H624" s="223"/>
      <c r="I624" s="223"/>
      <c r="J624" s="223"/>
      <c r="K624" s="223"/>
      <c r="L624" s="431">
        <f t="shared" si="28"/>
        <v>0</v>
      </c>
      <c r="M624" s="227"/>
      <c r="P624" s="12"/>
      <c r="Q624" s="12"/>
      <c r="R624" s="12"/>
      <c r="S624" s="431">
        <f t="shared" si="29"/>
        <v>0</v>
      </c>
    </row>
    <row r="625" spans="1:19" x14ac:dyDescent="0.25">
      <c r="A625" s="11"/>
      <c r="B625" s="11"/>
      <c r="C625" s="11"/>
      <c r="D625" s="11"/>
      <c r="E625" s="431">
        <f t="shared" si="27"/>
        <v>0</v>
      </c>
      <c r="H625" s="223"/>
      <c r="I625" s="223"/>
      <c r="J625" s="223"/>
      <c r="K625" s="223"/>
      <c r="L625" s="431">
        <f t="shared" si="28"/>
        <v>0</v>
      </c>
      <c r="M625" s="227"/>
      <c r="P625" s="12"/>
      <c r="Q625" s="12"/>
      <c r="R625" s="12"/>
      <c r="S625" s="431">
        <f t="shared" si="29"/>
        <v>0</v>
      </c>
    </row>
    <row r="626" spans="1:19" x14ac:dyDescent="0.25">
      <c r="A626" s="11"/>
      <c r="B626" s="11"/>
      <c r="C626" s="11"/>
      <c r="D626" s="11"/>
      <c r="E626" s="431">
        <f t="shared" si="27"/>
        <v>0</v>
      </c>
      <c r="H626" s="223"/>
      <c r="I626" s="223"/>
      <c r="J626" s="223"/>
      <c r="K626" s="223"/>
      <c r="L626" s="431">
        <f t="shared" si="28"/>
        <v>0</v>
      </c>
      <c r="M626" s="227"/>
      <c r="P626" s="12"/>
      <c r="Q626" s="12"/>
      <c r="R626" s="12"/>
      <c r="S626" s="431">
        <f t="shared" si="29"/>
        <v>0</v>
      </c>
    </row>
    <row r="627" spans="1:19" x14ac:dyDescent="0.25">
      <c r="A627" s="11"/>
      <c r="B627" s="11"/>
      <c r="C627" s="11"/>
      <c r="D627" s="11"/>
      <c r="E627" s="431">
        <f t="shared" si="27"/>
        <v>0</v>
      </c>
      <c r="H627" s="223"/>
      <c r="I627" s="223"/>
      <c r="J627" s="223"/>
      <c r="K627" s="223"/>
      <c r="L627" s="431">
        <f t="shared" si="28"/>
        <v>0</v>
      </c>
      <c r="M627" s="227"/>
      <c r="P627" s="12"/>
      <c r="Q627" s="12"/>
      <c r="R627" s="12"/>
      <c r="S627" s="431">
        <f t="shared" si="29"/>
        <v>0</v>
      </c>
    </row>
    <row r="628" spans="1:19" x14ac:dyDescent="0.25">
      <c r="A628" s="11"/>
      <c r="B628" s="11"/>
      <c r="C628" s="11"/>
      <c r="D628" s="11"/>
      <c r="E628" s="431">
        <f t="shared" si="27"/>
        <v>0</v>
      </c>
      <c r="H628" s="223"/>
      <c r="I628" s="223"/>
      <c r="J628" s="223"/>
      <c r="K628" s="223"/>
      <c r="L628" s="431">
        <f t="shared" si="28"/>
        <v>0</v>
      </c>
      <c r="M628" s="227"/>
      <c r="P628" s="12"/>
      <c r="Q628" s="12"/>
      <c r="R628" s="12"/>
      <c r="S628" s="431">
        <f t="shared" si="29"/>
        <v>0</v>
      </c>
    </row>
    <row r="629" spans="1:19" x14ac:dyDescent="0.25">
      <c r="A629" s="11"/>
      <c r="B629" s="11"/>
      <c r="C629" s="11"/>
      <c r="D629" s="11"/>
      <c r="E629" s="431">
        <f t="shared" si="27"/>
        <v>0</v>
      </c>
      <c r="H629" s="223"/>
      <c r="I629" s="223"/>
      <c r="J629" s="223"/>
      <c r="K629" s="223"/>
      <c r="L629" s="431">
        <f t="shared" si="28"/>
        <v>0</v>
      </c>
      <c r="M629" s="227"/>
      <c r="P629" s="12"/>
      <c r="Q629" s="12"/>
      <c r="R629" s="12"/>
      <c r="S629" s="431">
        <f t="shared" si="29"/>
        <v>0</v>
      </c>
    </row>
    <row r="630" spans="1:19" x14ac:dyDescent="0.25">
      <c r="A630" s="11"/>
      <c r="B630" s="11"/>
      <c r="C630" s="11"/>
      <c r="D630" s="11"/>
      <c r="E630" s="431">
        <f t="shared" si="27"/>
        <v>0</v>
      </c>
      <c r="H630" s="223"/>
      <c r="I630" s="223"/>
      <c r="J630" s="223"/>
      <c r="K630" s="223"/>
      <c r="L630" s="431">
        <f t="shared" si="28"/>
        <v>0</v>
      </c>
      <c r="M630" s="227"/>
      <c r="P630" s="12"/>
      <c r="Q630" s="12"/>
      <c r="R630" s="12"/>
      <c r="S630" s="431">
        <f t="shared" si="29"/>
        <v>0</v>
      </c>
    </row>
    <row r="631" spans="1:19" x14ac:dyDescent="0.25">
      <c r="A631" s="11"/>
      <c r="B631" s="11"/>
      <c r="C631" s="11"/>
      <c r="D631" s="11"/>
      <c r="E631" s="431">
        <f t="shared" si="27"/>
        <v>0</v>
      </c>
      <c r="H631" s="223"/>
      <c r="I631" s="223"/>
      <c r="J631" s="223"/>
      <c r="K631" s="223"/>
      <c r="L631" s="431">
        <f t="shared" si="28"/>
        <v>0</v>
      </c>
      <c r="M631" s="227"/>
      <c r="P631" s="12"/>
      <c r="Q631" s="12"/>
      <c r="R631" s="12"/>
      <c r="S631" s="431">
        <f t="shared" si="29"/>
        <v>0</v>
      </c>
    </row>
    <row r="632" spans="1:19" x14ac:dyDescent="0.25">
      <c r="A632" s="11"/>
      <c r="B632" s="11"/>
      <c r="C632" s="11"/>
      <c r="D632" s="11"/>
      <c r="E632" s="431">
        <f t="shared" si="27"/>
        <v>0</v>
      </c>
      <c r="H632" s="223"/>
      <c r="I632" s="223"/>
      <c r="J632" s="223"/>
      <c r="K632" s="223"/>
      <c r="L632" s="431">
        <f t="shared" si="28"/>
        <v>0</v>
      </c>
      <c r="M632" s="227"/>
      <c r="P632" s="12"/>
      <c r="Q632" s="12"/>
      <c r="R632" s="12"/>
      <c r="S632" s="431">
        <f t="shared" si="29"/>
        <v>0</v>
      </c>
    </row>
    <row r="633" spans="1:19" x14ac:dyDescent="0.25">
      <c r="A633" s="11"/>
      <c r="B633" s="11"/>
      <c r="C633" s="11"/>
      <c r="D633" s="11"/>
      <c r="E633" s="431">
        <f t="shared" si="27"/>
        <v>0</v>
      </c>
      <c r="H633" s="223"/>
      <c r="I633" s="223"/>
      <c r="J633" s="223"/>
      <c r="K633" s="223"/>
      <c r="L633" s="431">
        <f t="shared" si="28"/>
        <v>0</v>
      </c>
      <c r="M633" s="227"/>
      <c r="P633" s="12"/>
      <c r="Q633" s="12"/>
      <c r="R633" s="12"/>
      <c r="S633" s="431">
        <f t="shared" si="29"/>
        <v>0</v>
      </c>
    </row>
    <row r="634" spans="1:19" x14ac:dyDescent="0.25">
      <c r="A634" s="11"/>
      <c r="B634" s="11"/>
      <c r="C634" s="11"/>
      <c r="D634" s="11"/>
      <c r="E634" s="431">
        <f t="shared" si="27"/>
        <v>0</v>
      </c>
      <c r="H634" s="223"/>
      <c r="I634" s="223"/>
      <c r="J634" s="223"/>
      <c r="K634" s="223"/>
      <c r="L634" s="431">
        <f t="shared" si="28"/>
        <v>0</v>
      </c>
      <c r="M634" s="227"/>
      <c r="P634" s="12"/>
      <c r="Q634" s="12"/>
      <c r="R634" s="12"/>
      <c r="S634" s="431">
        <f t="shared" si="29"/>
        <v>0</v>
      </c>
    </row>
    <row r="635" spans="1:19" x14ac:dyDescent="0.25">
      <c r="A635" s="11"/>
      <c r="B635" s="11"/>
      <c r="C635" s="11"/>
      <c r="D635" s="11"/>
      <c r="E635" s="431">
        <f t="shared" si="27"/>
        <v>0</v>
      </c>
      <c r="H635" s="223"/>
      <c r="I635" s="223"/>
      <c r="J635" s="223"/>
      <c r="K635" s="223"/>
      <c r="L635" s="431">
        <f t="shared" si="28"/>
        <v>0</v>
      </c>
      <c r="M635" s="227"/>
      <c r="P635" s="12"/>
      <c r="Q635" s="12"/>
      <c r="R635" s="12"/>
      <c r="S635" s="431">
        <f t="shared" si="29"/>
        <v>0</v>
      </c>
    </row>
    <row r="636" spans="1:19" x14ac:dyDescent="0.25">
      <c r="A636" s="11"/>
      <c r="B636" s="11"/>
      <c r="C636" s="11"/>
      <c r="D636" s="11"/>
      <c r="E636" s="431">
        <f t="shared" si="27"/>
        <v>0</v>
      </c>
      <c r="H636" s="223"/>
      <c r="I636" s="223"/>
      <c r="J636" s="223"/>
      <c r="K636" s="223"/>
      <c r="L636" s="431">
        <f t="shared" si="28"/>
        <v>0</v>
      </c>
      <c r="M636" s="227"/>
      <c r="P636" s="12"/>
      <c r="Q636" s="12"/>
      <c r="R636" s="12"/>
      <c r="S636" s="431">
        <f t="shared" si="29"/>
        <v>0</v>
      </c>
    </row>
    <row r="637" spans="1:19" x14ac:dyDescent="0.25">
      <c r="A637" s="11"/>
      <c r="B637" s="11"/>
      <c r="C637" s="11"/>
      <c r="D637" s="11"/>
      <c r="E637" s="431">
        <f t="shared" si="27"/>
        <v>0</v>
      </c>
      <c r="H637" s="223"/>
      <c r="I637" s="223"/>
      <c r="J637" s="223"/>
      <c r="K637" s="223"/>
      <c r="L637" s="431">
        <f t="shared" si="28"/>
        <v>0</v>
      </c>
      <c r="M637" s="227"/>
      <c r="P637" s="12"/>
      <c r="Q637" s="12"/>
      <c r="R637" s="12"/>
      <c r="S637" s="431">
        <f t="shared" si="29"/>
        <v>0</v>
      </c>
    </row>
    <row r="638" spans="1:19" x14ac:dyDescent="0.25">
      <c r="A638" s="11"/>
      <c r="B638" s="11"/>
      <c r="C638" s="11"/>
      <c r="D638" s="11"/>
      <c r="E638" s="431">
        <f t="shared" si="27"/>
        <v>0</v>
      </c>
      <c r="H638" s="223"/>
      <c r="I638" s="223"/>
      <c r="J638" s="223"/>
      <c r="K638" s="223"/>
      <c r="L638" s="431">
        <f t="shared" si="28"/>
        <v>0</v>
      </c>
      <c r="M638" s="227"/>
      <c r="P638" s="12"/>
      <c r="Q638" s="12"/>
      <c r="R638" s="12"/>
      <c r="S638" s="431">
        <f t="shared" si="29"/>
        <v>0</v>
      </c>
    </row>
    <row r="639" spans="1:19" x14ac:dyDescent="0.25">
      <c r="A639" s="11"/>
      <c r="B639" s="11"/>
      <c r="C639" s="11"/>
      <c r="D639" s="11"/>
      <c r="E639" s="431">
        <f t="shared" si="27"/>
        <v>0</v>
      </c>
      <c r="H639" s="223"/>
      <c r="I639" s="223"/>
      <c r="J639" s="223"/>
      <c r="K639" s="223"/>
      <c r="L639" s="431">
        <f t="shared" si="28"/>
        <v>0</v>
      </c>
      <c r="M639" s="227"/>
      <c r="P639" s="12"/>
      <c r="Q639" s="12"/>
      <c r="R639" s="12"/>
      <c r="S639" s="431">
        <f t="shared" si="29"/>
        <v>0</v>
      </c>
    </row>
    <row r="640" spans="1:19" x14ac:dyDescent="0.25">
      <c r="A640" s="11"/>
      <c r="B640" s="11"/>
      <c r="C640" s="11"/>
      <c r="D640" s="11"/>
      <c r="E640" s="431">
        <f t="shared" si="27"/>
        <v>0</v>
      </c>
      <c r="H640" s="223"/>
      <c r="I640" s="223"/>
      <c r="J640" s="223"/>
      <c r="K640" s="223"/>
      <c r="L640" s="431">
        <f t="shared" si="28"/>
        <v>0</v>
      </c>
      <c r="M640" s="227"/>
      <c r="P640" s="12"/>
      <c r="Q640" s="12"/>
      <c r="R640" s="12"/>
      <c r="S640" s="431">
        <f t="shared" si="29"/>
        <v>0</v>
      </c>
    </row>
    <row r="641" spans="1:19" x14ac:dyDescent="0.25">
      <c r="A641" s="11"/>
      <c r="B641" s="11"/>
      <c r="C641" s="11"/>
      <c r="D641" s="11"/>
      <c r="E641" s="431">
        <f t="shared" si="27"/>
        <v>0</v>
      </c>
      <c r="H641" s="223"/>
      <c r="I641" s="223"/>
      <c r="J641" s="223"/>
      <c r="K641" s="223"/>
      <c r="L641" s="431">
        <f t="shared" si="28"/>
        <v>0</v>
      </c>
      <c r="M641" s="227"/>
      <c r="P641" s="12"/>
      <c r="Q641" s="12"/>
      <c r="R641" s="12"/>
      <c r="S641" s="431">
        <f t="shared" si="29"/>
        <v>0</v>
      </c>
    </row>
    <row r="642" spans="1:19" x14ac:dyDescent="0.25">
      <c r="A642" s="11"/>
      <c r="B642" s="11"/>
      <c r="C642" s="11"/>
      <c r="D642" s="11"/>
      <c r="E642" s="431">
        <f t="shared" si="27"/>
        <v>0</v>
      </c>
      <c r="H642" s="223"/>
      <c r="I642" s="223"/>
      <c r="J642" s="223"/>
      <c r="K642" s="223"/>
      <c r="L642" s="431">
        <f t="shared" si="28"/>
        <v>0</v>
      </c>
      <c r="M642" s="227"/>
      <c r="P642" s="12"/>
      <c r="Q642" s="12"/>
      <c r="R642" s="12"/>
      <c r="S642" s="431">
        <f t="shared" si="29"/>
        <v>0</v>
      </c>
    </row>
    <row r="643" spans="1:19" x14ac:dyDescent="0.25">
      <c r="A643" s="11"/>
      <c r="B643" s="11"/>
      <c r="C643" s="11"/>
      <c r="D643" s="11"/>
      <c r="E643" s="431">
        <f t="shared" si="27"/>
        <v>0</v>
      </c>
      <c r="H643" s="223"/>
      <c r="I643" s="223"/>
      <c r="J643" s="223"/>
      <c r="K643" s="223"/>
      <c r="L643" s="431">
        <f t="shared" si="28"/>
        <v>0</v>
      </c>
      <c r="M643" s="227"/>
      <c r="P643" s="12"/>
      <c r="Q643" s="12"/>
      <c r="R643" s="12"/>
      <c r="S643" s="431">
        <f t="shared" si="29"/>
        <v>0</v>
      </c>
    </row>
    <row r="644" spans="1:19" x14ac:dyDescent="0.25">
      <c r="A644" s="11"/>
      <c r="B644" s="11"/>
      <c r="C644" s="11"/>
      <c r="D644" s="11"/>
      <c r="E644" s="431">
        <f t="shared" ref="E644:E707" si="30">+D644/100</f>
        <v>0</v>
      </c>
      <c r="H644" s="223"/>
      <c r="I644" s="223"/>
      <c r="J644" s="223"/>
      <c r="K644" s="223"/>
      <c r="L644" s="431">
        <f t="shared" ref="L644:L707" si="31">+K644/100</f>
        <v>0</v>
      </c>
      <c r="M644" s="227"/>
      <c r="P644" s="12"/>
      <c r="Q644" s="12"/>
      <c r="R644" s="12"/>
      <c r="S644" s="431">
        <f t="shared" ref="S644:S707" si="32">+R644/100</f>
        <v>0</v>
      </c>
    </row>
    <row r="645" spans="1:19" x14ac:dyDescent="0.25">
      <c r="A645" s="11"/>
      <c r="B645" s="11"/>
      <c r="C645" s="11"/>
      <c r="D645" s="11"/>
      <c r="E645" s="431">
        <f t="shared" si="30"/>
        <v>0</v>
      </c>
      <c r="H645" s="223"/>
      <c r="I645" s="223"/>
      <c r="J645" s="223"/>
      <c r="K645" s="223"/>
      <c r="L645" s="431">
        <f t="shared" si="31"/>
        <v>0</v>
      </c>
      <c r="M645" s="227"/>
      <c r="P645" s="12"/>
      <c r="Q645" s="12"/>
      <c r="R645" s="12"/>
      <c r="S645" s="431">
        <f t="shared" si="32"/>
        <v>0</v>
      </c>
    </row>
    <row r="646" spans="1:19" x14ac:dyDescent="0.25">
      <c r="A646" s="11"/>
      <c r="B646" s="11"/>
      <c r="C646" s="11"/>
      <c r="D646" s="11"/>
      <c r="E646" s="431">
        <f t="shared" si="30"/>
        <v>0</v>
      </c>
      <c r="H646" s="223"/>
      <c r="I646" s="223"/>
      <c r="J646" s="223"/>
      <c r="K646" s="223"/>
      <c r="L646" s="431">
        <f t="shared" si="31"/>
        <v>0</v>
      </c>
      <c r="M646" s="227"/>
      <c r="P646" s="12"/>
      <c r="Q646" s="12"/>
      <c r="R646" s="12"/>
      <c r="S646" s="431">
        <f t="shared" si="32"/>
        <v>0</v>
      </c>
    </row>
    <row r="647" spans="1:19" x14ac:dyDescent="0.25">
      <c r="A647" s="11"/>
      <c r="B647" s="11"/>
      <c r="C647" s="11"/>
      <c r="D647" s="11"/>
      <c r="E647" s="431">
        <f t="shared" si="30"/>
        <v>0</v>
      </c>
      <c r="H647" s="223"/>
      <c r="I647" s="223"/>
      <c r="J647" s="223"/>
      <c r="K647" s="223"/>
      <c r="L647" s="431">
        <f t="shared" si="31"/>
        <v>0</v>
      </c>
      <c r="M647" s="227"/>
      <c r="P647" s="12"/>
      <c r="Q647" s="12"/>
      <c r="R647" s="12"/>
      <c r="S647" s="431">
        <f t="shared" si="32"/>
        <v>0</v>
      </c>
    </row>
    <row r="648" spans="1:19" x14ac:dyDescent="0.25">
      <c r="A648" s="11"/>
      <c r="B648" s="11"/>
      <c r="C648" s="11"/>
      <c r="D648" s="11"/>
      <c r="E648" s="431">
        <f t="shared" si="30"/>
        <v>0</v>
      </c>
      <c r="H648" s="223"/>
      <c r="I648" s="223"/>
      <c r="J648" s="223"/>
      <c r="K648" s="223"/>
      <c r="L648" s="431">
        <f t="shared" si="31"/>
        <v>0</v>
      </c>
      <c r="M648" s="227"/>
      <c r="P648" s="12"/>
      <c r="Q648" s="12"/>
      <c r="R648" s="12"/>
      <c r="S648" s="431">
        <f t="shared" si="32"/>
        <v>0</v>
      </c>
    </row>
    <row r="649" spans="1:19" x14ac:dyDescent="0.25">
      <c r="A649" s="11"/>
      <c r="B649" s="11"/>
      <c r="C649" s="11"/>
      <c r="D649" s="11"/>
      <c r="E649" s="431">
        <f t="shared" si="30"/>
        <v>0</v>
      </c>
      <c r="H649" s="223"/>
      <c r="I649" s="223"/>
      <c r="J649" s="223"/>
      <c r="K649" s="223"/>
      <c r="L649" s="431">
        <f t="shared" si="31"/>
        <v>0</v>
      </c>
      <c r="M649" s="227"/>
      <c r="P649" s="12"/>
      <c r="Q649" s="12"/>
      <c r="R649" s="12"/>
      <c r="S649" s="431">
        <f t="shared" si="32"/>
        <v>0</v>
      </c>
    </row>
    <row r="650" spans="1:19" x14ac:dyDescent="0.25">
      <c r="A650" s="11"/>
      <c r="B650" s="11"/>
      <c r="C650" s="11"/>
      <c r="D650" s="11"/>
      <c r="E650" s="431">
        <f t="shared" si="30"/>
        <v>0</v>
      </c>
      <c r="H650" s="223"/>
      <c r="I650" s="223"/>
      <c r="J650" s="223"/>
      <c r="K650" s="223"/>
      <c r="L650" s="431">
        <f t="shared" si="31"/>
        <v>0</v>
      </c>
      <c r="M650" s="227"/>
      <c r="P650" s="12"/>
      <c r="Q650" s="12"/>
      <c r="R650" s="12"/>
      <c r="S650" s="431">
        <f t="shared" si="32"/>
        <v>0</v>
      </c>
    </row>
    <row r="651" spans="1:19" x14ac:dyDescent="0.25">
      <c r="A651" s="11"/>
      <c r="B651" s="11"/>
      <c r="C651" s="11"/>
      <c r="D651" s="11"/>
      <c r="E651" s="431">
        <f t="shared" si="30"/>
        <v>0</v>
      </c>
      <c r="H651" s="223"/>
      <c r="I651" s="223"/>
      <c r="J651" s="223"/>
      <c r="K651" s="223"/>
      <c r="L651" s="431">
        <f t="shared" si="31"/>
        <v>0</v>
      </c>
      <c r="M651" s="227"/>
      <c r="P651" s="12"/>
      <c r="Q651" s="12"/>
      <c r="R651" s="12"/>
      <c r="S651" s="431">
        <f t="shared" si="32"/>
        <v>0</v>
      </c>
    </row>
    <row r="652" spans="1:19" x14ac:dyDescent="0.25">
      <c r="A652" s="11"/>
      <c r="B652" s="11"/>
      <c r="C652" s="11"/>
      <c r="D652" s="11"/>
      <c r="E652" s="431">
        <f t="shared" si="30"/>
        <v>0</v>
      </c>
      <c r="H652" s="223"/>
      <c r="I652" s="223"/>
      <c r="J652" s="223"/>
      <c r="K652" s="223"/>
      <c r="L652" s="431">
        <f t="shared" si="31"/>
        <v>0</v>
      </c>
      <c r="M652" s="227"/>
      <c r="P652" s="12"/>
      <c r="Q652" s="12"/>
      <c r="R652" s="12"/>
      <c r="S652" s="431">
        <f t="shared" si="32"/>
        <v>0</v>
      </c>
    </row>
    <row r="653" spans="1:19" x14ac:dyDescent="0.25">
      <c r="A653" s="11"/>
      <c r="B653" s="11"/>
      <c r="C653" s="11"/>
      <c r="D653" s="11"/>
      <c r="E653" s="431">
        <f t="shared" si="30"/>
        <v>0</v>
      </c>
      <c r="H653" s="223"/>
      <c r="I653" s="223"/>
      <c r="J653" s="223"/>
      <c r="K653" s="223"/>
      <c r="L653" s="431">
        <f t="shared" si="31"/>
        <v>0</v>
      </c>
      <c r="M653" s="227"/>
      <c r="P653" s="12"/>
      <c r="Q653" s="12"/>
      <c r="R653" s="12"/>
      <c r="S653" s="431">
        <f t="shared" si="32"/>
        <v>0</v>
      </c>
    </row>
    <row r="654" spans="1:19" x14ac:dyDescent="0.25">
      <c r="A654" s="11"/>
      <c r="B654" s="11"/>
      <c r="C654" s="11"/>
      <c r="D654" s="11"/>
      <c r="E654" s="431">
        <f t="shared" si="30"/>
        <v>0</v>
      </c>
      <c r="H654" s="223"/>
      <c r="I654" s="223"/>
      <c r="J654" s="223"/>
      <c r="K654" s="223"/>
      <c r="L654" s="431">
        <f t="shared" si="31"/>
        <v>0</v>
      </c>
      <c r="M654" s="227"/>
      <c r="P654" s="12"/>
      <c r="Q654" s="12"/>
      <c r="R654" s="12"/>
      <c r="S654" s="431">
        <f t="shared" si="32"/>
        <v>0</v>
      </c>
    </row>
    <row r="655" spans="1:19" x14ac:dyDescent="0.25">
      <c r="A655" s="11"/>
      <c r="B655" s="11"/>
      <c r="C655" s="11"/>
      <c r="D655" s="11"/>
      <c r="E655" s="431">
        <f t="shared" si="30"/>
        <v>0</v>
      </c>
      <c r="H655" s="223"/>
      <c r="I655" s="223"/>
      <c r="J655" s="223"/>
      <c r="K655" s="223"/>
      <c r="L655" s="431">
        <f t="shared" si="31"/>
        <v>0</v>
      </c>
      <c r="M655" s="227"/>
      <c r="P655" s="12"/>
      <c r="Q655" s="12"/>
      <c r="R655" s="12"/>
      <c r="S655" s="431">
        <f t="shared" si="32"/>
        <v>0</v>
      </c>
    </row>
    <row r="656" spans="1:19" x14ac:dyDescent="0.25">
      <c r="A656" s="11"/>
      <c r="B656" s="11"/>
      <c r="C656" s="11"/>
      <c r="D656" s="11"/>
      <c r="E656" s="431">
        <f t="shared" si="30"/>
        <v>0</v>
      </c>
      <c r="H656" s="223"/>
      <c r="I656" s="223"/>
      <c r="J656" s="223"/>
      <c r="K656" s="223"/>
      <c r="L656" s="431">
        <f t="shared" si="31"/>
        <v>0</v>
      </c>
      <c r="M656" s="227"/>
      <c r="P656" s="12"/>
      <c r="Q656" s="12"/>
      <c r="R656" s="12"/>
      <c r="S656" s="431">
        <f t="shared" si="32"/>
        <v>0</v>
      </c>
    </row>
    <row r="657" spans="1:19" x14ac:dyDescent="0.25">
      <c r="A657" s="11"/>
      <c r="B657" s="11"/>
      <c r="C657" s="11"/>
      <c r="D657" s="11"/>
      <c r="E657" s="431">
        <f t="shared" si="30"/>
        <v>0</v>
      </c>
      <c r="H657" s="223"/>
      <c r="I657" s="223"/>
      <c r="J657" s="223"/>
      <c r="K657" s="223"/>
      <c r="L657" s="431">
        <f t="shared" si="31"/>
        <v>0</v>
      </c>
      <c r="M657" s="227"/>
      <c r="P657" s="12"/>
      <c r="Q657" s="12"/>
      <c r="R657" s="12"/>
      <c r="S657" s="431">
        <f t="shared" si="32"/>
        <v>0</v>
      </c>
    </row>
    <row r="658" spans="1:19" x14ac:dyDescent="0.25">
      <c r="A658" s="11"/>
      <c r="B658" s="11"/>
      <c r="C658" s="11"/>
      <c r="D658" s="11"/>
      <c r="E658" s="431">
        <f t="shared" si="30"/>
        <v>0</v>
      </c>
      <c r="H658" s="223"/>
      <c r="I658" s="223"/>
      <c r="J658" s="223"/>
      <c r="K658" s="223"/>
      <c r="L658" s="431">
        <f t="shared" si="31"/>
        <v>0</v>
      </c>
      <c r="M658" s="227"/>
      <c r="P658" s="12"/>
      <c r="Q658" s="12"/>
      <c r="R658" s="12"/>
      <c r="S658" s="431">
        <f t="shared" si="32"/>
        <v>0</v>
      </c>
    </row>
    <row r="659" spans="1:19" x14ac:dyDescent="0.25">
      <c r="A659" s="11"/>
      <c r="B659" s="11"/>
      <c r="C659" s="11"/>
      <c r="D659" s="11"/>
      <c r="E659" s="431">
        <f t="shared" si="30"/>
        <v>0</v>
      </c>
      <c r="H659" s="223"/>
      <c r="I659" s="223"/>
      <c r="J659" s="223"/>
      <c r="K659" s="223"/>
      <c r="L659" s="431">
        <f t="shared" si="31"/>
        <v>0</v>
      </c>
      <c r="M659" s="227"/>
      <c r="P659" s="12"/>
      <c r="Q659" s="12"/>
      <c r="R659" s="12"/>
      <c r="S659" s="431">
        <f t="shared" si="32"/>
        <v>0</v>
      </c>
    </row>
    <row r="660" spans="1:19" x14ac:dyDescent="0.25">
      <c r="A660" s="11"/>
      <c r="B660" s="11"/>
      <c r="C660" s="11"/>
      <c r="D660" s="11"/>
      <c r="E660" s="431">
        <f t="shared" si="30"/>
        <v>0</v>
      </c>
      <c r="H660" s="223"/>
      <c r="I660" s="223"/>
      <c r="J660" s="223"/>
      <c r="K660" s="223"/>
      <c r="L660" s="431">
        <f t="shared" si="31"/>
        <v>0</v>
      </c>
      <c r="M660" s="227"/>
      <c r="P660" s="12"/>
      <c r="Q660" s="12"/>
      <c r="R660" s="12"/>
      <c r="S660" s="431">
        <f t="shared" si="32"/>
        <v>0</v>
      </c>
    </row>
    <row r="661" spans="1:19" x14ac:dyDescent="0.25">
      <c r="A661" s="11"/>
      <c r="B661" s="11"/>
      <c r="C661" s="11"/>
      <c r="D661" s="11"/>
      <c r="E661" s="431">
        <f t="shared" si="30"/>
        <v>0</v>
      </c>
      <c r="H661" s="223"/>
      <c r="I661" s="223"/>
      <c r="J661" s="223"/>
      <c r="K661" s="223"/>
      <c r="L661" s="431">
        <f t="shared" si="31"/>
        <v>0</v>
      </c>
      <c r="M661" s="227"/>
      <c r="P661" s="12"/>
      <c r="Q661" s="12"/>
      <c r="R661" s="12"/>
      <c r="S661" s="431">
        <f t="shared" si="32"/>
        <v>0</v>
      </c>
    </row>
    <row r="662" spans="1:19" x14ac:dyDescent="0.25">
      <c r="A662" s="11"/>
      <c r="B662" s="11"/>
      <c r="C662" s="11"/>
      <c r="D662" s="11"/>
      <c r="E662" s="431">
        <f t="shared" si="30"/>
        <v>0</v>
      </c>
      <c r="H662" s="223"/>
      <c r="I662" s="223"/>
      <c r="J662" s="223"/>
      <c r="K662" s="223"/>
      <c r="L662" s="431">
        <f t="shared" si="31"/>
        <v>0</v>
      </c>
      <c r="M662" s="227"/>
      <c r="P662" s="12"/>
      <c r="Q662" s="12"/>
      <c r="R662" s="12"/>
      <c r="S662" s="431">
        <f t="shared" si="32"/>
        <v>0</v>
      </c>
    </row>
    <row r="663" spans="1:19" x14ac:dyDescent="0.25">
      <c r="A663" s="11"/>
      <c r="B663" s="11"/>
      <c r="C663" s="11"/>
      <c r="D663" s="11"/>
      <c r="E663" s="431">
        <f t="shared" si="30"/>
        <v>0</v>
      </c>
      <c r="H663" s="223"/>
      <c r="I663" s="223"/>
      <c r="J663" s="223"/>
      <c r="K663" s="223"/>
      <c r="L663" s="431">
        <f t="shared" si="31"/>
        <v>0</v>
      </c>
      <c r="M663" s="227"/>
      <c r="P663" s="12"/>
      <c r="Q663" s="12"/>
      <c r="R663" s="12"/>
      <c r="S663" s="431">
        <f t="shared" si="32"/>
        <v>0</v>
      </c>
    </row>
    <row r="664" spans="1:19" x14ac:dyDescent="0.25">
      <c r="A664" s="11"/>
      <c r="B664" s="11"/>
      <c r="C664" s="11"/>
      <c r="D664" s="11"/>
      <c r="E664" s="431">
        <f t="shared" si="30"/>
        <v>0</v>
      </c>
      <c r="H664" s="223"/>
      <c r="I664" s="223"/>
      <c r="J664" s="223"/>
      <c r="K664" s="223"/>
      <c r="L664" s="431">
        <f t="shared" si="31"/>
        <v>0</v>
      </c>
      <c r="M664" s="227"/>
      <c r="P664" s="12"/>
      <c r="Q664" s="12"/>
      <c r="R664" s="12"/>
      <c r="S664" s="431">
        <f t="shared" si="32"/>
        <v>0</v>
      </c>
    </row>
    <row r="665" spans="1:19" x14ac:dyDescent="0.25">
      <c r="A665" s="11"/>
      <c r="B665" s="11"/>
      <c r="C665" s="11"/>
      <c r="D665" s="11"/>
      <c r="E665" s="431">
        <f t="shared" si="30"/>
        <v>0</v>
      </c>
      <c r="H665" s="223"/>
      <c r="I665" s="223"/>
      <c r="J665" s="223"/>
      <c r="K665" s="223"/>
      <c r="L665" s="431">
        <f t="shared" si="31"/>
        <v>0</v>
      </c>
      <c r="M665" s="227"/>
      <c r="P665" s="12"/>
      <c r="Q665" s="12"/>
      <c r="R665" s="12"/>
      <c r="S665" s="431">
        <f t="shared" si="32"/>
        <v>0</v>
      </c>
    </row>
    <row r="666" spans="1:19" x14ac:dyDescent="0.25">
      <c r="A666" s="11"/>
      <c r="B666" s="11"/>
      <c r="C666" s="11"/>
      <c r="D666" s="11"/>
      <c r="E666" s="431">
        <f t="shared" si="30"/>
        <v>0</v>
      </c>
      <c r="H666" s="223"/>
      <c r="I666" s="223"/>
      <c r="J666" s="223"/>
      <c r="K666" s="223"/>
      <c r="L666" s="431">
        <f t="shared" si="31"/>
        <v>0</v>
      </c>
      <c r="M666" s="227"/>
      <c r="P666" s="12"/>
      <c r="Q666" s="12"/>
      <c r="R666" s="12"/>
      <c r="S666" s="431">
        <f t="shared" si="32"/>
        <v>0</v>
      </c>
    </row>
    <row r="667" spans="1:19" x14ac:dyDescent="0.25">
      <c r="A667" s="11"/>
      <c r="B667" s="11"/>
      <c r="C667" s="11"/>
      <c r="D667" s="11"/>
      <c r="E667" s="431">
        <f t="shared" si="30"/>
        <v>0</v>
      </c>
      <c r="H667" s="223"/>
      <c r="I667" s="223"/>
      <c r="J667" s="223"/>
      <c r="K667" s="223"/>
      <c r="L667" s="431">
        <f t="shared" si="31"/>
        <v>0</v>
      </c>
      <c r="M667" s="227"/>
      <c r="P667" s="12"/>
      <c r="Q667" s="12"/>
      <c r="R667" s="12"/>
      <c r="S667" s="431">
        <f t="shared" si="32"/>
        <v>0</v>
      </c>
    </row>
    <row r="668" spans="1:19" x14ac:dyDescent="0.25">
      <c r="A668" s="11"/>
      <c r="B668" s="11"/>
      <c r="C668" s="11"/>
      <c r="D668" s="11"/>
      <c r="E668" s="431">
        <f t="shared" si="30"/>
        <v>0</v>
      </c>
      <c r="H668" s="223"/>
      <c r="I668" s="223"/>
      <c r="J668" s="223"/>
      <c r="K668" s="223"/>
      <c r="L668" s="431">
        <f t="shared" si="31"/>
        <v>0</v>
      </c>
      <c r="M668" s="227"/>
      <c r="P668" s="12"/>
      <c r="Q668" s="12"/>
      <c r="R668" s="12"/>
      <c r="S668" s="431">
        <f t="shared" si="32"/>
        <v>0</v>
      </c>
    </row>
    <row r="669" spans="1:19" x14ac:dyDescent="0.25">
      <c r="A669" s="11"/>
      <c r="B669" s="11"/>
      <c r="C669" s="11"/>
      <c r="D669" s="11"/>
      <c r="E669" s="431">
        <f t="shared" si="30"/>
        <v>0</v>
      </c>
      <c r="H669" s="223"/>
      <c r="I669" s="223"/>
      <c r="J669" s="223"/>
      <c r="K669" s="223"/>
      <c r="L669" s="431">
        <f t="shared" si="31"/>
        <v>0</v>
      </c>
      <c r="M669" s="227"/>
      <c r="P669" s="12"/>
      <c r="Q669" s="12"/>
      <c r="R669" s="12"/>
      <c r="S669" s="431">
        <f t="shared" si="32"/>
        <v>0</v>
      </c>
    </row>
    <row r="670" spans="1:19" x14ac:dyDescent="0.25">
      <c r="A670" s="11"/>
      <c r="B670" s="11"/>
      <c r="C670" s="11"/>
      <c r="D670" s="11"/>
      <c r="E670" s="431">
        <f t="shared" si="30"/>
        <v>0</v>
      </c>
      <c r="H670" s="223"/>
      <c r="I670" s="223"/>
      <c r="J670" s="223"/>
      <c r="K670" s="223"/>
      <c r="L670" s="431">
        <f t="shared" si="31"/>
        <v>0</v>
      </c>
      <c r="M670" s="227"/>
      <c r="P670" s="12"/>
      <c r="Q670" s="12"/>
      <c r="R670" s="12"/>
      <c r="S670" s="431">
        <f t="shared" si="32"/>
        <v>0</v>
      </c>
    </row>
    <row r="671" spans="1:19" x14ac:dyDescent="0.25">
      <c r="A671" s="11"/>
      <c r="B671" s="11"/>
      <c r="C671" s="11"/>
      <c r="D671" s="11"/>
      <c r="E671" s="431">
        <f t="shared" si="30"/>
        <v>0</v>
      </c>
      <c r="H671" s="223"/>
      <c r="I671" s="223"/>
      <c r="J671" s="223"/>
      <c r="K671" s="223"/>
      <c r="L671" s="431">
        <f t="shared" si="31"/>
        <v>0</v>
      </c>
      <c r="M671" s="227"/>
      <c r="P671" s="12"/>
      <c r="Q671" s="12"/>
      <c r="R671" s="12"/>
      <c r="S671" s="431">
        <f t="shared" si="32"/>
        <v>0</v>
      </c>
    </row>
    <row r="672" spans="1:19" x14ac:dyDescent="0.25">
      <c r="A672" s="11"/>
      <c r="B672" s="11"/>
      <c r="C672" s="11"/>
      <c r="D672" s="11"/>
      <c r="E672" s="431">
        <f t="shared" si="30"/>
        <v>0</v>
      </c>
      <c r="H672" s="223"/>
      <c r="I672" s="223"/>
      <c r="J672" s="223"/>
      <c r="K672" s="223"/>
      <c r="L672" s="431">
        <f t="shared" si="31"/>
        <v>0</v>
      </c>
      <c r="M672" s="227"/>
      <c r="P672" s="12"/>
      <c r="Q672" s="12"/>
      <c r="R672" s="12"/>
      <c r="S672" s="431">
        <f t="shared" si="32"/>
        <v>0</v>
      </c>
    </row>
    <row r="673" spans="1:19" x14ac:dyDescent="0.25">
      <c r="A673" s="11"/>
      <c r="B673" s="11"/>
      <c r="C673" s="11"/>
      <c r="D673" s="11"/>
      <c r="E673" s="431">
        <f t="shared" si="30"/>
        <v>0</v>
      </c>
      <c r="H673" s="223"/>
      <c r="I673" s="223"/>
      <c r="J673" s="223"/>
      <c r="K673" s="223"/>
      <c r="L673" s="431">
        <f t="shared" si="31"/>
        <v>0</v>
      </c>
      <c r="M673" s="227"/>
      <c r="P673" s="12"/>
      <c r="Q673" s="12"/>
      <c r="R673" s="12"/>
      <c r="S673" s="431">
        <f t="shared" si="32"/>
        <v>0</v>
      </c>
    </row>
    <row r="674" spans="1:19" x14ac:dyDescent="0.25">
      <c r="A674" s="11"/>
      <c r="B674" s="11"/>
      <c r="C674" s="11"/>
      <c r="D674" s="11"/>
      <c r="E674" s="431">
        <f t="shared" si="30"/>
        <v>0</v>
      </c>
      <c r="H674" s="223"/>
      <c r="I674" s="223"/>
      <c r="J674" s="223"/>
      <c r="K674" s="223"/>
      <c r="L674" s="431">
        <f t="shared" si="31"/>
        <v>0</v>
      </c>
      <c r="M674" s="227"/>
      <c r="P674" s="12"/>
      <c r="Q674" s="12"/>
      <c r="R674" s="12"/>
      <c r="S674" s="431">
        <f t="shared" si="32"/>
        <v>0</v>
      </c>
    </row>
    <row r="675" spans="1:19" x14ac:dyDescent="0.25">
      <c r="A675" s="11"/>
      <c r="B675" s="11"/>
      <c r="C675" s="11"/>
      <c r="D675" s="11"/>
      <c r="E675" s="431">
        <f t="shared" si="30"/>
        <v>0</v>
      </c>
      <c r="H675" s="223"/>
      <c r="I675" s="223"/>
      <c r="J675" s="223"/>
      <c r="K675" s="223"/>
      <c r="L675" s="431">
        <f t="shared" si="31"/>
        <v>0</v>
      </c>
      <c r="M675" s="227"/>
      <c r="P675" s="12"/>
      <c r="Q675" s="12"/>
      <c r="R675" s="12"/>
      <c r="S675" s="431">
        <f t="shared" si="32"/>
        <v>0</v>
      </c>
    </row>
    <row r="676" spans="1:19" x14ac:dyDescent="0.25">
      <c r="A676" s="11"/>
      <c r="B676" s="11"/>
      <c r="C676" s="11"/>
      <c r="D676" s="11"/>
      <c r="E676" s="431">
        <f t="shared" si="30"/>
        <v>0</v>
      </c>
      <c r="H676" s="223"/>
      <c r="I676" s="223"/>
      <c r="J676" s="223"/>
      <c r="K676" s="223"/>
      <c r="L676" s="431">
        <f t="shared" si="31"/>
        <v>0</v>
      </c>
      <c r="M676" s="227"/>
      <c r="P676" s="12"/>
      <c r="Q676" s="12"/>
      <c r="R676" s="12"/>
      <c r="S676" s="431">
        <f t="shared" si="32"/>
        <v>0</v>
      </c>
    </row>
    <row r="677" spans="1:19" x14ac:dyDescent="0.25">
      <c r="A677" s="11"/>
      <c r="B677" s="11"/>
      <c r="C677" s="11"/>
      <c r="D677" s="11"/>
      <c r="E677" s="431">
        <f t="shared" si="30"/>
        <v>0</v>
      </c>
      <c r="H677" s="223"/>
      <c r="I677" s="223"/>
      <c r="J677" s="223"/>
      <c r="K677" s="223"/>
      <c r="L677" s="431">
        <f t="shared" si="31"/>
        <v>0</v>
      </c>
      <c r="M677" s="227"/>
      <c r="P677" s="12"/>
      <c r="Q677" s="12"/>
      <c r="R677" s="12"/>
      <c r="S677" s="431">
        <f t="shared" si="32"/>
        <v>0</v>
      </c>
    </row>
    <row r="678" spans="1:19" x14ac:dyDescent="0.25">
      <c r="A678" s="11"/>
      <c r="B678" s="11"/>
      <c r="C678" s="11"/>
      <c r="D678" s="11"/>
      <c r="E678" s="431">
        <f t="shared" si="30"/>
        <v>0</v>
      </c>
      <c r="H678" s="223"/>
      <c r="I678" s="223"/>
      <c r="J678" s="223"/>
      <c r="K678" s="223"/>
      <c r="L678" s="431">
        <f t="shared" si="31"/>
        <v>0</v>
      </c>
      <c r="M678" s="227"/>
      <c r="P678" s="12"/>
      <c r="Q678" s="12"/>
      <c r="R678" s="12"/>
      <c r="S678" s="431">
        <f t="shared" si="32"/>
        <v>0</v>
      </c>
    </row>
    <row r="679" spans="1:19" x14ac:dyDescent="0.25">
      <c r="A679" s="11"/>
      <c r="B679" s="11"/>
      <c r="C679" s="11"/>
      <c r="D679" s="11"/>
      <c r="E679" s="431">
        <f t="shared" si="30"/>
        <v>0</v>
      </c>
      <c r="H679" s="223"/>
      <c r="I679" s="223"/>
      <c r="J679" s="223"/>
      <c r="K679" s="223"/>
      <c r="L679" s="431">
        <f t="shared" si="31"/>
        <v>0</v>
      </c>
      <c r="M679" s="227"/>
      <c r="P679" s="12"/>
      <c r="Q679" s="12"/>
      <c r="R679" s="12"/>
      <c r="S679" s="431">
        <f t="shared" si="32"/>
        <v>0</v>
      </c>
    </row>
    <row r="680" spans="1:19" x14ac:dyDescent="0.25">
      <c r="A680" s="11"/>
      <c r="B680" s="11"/>
      <c r="C680" s="11"/>
      <c r="D680" s="11"/>
      <c r="E680" s="431">
        <f t="shared" si="30"/>
        <v>0</v>
      </c>
      <c r="H680" s="223"/>
      <c r="I680" s="223"/>
      <c r="J680" s="223"/>
      <c r="K680" s="223"/>
      <c r="L680" s="431">
        <f t="shared" si="31"/>
        <v>0</v>
      </c>
      <c r="M680" s="227"/>
      <c r="P680" s="12"/>
      <c r="Q680" s="12"/>
      <c r="R680" s="12"/>
      <c r="S680" s="431">
        <f t="shared" si="32"/>
        <v>0</v>
      </c>
    </row>
    <row r="681" spans="1:19" x14ac:dyDescent="0.25">
      <c r="A681" s="11"/>
      <c r="B681" s="11"/>
      <c r="C681" s="11"/>
      <c r="D681" s="11"/>
      <c r="E681" s="431">
        <f t="shared" si="30"/>
        <v>0</v>
      </c>
      <c r="H681" s="223"/>
      <c r="I681" s="223"/>
      <c r="J681" s="223"/>
      <c r="K681" s="223"/>
      <c r="L681" s="431">
        <f t="shared" si="31"/>
        <v>0</v>
      </c>
      <c r="M681" s="227"/>
      <c r="P681" s="12"/>
      <c r="Q681" s="12"/>
      <c r="R681" s="12"/>
      <c r="S681" s="431">
        <f t="shared" si="32"/>
        <v>0</v>
      </c>
    </row>
    <row r="682" spans="1:19" x14ac:dyDescent="0.25">
      <c r="A682" s="11"/>
      <c r="B682" s="11"/>
      <c r="C682" s="11"/>
      <c r="D682" s="11"/>
      <c r="E682" s="431">
        <f t="shared" si="30"/>
        <v>0</v>
      </c>
      <c r="H682" s="223"/>
      <c r="I682" s="223"/>
      <c r="J682" s="223"/>
      <c r="K682" s="223"/>
      <c r="L682" s="431">
        <f t="shared" si="31"/>
        <v>0</v>
      </c>
      <c r="M682" s="227"/>
      <c r="P682" s="12"/>
      <c r="Q682" s="12"/>
      <c r="R682" s="12"/>
      <c r="S682" s="431">
        <f t="shared" si="32"/>
        <v>0</v>
      </c>
    </row>
    <row r="683" spans="1:19" x14ac:dyDescent="0.25">
      <c r="A683" s="11"/>
      <c r="B683" s="11"/>
      <c r="C683" s="11"/>
      <c r="D683" s="11"/>
      <c r="E683" s="431">
        <f t="shared" si="30"/>
        <v>0</v>
      </c>
      <c r="H683" s="223"/>
      <c r="I683" s="223"/>
      <c r="J683" s="223"/>
      <c r="K683" s="223"/>
      <c r="L683" s="431">
        <f t="shared" si="31"/>
        <v>0</v>
      </c>
      <c r="M683" s="227"/>
      <c r="P683" s="12"/>
      <c r="Q683" s="12"/>
      <c r="R683" s="12"/>
      <c r="S683" s="431">
        <f t="shared" si="32"/>
        <v>0</v>
      </c>
    </row>
    <row r="684" spans="1:19" x14ac:dyDescent="0.25">
      <c r="A684" s="11"/>
      <c r="B684" s="11"/>
      <c r="C684" s="11"/>
      <c r="D684" s="11"/>
      <c r="E684" s="431">
        <f t="shared" si="30"/>
        <v>0</v>
      </c>
      <c r="H684" s="223"/>
      <c r="I684" s="223"/>
      <c r="J684" s="223"/>
      <c r="K684" s="223"/>
      <c r="L684" s="431">
        <f t="shared" si="31"/>
        <v>0</v>
      </c>
      <c r="M684" s="227"/>
      <c r="P684" s="12"/>
      <c r="Q684" s="12"/>
      <c r="R684" s="12"/>
      <c r="S684" s="431">
        <f t="shared" si="32"/>
        <v>0</v>
      </c>
    </row>
    <row r="685" spans="1:19" x14ac:dyDescent="0.25">
      <c r="A685" s="11"/>
      <c r="B685" s="11"/>
      <c r="C685" s="11"/>
      <c r="D685" s="11"/>
      <c r="E685" s="431">
        <f t="shared" si="30"/>
        <v>0</v>
      </c>
      <c r="H685" s="223"/>
      <c r="I685" s="223"/>
      <c r="J685" s="223"/>
      <c r="K685" s="223"/>
      <c r="L685" s="431">
        <f t="shared" si="31"/>
        <v>0</v>
      </c>
      <c r="M685" s="227"/>
      <c r="P685" s="12"/>
      <c r="Q685" s="12"/>
      <c r="R685" s="12"/>
      <c r="S685" s="431">
        <f t="shared" si="32"/>
        <v>0</v>
      </c>
    </row>
    <row r="686" spans="1:19" x14ac:dyDescent="0.25">
      <c r="A686" s="11"/>
      <c r="B686" s="11"/>
      <c r="C686" s="11"/>
      <c r="D686" s="11"/>
      <c r="E686" s="431">
        <f t="shared" si="30"/>
        <v>0</v>
      </c>
      <c r="H686" s="223"/>
      <c r="I686" s="223"/>
      <c r="J686" s="223"/>
      <c r="K686" s="223"/>
      <c r="L686" s="431">
        <f t="shared" si="31"/>
        <v>0</v>
      </c>
      <c r="M686" s="227"/>
      <c r="P686" s="12"/>
      <c r="Q686" s="12"/>
      <c r="R686" s="12"/>
      <c r="S686" s="431">
        <f t="shared" si="32"/>
        <v>0</v>
      </c>
    </row>
    <row r="687" spans="1:19" x14ac:dyDescent="0.25">
      <c r="A687" s="11"/>
      <c r="B687" s="11"/>
      <c r="C687" s="11"/>
      <c r="D687" s="11"/>
      <c r="E687" s="431">
        <f t="shared" si="30"/>
        <v>0</v>
      </c>
      <c r="H687" s="223"/>
      <c r="I687" s="223"/>
      <c r="J687" s="223"/>
      <c r="K687" s="223"/>
      <c r="L687" s="431">
        <f t="shared" si="31"/>
        <v>0</v>
      </c>
      <c r="M687" s="227"/>
      <c r="P687" s="12"/>
      <c r="Q687" s="12"/>
      <c r="R687" s="12"/>
      <c r="S687" s="431">
        <f t="shared" si="32"/>
        <v>0</v>
      </c>
    </row>
    <row r="688" spans="1:19" x14ac:dyDescent="0.25">
      <c r="A688" s="11"/>
      <c r="B688" s="11"/>
      <c r="C688" s="11"/>
      <c r="D688" s="11"/>
      <c r="E688" s="431">
        <f t="shared" si="30"/>
        <v>0</v>
      </c>
      <c r="H688" s="223"/>
      <c r="I688" s="223"/>
      <c r="J688" s="223"/>
      <c r="K688" s="223"/>
      <c r="L688" s="431">
        <f t="shared" si="31"/>
        <v>0</v>
      </c>
      <c r="M688" s="227"/>
      <c r="P688" s="12"/>
      <c r="Q688" s="12"/>
      <c r="R688" s="12"/>
      <c r="S688" s="431">
        <f t="shared" si="32"/>
        <v>0</v>
      </c>
    </row>
    <row r="689" spans="1:19" x14ac:dyDescent="0.25">
      <c r="A689" s="11"/>
      <c r="B689" s="11"/>
      <c r="C689" s="11"/>
      <c r="D689" s="11"/>
      <c r="E689" s="431">
        <f t="shared" si="30"/>
        <v>0</v>
      </c>
      <c r="H689" s="223"/>
      <c r="I689" s="223"/>
      <c r="J689" s="223"/>
      <c r="K689" s="223"/>
      <c r="L689" s="431">
        <f t="shared" si="31"/>
        <v>0</v>
      </c>
      <c r="M689" s="227"/>
      <c r="P689" s="12"/>
      <c r="Q689" s="12"/>
      <c r="R689" s="12"/>
      <c r="S689" s="431">
        <f t="shared" si="32"/>
        <v>0</v>
      </c>
    </row>
    <row r="690" spans="1:19" x14ac:dyDescent="0.25">
      <c r="A690" s="11"/>
      <c r="B690" s="11"/>
      <c r="C690" s="11"/>
      <c r="D690" s="11"/>
      <c r="E690" s="431">
        <f t="shared" si="30"/>
        <v>0</v>
      </c>
      <c r="H690" s="223"/>
      <c r="I690" s="223"/>
      <c r="J690" s="223"/>
      <c r="K690" s="223"/>
      <c r="L690" s="431">
        <f t="shared" si="31"/>
        <v>0</v>
      </c>
      <c r="M690" s="227"/>
      <c r="P690" s="12"/>
      <c r="Q690" s="12"/>
      <c r="R690" s="12"/>
      <c r="S690" s="431">
        <f t="shared" si="32"/>
        <v>0</v>
      </c>
    </row>
    <row r="691" spans="1:19" x14ac:dyDescent="0.25">
      <c r="A691" s="11"/>
      <c r="B691" s="11"/>
      <c r="C691" s="11"/>
      <c r="D691" s="11"/>
      <c r="E691" s="431">
        <f t="shared" si="30"/>
        <v>0</v>
      </c>
      <c r="H691" s="223"/>
      <c r="I691" s="223"/>
      <c r="J691" s="223"/>
      <c r="K691" s="223"/>
      <c r="L691" s="431">
        <f t="shared" si="31"/>
        <v>0</v>
      </c>
      <c r="M691" s="227"/>
      <c r="P691" s="12"/>
      <c r="Q691" s="12"/>
      <c r="R691" s="12"/>
      <c r="S691" s="431">
        <f t="shared" si="32"/>
        <v>0</v>
      </c>
    </row>
    <row r="692" spans="1:19" x14ac:dyDescent="0.25">
      <c r="A692" s="11"/>
      <c r="B692" s="11"/>
      <c r="C692" s="11"/>
      <c r="D692" s="11"/>
      <c r="E692" s="431">
        <f t="shared" si="30"/>
        <v>0</v>
      </c>
      <c r="H692" s="223"/>
      <c r="I692" s="223"/>
      <c r="J692" s="223"/>
      <c r="K692" s="223"/>
      <c r="L692" s="431">
        <f t="shared" si="31"/>
        <v>0</v>
      </c>
      <c r="M692" s="227"/>
      <c r="P692" s="12"/>
      <c r="Q692" s="12"/>
      <c r="R692" s="12"/>
      <c r="S692" s="431">
        <f t="shared" si="32"/>
        <v>0</v>
      </c>
    </row>
    <row r="693" spans="1:19" x14ac:dyDescent="0.25">
      <c r="A693" s="11"/>
      <c r="B693" s="11"/>
      <c r="C693" s="11"/>
      <c r="D693" s="11"/>
      <c r="E693" s="431">
        <f t="shared" si="30"/>
        <v>0</v>
      </c>
      <c r="H693" s="223"/>
      <c r="I693" s="223"/>
      <c r="J693" s="223"/>
      <c r="K693" s="223"/>
      <c r="L693" s="431">
        <f t="shared" si="31"/>
        <v>0</v>
      </c>
      <c r="M693" s="227"/>
      <c r="P693" s="12"/>
      <c r="Q693" s="12"/>
      <c r="R693" s="12"/>
      <c r="S693" s="431">
        <f t="shared" si="32"/>
        <v>0</v>
      </c>
    </row>
    <row r="694" spans="1:19" x14ac:dyDescent="0.25">
      <c r="A694" s="11"/>
      <c r="B694" s="11"/>
      <c r="C694" s="11"/>
      <c r="D694" s="11"/>
      <c r="E694" s="431">
        <f t="shared" si="30"/>
        <v>0</v>
      </c>
      <c r="H694" s="223"/>
      <c r="I694" s="223"/>
      <c r="J694" s="223"/>
      <c r="K694" s="223"/>
      <c r="L694" s="431">
        <f t="shared" si="31"/>
        <v>0</v>
      </c>
      <c r="M694" s="227"/>
      <c r="P694" s="12"/>
      <c r="Q694" s="12"/>
      <c r="R694" s="12"/>
      <c r="S694" s="431">
        <f t="shared" si="32"/>
        <v>0</v>
      </c>
    </row>
    <row r="695" spans="1:19" x14ac:dyDescent="0.25">
      <c r="A695" s="11"/>
      <c r="B695" s="11"/>
      <c r="C695" s="11"/>
      <c r="D695" s="11"/>
      <c r="E695" s="431">
        <f t="shared" si="30"/>
        <v>0</v>
      </c>
      <c r="H695" s="223"/>
      <c r="I695" s="223"/>
      <c r="J695" s="223"/>
      <c r="K695" s="223"/>
      <c r="L695" s="431">
        <f t="shared" si="31"/>
        <v>0</v>
      </c>
      <c r="M695" s="227"/>
      <c r="P695" s="12"/>
      <c r="Q695" s="12"/>
      <c r="R695" s="12"/>
      <c r="S695" s="431">
        <f t="shared" si="32"/>
        <v>0</v>
      </c>
    </row>
    <row r="696" spans="1:19" x14ac:dyDescent="0.25">
      <c r="A696" s="11"/>
      <c r="B696" s="11"/>
      <c r="C696" s="11"/>
      <c r="D696" s="11"/>
      <c r="E696" s="431">
        <f t="shared" si="30"/>
        <v>0</v>
      </c>
      <c r="H696" s="223"/>
      <c r="I696" s="223"/>
      <c r="J696" s="223"/>
      <c r="K696" s="223"/>
      <c r="L696" s="431">
        <f t="shared" si="31"/>
        <v>0</v>
      </c>
      <c r="M696" s="227"/>
      <c r="P696" s="12"/>
      <c r="Q696" s="12"/>
      <c r="R696" s="12"/>
      <c r="S696" s="431">
        <f t="shared" si="32"/>
        <v>0</v>
      </c>
    </row>
    <row r="697" spans="1:19" x14ac:dyDescent="0.25">
      <c r="A697" s="11"/>
      <c r="B697" s="11"/>
      <c r="C697" s="11"/>
      <c r="D697" s="11"/>
      <c r="E697" s="431">
        <f t="shared" si="30"/>
        <v>0</v>
      </c>
      <c r="H697" s="223"/>
      <c r="I697" s="223"/>
      <c r="J697" s="223"/>
      <c r="K697" s="223"/>
      <c r="L697" s="431">
        <f t="shared" si="31"/>
        <v>0</v>
      </c>
      <c r="M697" s="227"/>
      <c r="P697" s="12"/>
      <c r="Q697" s="12"/>
      <c r="R697" s="12"/>
      <c r="S697" s="431">
        <f t="shared" si="32"/>
        <v>0</v>
      </c>
    </row>
    <row r="698" spans="1:19" x14ac:dyDescent="0.25">
      <c r="A698" s="11"/>
      <c r="B698" s="11"/>
      <c r="C698" s="11"/>
      <c r="D698" s="11"/>
      <c r="E698" s="431">
        <f t="shared" si="30"/>
        <v>0</v>
      </c>
      <c r="H698" s="223"/>
      <c r="I698" s="223"/>
      <c r="J698" s="223"/>
      <c r="K698" s="223"/>
      <c r="L698" s="431">
        <f t="shared" si="31"/>
        <v>0</v>
      </c>
      <c r="M698" s="227"/>
      <c r="P698" s="12"/>
      <c r="Q698" s="12"/>
      <c r="R698" s="12"/>
      <c r="S698" s="431">
        <f t="shared" si="32"/>
        <v>0</v>
      </c>
    </row>
    <row r="699" spans="1:19" x14ac:dyDescent="0.25">
      <c r="A699" s="11"/>
      <c r="B699" s="11"/>
      <c r="C699" s="11"/>
      <c r="D699" s="11"/>
      <c r="E699" s="431">
        <f t="shared" si="30"/>
        <v>0</v>
      </c>
      <c r="H699" s="223"/>
      <c r="I699" s="223"/>
      <c r="J699" s="223"/>
      <c r="K699" s="223"/>
      <c r="L699" s="431">
        <f t="shared" si="31"/>
        <v>0</v>
      </c>
      <c r="M699" s="227"/>
      <c r="P699" s="12"/>
      <c r="Q699" s="12"/>
      <c r="R699" s="12"/>
      <c r="S699" s="431">
        <f t="shared" si="32"/>
        <v>0</v>
      </c>
    </row>
    <row r="700" spans="1:19" x14ac:dyDescent="0.25">
      <c r="A700" s="11"/>
      <c r="B700" s="11"/>
      <c r="C700" s="11"/>
      <c r="D700" s="11"/>
      <c r="E700" s="431">
        <f t="shared" si="30"/>
        <v>0</v>
      </c>
      <c r="H700" s="223"/>
      <c r="I700" s="223"/>
      <c r="J700" s="223"/>
      <c r="K700" s="223"/>
      <c r="L700" s="431">
        <f t="shared" si="31"/>
        <v>0</v>
      </c>
      <c r="M700" s="227"/>
      <c r="P700" s="12"/>
      <c r="Q700" s="12"/>
      <c r="R700" s="12"/>
      <c r="S700" s="431">
        <f t="shared" si="32"/>
        <v>0</v>
      </c>
    </row>
    <row r="701" spans="1:19" x14ac:dyDescent="0.25">
      <c r="A701" s="11"/>
      <c r="B701" s="11"/>
      <c r="C701" s="11"/>
      <c r="D701" s="11"/>
      <c r="E701" s="431">
        <f t="shared" si="30"/>
        <v>0</v>
      </c>
      <c r="H701" s="223"/>
      <c r="I701" s="223"/>
      <c r="J701" s="223"/>
      <c r="K701" s="223"/>
      <c r="L701" s="431">
        <f t="shared" si="31"/>
        <v>0</v>
      </c>
      <c r="M701" s="227"/>
      <c r="P701" s="12"/>
      <c r="Q701" s="12"/>
      <c r="R701" s="12"/>
      <c r="S701" s="431">
        <f t="shared" si="32"/>
        <v>0</v>
      </c>
    </row>
    <row r="702" spans="1:19" x14ac:dyDescent="0.25">
      <c r="A702" s="11"/>
      <c r="B702" s="11"/>
      <c r="C702" s="11"/>
      <c r="D702" s="11"/>
      <c r="E702" s="431">
        <f t="shared" si="30"/>
        <v>0</v>
      </c>
      <c r="H702" s="223"/>
      <c r="I702" s="223"/>
      <c r="J702" s="223"/>
      <c r="K702" s="223"/>
      <c r="L702" s="431">
        <f t="shared" si="31"/>
        <v>0</v>
      </c>
      <c r="M702" s="227"/>
      <c r="P702" s="12"/>
      <c r="Q702" s="12"/>
      <c r="R702" s="12"/>
      <c r="S702" s="431">
        <f t="shared" si="32"/>
        <v>0</v>
      </c>
    </row>
    <row r="703" spans="1:19" x14ac:dyDescent="0.25">
      <c r="A703" s="11"/>
      <c r="B703" s="11"/>
      <c r="C703" s="11"/>
      <c r="D703" s="11"/>
      <c r="E703" s="431">
        <f t="shared" si="30"/>
        <v>0</v>
      </c>
      <c r="H703" s="223"/>
      <c r="I703" s="223"/>
      <c r="J703" s="223"/>
      <c r="K703" s="223"/>
      <c r="L703" s="431">
        <f t="shared" si="31"/>
        <v>0</v>
      </c>
      <c r="M703" s="227"/>
      <c r="P703" s="12"/>
      <c r="Q703" s="12"/>
      <c r="R703" s="12"/>
      <c r="S703" s="431">
        <f t="shared" si="32"/>
        <v>0</v>
      </c>
    </row>
    <row r="704" spans="1:19" x14ac:dyDescent="0.25">
      <c r="A704" s="11"/>
      <c r="B704" s="11"/>
      <c r="C704" s="11"/>
      <c r="D704" s="11"/>
      <c r="E704" s="431">
        <f t="shared" si="30"/>
        <v>0</v>
      </c>
      <c r="H704" s="223"/>
      <c r="I704" s="223"/>
      <c r="J704" s="223"/>
      <c r="K704" s="223"/>
      <c r="L704" s="431">
        <f t="shared" si="31"/>
        <v>0</v>
      </c>
      <c r="M704" s="227"/>
      <c r="P704" s="12"/>
      <c r="Q704" s="12"/>
      <c r="R704" s="12"/>
      <c r="S704" s="431">
        <f t="shared" si="32"/>
        <v>0</v>
      </c>
    </row>
    <row r="705" spans="1:19" x14ac:dyDescent="0.25">
      <c r="A705" s="11"/>
      <c r="B705" s="11"/>
      <c r="C705" s="11"/>
      <c r="D705" s="11"/>
      <c r="E705" s="431">
        <f t="shared" si="30"/>
        <v>0</v>
      </c>
      <c r="H705" s="223"/>
      <c r="I705" s="223"/>
      <c r="J705" s="223"/>
      <c r="K705" s="223"/>
      <c r="L705" s="431">
        <f t="shared" si="31"/>
        <v>0</v>
      </c>
      <c r="M705" s="227"/>
      <c r="P705" s="12"/>
      <c r="Q705" s="12"/>
      <c r="R705" s="12"/>
      <c r="S705" s="431">
        <f t="shared" si="32"/>
        <v>0</v>
      </c>
    </row>
    <row r="706" spans="1:19" x14ac:dyDescent="0.25">
      <c r="A706" s="11"/>
      <c r="B706" s="11"/>
      <c r="C706" s="11"/>
      <c r="D706" s="11"/>
      <c r="E706" s="431">
        <f t="shared" si="30"/>
        <v>0</v>
      </c>
      <c r="H706" s="223"/>
      <c r="I706" s="223"/>
      <c r="J706" s="223"/>
      <c r="K706" s="223"/>
      <c r="L706" s="431">
        <f t="shared" si="31"/>
        <v>0</v>
      </c>
      <c r="M706" s="227"/>
      <c r="P706" s="12"/>
      <c r="Q706" s="12"/>
      <c r="R706" s="12"/>
      <c r="S706" s="431">
        <f t="shared" si="32"/>
        <v>0</v>
      </c>
    </row>
    <row r="707" spans="1:19" x14ac:dyDescent="0.25">
      <c r="A707" s="11"/>
      <c r="B707" s="11"/>
      <c r="C707" s="11"/>
      <c r="D707" s="11"/>
      <c r="E707" s="431">
        <f t="shared" si="30"/>
        <v>0</v>
      </c>
      <c r="H707" s="223"/>
      <c r="I707" s="223"/>
      <c r="J707" s="223"/>
      <c r="K707" s="223"/>
      <c r="L707" s="431">
        <f t="shared" si="31"/>
        <v>0</v>
      </c>
      <c r="M707" s="227"/>
      <c r="P707" s="12"/>
      <c r="Q707" s="12"/>
      <c r="R707" s="12"/>
      <c r="S707" s="431">
        <f t="shared" si="32"/>
        <v>0</v>
      </c>
    </row>
    <row r="708" spans="1:19" x14ac:dyDescent="0.25">
      <c r="A708" s="11"/>
      <c r="B708" s="11"/>
      <c r="C708" s="11"/>
      <c r="D708" s="11"/>
      <c r="E708" s="431">
        <f t="shared" ref="E708:E771" si="33">+D708/100</f>
        <v>0</v>
      </c>
      <c r="H708" s="223"/>
      <c r="I708" s="223"/>
      <c r="J708" s="223"/>
      <c r="K708" s="223"/>
      <c r="L708" s="431">
        <f t="shared" ref="L708:L771" si="34">+K708/100</f>
        <v>0</v>
      </c>
      <c r="M708" s="227"/>
      <c r="P708" s="12"/>
      <c r="Q708" s="12"/>
      <c r="R708" s="12"/>
      <c r="S708" s="431">
        <f t="shared" ref="S708:S771" si="35">+R708/100</f>
        <v>0</v>
      </c>
    </row>
    <row r="709" spans="1:19" x14ac:dyDescent="0.25">
      <c r="A709" s="11"/>
      <c r="B709" s="11"/>
      <c r="C709" s="11"/>
      <c r="D709" s="11"/>
      <c r="E709" s="431">
        <f t="shared" si="33"/>
        <v>0</v>
      </c>
      <c r="H709" s="223"/>
      <c r="I709" s="223"/>
      <c r="J709" s="223"/>
      <c r="K709" s="223"/>
      <c r="L709" s="431">
        <f t="shared" si="34"/>
        <v>0</v>
      </c>
      <c r="M709" s="227"/>
      <c r="P709" s="12"/>
      <c r="Q709" s="12"/>
      <c r="R709" s="12"/>
      <c r="S709" s="431">
        <f t="shared" si="35"/>
        <v>0</v>
      </c>
    </row>
    <row r="710" spans="1:19" x14ac:dyDescent="0.25">
      <c r="A710" s="11"/>
      <c r="B710" s="11"/>
      <c r="C710" s="11"/>
      <c r="D710" s="11"/>
      <c r="E710" s="431">
        <f t="shared" si="33"/>
        <v>0</v>
      </c>
      <c r="H710" s="223"/>
      <c r="I710" s="223"/>
      <c r="J710" s="223"/>
      <c r="K710" s="223"/>
      <c r="L710" s="431">
        <f t="shared" si="34"/>
        <v>0</v>
      </c>
      <c r="M710" s="227"/>
      <c r="P710" s="12"/>
      <c r="Q710" s="12"/>
      <c r="R710" s="12"/>
      <c r="S710" s="431">
        <f t="shared" si="35"/>
        <v>0</v>
      </c>
    </row>
    <row r="711" spans="1:19" x14ac:dyDescent="0.25">
      <c r="A711" s="11"/>
      <c r="B711" s="11"/>
      <c r="C711" s="11"/>
      <c r="D711" s="11"/>
      <c r="E711" s="431">
        <f t="shared" si="33"/>
        <v>0</v>
      </c>
      <c r="H711" s="223"/>
      <c r="I711" s="223"/>
      <c r="J711" s="223"/>
      <c r="K711" s="223"/>
      <c r="L711" s="431">
        <f t="shared" si="34"/>
        <v>0</v>
      </c>
      <c r="M711" s="227"/>
      <c r="P711" s="12"/>
      <c r="Q711" s="12"/>
      <c r="R711" s="12"/>
      <c r="S711" s="431">
        <f t="shared" si="35"/>
        <v>0</v>
      </c>
    </row>
    <row r="712" spans="1:19" x14ac:dyDescent="0.25">
      <c r="A712" s="11"/>
      <c r="B712" s="11"/>
      <c r="C712" s="11"/>
      <c r="D712" s="11"/>
      <c r="E712" s="431">
        <f t="shared" si="33"/>
        <v>0</v>
      </c>
      <c r="H712" s="223"/>
      <c r="I712" s="223"/>
      <c r="J712" s="223"/>
      <c r="K712" s="223"/>
      <c r="L712" s="431">
        <f t="shared" si="34"/>
        <v>0</v>
      </c>
      <c r="M712" s="227"/>
      <c r="P712" s="12"/>
      <c r="Q712" s="12"/>
      <c r="R712" s="12"/>
      <c r="S712" s="431">
        <f t="shared" si="35"/>
        <v>0</v>
      </c>
    </row>
    <row r="713" spans="1:19" x14ac:dyDescent="0.25">
      <c r="A713" s="11"/>
      <c r="B713" s="11"/>
      <c r="C713" s="11"/>
      <c r="D713" s="11"/>
      <c r="E713" s="431">
        <f t="shared" si="33"/>
        <v>0</v>
      </c>
      <c r="H713" s="223"/>
      <c r="I713" s="223"/>
      <c r="J713" s="223"/>
      <c r="K713" s="223"/>
      <c r="L713" s="431">
        <f t="shared" si="34"/>
        <v>0</v>
      </c>
      <c r="M713" s="227"/>
      <c r="P713" s="12"/>
      <c r="Q713" s="12"/>
      <c r="R713" s="12"/>
      <c r="S713" s="431">
        <f t="shared" si="35"/>
        <v>0</v>
      </c>
    </row>
    <row r="714" spans="1:19" x14ac:dyDescent="0.25">
      <c r="A714" s="11"/>
      <c r="B714" s="11"/>
      <c r="C714" s="11"/>
      <c r="D714" s="11"/>
      <c r="E714" s="431">
        <f t="shared" si="33"/>
        <v>0</v>
      </c>
      <c r="H714" s="223"/>
      <c r="I714" s="223"/>
      <c r="J714" s="223"/>
      <c r="K714" s="223"/>
      <c r="L714" s="431">
        <f t="shared" si="34"/>
        <v>0</v>
      </c>
      <c r="M714" s="227"/>
      <c r="P714" s="12"/>
      <c r="Q714" s="12"/>
      <c r="R714" s="12"/>
      <c r="S714" s="431">
        <f t="shared" si="35"/>
        <v>0</v>
      </c>
    </row>
    <row r="715" spans="1:19" x14ac:dyDescent="0.25">
      <c r="A715" s="11"/>
      <c r="B715" s="11"/>
      <c r="C715" s="11"/>
      <c r="D715" s="11"/>
      <c r="E715" s="431">
        <f t="shared" si="33"/>
        <v>0</v>
      </c>
      <c r="H715" s="223"/>
      <c r="I715" s="223"/>
      <c r="J715" s="223"/>
      <c r="K715" s="223"/>
      <c r="L715" s="431">
        <f t="shared" si="34"/>
        <v>0</v>
      </c>
      <c r="M715" s="227"/>
      <c r="P715" s="12"/>
      <c r="Q715" s="12"/>
      <c r="R715" s="12"/>
      <c r="S715" s="431">
        <f t="shared" si="35"/>
        <v>0</v>
      </c>
    </row>
    <row r="716" spans="1:19" x14ac:dyDescent="0.25">
      <c r="A716" s="11"/>
      <c r="B716" s="11"/>
      <c r="C716" s="11"/>
      <c r="D716" s="11"/>
      <c r="E716" s="431">
        <f t="shared" si="33"/>
        <v>0</v>
      </c>
      <c r="H716" s="223"/>
      <c r="I716" s="223"/>
      <c r="J716" s="223"/>
      <c r="K716" s="223"/>
      <c r="L716" s="431">
        <f t="shared" si="34"/>
        <v>0</v>
      </c>
      <c r="M716" s="227"/>
      <c r="P716" s="12"/>
      <c r="Q716" s="12"/>
      <c r="R716" s="12"/>
      <c r="S716" s="431">
        <f t="shared" si="35"/>
        <v>0</v>
      </c>
    </row>
    <row r="717" spans="1:19" x14ac:dyDescent="0.25">
      <c r="A717" s="11"/>
      <c r="B717" s="11"/>
      <c r="C717" s="11"/>
      <c r="D717" s="11"/>
      <c r="E717" s="431">
        <f t="shared" si="33"/>
        <v>0</v>
      </c>
      <c r="H717" s="223"/>
      <c r="I717" s="223"/>
      <c r="J717" s="223"/>
      <c r="K717" s="223"/>
      <c r="L717" s="431">
        <f t="shared" si="34"/>
        <v>0</v>
      </c>
      <c r="M717" s="227"/>
      <c r="P717" s="12"/>
      <c r="Q717" s="12"/>
      <c r="R717" s="12"/>
      <c r="S717" s="431">
        <f t="shared" si="35"/>
        <v>0</v>
      </c>
    </row>
    <row r="718" spans="1:19" x14ac:dyDescent="0.25">
      <c r="A718" s="11"/>
      <c r="B718" s="11"/>
      <c r="C718" s="11"/>
      <c r="D718" s="11"/>
      <c r="E718" s="431">
        <f t="shared" si="33"/>
        <v>0</v>
      </c>
      <c r="H718" s="223"/>
      <c r="I718" s="223"/>
      <c r="J718" s="223"/>
      <c r="K718" s="223"/>
      <c r="L718" s="431">
        <f t="shared" si="34"/>
        <v>0</v>
      </c>
      <c r="M718" s="227"/>
      <c r="P718" s="12"/>
      <c r="Q718" s="12"/>
      <c r="R718" s="12"/>
      <c r="S718" s="431">
        <f t="shared" si="35"/>
        <v>0</v>
      </c>
    </row>
    <row r="719" spans="1:19" x14ac:dyDescent="0.25">
      <c r="A719" s="11"/>
      <c r="B719" s="11"/>
      <c r="C719" s="11"/>
      <c r="D719" s="11"/>
      <c r="E719" s="431">
        <f t="shared" si="33"/>
        <v>0</v>
      </c>
      <c r="H719" s="223"/>
      <c r="I719" s="223"/>
      <c r="J719" s="223"/>
      <c r="K719" s="223"/>
      <c r="L719" s="431">
        <f t="shared" si="34"/>
        <v>0</v>
      </c>
      <c r="M719" s="227"/>
      <c r="P719" s="12"/>
      <c r="Q719" s="12"/>
      <c r="R719" s="12"/>
      <c r="S719" s="431">
        <f t="shared" si="35"/>
        <v>0</v>
      </c>
    </row>
    <row r="720" spans="1:19" x14ac:dyDescent="0.25">
      <c r="A720" s="11"/>
      <c r="B720" s="11"/>
      <c r="C720" s="11"/>
      <c r="D720" s="11"/>
      <c r="E720" s="431">
        <f t="shared" si="33"/>
        <v>0</v>
      </c>
      <c r="H720" s="223"/>
      <c r="I720" s="223"/>
      <c r="J720" s="223"/>
      <c r="K720" s="223"/>
      <c r="L720" s="431">
        <f t="shared" si="34"/>
        <v>0</v>
      </c>
      <c r="M720" s="227"/>
      <c r="P720" s="12"/>
      <c r="Q720" s="12"/>
      <c r="R720" s="12"/>
      <c r="S720" s="431">
        <f t="shared" si="35"/>
        <v>0</v>
      </c>
    </row>
    <row r="721" spans="1:19" x14ac:dyDescent="0.25">
      <c r="A721" s="11"/>
      <c r="B721" s="11"/>
      <c r="C721" s="11"/>
      <c r="D721" s="11"/>
      <c r="E721" s="431">
        <f t="shared" si="33"/>
        <v>0</v>
      </c>
      <c r="H721" s="223"/>
      <c r="I721" s="223"/>
      <c r="J721" s="223"/>
      <c r="K721" s="223"/>
      <c r="L721" s="431">
        <f t="shared" si="34"/>
        <v>0</v>
      </c>
      <c r="M721" s="227"/>
      <c r="P721" s="12"/>
      <c r="Q721" s="12"/>
      <c r="R721" s="12"/>
      <c r="S721" s="431">
        <f t="shared" si="35"/>
        <v>0</v>
      </c>
    </row>
    <row r="722" spans="1:19" x14ac:dyDescent="0.25">
      <c r="A722" s="11"/>
      <c r="B722" s="11"/>
      <c r="C722" s="11"/>
      <c r="D722" s="11"/>
      <c r="E722" s="431">
        <f t="shared" si="33"/>
        <v>0</v>
      </c>
      <c r="H722" s="223"/>
      <c r="I722" s="223"/>
      <c r="J722" s="223"/>
      <c r="K722" s="223"/>
      <c r="L722" s="431">
        <f t="shared" si="34"/>
        <v>0</v>
      </c>
      <c r="M722" s="227"/>
      <c r="P722" s="12"/>
      <c r="Q722" s="12"/>
      <c r="R722" s="12"/>
      <c r="S722" s="431">
        <f t="shared" si="35"/>
        <v>0</v>
      </c>
    </row>
    <row r="723" spans="1:19" x14ac:dyDescent="0.25">
      <c r="A723" s="11"/>
      <c r="B723" s="11"/>
      <c r="C723" s="11"/>
      <c r="D723" s="11"/>
      <c r="E723" s="431">
        <f t="shared" si="33"/>
        <v>0</v>
      </c>
      <c r="H723" s="223"/>
      <c r="I723" s="223"/>
      <c r="J723" s="223"/>
      <c r="K723" s="223"/>
      <c r="L723" s="431">
        <f t="shared" si="34"/>
        <v>0</v>
      </c>
      <c r="M723" s="227"/>
      <c r="P723" s="12"/>
      <c r="Q723" s="12"/>
      <c r="R723" s="12"/>
      <c r="S723" s="431">
        <f t="shared" si="35"/>
        <v>0</v>
      </c>
    </row>
    <row r="724" spans="1:19" x14ac:dyDescent="0.25">
      <c r="A724" s="11"/>
      <c r="B724" s="11"/>
      <c r="C724" s="11"/>
      <c r="D724" s="11"/>
      <c r="E724" s="431">
        <f t="shared" si="33"/>
        <v>0</v>
      </c>
      <c r="H724" s="223"/>
      <c r="I724" s="223"/>
      <c r="J724" s="223"/>
      <c r="K724" s="223"/>
      <c r="L724" s="431">
        <f t="shared" si="34"/>
        <v>0</v>
      </c>
      <c r="M724" s="227"/>
      <c r="P724" s="12"/>
      <c r="Q724" s="12"/>
      <c r="R724" s="12"/>
      <c r="S724" s="431">
        <f t="shared" si="35"/>
        <v>0</v>
      </c>
    </row>
    <row r="725" spans="1:19" x14ac:dyDescent="0.25">
      <c r="A725" s="11"/>
      <c r="B725" s="11"/>
      <c r="C725" s="11"/>
      <c r="D725" s="11"/>
      <c r="E725" s="431">
        <f t="shared" si="33"/>
        <v>0</v>
      </c>
      <c r="H725" s="223"/>
      <c r="I725" s="223"/>
      <c r="J725" s="223"/>
      <c r="K725" s="223"/>
      <c r="L725" s="431">
        <f t="shared" si="34"/>
        <v>0</v>
      </c>
      <c r="M725" s="227"/>
      <c r="P725" s="12"/>
      <c r="Q725" s="12"/>
      <c r="R725" s="12"/>
      <c r="S725" s="431">
        <f t="shared" si="35"/>
        <v>0</v>
      </c>
    </row>
    <row r="726" spans="1:19" x14ac:dyDescent="0.25">
      <c r="A726" s="11"/>
      <c r="B726" s="11"/>
      <c r="C726" s="11"/>
      <c r="D726" s="11"/>
      <c r="E726" s="431">
        <f t="shared" si="33"/>
        <v>0</v>
      </c>
      <c r="H726" s="223"/>
      <c r="I726" s="223"/>
      <c r="J726" s="223"/>
      <c r="K726" s="223"/>
      <c r="L726" s="431">
        <f t="shared" si="34"/>
        <v>0</v>
      </c>
      <c r="M726" s="227"/>
      <c r="P726" s="12"/>
      <c r="Q726" s="12"/>
      <c r="R726" s="12"/>
      <c r="S726" s="431">
        <f t="shared" si="35"/>
        <v>0</v>
      </c>
    </row>
    <row r="727" spans="1:19" x14ac:dyDescent="0.25">
      <c r="A727" s="11"/>
      <c r="B727" s="11"/>
      <c r="C727" s="11"/>
      <c r="D727" s="11"/>
      <c r="E727" s="431">
        <f t="shared" si="33"/>
        <v>0</v>
      </c>
      <c r="H727" s="223"/>
      <c r="I727" s="223"/>
      <c r="J727" s="223"/>
      <c r="K727" s="223"/>
      <c r="L727" s="431">
        <f t="shared" si="34"/>
        <v>0</v>
      </c>
      <c r="M727" s="227"/>
      <c r="P727" s="12"/>
      <c r="Q727" s="12"/>
      <c r="R727" s="12"/>
      <c r="S727" s="431">
        <f t="shared" si="35"/>
        <v>0</v>
      </c>
    </row>
    <row r="728" spans="1:19" x14ac:dyDescent="0.25">
      <c r="A728" s="11"/>
      <c r="B728" s="11"/>
      <c r="C728" s="11"/>
      <c r="D728" s="11"/>
      <c r="E728" s="431">
        <f t="shared" si="33"/>
        <v>0</v>
      </c>
      <c r="H728" s="223"/>
      <c r="I728" s="223"/>
      <c r="J728" s="223"/>
      <c r="K728" s="223"/>
      <c r="L728" s="431">
        <f t="shared" si="34"/>
        <v>0</v>
      </c>
      <c r="M728" s="227"/>
      <c r="P728" s="12"/>
      <c r="Q728" s="12"/>
      <c r="R728" s="12"/>
      <c r="S728" s="431">
        <f t="shared" si="35"/>
        <v>0</v>
      </c>
    </row>
    <row r="729" spans="1:19" x14ac:dyDescent="0.25">
      <c r="A729" s="11"/>
      <c r="B729" s="11"/>
      <c r="C729" s="11"/>
      <c r="D729" s="11"/>
      <c r="E729" s="431">
        <f t="shared" si="33"/>
        <v>0</v>
      </c>
      <c r="H729" s="223"/>
      <c r="I729" s="223"/>
      <c r="J729" s="223"/>
      <c r="K729" s="223"/>
      <c r="L729" s="431">
        <f t="shared" si="34"/>
        <v>0</v>
      </c>
      <c r="M729" s="227"/>
      <c r="P729" s="12"/>
      <c r="Q729" s="12"/>
      <c r="R729" s="12"/>
      <c r="S729" s="431">
        <f t="shared" si="35"/>
        <v>0</v>
      </c>
    </row>
    <row r="730" spans="1:19" x14ac:dyDescent="0.25">
      <c r="A730" s="11"/>
      <c r="B730" s="11"/>
      <c r="C730" s="11"/>
      <c r="D730" s="11"/>
      <c r="E730" s="431">
        <f t="shared" si="33"/>
        <v>0</v>
      </c>
      <c r="H730" s="223"/>
      <c r="I730" s="223"/>
      <c r="J730" s="223"/>
      <c r="K730" s="223"/>
      <c r="L730" s="431">
        <f t="shared" si="34"/>
        <v>0</v>
      </c>
      <c r="M730" s="227"/>
      <c r="P730" s="12"/>
      <c r="Q730" s="12"/>
      <c r="R730" s="12"/>
      <c r="S730" s="431">
        <f t="shared" si="35"/>
        <v>0</v>
      </c>
    </row>
    <row r="731" spans="1:19" x14ac:dyDescent="0.25">
      <c r="A731" s="11"/>
      <c r="B731" s="11"/>
      <c r="C731" s="11"/>
      <c r="D731" s="11"/>
      <c r="E731" s="431">
        <f t="shared" si="33"/>
        <v>0</v>
      </c>
      <c r="H731" s="223"/>
      <c r="I731" s="223"/>
      <c r="J731" s="223"/>
      <c r="K731" s="223"/>
      <c r="L731" s="431">
        <f t="shared" si="34"/>
        <v>0</v>
      </c>
      <c r="M731" s="227"/>
      <c r="P731" s="12"/>
      <c r="Q731" s="12"/>
      <c r="R731" s="12"/>
      <c r="S731" s="431">
        <f t="shared" si="35"/>
        <v>0</v>
      </c>
    </row>
    <row r="732" spans="1:19" x14ac:dyDescent="0.25">
      <c r="A732" s="11"/>
      <c r="B732" s="11"/>
      <c r="C732" s="11"/>
      <c r="D732" s="11"/>
      <c r="E732" s="431">
        <f t="shared" si="33"/>
        <v>0</v>
      </c>
      <c r="H732" s="223"/>
      <c r="I732" s="223"/>
      <c r="J732" s="223"/>
      <c r="K732" s="223"/>
      <c r="L732" s="431">
        <f t="shared" si="34"/>
        <v>0</v>
      </c>
      <c r="M732" s="227"/>
      <c r="P732" s="12"/>
      <c r="Q732" s="12"/>
      <c r="R732" s="12"/>
      <c r="S732" s="431">
        <f t="shared" si="35"/>
        <v>0</v>
      </c>
    </row>
    <row r="733" spans="1:19" x14ac:dyDescent="0.25">
      <c r="A733" s="11"/>
      <c r="B733" s="11"/>
      <c r="C733" s="11"/>
      <c r="D733" s="11"/>
      <c r="E733" s="431">
        <f t="shared" si="33"/>
        <v>0</v>
      </c>
      <c r="H733" s="223"/>
      <c r="I733" s="223"/>
      <c r="J733" s="223"/>
      <c r="K733" s="223"/>
      <c r="L733" s="431">
        <f t="shared" si="34"/>
        <v>0</v>
      </c>
      <c r="M733" s="227"/>
      <c r="P733" s="12"/>
      <c r="Q733" s="12"/>
      <c r="R733" s="12"/>
      <c r="S733" s="431">
        <f t="shared" si="35"/>
        <v>0</v>
      </c>
    </row>
    <row r="734" spans="1:19" x14ac:dyDescent="0.25">
      <c r="A734" s="11"/>
      <c r="B734" s="11"/>
      <c r="C734" s="11"/>
      <c r="D734" s="11"/>
      <c r="E734" s="431">
        <f t="shared" si="33"/>
        <v>0</v>
      </c>
      <c r="H734" s="223"/>
      <c r="I734" s="223"/>
      <c r="J734" s="223"/>
      <c r="K734" s="223"/>
      <c r="L734" s="431">
        <f t="shared" si="34"/>
        <v>0</v>
      </c>
      <c r="M734" s="227"/>
      <c r="P734" s="12"/>
      <c r="Q734" s="12"/>
      <c r="R734" s="12"/>
      <c r="S734" s="431">
        <f t="shared" si="35"/>
        <v>0</v>
      </c>
    </row>
    <row r="735" spans="1:19" x14ac:dyDescent="0.25">
      <c r="A735" s="11"/>
      <c r="B735" s="11"/>
      <c r="C735" s="11"/>
      <c r="D735" s="11"/>
      <c r="E735" s="431">
        <f t="shared" si="33"/>
        <v>0</v>
      </c>
      <c r="H735" s="223"/>
      <c r="I735" s="223"/>
      <c r="J735" s="223"/>
      <c r="K735" s="223"/>
      <c r="L735" s="431">
        <f t="shared" si="34"/>
        <v>0</v>
      </c>
      <c r="M735" s="227"/>
      <c r="P735" s="12"/>
      <c r="Q735" s="12"/>
      <c r="R735" s="12"/>
      <c r="S735" s="431">
        <f t="shared" si="35"/>
        <v>0</v>
      </c>
    </row>
    <row r="736" spans="1:19" x14ac:dyDescent="0.25">
      <c r="A736" s="11"/>
      <c r="B736" s="11"/>
      <c r="C736" s="11"/>
      <c r="D736" s="11"/>
      <c r="E736" s="431">
        <f t="shared" si="33"/>
        <v>0</v>
      </c>
      <c r="H736" s="223"/>
      <c r="I736" s="223"/>
      <c r="J736" s="223"/>
      <c r="K736" s="223"/>
      <c r="L736" s="431">
        <f t="shared" si="34"/>
        <v>0</v>
      </c>
      <c r="M736" s="227"/>
      <c r="P736" s="12"/>
      <c r="Q736" s="12"/>
      <c r="R736" s="12"/>
      <c r="S736" s="431">
        <f t="shared" si="35"/>
        <v>0</v>
      </c>
    </row>
    <row r="737" spans="1:19" x14ac:dyDescent="0.25">
      <c r="A737" s="11"/>
      <c r="B737" s="11"/>
      <c r="C737" s="11"/>
      <c r="D737" s="11"/>
      <c r="E737" s="431">
        <f t="shared" si="33"/>
        <v>0</v>
      </c>
      <c r="H737" s="223"/>
      <c r="I737" s="223"/>
      <c r="J737" s="223"/>
      <c r="K737" s="223"/>
      <c r="L737" s="431">
        <f t="shared" si="34"/>
        <v>0</v>
      </c>
      <c r="M737" s="227"/>
      <c r="P737" s="12"/>
      <c r="Q737" s="12"/>
      <c r="R737" s="12"/>
      <c r="S737" s="431">
        <f t="shared" si="35"/>
        <v>0</v>
      </c>
    </row>
    <row r="738" spans="1:19" x14ac:dyDescent="0.25">
      <c r="A738" s="11"/>
      <c r="B738" s="11"/>
      <c r="C738" s="11"/>
      <c r="D738" s="11"/>
      <c r="E738" s="431">
        <f t="shared" si="33"/>
        <v>0</v>
      </c>
      <c r="H738" s="223"/>
      <c r="I738" s="223"/>
      <c r="J738" s="223"/>
      <c r="K738" s="223"/>
      <c r="L738" s="431">
        <f t="shared" si="34"/>
        <v>0</v>
      </c>
      <c r="M738" s="227"/>
      <c r="P738" s="12"/>
      <c r="Q738" s="12"/>
      <c r="R738" s="12"/>
      <c r="S738" s="431">
        <f t="shared" si="35"/>
        <v>0</v>
      </c>
    </row>
    <row r="739" spans="1:19" x14ac:dyDescent="0.25">
      <c r="A739" s="11"/>
      <c r="B739" s="11"/>
      <c r="C739" s="11"/>
      <c r="D739" s="11"/>
      <c r="E739" s="431">
        <f t="shared" si="33"/>
        <v>0</v>
      </c>
      <c r="H739" s="223"/>
      <c r="I739" s="223"/>
      <c r="J739" s="223"/>
      <c r="K739" s="223"/>
      <c r="L739" s="431">
        <f t="shared" si="34"/>
        <v>0</v>
      </c>
      <c r="M739" s="227"/>
      <c r="P739" s="12"/>
      <c r="Q739" s="12"/>
      <c r="R739" s="12"/>
      <c r="S739" s="431">
        <f t="shared" si="35"/>
        <v>0</v>
      </c>
    </row>
    <row r="740" spans="1:19" x14ac:dyDescent="0.25">
      <c r="A740" s="11"/>
      <c r="B740" s="11"/>
      <c r="C740" s="11"/>
      <c r="D740" s="11"/>
      <c r="E740" s="431">
        <f t="shared" si="33"/>
        <v>0</v>
      </c>
      <c r="H740" s="223"/>
      <c r="I740" s="223"/>
      <c r="J740" s="223"/>
      <c r="K740" s="223"/>
      <c r="L740" s="431">
        <f t="shared" si="34"/>
        <v>0</v>
      </c>
      <c r="M740" s="227"/>
      <c r="P740" s="12"/>
      <c r="Q740" s="12"/>
      <c r="R740" s="12"/>
      <c r="S740" s="431">
        <f t="shared" si="35"/>
        <v>0</v>
      </c>
    </row>
    <row r="741" spans="1:19" x14ac:dyDescent="0.25">
      <c r="A741" s="11"/>
      <c r="B741" s="11"/>
      <c r="C741" s="11"/>
      <c r="D741" s="11"/>
      <c r="E741" s="431">
        <f t="shared" si="33"/>
        <v>0</v>
      </c>
      <c r="H741" s="223"/>
      <c r="I741" s="223"/>
      <c r="J741" s="223"/>
      <c r="K741" s="223"/>
      <c r="L741" s="431">
        <f t="shared" si="34"/>
        <v>0</v>
      </c>
      <c r="M741" s="227"/>
      <c r="P741" s="12"/>
      <c r="Q741" s="12"/>
      <c r="R741" s="12"/>
      <c r="S741" s="431">
        <f t="shared" si="35"/>
        <v>0</v>
      </c>
    </row>
    <row r="742" spans="1:19" x14ac:dyDescent="0.25">
      <c r="A742" s="11"/>
      <c r="B742" s="11"/>
      <c r="C742" s="11"/>
      <c r="D742" s="11"/>
      <c r="E742" s="431">
        <f t="shared" si="33"/>
        <v>0</v>
      </c>
      <c r="H742" s="223"/>
      <c r="I742" s="223"/>
      <c r="J742" s="223"/>
      <c r="K742" s="223"/>
      <c r="L742" s="431">
        <f t="shared" si="34"/>
        <v>0</v>
      </c>
      <c r="M742" s="227"/>
      <c r="P742" s="12"/>
      <c r="Q742" s="12"/>
      <c r="R742" s="12"/>
      <c r="S742" s="431">
        <f t="shared" si="35"/>
        <v>0</v>
      </c>
    </row>
    <row r="743" spans="1:19" x14ac:dyDescent="0.25">
      <c r="A743" s="11"/>
      <c r="B743" s="11"/>
      <c r="C743" s="11"/>
      <c r="D743" s="11"/>
      <c r="E743" s="431">
        <f t="shared" si="33"/>
        <v>0</v>
      </c>
      <c r="H743" s="223"/>
      <c r="I743" s="223"/>
      <c r="J743" s="223"/>
      <c r="K743" s="223"/>
      <c r="L743" s="431">
        <f t="shared" si="34"/>
        <v>0</v>
      </c>
      <c r="M743" s="227"/>
      <c r="P743" s="12"/>
      <c r="Q743" s="12"/>
      <c r="R743" s="12"/>
      <c r="S743" s="431">
        <f t="shared" si="35"/>
        <v>0</v>
      </c>
    </row>
    <row r="744" spans="1:19" x14ac:dyDescent="0.25">
      <c r="A744" s="11"/>
      <c r="B744" s="11"/>
      <c r="C744" s="11"/>
      <c r="D744" s="11"/>
      <c r="E744" s="431">
        <f t="shared" si="33"/>
        <v>0</v>
      </c>
      <c r="H744" s="223"/>
      <c r="I744" s="223"/>
      <c r="J744" s="223"/>
      <c r="K744" s="223"/>
      <c r="L744" s="431">
        <f t="shared" si="34"/>
        <v>0</v>
      </c>
      <c r="M744" s="227"/>
      <c r="P744" s="12"/>
      <c r="Q744" s="12"/>
      <c r="R744" s="12"/>
      <c r="S744" s="431">
        <f t="shared" si="35"/>
        <v>0</v>
      </c>
    </row>
    <row r="745" spans="1:19" x14ac:dyDescent="0.25">
      <c r="A745" s="11"/>
      <c r="B745" s="11"/>
      <c r="C745" s="11"/>
      <c r="D745" s="11"/>
      <c r="E745" s="431">
        <f t="shared" si="33"/>
        <v>0</v>
      </c>
      <c r="H745" s="223"/>
      <c r="I745" s="223"/>
      <c r="J745" s="223"/>
      <c r="K745" s="223"/>
      <c r="L745" s="431">
        <f t="shared" si="34"/>
        <v>0</v>
      </c>
      <c r="M745" s="227"/>
      <c r="P745" s="12"/>
      <c r="Q745" s="12"/>
      <c r="R745" s="12"/>
      <c r="S745" s="431">
        <f t="shared" si="35"/>
        <v>0</v>
      </c>
    </row>
    <row r="746" spans="1:19" x14ac:dyDescent="0.25">
      <c r="A746" s="11"/>
      <c r="B746" s="11"/>
      <c r="C746" s="11"/>
      <c r="D746" s="11"/>
      <c r="E746" s="431">
        <f t="shared" si="33"/>
        <v>0</v>
      </c>
      <c r="H746" s="223"/>
      <c r="I746" s="223"/>
      <c r="J746" s="223"/>
      <c r="K746" s="223"/>
      <c r="L746" s="431">
        <f t="shared" si="34"/>
        <v>0</v>
      </c>
      <c r="M746" s="227"/>
      <c r="P746" s="12"/>
      <c r="Q746" s="12"/>
      <c r="R746" s="12"/>
      <c r="S746" s="431">
        <f t="shared" si="35"/>
        <v>0</v>
      </c>
    </row>
    <row r="747" spans="1:19" x14ac:dyDescent="0.25">
      <c r="A747" s="11"/>
      <c r="B747" s="11"/>
      <c r="C747" s="11"/>
      <c r="D747" s="11"/>
      <c r="E747" s="431">
        <f t="shared" si="33"/>
        <v>0</v>
      </c>
      <c r="H747" s="223"/>
      <c r="I747" s="223"/>
      <c r="J747" s="223"/>
      <c r="K747" s="223"/>
      <c r="L747" s="431">
        <f t="shared" si="34"/>
        <v>0</v>
      </c>
      <c r="M747" s="227"/>
      <c r="P747" s="12"/>
      <c r="Q747" s="12"/>
      <c r="R747" s="12"/>
      <c r="S747" s="431">
        <f t="shared" si="35"/>
        <v>0</v>
      </c>
    </row>
    <row r="748" spans="1:19" x14ac:dyDescent="0.25">
      <c r="A748" s="11"/>
      <c r="B748" s="11"/>
      <c r="C748" s="11"/>
      <c r="D748" s="11"/>
      <c r="E748" s="431">
        <f t="shared" si="33"/>
        <v>0</v>
      </c>
      <c r="H748" s="223"/>
      <c r="I748" s="223"/>
      <c r="J748" s="223"/>
      <c r="K748" s="223"/>
      <c r="L748" s="431">
        <f t="shared" si="34"/>
        <v>0</v>
      </c>
      <c r="M748" s="227"/>
      <c r="P748" s="12"/>
      <c r="Q748" s="12"/>
      <c r="R748" s="12"/>
      <c r="S748" s="431">
        <f t="shared" si="35"/>
        <v>0</v>
      </c>
    </row>
    <row r="749" spans="1:19" x14ac:dyDescent="0.25">
      <c r="A749" s="11"/>
      <c r="B749" s="11"/>
      <c r="C749" s="11"/>
      <c r="D749" s="11"/>
      <c r="E749" s="431">
        <f t="shared" si="33"/>
        <v>0</v>
      </c>
      <c r="H749" s="223"/>
      <c r="I749" s="223"/>
      <c r="J749" s="223"/>
      <c r="K749" s="223"/>
      <c r="L749" s="431">
        <f t="shared" si="34"/>
        <v>0</v>
      </c>
      <c r="M749" s="227"/>
      <c r="P749" s="12"/>
      <c r="Q749" s="12"/>
      <c r="R749" s="12"/>
      <c r="S749" s="431">
        <f t="shared" si="35"/>
        <v>0</v>
      </c>
    </row>
    <row r="750" spans="1:19" x14ac:dyDescent="0.25">
      <c r="A750" s="11"/>
      <c r="B750" s="11"/>
      <c r="C750" s="11"/>
      <c r="D750" s="11"/>
      <c r="E750" s="431">
        <f t="shared" si="33"/>
        <v>0</v>
      </c>
      <c r="H750" s="223"/>
      <c r="I750" s="223"/>
      <c r="J750" s="223"/>
      <c r="K750" s="223"/>
      <c r="L750" s="431">
        <f t="shared" si="34"/>
        <v>0</v>
      </c>
      <c r="M750" s="227"/>
      <c r="P750" s="12"/>
      <c r="Q750" s="12"/>
      <c r="R750" s="12"/>
      <c r="S750" s="431">
        <f t="shared" si="35"/>
        <v>0</v>
      </c>
    </row>
    <row r="751" spans="1:19" x14ac:dyDescent="0.25">
      <c r="A751" s="11"/>
      <c r="B751" s="11"/>
      <c r="C751" s="11"/>
      <c r="D751" s="11"/>
      <c r="E751" s="431">
        <f t="shared" si="33"/>
        <v>0</v>
      </c>
      <c r="H751" s="223"/>
      <c r="I751" s="223"/>
      <c r="J751" s="223"/>
      <c r="K751" s="223"/>
      <c r="L751" s="431">
        <f t="shared" si="34"/>
        <v>0</v>
      </c>
      <c r="M751" s="227"/>
      <c r="P751" s="12"/>
      <c r="Q751" s="12"/>
      <c r="R751" s="12"/>
      <c r="S751" s="431">
        <f t="shared" si="35"/>
        <v>0</v>
      </c>
    </row>
    <row r="752" spans="1:19" x14ac:dyDescent="0.25">
      <c r="A752" s="11"/>
      <c r="B752" s="11"/>
      <c r="C752" s="11"/>
      <c r="D752" s="11"/>
      <c r="E752" s="431">
        <f t="shared" si="33"/>
        <v>0</v>
      </c>
      <c r="H752" s="223"/>
      <c r="I752" s="223"/>
      <c r="J752" s="223"/>
      <c r="K752" s="223"/>
      <c r="L752" s="431">
        <f t="shared" si="34"/>
        <v>0</v>
      </c>
      <c r="M752" s="227"/>
      <c r="P752" s="12"/>
      <c r="Q752" s="12"/>
      <c r="R752" s="12"/>
      <c r="S752" s="431">
        <f t="shared" si="35"/>
        <v>0</v>
      </c>
    </row>
    <row r="753" spans="1:19" x14ac:dyDescent="0.25">
      <c r="A753" s="11"/>
      <c r="B753" s="11"/>
      <c r="C753" s="11"/>
      <c r="D753" s="11"/>
      <c r="E753" s="431">
        <f t="shared" si="33"/>
        <v>0</v>
      </c>
      <c r="H753" s="223"/>
      <c r="I753" s="223"/>
      <c r="J753" s="223"/>
      <c r="K753" s="223"/>
      <c r="L753" s="431">
        <f t="shared" si="34"/>
        <v>0</v>
      </c>
      <c r="M753" s="227"/>
      <c r="P753" s="12"/>
      <c r="Q753" s="12"/>
      <c r="R753" s="12"/>
      <c r="S753" s="431">
        <f t="shared" si="35"/>
        <v>0</v>
      </c>
    </row>
    <row r="754" spans="1:19" x14ac:dyDescent="0.25">
      <c r="A754" s="11"/>
      <c r="B754" s="11"/>
      <c r="C754" s="11"/>
      <c r="D754" s="11"/>
      <c r="E754" s="431">
        <f t="shared" si="33"/>
        <v>0</v>
      </c>
      <c r="H754" s="223"/>
      <c r="I754" s="223"/>
      <c r="J754" s="223"/>
      <c r="K754" s="223"/>
      <c r="L754" s="431">
        <f t="shared" si="34"/>
        <v>0</v>
      </c>
      <c r="M754" s="227"/>
      <c r="P754" s="12"/>
      <c r="Q754" s="12"/>
      <c r="R754" s="12"/>
      <c r="S754" s="431">
        <f t="shared" si="35"/>
        <v>0</v>
      </c>
    </row>
    <row r="755" spans="1:19" x14ac:dyDescent="0.25">
      <c r="A755" s="11"/>
      <c r="B755" s="11"/>
      <c r="C755" s="11"/>
      <c r="D755" s="11"/>
      <c r="E755" s="431">
        <f t="shared" si="33"/>
        <v>0</v>
      </c>
      <c r="H755" s="223"/>
      <c r="I755" s="223"/>
      <c r="J755" s="223"/>
      <c r="K755" s="223"/>
      <c r="L755" s="431">
        <f t="shared" si="34"/>
        <v>0</v>
      </c>
      <c r="M755" s="227"/>
      <c r="P755" s="12"/>
      <c r="Q755" s="12"/>
      <c r="R755" s="12"/>
      <c r="S755" s="431">
        <f t="shared" si="35"/>
        <v>0</v>
      </c>
    </row>
    <row r="756" spans="1:19" x14ac:dyDescent="0.25">
      <c r="A756" s="11"/>
      <c r="B756" s="11"/>
      <c r="C756" s="11"/>
      <c r="D756" s="11"/>
      <c r="E756" s="431">
        <f t="shared" si="33"/>
        <v>0</v>
      </c>
      <c r="H756" s="223"/>
      <c r="I756" s="223"/>
      <c r="J756" s="223"/>
      <c r="K756" s="223"/>
      <c r="L756" s="431">
        <f t="shared" si="34"/>
        <v>0</v>
      </c>
      <c r="M756" s="227"/>
      <c r="P756" s="12"/>
      <c r="Q756" s="12"/>
      <c r="R756" s="12"/>
      <c r="S756" s="431">
        <f t="shared" si="35"/>
        <v>0</v>
      </c>
    </row>
    <row r="757" spans="1:19" x14ac:dyDescent="0.25">
      <c r="A757" s="11"/>
      <c r="B757" s="11"/>
      <c r="C757" s="11"/>
      <c r="D757" s="11"/>
      <c r="E757" s="431">
        <f t="shared" si="33"/>
        <v>0</v>
      </c>
      <c r="H757" s="223"/>
      <c r="I757" s="223"/>
      <c r="J757" s="223"/>
      <c r="K757" s="223"/>
      <c r="L757" s="431">
        <f t="shared" si="34"/>
        <v>0</v>
      </c>
      <c r="M757" s="227"/>
      <c r="P757" s="12"/>
      <c r="Q757" s="12"/>
      <c r="R757" s="12"/>
      <c r="S757" s="431">
        <f t="shared" si="35"/>
        <v>0</v>
      </c>
    </row>
    <row r="758" spans="1:19" x14ac:dyDescent="0.25">
      <c r="A758" s="11"/>
      <c r="B758" s="11"/>
      <c r="C758" s="11"/>
      <c r="D758" s="11"/>
      <c r="E758" s="431">
        <f t="shared" si="33"/>
        <v>0</v>
      </c>
      <c r="H758" s="223"/>
      <c r="I758" s="223"/>
      <c r="J758" s="223"/>
      <c r="K758" s="223"/>
      <c r="L758" s="431">
        <f t="shared" si="34"/>
        <v>0</v>
      </c>
      <c r="M758" s="227"/>
      <c r="P758" s="12"/>
      <c r="Q758" s="12"/>
      <c r="R758" s="12"/>
      <c r="S758" s="431">
        <f t="shared" si="35"/>
        <v>0</v>
      </c>
    </row>
    <row r="759" spans="1:19" x14ac:dyDescent="0.25">
      <c r="A759" s="11"/>
      <c r="B759" s="11"/>
      <c r="C759" s="11"/>
      <c r="D759" s="11"/>
      <c r="E759" s="431">
        <f t="shared" si="33"/>
        <v>0</v>
      </c>
      <c r="H759" s="223"/>
      <c r="I759" s="223"/>
      <c r="J759" s="223"/>
      <c r="K759" s="223"/>
      <c r="L759" s="431">
        <f t="shared" si="34"/>
        <v>0</v>
      </c>
      <c r="M759" s="227"/>
      <c r="P759" s="12"/>
      <c r="Q759" s="12"/>
      <c r="R759" s="12"/>
      <c r="S759" s="431">
        <f t="shared" si="35"/>
        <v>0</v>
      </c>
    </row>
    <row r="760" spans="1:19" x14ac:dyDescent="0.25">
      <c r="A760" s="11"/>
      <c r="B760" s="11"/>
      <c r="C760" s="11"/>
      <c r="D760" s="11"/>
      <c r="E760" s="431">
        <f t="shared" si="33"/>
        <v>0</v>
      </c>
      <c r="H760" s="223"/>
      <c r="I760" s="223"/>
      <c r="J760" s="223"/>
      <c r="K760" s="223"/>
      <c r="L760" s="431">
        <f t="shared" si="34"/>
        <v>0</v>
      </c>
      <c r="M760" s="227"/>
      <c r="P760" s="12"/>
      <c r="Q760" s="12"/>
      <c r="R760" s="12"/>
      <c r="S760" s="431">
        <f t="shared" si="35"/>
        <v>0</v>
      </c>
    </row>
    <row r="761" spans="1:19" x14ac:dyDescent="0.25">
      <c r="A761" s="11"/>
      <c r="B761" s="11"/>
      <c r="C761" s="11"/>
      <c r="D761" s="11"/>
      <c r="E761" s="431">
        <f t="shared" si="33"/>
        <v>0</v>
      </c>
      <c r="H761" s="223"/>
      <c r="I761" s="223"/>
      <c r="J761" s="223"/>
      <c r="K761" s="223"/>
      <c r="L761" s="431">
        <f t="shared" si="34"/>
        <v>0</v>
      </c>
      <c r="M761" s="227"/>
      <c r="P761" s="12"/>
      <c r="Q761" s="12"/>
      <c r="R761" s="12"/>
      <c r="S761" s="431">
        <f t="shared" si="35"/>
        <v>0</v>
      </c>
    </row>
    <row r="762" spans="1:19" x14ac:dyDescent="0.25">
      <c r="A762" s="11"/>
      <c r="B762" s="11"/>
      <c r="C762" s="11"/>
      <c r="D762" s="11"/>
      <c r="E762" s="431">
        <f t="shared" si="33"/>
        <v>0</v>
      </c>
      <c r="H762" s="223"/>
      <c r="I762" s="223"/>
      <c r="J762" s="223"/>
      <c r="K762" s="223"/>
      <c r="L762" s="431">
        <f t="shared" si="34"/>
        <v>0</v>
      </c>
      <c r="M762" s="227"/>
      <c r="P762" s="12"/>
      <c r="Q762" s="12"/>
      <c r="R762" s="12"/>
      <c r="S762" s="431">
        <f t="shared" si="35"/>
        <v>0</v>
      </c>
    </row>
    <row r="763" spans="1:19" x14ac:dyDescent="0.25">
      <c r="A763" s="11"/>
      <c r="B763" s="11"/>
      <c r="C763" s="11"/>
      <c r="D763" s="11"/>
      <c r="E763" s="431">
        <f t="shared" si="33"/>
        <v>0</v>
      </c>
      <c r="H763" s="223"/>
      <c r="I763" s="223"/>
      <c r="J763" s="223"/>
      <c r="K763" s="223"/>
      <c r="L763" s="431">
        <f t="shared" si="34"/>
        <v>0</v>
      </c>
      <c r="M763" s="227"/>
      <c r="P763" s="12"/>
      <c r="Q763" s="12"/>
      <c r="R763" s="12"/>
      <c r="S763" s="431">
        <f t="shared" si="35"/>
        <v>0</v>
      </c>
    </row>
    <row r="764" spans="1:19" x14ac:dyDescent="0.25">
      <c r="A764" s="11"/>
      <c r="B764" s="11"/>
      <c r="C764" s="11"/>
      <c r="D764" s="11"/>
      <c r="E764" s="431">
        <f t="shared" si="33"/>
        <v>0</v>
      </c>
      <c r="H764" s="223"/>
      <c r="I764" s="223"/>
      <c r="J764" s="223"/>
      <c r="K764" s="223"/>
      <c r="L764" s="431">
        <f t="shared" si="34"/>
        <v>0</v>
      </c>
      <c r="M764" s="227"/>
      <c r="P764" s="12"/>
      <c r="Q764" s="12"/>
      <c r="R764" s="12"/>
      <c r="S764" s="431">
        <f t="shared" si="35"/>
        <v>0</v>
      </c>
    </row>
    <row r="765" spans="1:19" x14ac:dyDescent="0.25">
      <c r="A765" s="11"/>
      <c r="B765" s="11"/>
      <c r="C765" s="11"/>
      <c r="D765" s="11"/>
      <c r="E765" s="431">
        <f t="shared" si="33"/>
        <v>0</v>
      </c>
      <c r="H765" s="223"/>
      <c r="I765" s="223"/>
      <c r="J765" s="223"/>
      <c r="K765" s="223"/>
      <c r="L765" s="431">
        <f t="shared" si="34"/>
        <v>0</v>
      </c>
      <c r="M765" s="227"/>
      <c r="P765" s="12"/>
      <c r="Q765" s="12"/>
      <c r="R765" s="12"/>
      <c r="S765" s="431">
        <f t="shared" si="35"/>
        <v>0</v>
      </c>
    </row>
    <row r="766" spans="1:19" x14ac:dyDescent="0.25">
      <c r="A766" s="11"/>
      <c r="B766" s="11"/>
      <c r="C766" s="11"/>
      <c r="D766" s="11"/>
      <c r="E766" s="431">
        <f t="shared" si="33"/>
        <v>0</v>
      </c>
      <c r="H766" s="223"/>
      <c r="I766" s="223"/>
      <c r="J766" s="223"/>
      <c r="K766" s="223"/>
      <c r="L766" s="431">
        <f t="shared" si="34"/>
        <v>0</v>
      </c>
      <c r="M766" s="227"/>
      <c r="P766" s="12"/>
      <c r="Q766" s="12"/>
      <c r="R766" s="12"/>
      <c r="S766" s="431">
        <f t="shared" si="35"/>
        <v>0</v>
      </c>
    </row>
    <row r="767" spans="1:19" x14ac:dyDescent="0.25">
      <c r="A767" s="11"/>
      <c r="B767" s="11"/>
      <c r="C767" s="11"/>
      <c r="D767" s="11"/>
      <c r="E767" s="431">
        <f t="shared" si="33"/>
        <v>0</v>
      </c>
      <c r="H767" s="223"/>
      <c r="I767" s="223"/>
      <c r="J767" s="223"/>
      <c r="K767" s="223"/>
      <c r="L767" s="431">
        <f t="shared" si="34"/>
        <v>0</v>
      </c>
      <c r="M767" s="227"/>
      <c r="P767" s="12"/>
      <c r="Q767" s="12"/>
      <c r="R767" s="12"/>
      <c r="S767" s="431">
        <f t="shared" si="35"/>
        <v>0</v>
      </c>
    </row>
    <row r="768" spans="1:19" x14ac:dyDescent="0.25">
      <c r="A768" s="11"/>
      <c r="B768" s="11"/>
      <c r="C768" s="11"/>
      <c r="D768" s="11"/>
      <c r="E768" s="431">
        <f t="shared" si="33"/>
        <v>0</v>
      </c>
      <c r="H768" s="223"/>
      <c r="I768" s="223"/>
      <c r="J768" s="223"/>
      <c r="K768" s="223"/>
      <c r="L768" s="431">
        <f t="shared" si="34"/>
        <v>0</v>
      </c>
      <c r="M768" s="227"/>
      <c r="P768" s="12"/>
      <c r="Q768" s="12"/>
      <c r="R768" s="12"/>
      <c r="S768" s="431">
        <f t="shared" si="35"/>
        <v>0</v>
      </c>
    </row>
    <row r="769" spans="1:19" x14ac:dyDescent="0.25">
      <c r="A769" s="11"/>
      <c r="B769" s="11"/>
      <c r="C769" s="11"/>
      <c r="D769" s="11"/>
      <c r="E769" s="431">
        <f t="shared" si="33"/>
        <v>0</v>
      </c>
      <c r="H769" s="223"/>
      <c r="I769" s="223"/>
      <c r="J769" s="223"/>
      <c r="K769" s="223"/>
      <c r="L769" s="431">
        <f t="shared" si="34"/>
        <v>0</v>
      </c>
      <c r="M769" s="227"/>
      <c r="P769" s="12"/>
      <c r="Q769" s="12"/>
      <c r="R769" s="12"/>
      <c r="S769" s="431">
        <f t="shared" si="35"/>
        <v>0</v>
      </c>
    </row>
    <row r="770" spans="1:19" x14ac:dyDescent="0.25">
      <c r="A770" s="11"/>
      <c r="B770" s="11"/>
      <c r="C770" s="11"/>
      <c r="D770" s="11"/>
      <c r="E770" s="431">
        <f t="shared" si="33"/>
        <v>0</v>
      </c>
      <c r="H770" s="223"/>
      <c r="I770" s="223"/>
      <c r="J770" s="223"/>
      <c r="K770" s="223"/>
      <c r="L770" s="431">
        <f t="shared" si="34"/>
        <v>0</v>
      </c>
      <c r="M770" s="227"/>
      <c r="P770" s="12"/>
      <c r="Q770" s="12"/>
      <c r="R770" s="12"/>
      <c r="S770" s="431">
        <f t="shared" si="35"/>
        <v>0</v>
      </c>
    </row>
    <row r="771" spans="1:19" x14ac:dyDescent="0.25">
      <c r="A771" s="11"/>
      <c r="B771" s="11"/>
      <c r="C771" s="11"/>
      <c r="D771" s="11"/>
      <c r="E771" s="431">
        <f t="shared" si="33"/>
        <v>0</v>
      </c>
      <c r="H771" s="223"/>
      <c r="I771" s="223"/>
      <c r="J771" s="223"/>
      <c r="K771" s="223"/>
      <c r="L771" s="431">
        <f t="shared" si="34"/>
        <v>0</v>
      </c>
      <c r="M771" s="227"/>
      <c r="P771" s="12"/>
      <c r="Q771" s="12"/>
      <c r="R771" s="12"/>
      <c r="S771" s="431">
        <f t="shared" si="35"/>
        <v>0</v>
      </c>
    </row>
    <row r="772" spans="1:19" x14ac:dyDescent="0.25">
      <c r="A772" s="11"/>
      <c r="B772" s="11"/>
      <c r="C772" s="11"/>
      <c r="D772" s="11"/>
      <c r="E772" s="431">
        <f t="shared" ref="E772:E835" si="36">+D772/100</f>
        <v>0</v>
      </c>
      <c r="H772" s="223"/>
      <c r="I772" s="223"/>
      <c r="J772" s="223"/>
      <c r="K772" s="223"/>
      <c r="L772" s="431">
        <f t="shared" ref="L772:L835" si="37">+K772/100</f>
        <v>0</v>
      </c>
      <c r="M772" s="227"/>
      <c r="P772" s="12"/>
      <c r="Q772" s="12"/>
      <c r="R772" s="12"/>
      <c r="S772" s="431">
        <f t="shared" ref="S772:S835" si="38">+R772/100</f>
        <v>0</v>
      </c>
    </row>
    <row r="773" spans="1:19" x14ac:dyDescent="0.25">
      <c r="A773" s="11"/>
      <c r="B773" s="11"/>
      <c r="C773" s="11"/>
      <c r="D773" s="11"/>
      <c r="E773" s="431">
        <f t="shared" si="36"/>
        <v>0</v>
      </c>
      <c r="H773" s="223"/>
      <c r="I773" s="223"/>
      <c r="J773" s="223"/>
      <c r="K773" s="223"/>
      <c r="L773" s="431">
        <f t="shared" si="37"/>
        <v>0</v>
      </c>
      <c r="M773" s="227"/>
      <c r="P773" s="12"/>
      <c r="Q773" s="12"/>
      <c r="R773" s="12"/>
      <c r="S773" s="431">
        <f t="shared" si="38"/>
        <v>0</v>
      </c>
    </row>
    <row r="774" spans="1:19" x14ac:dyDescent="0.25">
      <c r="A774" s="11"/>
      <c r="B774" s="11"/>
      <c r="C774" s="11"/>
      <c r="D774" s="11"/>
      <c r="E774" s="431">
        <f t="shared" si="36"/>
        <v>0</v>
      </c>
      <c r="H774" s="223"/>
      <c r="I774" s="223"/>
      <c r="J774" s="223"/>
      <c r="K774" s="223"/>
      <c r="L774" s="431">
        <f t="shared" si="37"/>
        <v>0</v>
      </c>
      <c r="M774" s="227"/>
      <c r="P774" s="12"/>
      <c r="Q774" s="12"/>
      <c r="R774" s="12"/>
      <c r="S774" s="431">
        <f t="shared" si="38"/>
        <v>0</v>
      </c>
    </row>
    <row r="775" spans="1:19" x14ac:dyDescent="0.25">
      <c r="A775" s="11"/>
      <c r="B775" s="11"/>
      <c r="C775" s="11"/>
      <c r="D775" s="11"/>
      <c r="E775" s="431">
        <f t="shared" si="36"/>
        <v>0</v>
      </c>
      <c r="H775" s="223"/>
      <c r="I775" s="223"/>
      <c r="J775" s="223"/>
      <c r="K775" s="223"/>
      <c r="L775" s="431">
        <f t="shared" si="37"/>
        <v>0</v>
      </c>
      <c r="M775" s="227"/>
      <c r="P775" s="12"/>
      <c r="Q775" s="12"/>
      <c r="R775" s="12"/>
      <c r="S775" s="431">
        <f t="shared" si="38"/>
        <v>0</v>
      </c>
    </row>
    <row r="776" spans="1:19" x14ac:dyDescent="0.25">
      <c r="A776" s="11"/>
      <c r="B776" s="11"/>
      <c r="C776" s="11"/>
      <c r="D776" s="11"/>
      <c r="E776" s="431">
        <f t="shared" si="36"/>
        <v>0</v>
      </c>
      <c r="H776" s="223"/>
      <c r="I776" s="223"/>
      <c r="J776" s="223"/>
      <c r="K776" s="223"/>
      <c r="L776" s="431">
        <f t="shared" si="37"/>
        <v>0</v>
      </c>
      <c r="M776" s="227"/>
      <c r="P776" s="12"/>
      <c r="Q776" s="12"/>
      <c r="R776" s="12"/>
      <c r="S776" s="431">
        <f t="shared" si="38"/>
        <v>0</v>
      </c>
    </row>
    <row r="777" spans="1:19" x14ac:dyDescent="0.25">
      <c r="A777" s="11"/>
      <c r="B777" s="11"/>
      <c r="C777" s="11"/>
      <c r="D777" s="11"/>
      <c r="E777" s="431">
        <f t="shared" si="36"/>
        <v>0</v>
      </c>
      <c r="H777" s="223"/>
      <c r="I777" s="223"/>
      <c r="J777" s="223"/>
      <c r="K777" s="223"/>
      <c r="L777" s="431">
        <f t="shared" si="37"/>
        <v>0</v>
      </c>
      <c r="M777" s="227"/>
      <c r="P777" s="12"/>
      <c r="Q777" s="12"/>
      <c r="R777" s="12"/>
      <c r="S777" s="431">
        <f t="shared" si="38"/>
        <v>0</v>
      </c>
    </row>
    <row r="778" spans="1:19" x14ac:dyDescent="0.25">
      <c r="A778" s="11"/>
      <c r="B778" s="11"/>
      <c r="C778" s="11"/>
      <c r="D778" s="11"/>
      <c r="E778" s="431">
        <f t="shared" si="36"/>
        <v>0</v>
      </c>
      <c r="H778" s="223"/>
      <c r="I778" s="223"/>
      <c r="J778" s="223"/>
      <c r="K778" s="223"/>
      <c r="L778" s="431">
        <f t="shared" si="37"/>
        <v>0</v>
      </c>
      <c r="M778" s="227"/>
      <c r="P778" s="12"/>
      <c r="Q778" s="12"/>
      <c r="R778" s="12"/>
      <c r="S778" s="431">
        <f t="shared" si="38"/>
        <v>0</v>
      </c>
    </row>
    <row r="779" spans="1:19" x14ac:dyDescent="0.25">
      <c r="A779" s="11"/>
      <c r="B779" s="11"/>
      <c r="C779" s="11"/>
      <c r="D779" s="11"/>
      <c r="E779" s="431">
        <f t="shared" si="36"/>
        <v>0</v>
      </c>
      <c r="H779" s="223"/>
      <c r="I779" s="223"/>
      <c r="J779" s="223"/>
      <c r="K779" s="223"/>
      <c r="L779" s="431">
        <f t="shared" si="37"/>
        <v>0</v>
      </c>
      <c r="M779" s="227"/>
      <c r="P779" s="12"/>
      <c r="Q779" s="12"/>
      <c r="R779" s="12"/>
      <c r="S779" s="431">
        <f t="shared" si="38"/>
        <v>0</v>
      </c>
    </row>
    <row r="780" spans="1:19" x14ac:dyDescent="0.25">
      <c r="A780" s="11"/>
      <c r="B780" s="11"/>
      <c r="C780" s="11"/>
      <c r="D780" s="11"/>
      <c r="E780" s="431">
        <f t="shared" si="36"/>
        <v>0</v>
      </c>
      <c r="H780" s="223"/>
      <c r="I780" s="223"/>
      <c r="J780" s="223"/>
      <c r="K780" s="223"/>
      <c r="L780" s="431">
        <f t="shared" si="37"/>
        <v>0</v>
      </c>
      <c r="M780" s="227"/>
      <c r="P780" s="12"/>
      <c r="Q780" s="12"/>
      <c r="R780" s="12"/>
      <c r="S780" s="431">
        <f t="shared" si="38"/>
        <v>0</v>
      </c>
    </row>
    <row r="781" spans="1:19" x14ac:dyDescent="0.25">
      <c r="A781" s="11"/>
      <c r="B781" s="11"/>
      <c r="C781" s="11"/>
      <c r="D781" s="11"/>
      <c r="E781" s="431">
        <f t="shared" si="36"/>
        <v>0</v>
      </c>
      <c r="H781" s="223"/>
      <c r="I781" s="223"/>
      <c r="J781" s="223"/>
      <c r="K781" s="223"/>
      <c r="L781" s="431">
        <f t="shared" si="37"/>
        <v>0</v>
      </c>
      <c r="M781" s="227"/>
      <c r="P781" s="12"/>
      <c r="Q781" s="12"/>
      <c r="R781" s="12"/>
      <c r="S781" s="431">
        <f t="shared" si="38"/>
        <v>0</v>
      </c>
    </row>
    <row r="782" spans="1:19" x14ac:dyDescent="0.25">
      <c r="A782" s="11"/>
      <c r="B782" s="11"/>
      <c r="C782" s="11"/>
      <c r="D782" s="11"/>
      <c r="E782" s="431">
        <f t="shared" si="36"/>
        <v>0</v>
      </c>
      <c r="H782" s="223"/>
      <c r="I782" s="223"/>
      <c r="J782" s="223"/>
      <c r="K782" s="223"/>
      <c r="L782" s="431">
        <f t="shared" si="37"/>
        <v>0</v>
      </c>
      <c r="M782" s="227"/>
      <c r="P782" s="12"/>
      <c r="Q782" s="12"/>
      <c r="R782" s="12"/>
      <c r="S782" s="431">
        <f t="shared" si="38"/>
        <v>0</v>
      </c>
    </row>
    <row r="783" spans="1:19" x14ac:dyDescent="0.25">
      <c r="A783" s="11"/>
      <c r="B783" s="11"/>
      <c r="C783" s="11"/>
      <c r="D783" s="11"/>
      <c r="E783" s="431">
        <f t="shared" si="36"/>
        <v>0</v>
      </c>
      <c r="H783" s="223"/>
      <c r="I783" s="223"/>
      <c r="J783" s="223"/>
      <c r="K783" s="223"/>
      <c r="L783" s="431">
        <f t="shared" si="37"/>
        <v>0</v>
      </c>
      <c r="M783" s="227"/>
      <c r="P783" s="12"/>
      <c r="Q783" s="12"/>
      <c r="R783" s="12"/>
      <c r="S783" s="431">
        <f t="shared" si="38"/>
        <v>0</v>
      </c>
    </row>
    <row r="784" spans="1:19" x14ac:dyDescent="0.25">
      <c r="A784" s="11"/>
      <c r="B784" s="11"/>
      <c r="C784" s="11"/>
      <c r="D784" s="11"/>
      <c r="E784" s="431">
        <f t="shared" si="36"/>
        <v>0</v>
      </c>
      <c r="H784" s="223"/>
      <c r="I784" s="223"/>
      <c r="J784" s="223"/>
      <c r="K784" s="223"/>
      <c r="L784" s="431">
        <f t="shared" si="37"/>
        <v>0</v>
      </c>
      <c r="M784" s="227"/>
      <c r="P784" s="12"/>
      <c r="Q784" s="12"/>
      <c r="R784" s="12"/>
      <c r="S784" s="431">
        <f t="shared" si="38"/>
        <v>0</v>
      </c>
    </row>
    <row r="785" spans="1:19" x14ac:dyDescent="0.25">
      <c r="A785" s="11"/>
      <c r="B785" s="11"/>
      <c r="C785" s="11"/>
      <c r="D785" s="11"/>
      <c r="E785" s="431">
        <f t="shared" si="36"/>
        <v>0</v>
      </c>
      <c r="H785" s="223"/>
      <c r="I785" s="223"/>
      <c r="J785" s="223"/>
      <c r="K785" s="223"/>
      <c r="L785" s="431">
        <f t="shared" si="37"/>
        <v>0</v>
      </c>
      <c r="M785" s="227"/>
      <c r="P785" s="12"/>
      <c r="Q785" s="12"/>
      <c r="R785" s="12"/>
      <c r="S785" s="431">
        <f t="shared" si="38"/>
        <v>0</v>
      </c>
    </row>
    <row r="786" spans="1:19" x14ac:dyDescent="0.25">
      <c r="A786" s="11"/>
      <c r="B786" s="11"/>
      <c r="C786" s="11"/>
      <c r="D786" s="11"/>
      <c r="E786" s="431">
        <f t="shared" si="36"/>
        <v>0</v>
      </c>
      <c r="H786" s="223"/>
      <c r="I786" s="223"/>
      <c r="J786" s="223"/>
      <c r="K786" s="223"/>
      <c r="L786" s="431">
        <f t="shared" si="37"/>
        <v>0</v>
      </c>
      <c r="M786" s="227"/>
      <c r="P786" s="12"/>
      <c r="Q786" s="12"/>
      <c r="R786" s="12"/>
      <c r="S786" s="431">
        <f t="shared" si="38"/>
        <v>0</v>
      </c>
    </row>
    <row r="787" spans="1:19" x14ac:dyDescent="0.25">
      <c r="A787" s="11"/>
      <c r="B787" s="11"/>
      <c r="C787" s="11"/>
      <c r="D787" s="11"/>
      <c r="E787" s="431">
        <f t="shared" si="36"/>
        <v>0</v>
      </c>
      <c r="H787" s="223"/>
      <c r="I787" s="223"/>
      <c r="J787" s="223"/>
      <c r="K787" s="223"/>
      <c r="L787" s="431">
        <f t="shared" si="37"/>
        <v>0</v>
      </c>
      <c r="M787" s="227"/>
      <c r="P787" s="12"/>
      <c r="Q787" s="12"/>
      <c r="R787" s="12"/>
      <c r="S787" s="431">
        <f t="shared" si="38"/>
        <v>0</v>
      </c>
    </row>
    <row r="788" spans="1:19" x14ac:dyDescent="0.25">
      <c r="A788" s="11"/>
      <c r="B788" s="11"/>
      <c r="C788" s="11"/>
      <c r="D788" s="11"/>
      <c r="E788" s="431">
        <f t="shared" si="36"/>
        <v>0</v>
      </c>
      <c r="H788" s="223"/>
      <c r="I788" s="223"/>
      <c r="J788" s="223"/>
      <c r="K788" s="223"/>
      <c r="L788" s="431">
        <f t="shared" si="37"/>
        <v>0</v>
      </c>
      <c r="M788" s="227"/>
      <c r="P788" s="12"/>
      <c r="Q788" s="12"/>
      <c r="R788" s="12"/>
      <c r="S788" s="431">
        <f t="shared" si="38"/>
        <v>0</v>
      </c>
    </row>
    <row r="789" spans="1:19" x14ac:dyDescent="0.25">
      <c r="A789" s="11"/>
      <c r="B789" s="11"/>
      <c r="C789" s="11"/>
      <c r="D789" s="11"/>
      <c r="E789" s="431">
        <f t="shared" si="36"/>
        <v>0</v>
      </c>
      <c r="H789" s="223"/>
      <c r="I789" s="223"/>
      <c r="J789" s="223"/>
      <c r="K789" s="223"/>
      <c r="L789" s="431">
        <f t="shared" si="37"/>
        <v>0</v>
      </c>
      <c r="M789" s="227"/>
      <c r="P789" s="12"/>
      <c r="Q789" s="12"/>
      <c r="R789" s="12"/>
      <c r="S789" s="431">
        <f t="shared" si="38"/>
        <v>0</v>
      </c>
    </row>
    <row r="790" spans="1:19" x14ac:dyDescent="0.25">
      <c r="A790" s="11"/>
      <c r="B790" s="11"/>
      <c r="C790" s="11"/>
      <c r="D790" s="11"/>
      <c r="E790" s="431">
        <f t="shared" si="36"/>
        <v>0</v>
      </c>
      <c r="H790" s="223"/>
      <c r="I790" s="223"/>
      <c r="J790" s="223"/>
      <c r="K790" s="223"/>
      <c r="L790" s="431">
        <f t="shared" si="37"/>
        <v>0</v>
      </c>
      <c r="M790" s="227"/>
      <c r="P790" s="12"/>
      <c r="Q790" s="12"/>
      <c r="R790" s="12"/>
      <c r="S790" s="431">
        <f t="shared" si="38"/>
        <v>0</v>
      </c>
    </row>
    <row r="791" spans="1:19" x14ac:dyDescent="0.25">
      <c r="A791" s="11"/>
      <c r="B791" s="11"/>
      <c r="C791" s="11"/>
      <c r="D791" s="11"/>
      <c r="E791" s="431">
        <f t="shared" si="36"/>
        <v>0</v>
      </c>
      <c r="H791" s="223"/>
      <c r="I791" s="223"/>
      <c r="J791" s="223"/>
      <c r="K791" s="223"/>
      <c r="L791" s="431">
        <f t="shared" si="37"/>
        <v>0</v>
      </c>
      <c r="M791" s="227"/>
      <c r="P791" s="12"/>
      <c r="Q791" s="12"/>
      <c r="R791" s="12"/>
      <c r="S791" s="431">
        <f t="shared" si="38"/>
        <v>0</v>
      </c>
    </row>
    <row r="792" spans="1:19" x14ac:dyDescent="0.25">
      <c r="A792" s="11"/>
      <c r="B792" s="11"/>
      <c r="C792" s="11"/>
      <c r="D792" s="11"/>
      <c r="E792" s="431">
        <f t="shared" si="36"/>
        <v>0</v>
      </c>
      <c r="H792" s="223"/>
      <c r="I792" s="223"/>
      <c r="J792" s="223"/>
      <c r="K792" s="223"/>
      <c r="L792" s="431">
        <f t="shared" si="37"/>
        <v>0</v>
      </c>
      <c r="M792" s="227"/>
      <c r="P792" s="12"/>
      <c r="Q792" s="12"/>
      <c r="R792" s="12"/>
      <c r="S792" s="431">
        <f t="shared" si="38"/>
        <v>0</v>
      </c>
    </row>
    <row r="793" spans="1:19" x14ac:dyDescent="0.25">
      <c r="A793" s="11"/>
      <c r="B793" s="11"/>
      <c r="C793" s="11"/>
      <c r="D793" s="11"/>
      <c r="E793" s="431">
        <f t="shared" si="36"/>
        <v>0</v>
      </c>
      <c r="H793" s="223"/>
      <c r="I793" s="223"/>
      <c r="J793" s="223"/>
      <c r="K793" s="223"/>
      <c r="L793" s="431">
        <f t="shared" si="37"/>
        <v>0</v>
      </c>
      <c r="M793" s="227"/>
      <c r="P793" s="12"/>
      <c r="Q793" s="12"/>
      <c r="R793" s="12"/>
      <c r="S793" s="431">
        <f t="shared" si="38"/>
        <v>0</v>
      </c>
    </row>
    <row r="794" spans="1:19" x14ac:dyDescent="0.25">
      <c r="A794" s="11"/>
      <c r="B794" s="11"/>
      <c r="C794" s="11"/>
      <c r="D794" s="11"/>
      <c r="E794" s="431">
        <f t="shared" si="36"/>
        <v>0</v>
      </c>
      <c r="H794" s="223"/>
      <c r="I794" s="223"/>
      <c r="J794" s="223"/>
      <c r="K794" s="223"/>
      <c r="L794" s="431">
        <f t="shared" si="37"/>
        <v>0</v>
      </c>
      <c r="M794" s="227"/>
      <c r="P794" s="12"/>
      <c r="Q794" s="12"/>
      <c r="R794" s="12"/>
      <c r="S794" s="431">
        <f t="shared" si="38"/>
        <v>0</v>
      </c>
    </row>
    <row r="795" spans="1:19" x14ac:dyDescent="0.25">
      <c r="A795" s="11"/>
      <c r="B795" s="11"/>
      <c r="C795" s="11"/>
      <c r="D795" s="11"/>
      <c r="E795" s="431">
        <f t="shared" si="36"/>
        <v>0</v>
      </c>
      <c r="H795" s="223"/>
      <c r="I795" s="223"/>
      <c r="J795" s="223"/>
      <c r="K795" s="223"/>
      <c r="L795" s="431">
        <f t="shared" si="37"/>
        <v>0</v>
      </c>
      <c r="M795" s="227"/>
      <c r="P795" s="12"/>
      <c r="Q795" s="12"/>
      <c r="R795" s="12"/>
      <c r="S795" s="431">
        <f t="shared" si="38"/>
        <v>0</v>
      </c>
    </row>
    <row r="796" spans="1:19" x14ac:dyDescent="0.25">
      <c r="A796" s="11"/>
      <c r="B796" s="11"/>
      <c r="C796" s="11"/>
      <c r="D796" s="11"/>
      <c r="E796" s="431">
        <f t="shared" si="36"/>
        <v>0</v>
      </c>
      <c r="H796" s="223"/>
      <c r="I796" s="223"/>
      <c r="J796" s="223"/>
      <c r="K796" s="223"/>
      <c r="L796" s="431">
        <f t="shared" si="37"/>
        <v>0</v>
      </c>
      <c r="M796" s="227"/>
      <c r="P796" s="12"/>
      <c r="Q796" s="12"/>
      <c r="R796" s="12"/>
      <c r="S796" s="431">
        <f t="shared" si="38"/>
        <v>0</v>
      </c>
    </row>
    <row r="797" spans="1:19" x14ac:dyDescent="0.25">
      <c r="A797" s="11"/>
      <c r="B797" s="11"/>
      <c r="C797" s="11"/>
      <c r="D797" s="11"/>
      <c r="E797" s="431">
        <f t="shared" si="36"/>
        <v>0</v>
      </c>
      <c r="H797" s="223"/>
      <c r="I797" s="223"/>
      <c r="J797" s="223"/>
      <c r="K797" s="223"/>
      <c r="L797" s="431">
        <f t="shared" si="37"/>
        <v>0</v>
      </c>
      <c r="M797" s="227"/>
      <c r="P797" s="12"/>
      <c r="Q797" s="12"/>
      <c r="R797" s="12"/>
      <c r="S797" s="431">
        <f t="shared" si="38"/>
        <v>0</v>
      </c>
    </row>
    <row r="798" spans="1:19" x14ac:dyDescent="0.25">
      <c r="A798" s="11"/>
      <c r="B798" s="11"/>
      <c r="C798" s="11"/>
      <c r="D798" s="11"/>
      <c r="E798" s="431">
        <f t="shared" si="36"/>
        <v>0</v>
      </c>
      <c r="H798" s="223"/>
      <c r="I798" s="223"/>
      <c r="J798" s="223"/>
      <c r="K798" s="223"/>
      <c r="L798" s="431">
        <f t="shared" si="37"/>
        <v>0</v>
      </c>
      <c r="M798" s="227"/>
      <c r="P798" s="12"/>
      <c r="Q798" s="12"/>
      <c r="R798" s="12"/>
      <c r="S798" s="431">
        <f t="shared" si="38"/>
        <v>0</v>
      </c>
    </row>
    <row r="799" spans="1:19" x14ac:dyDescent="0.25">
      <c r="A799" s="11"/>
      <c r="B799" s="11"/>
      <c r="C799" s="11"/>
      <c r="D799" s="11"/>
      <c r="E799" s="431">
        <f t="shared" si="36"/>
        <v>0</v>
      </c>
      <c r="H799" s="223"/>
      <c r="I799" s="223"/>
      <c r="J799" s="223"/>
      <c r="K799" s="223"/>
      <c r="L799" s="431">
        <f t="shared" si="37"/>
        <v>0</v>
      </c>
      <c r="M799" s="227"/>
      <c r="P799" s="12"/>
      <c r="Q799" s="12"/>
      <c r="R799" s="12"/>
      <c r="S799" s="431">
        <f t="shared" si="38"/>
        <v>0</v>
      </c>
    </row>
    <row r="800" spans="1:19" x14ac:dyDescent="0.25">
      <c r="A800" s="11"/>
      <c r="B800" s="11"/>
      <c r="C800" s="11"/>
      <c r="D800" s="11"/>
      <c r="E800" s="431">
        <f t="shared" si="36"/>
        <v>0</v>
      </c>
      <c r="H800" s="223"/>
      <c r="I800" s="223"/>
      <c r="J800" s="223"/>
      <c r="K800" s="223"/>
      <c r="L800" s="431">
        <f t="shared" si="37"/>
        <v>0</v>
      </c>
      <c r="M800" s="227"/>
      <c r="P800" s="12"/>
      <c r="Q800" s="12"/>
      <c r="R800" s="12"/>
      <c r="S800" s="431">
        <f t="shared" si="38"/>
        <v>0</v>
      </c>
    </row>
    <row r="801" spans="1:19" x14ac:dyDescent="0.25">
      <c r="A801" s="11"/>
      <c r="B801" s="11"/>
      <c r="C801" s="11"/>
      <c r="D801" s="11"/>
      <c r="E801" s="431">
        <f t="shared" si="36"/>
        <v>0</v>
      </c>
      <c r="H801" s="223"/>
      <c r="I801" s="223"/>
      <c r="J801" s="223"/>
      <c r="K801" s="223"/>
      <c r="L801" s="431">
        <f t="shared" si="37"/>
        <v>0</v>
      </c>
      <c r="M801" s="227"/>
      <c r="P801" s="12"/>
      <c r="Q801" s="12"/>
      <c r="R801" s="12"/>
      <c r="S801" s="431">
        <f t="shared" si="38"/>
        <v>0</v>
      </c>
    </row>
    <row r="802" spans="1:19" x14ac:dyDescent="0.25">
      <c r="A802" s="11"/>
      <c r="B802" s="11"/>
      <c r="C802" s="11"/>
      <c r="D802" s="11"/>
      <c r="E802" s="431">
        <f t="shared" si="36"/>
        <v>0</v>
      </c>
      <c r="H802" s="223"/>
      <c r="I802" s="223"/>
      <c r="J802" s="223"/>
      <c r="K802" s="223"/>
      <c r="L802" s="431">
        <f t="shared" si="37"/>
        <v>0</v>
      </c>
      <c r="M802" s="227"/>
      <c r="P802" s="12"/>
      <c r="Q802" s="12"/>
      <c r="R802" s="12"/>
      <c r="S802" s="431">
        <f t="shared" si="38"/>
        <v>0</v>
      </c>
    </row>
    <row r="803" spans="1:19" x14ac:dyDescent="0.25">
      <c r="A803" s="11"/>
      <c r="B803" s="11"/>
      <c r="C803" s="11"/>
      <c r="D803" s="11"/>
      <c r="E803" s="431">
        <f t="shared" si="36"/>
        <v>0</v>
      </c>
      <c r="H803" s="223"/>
      <c r="I803" s="223"/>
      <c r="J803" s="223"/>
      <c r="K803" s="223"/>
      <c r="L803" s="431">
        <f t="shared" si="37"/>
        <v>0</v>
      </c>
      <c r="M803" s="227"/>
      <c r="P803" s="12"/>
      <c r="Q803" s="12"/>
      <c r="R803" s="12"/>
      <c r="S803" s="431">
        <f t="shared" si="38"/>
        <v>0</v>
      </c>
    </row>
    <row r="804" spans="1:19" x14ac:dyDescent="0.25">
      <c r="A804" s="11"/>
      <c r="B804" s="11"/>
      <c r="C804" s="11"/>
      <c r="D804" s="11"/>
      <c r="E804" s="431">
        <f t="shared" si="36"/>
        <v>0</v>
      </c>
      <c r="H804" s="223"/>
      <c r="I804" s="223"/>
      <c r="J804" s="223"/>
      <c r="K804" s="223"/>
      <c r="L804" s="431">
        <f t="shared" si="37"/>
        <v>0</v>
      </c>
      <c r="M804" s="227"/>
      <c r="P804" s="12"/>
      <c r="Q804" s="12"/>
      <c r="R804" s="12"/>
      <c r="S804" s="431">
        <f t="shared" si="38"/>
        <v>0</v>
      </c>
    </row>
    <row r="805" spans="1:19" x14ac:dyDescent="0.25">
      <c r="A805" s="11"/>
      <c r="B805" s="11"/>
      <c r="C805" s="11"/>
      <c r="D805" s="11"/>
      <c r="E805" s="431">
        <f t="shared" si="36"/>
        <v>0</v>
      </c>
      <c r="H805" s="223"/>
      <c r="I805" s="223"/>
      <c r="J805" s="223"/>
      <c r="K805" s="223"/>
      <c r="L805" s="431">
        <f t="shared" si="37"/>
        <v>0</v>
      </c>
      <c r="M805" s="227"/>
      <c r="P805" s="12"/>
      <c r="Q805" s="12"/>
      <c r="R805" s="12"/>
      <c r="S805" s="431">
        <f t="shared" si="38"/>
        <v>0</v>
      </c>
    </row>
    <row r="806" spans="1:19" x14ac:dyDescent="0.25">
      <c r="A806" s="11"/>
      <c r="B806" s="11"/>
      <c r="C806" s="11"/>
      <c r="D806" s="11"/>
      <c r="E806" s="431">
        <f t="shared" si="36"/>
        <v>0</v>
      </c>
      <c r="H806" s="223"/>
      <c r="I806" s="223"/>
      <c r="J806" s="223"/>
      <c r="K806" s="223"/>
      <c r="L806" s="431">
        <f t="shared" si="37"/>
        <v>0</v>
      </c>
      <c r="M806" s="227"/>
      <c r="P806" s="12"/>
      <c r="Q806" s="12"/>
      <c r="R806" s="12"/>
      <c r="S806" s="431">
        <f t="shared" si="38"/>
        <v>0</v>
      </c>
    </row>
    <row r="807" spans="1:19" x14ac:dyDescent="0.25">
      <c r="A807" s="11"/>
      <c r="B807" s="11"/>
      <c r="C807" s="11"/>
      <c r="D807" s="11"/>
      <c r="E807" s="431">
        <f t="shared" si="36"/>
        <v>0</v>
      </c>
      <c r="H807" s="223"/>
      <c r="I807" s="223"/>
      <c r="J807" s="223"/>
      <c r="K807" s="223"/>
      <c r="L807" s="431">
        <f t="shared" si="37"/>
        <v>0</v>
      </c>
      <c r="M807" s="227"/>
      <c r="P807" s="12"/>
      <c r="Q807" s="12"/>
      <c r="R807" s="12"/>
      <c r="S807" s="431">
        <f t="shared" si="38"/>
        <v>0</v>
      </c>
    </row>
    <row r="808" spans="1:19" x14ac:dyDescent="0.25">
      <c r="A808" s="11"/>
      <c r="B808" s="11"/>
      <c r="C808" s="11"/>
      <c r="D808" s="11"/>
      <c r="E808" s="431">
        <f t="shared" si="36"/>
        <v>0</v>
      </c>
      <c r="H808" s="223"/>
      <c r="I808" s="223"/>
      <c r="J808" s="223"/>
      <c r="K808" s="223"/>
      <c r="L808" s="431">
        <f t="shared" si="37"/>
        <v>0</v>
      </c>
      <c r="M808" s="227"/>
      <c r="P808" s="12"/>
      <c r="Q808" s="12"/>
      <c r="R808" s="12"/>
      <c r="S808" s="431">
        <f t="shared" si="38"/>
        <v>0</v>
      </c>
    </row>
    <row r="809" spans="1:19" x14ac:dyDescent="0.25">
      <c r="A809" s="11"/>
      <c r="B809" s="11"/>
      <c r="C809" s="11"/>
      <c r="D809" s="11"/>
      <c r="E809" s="431">
        <f t="shared" si="36"/>
        <v>0</v>
      </c>
      <c r="H809" s="223"/>
      <c r="I809" s="223"/>
      <c r="J809" s="223"/>
      <c r="K809" s="223"/>
      <c r="L809" s="431">
        <f t="shared" si="37"/>
        <v>0</v>
      </c>
      <c r="M809" s="227"/>
      <c r="P809" s="12"/>
      <c r="Q809" s="12"/>
      <c r="R809" s="12"/>
      <c r="S809" s="431">
        <f t="shared" si="38"/>
        <v>0</v>
      </c>
    </row>
    <row r="810" spans="1:19" x14ac:dyDescent="0.25">
      <c r="A810" s="11"/>
      <c r="B810" s="11"/>
      <c r="C810" s="11"/>
      <c r="D810" s="11"/>
      <c r="E810" s="431">
        <f t="shared" si="36"/>
        <v>0</v>
      </c>
      <c r="H810" s="223"/>
      <c r="I810" s="223"/>
      <c r="J810" s="223"/>
      <c r="K810" s="223"/>
      <c r="L810" s="431">
        <f t="shared" si="37"/>
        <v>0</v>
      </c>
      <c r="M810" s="227"/>
      <c r="P810" s="12"/>
      <c r="Q810" s="12"/>
      <c r="R810" s="12"/>
      <c r="S810" s="431">
        <f t="shared" si="38"/>
        <v>0</v>
      </c>
    </row>
    <row r="811" spans="1:19" x14ac:dyDescent="0.25">
      <c r="A811" s="11"/>
      <c r="B811" s="11"/>
      <c r="C811" s="11"/>
      <c r="D811" s="11"/>
      <c r="E811" s="431">
        <f t="shared" si="36"/>
        <v>0</v>
      </c>
      <c r="H811" s="223"/>
      <c r="I811" s="223"/>
      <c r="J811" s="223"/>
      <c r="K811" s="223"/>
      <c r="L811" s="431">
        <f t="shared" si="37"/>
        <v>0</v>
      </c>
      <c r="M811" s="227"/>
      <c r="P811" s="12"/>
      <c r="Q811" s="12"/>
      <c r="R811" s="12"/>
      <c r="S811" s="431">
        <f t="shared" si="38"/>
        <v>0</v>
      </c>
    </row>
    <row r="812" spans="1:19" x14ac:dyDescent="0.25">
      <c r="A812" s="11"/>
      <c r="B812" s="11"/>
      <c r="C812" s="11"/>
      <c r="D812" s="11"/>
      <c r="E812" s="431">
        <f t="shared" si="36"/>
        <v>0</v>
      </c>
      <c r="H812" s="223"/>
      <c r="I812" s="223"/>
      <c r="J812" s="223"/>
      <c r="K812" s="223"/>
      <c r="L812" s="431">
        <f t="shared" si="37"/>
        <v>0</v>
      </c>
      <c r="M812" s="227"/>
      <c r="P812" s="12"/>
      <c r="Q812" s="12"/>
      <c r="R812" s="12"/>
      <c r="S812" s="431">
        <f t="shared" si="38"/>
        <v>0</v>
      </c>
    </row>
    <row r="813" spans="1:19" x14ac:dyDescent="0.25">
      <c r="A813" s="11"/>
      <c r="B813" s="11"/>
      <c r="C813" s="11"/>
      <c r="D813" s="11"/>
      <c r="E813" s="431">
        <f t="shared" si="36"/>
        <v>0</v>
      </c>
      <c r="H813" s="223"/>
      <c r="I813" s="223"/>
      <c r="J813" s="223"/>
      <c r="K813" s="223"/>
      <c r="L813" s="431">
        <f t="shared" si="37"/>
        <v>0</v>
      </c>
      <c r="M813" s="227"/>
      <c r="P813" s="12"/>
      <c r="Q813" s="12"/>
      <c r="R813" s="12"/>
      <c r="S813" s="431">
        <f t="shared" si="38"/>
        <v>0</v>
      </c>
    </row>
    <row r="814" spans="1:19" x14ac:dyDescent="0.25">
      <c r="A814" s="11"/>
      <c r="B814" s="11"/>
      <c r="C814" s="11"/>
      <c r="D814" s="11"/>
      <c r="E814" s="431">
        <f t="shared" si="36"/>
        <v>0</v>
      </c>
      <c r="H814" s="223"/>
      <c r="I814" s="223"/>
      <c r="J814" s="223"/>
      <c r="K814" s="223"/>
      <c r="L814" s="431">
        <f t="shared" si="37"/>
        <v>0</v>
      </c>
      <c r="M814" s="227"/>
      <c r="P814" s="12"/>
      <c r="Q814" s="12"/>
      <c r="R814" s="12"/>
      <c r="S814" s="431">
        <f t="shared" si="38"/>
        <v>0</v>
      </c>
    </row>
    <row r="815" spans="1:19" x14ac:dyDescent="0.25">
      <c r="A815" s="11"/>
      <c r="B815" s="11"/>
      <c r="C815" s="11"/>
      <c r="D815" s="11"/>
      <c r="E815" s="431">
        <f t="shared" si="36"/>
        <v>0</v>
      </c>
      <c r="H815" s="223"/>
      <c r="I815" s="223"/>
      <c r="J815" s="223"/>
      <c r="K815" s="223"/>
      <c r="L815" s="431">
        <f t="shared" si="37"/>
        <v>0</v>
      </c>
      <c r="M815" s="227"/>
      <c r="P815" s="12"/>
      <c r="Q815" s="12"/>
      <c r="R815" s="12"/>
      <c r="S815" s="431">
        <f t="shared" si="38"/>
        <v>0</v>
      </c>
    </row>
    <row r="816" spans="1:19" x14ac:dyDescent="0.25">
      <c r="A816" s="11"/>
      <c r="B816" s="11"/>
      <c r="C816" s="11"/>
      <c r="D816" s="11"/>
      <c r="E816" s="431">
        <f t="shared" si="36"/>
        <v>0</v>
      </c>
      <c r="H816" s="223"/>
      <c r="I816" s="223"/>
      <c r="J816" s="223"/>
      <c r="K816" s="223"/>
      <c r="L816" s="431">
        <f t="shared" si="37"/>
        <v>0</v>
      </c>
      <c r="M816" s="227"/>
      <c r="P816" s="12"/>
      <c r="Q816" s="12"/>
      <c r="R816" s="12"/>
      <c r="S816" s="431">
        <f t="shared" si="38"/>
        <v>0</v>
      </c>
    </row>
    <row r="817" spans="1:19" x14ac:dyDescent="0.25">
      <c r="A817" s="11"/>
      <c r="B817" s="11"/>
      <c r="C817" s="11"/>
      <c r="D817" s="11"/>
      <c r="E817" s="431">
        <f t="shared" si="36"/>
        <v>0</v>
      </c>
      <c r="H817" s="223"/>
      <c r="I817" s="223"/>
      <c r="J817" s="223"/>
      <c r="K817" s="223"/>
      <c r="L817" s="431">
        <f t="shared" si="37"/>
        <v>0</v>
      </c>
      <c r="M817" s="227"/>
      <c r="P817" s="12"/>
      <c r="Q817" s="12"/>
      <c r="R817" s="12"/>
      <c r="S817" s="431">
        <f t="shared" si="38"/>
        <v>0</v>
      </c>
    </row>
    <row r="818" spans="1:19" x14ac:dyDescent="0.25">
      <c r="A818" s="11"/>
      <c r="B818" s="11"/>
      <c r="C818" s="11"/>
      <c r="D818" s="11"/>
      <c r="E818" s="431">
        <f t="shared" si="36"/>
        <v>0</v>
      </c>
      <c r="H818" s="223"/>
      <c r="I818" s="223"/>
      <c r="J818" s="223"/>
      <c r="K818" s="223"/>
      <c r="L818" s="431">
        <f t="shared" si="37"/>
        <v>0</v>
      </c>
      <c r="M818" s="227"/>
      <c r="P818" s="12"/>
      <c r="Q818" s="12"/>
      <c r="R818" s="12"/>
      <c r="S818" s="431">
        <f t="shared" si="38"/>
        <v>0</v>
      </c>
    </row>
    <row r="819" spans="1:19" x14ac:dyDescent="0.25">
      <c r="A819" s="11"/>
      <c r="B819" s="11"/>
      <c r="C819" s="11"/>
      <c r="D819" s="11"/>
      <c r="E819" s="431">
        <f t="shared" si="36"/>
        <v>0</v>
      </c>
      <c r="H819" s="223"/>
      <c r="I819" s="223"/>
      <c r="J819" s="223"/>
      <c r="K819" s="223"/>
      <c r="L819" s="431">
        <f t="shared" si="37"/>
        <v>0</v>
      </c>
      <c r="M819" s="227"/>
      <c r="P819" s="12"/>
      <c r="Q819" s="12"/>
      <c r="R819" s="12"/>
      <c r="S819" s="431">
        <f t="shared" si="38"/>
        <v>0</v>
      </c>
    </row>
    <row r="820" spans="1:19" x14ac:dyDescent="0.25">
      <c r="A820" s="11"/>
      <c r="B820" s="11"/>
      <c r="C820" s="11"/>
      <c r="D820" s="11"/>
      <c r="E820" s="431">
        <f t="shared" si="36"/>
        <v>0</v>
      </c>
      <c r="H820" s="223"/>
      <c r="I820" s="223"/>
      <c r="J820" s="223"/>
      <c r="K820" s="223"/>
      <c r="L820" s="431">
        <f t="shared" si="37"/>
        <v>0</v>
      </c>
      <c r="M820" s="227"/>
      <c r="P820" s="12"/>
      <c r="Q820" s="12"/>
      <c r="R820" s="12"/>
      <c r="S820" s="431">
        <f t="shared" si="38"/>
        <v>0</v>
      </c>
    </row>
    <row r="821" spans="1:19" x14ac:dyDescent="0.25">
      <c r="A821" s="11"/>
      <c r="B821" s="11"/>
      <c r="C821" s="11"/>
      <c r="D821" s="11"/>
      <c r="E821" s="431">
        <f t="shared" si="36"/>
        <v>0</v>
      </c>
      <c r="H821" s="223"/>
      <c r="I821" s="223"/>
      <c r="J821" s="223"/>
      <c r="K821" s="223"/>
      <c r="L821" s="431">
        <f t="shared" si="37"/>
        <v>0</v>
      </c>
      <c r="M821" s="227"/>
      <c r="P821" s="12"/>
      <c r="Q821" s="12"/>
      <c r="R821" s="12"/>
      <c r="S821" s="431">
        <f t="shared" si="38"/>
        <v>0</v>
      </c>
    </row>
    <row r="822" spans="1:19" x14ac:dyDescent="0.25">
      <c r="A822" s="11"/>
      <c r="B822" s="11"/>
      <c r="C822" s="11"/>
      <c r="D822" s="11"/>
      <c r="E822" s="431">
        <f t="shared" si="36"/>
        <v>0</v>
      </c>
      <c r="H822" s="223"/>
      <c r="I822" s="223"/>
      <c r="J822" s="223"/>
      <c r="K822" s="223"/>
      <c r="L822" s="431">
        <f t="shared" si="37"/>
        <v>0</v>
      </c>
      <c r="M822" s="227"/>
      <c r="P822" s="12"/>
      <c r="Q822" s="12"/>
      <c r="R822" s="12"/>
      <c r="S822" s="431">
        <f t="shared" si="38"/>
        <v>0</v>
      </c>
    </row>
    <row r="823" spans="1:19" x14ac:dyDescent="0.25">
      <c r="A823" s="11"/>
      <c r="B823" s="11"/>
      <c r="C823" s="11"/>
      <c r="D823" s="11"/>
      <c r="E823" s="431">
        <f t="shared" si="36"/>
        <v>0</v>
      </c>
      <c r="H823" s="223"/>
      <c r="I823" s="223"/>
      <c r="J823" s="223"/>
      <c r="K823" s="223"/>
      <c r="L823" s="431">
        <f t="shared" si="37"/>
        <v>0</v>
      </c>
      <c r="M823" s="227"/>
      <c r="P823" s="12"/>
      <c r="Q823" s="12"/>
      <c r="R823" s="12"/>
      <c r="S823" s="431">
        <f t="shared" si="38"/>
        <v>0</v>
      </c>
    </row>
    <row r="824" spans="1:19" x14ac:dyDescent="0.25">
      <c r="A824" s="11"/>
      <c r="B824" s="11"/>
      <c r="C824" s="11"/>
      <c r="D824" s="11"/>
      <c r="E824" s="431">
        <f t="shared" si="36"/>
        <v>0</v>
      </c>
      <c r="H824" s="223"/>
      <c r="I824" s="223"/>
      <c r="J824" s="223"/>
      <c r="K824" s="223"/>
      <c r="L824" s="431">
        <f t="shared" si="37"/>
        <v>0</v>
      </c>
      <c r="M824" s="227"/>
      <c r="P824" s="12"/>
      <c r="Q824" s="12"/>
      <c r="R824" s="12"/>
      <c r="S824" s="431">
        <f t="shared" si="38"/>
        <v>0</v>
      </c>
    </row>
    <row r="825" spans="1:19" x14ac:dyDescent="0.25">
      <c r="A825" s="11"/>
      <c r="B825" s="11"/>
      <c r="C825" s="11"/>
      <c r="D825" s="11"/>
      <c r="E825" s="431">
        <f t="shared" si="36"/>
        <v>0</v>
      </c>
      <c r="H825" s="223"/>
      <c r="I825" s="223"/>
      <c r="J825" s="223"/>
      <c r="K825" s="223"/>
      <c r="L825" s="431">
        <f t="shared" si="37"/>
        <v>0</v>
      </c>
      <c r="M825" s="227"/>
      <c r="P825" s="12"/>
      <c r="Q825" s="12"/>
      <c r="R825" s="12"/>
      <c r="S825" s="431">
        <f t="shared" si="38"/>
        <v>0</v>
      </c>
    </row>
    <row r="826" spans="1:19" x14ac:dyDescent="0.25">
      <c r="A826" s="11"/>
      <c r="B826" s="11"/>
      <c r="C826" s="11"/>
      <c r="D826" s="11"/>
      <c r="E826" s="431">
        <f t="shared" si="36"/>
        <v>0</v>
      </c>
      <c r="H826" s="223"/>
      <c r="I826" s="223"/>
      <c r="J826" s="223"/>
      <c r="K826" s="223"/>
      <c r="L826" s="431">
        <f t="shared" si="37"/>
        <v>0</v>
      </c>
      <c r="M826" s="227"/>
      <c r="P826" s="12"/>
      <c r="Q826" s="12"/>
      <c r="R826" s="12"/>
      <c r="S826" s="431">
        <f t="shared" si="38"/>
        <v>0</v>
      </c>
    </row>
    <row r="827" spans="1:19" x14ac:dyDescent="0.25">
      <c r="A827" s="11"/>
      <c r="B827" s="11"/>
      <c r="C827" s="11"/>
      <c r="D827" s="11"/>
      <c r="E827" s="431">
        <f t="shared" si="36"/>
        <v>0</v>
      </c>
      <c r="H827" s="223"/>
      <c r="I827" s="223"/>
      <c r="J827" s="223"/>
      <c r="K827" s="223"/>
      <c r="L827" s="431">
        <f t="shared" si="37"/>
        <v>0</v>
      </c>
      <c r="M827" s="227"/>
      <c r="P827" s="12"/>
      <c r="Q827" s="12"/>
      <c r="R827" s="12"/>
      <c r="S827" s="431">
        <f t="shared" si="38"/>
        <v>0</v>
      </c>
    </row>
    <row r="828" spans="1:19" x14ac:dyDescent="0.25">
      <c r="A828" s="11"/>
      <c r="B828" s="11"/>
      <c r="C828" s="11"/>
      <c r="D828" s="11"/>
      <c r="E828" s="431">
        <f t="shared" si="36"/>
        <v>0</v>
      </c>
      <c r="H828" s="223"/>
      <c r="I828" s="223"/>
      <c r="J828" s="223"/>
      <c r="K828" s="223"/>
      <c r="L828" s="431">
        <f t="shared" si="37"/>
        <v>0</v>
      </c>
      <c r="M828" s="227"/>
      <c r="P828" s="12"/>
      <c r="Q828" s="12"/>
      <c r="R828" s="12"/>
      <c r="S828" s="431">
        <f t="shared" si="38"/>
        <v>0</v>
      </c>
    </row>
    <row r="829" spans="1:19" x14ac:dyDescent="0.25">
      <c r="A829" s="11"/>
      <c r="B829" s="11"/>
      <c r="C829" s="11"/>
      <c r="D829" s="11"/>
      <c r="E829" s="431">
        <f t="shared" si="36"/>
        <v>0</v>
      </c>
      <c r="H829" s="223"/>
      <c r="I829" s="223"/>
      <c r="J829" s="223"/>
      <c r="K829" s="223"/>
      <c r="L829" s="431">
        <f t="shared" si="37"/>
        <v>0</v>
      </c>
      <c r="M829" s="227"/>
      <c r="P829" s="12"/>
      <c r="Q829" s="12"/>
      <c r="R829" s="12"/>
      <c r="S829" s="431">
        <f t="shared" si="38"/>
        <v>0</v>
      </c>
    </row>
    <row r="830" spans="1:19" x14ac:dyDescent="0.25">
      <c r="A830" s="11"/>
      <c r="B830" s="11"/>
      <c r="C830" s="11"/>
      <c r="D830" s="11"/>
      <c r="E830" s="431">
        <f t="shared" si="36"/>
        <v>0</v>
      </c>
      <c r="H830" s="223"/>
      <c r="I830" s="223"/>
      <c r="J830" s="223"/>
      <c r="K830" s="223"/>
      <c r="L830" s="431">
        <f t="shared" si="37"/>
        <v>0</v>
      </c>
      <c r="M830" s="227"/>
      <c r="P830" s="12"/>
      <c r="Q830" s="12"/>
      <c r="R830" s="12"/>
      <c r="S830" s="431">
        <f t="shared" si="38"/>
        <v>0</v>
      </c>
    </row>
    <row r="831" spans="1:19" x14ac:dyDescent="0.25">
      <c r="A831" s="11"/>
      <c r="B831" s="11"/>
      <c r="C831" s="11"/>
      <c r="D831" s="11"/>
      <c r="E831" s="431">
        <f t="shared" si="36"/>
        <v>0</v>
      </c>
      <c r="H831" s="223"/>
      <c r="I831" s="223"/>
      <c r="J831" s="223"/>
      <c r="K831" s="223"/>
      <c r="L831" s="431">
        <f t="shared" si="37"/>
        <v>0</v>
      </c>
      <c r="M831" s="227"/>
      <c r="P831" s="12"/>
      <c r="Q831" s="12"/>
      <c r="R831" s="12"/>
      <c r="S831" s="431">
        <f t="shared" si="38"/>
        <v>0</v>
      </c>
    </row>
    <row r="832" spans="1:19" x14ac:dyDescent="0.25">
      <c r="A832" s="11"/>
      <c r="B832" s="11"/>
      <c r="C832" s="11"/>
      <c r="D832" s="11"/>
      <c r="E832" s="431">
        <f t="shared" si="36"/>
        <v>0</v>
      </c>
      <c r="H832" s="223"/>
      <c r="I832" s="223"/>
      <c r="J832" s="223"/>
      <c r="K832" s="223"/>
      <c r="L832" s="431">
        <f t="shared" si="37"/>
        <v>0</v>
      </c>
      <c r="M832" s="227"/>
      <c r="P832" s="12"/>
      <c r="Q832" s="12"/>
      <c r="R832" s="12"/>
      <c r="S832" s="431">
        <f t="shared" si="38"/>
        <v>0</v>
      </c>
    </row>
    <row r="833" spans="1:19" x14ac:dyDescent="0.25">
      <c r="A833" s="11"/>
      <c r="B833" s="11"/>
      <c r="C833" s="11"/>
      <c r="D833" s="11"/>
      <c r="E833" s="431">
        <f t="shared" si="36"/>
        <v>0</v>
      </c>
      <c r="H833" s="223"/>
      <c r="I833" s="223"/>
      <c r="J833" s="223"/>
      <c r="K833" s="223"/>
      <c r="L833" s="431">
        <f t="shared" si="37"/>
        <v>0</v>
      </c>
      <c r="M833" s="227"/>
      <c r="P833" s="12"/>
      <c r="Q833" s="12"/>
      <c r="R833" s="12"/>
      <c r="S833" s="431">
        <f t="shared" si="38"/>
        <v>0</v>
      </c>
    </row>
    <row r="834" spans="1:19" x14ac:dyDescent="0.25">
      <c r="A834" s="11"/>
      <c r="B834" s="11"/>
      <c r="C834" s="11"/>
      <c r="D834" s="11"/>
      <c r="E834" s="431">
        <f t="shared" si="36"/>
        <v>0</v>
      </c>
      <c r="H834" s="223"/>
      <c r="I834" s="223"/>
      <c r="J834" s="223"/>
      <c r="K834" s="223"/>
      <c r="L834" s="431">
        <f t="shared" si="37"/>
        <v>0</v>
      </c>
      <c r="M834" s="227"/>
      <c r="P834" s="12"/>
      <c r="Q834" s="12"/>
      <c r="R834" s="12"/>
      <c r="S834" s="431">
        <f t="shared" si="38"/>
        <v>0</v>
      </c>
    </row>
    <row r="835" spans="1:19" x14ac:dyDescent="0.25">
      <c r="A835" s="11"/>
      <c r="B835" s="11"/>
      <c r="C835" s="11"/>
      <c r="D835" s="11"/>
      <c r="E835" s="431">
        <f t="shared" si="36"/>
        <v>0</v>
      </c>
      <c r="H835" s="223"/>
      <c r="I835" s="223"/>
      <c r="J835" s="223"/>
      <c r="K835" s="223"/>
      <c r="L835" s="431">
        <f t="shared" si="37"/>
        <v>0</v>
      </c>
      <c r="M835" s="227"/>
      <c r="P835" s="12"/>
      <c r="Q835" s="12"/>
      <c r="R835" s="12"/>
      <c r="S835" s="431">
        <f t="shared" si="38"/>
        <v>0</v>
      </c>
    </row>
    <row r="836" spans="1:19" x14ac:dyDescent="0.25">
      <c r="A836" s="11"/>
      <c r="B836" s="11"/>
      <c r="C836" s="11"/>
      <c r="D836" s="11"/>
      <c r="E836" s="431">
        <f t="shared" ref="E836:E899" si="39">+D836/100</f>
        <v>0</v>
      </c>
      <c r="H836" s="223"/>
      <c r="I836" s="223"/>
      <c r="J836" s="223"/>
      <c r="K836" s="223"/>
      <c r="L836" s="431">
        <f t="shared" ref="L836:L899" si="40">+K836/100</f>
        <v>0</v>
      </c>
      <c r="M836" s="227"/>
      <c r="P836" s="12"/>
      <c r="Q836" s="12"/>
      <c r="R836" s="12"/>
      <c r="S836" s="431">
        <f t="shared" ref="S836:S899" si="41">+R836/100</f>
        <v>0</v>
      </c>
    </row>
    <row r="837" spans="1:19" x14ac:dyDescent="0.25">
      <c r="A837" s="11"/>
      <c r="B837" s="11"/>
      <c r="C837" s="11"/>
      <c r="D837" s="11"/>
      <c r="E837" s="431">
        <f t="shared" si="39"/>
        <v>0</v>
      </c>
      <c r="H837" s="223"/>
      <c r="I837" s="223"/>
      <c r="J837" s="223"/>
      <c r="K837" s="223"/>
      <c r="L837" s="431">
        <f t="shared" si="40"/>
        <v>0</v>
      </c>
      <c r="M837" s="227"/>
      <c r="P837" s="12"/>
      <c r="Q837" s="12"/>
      <c r="R837" s="12"/>
      <c r="S837" s="431">
        <f t="shared" si="41"/>
        <v>0</v>
      </c>
    </row>
    <row r="838" spans="1:19" x14ac:dyDescent="0.25">
      <c r="A838" s="11"/>
      <c r="B838" s="11"/>
      <c r="C838" s="11"/>
      <c r="D838" s="11"/>
      <c r="E838" s="431">
        <f t="shared" si="39"/>
        <v>0</v>
      </c>
      <c r="H838" s="223"/>
      <c r="I838" s="223"/>
      <c r="J838" s="223"/>
      <c r="K838" s="223"/>
      <c r="L838" s="431">
        <f t="shared" si="40"/>
        <v>0</v>
      </c>
      <c r="M838" s="227"/>
      <c r="P838" s="12"/>
      <c r="Q838" s="12"/>
      <c r="R838" s="12"/>
      <c r="S838" s="431">
        <f t="shared" si="41"/>
        <v>0</v>
      </c>
    </row>
    <row r="839" spans="1:19" x14ac:dyDescent="0.25">
      <c r="A839" s="11"/>
      <c r="B839" s="11"/>
      <c r="C839" s="11"/>
      <c r="D839" s="11"/>
      <c r="E839" s="431">
        <f t="shared" si="39"/>
        <v>0</v>
      </c>
      <c r="H839" s="223"/>
      <c r="I839" s="223"/>
      <c r="J839" s="223"/>
      <c r="K839" s="223"/>
      <c r="L839" s="431">
        <f t="shared" si="40"/>
        <v>0</v>
      </c>
      <c r="M839" s="227"/>
      <c r="P839" s="12"/>
      <c r="Q839" s="12"/>
      <c r="R839" s="12"/>
      <c r="S839" s="431">
        <f t="shared" si="41"/>
        <v>0</v>
      </c>
    </row>
    <row r="840" spans="1:19" x14ac:dyDescent="0.25">
      <c r="A840" s="11"/>
      <c r="B840" s="11"/>
      <c r="C840" s="11"/>
      <c r="D840" s="11"/>
      <c r="E840" s="431">
        <f t="shared" si="39"/>
        <v>0</v>
      </c>
      <c r="H840" s="223"/>
      <c r="I840" s="223"/>
      <c r="J840" s="223"/>
      <c r="K840" s="223"/>
      <c r="L840" s="431">
        <f t="shared" si="40"/>
        <v>0</v>
      </c>
      <c r="M840" s="227"/>
      <c r="P840" s="12"/>
      <c r="Q840" s="12"/>
      <c r="R840" s="12"/>
      <c r="S840" s="431">
        <f t="shared" si="41"/>
        <v>0</v>
      </c>
    </row>
    <row r="841" spans="1:19" x14ac:dyDescent="0.25">
      <c r="A841" s="11"/>
      <c r="B841" s="11"/>
      <c r="C841" s="11"/>
      <c r="D841" s="11"/>
      <c r="E841" s="431">
        <f t="shared" si="39"/>
        <v>0</v>
      </c>
      <c r="H841" s="223"/>
      <c r="I841" s="223"/>
      <c r="J841" s="223"/>
      <c r="K841" s="223"/>
      <c r="L841" s="431">
        <f t="shared" si="40"/>
        <v>0</v>
      </c>
      <c r="M841" s="227"/>
      <c r="P841" s="12"/>
      <c r="Q841" s="12"/>
      <c r="R841" s="12"/>
      <c r="S841" s="431">
        <f t="shared" si="41"/>
        <v>0</v>
      </c>
    </row>
    <row r="842" spans="1:19" x14ac:dyDescent="0.25">
      <c r="A842" s="11"/>
      <c r="B842" s="11"/>
      <c r="C842" s="11"/>
      <c r="D842" s="11"/>
      <c r="E842" s="431">
        <f t="shared" si="39"/>
        <v>0</v>
      </c>
      <c r="H842" s="223"/>
      <c r="I842" s="223"/>
      <c r="J842" s="223"/>
      <c r="K842" s="223"/>
      <c r="L842" s="431">
        <f t="shared" si="40"/>
        <v>0</v>
      </c>
      <c r="M842" s="227"/>
      <c r="P842" s="12"/>
      <c r="Q842" s="12"/>
      <c r="R842" s="12"/>
      <c r="S842" s="431">
        <f t="shared" si="41"/>
        <v>0</v>
      </c>
    </row>
    <row r="843" spans="1:19" x14ac:dyDescent="0.25">
      <c r="A843" s="11"/>
      <c r="B843" s="11"/>
      <c r="C843" s="11"/>
      <c r="D843" s="11"/>
      <c r="E843" s="431">
        <f t="shared" si="39"/>
        <v>0</v>
      </c>
      <c r="H843" s="223"/>
      <c r="I843" s="223"/>
      <c r="J843" s="223"/>
      <c r="K843" s="223"/>
      <c r="L843" s="431">
        <f t="shared" si="40"/>
        <v>0</v>
      </c>
      <c r="M843" s="227"/>
      <c r="P843" s="12"/>
      <c r="Q843" s="12"/>
      <c r="R843" s="12"/>
      <c r="S843" s="431">
        <f t="shared" si="41"/>
        <v>0</v>
      </c>
    </row>
    <row r="844" spans="1:19" x14ac:dyDescent="0.25">
      <c r="A844" s="11"/>
      <c r="B844" s="11"/>
      <c r="C844" s="11"/>
      <c r="D844" s="11"/>
      <c r="E844" s="431">
        <f t="shared" si="39"/>
        <v>0</v>
      </c>
      <c r="H844" s="223"/>
      <c r="I844" s="223"/>
      <c r="J844" s="223"/>
      <c r="K844" s="223"/>
      <c r="L844" s="431">
        <f t="shared" si="40"/>
        <v>0</v>
      </c>
      <c r="M844" s="227"/>
      <c r="P844" s="12"/>
      <c r="Q844" s="12"/>
      <c r="R844" s="12"/>
      <c r="S844" s="431">
        <f t="shared" si="41"/>
        <v>0</v>
      </c>
    </row>
    <row r="845" spans="1:19" x14ac:dyDescent="0.25">
      <c r="A845" s="11"/>
      <c r="B845" s="11"/>
      <c r="C845" s="11"/>
      <c r="D845" s="11"/>
      <c r="E845" s="431">
        <f t="shared" si="39"/>
        <v>0</v>
      </c>
      <c r="H845" s="223"/>
      <c r="I845" s="223"/>
      <c r="J845" s="223"/>
      <c r="K845" s="223"/>
      <c r="L845" s="431">
        <f t="shared" si="40"/>
        <v>0</v>
      </c>
      <c r="M845" s="227"/>
      <c r="P845" s="12"/>
      <c r="Q845" s="12"/>
      <c r="R845" s="12"/>
      <c r="S845" s="431">
        <f t="shared" si="41"/>
        <v>0</v>
      </c>
    </row>
    <row r="846" spans="1:19" x14ac:dyDescent="0.25">
      <c r="A846" s="11"/>
      <c r="B846" s="11"/>
      <c r="C846" s="11"/>
      <c r="D846" s="11"/>
      <c r="E846" s="431">
        <f t="shared" si="39"/>
        <v>0</v>
      </c>
      <c r="H846" s="223"/>
      <c r="I846" s="223"/>
      <c r="J846" s="223"/>
      <c r="K846" s="223"/>
      <c r="L846" s="431">
        <f t="shared" si="40"/>
        <v>0</v>
      </c>
      <c r="M846" s="227"/>
      <c r="P846" s="12"/>
      <c r="Q846" s="12"/>
      <c r="R846" s="12"/>
      <c r="S846" s="431">
        <f t="shared" si="41"/>
        <v>0</v>
      </c>
    </row>
    <row r="847" spans="1:19" x14ac:dyDescent="0.25">
      <c r="A847" s="11"/>
      <c r="B847" s="11"/>
      <c r="C847" s="11"/>
      <c r="D847" s="11"/>
      <c r="E847" s="431">
        <f t="shared" si="39"/>
        <v>0</v>
      </c>
      <c r="H847" s="223"/>
      <c r="I847" s="223"/>
      <c r="J847" s="223"/>
      <c r="K847" s="223"/>
      <c r="L847" s="431">
        <f t="shared" si="40"/>
        <v>0</v>
      </c>
      <c r="M847" s="227"/>
      <c r="P847" s="12"/>
      <c r="Q847" s="12"/>
      <c r="R847" s="12"/>
      <c r="S847" s="431">
        <f t="shared" si="41"/>
        <v>0</v>
      </c>
    </row>
    <row r="848" spans="1:19" x14ac:dyDescent="0.25">
      <c r="A848" s="11"/>
      <c r="B848" s="11"/>
      <c r="C848" s="11"/>
      <c r="D848" s="11"/>
      <c r="E848" s="431">
        <f t="shared" si="39"/>
        <v>0</v>
      </c>
      <c r="H848" s="223"/>
      <c r="I848" s="223"/>
      <c r="J848" s="223"/>
      <c r="K848" s="223"/>
      <c r="L848" s="431">
        <f t="shared" si="40"/>
        <v>0</v>
      </c>
      <c r="M848" s="227"/>
      <c r="P848" s="12"/>
      <c r="Q848" s="12"/>
      <c r="R848" s="12"/>
      <c r="S848" s="431">
        <f t="shared" si="41"/>
        <v>0</v>
      </c>
    </row>
    <row r="849" spans="1:19" x14ac:dyDescent="0.25">
      <c r="A849" s="11"/>
      <c r="B849" s="11"/>
      <c r="C849" s="11"/>
      <c r="D849" s="11"/>
      <c r="E849" s="431">
        <f t="shared" si="39"/>
        <v>0</v>
      </c>
      <c r="H849" s="223"/>
      <c r="I849" s="223"/>
      <c r="J849" s="223"/>
      <c r="K849" s="223"/>
      <c r="L849" s="431">
        <f t="shared" si="40"/>
        <v>0</v>
      </c>
      <c r="M849" s="227"/>
      <c r="P849" s="12"/>
      <c r="Q849" s="12"/>
      <c r="R849" s="12"/>
      <c r="S849" s="431">
        <f t="shared" si="41"/>
        <v>0</v>
      </c>
    </row>
    <row r="850" spans="1:19" x14ac:dyDescent="0.25">
      <c r="A850" s="11"/>
      <c r="B850" s="11"/>
      <c r="C850" s="11"/>
      <c r="D850" s="11"/>
      <c r="E850" s="431">
        <f t="shared" si="39"/>
        <v>0</v>
      </c>
      <c r="H850" s="223"/>
      <c r="I850" s="223"/>
      <c r="J850" s="223"/>
      <c r="K850" s="223"/>
      <c r="L850" s="431">
        <f t="shared" si="40"/>
        <v>0</v>
      </c>
      <c r="M850" s="227"/>
      <c r="P850" s="12"/>
      <c r="Q850" s="12"/>
      <c r="R850" s="12"/>
      <c r="S850" s="431">
        <f t="shared" si="41"/>
        <v>0</v>
      </c>
    </row>
    <row r="851" spans="1:19" x14ac:dyDescent="0.25">
      <c r="A851" s="11"/>
      <c r="B851" s="11"/>
      <c r="C851" s="11"/>
      <c r="D851" s="11"/>
      <c r="E851" s="431">
        <f t="shared" si="39"/>
        <v>0</v>
      </c>
      <c r="H851" s="223"/>
      <c r="I851" s="223"/>
      <c r="J851" s="223"/>
      <c r="K851" s="223"/>
      <c r="L851" s="431">
        <f t="shared" si="40"/>
        <v>0</v>
      </c>
      <c r="M851" s="227"/>
      <c r="P851" s="12"/>
      <c r="Q851" s="12"/>
      <c r="R851" s="12"/>
      <c r="S851" s="431">
        <f t="shared" si="41"/>
        <v>0</v>
      </c>
    </row>
    <row r="852" spans="1:19" x14ac:dyDescent="0.25">
      <c r="A852" s="11"/>
      <c r="B852" s="11"/>
      <c r="C852" s="11"/>
      <c r="D852" s="11"/>
      <c r="E852" s="431">
        <f t="shared" si="39"/>
        <v>0</v>
      </c>
      <c r="H852" s="223"/>
      <c r="I852" s="223"/>
      <c r="J852" s="223"/>
      <c r="K852" s="223"/>
      <c r="L852" s="431">
        <f t="shared" si="40"/>
        <v>0</v>
      </c>
      <c r="M852" s="227"/>
      <c r="P852" s="12"/>
      <c r="Q852" s="12"/>
      <c r="R852" s="12"/>
      <c r="S852" s="431">
        <f t="shared" si="41"/>
        <v>0</v>
      </c>
    </row>
    <row r="853" spans="1:19" x14ac:dyDescent="0.25">
      <c r="A853" s="11"/>
      <c r="B853" s="11"/>
      <c r="C853" s="11"/>
      <c r="D853" s="11"/>
      <c r="E853" s="431">
        <f t="shared" si="39"/>
        <v>0</v>
      </c>
      <c r="H853" s="223"/>
      <c r="I853" s="223"/>
      <c r="J853" s="223"/>
      <c r="K853" s="223"/>
      <c r="L853" s="431">
        <f t="shared" si="40"/>
        <v>0</v>
      </c>
      <c r="M853" s="227"/>
      <c r="P853" s="12"/>
      <c r="Q853" s="12"/>
      <c r="R853" s="12"/>
      <c r="S853" s="431">
        <f t="shared" si="41"/>
        <v>0</v>
      </c>
    </row>
    <row r="854" spans="1:19" x14ac:dyDescent="0.25">
      <c r="A854" s="11"/>
      <c r="B854" s="11"/>
      <c r="C854" s="11"/>
      <c r="D854" s="11"/>
      <c r="E854" s="431">
        <f t="shared" si="39"/>
        <v>0</v>
      </c>
      <c r="H854" s="223"/>
      <c r="I854" s="223"/>
      <c r="J854" s="223"/>
      <c r="K854" s="223"/>
      <c r="L854" s="431">
        <f t="shared" si="40"/>
        <v>0</v>
      </c>
      <c r="M854" s="227"/>
      <c r="P854" s="12"/>
      <c r="Q854" s="12"/>
      <c r="R854" s="12"/>
      <c r="S854" s="431">
        <f t="shared" si="41"/>
        <v>0</v>
      </c>
    </row>
    <row r="855" spans="1:19" x14ac:dyDescent="0.25">
      <c r="A855" s="11"/>
      <c r="B855" s="11"/>
      <c r="C855" s="11"/>
      <c r="D855" s="11"/>
      <c r="E855" s="431">
        <f t="shared" si="39"/>
        <v>0</v>
      </c>
      <c r="H855" s="223"/>
      <c r="I855" s="223"/>
      <c r="J855" s="223"/>
      <c r="K855" s="223"/>
      <c r="L855" s="431">
        <f t="shared" si="40"/>
        <v>0</v>
      </c>
      <c r="M855" s="227"/>
      <c r="P855" s="12"/>
      <c r="Q855" s="12"/>
      <c r="R855" s="12"/>
      <c r="S855" s="431">
        <f t="shared" si="41"/>
        <v>0</v>
      </c>
    </row>
    <row r="856" spans="1:19" x14ac:dyDescent="0.25">
      <c r="A856" s="11"/>
      <c r="B856" s="11"/>
      <c r="C856" s="11"/>
      <c r="D856" s="11"/>
      <c r="E856" s="431">
        <f t="shared" si="39"/>
        <v>0</v>
      </c>
      <c r="H856" s="223"/>
      <c r="I856" s="223"/>
      <c r="J856" s="223"/>
      <c r="K856" s="223"/>
      <c r="L856" s="431">
        <f t="shared" si="40"/>
        <v>0</v>
      </c>
      <c r="M856" s="227"/>
      <c r="P856" s="12"/>
      <c r="Q856" s="12"/>
      <c r="R856" s="12"/>
      <c r="S856" s="431">
        <f t="shared" si="41"/>
        <v>0</v>
      </c>
    </row>
    <row r="857" spans="1:19" x14ac:dyDescent="0.25">
      <c r="A857" s="11"/>
      <c r="B857" s="11"/>
      <c r="C857" s="11"/>
      <c r="D857" s="11"/>
      <c r="E857" s="431">
        <f t="shared" si="39"/>
        <v>0</v>
      </c>
      <c r="H857" s="223"/>
      <c r="I857" s="223"/>
      <c r="J857" s="223"/>
      <c r="K857" s="223"/>
      <c r="L857" s="431">
        <f t="shared" si="40"/>
        <v>0</v>
      </c>
      <c r="M857" s="227"/>
      <c r="P857" s="12"/>
      <c r="Q857" s="12"/>
      <c r="R857" s="12"/>
      <c r="S857" s="431">
        <f t="shared" si="41"/>
        <v>0</v>
      </c>
    </row>
    <row r="858" spans="1:19" x14ac:dyDescent="0.25">
      <c r="A858" s="11"/>
      <c r="B858" s="11"/>
      <c r="C858" s="11"/>
      <c r="D858" s="11"/>
      <c r="E858" s="431">
        <f t="shared" si="39"/>
        <v>0</v>
      </c>
      <c r="H858" s="223"/>
      <c r="I858" s="223"/>
      <c r="J858" s="223"/>
      <c r="K858" s="223"/>
      <c r="L858" s="431">
        <f t="shared" si="40"/>
        <v>0</v>
      </c>
      <c r="M858" s="227"/>
      <c r="P858" s="12"/>
      <c r="Q858" s="12"/>
      <c r="R858" s="12"/>
      <c r="S858" s="431">
        <f t="shared" si="41"/>
        <v>0</v>
      </c>
    </row>
    <row r="859" spans="1:19" x14ac:dyDescent="0.25">
      <c r="A859" s="11"/>
      <c r="B859" s="11"/>
      <c r="C859" s="11"/>
      <c r="D859" s="11"/>
      <c r="E859" s="431">
        <f t="shared" si="39"/>
        <v>0</v>
      </c>
      <c r="H859" s="223"/>
      <c r="I859" s="223"/>
      <c r="J859" s="223"/>
      <c r="K859" s="223"/>
      <c r="L859" s="431">
        <f t="shared" si="40"/>
        <v>0</v>
      </c>
      <c r="M859" s="227"/>
      <c r="P859" s="12"/>
      <c r="Q859" s="12"/>
      <c r="R859" s="12"/>
      <c r="S859" s="431">
        <f t="shared" si="41"/>
        <v>0</v>
      </c>
    </row>
    <row r="860" spans="1:19" x14ac:dyDescent="0.25">
      <c r="A860" s="11"/>
      <c r="B860" s="11"/>
      <c r="C860" s="11"/>
      <c r="D860" s="11"/>
      <c r="E860" s="431">
        <f t="shared" si="39"/>
        <v>0</v>
      </c>
      <c r="H860" s="223"/>
      <c r="I860" s="223"/>
      <c r="J860" s="223"/>
      <c r="K860" s="223"/>
      <c r="L860" s="431">
        <f t="shared" si="40"/>
        <v>0</v>
      </c>
      <c r="M860" s="227"/>
      <c r="P860" s="12"/>
      <c r="Q860" s="12"/>
      <c r="R860" s="12"/>
      <c r="S860" s="431">
        <f t="shared" si="41"/>
        <v>0</v>
      </c>
    </row>
    <row r="861" spans="1:19" x14ac:dyDescent="0.25">
      <c r="A861" s="11"/>
      <c r="B861" s="11"/>
      <c r="C861" s="11"/>
      <c r="D861" s="11"/>
      <c r="E861" s="431">
        <f t="shared" si="39"/>
        <v>0</v>
      </c>
      <c r="H861" s="223"/>
      <c r="I861" s="223"/>
      <c r="J861" s="223"/>
      <c r="K861" s="223"/>
      <c r="L861" s="431">
        <f t="shared" si="40"/>
        <v>0</v>
      </c>
      <c r="M861" s="227"/>
      <c r="P861" s="12"/>
      <c r="Q861" s="12"/>
      <c r="R861" s="12"/>
      <c r="S861" s="431">
        <f t="shared" si="41"/>
        <v>0</v>
      </c>
    </row>
    <row r="862" spans="1:19" x14ac:dyDescent="0.25">
      <c r="A862" s="11"/>
      <c r="B862" s="11"/>
      <c r="C862" s="11"/>
      <c r="D862" s="11"/>
      <c r="E862" s="431">
        <f t="shared" si="39"/>
        <v>0</v>
      </c>
      <c r="H862" s="223"/>
      <c r="I862" s="223"/>
      <c r="J862" s="223"/>
      <c r="K862" s="223"/>
      <c r="L862" s="431">
        <f t="shared" si="40"/>
        <v>0</v>
      </c>
      <c r="M862" s="227"/>
      <c r="P862" s="12"/>
      <c r="Q862" s="12"/>
      <c r="R862" s="12"/>
      <c r="S862" s="431">
        <f t="shared" si="41"/>
        <v>0</v>
      </c>
    </row>
    <row r="863" spans="1:19" x14ac:dyDescent="0.25">
      <c r="A863" s="11"/>
      <c r="B863" s="11"/>
      <c r="C863" s="11"/>
      <c r="D863" s="11"/>
      <c r="E863" s="431">
        <f t="shared" si="39"/>
        <v>0</v>
      </c>
      <c r="H863" s="223"/>
      <c r="I863" s="223"/>
      <c r="J863" s="223"/>
      <c r="K863" s="223"/>
      <c r="L863" s="431">
        <f t="shared" si="40"/>
        <v>0</v>
      </c>
      <c r="M863" s="227"/>
      <c r="P863" s="12"/>
      <c r="Q863" s="12"/>
      <c r="R863" s="12"/>
      <c r="S863" s="431">
        <f t="shared" si="41"/>
        <v>0</v>
      </c>
    </row>
    <row r="864" spans="1:19" x14ac:dyDescent="0.25">
      <c r="A864" s="11"/>
      <c r="B864" s="11"/>
      <c r="C864" s="11"/>
      <c r="D864" s="11"/>
      <c r="E864" s="431">
        <f t="shared" si="39"/>
        <v>0</v>
      </c>
      <c r="H864" s="223"/>
      <c r="I864" s="223"/>
      <c r="J864" s="223"/>
      <c r="K864" s="223"/>
      <c r="L864" s="431">
        <f t="shared" si="40"/>
        <v>0</v>
      </c>
      <c r="M864" s="227"/>
      <c r="P864" s="12"/>
      <c r="Q864" s="12"/>
      <c r="R864" s="12"/>
      <c r="S864" s="431">
        <f t="shared" si="41"/>
        <v>0</v>
      </c>
    </row>
    <row r="865" spans="1:19" x14ac:dyDescent="0.25">
      <c r="A865" s="11"/>
      <c r="B865" s="11"/>
      <c r="C865" s="11"/>
      <c r="D865" s="11"/>
      <c r="E865" s="431">
        <f t="shared" si="39"/>
        <v>0</v>
      </c>
      <c r="H865" s="223"/>
      <c r="I865" s="223"/>
      <c r="J865" s="223"/>
      <c r="K865" s="223"/>
      <c r="L865" s="431">
        <f t="shared" si="40"/>
        <v>0</v>
      </c>
      <c r="M865" s="227"/>
      <c r="P865" s="12"/>
      <c r="Q865" s="12"/>
      <c r="R865" s="12"/>
      <c r="S865" s="431">
        <f t="shared" si="41"/>
        <v>0</v>
      </c>
    </row>
    <row r="866" spans="1:19" x14ac:dyDescent="0.25">
      <c r="A866" s="11"/>
      <c r="B866" s="11"/>
      <c r="C866" s="11"/>
      <c r="D866" s="11"/>
      <c r="E866" s="431">
        <f t="shared" si="39"/>
        <v>0</v>
      </c>
      <c r="H866" s="223"/>
      <c r="I866" s="223"/>
      <c r="J866" s="223"/>
      <c r="K866" s="223"/>
      <c r="L866" s="431">
        <f t="shared" si="40"/>
        <v>0</v>
      </c>
      <c r="M866" s="227"/>
      <c r="P866" s="12"/>
      <c r="Q866" s="12"/>
      <c r="R866" s="12"/>
      <c r="S866" s="431">
        <f t="shared" si="41"/>
        <v>0</v>
      </c>
    </row>
    <row r="867" spans="1:19" x14ac:dyDescent="0.25">
      <c r="A867" s="11"/>
      <c r="B867" s="11"/>
      <c r="C867" s="11"/>
      <c r="D867" s="11"/>
      <c r="E867" s="431">
        <f t="shared" si="39"/>
        <v>0</v>
      </c>
      <c r="H867" s="223"/>
      <c r="I867" s="223"/>
      <c r="J867" s="223"/>
      <c r="K867" s="223"/>
      <c r="L867" s="431">
        <f t="shared" si="40"/>
        <v>0</v>
      </c>
      <c r="M867" s="227"/>
      <c r="P867" s="12"/>
      <c r="Q867" s="12"/>
      <c r="R867" s="12"/>
      <c r="S867" s="431">
        <f t="shared" si="41"/>
        <v>0</v>
      </c>
    </row>
    <row r="868" spans="1:19" x14ac:dyDescent="0.25">
      <c r="A868" s="11"/>
      <c r="B868" s="11"/>
      <c r="C868" s="11"/>
      <c r="D868" s="11"/>
      <c r="E868" s="431">
        <f t="shared" si="39"/>
        <v>0</v>
      </c>
      <c r="H868" s="223"/>
      <c r="I868" s="223"/>
      <c r="J868" s="223"/>
      <c r="K868" s="223"/>
      <c r="L868" s="431">
        <f t="shared" si="40"/>
        <v>0</v>
      </c>
      <c r="M868" s="227"/>
      <c r="P868" s="12"/>
      <c r="Q868" s="12"/>
      <c r="R868" s="12"/>
      <c r="S868" s="431">
        <f t="shared" si="41"/>
        <v>0</v>
      </c>
    </row>
    <row r="869" spans="1:19" x14ac:dyDescent="0.25">
      <c r="A869" s="11"/>
      <c r="B869" s="11"/>
      <c r="C869" s="11"/>
      <c r="D869" s="11"/>
      <c r="E869" s="431">
        <f t="shared" si="39"/>
        <v>0</v>
      </c>
      <c r="H869" s="223"/>
      <c r="I869" s="223"/>
      <c r="J869" s="223"/>
      <c r="K869" s="223"/>
      <c r="L869" s="431">
        <f t="shared" si="40"/>
        <v>0</v>
      </c>
      <c r="M869" s="227"/>
      <c r="P869" s="12"/>
      <c r="Q869" s="12"/>
      <c r="R869" s="12"/>
      <c r="S869" s="431">
        <f t="shared" si="41"/>
        <v>0</v>
      </c>
    </row>
    <row r="870" spans="1:19" x14ac:dyDescent="0.25">
      <c r="A870" s="11"/>
      <c r="B870" s="11"/>
      <c r="C870" s="11"/>
      <c r="D870" s="11"/>
      <c r="E870" s="431">
        <f t="shared" si="39"/>
        <v>0</v>
      </c>
      <c r="H870" s="223"/>
      <c r="I870" s="223"/>
      <c r="J870" s="223"/>
      <c r="K870" s="223"/>
      <c r="L870" s="431">
        <f t="shared" si="40"/>
        <v>0</v>
      </c>
      <c r="M870" s="227"/>
      <c r="P870" s="12"/>
      <c r="Q870" s="12"/>
      <c r="R870" s="12"/>
      <c r="S870" s="431">
        <f t="shared" si="41"/>
        <v>0</v>
      </c>
    </row>
    <row r="871" spans="1:19" x14ac:dyDescent="0.25">
      <c r="A871" s="11"/>
      <c r="B871" s="11"/>
      <c r="C871" s="11"/>
      <c r="D871" s="11"/>
      <c r="E871" s="431">
        <f t="shared" si="39"/>
        <v>0</v>
      </c>
      <c r="H871" s="223"/>
      <c r="I871" s="223"/>
      <c r="J871" s="223"/>
      <c r="K871" s="223"/>
      <c r="L871" s="431">
        <f t="shared" si="40"/>
        <v>0</v>
      </c>
      <c r="M871" s="227"/>
      <c r="P871" s="12"/>
      <c r="Q871" s="12"/>
      <c r="R871" s="12"/>
      <c r="S871" s="431">
        <f t="shared" si="41"/>
        <v>0</v>
      </c>
    </row>
    <row r="872" spans="1:19" x14ac:dyDescent="0.25">
      <c r="A872" s="11"/>
      <c r="B872" s="11"/>
      <c r="C872" s="11"/>
      <c r="D872" s="11"/>
      <c r="E872" s="431">
        <f t="shared" si="39"/>
        <v>0</v>
      </c>
      <c r="H872" s="223"/>
      <c r="I872" s="223"/>
      <c r="J872" s="223"/>
      <c r="K872" s="223"/>
      <c r="L872" s="431">
        <f t="shared" si="40"/>
        <v>0</v>
      </c>
      <c r="M872" s="227"/>
      <c r="P872" s="12"/>
      <c r="Q872" s="12"/>
      <c r="R872" s="12"/>
      <c r="S872" s="431">
        <f t="shared" si="41"/>
        <v>0</v>
      </c>
    </row>
    <row r="873" spans="1:19" x14ac:dyDescent="0.25">
      <c r="A873" s="11"/>
      <c r="B873" s="11"/>
      <c r="C873" s="11"/>
      <c r="D873" s="11"/>
      <c r="E873" s="431">
        <f t="shared" si="39"/>
        <v>0</v>
      </c>
      <c r="H873" s="223"/>
      <c r="I873" s="223"/>
      <c r="J873" s="223"/>
      <c r="K873" s="223"/>
      <c r="L873" s="431">
        <f t="shared" si="40"/>
        <v>0</v>
      </c>
      <c r="M873" s="227"/>
      <c r="P873" s="12"/>
      <c r="Q873" s="12"/>
      <c r="R873" s="12"/>
      <c r="S873" s="431">
        <f t="shared" si="41"/>
        <v>0</v>
      </c>
    </row>
    <row r="874" spans="1:19" x14ac:dyDescent="0.25">
      <c r="A874" s="11"/>
      <c r="B874" s="11"/>
      <c r="C874" s="11"/>
      <c r="D874" s="11"/>
      <c r="E874" s="431">
        <f t="shared" si="39"/>
        <v>0</v>
      </c>
      <c r="H874" s="223"/>
      <c r="I874" s="223"/>
      <c r="J874" s="223"/>
      <c r="K874" s="223"/>
      <c r="L874" s="431">
        <f t="shared" si="40"/>
        <v>0</v>
      </c>
      <c r="M874" s="227"/>
      <c r="P874" s="12"/>
      <c r="Q874" s="12"/>
      <c r="R874" s="12"/>
      <c r="S874" s="431">
        <f t="shared" si="41"/>
        <v>0</v>
      </c>
    </row>
    <row r="875" spans="1:19" x14ac:dyDescent="0.25">
      <c r="A875" s="11"/>
      <c r="B875" s="11"/>
      <c r="C875" s="11"/>
      <c r="D875" s="11"/>
      <c r="E875" s="431">
        <f t="shared" si="39"/>
        <v>0</v>
      </c>
      <c r="H875" s="223"/>
      <c r="I875" s="223"/>
      <c r="J875" s="223"/>
      <c r="K875" s="223"/>
      <c r="L875" s="431">
        <f t="shared" si="40"/>
        <v>0</v>
      </c>
      <c r="M875" s="227"/>
      <c r="P875" s="12"/>
      <c r="Q875" s="12"/>
      <c r="R875" s="12"/>
      <c r="S875" s="431">
        <f t="shared" si="41"/>
        <v>0</v>
      </c>
    </row>
    <row r="876" spans="1:19" x14ac:dyDescent="0.25">
      <c r="A876" s="11"/>
      <c r="B876" s="11"/>
      <c r="C876" s="11"/>
      <c r="D876" s="11"/>
      <c r="E876" s="431">
        <f t="shared" si="39"/>
        <v>0</v>
      </c>
      <c r="H876" s="223"/>
      <c r="I876" s="223"/>
      <c r="J876" s="223"/>
      <c r="K876" s="223"/>
      <c r="L876" s="431">
        <f t="shared" si="40"/>
        <v>0</v>
      </c>
      <c r="M876" s="227"/>
      <c r="P876" s="12"/>
      <c r="Q876" s="12"/>
      <c r="R876" s="12"/>
      <c r="S876" s="431">
        <f t="shared" si="41"/>
        <v>0</v>
      </c>
    </row>
    <row r="877" spans="1:19" x14ac:dyDescent="0.25">
      <c r="A877" s="11"/>
      <c r="B877" s="11"/>
      <c r="C877" s="11"/>
      <c r="D877" s="11"/>
      <c r="E877" s="431">
        <f t="shared" si="39"/>
        <v>0</v>
      </c>
      <c r="H877" s="223"/>
      <c r="I877" s="223"/>
      <c r="J877" s="223"/>
      <c r="K877" s="223"/>
      <c r="L877" s="431">
        <f t="shared" si="40"/>
        <v>0</v>
      </c>
      <c r="M877" s="227"/>
      <c r="P877" s="12"/>
      <c r="Q877" s="12"/>
      <c r="R877" s="12"/>
      <c r="S877" s="431">
        <f t="shared" si="41"/>
        <v>0</v>
      </c>
    </row>
    <row r="878" spans="1:19" x14ac:dyDescent="0.25">
      <c r="A878" s="11"/>
      <c r="B878" s="11"/>
      <c r="C878" s="11"/>
      <c r="D878" s="11"/>
      <c r="E878" s="431">
        <f t="shared" si="39"/>
        <v>0</v>
      </c>
      <c r="H878" s="223"/>
      <c r="I878" s="223"/>
      <c r="J878" s="223"/>
      <c r="K878" s="223"/>
      <c r="L878" s="431">
        <f t="shared" si="40"/>
        <v>0</v>
      </c>
      <c r="M878" s="227"/>
      <c r="P878" s="12"/>
      <c r="Q878" s="12"/>
      <c r="R878" s="12"/>
      <c r="S878" s="431">
        <f t="shared" si="41"/>
        <v>0</v>
      </c>
    </row>
    <row r="879" spans="1:19" x14ac:dyDescent="0.25">
      <c r="A879" s="11"/>
      <c r="B879" s="11"/>
      <c r="C879" s="11"/>
      <c r="D879" s="11"/>
      <c r="E879" s="431">
        <f t="shared" si="39"/>
        <v>0</v>
      </c>
      <c r="H879" s="223"/>
      <c r="I879" s="223"/>
      <c r="J879" s="223"/>
      <c r="K879" s="223"/>
      <c r="L879" s="431">
        <f t="shared" si="40"/>
        <v>0</v>
      </c>
      <c r="M879" s="227"/>
      <c r="P879" s="12"/>
      <c r="Q879" s="12"/>
      <c r="R879" s="12"/>
      <c r="S879" s="431">
        <f t="shared" si="41"/>
        <v>0</v>
      </c>
    </row>
    <row r="880" spans="1:19" x14ac:dyDescent="0.25">
      <c r="A880" s="11"/>
      <c r="B880" s="11"/>
      <c r="C880" s="11"/>
      <c r="D880" s="11"/>
      <c r="E880" s="431">
        <f t="shared" si="39"/>
        <v>0</v>
      </c>
      <c r="H880" s="223"/>
      <c r="I880" s="223"/>
      <c r="J880" s="223"/>
      <c r="K880" s="223"/>
      <c r="L880" s="431">
        <f t="shared" si="40"/>
        <v>0</v>
      </c>
      <c r="M880" s="227"/>
      <c r="P880" s="12"/>
      <c r="Q880" s="12"/>
      <c r="R880" s="12"/>
      <c r="S880" s="431">
        <f t="shared" si="41"/>
        <v>0</v>
      </c>
    </row>
    <row r="881" spans="1:19" x14ac:dyDescent="0.25">
      <c r="A881" s="11"/>
      <c r="B881" s="11"/>
      <c r="C881" s="11"/>
      <c r="D881" s="11"/>
      <c r="E881" s="431">
        <f t="shared" si="39"/>
        <v>0</v>
      </c>
      <c r="H881" s="223"/>
      <c r="I881" s="223"/>
      <c r="J881" s="223"/>
      <c r="K881" s="223"/>
      <c r="L881" s="431">
        <f t="shared" si="40"/>
        <v>0</v>
      </c>
      <c r="M881" s="227"/>
      <c r="P881" s="12"/>
      <c r="Q881" s="12"/>
      <c r="R881" s="12"/>
      <c r="S881" s="431">
        <f t="shared" si="41"/>
        <v>0</v>
      </c>
    </row>
    <row r="882" spans="1:19" x14ac:dyDescent="0.25">
      <c r="A882" s="11"/>
      <c r="B882" s="11"/>
      <c r="C882" s="11"/>
      <c r="D882" s="11"/>
      <c r="E882" s="431">
        <f t="shared" si="39"/>
        <v>0</v>
      </c>
      <c r="H882" s="223"/>
      <c r="I882" s="223"/>
      <c r="J882" s="223"/>
      <c r="K882" s="223"/>
      <c r="L882" s="431">
        <f t="shared" si="40"/>
        <v>0</v>
      </c>
      <c r="M882" s="227"/>
      <c r="P882" s="12"/>
      <c r="Q882" s="12"/>
      <c r="R882" s="12"/>
      <c r="S882" s="431">
        <f t="shared" si="41"/>
        <v>0</v>
      </c>
    </row>
    <row r="883" spans="1:19" x14ac:dyDescent="0.25">
      <c r="A883" s="11"/>
      <c r="B883" s="11"/>
      <c r="C883" s="11"/>
      <c r="D883" s="11"/>
      <c r="E883" s="431">
        <f t="shared" si="39"/>
        <v>0</v>
      </c>
      <c r="H883" s="223"/>
      <c r="I883" s="223"/>
      <c r="J883" s="223"/>
      <c r="K883" s="223"/>
      <c r="L883" s="431">
        <f t="shared" si="40"/>
        <v>0</v>
      </c>
      <c r="M883" s="227"/>
      <c r="P883" s="12"/>
      <c r="Q883" s="12"/>
      <c r="R883" s="12"/>
      <c r="S883" s="431">
        <f t="shared" si="41"/>
        <v>0</v>
      </c>
    </row>
    <row r="884" spans="1:19" x14ac:dyDescent="0.25">
      <c r="A884" s="11"/>
      <c r="B884" s="11"/>
      <c r="C884" s="11"/>
      <c r="D884" s="11"/>
      <c r="E884" s="431">
        <f t="shared" si="39"/>
        <v>0</v>
      </c>
      <c r="H884" s="223"/>
      <c r="I884" s="223"/>
      <c r="J884" s="223"/>
      <c r="K884" s="223"/>
      <c r="L884" s="431">
        <f t="shared" si="40"/>
        <v>0</v>
      </c>
      <c r="M884" s="227"/>
      <c r="P884" s="12"/>
      <c r="Q884" s="12"/>
      <c r="R884" s="12"/>
      <c r="S884" s="431">
        <f t="shared" si="41"/>
        <v>0</v>
      </c>
    </row>
    <row r="885" spans="1:19" x14ac:dyDescent="0.25">
      <c r="A885" s="11"/>
      <c r="B885" s="11"/>
      <c r="C885" s="11"/>
      <c r="D885" s="11"/>
      <c r="E885" s="431">
        <f t="shared" si="39"/>
        <v>0</v>
      </c>
      <c r="H885" s="223"/>
      <c r="I885" s="223"/>
      <c r="J885" s="223"/>
      <c r="K885" s="223"/>
      <c r="L885" s="431">
        <f t="shared" si="40"/>
        <v>0</v>
      </c>
      <c r="M885" s="227"/>
      <c r="P885" s="12"/>
      <c r="Q885" s="12"/>
      <c r="R885" s="12"/>
      <c r="S885" s="431">
        <f t="shared" si="41"/>
        <v>0</v>
      </c>
    </row>
    <row r="886" spans="1:19" x14ac:dyDescent="0.25">
      <c r="A886" s="11"/>
      <c r="B886" s="11"/>
      <c r="C886" s="11"/>
      <c r="D886" s="11"/>
      <c r="E886" s="431">
        <f t="shared" si="39"/>
        <v>0</v>
      </c>
      <c r="H886" s="223"/>
      <c r="I886" s="223"/>
      <c r="J886" s="223"/>
      <c r="K886" s="223"/>
      <c r="L886" s="431">
        <f t="shared" si="40"/>
        <v>0</v>
      </c>
      <c r="M886" s="227"/>
      <c r="P886" s="12"/>
      <c r="Q886" s="12"/>
      <c r="R886" s="12"/>
      <c r="S886" s="431">
        <f t="shared" si="41"/>
        <v>0</v>
      </c>
    </row>
    <row r="887" spans="1:19" x14ac:dyDescent="0.25">
      <c r="A887" s="11"/>
      <c r="B887" s="11"/>
      <c r="C887" s="11"/>
      <c r="D887" s="11"/>
      <c r="E887" s="431">
        <f t="shared" si="39"/>
        <v>0</v>
      </c>
      <c r="H887" s="223"/>
      <c r="I887" s="223"/>
      <c r="J887" s="223"/>
      <c r="K887" s="223"/>
      <c r="L887" s="431">
        <f t="shared" si="40"/>
        <v>0</v>
      </c>
      <c r="M887" s="227"/>
      <c r="P887" s="12"/>
      <c r="Q887" s="12"/>
      <c r="R887" s="12"/>
      <c r="S887" s="431">
        <f t="shared" si="41"/>
        <v>0</v>
      </c>
    </row>
    <row r="888" spans="1:19" x14ac:dyDescent="0.25">
      <c r="A888" s="11"/>
      <c r="B888" s="11"/>
      <c r="C888" s="11"/>
      <c r="D888" s="11"/>
      <c r="E888" s="431">
        <f t="shared" si="39"/>
        <v>0</v>
      </c>
      <c r="H888" s="223"/>
      <c r="I888" s="223"/>
      <c r="J888" s="223"/>
      <c r="K888" s="223"/>
      <c r="L888" s="431">
        <f t="shared" si="40"/>
        <v>0</v>
      </c>
      <c r="M888" s="227"/>
      <c r="P888" s="12"/>
      <c r="Q888" s="12"/>
      <c r="R888" s="12"/>
      <c r="S888" s="431">
        <f t="shared" si="41"/>
        <v>0</v>
      </c>
    </row>
    <row r="889" spans="1:19" x14ac:dyDescent="0.25">
      <c r="A889" s="11"/>
      <c r="B889" s="11"/>
      <c r="C889" s="11"/>
      <c r="D889" s="11"/>
      <c r="E889" s="431">
        <f t="shared" si="39"/>
        <v>0</v>
      </c>
      <c r="H889" s="223"/>
      <c r="I889" s="223"/>
      <c r="J889" s="223"/>
      <c r="K889" s="223"/>
      <c r="L889" s="431">
        <f t="shared" si="40"/>
        <v>0</v>
      </c>
      <c r="M889" s="227"/>
      <c r="P889" s="12"/>
      <c r="Q889" s="12"/>
      <c r="R889" s="12"/>
      <c r="S889" s="431">
        <f t="shared" si="41"/>
        <v>0</v>
      </c>
    </row>
    <row r="890" spans="1:19" x14ac:dyDescent="0.25">
      <c r="A890" s="11"/>
      <c r="B890" s="11"/>
      <c r="C890" s="11"/>
      <c r="D890" s="11"/>
      <c r="E890" s="431">
        <f t="shared" si="39"/>
        <v>0</v>
      </c>
      <c r="H890" s="223"/>
      <c r="I890" s="223"/>
      <c r="J890" s="223"/>
      <c r="K890" s="223"/>
      <c r="L890" s="431">
        <f t="shared" si="40"/>
        <v>0</v>
      </c>
      <c r="M890" s="227"/>
      <c r="P890" s="12"/>
      <c r="Q890" s="12"/>
      <c r="R890" s="12"/>
      <c r="S890" s="431">
        <f t="shared" si="41"/>
        <v>0</v>
      </c>
    </row>
    <row r="891" spans="1:19" x14ac:dyDescent="0.25">
      <c r="A891" s="11"/>
      <c r="B891" s="11"/>
      <c r="C891" s="11"/>
      <c r="D891" s="11"/>
      <c r="E891" s="431">
        <f t="shared" si="39"/>
        <v>0</v>
      </c>
      <c r="H891" s="223"/>
      <c r="I891" s="223"/>
      <c r="J891" s="223"/>
      <c r="K891" s="223"/>
      <c r="L891" s="431">
        <f t="shared" si="40"/>
        <v>0</v>
      </c>
      <c r="M891" s="227"/>
      <c r="P891" s="12"/>
      <c r="Q891" s="12"/>
      <c r="R891" s="12"/>
      <c r="S891" s="431">
        <f t="shared" si="41"/>
        <v>0</v>
      </c>
    </row>
    <row r="892" spans="1:19" x14ac:dyDescent="0.25">
      <c r="A892" s="11"/>
      <c r="B892" s="11"/>
      <c r="C892" s="11"/>
      <c r="D892" s="11"/>
      <c r="E892" s="431">
        <f t="shared" si="39"/>
        <v>0</v>
      </c>
      <c r="H892" s="223"/>
      <c r="I892" s="223"/>
      <c r="J892" s="223"/>
      <c r="K892" s="223"/>
      <c r="L892" s="431">
        <f t="shared" si="40"/>
        <v>0</v>
      </c>
      <c r="M892" s="227"/>
      <c r="P892" s="12"/>
      <c r="Q892" s="12"/>
      <c r="R892" s="12"/>
      <c r="S892" s="431">
        <f t="shared" si="41"/>
        <v>0</v>
      </c>
    </row>
    <row r="893" spans="1:19" x14ac:dyDescent="0.25">
      <c r="A893" s="11"/>
      <c r="B893" s="11"/>
      <c r="C893" s="11"/>
      <c r="D893" s="11"/>
      <c r="E893" s="431">
        <f t="shared" si="39"/>
        <v>0</v>
      </c>
      <c r="H893" s="223"/>
      <c r="I893" s="223"/>
      <c r="J893" s="223"/>
      <c r="K893" s="223"/>
      <c r="L893" s="431">
        <f t="shared" si="40"/>
        <v>0</v>
      </c>
      <c r="M893" s="227"/>
      <c r="P893" s="12"/>
      <c r="Q893" s="12"/>
      <c r="R893" s="12"/>
      <c r="S893" s="431">
        <f t="shared" si="41"/>
        <v>0</v>
      </c>
    </row>
    <row r="894" spans="1:19" x14ac:dyDescent="0.25">
      <c r="A894" s="11"/>
      <c r="B894" s="11"/>
      <c r="C894" s="11"/>
      <c r="D894" s="11"/>
      <c r="E894" s="431">
        <f t="shared" si="39"/>
        <v>0</v>
      </c>
      <c r="H894" s="223"/>
      <c r="I894" s="223"/>
      <c r="J894" s="223"/>
      <c r="K894" s="223"/>
      <c r="L894" s="431">
        <f t="shared" si="40"/>
        <v>0</v>
      </c>
      <c r="M894" s="227"/>
      <c r="P894" s="12"/>
      <c r="Q894" s="12"/>
      <c r="R894" s="12"/>
      <c r="S894" s="431">
        <f t="shared" si="41"/>
        <v>0</v>
      </c>
    </row>
    <row r="895" spans="1:19" x14ac:dyDescent="0.25">
      <c r="A895" s="11"/>
      <c r="B895" s="11"/>
      <c r="C895" s="11"/>
      <c r="D895" s="11"/>
      <c r="E895" s="431">
        <f t="shared" si="39"/>
        <v>0</v>
      </c>
      <c r="H895" s="223"/>
      <c r="I895" s="223"/>
      <c r="J895" s="223"/>
      <c r="K895" s="223"/>
      <c r="L895" s="431">
        <f t="shared" si="40"/>
        <v>0</v>
      </c>
      <c r="M895" s="227"/>
      <c r="P895" s="12"/>
      <c r="Q895" s="12"/>
      <c r="R895" s="12"/>
      <c r="S895" s="431">
        <f t="shared" si="41"/>
        <v>0</v>
      </c>
    </row>
    <row r="896" spans="1:19" x14ac:dyDescent="0.25">
      <c r="A896" s="11"/>
      <c r="B896" s="11"/>
      <c r="C896" s="11"/>
      <c r="D896" s="11"/>
      <c r="E896" s="431">
        <f t="shared" si="39"/>
        <v>0</v>
      </c>
      <c r="H896" s="223"/>
      <c r="I896" s="223"/>
      <c r="J896" s="223"/>
      <c r="K896" s="223"/>
      <c r="L896" s="431">
        <f t="shared" si="40"/>
        <v>0</v>
      </c>
      <c r="M896" s="227"/>
      <c r="P896" s="12"/>
      <c r="Q896" s="12"/>
      <c r="R896" s="12"/>
      <c r="S896" s="431">
        <f t="shared" si="41"/>
        <v>0</v>
      </c>
    </row>
    <row r="897" spans="1:19" x14ac:dyDescent="0.25">
      <c r="A897" s="11"/>
      <c r="B897" s="11"/>
      <c r="C897" s="11"/>
      <c r="D897" s="11"/>
      <c r="E897" s="431">
        <f t="shared" si="39"/>
        <v>0</v>
      </c>
      <c r="H897" s="223"/>
      <c r="I897" s="223"/>
      <c r="J897" s="223"/>
      <c r="K897" s="223"/>
      <c r="L897" s="431">
        <f t="shared" si="40"/>
        <v>0</v>
      </c>
      <c r="M897" s="227"/>
      <c r="P897" s="12"/>
      <c r="Q897" s="12"/>
      <c r="R897" s="12"/>
      <c r="S897" s="431">
        <f t="shared" si="41"/>
        <v>0</v>
      </c>
    </row>
    <row r="898" spans="1:19" x14ac:dyDescent="0.25">
      <c r="A898" s="11"/>
      <c r="B898" s="11"/>
      <c r="C898" s="11"/>
      <c r="D898" s="11"/>
      <c r="E898" s="431">
        <f t="shared" si="39"/>
        <v>0</v>
      </c>
      <c r="H898" s="223"/>
      <c r="I898" s="223"/>
      <c r="J898" s="223"/>
      <c r="K898" s="223"/>
      <c r="L898" s="431">
        <f t="shared" si="40"/>
        <v>0</v>
      </c>
      <c r="M898" s="227"/>
      <c r="P898" s="12"/>
      <c r="Q898" s="12"/>
      <c r="R898" s="12"/>
      <c r="S898" s="431">
        <f t="shared" si="41"/>
        <v>0</v>
      </c>
    </row>
    <row r="899" spans="1:19" x14ac:dyDescent="0.25">
      <c r="A899" s="11"/>
      <c r="B899" s="11"/>
      <c r="C899" s="11"/>
      <c r="D899" s="11"/>
      <c r="E899" s="431">
        <f t="shared" si="39"/>
        <v>0</v>
      </c>
      <c r="H899" s="223"/>
      <c r="I899" s="223"/>
      <c r="J899" s="223"/>
      <c r="K899" s="223"/>
      <c r="L899" s="431">
        <f t="shared" si="40"/>
        <v>0</v>
      </c>
      <c r="M899" s="227"/>
      <c r="P899" s="12"/>
      <c r="Q899" s="12"/>
      <c r="R899" s="12"/>
      <c r="S899" s="431">
        <f t="shared" si="41"/>
        <v>0</v>
      </c>
    </row>
    <row r="900" spans="1:19" x14ac:dyDescent="0.25">
      <c r="A900" s="11"/>
      <c r="B900" s="11"/>
      <c r="C900" s="11"/>
      <c r="D900" s="11"/>
      <c r="E900" s="431">
        <f t="shared" ref="E900:E963" si="42">+D900/100</f>
        <v>0</v>
      </c>
      <c r="H900" s="223"/>
      <c r="I900" s="223"/>
      <c r="J900" s="223"/>
      <c r="K900" s="223"/>
      <c r="L900" s="431">
        <f t="shared" ref="L900:L963" si="43">+K900/100</f>
        <v>0</v>
      </c>
      <c r="M900" s="227"/>
      <c r="P900" s="12"/>
      <c r="Q900" s="12"/>
      <c r="R900" s="12"/>
      <c r="S900" s="431">
        <f t="shared" ref="S900:S963" si="44">+R900/100</f>
        <v>0</v>
      </c>
    </row>
    <row r="901" spans="1:19" x14ac:dyDescent="0.25">
      <c r="A901" s="11"/>
      <c r="B901" s="11"/>
      <c r="C901" s="11"/>
      <c r="D901" s="11"/>
      <c r="E901" s="431">
        <f t="shared" si="42"/>
        <v>0</v>
      </c>
      <c r="H901" s="223"/>
      <c r="I901" s="223"/>
      <c r="J901" s="223"/>
      <c r="K901" s="223"/>
      <c r="L901" s="431">
        <f t="shared" si="43"/>
        <v>0</v>
      </c>
      <c r="M901" s="227"/>
      <c r="P901" s="12"/>
      <c r="Q901" s="12"/>
      <c r="R901" s="12"/>
      <c r="S901" s="431">
        <f t="shared" si="44"/>
        <v>0</v>
      </c>
    </row>
    <row r="902" spans="1:19" x14ac:dyDescent="0.25">
      <c r="A902" s="11"/>
      <c r="B902" s="11"/>
      <c r="C902" s="11"/>
      <c r="D902" s="11"/>
      <c r="E902" s="431">
        <f t="shared" si="42"/>
        <v>0</v>
      </c>
      <c r="H902" s="223"/>
      <c r="I902" s="223"/>
      <c r="J902" s="223"/>
      <c r="K902" s="223"/>
      <c r="L902" s="431">
        <f t="shared" si="43"/>
        <v>0</v>
      </c>
      <c r="M902" s="227"/>
      <c r="P902" s="12"/>
      <c r="Q902" s="12"/>
      <c r="R902" s="12"/>
      <c r="S902" s="431">
        <f t="shared" si="44"/>
        <v>0</v>
      </c>
    </row>
    <row r="903" spans="1:19" x14ac:dyDescent="0.25">
      <c r="A903" s="11"/>
      <c r="B903" s="11"/>
      <c r="C903" s="11"/>
      <c r="D903" s="11"/>
      <c r="E903" s="431">
        <f t="shared" si="42"/>
        <v>0</v>
      </c>
      <c r="H903" s="223"/>
      <c r="I903" s="223"/>
      <c r="J903" s="223"/>
      <c r="K903" s="223"/>
      <c r="L903" s="431">
        <f t="shared" si="43"/>
        <v>0</v>
      </c>
      <c r="M903" s="227"/>
      <c r="P903" s="12"/>
      <c r="Q903" s="12"/>
      <c r="R903" s="12"/>
      <c r="S903" s="431">
        <f t="shared" si="44"/>
        <v>0</v>
      </c>
    </row>
    <row r="904" spans="1:19" x14ac:dyDescent="0.25">
      <c r="A904" s="11"/>
      <c r="B904" s="11"/>
      <c r="C904" s="11"/>
      <c r="D904" s="11"/>
      <c r="E904" s="431">
        <f t="shared" si="42"/>
        <v>0</v>
      </c>
      <c r="H904" s="223"/>
      <c r="I904" s="223"/>
      <c r="J904" s="223"/>
      <c r="K904" s="223"/>
      <c r="L904" s="431">
        <f t="shared" si="43"/>
        <v>0</v>
      </c>
      <c r="M904" s="227"/>
      <c r="P904" s="12"/>
      <c r="Q904" s="12"/>
      <c r="R904" s="12"/>
      <c r="S904" s="431">
        <f t="shared" si="44"/>
        <v>0</v>
      </c>
    </row>
    <row r="905" spans="1:19" x14ac:dyDescent="0.25">
      <c r="A905" s="11"/>
      <c r="B905" s="11"/>
      <c r="C905" s="11"/>
      <c r="D905" s="11"/>
      <c r="E905" s="431">
        <f t="shared" si="42"/>
        <v>0</v>
      </c>
      <c r="H905" s="223"/>
      <c r="I905" s="223"/>
      <c r="J905" s="223"/>
      <c r="K905" s="223"/>
      <c r="L905" s="431">
        <f t="shared" si="43"/>
        <v>0</v>
      </c>
      <c r="M905" s="227"/>
      <c r="P905" s="12"/>
      <c r="Q905" s="12"/>
      <c r="R905" s="12"/>
      <c r="S905" s="431">
        <f t="shared" si="44"/>
        <v>0</v>
      </c>
    </row>
    <row r="906" spans="1:19" x14ac:dyDescent="0.25">
      <c r="A906" s="11"/>
      <c r="B906" s="11"/>
      <c r="C906" s="11"/>
      <c r="D906" s="11"/>
      <c r="E906" s="431">
        <f t="shared" si="42"/>
        <v>0</v>
      </c>
      <c r="H906" s="223"/>
      <c r="I906" s="223"/>
      <c r="J906" s="223"/>
      <c r="K906" s="223"/>
      <c r="L906" s="431">
        <f t="shared" si="43"/>
        <v>0</v>
      </c>
      <c r="M906" s="227"/>
      <c r="P906" s="12"/>
      <c r="Q906" s="12"/>
      <c r="R906" s="12"/>
      <c r="S906" s="431">
        <f t="shared" si="44"/>
        <v>0</v>
      </c>
    </row>
    <row r="907" spans="1:19" x14ac:dyDescent="0.25">
      <c r="A907" s="11"/>
      <c r="B907" s="11"/>
      <c r="C907" s="11"/>
      <c r="D907" s="11"/>
      <c r="E907" s="431">
        <f t="shared" si="42"/>
        <v>0</v>
      </c>
      <c r="H907" s="223"/>
      <c r="I907" s="223"/>
      <c r="J907" s="223"/>
      <c r="K907" s="223"/>
      <c r="L907" s="431">
        <f t="shared" si="43"/>
        <v>0</v>
      </c>
      <c r="M907" s="227"/>
      <c r="P907" s="12"/>
      <c r="Q907" s="12"/>
      <c r="R907" s="12"/>
      <c r="S907" s="431">
        <f t="shared" si="44"/>
        <v>0</v>
      </c>
    </row>
    <row r="908" spans="1:19" x14ac:dyDescent="0.25">
      <c r="A908" s="11"/>
      <c r="B908" s="11"/>
      <c r="C908" s="11"/>
      <c r="D908" s="11"/>
      <c r="E908" s="431">
        <f t="shared" si="42"/>
        <v>0</v>
      </c>
      <c r="H908" s="223"/>
      <c r="I908" s="223"/>
      <c r="J908" s="223"/>
      <c r="K908" s="223"/>
      <c r="L908" s="431">
        <f t="shared" si="43"/>
        <v>0</v>
      </c>
      <c r="M908" s="227"/>
      <c r="P908" s="12"/>
      <c r="Q908" s="12"/>
      <c r="R908" s="12"/>
      <c r="S908" s="431">
        <f t="shared" si="44"/>
        <v>0</v>
      </c>
    </row>
    <row r="909" spans="1:19" x14ac:dyDescent="0.25">
      <c r="A909" s="11"/>
      <c r="B909" s="11"/>
      <c r="C909" s="11"/>
      <c r="D909" s="11"/>
      <c r="E909" s="431">
        <f t="shared" si="42"/>
        <v>0</v>
      </c>
      <c r="H909" s="223"/>
      <c r="I909" s="223"/>
      <c r="J909" s="223"/>
      <c r="K909" s="223"/>
      <c r="L909" s="431">
        <f t="shared" si="43"/>
        <v>0</v>
      </c>
      <c r="M909" s="227"/>
      <c r="P909" s="12"/>
      <c r="Q909" s="12"/>
      <c r="R909" s="12"/>
      <c r="S909" s="431">
        <f t="shared" si="44"/>
        <v>0</v>
      </c>
    </row>
    <row r="910" spans="1:19" x14ac:dyDescent="0.25">
      <c r="A910" s="11"/>
      <c r="B910" s="11"/>
      <c r="C910" s="11"/>
      <c r="D910" s="11"/>
      <c r="E910" s="431">
        <f t="shared" si="42"/>
        <v>0</v>
      </c>
      <c r="H910" s="223"/>
      <c r="I910" s="223"/>
      <c r="J910" s="223"/>
      <c r="K910" s="223"/>
      <c r="L910" s="431">
        <f t="shared" si="43"/>
        <v>0</v>
      </c>
      <c r="M910" s="227"/>
      <c r="P910" s="12"/>
      <c r="Q910" s="12"/>
      <c r="R910" s="12"/>
      <c r="S910" s="431">
        <f t="shared" si="44"/>
        <v>0</v>
      </c>
    </row>
    <row r="911" spans="1:19" x14ac:dyDescent="0.25">
      <c r="A911" s="11"/>
      <c r="B911" s="11"/>
      <c r="C911" s="11"/>
      <c r="D911" s="11"/>
      <c r="E911" s="431">
        <f t="shared" si="42"/>
        <v>0</v>
      </c>
      <c r="H911" s="223"/>
      <c r="I911" s="223"/>
      <c r="J911" s="223"/>
      <c r="K911" s="223"/>
      <c r="L911" s="431">
        <f t="shared" si="43"/>
        <v>0</v>
      </c>
      <c r="M911" s="227"/>
      <c r="P911" s="12"/>
      <c r="Q911" s="12"/>
      <c r="R911" s="12"/>
      <c r="S911" s="431">
        <f t="shared" si="44"/>
        <v>0</v>
      </c>
    </row>
    <row r="912" spans="1:19" x14ac:dyDescent="0.25">
      <c r="A912" s="11"/>
      <c r="B912" s="11"/>
      <c r="C912" s="11"/>
      <c r="D912" s="11"/>
      <c r="E912" s="431">
        <f t="shared" si="42"/>
        <v>0</v>
      </c>
      <c r="H912" s="223"/>
      <c r="I912" s="223"/>
      <c r="J912" s="223"/>
      <c r="K912" s="223"/>
      <c r="L912" s="431">
        <f t="shared" si="43"/>
        <v>0</v>
      </c>
      <c r="M912" s="227"/>
      <c r="P912" s="12"/>
      <c r="Q912" s="12"/>
      <c r="R912" s="12"/>
      <c r="S912" s="431">
        <f t="shared" si="44"/>
        <v>0</v>
      </c>
    </row>
    <row r="913" spans="1:19" x14ac:dyDescent="0.25">
      <c r="A913" s="11"/>
      <c r="B913" s="11"/>
      <c r="C913" s="11"/>
      <c r="D913" s="11"/>
      <c r="E913" s="431">
        <f t="shared" si="42"/>
        <v>0</v>
      </c>
      <c r="H913" s="223"/>
      <c r="I913" s="223"/>
      <c r="J913" s="223"/>
      <c r="K913" s="223"/>
      <c r="L913" s="431">
        <f t="shared" si="43"/>
        <v>0</v>
      </c>
      <c r="M913" s="227"/>
      <c r="P913" s="12"/>
      <c r="Q913" s="12"/>
      <c r="R913" s="12"/>
      <c r="S913" s="431">
        <f t="shared" si="44"/>
        <v>0</v>
      </c>
    </row>
    <row r="914" spans="1:19" x14ac:dyDescent="0.25">
      <c r="A914" s="11"/>
      <c r="B914" s="11"/>
      <c r="C914" s="11"/>
      <c r="D914" s="11"/>
      <c r="E914" s="431">
        <f t="shared" si="42"/>
        <v>0</v>
      </c>
      <c r="H914" s="223"/>
      <c r="I914" s="223"/>
      <c r="J914" s="223"/>
      <c r="K914" s="223"/>
      <c r="L914" s="431">
        <f t="shared" si="43"/>
        <v>0</v>
      </c>
      <c r="M914" s="227"/>
      <c r="P914" s="12"/>
      <c r="Q914" s="12"/>
      <c r="R914" s="12"/>
      <c r="S914" s="431">
        <f t="shared" si="44"/>
        <v>0</v>
      </c>
    </row>
    <row r="915" spans="1:19" x14ac:dyDescent="0.25">
      <c r="A915" s="11"/>
      <c r="B915" s="11"/>
      <c r="C915" s="11"/>
      <c r="D915" s="11"/>
      <c r="E915" s="431">
        <f t="shared" si="42"/>
        <v>0</v>
      </c>
      <c r="H915" s="223"/>
      <c r="I915" s="223"/>
      <c r="J915" s="223"/>
      <c r="K915" s="223"/>
      <c r="L915" s="431">
        <f t="shared" si="43"/>
        <v>0</v>
      </c>
      <c r="M915" s="227"/>
      <c r="P915" s="12"/>
      <c r="Q915" s="12"/>
      <c r="R915" s="12"/>
      <c r="S915" s="431">
        <f t="shared" si="44"/>
        <v>0</v>
      </c>
    </row>
    <row r="916" spans="1:19" x14ac:dyDescent="0.25">
      <c r="A916" s="11"/>
      <c r="B916" s="11"/>
      <c r="C916" s="11"/>
      <c r="D916" s="11"/>
      <c r="E916" s="431">
        <f t="shared" si="42"/>
        <v>0</v>
      </c>
      <c r="H916" s="223"/>
      <c r="I916" s="223"/>
      <c r="J916" s="223"/>
      <c r="K916" s="223"/>
      <c r="L916" s="431">
        <f t="shared" si="43"/>
        <v>0</v>
      </c>
      <c r="M916" s="227"/>
      <c r="P916" s="12"/>
      <c r="Q916" s="12"/>
      <c r="R916" s="12"/>
      <c r="S916" s="431">
        <f t="shared" si="44"/>
        <v>0</v>
      </c>
    </row>
    <row r="917" spans="1:19" x14ac:dyDescent="0.25">
      <c r="A917" s="11"/>
      <c r="B917" s="11"/>
      <c r="C917" s="11"/>
      <c r="D917" s="11"/>
      <c r="E917" s="431">
        <f t="shared" si="42"/>
        <v>0</v>
      </c>
      <c r="H917" s="223"/>
      <c r="I917" s="223"/>
      <c r="J917" s="223"/>
      <c r="K917" s="223"/>
      <c r="L917" s="431">
        <f t="shared" si="43"/>
        <v>0</v>
      </c>
      <c r="M917" s="227"/>
      <c r="P917" s="12"/>
      <c r="Q917" s="12"/>
      <c r="R917" s="12"/>
      <c r="S917" s="431">
        <f t="shared" si="44"/>
        <v>0</v>
      </c>
    </row>
    <row r="918" spans="1:19" x14ac:dyDescent="0.25">
      <c r="A918" s="11"/>
      <c r="B918" s="11"/>
      <c r="C918" s="11"/>
      <c r="D918" s="11"/>
      <c r="E918" s="431">
        <f t="shared" si="42"/>
        <v>0</v>
      </c>
      <c r="H918" s="223"/>
      <c r="I918" s="223"/>
      <c r="J918" s="223"/>
      <c r="K918" s="223"/>
      <c r="L918" s="431">
        <f t="shared" si="43"/>
        <v>0</v>
      </c>
      <c r="M918" s="227"/>
      <c r="P918" s="12"/>
      <c r="Q918" s="12"/>
      <c r="R918" s="12"/>
      <c r="S918" s="431">
        <f t="shared" si="44"/>
        <v>0</v>
      </c>
    </row>
    <row r="919" spans="1:19" x14ac:dyDescent="0.25">
      <c r="A919" s="11"/>
      <c r="B919" s="11"/>
      <c r="C919" s="11"/>
      <c r="D919" s="11"/>
      <c r="E919" s="431">
        <f t="shared" si="42"/>
        <v>0</v>
      </c>
      <c r="H919" s="223"/>
      <c r="I919" s="223"/>
      <c r="J919" s="223"/>
      <c r="K919" s="223"/>
      <c r="L919" s="431">
        <f t="shared" si="43"/>
        <v>0</v>
      </c>
      <c r="M919" s="227"/>
      <c r="P919" s="12"/>
      <c r="Q919" s="12"/>
      <c r="R919" s="12"/>
      <c r="S919" s="431">
        <f t="shared" si="44"/>
        <v>0</v>
      </c>
    </row>
    <row r="920" spans="1:19" x14ac:dyDescent="0.25">
      <c r="A920" s="11"/>
      <c r="B920" s="11"/>
      <c r="C920" s="11"/>
      <c r="D920" s="11"/>
      <c r="E920" s="431">
        <f t="shared" si="42"/>
        <v>0</v>
      </c>
      <c r="H920" s="223"/>
      <c r="I920" s="223"/>
      <c r="J920" s="223"/>
      <c r="K920" s="223"/>
      <c r="L920" s="431">
        <f t="shared" si="43"/>
        <v>0</v>
      </c>
      <c r="M920" s="227"/>
      <c r="P920" s="12"/>
      <c r="Q920" s="12"/>
      <c r="R920" s="12"/>
      <c r="S920" s="431">
        <f t="shared" si="44"/>
        <v>0</v>
      </c>
    </row>
    <row r="921" spans="1:19" x14ac:dyDescent="0.25">
      <c r="A921" s="11"/>
      <c r="B921" s="11"/>
      <c r="C921" s="11"/>
      <c r="D921" s="11"/>
      <c r="E921" s="431">
        <f t="shared" si="42"/>
        <v>0</v>
      </c>
      <c r="H921" s="223"/>
      <c r="I921" s="223"/>
      <c r="J921" s="223"/>
      <c r="K921" s="223"/>
      <c r="L921" s="431">
        <f t="shared" si="43"/>
        <v>0</v>
      </c>
      <c r="M921" s="227"/>
      <c r="P921" s="12"/>
      <c r="Q921" s="12"/>
      <c r="R921" s="12"/>
      <c r="S921" s="431">
        <f t="shared" si="44"/>
        <v>0</v>
      </c>
    </row>
    <row r="922" spans="1:19" x14ac:dyDescent="0.25">
      <c r="A922" s="11"/>
      <c r="B922" s="11"/>
      <c r="C922" s="11"/>
      <c r="D922" s="11"/>
      <c r="E922" s="431">
        <f t="shared" si="42"/>
        <v>0</v>
      </c>
      <c r="H922" s="223"/>
      <c r="I922" s="223"/>
      <c r="J922" s="223"/>
      <c r="K922" s="223"/>
      <c r="L922" s="431">
        <f t="shared" si="43"/>
        <v>0</v>
      </c>
      <c r="M922" s="227"/>
      <c r="P922" s="12"/>
      <c r="Q922" s="12"/>
      <c r="R922" s="12"/>
      <c r="S922" s="431">
        <f t="shared" si="44"/>
        <v>0</v>
      </c>
    </row>
    <row r="923" spans="1:19" x14ac:dyDescent="0.25">
      <c r="A923" s="11"/>
      <c r="B923" s="11"/>
      <c r="C923" s="11"/>
      <c r="D923" s="11"/>
      <c r="E923" s="431">
        <f t="shared" si="42"/>
        <v>0</v>
      </c>
      <c r="H923" s="223"/>
      <c r="I923" s="223"/>
      <c r="J923" s="223"/>
      <c r="K923" s="223"/>
      <c r="L923" s="431">
        <f t="shared" si="43"/>
        <v>0</v>
      </c>
      <c r="M923" s="227"/>
      <c r="P923" s="12"/>
      <c r="Q923" s="12"/>
      <c r="R923" s="12"/>
      <c r="S923" s="431">
        <f t="shared" si="44"/>
        <v>0</v>
      </c>
    </row>
    <row r="924" spans="1:19" x14ac:dyDescent="0.25">
      <c r="A924" s="11"/>
      <c r="B924" s="11"/>
      <c r="C924" s="11"/>
      <c r="D924" s="11"/>
      <c r="E924" s="431">
        <f t="shared" si="42"/>
        <v>0</v>
      </c>
      <c r="H924" s="223"/>
      <c r="I924" s="223"/>
      <c r="J924" s="223"/>
      <c r="K924" s="223"/>
      <c r="L924" s="431">
        <f t="shared" si="43"/>
        <v>0</v>
      </c>
      <c r="M924" s="227"/>
      <c r="P924" s="12"/>
      <c r="Q924" s="12"/>
      <c r="R924" s="12"/>
      <c r="S924" s="431">
        <f t="shared" si="44"/>
        <v>0</v>
      </c>
    </row>
    <row r="925" spans="1:19" x14ac:dyDescent="0.25">
      <c r="A925" s="11"/>
      <c r="B925" s="11"/>
      <c r="C925" s="11"/>
      <c r="D925" s="11"/>
      <c r="E925" s="431">
        <f t="shared" si="42"/>
        <v>0</v>
      </c>
      <c r="H925" s="223"/>
      <c r="I925" s="223"/>
      <c r="J925" s="223"/>
      <c r="K925" s="223"/>
      <c r="L925" s="431">
        <f t="shared" si="43"/>
        <v>0</v>
      </c>
      <c r="M925" s="227"/>
      <c r="P925" s="12"/>
      <c r="Q925" s="12"/>
      <c r="R925" s="12"/>
      <c r="S925" s="431">
        <f t="shared" si="44"/>
        <v>0</v>
      </c>
    </row>
    <row r="926" spans="1:19" x14ac:dyDescent="0.25">
      <c r="A926" s="11"/>
      <c r="B926" s="11"/>
      <c r="C926" s="11"/>
      <c r="D926" s="11"/>
      <c r="E926" s="431">
        <f t="shared" si="42"/>
        <v>0</v>
      </c>
      <c r="H926" s="223"/>
      <c r="I926" s="223"/>
      <c r="J926" s="223"/>
      <c r="K926" s="223"/>
      <c r="L926" s="431">
        <f t="shared" si="43"/>
        <v>0</v>
      </c>
      <c r="M926" s="227"/>
      <c r="P926" s="12"/>
      <c r="Q926" s="12"/>
      <c r="R926" s="12"/>
      <c r="S926" s="431">
        <f t="shared" si="44"/>
        <v>0</v>
      </c>
    </row>
    <row r="927" spans="1:19" x14ac:dyDescent="0.25">
      <c r="A927" s="11"/>
      <c r="B927" s="11"/>
      <c r="C927" s="11"/>
      <c r="D927" s="11"/>
      <c r="E927" s="431">
        <f t="shared" si="42"/>
        <v>0</v>
      </c>
      <c r="H927" s="223"/>
      <c r="I927" s="223"/>
      <c r="J927" s="223"/>
      <c r="K927" s="223"/>
      <c r="L927" s="431">
        <f t="shared" si="43"/>
        <v>0</v>
      </c>
      <c r="M927" s="227"/>
      <c r="P927" s="12"/>
      <c r="Q927" s="12"/>
      <c r="R927" s="12"/>
      <c r="S927" s="431">
        <f t="shared" si="44"/>
        <v>0</v>
      </c>
    </row>
    <row r="928" spans="1:19" x14ac:dyDescent="0.25">
      <c r="A928" s="11"/>
      <c r="B928" s="11"/>
      <c r="C928" s="11"/>
      <c r="D928" s="11"/>
      <c r="E928" s="431">
        <f t="shared" si="42"/>
        <v>0</v>
      </c>
      <c r="H928" s="223"/>
      <c r="I928" s="223"/>
      <c r="J928" s="223"/>
      <c r="K928" s="223"/>
      <c r="L928" s="431">
        <f t="shared" si="43"/>
        <v>0</v>
      </c>
      <c r="M928" s="227"/>
      <c r="P928" s="12"/>
      <c r="Q928" s="12"/>
      <c r="R928" s="12"/>
      <c r="S928" s="431">
        <f t="shared" si="44"/>
        <v>0</v>
      </c>
    </row>
    <row r="929" spans="1:19" x14ac:dyDescent="0.25">
      <c r="A929" s="11"/>
      <c r="B929" s="11"/>
      <c r="C929" s="11"/>
      <c r="D929" s="11"/>
      <c r="E929" s="431">
        <f t="shared" si="42"/>
        <v>0</v>
      </c>
      <c r="H929" s="223"/>
      <c r="I929" s="223"/>
      <c r="J929" s="223"/>
      <c r="K929" s="223"/>
      <c r="L929" s="431">
        <f t="shared" si="43"/>
        <v>0</v>
      </c>
      <c r="M929" s="227"/>
      <c r="P929" s="12"/>
      <c r="Q929" s="12"/>
      <c r="R929" s="12"/>
      <c r="S929" s="431">
        <f t="shared" si="44"/>
        <v>0</v>
      </c>
    </row>
    <row r="930" spans="1:19" x14ac:dyDescent="0.25">
      <c r="A930" s="11"/>
      <c r="B930" s="11"/>
      <c r="C930" s="11"/>
      <c r="D930" s="11"/>
      <c r="E930" s="431">
        <f t="shared" si="42"/>
        <v>0</v>
      </c>
      <c r="H930" s="223"/>
      <c r="I930" s="223"/>
      <c r="J930" s="223"/>
      <c r="K930" s="223"/>
      <c r="L930" s="431">
        <f t="shared" si="43"/>
        <v>0</v>
      </c>
      <c r="M930" s="227"/>
      <c r="P930" s="12"/>
      <c r="Q930" s="12"/>
      <c r="R930" s="12"/>
      <c r="S930" s="431">
        <f t="shared" si="44"/>
        <v>0</v>
      </c>
    </row>
    <row r="931" spans="1:19" x14ac:dyDescent="0.25">
      <c r="A931" s="11"/>
      <c r="B931" s="11"/>
      <c r="C931" s="11"/>
      <c r="D931" s="11"/>
      <c r="E931" s="431">
        <f t="shared" si="42"/>
        <v>0</v>
      </c>
      <c r="H931" s="223"/>
      <c r="I931" s="223"/>
      <c r="J931" s="223"/>
      <c r="K931" s="223"/>
      <c r="L931" s="431">
        <f t="shared" si="43"/>
        <v>0</v>
      </c>
      <c r="M931" s="227"/>
      <c r="P931" s="12"/>
      <c r="Q931" s="12"/>
      <c r="R931" s="12"/>
      <c r="S931" s="431">
        <f t="shared" si="44"/>
        <v>0</v>
      </c>
    </row>
    <row r="932" spans="1:19" x14ac:dyDescent="0.25">
      <c r="A932" s="11"/>
      <c r="B932" s="11"/>
      <c r="C932" s="11"/>
      <c r="D932" s="11"/>
      <c r="E932" s="431">
        <f t="shared" si="42"/>
        <v>0</v>
      </c>
      <c r="H932" s="223"/>
      <c r="I932" s="223"/>
      <c r="J932" s="223"/>
      <c r="K932" s="223"/>
      <c r="L932" s="431">
        <f t="shared" si="43"/>
        <v>0</v>
      </c>
      <c r="M932" s="227"/>
      <c r="P932" s="12"/>
      <c r="Q932" s="12"/>
      <c r="R932" s="12"/>
      <c r="S932" s="431">
        <f t="shared" si="44"/>
        <v>0</v>
      </c>
    </row>
    <row r="933" spans="1:19" x14ac:dyDescent="0.25">
      <c r="A933" s="11"/>
      <c r="B933" s="11"/>
      <c r="C933" s="11"/>
      <c r="D933" s="11"/>
      <c r="E933" s="431">
        <f t="shared" si="42"/>
        <v>0</v>
      </c>
      <c r="H933" s="223"/>
      <c r="I933" s="223"/>
      <c r="J933" s="223"/>
      <c r="K933" s="223"/>
      <c r="L933" s="431">
        <f t="shared" si="43"/>
        <v>0</v>
      </c>
      <c r="M933" s="227"/>
      <c r="P933" s="12"/>
      <c r="Q933" s="12"/>
      <c r="R933" s="12"/>
      <c r="S933" s="431">
        <f t="shared" si="44"/>
        <v>0</v>
      </c>
    </row>
    <row r="934" spans="1:19" x14ac:dyDescent="0.25">
      <c r="A934" s="11"/>
      <c r="B934" s="11"/>
      <c r="C934" s="11"/>
      <c r="D934" s="11"/>
      <c r="E934" s="431">
        <f t="shared" si="42"/>
        <v>0</v>
      </c>
      <c r="H934" s="223"/>
      <c r="I934" s="223"/>
      <c r="J934" s="223"/>
      <c r="K934" s="223"/>
      <c r="L934" s="431">
        <f t="shared" si="43"/>
        <v>0</v>
      </c>
      <c r="M934" s="227"/>
      <c r="P934" s="12"/>
      <c r="Q934" s="12"/>
      <c r="R934" s="12"/>
      <c r="S934" s="431">
        <f t="shared" si="44"/>
        <v>0</v>
      </c>
    </row>
    <row r="935" spans="1:19" x14ac:dyDescent="0.25">
      <c r="A935" s="11"/>
      <c r="B935" s="11"/>
      <c r="C935" s="11"/>
      <c r="D935" s="11"/>
      <c r="E935" s="431">
        <f t="shared" si="42"/>
        <v>0</v>
      </c>
      <c r="H935" s="223"/>
      <c r="I935" s="223"/>
      <c r="J935" s="223"/>
      <c r="K935" s="223"/>
      <c r="L935" s="431">
        <f t="shared" si="43"/>
        <v>0</v>
      </c>
      <c r="M935" s="227"/>
      <c r="P935" s="12"/>
      <c r="Q935" s="12"/>
      <c r="R935" s="12"/>
      <c r="S935" s="431">
        <f t="shared" si="44"/>
        <v>0</v>
      </c>
    </row>
    <row r="936" spans="1:19" x14ac:dyDescent="0.25">
      <c r="A936" s="11"/>
      <c r="B936" s="11"/>
      <c r="C936" s="11"/>
      <c r="D936" s="11"/>
      <c r="E936" s="431">
        <f t="shared" si="42"/>
        <v>0</v>
      </c>
      <c r="H936" s="223"/>
      <c r="I936" s="223"/>
      <c r="J936" s="223"/>
      <c r="K936" s="223"/>
      <c r="L936" s="431">
        <f t="shared" si="43"/>
        <v>0</v>
      </c>
      <c r="M936" s="227"/>
      <c r="P936" s="12"/>
      <c r="Q936" s="12"/>
      <c r="R936" s="12"/>
      <c r="S936" s="431">
        <f t="shared" si="44"/>
        <v>0</v>
      </c>
    </row>
    <row r="937" spans="1:19" x14ac:dyDescent="0.25">
      <c r="A937" s="11"/>
      <c r="B937" s="11"/>
      <c r="C937" s="11"/>
      <c r="D937" s="11"/>
      <c r="E937" s="431">
        <f t="shared" si="42"/>
        <v>0</v>
      </c>
      <c r="H937" s="223"/>
      <c r="I937" s="223"/>
      <c r="J937" s="223"/>
      <c r="K937" s="223"/>
      <c r="L937" s="431">
        <f t="shared" si="43"/>
        <v>0</v>
      </c>
      <c r="M937" s="227"/>
      <c r="P937" s="12"/>
      <c r="Q937" s="12"/>
      <c r="R937" s="12"/>
      <c r="S937" s="431">
        <f t="shared" si="44"/>
        <v>0</v>
      </c>
    </row>
    <row r="938" spans="1:19" x14ac:dyDescent="0.25">
      <c r="A938" s="11"/>
      <c r="B938" s="11"/>
      <c r="C938" s="11"/>
      <c r="D938" s="11"/>
      <c r="E938" s="431">
        <f t="shared" si="42"/>
        <v>0</v>
      </c>
      <c r="H938" s="223"/>
      <c r="I938" s="223"/>
      <c r="J938" s="223"/>
      <c r="K938" s="223"/>
      <c r="L938" s="431">
        <f t="shared" si="43"/>
        <v>0</v>
      </c>
      <c r="M938" s="227"/>
      <c r="P938" s="12"/>
      <c r="Q938" s="12"/>
      <c r="R938" s="12"/>
      <c r="S938" s="431">
        <f t="shared" si="44"/>
        <v>0</v>
      </c>
    </row>
    <row r="939" spans="1:19" x14ac:dyDescent="0.25">
      <c r="A939" s="11"/>
      <c r="B939" s="11"/>
      <c r="C939" s="11"/>
      <c r="D939" s="11"/>
      <c r="E939" s="431">
        <f t="shared" si="42"/>
        <v>0</v>
      </c>
      <c r="H939" s="223"/>
      <c r="I939" s="223"/>
      <c r="J939" s="223"/>
      <c r="K939" s="223"/>
      <c r="L939" s="431">
        <f t="shared" si="43"/>
        <v>0</v>
      </c>
      <c r="M939" s="227"/>
      <c r="P939" s="12"/>
      <c r="Q939" s="12"/>
      <c r="R939" s="12"/>
      <c r="S939" s="431">
        <f t="shared" si="44"/>
        <v>0</v>
      </c>
    </row>
    <row r="940" spans="1:19" x14ac:dyDescent="0.25">
      <c r="A940" s="11"/>
      <c r="B940" s="11"/>
      <c r="C940" s="11"/>
      <c r="D940" s="11"/>
      <c r="E940" s="431">
        <f t="shared" si="42"/>
        <v>0</v>
      </c>
      <c r="H940" s="223"/>
      <c r="I940" s="223"/>
      <c r="J940" s="223"/>
      <c r="K940" s="223"/>
      <c r="L940" s="431">
        <f t="shared" si="43"/>
        <v>0</v>
      </c>
      <c r="M940" s="227"/>
      <c r="P940" s="12"/>
      <c r="Q940" s="12"/>
      <c r="R940" s="12"/>
      <c r="S940" s="431">
        <f t="shared" si="44"/>
        <v>0</v>
      </c>
    </row>
    <row r="941" spans="1:19" x14ac:dyDescent="0.25">
      <c r="A941" s="11"/>
      <c r="B941" s="11"/>
      <c r="C941" s="11"/>
      <c r="D941" s="11"/>
      <c r="E941" s="431">
        <f t="shared" si="42"/>
        <v>0</v>
      </c>
      <c r="H941" s="223"/>
      <c r="I941" s="223"/>
      <c r="J941" s="223"/>
      <c r="K941" s="223"/>
      <c r="L941" s="431">
        <f t="shared" si="43"/>
        <v>0</v>
      </c>
      <c r="M941" s="227"/>
      <c r="P941" s="12"/>
      <c r="Q941" s="12"/>
      <c r="R941" s="12"/>
      <c r="S941" s="431">
        <f t="shared" si="44"/>
        <v>0</v>
      </c>
    </row>
    <row r="942" spans="1:19" x14ac:dyDescent="0.25">
      <c r="A942" s="11"/>
      <c r="B942" s="11"/>
      <c r="C942" s="11"/>
      <c r="D942" s="11"/>
      <c r="E942" s="431">
        <f t="shared" si="42"/>
        <v>0</v>
      </c>
      <c r="H942" s="223"/>
      <c r="I942" s="223"/>
      <c r="J942" s="223"/>
      <c r="K942" s="223"/>
      <c r="L942" s="431">
        <f t="shared" si="43"/>
        <v>0</v>
      </c>
      <c r="M942" s="227"/>
      <c r="P942" s="12"/>
      <c r="Q942" s="12"/>
      <c r="R942" s="12"/>
      <c r="S942" s="431">
        <f t="shared" si="44"/>
        <v>0</v>
      </c>
    </row>
    <row r="943" spans="1:19" x14ac:dyDescent="0.25">
      <c r="A943" s="11"/>
      <c r="B943" s="11"/>
      <c r="C943" s="11"/>
      <c r="D943" s="11"/>
      <c r="E943" s="431">
        <f t="shared" si="42"/>
        <v>0</v>
      </c>
      <c r="H943" s="223"/>
      <c r="I943" s="223"/>
      <c r="J943" s="223"/>
      <c r="K943" s="223"/>
      <c r="L943" s="431">
        <f t="shared" si="43"/>
        <v>0</v>
      </c>
      <c r="M943" s="227"/>
      <c r="P943" s="12"/>
      <c r="Q943" s="12"/>
      <c r="R943" s="12"/>
      <c r="S943" s="431">
        <f t="shared" si="44"/>
        <v>0</v>
      </c>
    </row>
    <row r="944" spans="1:19" x14ac:dyDescent="0.25">
      <c r="A944" s="11"/>
      <c r="B944" s="11"/>
      <c r="C944" s="11"/>
      <c r="D944" s="11"/>
      <c r="E944" s="431">
        <f t="shared" si="42"/>
        <v>0</v>
      </c>
      <c r="H944" s="223"/>
      <c r="I944" s="223"/>
      <c r="J944" s="223"/>
      <c r="K944" s="223"/>
      <c r="L944" s="431">
        <f t="shared" si="43"/>
        <v>0</v>
      </c>
      <c r="M944" s="227"/>
      <c r="P944" s="12"/>
      <c r="Q944" s="12"/>
      <c r="R944" s="12"/>
      <c r="S944" s="431">
        <f t="shared" si="44"/>
        <v>0</v>
      </c>
    </row>
    <row r="945" spans="1:19" x14ac:dyDescent="0.25">
      <c r="A945" s="11"/>
      <c r="B945" s="11"/>
      <c r="C945" s="11"/>
      <c r="D945" s="11"/>
      <c r="E945" s="431">
        <f t="shared" si="42"/>
        <v>0</v>
      </c>
      <c r="H945" s="223"/>
      <c r="I945" s="223"/>
      <c r="J945" s="223"/>
      <c r="K945" s="223"/>
      <c r="L945" s="431">
        <f t="shared" si="43"/>
        <v>0</v>
      </c>
      <c r="M945" s="227"/>
      <c r="P945" s="12"/>
      <c r="Q945" s="12"/>
      <c r="R945" s="12"/>
      <c r="S945" s="431">
        <f t="shared" si="44"/>
        <v>0</v>
      </c>
    </row>
    <row r="946" spans="1:19" x14ac:dyDescent="0.25">
      <c r="A946" s="11"/>
      <c r="B946" s="11"/>
      <c r="C946" s="11"/>
      <c r="D946" s="11"/>
      <c r="E946" s="431">
        <f t="shared" si="42"/>
        <v>0</v>
      </c>
      <c r="H946" s="223"/>
      <c r="I946" s="223"/>
      <c r="J946" s="223"/>
      <c r="K946" s="223"/>
      <c r="L946" s="431">
        <f t="shared" si="43"/>
        <v>0</v>
      </c>
      <c r="M946" s="227"/>
      <c r="P946" s="12"/>
      <c r="Q946" s="12"/>
      <c r="R946" s="12"/>
      <c r="S946" s="431">
        <f t="shared" si="44"/>
        <v>0</v>
      </c>
    </row>
    <row r="947" spans="1:19" x14ac:dyDescent="0.25">
      <c r="A947" s="11"/>
      <c r="B947" s="11"/>
      <c r="C947" s="11"/>
      <c r="D947" s="11"/>
      <c r="E947" s="431">
        <f t="shared" si="42"/>
        <v>0</v>
      </c>
      <c r="H947" s="223"/>
      <c r="I947" s="223"/>
      <c r="J947" s="223"/>
      <c r="K947" s="223"/>
      <c r="L947" s="431">
        <f t="shared" si="43"/>
        <v>0</v>
      </c>
      <c r="M947" s="227"/>
      <c r="P947" s="12"/>
      <c r="Q947" s="12"/>
      <c r="R947" s="12"/>
      <c r="S947" s="431">
        <f t="shared" si="44"/>
        <v>0</v>
      </c>
    </row>
    <row r="948" spans="1:19" x14ac:dyDescent="0.25">
      <c r="A948" s="11"/>
      <c r="B948" s="11"/>
      <c r="C948" s="11"/>
      <c r="D948" s="11"/>
      <c r="E948" s="431">
        <f t="shared" si="42"/>
        <v>0</v>
      </c>
      <c r="H948" s="223"/>
      <c r="I948" s="223"/>
      <c r="J948" s="223"/>
      <c r="K948" s="223"/>
      <c r="L948" s="431">
        <f t="shared" si="43"/>
        <v>0</v>
      </c>
      <c r="M948" s="227"/>
      <c r="P948" s="12"/>
      <c r="Q948" s="12"/>
      <c r="R948" s="12"/>
      <c r="S948" s="431">
        <f t="shared" si="44"/>
        <v>0</v>
      </c>
    </row>
    <row r="949" spans="1:19" x14ac:dyDescent="0.25">
      <c r="A949" s="11"/>
      <c r="B949" s="11"/>
      <c r="C949" s="11"/>
      <c r="D949" s="11"/>
      <c r="E949" s="431">
        <f t="shared" si="42"/>
        <v>0</v>
      </c>
      <c r="H949" s="223"/>
      <c r="I949" s="223"/>
      <c r="J949" s="223"/>
      <c r="K949" s="223"/>
      <c r="L949" s="431">
        <f t="shared" si="43"/>
        <v>0</v>
      </c>
      <c r="M949" s="227"/>
      <c r="P949" s="12"/>
      <c r="Q949" s="12"/>
      <c r="R949" s="12"/>
      <c r="S949" s="431">
        <f t="shared" si="44"/>
        <v>0</v>
      </c>
    </row>
    <row r="950" spans="1:19" x14ac:dyDescent="0.25">
      <c r="A950" s="11"/>
      <c r="B950" s="11"/>
      <c r="C950" s="11"/>
      <c r="D950" s="11"/>
      <c r="E950" s="431">
        <f t="shared" si="42"/>
        <v>0</v>
      </c>
      <c r="H950" s="223"/>
      <c r="I950" s="223"/>
      <c r="J950" s="223"/>
      <c r="K950" s="223"/>
      <c r="L950" s="431">
        <f t="shared" si="43"/>
        <v>0</v>
      </c>
      <c r="M950" s="227"/>
      <c r="P950" s="12"/>
      <c r="Q950" s="12"/>
      <c r="R950" s="12"/>
      <c r="S950" s="431">
        <f t="shared" si="44"/>
        <v>0</v>
      </c>
    </row>
    <row r="951" spans="1:19" x14ac:dyDescent="0.25">
      <c r="A951" s="11"/>
      <c r="B951" s="11"/>
      <c r="C951" s="11"/>
      <c r="D951" s="11"/>
      <c r="E951" s="431">
        <f t="shared" si="42"/>
        <v>0</v>
      </c>
      <c r="H951" s="223"/>
      <c r="I951" s="223"/>
      <c r="J951" s="223"/>
      <c r="K951" s="223"/>
      <c r="L951" s="431">
        <f t="shared" si="43"/>
        <v>0</v>
      </c>
      <c r="M951" s="227"/>
      <c r="P951" s="12"/>
      <c r="Q951" s="12"/>
      <c r="R951" s="12"/>
      <c r="S951" s="431">
        <f t="shared" si="44"/>
        <v>0</v>
      </c>
    </row>
    <row r="952" spans="1:19" x14ac:dyDescent="0.25">
      <c r="A952" s="11"/>
      <c r="B952" s="11"/>
      <c r="C952" s="11"/>
      <c r="D952" s="11"/>
      <c r="E952" s="431">
        <f t="shared" si="42"/>
        <v>0</v>
      </c>
      <c r="H952" s="223"/>
      <c r="I952" s="223"/>
      <c r="J952" s="223"/>
      <c r="K952" s="223"/>
      <c r="L952" s="431">
        <f t="shared" si="43"/>
        <v>0</v>
      </c>
      <c r="M952" s="227"/>
      <c r="P952" s="12"/>
      <c r="Q952" s="12"/>
      <c r="R952" s="12"/>
      <c r="S952" s="431">
        <f t="shared" si="44"/>
        <v>0</v>
      </c>
    </row>
    <row r="953" spans="1:19" x14ac:dyDescent="0.25">
      <c r="A953" s="11"/>
      <c r="B953" s="11"/>
      <c r="C953" s="11"/>
      <c r="D953" s="11"/>
      <c r="E953" s="431">
        <f t="shared" si="42"/>
        <v>0</v>
      </c>
      <c r="H953" s="223"/>
      <c r="I953" s="223"/>
      <c r="J953" s="223"/>
      <c r="K953" s="223"/>
      <c r="L953" s="431">
        <f t="shared" si="43"/>
        <v>0</v>
      </c>
      <c r="M953" s="227"/>
      <c r="P953" s="12"/>
      <c r="Q953" s="12"/>
      <c r="R953" s="12"/>
      <c r="S953" s="431">
        <f t="shared" si="44"/>
        <v>0</v>
      </c>
    </row>
    <row r="954" spans="1:19" x14ac:dyDescent="0.25">
      <c r="A954" s="11"/>
      <c r="B954" s="11"/>
      <c r="C954" s="11"/>
      <c r="D954" s="11"/>
      <c r="E954" s="431">
        <f t="shared" si="42"/>
        <v>0</v>
      </c>
      <c r="H954" s="223"/>
      <c r="I954" s="223"/>
      <c r="J954" s="223"/>
      <c r="K954" s="223"/>
      <c r="L954" s="431">
        <f t="shared" si="43"/>
        <v>0</v>
      </c>
      <c r="M954" s="227"/>
      <c r="P954" s="12"/>
      <c r="Q954" s="12"/>
      <c r="R954" s="12"/>
      <c r="S954" s="431">
        <f t="shared" si="44"/>
        <v>0</v>
      </c>
    </row>
    <row r="955" spans="1:19" x14ac:dyDescent="0.25">
      <c r="A955" s="11"/>
      <c r="B955" s="11"/>
      <c r="C955" s="11"/>
      <c r="D955" s="11"/>
      <c r="E955" s="431">
        <f t="shared" si="42"/>
        <v>0</v>
      </c>
      <c r="H955" s="223"/>
      <c r="I955" s="223"/>
      <c r="J955" s="223"/>
      <c r="K955" s="223"/>
      <c r="L955" s="431">
        <f t="shared" si="43"/>
        <v>0</v>
      </c>
      <c r="M955" s="227"/>
      <c r="P955" s="12"/>
      <c r="Q955" s="12"/>
      <c r="R955" s="12"/>
      <c r="S955" s="431">
        <f t="shared" si="44"/>
        <v>0</v>
      </c>
    </row>
    <row r="956" spans="1:19" x14ac:dyDescent="0.25">
      <c r="A956" s="11"/>
      <c r="B956" s="11"/>
      <c r="C956" s="11"/>
      <c r="D956" s="11"/>
      <c r="E956" s="431">
        <f t="shared" si="42"/>
        <v>0</v>
      </c>
      <c r="H956" s="223"/>
      <c r="I956" s="223"/>
      <c r="J956" s="223"/>
      <c r="K956" s="223"/>
      <c r="L956" s="431">
        <f t="shared" si="43"/>
        <v>0</v>
      </c>
      <c r="M956" s="227"/>
      <c r="P956" s="12"/>
      <c r="Q956" s="12"/>
      <c r="R956" s="12"/>
      <c r="S956" s="431">
        <f t="shared" si="44"/>
        <v>0</v>
      </c>
    </row>
    <row r="957" spans="1:19" x14ac:dyDescent="0.25">
      <c r="A957" s="11"/>
      <c r="B957" s="11"/>
      <c r="C957" s="11"/>
      <c r="D957" s="11"/>
      <c r="E957" s="431">
        <f t="shared" si="42"/>
        <v>0</v>
      </c>
      <c r="H957" s="223"/>
      <c r="I957" s="223"/>
      <c r="J957" s="223"/>
      <c r="K957" s="223"/>
      <c r="L957" s="431">
        <f t="shared" si="43"/>
        <v>0</v>
      </c>
      <c r="M957" s="227"/>
      <c r="P957" s="12"/>
      <c r="Q957" s="12"/>
      <c r="R957" s="12"/>
      <c r="S957" s="431">
        <f t="shared" si="44"/>
        <v>0</v>
      </c>
    </row>
    <row r="958" spans="1:19" x14ac:dyDescent="0.25">
      <c r="A958" s="11"/>
      <c r="B958" s="11"/>
      <c r="C958" s="11"/>
      <c r="D958" s="11"/>
      <c r="E958" s="431">
        <f t="shared" si="42"/>
        <v>0</v>
      </c>
      <c r="H958" s="223"/>
      <c r="I958" s="223"/>
      <c r="J958" s="223"/>
      <c r="K958" s="223"/>
      <c r="L958" s="431">
        <f t="shared" si="43"/>
        <v>0</v>
      </c>
      <c r="M958" s="227"/>
      <c r="P958" s="12"/>
      <c r="Q958" s="12"/>
      <c r="R958" s="12"/>
      <c r="S958" s="431">
        <f t="shared" si="44"/>
        <v>0</v>
      </c>
    </row>
    <row r="959" spans="1:19" x14ac:dyDescent="0.25">
      <c r="A959" s="11"/>
      <c r="B959" s="11"/>
      <c r="C959" s="11"/>
      <c r="D959" s="11"/>
      <c r="E959" s="431">
        <f t="shared" si="42"/>
        <v>0</v>
      </c>
      <c r="H959" s="223"/>
      <c r="I959" s="223"/>
      <c r="J959" s="223"/>
      <c r="K959" s="223"/>
      <c r="L959" s="431">
        <f t="shared" si="43"/>
        <v>0</v>
      </c>
      <c r="M959" s="227"/>
      <c r="P959" s="12"/>
      <c r="Q959" s="12"/>
      <c r="R959" s="12"/>
      <c r="S959" s="431">
        <f t="shared" si="44"/>
        <v>0</v>
      </c>
    </row>
    <row r="960" spans="1:19" x14ac:dyDescent="0.25">
      <c r="A960" s="11"/>
      <c r="B960" s="11"/>
      <c r="C960" s="11"/>
      <c r="D960" s="11"/>
      <c r="E960" s="431">
        <f t="shared" si="42"/>
        <v>0</v>
      </c>
      <c r="H960" s="223"/>
      <c r="I960" s="223"/>
      <c r="J960" s="223"/>
      <c r="K960" s="223"/>
      <c r="L960" s="431">
        <f t="shared" si="43"/>
        <v>0</v>
      </c>
      <c r="M960" s="227"/>
      <c r="P960" s="12"/>
      <c r="Q960" s="12"/>
      <c r="R960" s="12"/>
      <c r="S960" s="431">
        <f t="shared" si="44"/>
        <v>0</v>
      </c>
    </row>
    <row r="961" spans="1:19" x14ac:dyDescent="0.25">
      <c r="A961" s="11"/>
      <c r="B961" s="11"/>
      <c r="C961" s="11"/>
      <c r="D961" s="11"/>
      <c r="E961" s="431">
        <f t="shared" si="42"/>
        <v>0</v>
      </c>
      <c r="H961" s="223"/>
      <c r="I961" s="223"/>
      <c r="J961" s="223"/>
      <c r="K961" s="223"/>
      <c r="L961" s="431">
        <f t="shared" si="43"/>
        <v>0</v>
      </c>
      <c r="M961" s="227"/>
      <c r="P961" s="12"/>
      <c r="Q961" s="12"/>
      <c r="R961" s="12"/>
      <c r="S961" s="431">
        <f t="shared" si="44"/>
        <v>0</v>
      </c>
    </row>
    <row r="962" spans="1:19" x14ac:dyDescent="0.25">
      <c r="A962" s="11"/>
      <c r="B962" s="11"/>
      <c r="C962" s="11"/>
      <c r="D962" s="11"/>
      <c r="E962" s="431">
        <f t="shared" si="42"/>
        <v>0</v>
      </c>
      <c r="H962" s="223"/>
      <c r="I962" s="223"/>
      <c r="J962" s="223"/>
      <c r="K962" s="223"/>
      <c r="L962" s="431">
        <f t="shared" si="43"/>
        <v>0</v>
      </c>
      <c r="M962" s="227"/>
      <c r="P962" s="12"/>
      <c r="Q962" s="12"/>
      <c r="R962" s="12"/>
      <c r="S962" s="431">
        <f t="shared" si="44"/>
        <v>0</v>
      </c>
    </row>
    <row r="963" spans="1:19" x14ac:dyDescent="0.25">
      <c r="A963" s="11"/>
      <c r="B963" s="11"/>
      <c r="C963" s="11"/>
      <c r="D963" s="11"/>
      <c r="E963" s="431">
        <f t="shared" si="42"/>
        <v>0</v>
      </c>
      <c r="H963" s="223"/>
      <c r="I963" s="223"/>
      <c r="J963" s="223"/>
      <c r="K963" s="223"/>
      <c r="L963" s="431">
        <f t="shared" si="43"/>
        <v>0</v>
      </c>
      <c r="M963" s="227"/>
      <c r="P963" s="12"/>
      <c r="Q963" s="12"/>
      <c r="R963" s="12"/>
      <c r="S963" s="431">
        <f t="shared" si="44"/>
        <v>0</v>
      </c>
    </row>
    <row r="964" spans="1:19" x14ac:dyDescent="0.25">
      <c r="A964" s="11"/>
      <c r="B964" s="11"/>
      <c r="C964" s="11"/>
      <c r="D964" s="11"/>
      <c r="E964" s="431">
        <f t="shared" ref="E964:E1002" si="45">+D964/100</f>
        <v>0</v>
      </c>
      <c r="H964" s="223"/>
      <c r="I964" s="223"/>
      <c r="J964" s="223"/>
      <c r="K964" s="223"/>
      <c r="L964" s="431">
        <f t="shared" ref="L964:L1022" si="46">+K964/100</f>
        <v>0</v>
      </c>
      <c r="M964" s="227"/>
      <c r="P964" s="12"/>
      <c r="Q964" s="12"/>
      <c r="R964" s="12"/>
      <c r="S964" s="431">
        <f t="shared" ref="S964:S1022" si="47">+R964/100</f>
        <v>0</v>
      </c>
    </row>
    <row r="965" spans="1:19" x14ac:dyDescent="0.25">
      <c r="A965" s="11"/>
      <c r="B965" s="11"/>
      <c r="C965" s="11"/>
      <c r="D965" s="11"/>
      <c r="E965" s="431">
        <f t="shared" si="45"/>
        <v>0</v>
      </c>
      <c r="H965" s="223"/>
      <c r="I965" s="223"/>
      <c r="J965" s="223"/>
      <c r="K965" s="223"/>
      <c r="L965" s="431">
        <f t="shared" si="46"/>
        <v>0</v>
      </c>
      <c r="M965" s="227"/>
      <c r="P965" s="12"/>
      <c r="Q965" s="12"/>
      <c r="R965" s="12"/>
      <c r="S965" s="431">
        <f t="shared" si="47"/>
        <v>0</v>
      </c>
    </row>
    <row r="966" spans="1:19" x14ac:dyDescent="0.25">
      <c r="A966" s="11"/>
      <c r="B966" s="11"/>
      <c r="C966" s="11"/>
      <c r="D966" s="11"/>
      <c r="E966" s="431">
        <f t="shared" si="45"/>
        <v>0</v>
      </c>
      <c r="H966" s="223"/>
      <c r="I966" s="223"/>
      <c r="J966" s="223"/>
      <c r="K966" s="223"/>
      <c r="L966" s="431">
        <f t="shared" si="46"/>
        <v>0</v>
      </c>
      <c r="M966" s="227"/>
      <c r="P966" s="12"/>
      <c r="Q966" s="12"/>
      <c r="R966" s="12"/>
      <c r="S966" s="431">
        <f t="shared" si="47"/>
        <v>0</v>
      </c>
    </row>
    <row r="967" spans="1:19" x14ac:dyDescent="0.25">
      <c r="A967" s="11"/>
      <c r="B967" s="11"/>
      <c r="C967" s="11"/>
      <c r="D967" s="11"/>
      <c r="E967" s="431">
        <f t="shared" si="45"/>
        <v>0</v>
      </c>
      <c r="H967" s="223"/>
      <c r="I967" s="223"/>
      <c r="J967" s="223"/>
      <c r="K967" s="223"/>
      <c r="L967" s="431">
        <f t="shared" si="46"/>
        <v>0</v>
      </c>
      <c r="M967" s="227"/>
      <c r="P967" s="12"/>
      <c r="Q967" s="12"/>
      <c r="R967" s="12"/>
      <c r="S967" s="431">
        <f t="shared" si="47"/>
        <v>0</v>
      </c>
    </row>
    <row r="968" spans="1:19" x14ac:dyDescent="0.25">
      <c r="A968" s="11"/>
      <c r="B968" s="11"/>
      <c r="C968" s="11"/>
      <c r="D968" s="11"/>
      <c r="E968" s="431">
        <f t="shared" si="45"/>
        <v>0</v>
      </c>
      <c r="H968" s="223"/>
      <c r="I968" s="223"/>
      <c r="J968" s="223"/>
      <c r="K968" s="223"/>
      <c r="L968" s="431">
        <f t="shared" si="46"/>
        <v>0</v>
      </c>
      <c r="M968" s="227"/>
      <c r="P968" s="12"/>
      <c r="Q968" s="12"/>
      <c r="R968" s="12"/>
      <c r="S968" s="431">
        <f t="shared" si="47"/>
        <v>0</v>
      </c>
    </row>
    <row r="969" spans="1:19" x14ac:dyDescent="0.25">
      <c r="A969" s="11"/>
      <c r="B969" s="11"/>
      <c r="C969" s="11"/>
      <c r="D969" s="11"/>
      <c r="E969" s="431">
        <f t="shared" si="45"/>
        <v>0</v>
      </c>
      <c r="H969" s="223"/>
      <c r="I969" s="223"/>
      <c r="J969" s="223"/>
      <c r="K969" s="223"/>
      <c r="L969" s="431">
        <f t="shared" si="46"/>
        <v>0</v>
      </c>
      <c r="M969" s="227"/>
      <c r="P969" s="12"/>
      <c r="Q969" s="12"/>
      <c r="R969" s="12"/>
      <c r="S969" s="431">
        <f t="shared" si="47"/>
        <v>0</v>
      </c>
    </row>
    <row r="970" spans="1:19" x14ac:dyDescent="0.25">
      <c r="A970" s="11"/>
      <c r="B970" s="11"/>
      <c r="C970" s="11"/>
      <c r="D970" s="11"/>
      <c r="E970" s="431">
        <f t="shared" si="45"/>
        <v>0</v>
      </c>
      <c r="H970" s="223"/>
      <c r="I970" s="223"/>
      <c r="J970" s="223"/>
      <c r="K970" s="223"/>
      <c r="L970" s="431">
        <f t="shared" si="46"/>
        <v>0</v>
      </c>
      <c r="M970" s="227"/>
      <c r="P970" s="12"/>
      <c r="Q970" s="12"/>
      <c r="R970" s="12"/>
      <c r="S970" s="431">
        <f t="shared" si="47"/>
        <v>0</v>
      </c>
    </row>
    <row r="971" spans="1:19" x14ac:dyDescent="0.25">
      <c r="A971" s="11"/>
      <c r="B971" s="11"/>
      <c r="C971" s="11"/>
      <c r="D971" s="11"/>
      <c r="E971" s="431">
        <f t="shared" si="45"/>
        <v>0</v>
      </c>
      <c r="H971" s="223"/>
      <c r="I971" s="223"/>
      <c r="J971" s="223"/>
      <c r="K971" s="223"/>
      <c r="L971" s="431">
        <f t="shared" si="46"/>
        <v>0</v>
      </c>
      <c r="M971" s="227"/>
      <c r="P971" s="12"/>
      <c r="Q971" s="12"/>
      <c r="R971" s="12"/>
      <c r="S971" s="431">
        <f t="shared" si="47"/>
        <v>0</v>
      </c>
    </row>
    <row r="972" spans="1:19" x14ac:dyDescent="0.25">
      <c r="A972" s="11"/>
      <c r="B972" s="11"/>
      <c r="C972" s="11"/>
      <c r="D972" s="11"/>
      <c r="E972" s="431">
        <f t="shared" si="45"/>
        <v>0</v>
      </c>
      <c r="H972" s="223"/>
      <c r="I972" s="223"/>
      <c r="J972" s="223"/>
      <c r="K972" s="223"/>
      <c r="L972" s="431">
        <f t="shared" si="46"/>
        <v>0</v>
      </c>
      <c r="M972" s="227"/>
      <c r="P972" s="12"/>
      <c r="Q972" s="12"/>
      <c r="R972" s="12"/>
      <c r="S972" s="431">
        <f t="shared" si="47"/>
        <v>0</v>
      </c>
    </row>
    <row r="973" spans="1:19" x14ac:dyDescent="0.25">
      <c r="A973" s="11"/>
      <c r="B973" s="11"/>
      <c r="C973" s="11"/>
      <c r="D973" s="11"/>
      <c r="E973" s="431">
        <f t="shared" si="45"/>
        <v>0</v>
      </c>
      <c r="H973" s="223"/>
      <c r="I973" s="223"/>
      <c r="J973" s="223"/>
      <c r="K973" s="223"/>
      <c r="L973" s="431">
        <f t="shared" si="46"/>
        <v>0</v>
      </c>
      <c r="M973" s="227"/>
      <c r="P973" s="12"/>
      <c r="Q973" s="12"/>
      <c r="R973" s="12"/>
      <c r="S973" s="431">
        <f t="shared" si="47"/>
        <v>0</v>
      </c>
    </row>
    <row r="974" spans="1:19" x14ac:dyDescent="0.25">
      <c r="A974" s="11"/>
      <c r="B974" s="11"/>
      <c r="C974" s="11"/>
      <c r="D974" s="11"/>
      <c r="E974" s="431">
        <f t="shared" si="45"/>
        <v>0</v>
      </c>
      <c r="H974" s="223"/>
      <c r="I974" s="223"/>
      <c r="J974" s="223"/>
      <c r="K974" s="223"/>
      <c r="L974" s="431">
        <f t="shared" si="46"/>
        <v>0</v>
      </c>
      <c r="M974" s="227"/>
      <c r="P974" s="12"/>
      <c r="Q974" s="12"/>
      <c r="R974" s="12"/>
      <c r="S974" s="431">
        <f t="shared" si="47"/>
        <v>0</v>
      </c>
    </row>
    <row r="975" spans="1:19" x14ac:dyDescent="0.25">
      <c r="A975" s="11"/>
      <c r="B975" s="11"/>
      <c r="C975" s="11"/>
      <c r="D975" s="11"/>
      <c r="E975" s="431">
        <f t="shared" si="45"/>
        <v>0</v>
      </c>
      <c r="H975" s="223"/>
      <c r="I975" s="223"/>
      <c r="J975" s="223"/>
      <c r="K975" s="223"/>
      <c r="L975" s="431">
        <f t="shared" si="46"/>
        <v>0</v>
      </c>
      <c r="M975" s="227"/>
      <c r="P975" s="12"/>
      <c r="Q975" s="12"/>
      <c r="R975" s="12"/>
      <c r="S975" s="431">
        <f t="shared" si="47"/>
        <v>0</v>
      </c>
    </row>
    <row r="976" spans="1:19" x14ac:dyDescent="0.25">
      <c r="A976" s="11"/>
      <c r="B976" s="11"/>
      <c r="C976" s="11"/>
      <c r="D976" s="11"/>
      <c r="E976" s="431">
        <f t="shared" si="45"/>
        <v>0</v>
      </c>
      <c r="H976" s="223"/>
      <c r="I976" s="223"/>
      <c r="J976" s="223"/>
      <c r="K976" s="223"/>
      <c r="L976" s="431">
        <f t="shared" si="46"/>
        <v>0</v>
      </c>
      <c r="M976" s="227"/>
      <c r="P976" s="12"/>
      <c r="Q976" s="12"/>
      <c r="R976" s="12"/>
      <c r="S976" s="431">
        <f t="shared" si="47"/>
        <v>0</v>
      </c>
    </row>
    <row r="977" spans="1:19" x14ac:dyDescent="0.25">
      <c r="A977" s="11"/>
      <c r="B977" s="11"/>
      <c r="C977" s="11"/>
      <c r="D977" s="11"/>
      <c r="E977" s="431">
        <f t="shared" si="45"/>
        <v>0</v>
      </c>
      <c r="H977" s="223"/>
      <c r="I977" s="223"/>
      <c r="J977" s="223"/>
      <c r="K977" s="223"/>
      <c r="L977" s="431">
        <f t="shared" si="46"/>
        <v>0</v>
      </c>
      <c r="M977" s="227"/>
      <c r="P977" s="12"/>
      <c r="Q977" s="12"/>
      <c r="R977" s="12"/>
      <c r="S977" s="431">
        <f t="shared" si="47"/>
        <v>0</v>
      </c>
    </row>
    <row r="978" spans="1:19" x14ac:dyDescent="0.25">
      <c r="A978" s="11"/>
      <c r="B978" s="11"/>
      <c r="C978" s="11"/>
      <c r="D978" s="11"/>
      <c r="E978" s="431">
        <f t="shared" si="45"/>
        <v>0</v>
      </c>
      <c r="H978" s="223"/>
      <c r="I978" s="223"/>
      <c r="J978" s="223"/>
      <c r="K978" s="223"/>
      <c r="L978" s="431">
        <f t="shared" si="46"/>
        <v>0</v>
      </c>
      <c r="M978" s="227"/>
      <c r="P978" s="12"/>
      <c r="Q978" s="12"/>
      <c r="R978" s="12"/>
      <c r="S978" s="431">
        <f t="shared" si="47"/>
        <v>0</v>
      </c>
    </row>
    <row r="979" spans="1:19" x14ac:dyDescent="0.25">
      <c r="A979" s="11"/>
      <c r="B979" s="11"/>
      <c r="C979" s="11"/>
      <c r="D979" s="11"/>
      <c r="E979" s="431">
        <f t="shared" si="45"/>
        <v>0</v>
      </c>
      <c r="H979" s="223"/>
      <c r="I979" s="223"/>
      <c r="J979" s="223"/>
      <c r="K979" s="223"/>
      <c r="L979" s="431">
        <f t="shared" si="46"/>
        <v>0</v>
      </c>
      <c r="M979" s="227"/>
      <c r="P979" s="12"/>
      <c r="Q979" s="12"/>
      <c r="R979" s="12"/>
      <c r="S979" s="431">
        <f t="shared" si="47"/>
        <v>0</v>
      </c>
    </row>
    <row r="980" spans="1:19" x14ac:dyDescent="0.25">
      <c r="A980" s="11"/>
      <c r="B980" s="11"/>
      <c r="C980" s="11"/>
      <c r="D980" s="11"/>
      <c r="E980" s="431">
        <f t="shared" si="45"/>
        <v>0</v>
      </c>
      <c r="H980" s="223"/>
      <c r="I980" s="223"/>
      <c r="J980" s="223"/>
      <c r="K980" s="223"/>
      <c r="L980" s="431">
        <f t="shared" si="46"/>
        <v>0</v>
      </c>
      <c r="M980" s="227"/>
      <c r="P980" s="12"/>
      <c r="Q980" s="12"/>
      <c r="R980" s="12"/>
      <c r="S980" s="431">
        <f t="shared" si="47"/>
        <v>0</v>
      </c>
    </row>
    <row r="981" spans="1:19" x14ac:dyDescent="0.25">
      <c r="A981" s="11"/>
      <c r="B981" s="11"/>
      <c r="C981" s="11"/>
      <c r="D981" s="11"/>
      <c r="E981" s="431">
        <f t="shared" si="45"/>
        <v>0</v>
      </c>
      <c r="H981" s="223"/>
      <c r="I981" s="223"/>
      <c r="J981" s="223"/>
      <c r="K981" s="223"/>
      <c r="L981" s="431">
        <f t="shared" si="46"/>
        <v>0</v>
      </c>
      <c r="M981" s="227"/>
      <c r="P981" s="12"/>
      <c r="Q981" s="12"/>
      <c r="R981" s="12"/>
      <c r="S981" s="431">
        <f t="shared" si="47"/>
        <v>0</v>
      </c>
    </row>
    <row r="982" spans="1:19" x14ac:dyDescent="0.25">
      <c r="A982" s="11"/>
      <c r="B982" s="11"/>
      <c r="C982" s="11"/>
      <c r="D982" s="11"/>
      <c r="E982" s="431">
        <f t="shared" si="45"/>
        <v>0</v>
      </c>
      <c r="H982" s="223"/>
      <c r="I982" s="223"/>
      <c r="J982" s="223"/>
      <c r="K982" s="223"/>
      <c r="L982" s="431">
        <f t="shared" si="46"/>
        <v>0</v>
      </c>
      <c r="M982" s="227"/>
      <c r="P982" s="12"/>
      <c r="Q982" s="12"/>
      <c r="R982" s="12"/>
      <c r="S982" s="431">
        <f t="shared" si="47"/>
        <v>0</v>
      </c>
    </row>
    <row r="983" spans="1:19" x14ac:dyDescent="0.25">
      <c r="A983" s="11"/>
      <c r="B983" s="11"/>
      <c r="C983" s="11"/>
      <c r="D983" s="11"/>
      <c r="E983" s="431">
        <f t="shared" si="45"/>
        <v>0</v>
      </c>
      <c r="H983" s="223"/>
      <c r="I983" s="223"/>
      <c r="J983" s="223"/>
      <c r="K983" s="223"/>
      <c r="L983" s="431">
        <f t="shared" si="46"/>
        <v>0</v>
      </c>
      <c r="M983" s="227"/>
      <c r="P983" s="12"/>
      <c r="Q983" s="12"/>
      <c r="R983" s="12"/>
      <c r="S983" s="431">
        <f t="shared" si="47"/>
        <v>0</v>
      </c>
    </row>
    <row r="984" spans="1:19" x14ac:dyDescent="0.25">
      <c r="A984" s="11"/>
      <c r="B984" s="11"/>
      <c r="C984" s="11"/>
      <c r="D984" s="11"/>
      <c r="E984" s="431">
        <f t="shared" si="45"/>
        <v>0</v>
      </c>
      <c r="H984" s="223"/>
      <c r="I984" s="223"/>
      <c r="J984" s="223"/>
      <c r="K984" s="223"/>
      <c r="L984" s="431">
        <f t="shared" si="46"/>
        <v>0</v>
      </c>
      <c r="M984" s="227"/>
      <c r="P984" s="12"/>
      <c r="Q984" s="12"/>
      <c r="R984" s="12"/>
      <c r="S984" s="431">
        <f t="shared" si="47"/>
        <v>0</v>
      </c>
    </row>
    <row r="985" spans="1:19" x14ac:dyDescent="0.25">
      <c r="A985" s="11"/>
      <c r="B985" s="11"/>
      <c r="C985" s="11"/>
      <c r="D985" s="11"/>
      <c r="E985" s="431">
        <f t="shared" si="45"/>
        <v>0</v>
      </c>
      <c r="H985" s="223"/>
      <c r="I985" s="223"/>
      <c r="J985" s="223"/>
      <c r="K985" s="223"/>
      <c r="L985" s="431">
        <f t="shared" si="46"/>
        <v>0</v>
      </c>
      <c r="M985" s="227"/>
      <c r="P985" s="12"/>
      <c r="Q985" s="12"/>
      <c r="R985" s="12"/>
      <c r="S985" s="431">
        <f t="shared" si="47"/>
        <v>0</v>
      </c>
    </row>
    <row r="986" spans="1:19" x14ac:dyDescent="0.25">
      <c r="A986" s="11"/>
      <c r="B986" s="11"/>
      <c r="C986" s="11"/>
      <c r="D986" s="11"/>
      <c r="E986" s="431">
        <f t="shared" si="45"/>
        <v>0</v>
      </c>
      <c r="H986" s="223"/>
      <c r="I986" s="223"/>
      <c r="J986" s="223"/>
      <c r="K986" s="223"/>
      <c r="L986" s="431">
        <f t="shared" si="46"/>
        <v>0</v>
      </c>
      <c r="M986" s="227"/>
      <c r="P986" s="12"/>
      <c r="Q986" s="12"/>
      <c r="R986" s="12"/>
      <c r="S986" s="431">
        <f t="shared" si="47"/>
        <v>0</v>
      </c>
    </row>
    <row r="987" spans="1:19" x14ac:dyDescent="0.25">
      <c r="A987" s="11"/>
      <c r="B987" s="11"/>
      <c r="C987" s="11"/>
      <c r="D987" s="11"/>
      <c r="E987" s="431">
        <f t="shared" si="45"/>
        <v>0</v>
      </c>
      <c r="H987" s="223"/>
      <c r="I987" s="223"/>
      <c r="J987" s="223"/>
      <c r="K987" s="223"/>
      <c r="L987" s="431">
        <f t="shared" si="46"/>
        <v>0</v>
      </c>
      <c r="M987" s="227"/>
      <c r="P987" s="12"/>
      <c r="Q987" s="12"/>
      <c r="R987" s="12"/>
      <c r="S987" s="431">
        <f t="shared" si="47"/>
        <v>0</v>
      </c>
    </row>
    <row r="988" spans="1:19" x14ac:dyDescent="0.25">
      <c r="A988" s="11"/>
      <c r="B988" s="11"/>
      <c r="C988" s="11"/>
      <c r="D988" s="11"/>
      <c r="E988" s="431">
        <f t="shared" si="45"/>
        <v>0</v>
      </c>
      <c r="H988" s="223"/>
      <c r="I988" s="223"/>
      <c r="J988" s="223"/>
      <c r="K988" s="223"/>
      <c r="L988" s="431">
        <f t="shared" si="46"/>
        <v>0</v>
      </c>
      <c r="M988" s="227"/>
      <c r="P988" s="12"/>
      <c r="Q988" s="12"/>
      <c r="R988" s="12"/>
      <c r="S988" s="431">
        <f t="shared" si="47"/>
        <v>0</v>
      </c>
    </row>
    <row r="989" spans="1:19" x14ac:dyDescent="0.25">
      <c r="A989" s="11"/>
      <c r="B989" s="11"/>
      <c r="C989" s="11"/>
      <c r="D989" s="11"/>
      <c r="E989" s="431">
        <f t="shared" si="45"/>
        <v>0</v>
      </c>
      <c r="H989" s="223"/>
      <c r="I989" s="223"/>
      <c r="J989" s="223"/>
      <c r="K989" s="223"/>
      <c r="L989" s="431">
        <f t="shared" si="46"/>
        <v>0</v>
      </c>
      <c r="M989" s="227"/>
      <c r="P989" s="12"/>
      <c r="Q989" s="12"/>
      <c r="R989" s="12"/>
      <c r="S989" s="431">
        <f t="shared" si="47"/>
        <v>0</v>
      </c>
    </row>
    <row r="990" spans="1:19" x14ac:dyDescent="0.25">
      <c r="A990" s="11"/>
      <c r="B990" s="11"/>
      <c r="C990" s="11"/>
      <c r="D990" s="11"/>
      <c r="E990" s="431">
        <f t="shared" si="45"/>
        <v>0</v>
      </c>
      <c r="H990" s="223"/>
      <c r="I990" s="223"/>
      <c r="J990" s="223"/>
      <c r="K990" s="223"/>
      <c r="L990" s="431">
        <f t="shared" si="46"/>
        <v>0</v>
      </c>
      <c r="M990" s="227"/>
      <c r="P990" s="12"/>
      <c r="Q990" s="12"/>
      <c r="R990" s="12"/>
      <c r="S990" s="431">
        <f t="shared" si="47"/>
        <v>0</v>
      </c>
    </row>
    <row r="991" spans="1:19" x14ac:dyDescent="0.25">
      <c r="A991" s="11"/>
      <c r="B991" s="11"/>
      <c r="C991" s="11"/>
      <c r="D991" s="11"/>
      <c r="E991" s="431">
        <f t="shared" si="45"/>
        <v>0</v>
      </c>
      <c r="H991" s="223"/>
      <c r="I991" s="223"/>
      <c r="J991" s="223"/>
      <c r="K991" s="223"/>
      <c r="L991" s="431">
        <f t="shared" si="46"/>
        <v>0</v>
      </c>
      <c r="M991" s="227"/>
      <c r="P991" s="12"/>
      <c r="Q991" s="12"/>
      <c r="R991" s="12"/>
      <c r="S991" s="431">
        <f t="shared" si="47"/>
        <v>0</v>
      </c>
    </row>
    <row r="992" spans="1:19" x14ac:dyDescent="0.25">
      <c r="A992" s="11"/>
      <c r="B992" s="11"/>
      <c r="C992" s="11"/>
      <c r="D992" s="11"/>
      <c r="E992" s="431">
        <f t="shared" si="45"/>
        <v>0</v>
      </c>
      <c r="H992" s="223"/>
      <c r="I992" s="223"/>
      <c r="J992" s="223"/>
      <c r="K992" s="223"/>
      <c r="L992" s="431">
        <f t="shared" si="46"/>
        <v>0</v>
      </c>
      <c r="M992" s="227"/>
      <c r="P992" s="12"/>
      <c r="Q992" s="12"/>
      <c r="R992" s="12"/>
      <c r="S992" s="431">
        <f t="shared" si="47"/>
        <v>0</v>
      </c>
    </row>
    <row r="993" spans="1:19" x14ac:dyDescent="0.25">
      <c r="A993" s="11"/>
      <c r="B993" s="11"/>
      <c r="C993" s="11"/>
      <c r="D993" s="11"/>
      <c r="E993" s="431">
        <f t="shared" si="45"/>
        <v>0</v>
      </c>
      <c r="H993" s="223"/>
      <c r="I993" s="223"/>
      <c r="J993" s="223"/>
      <c r="K993" s="223"/>
      <c r="L993" s="431">
        <f t="shared" si="46"/>
        <v>0</v>
      </c>
      <c r="M993" s="227"/>
      <c r="P993" s="12"/>
      <c r="Q993" s="12"/>
      <c r="R993" s="12"/>
      <c r="S993" s="431">
        <f t="shared" si="47"/>
        <v>0</v>
      </c>
    </row>
    <row r="994" spans="1:19" x14ac:dyDescent="0.25">
      <c r="A994" s="11"/>
      <c r="B994" s="11"/>
      <c r="C994" s="11"/>
      <c r="D994" s="11"/>
      <c r="E994" s="431">
        <f t="shared" si="45"/>
        <v>0</v>
      </c>
      <c r="H994" s="223"/>
      <c r="I994" s="223"/>
      <c r="J994" s="223"/>
      <c r="K994" s="223"/>
      <c r="L994" s="431">
        <f t="shared" si="46"/>
        <v>0</v>
      </c>
      <c r="M994" s="227"/>
      <c r="P994" s="12"/>
      <c r="Q994" s="12"/>
      <c r="R994" s="12"/>
      <c r="S994" s="431">
        <f t="shared" si="47"/>
        <v>0</v>
      </c>
    </row>
    <row r="995" spans="1:19" x14ac:dyDescent="0.25">
      <c r="A995" s="11"/>
      <c r="B995" s="11"/>
      <c r="C995" s="11"/>
      <c r="D995" s="11"/>
      <c r="E995" s="431">
        <f t="shared" si="45"/>
        <v>0</v>
      </c>
      <c r="H995" s="223"/>
      <c r="I995" s="223"/>
      <c r="J995" s="223"/>
      <c r="K995" s="223"/>
      <c r="L995" s="431">
        <f t="shared" si="46"/>
        <v>0</v>
      </c>
      <c r="M995" s="227"/>
      <c r="P995" s="12"/>
      <c r="Q995" s="12"/>
      <c r="R995" s="12"/>
      <c r="S995" s="431">
        <f t="shared" si="47"/>
        <v>0</v>
      </c>
    </row>
    <row r="996" spans="1:19" x14ac:dyDescent="0.25">
      <c r="A996" s="11"/>
      <c r="B996" s="11"/>
      <c r="C996" s="11"/>
      <c r="D996" s="11"/>
      <c r="E996" s="431">
        <f t="shared" si="45"/>
        <v>0</v>
      </c>
      <c r="H996" s="223"/>
      <c r="I996" s="223"/>
      <c r="J996" s="223"/>
      <c r="K996" s="223"/>
      <c r="L996" s="431">
        <f t="shared" si="46"/>
        <v>0</v>
      </c>
      <c r="M996" s="227"/>
      <c r="P996" s="12"/>
      <c r="Q996" s="12"/>
      <c r="R996" s="12"/>
      <c r="S996" s="431">
        <f t="shared" si="47"/>
        <v>0</v>
      </c>
    </row>
    <row r="997" spans="1:19" x14ac:dyDescent="0.25">
      <c r="A997" s="11"/>
      <c r="B997" s="11"/>
      <c r="C997" s="11"/>
      <c r="D997" s="11"/>
      <c r="E997" s="431">
        <f t="shared" si="45"/>
        <v>0</v>
      </c>
      <c r="H997" s="223"/>
      <c r="I997" s="223"/>
      <c r="J997" s="223"/>
      <c r="K997" s="223"/>
      <c r="L997" s="431">
        <f t="shared" si="46"/>
        <v>0</v>
      </c>
      <c r="M997" s="227"/>
      <c r="P997" s="12"/>
      <c r="Q997" s="12"/>
      <c r="R997" s="12"/>
      <c r="S997" s="431">
        <f t="shared" si="47"/>
        <v>0</v>
      </c>
    </row>
    <row r="998" spans="1:19" x14ac:dyDescent="0.25">
      <c r="A998" s="11"/>
      <c r="B998" s="11"/>
      <c r="C998" s="11"/>
      <c r="D998" s="11"/>
      <c r="E998" s="431">
        <f t="shared" si="45"/>
        <v>0</v>
      </c>
      <c r="H998" s="223"/>
      <c r="I998" s="223"/>
      <c r="J998" s="223"/>
      <c r="K998" s="223"/>
      <c r="L998" s="431">
        <f t="shared" si="46"/>
        <v>0</v>
      </c>
      <c r="M998" s="227"/>
      <c r="P998" s="12"/>
      <c r="Q998" s="12"/>
      <c r="R998" s="12"/>
      <c r="S998" s="431">
        <f t="shared" si="47"/>
        <v>0</v>
      </c>
    </row>
    <row r="999" spans="1:19" x14ac:dyDescent="0.25">
      <c r="A999" s="11"/>
      <c r="B999" s="11"/>
      <c r="C999" s="11"/>
      <c r="D999" s="11"/>
      <c r="E999" s="431">
        <f t="shared" si="45"/>
        <v>0</v>
      </c>
      <c r="H999" s="223"/>
      <c r="I999" s="223"/>
      <c r="J999" s="223"/>
      <c r="K999" s="223"/>
      <c r="L999" s="431">
        <f t="shared" si="46"/>
        <v>0</v>
      </c>
      <c r="M999" s="227"/>
      <c r="P999" s="12"/>
      <c r="Q999" s="12"/>
      <c r="R999" s="12"/>
      <c r="S999" s="431">
        <f t="shared" si="47"/>
        <v>0</v>
      </c>
    </row>
    <row r="1000" spans="1:19" x14ac:dyDescent="0.25">
      <c r="A1000" s="11"/>
      <c r="B1000" s="11"/>
      <c r="C1000" s="11"/>
      <c r="D1000" s="11"/>
      <c r="E1000" s="431">
        <f t="shared" si="45"/>
        <v>0</v>
      </c>
      <c r="H1000" s="223"/>
      <c r="I1000" s="223"/>
      <c r="J1000" s="223"/>
      <c r="K1000" s="223"/>
      <c r="L1000" s="431">
        <f t="shared" si="46"/>
        <v>0</v>
      </c>
      <c r="M1000" s="227"/>
      <c r="P1000" s="12"/>
      <c r="Q1000" s="12"/>
      <c r="R1000" s="12"/>
      <c r="S1000" s="431">
        <f t="shared" si="47"/>
        <v>0</v>
      </c>
    </row>
    <row r="1001" spans="1:19" x14ac:dyDescent="0.25">
      <c r="A1001" s="11"/>
      <c r="B1001" s="11"/>
      <c r="C1001" s="11"/>
      <c r="D1001" s="11"/>
      <c r="E1001" s="431">
        <f t="shared" si="45"/>
        <v>0</v>
      </c>
      <c r="H1001" s="223"/>
      <c r="I1001" s="223"/>
      <c r="J1001" s="223"/>
      <c r="K1001" s="223"/>
      <c r="L1001" s="431">
        <f t="shared" si="46"/>
        <v>0</v>
      </c>
      <c r="M1001" s="227"/>
      <c r="P1001" s="12"/>
      <c r="Q1001" s="12"/>
      <c r="R1001" s="12"/>
      <c r="S1001" s="431">
        <f t="shared" si="47"/>
        <v>0</v>
      </c>
    </row>
    <row r="1002" spans="1:19" x14ac:dyDescent="0.25">
      <c r="A1002" s="11"/>
      <c r="B1002" s="11"/>
      <c r="C1002" s="11"/>
      <c r="D1002" s="11"/>
      <c r="E1002" s="431">
        <f t="shared" si="45"/>
        <v>0</v>
      </c>
      <c r="H1002" s="223"/>
      <c r="I1002" s="223"/>
      <c r="J1002" s="223"/>
      <c r="K1002" s="223"/>
      <c r="L1002" s="431">
        <f t="shared" si="46"/>
        <v>0</v>
      </c>
      <c r="M1002" s="227"/>
      <c r="P1002" s="12"/>
      <c r="Q1002" s="12"/>
      <c r="R1002" s="12"/>
      <c r="S1002" s="431">
        <f t="shared" si="47"/>
        <v>0</v>
      </c>
    </row>
    <row r="1003" spans="1:19" x14ac:dyDescent="0.25">
      <c r="A1003" s="11"/>
      <c r="B1003" s="11"/>
      <c r="C1003" s="11"/>
      <c r="D1003" s="11"/>
      <c r="E1003" s="431">
        <f t="shared" ref="E1003:E1021" si="48">+D1003/100</f>
        <v>0</v>
      </c>
      <c r="H1003" s="223"/>
      <c r="I1003" s="223"/>
      <c r="J1003" s="223"/>
      <c r="K1003" s="223"/>
      <c r="L1003" s="431">
        <f t="shared" si="46"/>
        <v>0</v>
      </c>
      <c r="M1003" s="227"/>
      <c r="P1003" s="12"/>
      <c r="Q1003" s="12"/>
      <c r="R1003" s="12"/>
      <c r="S1003" s="431">
        <f t="shared" si="47"/>
        <v>0</v>
      </c>
    </row>
    <row r="1004" spans="1:19" x14ac:dyDescent="0.25">
      <c r="A1004" s="11"/>
      <c r="B1004" s="11"/>
      <c r="C1004" s="11"/>
      <c r="D1004" s="11"/>
      <c r="E1004" s="431">
        <f t="shared" si="48"/>
        <v>0</v>
      </c>
      <c r="H1004" s="223"/>
      <c r="I1004" s="223"/>
      <c r="J1004" s="223"/>
      <c r="K1004" s="223"/>
      <c r="L1004" s="431">
        <f t="shared" si="46"/>
        <v>0</v>
      </c>
      <c r="M1004" s="227"/>
      <c r="P1004" s="12"/>
      <c r="Q1004" s="12"/>
      <c r="R1004" s="12"/>
      <c r="S1004" s="431">
        <f t="shared" si="47"/>
        <v>0</v>
      </c>
    </row>
    <row r="1005" spans="1:19" x14ac:dyDescent="0.25">
      <c r="A1005" s="11"/>
      <c r="B1005" s="12"/>
      <c r="C1005" s="12"/>
      <c r="D1005" s="12"/>
      <c r="E1005" s="431">
        <f t="shared" si="48"/>
        <v>0</v>
      </c>
      <c r="H1005" s="223"/>
      <c r="I1005" s="223"/>
      <c r="J1005" s="223"/>
      <c r="K1005" s="223"/>
      <c r="L1005" s="431">
        <f t="shared" si="46"/>
        <v>0</v>
      </c>
      <c r="M1005" s="227"/>
      <c r="P1005" s="12"/>
      <c r="Q1005" s="12"/>
      <c r="R1005" s="12"/>
      <c r="S1005" s="431">
        <f t="shared" si="47"/>
        <v>0</v>
      </c>
    </row>
    <row r="1006" spans="1:19" x14ac:dyDescent="0.25">
      <c r="B1006" s="12"/>
      <c r="C1006" s="12"/>
      <c r="D1006" s="12"/>
      <c r="E1006" s="431">
        <f t="shared" si="48"/>
        <v>0</v>
      </c>
      <c r="H1006" s="223"/>
      <c r="I1006" s="223"/>
      <c r="J1006" s="223"/>
      <c r="K1006" s="223"/>
      <c r="L1006" s="431">
        <f t="shared" si="46"/>
        <v>0</v>
      </c>
      <c r="M1006" s="227"/>
      <c r="P1006" s="12"/>
      <c r="Q1006" s="12"/>
      <c r="R1006" s="12"/>
      <c r="S1006" s="431">
        <f t="shared" si="47"/>
        <v>0</v>
      </c>
    </row>
    <row r="1007" spans="1:19" x14ac:dyDescent="0.25">
      <c r="B1007" s="12"/>
      <c r="C1007" s="12"/>
      <c r="D1007" s="12"/>
      <c r="E1007" s="431">
        <f t="shared" si="48"/>
        <v>0</v>
      </c>
      <c r="H1007" s="223"/>
      <c r="I1007" s="223"/>
      <c r="J1007" s="223"/>
      <c r="K1007" s="223"/>
      <c r="L1007" s="431">
        <f t="shared" si="46"/>
        <v>0</v>
      </c>
      <c r="M1007" s="227"/>
      <c r="P1007" s="12"/>
      <c r="Q1007" s="12"/>
      <c r="R1007" s="12"/>
      <c r="S1007" s="431">
        <f t="shared" si="47"/>
        <v>0</v>
      </c>
    </row>
    <row r="1008" spans="1:19" x14ac:dyDescent="0.25">
      <c r="B1008" s="12"/>
      <c r="C1008" s="12"/>
      <c r="D1008" s="12"/>
      <c r="E1008" s="431">
        <f t="shared" si="48"/>
        <v>0</v>
      </c>
      <c r="H1008" s="223"/>
      <c r="I1008" s="223"/>
      <c r="J1008" s="223"/>
      <c r="K1008" s="223"/>
      <c r="L1008" s="431">
        <f t="shared" si="46"/>
        <v>0</v>
      </c>
      <c r="M1008" s="227"/>
      <c r="P1008" s="12"/>
      <c r="Q1008" s="12"/>
      <c r="R1008" s="12"/>
      <c r="S1008" s="431">
        <f t="shared" si="47"/>
        <v>0</v>
      </c>
    </row>
    <row r="1009" spans="3:19" x14ac:dyDescent="0.25">
      <c r="C1009" s="12"/>
      <c r="D1009" s="12"/>
      <c r="E1009" s="431">
        <f t="shared" si="48"/>
        <v>0</v>
      </c>
      <c r="H1009" s="223"/>
      <c r="I1009" s="223"/>
      <c r="J1009" s="223"/>
      <c r="K1009" s="223"/>
      <c r="L1009" s="431">
        <f t="shared" si="46"/>
        <v>0</v>
      </c>
      <c r="M1009" s="227"/>
      <c r="P1009" s="12"/>
      <c r="Q1009" s="12"/>
      <c r="R1009" s="12"/>
      <c r="S1009" s="431">
        <f t="shared" si="47"/>
        <v>0</v>
      </c>
    </row>
    <row r="1010" spans="3:19" x14ac:dyDescent="0.25">
      <c r="C1010" s="12"/>
      <c r="D1010" s="12"/>
      <c r="E1010" s="431">
        <f t="shared" si="48"/>
        <v>0</v>
      </c>
      <c r="H1010" s="223"/>
      <c r="I1010" s="223"/>
      <c r="J1010" s="223"/>
      <c r="K1010" s="223"/>
      <c r="L1010" s="431">
        <f t="shared" si="46"/>
        <v>0</v>
      </c>
      <c r="M1010" s="227"/>
      <c r="P1010" s="12"/>
      <c r="Q1010" s="12"/>
      <c r="R1010" s="12"/>
      <c r="S1010" s="431">
        <f t="shared" si="47"/>
        <v>0</v>
      </c>
    </row>
    <row r="1011" spans="3:19" x14ac:dyDescent="0.25">
      <c r="C1011" s="12"/>
      <c r="D1011" s="12"/>
      <c r="E1011" s="431">
        <f t="shared" si="48"/>
        <v>0</v>
      </c>
      <c r="H1011" s="223"/>
      <c r="I1011" s="223"/>
      <c r="J1011" s="223"/>
      <c r="K1011" s="223"/>
      <c r="L1011" s="431">
        <f t="shared" si="46"/>
        <v>0</v>
      </c>
      <c r="M1011" s="227"/>
      <c r="P1011" s="12"/>
      <c r="Q1011" s="12"/>
      <c r="R1011" s="12"/>
      <c r="S1011" s="431">
        <f t="shared" si="47"/>
        <v>0</v>
      </c>
    </row>
    <row r="1012" spans="3:19" x14ac:dyDescent="0.25">
      <c r="C1012" s="12"/>
      <c r="D1012" s="12"/>
      <c r="E1012" s="431">
        <f t="shared" si="48"/>
        <v>0</v>
      </c>
      <c r="H1012" s="223"/>
      <c r="I1012" s="223"/>
      <c r="J1012" s="223"/>
      <c r="K1012" s="223"/>
      <c r="L1012" s="431">
        <f t="shared" si="46"/>
        <v>0</v>
      </c>
      <c r="M1012" s="227"/>
      <c r="P1012" s="12"/>
      <c r="Q1012" s="12"/>
      <c r="R1012" s="12"/>
      <c r="S1012" s="431">
        <f t="shared" si="47"/>
        <v>0</v>
      </c>
    </row>
    <row r="1013" spans="3:19" x14ac:dyDescent="0.25">
      <c r="C1013" s="12"/>
      <c r="D1013" s="12"/>
      <c r="E1013" s="431">
        <f t="shared" si="48"/>
        <v>0</v>
      </c>
      <c r="H1013" s="223"/>
      <c r="I1013" s="223"/>
      <c r="J1013" s="223"/>
      <c r="K1013" s="223"/>
      <c r="L1013" s="431">
        <f t="shared" si="46"/>
        <v>0</v>
      </c>
      <c r="M1013" s="227"/>
      <c r="P1013" s="12"/>
      <c r="Q1013" s="12"/>
      <c r="R1013" s="12"/>
      <c r="S1013" s="431">
        <f t="shared" si="47"/>
        <v>0</v>
      </c>
    </row>
    <row r="1014" spans="3:19" x14ac:dyDescent="0.25">
      <c r="C1014" s="12"/>
      <c r="D1014" s="12"/>
      <c r="E1014" s="431">
        <f t="shared" si="48"/>
        <v>0</v>
      </c>
      <c r="H1014" s="223"/>
      <c r="I1014" s="223"/>
      <c r="J1014" s="223"/>
      <c r="K1014" s="223"/>
      <c r="L1014" s="431">
        <f t="shared" si="46"/>
        <v>0</v>
      </c>
      <c r="M1014" s="227"/>
      <c r="P1014" s="12"/>
      <c r="Q1014" s="12"/>
      <c r="R1014" s="12"/>
      <c r="S1014" s="431">
        <f t="shared" si="47"/>
        <v>0</v>
      </c>
    </row>
    <row r="1015" spans="3:19" x14ac:dyDescent="0.25">
      <c r="C1015" s="12"/>
      <c r="D1015" s="12"/>
      <c r="E1015" s="431">
        <f t="shared" si="48"/>
        <v>0</v>
      </c>
      <c r="H1015" s="223"/>
      <c r="I1015" s="223"/>
      <c r="J1015" s="223"/>
      <c r="K1015" s="223"/>
      <c r="L1015" s="431">
        <f t="shared" si="46"/>
        <v>0</v>
      </c>
      <c r="M1015" s="227"/>
      <c r="P1015" s="12"/>
      <c r="Q1015" s="12"/>
      <c r="R1015" s="12"/>
      <c r="S1015" s="431">
        <f t="shared" si="47"/>
        <v>0</v>
      </c>
    </row>
    <row r="1016" spans="3:19" x14ac:dyDescent="0.25">
      <c r="C1016" s="12"/>
      <c r="D1016" s="12"/>
      <c r="E1016" s="431">
        <f t="shared" si="48"/>
        <v>0</v>
      </c>
      <c r="H1016" s="223"/>
      <c r="I1016" s="223"/>
      <c r="J1016" s="223"/>
      <c r="K1016" s="223"/>
      <c r="L1016" s="431">
        <f t="shared" si="46"/>
        <v>0</v>
      </c>
      <c r="M1016" s="227"/>
      <c r="P1016" s="12"/>
      <c r="Q1016" s="12"/>
      <c r="R1016" s="12"/>
      <c r="S1016" s="431">
        <f t="shared" si="47"/>
        <v>0</v>
      </c>
    </row>
    <row r="1017" spans="3:19" x14ac:dyDescent="0.25">
      <c r="C1017" s="12"/>
      <c r="D1017" s="12"/>
      <c r="E1017" s="431">
        <f t="shared" si="48"/>
        <v>0</v>
      </c>
      <c r="H1017" s="223"/>
      <c r="I1017" s="223"/>
      <c r="J1017" s="223"/>
      <c r="K1017" s="223"/>
      <c r="L1017" s="431">
        <f t="shared" si="46"/>
        <v>0</v>
      </c>
      <c r="M1017" s="227"/>
      <c r="P1017" s="12"/>
      <c r="Q1017" s="12"/>
      <c r="R1017" s="12"/>
      <c r="S1017" s="431">
        <f t="shared" si="47"/>
        <v>0</v>
      </c>
    </row>
    <row r="1018" spans="3:19" x14ac:dyDescent="0.25">
      <c r="C1018" s="12"/>
      <c r="D1018" s="12"/>
      <c r="E1018" s="431">
        <f t="shared" si="48"/>
        <v>0</v>
      </c>
      <c r="H1018" s="223"/>
      <c r="I1018" s="223"/>
      <c r="J1018" s="223"/>
      <c r="K1018" s="223"/>
      <c r="L1018" s="431">
        <f t="shared" si="46"/>
        <v>0</v>
      </c>
      <c r="M1018" s="227"/>
      <c r="P1018" s="12"/>
      <c r="Q1018" s="12"/>
      <c r="R1018" s="12"/>
      <c r="S1018" s="431">
        <f t="shared" si="47"/>
        <v>0</v>
      </c>
    </row>
    <row r="1019" spans="3:19" x14ac:dyDescent="0.25">
      <c r="C1019" s="12"/>
      <c r="D1019" s="12"/>
      <c r="E1019" s="431">
        <f t="shared" si="48"/>
        <v>0</v>
      </c>
      <c r="H1019" s="223"/>
      <c r="I1019" s="223"/>
      <c r="J1019" s="223"/>
      <c r="K1019" s="223"/>
      <c r="L1019" s="431">
        <f t="shared" si="46"/>
        <v>0</v>
      </c>
      <c r="M1019" s="227"/>
      <c r="P1019" s="12"/>
      <c r="Q1019" s="12"/>
      <c r="R1019" s="12"/>
      <c r="S1019" s="431">
        <f t="shared" si="47"/>
        <v>0</v>
      </c>
    </row>
    <row r="1020" spans="3:19" x14ac:dyDescent="0.25">
      <c r="E1020" s="431">
        <f t="shared" si="48"/>
        <v>0</v>
      </c>
      <c r="H1020" s="223"/>
      <c r="I1020" s="223"/>
      <c r="J1020" s="223"/>
      <c r="K1020" s="223"/>
      <c r="L1020" s="431">
        <f t="shared" si="46"/>
        <v>0</v>
      </c>
      <c r="M1020" s="227"/>
      <c r="P1020" s="12"/>
      <c r="Q1020" s="12"/>
      <c r="R1020" s="12"/>
      <c r="S1020" s="431">
        <f t="shared" si="47"/>
        <v>0</v>
      </c>
    </row>
    <row r="1021" spans="3:19" x14ac:dyDescent="0.25">
      <c r="E1021" s="431">
        <f t="shared" si="48"/>
        <v>0</v>
      </c>
      <c r="H1021" s="223"/>
      <c r="I1021" s="223"/>
      <c r="J1021" s="223"/>
      <c r="K1021" s="223"/>
      <c r="L1021" s="431">
        <f t="shared" si="46"/>
        <v>0</v>
      </c>
      <c r="M1021" s="227"/>
      <c r="P1021" s="12"/>
      <c r="Q1021" s="12"/>
      <c r="R1021" s="12"/>
      <c r="S1021" s="431">
        <f t="shared" si="47"/>
        <v>0</v>
      </c>
    </row>
    <row r="1022" spans="3:19" x14ac:dyDescent="0.25">
      <c r="E1022" s="431"/>
      <c r="H1022" s="223"/>
      <c r="I1022" s="223"/>
      <c r="J1022" s="223"/>
      <c r="K1022" s="223"/>
      <c r="L1022" s="431">
        <f t="shared" si="46"/>
        <v>0</v>
      </c>
      <c r="M1022" s="227"/>
      <c r="S1022" s="431">
        <f t="shared" si="47"/>
        <v>0</v>
      </c>
    </row>
    <row r="1023" spans="3:19" x14ac:dyDescent="0.25">
      <c r="E1023" s="431"/>
      <c r="H1023" s="223"/>
      <c r="I1023" s="223"/>
      <c r="J1023" s="223"/>
      <c r="K1023" s="223"/>
    </row>
  </sheetData>
  <conditionalFormatting sqref="A3:D1023">
    <cfRule type="containsBlanks" dxfId="21" priority="5">
      <formula>LEN(TRIM(A3))=0</formula>
    </cfRule>
  </conditionalFormatting>
  <conditionalFormatting sqref="H3:K1022">
    <cfRule type="containsBlanks" dxfId="20" priority="2">
      <formula>LEN(TRIM(H3))=0</formula>
    </cfRule>
  </conditionalFormatting>
  <conditionalFormatting sqref="O3:R1022">
    <cfRule type="containsBlanks" dxfId="19" priority="1">
      <formula>LEN(TRIM(O3))=0</formula>
    </cfRule>
  </conditionalFormatting>
  <dataValidations count="1">
    <dataValidation allowBlank="1" showInputMessage="1" showErrorMessage="1" error="Selección no váilda" sqref="I1:L1 B1:E1 P1:S1" xr:uid="{00000000-0002-0000-0300-000000000000}">
      <formula1>0</formula1>
      <formula2>0</formula2>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373"/>
  <sheetViews>
    <sheetView view="pageBreakPreview" zoomScale="64" zoomScaleNormal="100" zoomScaleSheetLayoutView="310" workbookViewId="0">
      <selection activeCell="G20" sqref="G20"/>
    </sheetView>
  </sheetViews>
  <sheetFormatPr baseColWidth="10" defaultRowHeight="15.75" x14ac:dyDescent="0.25"/>
  <cols>
    <col min="1" max="1" width="5.7109375" style="120" customWidth="1"/>
    <col min="2" max="2" width="33.28515625" style="120" customWidth="1"/>
    <col min="3" max="3" width="26.42578125" style="120" customWidth="1"/>
    <col min="4" max="4" width="23.5703125" style="120" customWidth="1"/>
    <col min="5" max="5" width="20.85546875" style="120" customWidth="1"/>
    <col min="6" max="6" width="19.28515625" style="120" customWidth="1"/>
    <col min="7" max="7" width="23.5703125" style="120" customWidth="1"/>
    <col min="8" max="8" width="13" style="120" customWidth="1"/>
    <col min="9" max="10" width="12.7109375" style="120" customWidth="1"/>
    <col min="11" max="11" width="10.7109375" style="120" customWidth="1"/>
    <col min="12" max="12" width="13" style="120" customWidth="1"/>
    <col min="13" max="13" width="11.42578125" style="120"/>
    <col min="14" max="14" width="12.140625" style="120" bestFit="1" customWidth="1"/>
    <col min="15" max="19" width="11.42578125" style="249"/>
    <col min="20" max="20" width="14.85546875" style="249" customWidth="1"/>
    <col min="21" max="40" width="11.42578125" style="249"/>
    <col min="41" max="43" width="20.5703125" style="421" customWidth="1"/>
    <col min="44" max="46" width="11.42578125" style="249"/>
    <col min="47" max="16384" width="11.42578125" style="120"/>
  </cols>
  <sheetData>
    <row r="1" spans="1:46" s="233" customFormat="1" ht="21.95" customHeight="1" x14ac:dyDescent="0.25">
      <c r="A1" s="497"/>
      <c r="B1" s="498"/>
      <c r="C1" s="503" t="s">
        <v>82</v>
      </c>
      <c r="D1" s="503"/>
      <c r="E1" s="503"/>
      <c r="F1" s="503"/>
      <c r="G1" s="503"/>
      <c r="H1" s="503"/>
      <c r="I1" s="630" t="s">
        <v>164</v>
      </c>
      <c r="J1" s="631"/>
      <c r="K1" s="632"/>
      <c r="N1" s="300"/>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633" t="s">
        <v>132</v>
      </c>
      <c r="AP1" s="633"/>
      <c r="AQ1" s="633"/>
      <c r="AR1" s="218"/>
      <c r="AS1" s="218"/>
      <c r="AT1" s="218"/>
    </row>
    <row r="2" spans="1:46" s="233" customFormat="1" ht="21.95" customHeight="1" x14ac:dyDescent="0.25">
      <c r="A2" s="499"/>
      <c r="B2" s="500"/>
      <c r="C2" s="634" t="s">
        <v>165</v>
      </c>
      <c r="D2" s="634"/>
      <c r="E2" s="634"/>
      <c r="F2" s="634"/>
      <c r="G2" s="634"/>
      <c r="H2" s="634"/>
      <c r="I2" s="636" t="s">
        <v>158</v>
      </c>
      <c r="J2" s="637"/>
      <c r="K2" s="638"/>
      <c r="N2" s="300"/>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346"/>
      <c r="AP2" s="346"/>
      <c r="AQ2" s="346"/>
      <c r="AR2" s="218"/>
      <c r="AS2" s="218"/>
      <c r="AT2" s="218"/>
    </row>
    <row r="3" spans="1:46" s="233" customFormat="1" ht="21.95" customHeight="1" x14ac:dyDescent="0.25">
      <c r="A3" s="499"/>
      <c r="B3" s="500"/>
      <c r="C3" s="634"/>
      <c r="D3" s="634"/>
      <c r="E3" s="634"/>
      <c r="F3" s="634"/>
      <c r="G3" s="634"/>
      <c r="H3" s="634"/>
      <c r="I3" s="636" t="s">
        <v>166</v>
      </c>
      <c r="J3" s="637" t="s">
        <v>127</v>
      </c>
      <c r="K3" s="638"/>
      <c r="M3" s="347" t="s">
        <v>83</v>
      </c>
      <c r="N3" s="347"/>
      <c r="O3" s="218"/>
      <c r="P3" s="218"/>
      <c r="Q3" s="218"/>
      <c r="R3" s="218"/>
      <c r="S3" s="218"/>
      <c r="T3" s="218"/>
      <c r="U3" s="218"/>
      <c r="V3" s="218"/>
      <c r="W3" s="218"/>
      <c r="X3" s="218"/>
      <c r="Y3" s="218"/>
      <c r="Z3" s="218"/>
      <c r="AA3" s="218"/>
      <c r="AB3" s="218"/>
      <c r="AC3" s="218"/>
      <c r="AD3" s="218"/>
      <c r="AE3" s="218"/>
      <c r="AF3" s="218"/>
      <c r="AG3" s="639" t="s">
        <v>83</v>
      </c>
      <c r="AH3" s="639"/>
      <c r="AI3" s="639"/>
      <c r="AJ3" s="639"/>
      <c r="AK3" s="218"/>
      <c r="AL3" s="218"/>
      <c r="AM3" s="218"/>
      <c r="AN3" s="218"/>
      <c r="AO3" s="348" t="s">
        <v>129</v>
      </c>
      <c r="AP3" s="348" t="s">
        <v>130</v>
      </c>
      <c r="AQ3" s="348" t="s">
        <v>131</v>
      </c>
      <c r="AR3" s="218"/>
      <c r="AS3" s="218"/>
      <c r="AT3" s="218"/>
    </row>
    <row r="4" spans="1:46" s="233" customFormat="1" ht="21.95" customHeight="1" thickBot="1" x14ac:dyDescent="0.25">
      <c r="A4" s="501"/>
      <c r="B4" s="502"/>
      <c r="C4" s="635"/>
      <c r="D4" s="635"/>
      <c r="E4" s="635"/>
      <c r="F4" s="635"/>
      <c r="G4" s="635"/>
      <c r="H4" s="635"/>
      <c r="I4" s="640" t="s">
        <v>159</v>
      </c>
      <c r="J4" s="641"/>
      <c r="K4" s="642"/>
      <c r="M4" s="347"/>
      <c r="N4" s="347"/>
      <c r="O4" s="218"/>
      <c r="P4" s="218"/>
      <c r="Q4" s="218"/>
      <c r="R4" s="218"/>
      <c r="S4" s="218"/>
      <c r="T4" s="218"/>
      <c r="U4" s="218"/>
      <c r="V4" s="218"/>
      <c r="W4" s="218"/>
      <c r="X4" s="218"/>
      <c r="Y4" s="218"/>
      <c r="Z4" s="218"/>
      <c r="AA4" s="218"/>
      <c r="AB4" s="218"/>
      <c r="AC4" s="218"/>
      <c r="AD4" s="218"/>
      <c r="AE4" s="218"/>
      <c r="AF4" s="218"/>
      <c r="AG4" s="639"/>
      <c r="AH4" s="639"/>
      <c r="AI4" s="639"/>
      <c r="AJ4" s="639"/>
      <c r="AK4" s="218"/>
      <c r="AL4" s="218"/>
      <c r="AM4" s="218"/>
      <c r="AN4" s="218"/>
      <c r="AO4" s="349">
        <v>15</v>
      </c>
      <c r="AP4" s="350">
        <v>0.99909999999999999</v>
      </c>
      <c r="AQ4" s="350">
        <v>1.0008999999999999</v>
      </c>
      <c r="AR4" s="218"/>
      <c r="AS4" s="218"/>
      <c r="AT4" s="218"/>
    </row>
    <row r="5" spans="1:46" s="233" customFormat="1" ht="5.0999999999999996" customHeight="1" thickBot="1" x14ac:dyDescent="0.25">
      <c r="A5" s="23"/>
      <c r="B5" s="500"/>
      <c r="C5" s="500"/>
      <c r="D5" s="500"/>
      <c r="E5" s="500"/>
      <c r="F5" s="500"/>
      <c r="G5" s="500"/>
      <c r="H5" s="500"/>
      <c r="I5" s="500"/>
      <c r="J5" s="500"/>
      <c r="K5" s="24"/>
      <c r="N5" s="347"/>
      <c r="O5" s="218"/>
      <c r="P5" s="218"/>
      <c r="Q5" s="218"/>
      <c r="R5" s="218"/>
      <c r="S5" s="218"/>
      <c r="T5" s="218"/>
      <c r="U5" s="218"/>
      <c r="V5" s="218"/>
      <c r="W5" s="218"/>
      <c r="X5" s="218"/>
      <c r="Y5" s="218"/>
      <c r="Z5" s="218"/>
      <c r="AA5" s="218"/>
      <c r="AB5" s="218"/>
      <c r="AC5" s="218"/>
      <c r="AD5" s="218"/>
      <c r="AE5" s="218"/>
      <c r="AF5" s="218"/>
      <c r="AG5" s="639"/>
      <c r="AH5" s="639"/>
      <c r="AI5" s="639"/>
      <c r="AJ5" s="639"/>
      <c r="AK5" s="218"/>
      <c r="AL5" s="218"/>
      <c r="AM5" s="218"/>
      <c r="AN5" s="218"/>
      <c r="AO5" s="351">
        <v>15.1</v>
      </c>
      <c r="AP5" s="352">
        <v>0.99909000000000003</v>
      </c>
      <c r="AQ5" s="352">
        <v>1.00088</v>
      </c>
      <c r="AR5" s="218"/>
      <c r="AS5" s="218"/>
      <c r="AT5" s="218"/>
    </row>
    <row r="6" spans="1:46" s="233" customFormat="1" ht="16.5" customHeight="1" x14ac:dyDescent="0.2">
      <c r="A6" s="313"/>
      <c r="B6" s="301" t="s">
        <v>11</v>
      </c>
      <c r="C6" s="617"/>
      <c r="D6" s="617"/>
      <c r="E6" s="617"/>
      <c r="F6" s="617"/>
      <c r="G6" s="541" t="s">
        <v>84</v>
      </c>
      <c r="H6" s="541"/>
      <c r="I6" s="505"/>
      <c r="J6" s="505"/>
      <c r="K6" s="506"/>
      <c r="N6" s="353" t="s">
        <v>85</v>
      </c>
      <c r="O6" s="218"/>
      <c r="P6" s="218"/>
      <c r="Q6" s="218"/>
      <c r="R6" s="218"/>
      <c r="S6" s="218"/>
      <c r="T6" s="218"/>
      <c r="U6" s="218"/>
      <c r="V6" s="218"/>
      <c r="W6" s="218"/>
      <c r="X6" s="218"/>
      <c r="Y6" s="218"/>
      <c r="Z6" s="218"/>
      <c r="AA6" s="218"/>
      <c r="AB6" s="218"/>
      <c r="AC6" s="218"/>
      <c r="AD6" s="218"/>
      <c r="AE6" s="218"/>
      <c r="AF6" s="218"/>
      <c r="AG6" s="354" t="s">
        <v>85</v>
      </c>
      <c r="AH6" s="355"/>
      <c r="AI6" s="355"/>
      <c r="AJ6" s="355"/>
      <c r="AK6" s="218"/>
      <c r="AL6" s="218"/>
      <c r="AM6" s="218"/>
      <c r="AN6" s="218"/>
      <c r="AO6" s="351">
        <v>15.2</v>
      </c>
      <c r="AP6" s="352">
        <v>0.99907000000000001</v>
      </c>
      <c r="AQ6" s="352">
        <v>1.0008699999999999</v>
      </c>
      <c r="AR6" s="218"/>
      <c r="AS6" s="218"/>
      <c r="AT6" s="218"/>
    </row>
    <row r="7" spans="1:46" s="233" customFormat="1" ht="16.5" customHeight="1" x14ac:dyDescent="0.2">
      <c r="A7" s="23"/>
      <c r="B7" s="229" t="s">
        <v>12</v>
      </c>
      <c r="C7" s="472"/>
      <c r="D7" s="472"/>
      <c r="E7" s="472"/>
      <c r="F7" s="472"/>
      <c r="G7" s="543" t="s">
        <v>86</v>
      </c>
      <c r="H7" s="543"/>
      <c r="I7" s="488"/>
      <c r="J7" s="488"/>
      <c r="K7" s="489"/>
      <c r="N7" s="353" t="s">
        <v>87</v>
      </c>
      <c r="O7" s="218"/>
      <c r="P7" s="218"/>
      <c r="Q7" s="218"/>
      <c r="R7" s="218"/>
      <c r="S7" s="218"/>
      <c r="T7" s="218"/>
      <c r="U7" s="218"/>
      <c r="V7" s="218"/>
      <c r="W7" s="218"/>
      <c r="X7" s="218"/>
      <c r="Y7" s="218"/>
      <c r="Z7" s="218"/>
      <c r="AA7" s="218"/>
      <c r="AB7" s="218"/>
      <c r="AC7" s="218"/>
      <c r="AD7" s="218"/>
      <c r="AE7" s="218"/>
      <c r="AF7" s="218"/>
      <c r="AG7" s="354" t="s">
        <v>87</v>
      </c>
      <c r="AH7" s="355"/>
      <c r="AI7" s="355"/>
      <c r="AJ7" s="355"/>
      <c r="AK7" s="218"/>
      <c r="AL7" s="218"/>
      <c r="AM7" s="218"/>
      <c r="AN7" s="218"/>
      <c r="AO7" s="351">
        <v>15.3</v>
      </c>
      <c r="AP7" s="352">
        <v>0.99905999999999995</v>
      </c>
      <c r="AQ7" s="352">
        <v>1.00085</v>
      </c>
      <c r="AR7" s="218"/>
      <c r="AS7" s="218"/>
      <c r="AT7" s="218"/>
    </row>
    <row r="8" spans="1:46" s="233" customFormat="1" ht="16.5" customHeight="1" x14ac:dyDescent="0.2">
      <c r="A8" s="23"/>
      <c r="B8" s="229" t="s">
        <v>88</v>
      </c>
      <c r="C8" s="645"/>
      <c r="D8" s="646"/>
      <c r="E8" s="646"/>
      <c r="F8" s="646"/>
      <c r="G8" s="543" t="s">
        <v>89</v>
      </c>
      <c r="H8" s="543"/>
      <c r="I8" s="488"/>
      <c r="J8" s="488"/>
      <c r="K8" s="489"/>
      <c r="M8" s="233">
        <f>17-2.57</f>
        <v>14.43</v>
      </c>
      <c r="N8" s="353" t="s">
        <v>90</v>
      </c>
      <c r="O8" s="218"/>
      <c r="P8" s="218"/>
      <c r="Q8" s="218"/>
      <c r="R8" s="218"/>
      <c r="S8" s="218"/>
      <c r="T8" s="218"/>
      <c r="U8" s="218"/>
      <c r="V8" s="218"/>
      <c r="W8" s="218"/>
      <c r="X8" s="218"/>
      <c r="Y8" s="218"/>
      <c r="Z8" s="218"/>
      <c r="AA8" s="218"/>
      <c r="AB8" s="218"/>
      <c r="AC8" s="218"/>
      <c r="AD8" s="218"/>
      <c r="AE8" s="218"/>
      <c r="AF8" s="218"/>
      <c r="AG8" s="354" t="s">
        <v>90</v>
      </c>
      <c r="AH8" s="355"/>
      <c r="AI8" s="355"/>
      <c r="AJ8" s="355"/>
      <c r="AK8" s="218"/>
      <c r="AL8" s="218"/>
      <c r="AM8" s="218"/>
      <c r="AN8" s="218"/>
      <c r="AO8" s="351">
        <v>15.4</v>
      </c>
      <c r="AP8" s="352">
        <v>0.99904000000000004</v>
      </c>
      <c r="AQ8" s="352">
        <v>1.00084</v>
      </c>
      <c r="AR8" s="218"/>
      <c r="AS8" s="218"/>
      <c r="AT8" s="218"/>
    </row>
    <row r="9" spans="1:46" s="233" customFormat="1" ht="16.5" customHeight="1" x14ac:dyDescent="0.2">
      <c r="A9" s="23"/>
      <c r="B9" s="229" t="s">
        <v>91</v>
      </c>
      <c r="C9" s="472"/>
      <c r="D9" s="472"/>
      <c r="E9" s="472"/>
      <c r="F9" s="472"/>
      <c r="G9" s="543" t="s">
        <v>92</v>
      </c>
      <c r="H9" s="543"/>
      <c r="I9" s="26" t="s">
        <v>93</v>
      </c>
      <c r="J9" s="356" t="s">
        <v>167</v>
      </c>
      <c r="K9" s="357" t="s">
        <v>151</v>
      </c>
      <c r="N9" s="353" t="s">
        <v>94</v>
      </c>
      <c r="O9" s="218"/>
      <c r="P9" s="218"/>
      <c r="Q9" s="218"/>
      <c r="R9" s="218"/>
      <c r="S9" s="218"/>
      <c r="T9" s="218"/>
      <c r="U9" s="218"/>
      <c r="V9" s="218"/>
      <c r="W9" s="218"/>
      <c r="X9" s="218"/>
      <c r="Y9" s="218"/>
      <c r="Z9" s="218"/>
      <c r="AA9" s="218"/>
      <c r="AB9" s="218"/>
      <c r="AC9" s="218"/>
      <c r="AD9" s="218"/>
      <c r="AE9" s="218"/>
      <c r="AF9" s="218"/>
      <c r="AG9" s="354" t="s">
        <v>94</v>
      </c>
      <c r="AH9" s="355"/>
      <c r="AI9" s="355"/>
      <c r="AJ9" s="355"/>
      <c r="AK9" s="218"/>
      <c r="AL9" s="218"/>
      <c r="AM9" s="218"/>
      <c r="AN9" s="218"/>
      <c r="AO9" s="351">
        <v>15.5</v>
      </c>
      <c r="AP9" s="352">
        <v>0.99902000000000002</v>
      </c>
      <c r="AQ9" s="352">
        <v>1.00082</v>
      </c>
      <c r="AR9" s="218"/>
      <c r="AS9" s="218"/>
      <c r="AT9" s="218"/>
    </row>
    <row r="10" spans="1:46" s="233" customFormat="1" ht="16.5" customHeight="1" x14ac:dyDescent="0.2">
      <c r="A10" s="23"/>
      <c r="B10" s="231" t="s">
        <v>95</v>
      </c>
      <c r="C10" s="472"/>
      <c r="D10" s="472"/>
      <c r="E10" s="472"/>
      <c r="F10" s="472"/>
      <c r="G10" s="627" t="s">
        <v>96</v>
      </c>
      <c r="H10" s="627"/>
      <c r="I10" s="472" t="str">
        <f>CONCATENATE(J9,," ",K9,"-",D12,"-",F12)</f>
        <v>056 25--</v>
      </c>
      <c r="J10" s="472"/>
      <c r="K10" s="473"/>
      <c r="N10" s="353" t="s">
        <v>97</v>
      </c>
      <c r="O10" s="218"/>
      <c r="P10" s="218"/>
      <c r="Q10" s="218"/>
      <c r="R10" s="218"/>
      <c r="S10" s="218"/>
      <c r="T10" s="218"/>
      <c r="U10" s="218"/>
      <c r="V10" s="218"/>
      <c r="W10" s="218"/>
      <c r="X10" s="218"/>
      <c r="Y10" s="218"/>
      <c r="Z10" s="218"/>
      <c r="AA10" s="218"/>
      <c r="AB10" s="218"/>
      <c r="AC10" s="218"/>
      <c r="AD10" s="218"/>
      <c r="AE10" s="218"/>
      <c r="AF10" s="218"/>
      <c r="AG10" s="354" t="s">
        <v>97</v>
      </c>
      <c r="AH10" s="355"/>
      <c r="AI10" s="355"/>
      <c r="AJ10" s="355"/>
      <c r="AK10" s="218"/>
      <c r="AL10" s="218"/>
      <c r="AM10" s="218"/>
      <c r="AN10" s="218"/>
      <c r="AO10" s="351">
        <v>15.6</v>
      </c>
      <c r="AP10" s="352">
        <v>0.99900999999999995</v>
      </c>
      <c r="AQ10" s="352">
        <v>1.0007999999999999</v>
      </c>
      <c r="AR10" s="218"/>
      <c r="AS10" s="218"/>
      <c r="AT10" s="218"/>
    </row>
    <row r="11" spans="1:46" s="233" customFormat="1" ht="5.0999999999999996" customHeight="1" thickBot="1" x14ac:dyDescent="0.25">
      <c r="A11" s="27"/>
      <c r="B11" s="474"/>
      <c r="C11" s="474"/>
      <c r="D11" s="474"/>
      <c r="E11" s="474"/>
      <c r="F11" s="474"/>
      <c r="G11" s="474"/>
      <c r="H11" s="474"/>
      <c r="I11" s="474"/>
      <c r="J11" s="474"/>
      <c r="K11" s="315"/>
      <c r="N11" s="353" t="s">
        <v>168</v>
      </c>
      <c r="O11" s="218"/>
      <c r="P11" s="218"/>
      <c r="Q11" s="218"/>
      <c r="R11" s="218"/>
      <c r="S11" s="218"/>
      <c r="T11" s="218"/>
      <c r="U11" s="218"/>
      <c r="V11" s="218"/>
      <c r="W11" s="218"/>
      <c r="X11" s="218"/>
      <c r="Y11" s="218"/>
      <c r="Z11" s="218"/>
      <c r="AA11" s="218"/>
      <c r="AB11" s="218"/>
      <c r="AC11" s="218"/>
      <c r="AD11" s="218"/>
      <c r="AE11" s="218"/>
      <c r="AF11" s="218"/>
      <c r="AG11" s="354"/>
      <c r="AH11" s="355"/>
      <c r="AI11" s="355"/>
      <c r="AJ11" s="355"/>
      <c r="AK11" s="218"/>
      <c r="AL11" s="218"/>
      <c r="AM11" s="218"/>
      <c r="AN11" s="218"/>
      <c r="AO11" s="351">
        <v>15.7</v>
      </c>
      <c r="AP11" s="352">
        <v>0.99899000000000004</v>
      </c>
      <c r="AQ11" s="352">
        <v>1.0007900000000001</v>
      </c>
      <c r="AR11" s="218"/>
      <c r="AS11" s="218"/>
      <c r="AT11" s="218"/>
    </row>
    <row r="12" spans="1:46" s="233" customFormat="1" ht="18" customHeight="1" x14ac:dyDescent="0.2">
      <c r="A12" s="313"/>
      <c r="B12" s="301" t="s">
        <v>13</v>
      </c>
      <c r="C12" s="358" t="s">
        <v>85</v>
      </c>
      <c r="D12" s="359"/>
      <c r="E12" s="204" t="s">
        <v>98</v>
      </c>
      <c r="F12" s="345"/>
      <c r="G12" s="626" t="s">
        <v>99</v>
      </c>
      <c r="H12" s="626"/>
      <c r="I12" s="360"/>
      <c r="J12" s="305" t="s">
        <v>20</v>
      </c>
      <c r="K12" s="361"/>
      <c r="N12" s="353"/>
      <c r="O12" s="218"/>
      <c r="P12" s="218"/>
      <c r="Q12" s="218"/>
      <c r="R12" s="218"/>
      <c r="S12" s="218"/>
      <c r="T12" s="218"/>
      <c r="U12" s="218"/>
      <c r="V12" s="218"/>
      <c r="W12" s="218"/>
      <c r="X12" s="218"/>
      <c r="Y12" s="218"/>
      <c r="Z12" s="218"/>
      <c r="AA12" s="218"/>
      <c r="AB12" s="218"/>
      <c r="AC12" s="218"/>
      <c r="AD12" s="218"/>
      <c r="AE12" s="218"/>
      <c r="AF12" s="218"/>
      <c r="AG12" s="354"/>
      <c r="AH12" s="355"/>
      <c r="AI12" s="355"/>
      <c r="AJ12" s="355"/>
      <c r="AK12" s="218"/>
      <c r="AL12" s="218"/>
      <c r="AM12" s="218"/>
      <c r="AN12" s="218"/>
      <c r="AO12" s="351">
        <v>15.8</v>
      </c>
      <c r="AP12" s="352">
        <v>0.99897999999999998</v>
      </c>
      <c r="AQ12" s="352">
        <v>1.0007699999999999</v>
      </c>
      <c r="AR12" s="218"/>
      <c r="AS12" s="218"/>
      <c r="AT12" s="218"/>
    </row>
    <row r="13" spans="1:46" s="233" customFormat="1" ht="18" customHeight="1" x14ac:dyDescent="0.2">
      <c r="A13" s="23"/>
      <c r="B13" s="229" t="s">
        <v>100</v>
      </c>
      <c r="C13" s="647"/>
      <c r="D13" s="647"/>
      <c r="E13" s="647"/>
      <c r="F13" s="647"/>
      <c r="G13" s="647"/>
      <c r="H13" s="647"/>
      <c r="I13" s="647"/>
      <c r="J13" s="647"/>
      <c r="K13" s="648"/>
      <c r="L13" s="362"/>
      <c r="N13" s="353"/>
      <c r="O13" s="218"/>
      <c r="P13" s="218"/>
      <c r="Q13" s="218"/>
      <c r="R13" s="218"/>
      <c r="S13" s="218"/>
      <c r="T13" s="218"/>
      <c r="U13" s="218"/>
      <c r="V13" s="218"/>
      <c r="W13" s="218"/>
      <c r="X13" s="218"/>
      <c r="Y13" s="218"/>
      <c r="Z13" s="218"/>
      <c r="AA13" s="218"/>
      <c r="AB13" s="218"/>
      <c r="AC13" s="218"/>
      <c r="AD13" s="218"/>
      <c r="AE13" s="218"/>
      <c r="AF13" s="218"/>
      <c r="AG13" s="354"/>
      <c r="AH13" s="355"/>
      <c r="AI13" s="355"/>
      <c r="AJ13" s="355"/>
      <c r="AK13" s="218"/>
      <c r="AL13" s="218"/>
      <c r="AM13" s="218"/>
      <c r="AN13" s="218"/>
      <c r="AO13" s="351">
        <v>15.9</v>
      </c>
      <c r="AP13" s="352">
        <v>0.99895999999999996</v>
      </c>
      <c r="AQ13" s="352">
        <v>1.0007600000000001</v>
      </c>
      <c r="AR13" s="218"/>
      <c r="AS13" s="218"/>
      <c r="AT13" s="218"/>
    </row>
    <row r="14" spans="1:46" s="233" customFormat="1" ht="5.0999999999999996" customHeight="1" thickBot="1" x14ac:dyDescent="0.25">
      <c r="A14" s="27"/>
      <c r="B14" s="28"/>
      <c r="C14" s="29"/>
      <c r="D14" s="29"/>
      <c r="E14" s="29"/>
      <c r="F14" s="29"/>
      <c r="G14" s="29"/>
      <c r="H14" s="29"/>
      <c r="I14" s="29"/>
      <c r="J14" s="29"/>
      <c r="K14" s="30"/>
      <c r="O14" s="218"/>
      <c r="P14" s="218"/>
      <c r="Q14" s="218"/>
      <c r="R14" s="218"/>
      <c r="S14" s="218"/>
      <c r="T14" s="218"/>
      <c r="U14" s="218"/>
      <c r="V14" s="218"/>
      <c r="W14" s="218"/>
      <c r="X14" s="218"/>
      <c r="Y14" s="218"/>
      <c r="Z14" s="218"/>
      <c r="AA14" s="218"/>
      <c r="AB14" s="218"/>
      <c r="AC14" s="218"/>
      <c r="AD14" s="218"/>
      <c r="AE14" s="218"/>
      <c r="AF14" s="218"/>
      <c r="AG14" s="218"/>
      <c r="AH14" s="218"/>
      <c r="AI14" s="218"/>
      <c r="AJ14" s="218"/>
      <c r="AK14" s="218"/>
      <c r="AL14" s="218"/>
      <c r="AM14" s="218"/>
      <c r="AN14" s="218"/>
      <c r="AO14" s="349">
        <v>16</v>
      </c>
      <c r="AP14" s="350">
        <v>0.99895</v>
      </c>
      <c r="AQ14" s="350">
        <v>1.00074</v>
      </c>
      <c r="AR14" s="218"/>
      <c r="AS14" s="218"/>
      <c r="AT14" s="218"/>
    </row>
    <row r="15" spans="1:46" ht="15" customHeight="1" thickBot="1" x14ac:dyDescent="0.25">
      <c r="A15" s="114"/>
      <c r="K15" s="115"/>
      <c r="O15" s="218"/>
      <c r="P15" s="218"/>
      <c r="Q15" s="218"/>
      <c r="R15" s="218"/>
      <c r="S15" s="218"/>
      <c r="T15" s="218"/>
      <c r="U15" s="218"/>
      <c r="V15" s="218"/>
      <c r="W15" s="218"/>
      <c r="X15" s="218"/>
      <c r="Y15" s="218"/>
      <c r="Z15" s="218"/>
      <c r="AA15" s="218"/>
      <c r="AB15" s="218"/>
      <c r="AC15" s="218"/>
      <c r="AD15" s="218"/>
      <c r="AE15" s="218"/>
      <c r="AF15" s="218"/>
      <c r="AG15" s="218"/>
      <c r="AH15" s="218"/>
      <c r="AI15" s="218"/>
      <c r="AJ15" s="218"/>
      <c r="AK15" s="218"/>
      <c r="AL15" s="218"/>
      <c r="AM15" s="218"/>
      <c r="AN15" s="218"/>
      <c r="AO15" s="351">
        <v>16.100000000000001</v>
      </c>
      <c r="AP15" s="352">
        <v>0.99892999999999998</v>
      </c>
      <c r="AQ15" s="352">
        <v>1.0007200000000001</v>
      </c>
      <c r="AR15" s="218"/>
      <c r="AS15" s="218"/>
      <c r="AT15" s="218"/>
    </row>
    <row r="16" spans="1:46" ht="25.5" customHeight="1" thickBot="1" x14ac:dyDescent="0.3">
      <c r="A16" s="649" t="s">
        <v>169</v>
      </c>
      <c r="B16" s="650"/>
      <c r="C16" s="650"/>
      <c r="D16" s="650"/>
      <c r="E16" s="650"/>
      <c r="F16" s="650"/>
      <c r="G16" s="650"/>
      <c r="H16" s="650"/>
      <c r="I16" s="650"/>
      <c r="J16" s="650"/>
      <c r="K16" s="651"/>
      <c r="AO16" s="351">
        <v>16.2</v>
      </c>
      <c r="AP16" s="352">
        <v>0.99890999999999996</v>
      </c>
      <c r="AQ16" s="352">
        <v>1.00071</v>
      </c>
    </row>
    <row r="17" spans="1:46" ht="16.5" thickBot="1" x14ac:dyDescent="0.3">
      <c r="A17" s="114"/>
      <c r="K17" s="115"/>
      <c r="AO17" s="351">
        <v>16.3</v>
      </c>
      <c r="AP17" s="352">
        <v>0.99890000000000001</v>
      </c>
      <c r="AQ17" s="352">
        <v>1.0006900000000001</v>
      </c>
    </row>
    <row r="18" spans="1:46" ht="24.75" customHeight="1" thickBot="1" x14ac:dyDescent="0.3">
      <c r="A18" s="114"/>
      <c r="C18" s="652" t="s">
        <v>170</v>
      </c>
      <c r="D18" s="653"/>
      <c r="E18" s="653"/>
      <c r="F18" s="654"/>
      <c r="G18" s="363">
        <v>1</v>
      </c>
      <c r="H18" s="364"/>
      <c r="K18" s="115"/>
      <c r="T18" s="365" t="s">
        <v>171</v>
      </c>
      <c r="U18" s="366"/>
      <c r="V18" s="249" t="s">
        <v>97</v>
      </c>
      <c r="AO18" s="351">
        <v>16.399999999999999</v>
      </c>
      <c r="AP18" s="352">
        <v>0.99887999999999999</v>
      </c>
      <c r="AQ18" s="352">
        <v>1.0006699999999999</v>
      </c>
    </row>
    <row r="19" spans="1:46" ht="21.95" customHeight="1" x14ac:dyDescent="0.25">
      <c r="A19" s="114"/>
      <c r="C19" s="643" t="s">
        <v>172</v>
      </c>
      <c r="D19" s="644"/>
      <c r="E19" s="644"/>
      <c r="F19" s="367" t="s">
        <v>173</v>
      </c>
      <c r="G19" s="368">
        <v>1</v>
      </c>
      <c r="H19" s="369"/>
      <c r="K19" s="115"/>
      <c r="T19" s="125"/>
      <c r="U19" s="126"/>
      <c r="AO19" s="351">
        <v>16.5</v>
      </c>
      <c r="AP19" s="352">
        <v>0.99885999999999997</v>
      </c>
      <c r="AQ19" s="352">
        <v>1.0006600000000001</v>
      </c>
    </row>
    <row r="20" spans="1:46" ht="21.95" customHeight="1" x14ac:dyDescent="0.25">
      <c r="A20" s="114"/>
      <c r="C20" s="657" t="s">
        <v>174</v>
      </c>
      <c r="D20" s="658"/>
      <c r="E20" s="658"/>
      <c r="F20" s="370" t="s">
        <v>175</v>
      </c>
      <c r="G20" s="371">
        <v>54.45</v>
      </c>
      <c r="K20" s="115"/>
      <c r="T20" s="372" t="s">
        <v>176</v>
      </c>
      <c r="U20" s="373"/>
      <c r="AO20" s="351">
        <v>16.600000000000001</v>
      </c>
      <c r="AP20" s="352">
        <v>0.99885000000000002</v>
      </c>
      <c r="AQ20" s="352">
        <v>1.00064</v>
      </c>
    </row>
    <row r="21" spans="1:46" ht="21.95" customHeight="1" thickBot="1" x14ac:dyDescent="0.3">
      <c r="A21" s="114"/>
      <c r="C21" s="657" t="s">
        <v>177</v>
      </c>
      <c r="D21" s="658"/>
      <c r="E21" s="658"/>
      <c r="F21" s="370" t="s">
        <v>175</v>
      </c>
      <c r="G21" s="371">
        <v>686.15236000000004</v>
      </c>
      <c r="H21" s="369"/>
      <c r="K21" s="115"/>
      <c r="P21" s="374"/>
      <c r="T21" s="375" t="s">
        <v>178</v>
      </c>
      <c r="U21" s="376"/>
      <c r="AO21" s="351">
        <v>16.7</v>
      </c>
      <c r="AP21" s="352">
        <v>0.99883</v>
      </c>
      <c r="AQ21" s="352">
        <v>1.0006200000000001</v>
      </c>
    </row>
    <row r="22" spans="1:46" ht="21.95" customHeight="1" x14ac:dyDescent="0.25">
      <c r="A22" s="114"/>
      <c r="C22" s="657" t="s">
        <v>179</v>
      </c>
      <c r="D22" s="658"/>
      <c r="E22" s="658"/>
      <c r="F22" s="370" t="s">
        <v>175</v>
      </c>
      <c r="G22" s="377">
        <v>719.49</v>
      </c>
      <c r="H22" s="369"/>
      <c r="K22" s="115"/>
      <c r="T22" s="365"/>
      <c r="U22" s="366"/>
      <c r="AO22" s="351">
        <v>16.8</v>
      </c>
      <c r="AP22" s="352">
        <v>0.99880999999999998</v>
      </c>
      <c r="AQ22" s="352">
        <v>1.00061</v>
      </c>
    </row>
    <row r="23" spans="1:46" ht="21.95" customHeight="1" x14ac:dyDescent="0.25">
      <c r="A23" s="114"/>
      <c r="C23" s="657" t="s">
        <v>180</v>
      </c>
      <c r="D23" s="658"/>
      <c r="E23" s="658"/>
      <c r="F23" s="370" t="s">
        <v>23</v>
      </c>
      <c r="G23" s="378">
        <v>20.399999999999999</v>
      </c>
      <c r="H23" s="369"/>
      <c r="K23" s="115"/>
      <c r="T23" s="125"/>
      <c r="U23" s="126"/>
      <c r="AO23" s="351">
        <v>16.899999999999999</v>
      </c>
      <c r="AP23" s="352">
        <v>0.99878999999999996</v>
      </c>
      <c r="AQ23" s="352">
        <v>1.0005900000000001</v>
      </c>
    </row>
    <row r="24" spans="1:46" ht="21.95" customHeight="1" x14ac:dyDescent="0.25">
      <c r="A24" s="114"/>
      <c r="C24" s="657" t="s">
        <v>181</v>
      </c>
      <c r="D24" s="658"/>
      <c r="E24" s="658"/>
      <c r="F24" s="370" t="s">
        <v>182</v>
      </c>
      <c r="G24" s="377">
        <f>VLOOKUP(G23,AO3:AQ163,2,FALSE)</f>
        <v>0.99812000000000001</v>
      </c>
      <c r="H24" s="369"/>
      <c r="K24" s="115"/>
      <c r="T24" s="379"/>
      <c r="U24" s="380"/>
      <c r="AO24" s="349">
        <v>17</v>
      </c>
      <c r="AP24" s="350">
        <v>0.99878</v>
      </c>
      <c r="AQ24" s="350">
        <v>1.00057</v>
      </c>
    </row>
    <row r="25" spans="1:46" ht="21.95" customHeight="1" thickBot="1" x14ac:dyDescent="0.3">
      <c r="A25" s="114"/>
      <c r="C25" s="657" t="s">
        <v>183</v>
      </c>
      <c r="D25" s="658"/>
      <c r="E25" s="658"/>
      <c r="F25" s="370" t="s">
        <v>182</v>
      </c>
      <c r="G25" s="381">
        <f>IF(G21&gt;550,500,IF(G21&lt;500,250))</f>
        <v>500</v>
      </c>
      <c r="H25" s="369"/>
      <c r="K25" s="115"/>
      <c r="T25" s="382"/>
      <c r="U25" s="383"/>
      <c r="AO25" s="351">
        <v>17.100000000000001</v>
      </c>
      <c r="AP25" s="352">
        <v>0.99875999999999998</v>
      </c>
      <c r="AQ25" s="352">
        <v>1.0005500000000001</v>
      </c>
    </row>
    <row r="26" spans="1:46" ht="28.5" customHeight="1" thickBot="1" x14ac:dyDescent="0.25">
      <c r="A26" s="114"/>
      <c r="C26" s="659" t="s">
        <v>184</v>
      </c>
      <c r="D26" s="660"/>
      <c r="E26" s="660"/>
      <c r="F26" s="661"/>
      <c r="G26" s="384">
        <f>IF(D32&gt;0.1,N37,IF(D32=0,N38))</f>
        <v>2.5740033889759268</v>
      </c>
      <c r="H26" s="369"/>
      <c r="K26" s="115"/>
      <c r="O26" s="120"/>
      <c r="P26" s="120"/>
      <c r="Q26" s="120"/>
      <c r="R26" s="120"/>
      <c r="S26" s="120"/>
      <c r="T26" s="120"/>
      <c r="U26" s="120"/>
      <c r="V26" s="120"/>
      <c r="W26" s="120"/>
      <c r="X26" s="120"/>
      <c r="Y26" s="120"/>
      <c r="Z26" s="120"/>
      <c r="AA26" s="120"/>
      <c r="AB26" s="120"/>
      <c r="AC26" s="120"/>
      <c r="AD26" s="120"/>
      <c r="AE26" s="120"/>
      <c r="AF26" s="120"/>
      <c r="AG26" s="120"/>
      <c r="AH26" s="120"/>
      <c r="AI26" s="120"/>
      <c r="AJ26" s="120"/>
      <c r="AK26" s="120"/>
      <c r="AL26" s="120"/>
      <c r="AM26" s="120"/>
      <c r="AN26" s="120"/>
      <c r="AO26" s="351">
        <v>17.2</v>
      </c>
      <c r="AP26" s="352">
        <v>0.99873999999999996</v>
      </c>
      <c r="AQ26" s="352">
        <v>1.00054</v>
      </c>
      <c r="AR26" s="120"/>
      <c r="AS26" s="120"/>
      <c r="AT26" s="120"/>
    </row>
    <row r="27" spans="1:46" ht="15" x14ac:dyDescent="0.2">
      <c r="A27" s="114"/>
      <c r="C27" s="662"/>
      <c r="D27" s="662"/>
      <c r="G27" s="369"/>
      <c r="K27" s="115"/>
      <c r="O27" s="120"/>
      <c r="P27" s="120"/>
      <c r="Q27" s="120"/>
      <c r="R27" s="120"/>
      <c r="S27" s="120"/>
      <c r="T27" s="120"/>
      <c r="U27" s="120"/>
      <c r="V27" s="120"/>
      <c r="W27" s="120"/>
      <c r="X27" s="120"/>
      <c r="Y27" s="120"/>
      <c r="Z27" s="120"/>
      <c r="AA27" s="120"/>
      <c r="AB27" s="120"/>
      <c r="AC27" s="120"/>
      <c r="AD27" s="120"/>
      <c r="AE27" s="120"/>
      <c r="AF27" s="120"/>
      <c r="AG27" s="120"/>
      <c r="AH27" s="120"/>
      <c r="AI27" s="120"/>
      <c r="AJ27" s="120"/>
      <c r="AK27" s="120"/>
      <c r="AL27" s="120"/>
      <c r="AM27" s="120"/>
      <c r="AN27" s="120"/>
      <c r="AO27" s="351">
        <v>17.3</v>
      </c>
      <c r="AP27" s="352">
        <v>0.99872000000000005</v>
      </c>
      <c r="AQ27" s="352">
        <v>1.0005200000000001</v>
      </c>
      <c r="AR27" s="120"/>
      <c r="AS27" s="120"/>
      <c r="AT27" s="120"/>
    </row>
    <row r="28" spans="1:46" ht="12.75" customHeight="1" x14ac:dyDescent="0.2">
      <c r="A28" s="114"/>
      <c r="K28" s="115"/>
      <c r="O28" s="120"/>
      <c r="P28" s="120"/>
      <c r="Q28" s="120"/>
      <c r="R28" s="120"/>
      <c r="S28" s="120"/>
      <c r="T28" s="120"/>
      <c r="U28" s="120"/>
      <c r="V28" s="120"/>
      <c r="W28" s="120"/>
      <c r="X28" s="120"/>
      <c r="Y28" s="120"/>
      <c r="Z28" s="120"/>
      <c r="AA28" s="120"/>
      <c r="AB28" s="120"/>
      <c r="AC28" s="120"/>
      <c r="AD28" s="120"/>
      <c r="AE28" s="120"/>
      <c r="AF28" s="120"/>
      <c r="AG28" s="120"/>
      <c r="AH28" s="120"/>
      <c r="AI28" s="120"/>
      <c r="AJ28" s="120"/>
      <c r="AK28" s="120"/>
      <c r="AL28" s="120"/>
      <c r="AM28" s="120"/>
      <c r="AN28" s="120"/>
      <c r="AO28" s="351">
        <v>17.399999999999999</v>
      </c>
      <c r="AP28" s="352">
        <v>0.99870999999999999</v>
      </c>
      <c r="AQ28" s="352">
        <v>1.0004999999999999</v>
      </c>
      <c r="AR28" s="120"/>
      <c r="AS28" s="120"/>
      <c r="AT28" s="120"/>
    </row>
    <row r="29" spans="1:46" ht="12.75" customHeight="1" thickBot="1" x14ac:dyDescent="0.25">
      <c r="A29" s="114"/>
      <c r="K29" s="115"/>
      <c r="O29" s="120"/>
      <c r="P29" s="120"/>
      <c r="Q29" s="120"/>
      <c r="R29" s="120"/>
      <c r="S29" s="120"/>
      <c r="T29" s="120"/>
      <c r="U29" s="120"/>
      <c r="V29" s="120"/>
      <c r="W29" s="120"/>
      <c r="X29" s="120"/>
      <c r="Y29" s="120"/>
      <c r="Z29" s="120"/>
      <c r="AA29" s="120"/>
      <c r="AB29" s="120"/>
      <c r="AC29" s="120"/>
      <c r="AD29" s="120"/>
      <c r="AE29" s="120"/>
      <c r="AF29" s="120"/>
      <c r="AG29" s="120"/>
      <c r="AH29" s="120"/>
      <c r="AI29" s="120"/>
      <c r="AJ29" s="120"/>
      <c r="AK29" s="120"/>
      <c r="AL29" s="120"/>
      <c r="AM29" s="120"/>
      <c r="AN29" s="120"/>
      <c r="AO29" s="351">
        <v>17.5</v>
      </c>
      <c r="AP29" s="352">
        <v>0.99868999999999997</v>
      </c>
      <c r="AQ29" s="352">
        <v>1.00048</v>
      </c>
      <c r="AR29" s="120"/>
      <c r="AS29" s="120"/>
      <c r="AT29" s="120"/>
    </row>
    <row r="30" spans="1:46" ht="19.5" customHeight="1" thickBot="1" x14ac:dyDescent="0.25">
      <c r="A30" s="114"/>
      <c r="C30" s="663" t="s">
        <v>185</v>
      </c>
      <c r="D30" s="664"/>
      <c r="E30" s="664"/>
      <c r="F30" s="664"/>
      <c r="G30" s="665"/>
      <c r="K30" s="385"/>
      <c r="L30" s="386"/>
      <c r="O30" s="120"/>
      <c r="P30" s="218"/>
      <c r="Q30" s="387"/>
      <c r="R30" s="387"/>
      <c r="S30" s="387"/>
      <c r="T30" s="388"/>
      <c r="U30" s="389"/>
      <c r="V30" s="390"/>
      <c r="W30" s="390"/>
      <c r="X30" s="388"/>
      <c r="Y30" s="218"/>
      <c r="Z30" s="218"/>
      <c r="AA30" s="218"/>
      <c r="AB30" s="218"/>
      <c r="AC30" s="218"/>
      <c r="AD30" s="218"/>
      <c r="AE30" s="218"/>
      <c r="AF30" s="218"/>
      <c r="AG30" s="218"/>
      <c r="AH30" s="218"/>
      <c r="AI30" s="391"/>
      <c r="AJ30" s="391"/>
      <c r="AK30" s="391"/>
      <c r="AL30" s="391"/>
      <c r="AM30" s="391"/>
      <c r="AN30" s="391"/>
      <c r="AO30" s="351">
        <v>17.600000000000001</v>
      </c>
      <c r="AP30" s="352">
        <v>0.99866999999999995</v>
      </c>
      <c r="AQ30" s="352">
        <v>1.00047</v>
      </c>
      <c r="AR30" s="391"/>
      <c r="AS30" s="391"/>
      <c r="AT30" s="391"/>
    </row>
    <row r="31" spans="1:46" ht="34.5" customHeight="1" x14ac:dyDescent="0.25">
      <c r="A31" s="114"/>
      <c r="C31" s="392" t="s">
        <v>186</v>
      </c>
      <c r="D31" s="666" t="s">
        <v>187</v>
      </c>
      <c r="E31" s="666"/>
      <c r="F31" s="666" t="s">
        <v>188</v>
      </c>
      <c r="G31" s="667"/>
      <c r="K31" s="115"/>
      <c r="O31" s="120"/>
      <c r="P31" s="218"/>
      <c r="Q31" s="387"/>
      <c r="R31" s="387"/>
      <c r="S31" s="387"/>
      <c r="T31" s="388"/>
      <c r="U31" s="389"/>
      <c r="V31" s="390"/>
      <c r="W31" s="390"/>
      <c r="X31" s="388"/>
      <c r="Y31" s="218"/>
      <c r="Z31" s="218"/>
      <c r="AA31" s="218"/>
      <c r="AB31" s="218"/>
      <c r="AC31" s="218"/>
      <c r="AD31" s="218"/>
      <c r="AE31" s="218"/>
      <c r="AF31" s="393"/>
      <c r="AG31" s="218"/>
      <c r="AH31" s="218"/>
      <c r="AI31" s="355"/>
      <c r="AJ31" s="355"/>
      <c r="AK31" s="355"/>
      <c r="AL31" s="355"/>
      <c r="AM31" s="355"/>
      <c r="AN31" s="355"/>
      <c r="AO31" s="351">
        <v>17.7</v>
      </c>
      <c r="AP31" s="352">
        <v>0.99865000000000004</v>
      </c>
      <c r="AQ31" s="352">
        <v>1.0004500000000001</v>
      </c>
      <c r="AR31" s="355"/>
      <c r="AS31" s="218"/>
      <c r="AT31" s="218"/>
    </row>
    <row r="32" spans="1:46" ht="21.75" customHeight="1" x14ac:dyDescent="0.25">
      <c r="A32" s="114"/>
      <c r="C32" s="394" t="s">
        <v>176</v>
      </c>
      <c r="D32" s="655">
        <v>0</v>
      </c>
      <c r="E32" s="655"/>
      <c r="F32" s="655">
        <f>100-D32</f>
        <v>100</v>
      </c>
      <c r="G32" s="656"/>
      <c r="K32" s="115"/>
      <c r="O32" s="120"/>
      <c r="P32" s="218"/>
      <c r="Q32" s="387"/>
      <c r="R32" s="387"/>
      <c r="S32" s="387"/>
      <c r="T32" s="395"/>
      <c r="U32" s="387"/>
      <c r="V32" s="218"/>
      <c r="W32" s="218"/>
      <c r="X32" s="218"/>
      <c r="Y32" s="387"/>
      <c r="Z32" s="387"/>
      <c r="AA32" s="387"/>
      <c r="AB32" s="396"/>
      <c r="AC32" s="218"/>
      <c r="AD32" s="218"/>
      <c r="AE32" s="218"/>
      <c r="AF32" s="393"/>
      <c r="AG32" s="393"/>
      <c r="AH32" s="355"/>
      <c r="AI32" s="355"/>
      <c r="AJ32" s="355"/>
      <c r="AK32" s="355"/>
      <c r="AL32" s="355"/>
      <c r="AM32" s="355"/>
      <c r="AN32" s="355"/>
      <c r="AO32" s="351">
        <v>17.8</v>
      </c>
      <c r="AP32" s="352">
        <v>0.99863000000000002</v>
      </c>
      <c r="AQ32" s="352">
        <v>1.0004299999999999</v>
      </c>
      <c r="AR32" s="355"/>
      <c r="AS32" s="355"/>
      <c r="AT32" s="355"/>
    </row>
    <row r="33" spans="1:46" ht="21.75" customHeight="1" x14ac:dyDescent="0.25">
      <c r="A33" s="114"/>
      <c r="B33" s="393"/>
      <c r="C33" s="668" t="s">
        <v>189</v>
      </c>
      <c r="D33" s="669"/>
      <c r="E33" s="672" t="s">
        <v>190</v>
      </c>
      <c r="F33" s="672"/>
      <c r="G33" s="673"/>
      <c r="K33" s="115"/>
      <c r="O33" s="120"/>
      <c r="P33" s="218"/>
      <c r="Q33" s="387"/>
      <c r="R33" s="387"/>
      <c r="S33" s="387"/>
      <c r="T33" s="395"/>
      <c r="U33" s="218"/>
      <c r="V33" s="218"/>
      <c r="W33" s="218"/>
      <c r="X33" s="218"/>
      <c r="Y33" s="218"/>
      <c r="Z33" s="218"/>
      <c r="AA33" s="218"/>
      <c r="AB33" s="218"/>
      <c r="AC33" s="218"/>
      <c r="AD33" s="218"/>
      <c r="AE33" s="218"/>
      <c r="AF33" s="218"/>
      <c r="AG33" s="218"/>
      <c r="AH33" s="218"/>
      <c r="AI33" s="355"/>
      <c r="AJ33" s="355"/>
      <c r="AK33" s="355"/>
      <c r="AL33" s="355"/>
      <c r="AM33" s="355"/>
      <c r="AN33" s="355"/>
      <c r="AO33" s="351">
        <v>17.899999999999999</v>
      </c>
      <c r="AP33" s="352">
        <v>0.99861999999999995</v>
      </c>
      <c r="AQ33" s="352">
        <v>1.00041</v>
      </c>
      <c r="AR33" s="355"/>
      <c r="AS33" s="355"/>
      <c r="AT33" s="355"/>
    </row>
    <row r="34" spans="1:46" thickBot="1" x14ac:dyDescent="0.25">
      <c r="A34" s="114"/>
      <c r="C34" s="670"/>
      <c r="D34" s="671"/>
      <c r="E34" s="674"/>
      <c r="F34" s="674"/>
      <c r="G34" s="675"/>
      <c r="K34" s="115"/>
      <c r="O34" s="218"/>
      <c r="P34" s="218"/>
      <c r="Q34" s="218"/>
      <c r="R34" s="218"/>
      <c r="S34" s="218"/>
      <c r="T34" s="218"/>
      <c r="U34" s="218"/>
      <c r="V34" s="218"/>
      <c r="W34" s="218"/>
      <c r="X34" s="218"/>
      <c r="Y34" s="218"/>
      <c r="Z34" s="218"/>
      <c r="AA34" s="218"/>
      <c r="AB34" s="218"/>
      <c r="AC34" s="218"/>
      <c r="AD34" s="218"/>
      <c r="AE34" s="218"/>
      <c r="AF34" s="218"/>
      <c r="AG34" s="218"/>
      <c r="AH34" s="355"/>
      <c r="AI34" s="355"/>
      <c r="AJ34" s="355"/>
      <c r="AK34" s="355"/>
      <c r="AL34" s="355"/>
      <c r="AM34" s="355"/>
      <c r="AN34" s="355"/>
      <c r="AO34" s="349">
        <v>18</v>
      </c>
      <c r="AP34" s="350">
        <v>0.99860000000000004</v>
      </c>
      <c r="AQ34" s="350">
        <v>1.0003899999999999</v>
      </c>
      <c r="AR34" s="355"/>
      <c r="AS34" s="355"/>
      <c r="AT34" s="355"/>
    </row>
    <row r="35" spans="1:46" ht="19.5" x14ac:dyDescent="0.35">
      <c r="A35" s="397"/>
      <c r="B35" s="218"/>
      <c r="C35" s="218"/>
      <c r="D35" s="218"/>
      <c r="E35" s="218"/>
      <c r="F35" s="218"/>
      <c r="H35" s="218"/>
      <c r="I35" s="218"/>
      <c r="J35" s="218"/>
      <c r="K35" s="398"/>
      <c r="N35" s="120" t="s">
        <v>191</v>
      </c>
      <c r="O35" s="399" t="s">
        <v>192</v>
      </c>
      <c r="P35" s="399"/>
      <c r="Q35" s="367" t="s">
        <v>4</v>
      </c>
      <c r="R35" s="368" t="s">
        <v>175</v>
      </c>
      <c r="S35" s="399"/>
      <c r="T35" s="399"/>
      <c r="U35" s="399"/>
      <c r="V35" s="399"/>
      <c r="W35" s="399"/>
      <c r="X35" s="399"/>
      <c r="Y35" s="399"/>
      <c r="Z35" s="399"/>
      <c r="AA35" s="399"/>
      <c r="AB35" s="399"/>
      <c r="AC35" s="218"/>
      <c r="AD35" s="218"/>
      <c r="AE35" s="218"/>
      <c r="AF35" s="218"/>
      <c r="AG35" s="218"/>
      <c r="AH35" s="355"/>
      <c r="AI35" s="355"/>
      <c r="AJ35" s="355"/>
      <c r="AK35" s="355"/>
      <c r="AL35" s="355"/>
      <c r="AM35" s="355"/>
      <c r="AN35" s="355"/>
      <c r="AO35" s="351">
        <v>18.100000000000001</v>
      </c>
      <c r="AP35" s="352">
        <v>0.99858000000000002</v>
      </c>
      <c r="AQ35" s="352">
        <v>1.00037</v>
      </c>
      <c r="AR35" s="355"/>
      <c r="AS35" s="355"/>
      <c r="AT35" s="355"/>
    </row>
    <row r="36" spans="1:46" s="218" customFormat="1" ht="22.5" customHeight="1" thickBot="1" x14ac:dyDescent="0.25">
      <c r="A36" s="676" t="s">
        <v>109</v>
      </c>
      <c r="B36" s="677"/>
      <c r="C36" s="677"/>
      <c r="D36" s="677"/>
      <c r="E36" s="677"/>
      <c r="F36" s="678" t="s">
        <v>143</v>
      </c>
      <c r="G36" s="678"/>
      <c r="I36" s="678" t="s">
        <v>144</v>
      </c>
      <c r="J36" s="678"/>
      <c r="K36" s="679"/>
      <c r="N36" s="400">
        <f>+IF(G20="","",(G20*G24)/(G21+G20-G22))</f>
        <v>2.5742093257219847</v>
      </c>
      <c r="O36" s="401">
        <f>VLOOKUP(G23,AO3:AQ163,3,FALSE)</f>
        <v>0.99992000000000003</v>
      </c>
      <c r="P36" s="399"/>
      <c r="Q36" s="402"/>
      <c r="R36" s="403"/>
      <c r="S36" s="399"/>
      <c r="T36" s="399"/>
      <c r="U36" s="399"/>
      <c r="V36" s="399"/>
      <c r="W36" s="399"/>
      <c r="X36" s="399"/>
      <c r="Y36" s="399"/>
      <c r="Z36" s="399"/>
      <c r="AA36" s="399"/>
      <c r="AB36" s="399"/>
      <c r="AH36" s="355"/>
      <c r="AI36" s="355"/>
      <c r="AJ36" s="355"/>
      <c r="AK36" s="355"/>
      <c r="AL36" s="355"/>
      <c r="AM36" s="355"/>
      <c r="AN36" s="355"/>
      <c r="AO36" s="351">
        <v>18.2</v>
      </c>
      <c r="AP36" s="352">
        <v>0.99856</v>
      </c>
      <c r="AQ36" s="352">
        <v>1.0003500000000001</v>
      </c>
      <c r="AR36" s="355"/>
      <c r="AS36" s="355"/>
      <c r="AT36" s="355"/>
    </row>
    <row r="37" spans="1:46" s="218" customFormat="1" ht="24.75" customHeight="1" x14ac:dyDescent="0.2">
      <c r="A37" s="689" t="s">
        <v>110</v>
      </c>
      <c r="B37" s="690"/>
      <c r="C37" s="690"/>
      <c r="D37" s="690"/>
      <c r="E37" s="690"/>
      <c r="F37" s="404"/>
      <c r="G37" s="405"/>
      <c r="I37" s="404"/>
      <c r="J37" s="405"/>
      <c r="K37" s="398"/>
      <c r="M37" s="120"/>
      <c r="N37" s="406">
        <f>1/((D32/(100*N42))+(F32/(100*N36)))</f>
        <v>2.5742093257219847</v>
      </c>
      <c r="O37" s="407"/>
      <c r="AH37" s="355"/>
      <c r="AI37" s="355"/>
      <c r="AJ37" s="355"/>
      <c r="AK37" s="355"/>
      <c r="AL37" s="355"/>
      <c r="AM37" s="355"/>
      <c r="AN37" s="355"/>
      <c r="AO37" s="351">
        <v>18.3</v>
      </c>
      <c r="AP37" s="352">
        <v>0.99853999999999998</v>
      </c>
      <c r="AQ37" s="352">
        <v>1.00034</v>
      </c>
      <c r="AR37" s="355"/>
      <c r="AS37" s="355"/>
      <c r="AT37" s="355"/>
    </row>
    <row r="38" spans="1:46" s="218" customFormat="1" ht="24.75" customHeight="1" x14ac:dyDescent="0.2">
      <c r="A38" s="689"/>
      <c r="B38" s="690"/>
      <c r="C38" s="690"/>
      <c r="D38" s="690"/>
      <c r="E38" s="690"/>
      <c r="F38" s="408"/>
      <c r="I38" s="408"/>
      <c r="K38" s="398"/>
      <c r="M38" s="120"/>
      <c r="N38" s="409">
        <f>N36*O36</f>
        <v>2.5740033889759268</v>
      </c>
      <c r="O38" s="407"/>
      <c r="S38" s="410"/>
      <c r="T38" s="410"/>
      <c r="U38" s="410"/>
      <c r="V38" s="410"/>
      <c r="W38" s="410"/>
      <c r="X38" s="410"/>
      <c r="Y38" s="410"/>
      <c r="Z38" s="410"/>
      <c r="AA38" s="410"/>
      <c r="AB38" s="410"/>
      <c r="AH38" s="355"/>
      <c r="AI38" s="355"/>
      <c r="AJ38" s="355"/>
      <c r="AK38" s="355"/>
      <c r="AL38" s="355"/>
      <c r="AM38" s="355"/>
      <c r="AN38" s="355"/>
      <c r="AO38" s="351">
        <v>18.399999999999999</v>
      </c>
      <c r="AP38" s="352">
        <v>0.99851999999999996</v>
      </c>
      <c r="AQ38" s="352">
        <v>1.0003200000000001</v>
      </c>
      <c r="AR38" s="355"/>
      <c r="AS38" s="355"/>
      <c r="AT38" s="355"/>
    </row>
    <row r="39" spans="1:46" s="218" customFormat="1" ht="24.75" customHeight="1" x14ac:dyDescent="0.25">
      <c r="A39" s="689"/>
      <c r="B39" s="690"/>
      <c r="C39" s="690"/>
      <c r="D39" s="690"/>
      <c r="E39" s="690"/>
      <c r="F39" s="408"/>
      <c r="I39" s="408"/>
      <c r="K39" s="398"/>
      <c r="M39" s="387"/>
      <c r="N39" s="411">
        <v>30</v>
      </c>
      <c r="O39" s="412" t="s">
        <v>193</v>
      </c>
      <c r="P39" s="410"/>
      <c r="Q39" s="410"/>
      <c r="R39" s="410"/>
      <c r="S39" s="249"/>
      <c r="T39" s="249"/>
      <c r="U39" s="249"/>
      <c r="V39" s="249"/>
      <c r="W39" s="249"/>
      <c r="X39" s="249"/>
      <c r="Y39" s="249"/>
      <c r="Z39" s="249"/>
      <c r="AA39" s="249"/>
      <c r="AB39" s="249"/>
      <c r="AC39" s="249"/>
      <c r="AD39" s="249"/>
      <c r="AE39" s="249"/>
      <c r="AF39" s="249"/>
      <c r="AG39" s="249"/>
      <c r="AH39" s="249"/>
      <c r="AI39" s="249"/>
      <c r="AJ39" s="249"/>
      <c r="AK39" s="249"/>
      <c r="AL39" s="249"/>
      <c r="AM39" s="249"/>
      <c r="AN39" s="249"/>
      <c r="AO39" s="351">
        <v>18.5</v>
      </c>
      <c r="AP39" s="352">
        <v>0.99850000000000005</v>
      </c>
      <c r="AQ39" s="352">
        <v>1.0003</v>
      </c>
      <c r="AR39" s="249"/>
      <c r="AS39" s="249"/>
      <c r="AT39" s="249"/>
    </row>
    <row r="40" spans="1:46" s="218" customFormat="1" ht="15" x14ac:dyDescent="0.25">
      <c r="A40" s="689"/>
      <c r="B40" s="690"/>
      <c r="C40" s="690"/>
      <c r="D40" s="690"/>
      <c r="E40" s="690"/>
      <c r="F40" s="408"/>
      <c r="G40" s="405"/>
      <c r="H40" s="387"/>
      <c r="I40" s="408"/>
      <c r="J40" s="405"/>
      <c r="K40" s="413"/>
      <c r="N40" s="414">
        <v>11</v>
      </c>
      <c r="O40" s="387" t="s">
        <v>194</v>
      </c>
      <c r="P40" s="249"/>
      <c r="Q40" s="249"/>
      <c r="R40" s="249"/>
      <c r="X40" s="415"/>
      <c r="Y40" s="416"/>
      <c r="Z40" s="416"/>
      <c r="AA40" s="416"/>
      <c r="AH40" s="355"/>
      <c r="AI40" s="355"/>
      <c r="AJ40" s="355"/>
      <c r="AK40" s="355"/>
      <c r="AL40" s="355"/>
      <c r="AM40" s="355"/>
      <c r="AN40" s="355"/>
      <c r="AO40" s="351">
        <v>18.600000000000001</v>
      </c>
      <c r="AP40" s="352">
        <v>0.99848000000000003</v>
      </c>
      <c r="AQ40" s="352">
        <v>1.0002800000000001</v>
      </c>
      <c r="AR40" s="355"/>
      <c r="AS40" s="355"/>
      <c r="AT40" s="355"/>
    </row>
    <row r="41" spans="1:46" s="218" customFormat="1" ht="22.5" customHeight="1" x14ac:dyDescent="0.25">
      <c r="A41" s="689"/>
      <c r="B41" s="690"/>
      <c r="C41" s="690"/>
      <c r="D41" s="690"/>
      <c r="E41" s="690"/>
      <c r="F41" s="691" t="s">
        <v>145</v>
      </c>
      <c r="G41" s="691"/>
      <c r="H41" s="387"/>
      <c r="I41" s="691" t="s">
        <v>154</v>
      </c>
      <c r="J41" s="691"/>
      <c r="K41" s="692"/>
      <c r="L41" s="399"/>
      <c r="M41" s="399"/>
      <c r="N41" s="354"/>
      <c r="O41" s="218" t="s">
        <v>195</v>
      </c>
      <c r="S41" s="399"/>
      <c r="T41" s="399"/>
      <c r="U41" s="399"/>
      <c r="V41" s="399"/>
      <c r="W41" s="399"/>
      <c r="X41" s="399"/>
      <c r="Y41" s="399"/>
      <c r="Z41" s="249"/>
      <c r="AA41" s="249"/>
      <c r="AB41" s="249"/>
      <c r="AC41" s="249"/>
      <c r="AD41" s="249"/>
      <c r="AE41" s="249"/>
      <c r="AF41" s="249"/>
      <c r="AG41" s="249"/>
      <c r="AH41" s="249"/>
      <c r="AI41" s="249"/>
      <c r="AJ41" s="249"/>
      <c r="AK41" s="249"/>
      <c r="AL41" s="249"/>
      <c r="AM41" s="249"/>
      <c r="AN41" s="249"/>
      <c r="AO41" s="351">
        <v>18.7</v>
      </c>
      <c r="AP41" s="352">
        <v>0.99846999999999997</v>
      </c>
      <c r="AQ41" s="352">
        <v>1.0002599999999999</v>
      </c>
      <c r="AR41" s="249"/>
      <c r="AS41" s="249"/>
      <c r="AT41" s="249"/>
    </row>
    <row r="42" spans="1:46" s="218" customFormat="1" ht="21" customHeight="1" x14ac:dyDescent="0.25">
      <c r="A42" s="689"/>
      <c r="B42" s="690"/>
      <c r="C42" s="690"/>
      <c r="D42" s="690"/>
      <c r="E42" s="690"/>
      <c r="F42" s="678" t="s">
        <v>146</v>
      </c>
      <c r="G42" s="678"/>
      <c r="I42" s="678" t="s">
        <v>196</v>
      </c>
      <c r="J42" s="678"/>
      <c r="K42" s="679"/>
      <c r="L42" s="399"/>
      <c r="M42" s="399"/>
      <c r="N42" s="417">
        <f>N39/(N39-N40)</f>
        <v>1.5789473684210527</v>
      </c>
      <c r="O42" s="681" t="s">
        <v>197</v>
      </c>
      <c r="P42" s="682"/>
      <c r="Q42" s="682"/>
      <c r="R42" s="682"/>
      <c r="S42" s="399"/>
      <c r="T42" s="399"/>
      <c r="U42" s="399"/>
      <c r="V42" s="399"/>
      <c r="W42" s="399"/>
      <c r="X42" s="399"/>
      <c r="Y42" s="399"/>
      <c r="Z42" s="249"/>
      <c r="AA42" s="249"/>
      <c r="AB42" s="249"/>
      <c r="AC42" s="249"/>
      <c r="AD42" s="249"/>
      <c r="AE42" s="249"/>
      <c r="AF42" s="249"/>
      <c r="AG42" s="249"/>
      <c r="AH42" s="249"/>
      <c r="AI42" s="249"/>
      <c r="AJ42" s="249"/>
      <c r="AK42" s="249"/>
      <c r="AL42" s="249"/>
      <c r="AM42" s="249"/>
      <c r="AN42" s="249"/>
      <c r="AO42" s="351">
        <v>18.8</v>
      </c>
      <c r="AP42" s="352">
        <v>0.99844999999999995</v>
      </c>
      <c r="AQ42" s="352">
        <v>1.00024</v>
      </c>
      <c r="AR42" s="249"/>
      <c r="AS42" s="249"/>
      <c r="AT42" s="249"/>
    </row>
    <row r="43" spans="1:46" s="218" customFormat="1" thickBot="1" x14ac:dyDescent="0.3">
      <c r="A43" s="683" t="s">
        <v>198</v>
      </c>
      <c r="B43" s="684"/>
      <c r="C43" s="684"/>
      <c r="D43" s="684"/>
      <c r="E43" s="684"/>
      <c r="F43" s="684"/>
      <c r="G43" s="684"/>
      <c r="H43" s="684"/>
      <c r="I43" s="684"/>
      <c r="J43" s="684"/>
      <c r="K43" s="685"/>
      <c r="O43" s="249"/>
      <c r="P43" s="249"/>
      <c r="Q43" s="249"/>
      <c r="R43" s="249"/>
      <c r="S43" s="249"/>
      <c r="T43" s="249"/>
      <c r="U43" s="249"/>
      <c r="V43" s="249"/>
      <c r="W43" s="249"/>
      <c r="X43" s="249"/>
      <c r="Y43" s="249"/>
      <c r="Z43" s="249"/>
      <c r="AA43" s="249"/>
      <c r="AB43" s="249"/>
      <c r="AC43" s="249"/>
      <c r="AD43" s="249"/>
      <c r="AE43" s="249"/>
      <c r="AF43" s="249"/>
      <c r="AG43" s="249"/>
      <c r="AH43" s="249"/>
      <c r="AI43" s="249"/>
      <c r="AJ43" s="249"/>
      <c r="AK43" s="249"/>
      <c r="AL43" s="249"/>
      <c r="AM43" s="249"/>
      <c r="AN43" s="249"/>
      <c r="AO43" s="351">
        <v>18.899999999999999</v>
      </c>
      <c r="AP43" s="352">
        <v>0.99843000000000004</v>
      </c>
      <c r="AQ43" s="352">
        <v>1.0002200000000001</v>
      </c>
      <c r="AR43" s="249"/>
      <c r="AS43" s="249"/>
      <c r="AT43" s="249"/>
    </row>
    <row r="44" spans="1:46" s="218" customFormat="1" thickBot="1" x14ac:dyDescent="0.3">
      <c r="A44" s="249"/>
      <c r="B44" s="249"/>
      <c r="C44" s="249"/>
      <c r="D44" s="249"/>
      <c r="E44" s="249"/>
      <c r="F44" s="249"/>
      <c r="G44" s="249"/>
      <c r="H44" s="249"/>
      <c r="I44" s="249"/>
      <c r="J44" s="249"/>
      <c r="K44" s="249"/>
      <c r="L44" s="412"/>
      <c r="M44" s="410"/>
      <c r="N44" s="410"/>
      <c r="O44" s="410"/>
      <c r="P44" s="410"/>
      <c r="Q44" s="410"/>
      <c r="R44" s="410"/>
      <c r="S44" s="410"/>
      <c r="T44" s="410"/>
      <c r="U44" s="410"/>
      <c r="V44" s="410"/>
      <c r="W44" s="410"/>
      <c r="X44" s="410"/>
      <c r="Y44" s="410"/>
      <c r="Z44" s="249"/>
      <c r="AA44" s="249"/>
      <c r="AB44" s="249"/>
      <c r="AC44" s="249"/>
      <c r="AD44" s="249"/>
      <c r="AE44" s="249"/>
      <c r="AF44" s="249"/>
      <c r="AG44" s="249"/>
      <c r="AH44" s="249"/>
      <c r="AI44" s="249"/>
      <c r="AJ44" s="249"/>
      <c r="AK44" s="249"/>
      <c r="AL44" s="249"/>
      <c r="AM44" s="249"/>
      <c r="AN44" s="249"/>
      <c r="AO44" s="349">
        <v>19</v>
      </c>
      <c r="AP44" s="350">
        <v>0.99841000000000002</v>
      </c>
      <c r="AQ44" s="350">
        <v>1.0002</v>
      </c>
      <c r="AR44" s="249"/>
      <c r="AS44" s="249"/>
      <c r="AT44" s="249"/>
    </row>
    <row r="45" spans="1:46" s="249" customFormat="1" ht="29.25" thickBot="1" x14ac:dyDescent="0.3">
      <c r="A45" s="218"/>
      <c r="B45" s="200">
        <v>9</v>
      </c>
      <c r="C45" s="510" t="s">
        <v>135</v>
      </c>
      <c r="D45" s="510"/>
      <c r="E45" s="200"/>
      <c r="F45" s="201" t="s">
        <v>136</v>
      </c>
      <c r="G45" s="218"/>
      <c r="H45" s="416"/>
      <c r="I45" s="416"/>
      <c r="J45" s="416"/>
      <c r="K45" s="218"/>
      <c r="AO45" s="351">
        <v>19.100000000000001</v>
      </c>
      <c r="AP45" s="352">
        <v>0.99839</v>
      </c>
      <c r="AQ45" s="352">
        <v>1.0001800000000001</v>
      </c>
    </row>
    <row r="46" spans="1:46" s="218" customFormat="1" x14ac:dyDescent="0.25">
      <c r="A46" s="120"/>
      <c r="B46" s="120"/>
      <c r="C46" s="510"/>
      <c r="D46" s="510"/>
      <c r="E46" s="202"/>
      <c r="F46" s="120"/>
      <c r="G46" s="120"/>
      <c r="H46" s="120"/>
      <c r="I46" s="120"/>
      <c r="J46" s="120"/>
      <c r="K46" s="120"/>
      <c r="O46" s="249"/>
      <c r="P46" s="249"/>
      <c r="Q46" s="249"/>
      <c r="R46" s="249"/>
      <c r="S46" s="249"/>
      <c r="T46" s="249"/>
      <c r="U46" s="249"/>
      <c r="V46" s="249"/>
      <c r="W46" s="249"/>
      <c r="X46" s="249"/>
      <c r="Y46" s="249"/>
      <c r="Z46" s="249"/>
      <c r="AA46" s="249"/>
      <c r="AB46" s="249"/>
      <c r="AC46" s="249"/>
      <c r="AD46" s="249"/>
      <c r="AE46" s="249"/>
      <c r="AF46" s="249"/>
      <c r="AG46" s="249"/>
      <c r="AH46" s="249"/>
      <c r="AI46" s="249"/>
      <c r="AJ46" s="249"/>
      <c r="AK46" s="249"/>
      <c r="AL46" s="249"/>
      <c r="AM46" s="249"/>
      <c r="AN46" s="249"/>
      <c r="AO46" s="351">
        <v>19.2</v>
      </c>
      <c r="AP46" s="352">
        <v>0.99836999999999998</v>
      </c>
      <c r="AQ46" s="352">
        <v>1.0001599999999999</v>
      </c>
      <c r="AR46" s="249"/>
      <c r="AS46" s="249"/>
      <c r="AT46" s="249"/>
    </row>
    <row r="47" spans="1:46" x14ac:dyDescent="0.25">
      <c r="C47" s="510"/>
      <c r="D47" s="510"/>
      <c r="E47" s="202"/>
      <c r="AO47" s="351">
        <v>19.3</v>
      </c>
      <c r="AP47" s="352">
        <v>0.99834999999999996</v>
      </c>
      <c r="AQ47" s="352">
        <v>1.00014</v>
      </c>
    </row>
    <row r="48" spans="1:46" x14ac:dyDescent="0.25">
      <c r="C48" s="510"/>
      <c r="D48" s="510"/>
      <c r="E48" s="202"/>
      <c r="AO48" s="351">
        <v>19.399999999999999</v>
      </c>
      <c r="AP48" s="352">
        <v>0.99833000000000005</v>
      </c>
      <c r="AQ48" s="352">
        <v>1.0001199999999999</v>
      </c>
    </row>
    <row r="49" spans="2:43" x14ac:dyDescent="0.25">
      <c r="C49" s="510"/>
      <c r="D49" s="510"/>
      <c r="AO49" s="351">
        <v>19.5</v>
      </c>
      <c r="AP49" s="352">
        <v>0.99831000000000003</v>
      </c>
      <c r="AQ49" s="352">
        <v>1.0001</v>
      </c>
    </row>
    <row r="50" spans="2:43" x14ac:dyDescent="0.25">
      <c r="C50" s="510"/>
      <c r="D50" s="510"/>
      <c r="AO50" s="351">
        <v>19.600000000000001</v>
      </c>
      <c r="AP50" s="352">
        <v>0.99829000000000001</v>
      </c>
      <c r="AQ50" s="352">
        <v>1.0000800000000001</v>
      </c>
    </row>
    <row r="51" spans="2:43" x14ac:dyDescent="0.25">
      <c r="AO51" s="351">
        <v>19.7</v>
      </c>
      <c r="AP51" s="352">
        <v>0.99826999999999999</v>
      </c>
      <c r="AQ51" s="352">
        <v>1.0000599999999999</v>
      </c>
    </row>
    <row r="52" spans="2:43" x14ac:dyDescent="0.25">
      <c r="AO52" s="351">
        <v>19.8</v>
      </c>
      <c r="AP52" s="352">
        <v>0.99824999999999997</v>
      </c>
      <c r="AQ52" s="352">
        <v>1.00004</v>
      </c>
    </row>
    <row r="53" spans="2:43" x14ac:dyDescent="0.25">
      <c r="AO53" s="351">
        <v>19.899999999999999</v>
      </c>
      <c r="AP53" s="352">
        <v>0.99822999999999995</v>
      </c>
      <c r="AQ53" s="352">
        <v>1.0000199999999999</v>
      </c>
    </row>
    <row r="54" spans="2:43" x14ac:dyDescent="0.25">
      <c r="AO54" s="349">
        <v>20</v>
      </c>
      <c r="AP54" s="350">
        <v>0.99821000000000004</v>
      </c>
      <c r="AQ54" s="350">
        <v>1</v>
      </c>
    </row>
    <row r="55" spans="2:43" x14ac:dyDescent="0.25">
      <c r="Q55" s="686" t="s">
        <v>199</v>
      </c>
      <c r="R55" s="686"/>
      <c r="S55" s="686"/>
      <c r="T55" s="686"/>
      <c r="U55" s="686"/>
      <c r="V55" s="686"/>
      <c r="W55" s="686"/>
      <c r="X55" s="686"/>
      <c r="AO55" s="351">
        <v>20.100000000000001</v>
      </c>
      <c r="AP55" s="352">
        <v>0.99819000000000002</v>
      </c>
      <c r="AQ55" s="352">
        <v>0.99997999999999998</v>
      </c>
    </row>
    <row r="56" spans="2:43" ht="21" x14ac:dyDescent="0.25">
      <c r="P56" s="418"/>
      <c r="Q56" s="686"/>
      <c r="R56" s="686"/>
      <c r="S56" s="686"/>
      <c r="T56" s="686"/>
      <c r="U56" s="686"/>
      <c r="V56" s="686"/>
      <c r="W56" s="686"/>
      <c r="X56" s="686"/>
      <c r="AO56" s="351">
        <v>20.2</v>
      </c>
      <c r="AP56" s="352">
        <v>0.99816000000000005</v>
      </c>
      <c r="AQ56" s="352">
        <v>0.99995999999999996</v>
      </c>
    </row>
    <row r="57" spans="2:43" ht="23.25" x14ac:dyDescent="0.35">
      <c r="B57" s="178">
        <v>1</v>
      </c>
      <c r="C57" s="179"/>
      <c r="D57" s="178">
        <v>2</v>
      </c>
      <c r="E57" s="179"/>
      <c r="F57" s="178">
        <v>3</v>
      </c>
      <c r="G57" s="179"/>
      <c r="H57" s="178">
        <v>4</v>
      </c>
      <c r="I57" s="179"/>
      <c r="J57" s="178">
        <v>5</v>
      </c>
      <c r="K57" s="179"/>
      <c r="P57" s="687" t="s">
        <v>200</v>
      </c>
      <c r="Q57" s="687"/>
      <c r="R57" s="249">
        <v>1</v>
      </c>
      <c r="S57" s="680" t="s">
        <v>201</v>
      </c>
      <c r="T57" s="680"/>
      <c r="U57" s="249">
        <v>2</v>
      </c>
      <c r="V57" s="688" t="s">
        <v>202</v>
      </c>
      <c r="W57" s="688"/>
      <c r="X57" s="249">
        <v>6</v>
      </c>
      <c r="Y57" s="680" t="s">
        <v>203</v>
      </c>
      <c r="Z57" s="680"/>
      <c r="AA57" s="249">
        <v>7</v>
      </c>
      <c r="AB57" s="680" t="s">
        <v>204</v>
      </c>
      <c r="AC57" s="680"/>
      <c r="AD57" s="249">
        <v>8</v>
      </c>
      <c r="AO57" s="351">
        <v>20.3</v>
      </c>
      <c r="AP57" s="352">
        <v>0.99814000000000003</v>
      </c>
      <c r="AQ57" s="352">
        <v>0.99994000000000005</v>
      </c>
    </row>
    <row r="58" spans="2:43" x14ac:dyDescent="0.25">
      <c r="B58" s="180" t="s">
        <v>133</v>
      </c>
      <c r="C58" s="180" t="s">
        <v>134</v>
      </c>
      <c r="D58" s="180" t="s">
        <v>133</v>
      </c>
      <c r="E58" s="180" t="s">
        <v>134</v>
      </c>
      <c r="F58" s="180" t="s">
        <v>133</v>
      </c>
      <c r="G58" s="180" t="s">
        <v>134</v>
      </c>
      <c r="H58" s="180" t="s">
        <v>133</v>
      </c>
      <c r="I58" s="180" t="s">
        <v>134</v>
      </c>
      <c r="J58" s="181" t="s">
        <v>133</v>
      </c>
      <c r="K58" s="181" t="s">
        <v>134</v>
      </c>
      <c r="L58" s="178">
        <v>6</v>
      </c>
      <c r="M58" s="179"/>
      <c r="P58" s="249">
        <v>18.5</v>
      </c>
      <c r="Q58" s="249">
        <v>686.27415000000008</v>
      </c>
      <c r="S58" s="249">
        <v>19.2</v>
      </c>
      <c r="T58" s="249">
        <v>692.91656</v>
      </c>
      <c r="V58" s="249">
        <v>19.399999999999999</v>
      </c>
      <c r="W58" s="249">
        <v>354.76655999999997</v>
      </c>
      <c r="Y58" s="249">
        <v>28.7</v>
      </c>
      <c r="Z58" s="249">
        <v>652.20000000000005</v>
      </c>
      <c r="AB58" s="249">
        <v>27.8</v>
      </c>
      <c r="AC58" s="249">
        <v>647.86</v>
      </c>
      <c r="AO58" s="351">
        <v>20.399999999999999</v>
      </c>
      <c r="AP58" s="352">
        <v>0.99812000000000001</v>
      </c>
      <c r="AQ58" s="352">
        <v>0.99992000000000003</v>
      </c>
    </row>
    <row r="59" spans="2:43" x14ac:dyDescent="0.25">
      <c r="B59" s="180">
        <v>40.799999999999997</v>
      </c>
      <c r="C59" s="180">
        <v>682.68</v>
      </c>
      <c r="D59" s="180">
        <v>40.299999999999997</v>
      </c>
      <c r="E59" s="180">
        <v>689.51</v>
      </c>
      <c r="F59" s="180">
        <v>39.1</v>
      </c>
      <c r="G59" s="180">
        <v>346.88</v>
      </c>
      <c r="H59" s="180">
        <v>40.299999999999997</v>
      </c>
      <c r="I59" s="180">
        <v>341.81</v>
      </c>
      <c r="J59" s="181">
        <v>36.6</v>
      </c>
      <c r="K59" s="181">
        <v>341.6</v>
      </c>
      <c r="L59" s="181" t="s">
        <v>133</v>
      </c>
      <c r="M59" s="181" t="s">
        <v>134</v>
      </c>
      <c r="P59" s="249">
        <v>18.600000000000001</v>
      </c>
      <c r="Q59" s="249">
        <v>686.26774</v>
      </c>
      <c r="S59" s="249">
        <v>19.3</v>
      </c>
      <c r="T59" s="249">
        <v>692.90524000000005</v>
      </c>
      <c r="V59" s="249">
        <v>19.5</v>
      </c>
      <c r="W59" s="249">
        <v>354.76179999999999</v>
      </c>
      <c r="Y59" s="249">
        <v>26.6</v>
      </c>
      <c r="Z59" s="249">
        <v>652.39</v>
      </c>
      <c r="AB59" s="249">
        <v>25.8</v>
      </c>
      <c r="AC59" s="249">
        <v>648.21</v>
      </c>
      <c r="AO59" s="351">
        <v>20.5</v>
      </c>
      <c r="AP59" s="352">
        <v>0.99809999999999999</v>
      </c>
      <c r="AQ59" s="352">
        <v>0.99990000000000001</v>
      </c>
    </row>
    <row r="60" spans="2:43" x14ac:dyDescent="0.25">
      <c r="B60" s="180">
        <v>38.6</v>
      </c>
      <c r="C60" s="180">
        <v>683.11</v>
      </c>
      <c r="D60" s="180">
        <v>38.200000000000003</v>
      </c>
      <c r="E60" s="180">
        <v>689.95</v>
      </c>
      <c r="F60" s="180">
        <v>37</v>
      </c>
      <c r="G60" s="180">
        <v>346.98</v>
      </c>
      <c r="H60" s="180">
        <v>38.5</v>
      </c>
      <c r="I60" s="180">
        <v>341.9</v>
      </c>
      <c r="J60" s="181">
        <v>29.5</v>
      </c>
      <c r="K60" s="181">
        <v>342.12</v>
      </c>
      <c r="L60" s="181">
        <v>36.4</v>
      </c>
      <c r="M60" s="181">
        <v>353.61</v>
      </c>
      <c r="P60" s="249">
        <v>18.700000000000003</v>
      </c>
      <c r="Q60" s="249">
        <v>686.26133000000004</v>
      </c>
      <c r="S60" s="249">
        <v>19.400000000000002</v>
      </c>
      <c r="T60" s="249">
        <v>692.89391999999998</v>
      </c>
      <c r="V60" s="249">
        <v>19.600000000000001</v>
      </c>
      <c r="W60" s="249">
        <v>354.75704000000002</v>
      </c>
      <c r="Y60" s="249">
        <v>24.9</v>
      </c>
      <c r="Z60" s="249">
        <v>652.63</v>
      </c>
      <c r="AB60" s="249">
        <v>24.7</v>
      </c>
      <c r="AC60" s="249">
        <v>648.4</v>
      </c>
      <c r="AO60" s="351">
        <v>20.6</v>
      </c>
      <c r="AP60" s="352">
        <v>0.99807999999999997</v>
      </c>
      <c r="AQ60" s="352">
        <v>0.99987000000000004</v>
      </c>
    </row>
    <row r="61" spans="2:43" x14ac:dyDescent="0.25">
      <c r="B61" s="180">
        <v>36.9</v>
      </c>
      <c r="C61" s="180">
        <v>683.4</v>
      </c>
      <c r="D61" s="180">
        <v>36.299999999999997</v>
      </c>
      <c r="E61" s="180">
        <v>690.2</v>
      </c>
      <c r="F61" s="180">
        <v>34.799999999999997</v>
      </c>
      <c r="G61" s="180">
        <v>347.22</v>
      </c>
      <c r="H61" s="180">
        <v>35.5</v>
      </c>
      <c r="I61" s="180">
        <v>342.18</v>
      </c>
      <c r="J61" s="181">
        <v>25.7</v>
      </c>
      <c r="K61" s="181">
        <v>342.42</v>
      </c>
      <c r="L61" s="181">
        <v>29.8</v>
      </c>
      <c r="M61" s="181">
        <v>354.15</v>
      </c>
      <c r="P61" s="249">
        <v>18.800000000000004</v>
      </c>
      <c r="Q61" s="249">
        <v>686.25492000000008</v>
      </c>
      <c r="S61" s="249">
        <v>19.500000000000004</v>
      </c>
      <c r="T61" s="249">
        <v>692.88260000000002</v>
      </c>
      <c r="V61" s="249">
        <v>19.700000000000003</v>
      </c>
      <c r="W61" s="249">
        <v>354.75227999999998</v>
      </c>
      <c r="Y61" s="249">
        <v>23.3</v>
      </c>
      <c r="Z61" s="249">
        <v>652.79</v>
      </c>
      <c r="AB61" s="249">
        <v>23.5</v>
      </c>
      <c r="AC61" s="249">
        <v>648.51</v>
      </c>
      <c r="AO61" s="351">
        <v>20.7</v>
      </c>
      <c r="AP61" s="352">
        <v>0.99805999999999995</v>
      </c>
      <c r="AQ61" s="352">
        <v>0.99985000000000002</v>
      </c>
    </row>
    <row r="62" spans="2:43" x14ac:dyDescent="0.25">
      <c r="B62" s="180">
        <v>34.6</v>
      </c>
      <c r="C62" s="180">
        <v>683.67</v>
      </c>
      <c r="D62" s="180">
        <v>33.299999999999997</v>
      </c>
      <c r="E62" s="180">
        <v>690.6</v>
      </c>
      <c r="F62" s="180">
        <v>32.200000000000003</v>
      </c>
      <c r="G62" s="180">
        <v>347.46</v>
      </c>
      <c r="H62" s="180">
        <v>33.799999999999997</v>
      </c>
      <c r="I62" s="180">
        <v>342.4</v>
      </c>
      <c r="J62" s="181">
        <v>23</v>
      </c>
      <c r="K62" s="181">
        <v>342.56</v>
      </c>
      <c r="L62" s="181">
        <v>26.1</v>
      </c>
      <c r="M62" s="181">
        <v>354.35</v>
      </c>
      <c r="P62" s="249">
        <v>18.900000000000006</v>
      </c>
      <c r="Q62" s="249">
        <v>686.24851000000001</v>
      </c>
      <c r="S62" s="249">
        <v>19.600000000000005</v>
      </c>
      <c r="T62" s="249">
        <v>692.87128000000007</v>
      </c>
      <c r="V62" s="249">
        <v>19.800000000000004</v>
      </c>
      <c r="W62" s="249">
        <v>354.74752000000001</v>
      </c>
      <c r="Y62" s="249">
        <v>22.6</v>
      </c>
      <c r="Z62" s="249">
        <v>652.86</v>
      </c>
      <c r="AB62" s="249">
        <v>22.6</v>
      </c>
      <c r="AC62" s="249">
        <v>648.63</v>
      </c>
      <c r="AO62" s="351">
        <v>20.8</v>
      </c>
      <c r="AP62" s="352">
        <v>0.99804000000000004</v>
      </c>
      <c r="AQ62" s="352">
        <v>0.99983</v>
      </c>
    </row>
    <row r="63" spans="2:43" x14ac:dyDescent="0.25">
      <c r="B63" s="180">
        <v>31.6</v>
      </c>
      <c r="C63" s="180">
        <v>684.13</v>
      </c>
      <c r="D63" s="180">
        <v>31.9</v>
      </c>
      <c r="E63" s="180">
        <v>690.79</v>
      </c>
      <c r="F63" s="180">
        <v>27.7</v>
      </c>
      <c r="G63" s="180">
        <v>347.58</v>
      </c>
      <c r="H63" s="180">
        <v>29.9</v>
      </c>
      <c r="I63" s="180">
        <v>342.52</v>
      </c>
      <c r="J63" s="181">
        <v>18.3</v>
      </c>
      <c r="K63" s="181">
        <v>342.77</v>
      </c>
      <c r="L63" s="181">
        <v>23.1</v>
      </c>
      <c r="M63" s="181">
        <v>354.55</v>
      </c>
      <c r="P63" s="249">
        <v>19.000000000000007</v>
      </c>
      <c r="Q63" s="249">
        <v>686.24210000000005</v>
      </c>
      <c r="S63" s="249">
        <v>19.700000000000006</v>
      </c>
      <c r="T63" s="249">
        <v>692.85996</v>
      </c>
      <c r="V63" s="249">
        <v>19.900000000000006</v>
      </c>
      <c r="W63" s="249">
        <v>354.74275999999998</v>
      </c>
      <c r="Y63" s="249">
        <v>21.5</v>
      </c>
      <c r="Z63" s="249">
        <v>652.98</v>
      </c>
      <c r="AB63" s="249">
        <v>21.6</v>
      </c>
      <c r="AC63" s="249">
        <v>648.69000000000005</v>
      </c>
      <c r="AO63" s="351">
        <v>20.9</v>
      </c>
      <c r="AP63" s="352">
        <v>0.99802000000000002</v>
      </c>
      <c r="AQ63" s="352">
        <v>0.99980999999999998</v>
      </c>
    </row>
    <row r="64" spans="2:43" x14ac:dyDescent="0.25">
      <c r="B64" s="180">
        <v>30.4</v>
      </c>
      <c r="C64" s="180">
        <v>684.45</v>
      </c>
      <c r="D64" s="180">
        <v>30.8</v>
      </c>
      <c r="E64" s="180">
        <v>690.96</v>
      </c>
      <c r="F64" s="180">
        <v>26.3</v>
      </c>
      <c r="G64" s="180">
        <v>347.65</v>
      </c>
      <c r="H64" s="180">
        <v>27.3</v>
      </c>
      <c r="I64" s="180">
        <v>342.82</v>
      </c>
      <c r="J64" s="182"/>
      <c r="K64" s="182"/>
      <c r="L64" s="181">
        <v>18.3</v>
      </c>
      <c r="M64" s="181">
        <v>354.7</v>
      </c>
      <c r="P64" s="249">
        <v>19.100000000000009</v>
      </c>
      <c r="Q64" s="249">
        <v>686.23569000000009</v>
      </c>
      <c r="S64" s="249">
        <v>19.800000000000008</v>
      </c>
      <c r="T64" s="249">
        <v>692.84864000000005</v>
      </c>
      <c r="V64" s="249">
        <v>20.000000000000007</v>
      </c>
      <c r="W64" s="249">
        <v>354.738</v>
      </c>
      <c r="Y64" s="249">
        <v>19.3</v>
      </c>
      <c r="Z64" s="249">
        <v>653.17999999999995</v>
      </c>
      <c r="AB64" s="249">
        <v>19.5</v>
      </c>
      <c r="AC64" s="249">
        <v>648.88</v>
      </c>
      <c r="AO64" s="349">
        <v>21</v>
      </c>
      <c r="AP64" s="350">
        <v>0.99799000000000004</v>
      </c>
      <c r="AQ64" s="350">
        <v>0.99978999999999996</v>
      </c>
    </row>
    <row r="65" spans="1:43" x14ac:dyDescent="0.25">
      <c r="B65" s="180">
        <v>29.3</v>
      </c>
      <c r="C65" s="180">
        <v>684.61</v>
      </c>
      <c r="D65" s="180">
        <v>24.9</v>
      </c>
      <c r="E65" s="180">
        <v>691.44</v>
      </c>
      <c r="F65" s="180">
        <v>20.399999999999999</v>
      </c>
      <c r="G65" s="180">
        <v>348.1</v>
      </c>
      <c r="H65" s="180">
        <v>25.5</v>
      </c>
      <c r="I65" s="180">
        <v>342.96</v>
      </c>
      <c r="J65" s="182"/>
      <c r="K65" s="182"/>
      <c r="L65" s="182"/>
      <c r="M65" s="182"/>
      <c r="P65" s="249">
        <v>19.20000000000001</v>
      </c>
      <c r="Q65" s="249">
        <v>686.22928000000002</v>
      </c>
      <c r="S65" s="249">
        <v>19.900000000000009</v>
      </c>
      <c r="T65" s="249">
        <v>692.83731999999998</v>
      </c>
      <c r="V65" s="249">
        <v>20.100000000000009</v>
      </c>
      <c r="W65" s="249">
        <v>354.73324000000002</v>
      </c>
      <c r="Y65" s="249">
        <v>18.3</v>
      </c>
      <c r="Z65" s="249">
        <v>653.37</v>
      </c>
      <c r="AB65" s="249">
        <v>18.3</v>
      </c>
      <c r="AC65" s="249">
        <v>649.05999999999995</v>
      </c>
      <c r="AO65" s="351">
        <v>21.1</v>
      </c>
      <c r="AP65" s="352">
        <v>0.99797000000000002</v>
      </c>
      <c r="AQ65" s="352">
        <v>0.99977000000000005</v>
      </c>
    </row>
    <row r="66" spans="1:43" x14ac:dyDescent="0.25">
      <c r="B66" s="180">
        <v>25.1</v>
      </c>
      <c r="C66" s="180">
        <v>685.16</v>
      </c>
      <c r="D66" s="180">
        <v>22.2</v>
      </c>
      <c r="E66" s="180">
        <v>691.69</v>
      </c>
      <c r="F66" s="180">
        <v>18.100000000000001</v>
      </c>
      <c r="G66" s="180">
        <v>348.17</v>
      </c>
      <c r="H66" s="180">
        <v>20.5</v>
      </c>
      <c r="I66" s="180">
        <v>343.13</v>
      </c>
      <c r="J66" s="182"/>
      <c r="K66" s="182"/>
      <c r="L66" s="182"/>
      <c r="M66" s="182"/>
      <c r="P66" s="249">
        <v>19.300000000000011</v>
      </c>
      <c r="Q66" s="249">
        <v>686.22287000000006</v>
      </c>
      <c r="S66" s="249">
        <v>20.000000000000011</v>
      </c>
      <c r="T66" s="249">
        <v>692.82600000000002</v>
      </c>
      <c r="V66" s="249">
        <v>20.20000000000001</v>
      </c>
      <c r="W66" s="249">
        <v>354.72847999999999</v>
      </c>
      <c r="AB66" s="419">
        <v>1111</v>
      </c>
      <c r="AC66" s="420">
        <f>(-0.0052*AB66*AB66+0.1186*AB66+648.58)-0.04</f>
        <v>-5638.1645999999992</v>
      </c>
      <c r="AO66" s="351">
        <v>21.2</v>
      </c>
      <c r="AP66" s="352">
        <v>0.99795</v>
      </c>
      <c r="AQ66" s="352">
        <v>0.99973999999999996</v>
      </c>
    </row>
    <row r="67" spans="1:43" x14ac:dyDescent="0.25">
      <c r="B67" s="180">
        <v>23.8</v>
      </c>
      <c r="C67" s="180">
        <v>685.27</v>
      </c>
      <c r="D67" s="180">
        <v>21.6</v>
      </c>
      <c r="E67" s="180">
        <v>691.76</v>
      </c>
      <c r="F67" s="182"/>
      <c r="G67" s="182"/>
      <c r="H67" s="180">
        <v>18</v>
      </c>
      <c r="I67" s="180">
        <v>343.21</v>
      </c>
      <c r="J67" s="182"/>
      <c r="K67" s="182"/>
      <c r="L67" s="182"/>
      <c r="M67" s="182"/>
      <c r="P67" s="249">
        <v>19.400000000000013</v>
      </c>
      <c r="Q67" s="249">
        <v>686.21645999999998</v>
      </c>
      <c r="S67" s="249">
        <v>20.100000000000012</v>
      </c>
      <c r="T67" s="249">
        <v>692.81468000000007</v>
      </c>
      <c r="V67" s="249">
        <v>20.300000000000011</v>
      </c>
      <c r="W67" s="249">
        <v>354.72372000000001</v>
      </c>
      <c r="AO67" s="351">
        <v>21.3</v>
      </c>
      <c r="AP67" s="352">
        <v>0.99792999999999998</v>
      </c>
      <c r="AQ67" s="352">
        <v>0.99972000000000005</v>
      </c>
    </row>
    <row r="68" spans="1:43" x14ac:dyDescent="0.25">
      <c r="B68" s="180">
        <v>22.5</v>
      </c>
      <c r="C68" s="180">
        <v>685.41</v>
      </c>
      <c r="D68" s="180">
        <v>20.9</v>
      </c>
      <c r="E68" s="180">
        <v>691.86</v>
      </c>
      <c r="F68" s="182"/>
      <c r="G68" s="182"/>
      <c r="H68" s="182"/>
      <c r="I68" s="182"/>
      <c r="J68" s="182"/>
      <c r="K68" s="182"/>
      <c r="L68" s="182"/>
      <c r="M68" s="182"/>
      <c r="P68" s="249">
        <v>19.500000000000014</v>
      </c>
      <c r="Q68" s="249">
        <v>686.21005000000002</v>
      </c>
      <c r="S68" s="249">
        <v>20.200000000000014</v>
      </c>
      <c r="T68" s="249">
        <v>692.80336</v>
      </c>
      <c r="V68" s="249">
        <v>20.400000000000013</v>
      </c>
      <c r="W68" s="249">
        <v>354.71895999999998</v>
      </c>
      <c r="AO68" s="351">
        <v>21.4</v>
      </c>
      <c r="AP68" s="352">
        <v>0.99790999999999996</v>
      </c>
      <c r="AQ68" s="352">
        <v>0.99970000000000003</v>
      </c>
    </row>
    <row r="69" spans="1:43" x14ac:dyDescent="0.25">
      <c r="B69" s="180">
        <v>21.6</v>
      </c>
      <c r="C69" s="180">
        <v>685.54</v>
      </c>
      <c r="D69" s="180">
        <v>20.100000000000001</v>
      </c>
      <c r="E69" s="180">
        <v>691.95</v>
      </c>
      <c r="F69" s="182"/>
      <c r="G69" s="182"/>
      <c r="H69" s="182"/>
      <c r="I69" s="182"/>
      <c r="J69" s="182"/>
      <c r="K69" s="182"/>
      <c r="L69" s="182"/>
      <c r="M69" s="182"/>
      <c r="P69" s="249">
        <v>19.600000000000001</v>
      </c>
      <c r="Q69" s="249">
        <v>686.20363999999995</v>
      </c>
      <c r="S69" s="249">
        <v>20.300000000000015</v>
      </c>
      <c r="T69" s="249">
        <v>692.79204000000004</v>
      </c>
      <c r="V69" s="249">
        <v>20.500000000000014</v>
      </c>
      <c r="W69" s="249">
        <v>354.71420000000001</v>
      </c>
      <c r="AO69" s="351">
        <v>21.5</v>
      </c>
      <c r="AP69" s="352">
        <v>0.99789000000000005</v>
      </c>
      <c r="AQ69" s="352">
        <v>0.99968000000000001</v>
      </c>
    </row>
    <row r="70" spans="1:43" x14ac:dyDescent="0.25">
      <c r="B70" s="180">
        <v>21.1</v>
      </c>
      <c r="C70" s="180">
        <v>685.61</v>
      </c>
      <c r="D70" s="180">
        <v>19.7</v>
      </c>
      <c r="E70" s="180">
        <v>692.08</v>
      </c>
      <c r="F70" s="182"/>
      <c r="G70" s="182"/>
      <c r="H70" s="182"/>
      <c r="I70" s="182"/>
      <c r="J70" s="182"/>
      <c r="K70" s="182"/>
      <c r="L70" s="182"/>
      <c r="M70" s="182"/>
      <c r="P70" s="249">
        <v>19.700000000000017</v>
      </c>
      <c r="Q70" s="249">
        <v>686.19722999999999</v>
      </c>
      <c r="S70" s="249">
        <v>20.400000000000016</v>
      </c>
      <c r="T70" s="249">
        <v>692.78071999999997</v>
      </c>
      <c r="V70" s="249">
        <v>20.600000000000016</v>
      </c>
      <c r="W70" s="249">
        <v>354.70943999999997</v>
      </c>
      <c r="AO70" s="351">
        <v>21.6</v>
      </c>
      <c r="AP70" s="352">
        <v>0.99785999999999997</v>
      </c>
      <c r="AQ70" s="352">
        <v>0.99965999999999999</v>
      </c>
    </row>
    <row r="71" spans="1:43" x14ac:dyDescent="0.25">
      <c r="B71" s="180">
        <v>20.9</v>
      </c>
      <c r="C71" s="180">
        <v>685.62</v>
      </c>
      <c r="D71" s="180">
        <v>19.2</v>
      </c>
      <c r="E71" s="180">
        <v>692.23</v>
      </c>
      <c r="F71" s="182"/>
      <c r="G71" s="182"/>
      <c r="H71" s="182"/>
      <c r="I71" s="182"/>
      <c r="J71" s="182"/>
      <c r="K71" s="182"/>
      <c r="L71" s="182"/>
      <c r="M71" s="182"/>
      <c r="P71" s="249">
        <v>19.800000000000018</v>
      </c>
      <c r="Q71" s="249">
        <v>686.19082000000003</v>
      </c>
      <c r="S71" s="249">
        <v>20.500000000000018</v>
      </c>
      <c r="T71" s="249">
        <v>692.76940000000002</v>
      </c>
      <c r="V71" s="249">
        <v>20.700000000000017</v>
      </c>
      <c r="W71" s="249">
        <v>354.70468</v>
      </c>
      <c r="AO71" s="351">
        <v>21.7</v>
      </c>
      <c r="AP71" s="352">
        <v>0.99783999999999995</v>
      </c>
      <c r="AQ71" s="352">
        <v>0.99963000000000002</v>
      </c>
    </row>
    <row r="72" spans="1:43" x14ac:dyDescent="0.25">
      <c r="B72" s="180">
        <v>19.7</v>
      </c>
      <c r="C72" s="180">
        <v>685.73</v>
      </c>
      <c r="D72" s="180">
        <v>18.600000000000001</v>
      </c>
      <c r="E72" s="180">
        <v>692.37</v>
      </c>
      <c r="F72" s="182"/>
      <c r="G72" s="182"/>
      <c r="H72" s="182"/>
      <c r="I72" s="182"/>
      <c r="J72" s="182"/>
      <c r="K72" s="182"/>
      <c r="L72" s="182"/>
      <c r="M72" s="182"/>
      <c r="P72" s="249">
        <v>19.90000000000002</v>
      </c>
      <c r="Q72" s="249">
        <v>686.18441000000007</v>
      </c>
      <c r="S72" s="249">
        <v>20.6</v>
      </c>
      <c r="T72" s="249">
        <v>692.75807999999995</v>
      </c>
      <c r="V72" s="249">
        <v>20.800000000000018</v>
      </c>
      <c r="W72" s="249">
        <v>354.69992000000002</v>
      </c>
      <c r="AO72" s="351">
        <v>21.8</v>
      </c>
      <c r="AP72" s="352">
        <v>0.99782000000000004</v>
      </c>
      <c r="AQ72" s="352">
        <v>0.99961</v>
      </c>
    </row>
    <row r="73" spans="1:43" x14ac:dyDescent="0.25">
      <c r="B73" s="180">
        <v>18.600000000000001</v>
      </c>
      <c r="C73" s="180">
        <v>685.95</v>
      </c>
      <c r="D73" s="182"/>
      <c r="E73" s="182"/>
      <c r="F73" s="182"/>
      <c r="G73" s="182"/>
      <c r="H73" s="182"/>
      <c r="I73" s="182"/>
      <c r="J73" s="182"/>
      <c r="K73" s="182"/>
      <c r="L73" s="182"/>
      <c r="M73" s="182"/>
      <c r="P73" s="249">
        <v>20.000000000000021</v>
      </c>
      <c r="Q73" s="249">
        <v>686.178</v>
      </c>
      <c r="S73" s="249">
        <v>20.700000000000021</v>
      </c>
      <c r="T73" s="249">
        <v>692.74675999999999</v>
      </c>
      <c r="V73" s="249">
        <v>20.90000000000002</v>
      </c>
      <c r="W73" s="249">
        <v>354.69515999999999</v>
      </c>
      <c r="AO73" s="351">
        <v>21.9</v>
      </c>
      <c r="AP73" s="352">
        <v>0.99780000000000002</v>
      </c>
      <c r="AQ73" s="352">
        <v>0.99958999999999998</v>
      </c>
    </row>
    <row r="74" spans="1:43" x14ac:dyDescent="0.25">
      <c r="C74" s="182"/>
      <c r="E74" s="182"/>
      <c r="G74" s="182"/>
      <c r="I74" s="182"/>
      <c r="K74" s="182"/>
      <c r="L74" s="182"/>
      <c r="M74" s="182"/>
      <c r="P74" s="249">
        <v>20.100000000000023</v>
      </c>
      <c r="Q74" s="249">
        <v>686.17159000000004</v>
      </c>
      <c r="S74" s="249">
        <v>20.800000000000022</v>
      </c>
      <c r="T74" s="249">
        <v>692.73544000000004</v>
      </c>
      <c r="V74" s="249">
        <v>21.000000000000021</v>
      </c>
      <c r="W74" s="249">
        <v>354.69040000000001</v>
      </c>
      <c r="AO74" s="349">
        <v>22</v>
      </c>
      <c r="AP74" s="350">
        <v>0.99777000000000005</v>
      </c>
      <c r="AQ74" s="350">
        <v>0.99956999999999996</v>
      </c>
    </row>
    <row r="75" spans="1:43" x14ac:dyDescent="0.25">
      <c r="C75" s="183"/>
      <c r="E75" s="182"/>
      <c r="G75" s="182"/>
      <c r="I75" s="182"/>
      <c r="K75" s="182"/>
      <c r="M75" s="182"/>
      <c r="P75" s="249">
        <v>20.200000000000024</v>
      </c>
      <c r="Q75" s="249">
        <v>686.16517999999996</v>
      </c>
      <c r="S75" s="249">
        <v>20.900000000000023</v>
      </c>
      <c r="T75" s="249">
        <v>692.72412000000008</v>
      </c>
      <c r="V75" s="249">
        <v>21.100000000000023</v>
      </c>
      <c r="W75" s="249">
        <v>354.68563999999998</v>
      </c>
      <c r="AO75" s="351">
        <v>22.1</v>
      </c>
      <c r="AP75" s="352">
        <v>0.99775000000000003</v>
      </c>
      <c r="AQ75" s="352">
        <v>0.99953999999999998</v>
      </c>
    </row>
    <row r="76" spans="1:43" x14ac:dyDescent="0.25">
      <c r="B76" s="184"/>
      <c r="C76" s="185"/>
      <c r="M76" s="182"/>
      <c r="P76" s="249">
        <v>20.300000000000026</v>
      </c>
      <c r="Q76" s="249">
        <v>686.15877</v>
      </c>
      <c r="S76" s="249">
        <v>21.000000000000025</v>
      </c>
      <c r="T76" s="249">
        <v>692.71280000000002</v>
      </c>
      <c r="V76" s="249">
        <v>21.200000000000024</v>
      </c>
      <c r="W76" s="249">
        <v>354.68088</v>
      </c>
      <c r="AO76" s="351">
        <v>22.2</v>
      </c>
      <c r="AP76" s="352">
        <v>0.99773000000000001</v>
      </c>
      <c r="AQ76" s="352">
        <v>0.99951999999999996</v>
      </c>
    </row>
    <row r="77" spans="1:43" x14ac:dyDescent="0.25">
      <c r="B77" s="184"/>
      <c r="P77" s="249">
        <v>20.400000000000027</v>
      </c>
      <c r="Q77" s="249">
        <v>686.15236000000004</v>
      </c>
      <c r="S77" s="249">
        <v>21.100000000000026</v>
      </c>
      <c r="T77" s="249">
        <v>692.70148000000006</v>
      </c>
      <c r="V77" s="249">
        <v>21.300000000000026</v>
      </c>
      <c r="W77" s="249">
        <v>354.67611999999997</v>
      </c>
      <c r="AO77" s="351">
        <v>22.3</v>
      </c>
      <c r="AP77" s="352">
        <v>0.99770000000000003</v>
      </c>
      <c r="AQ77" s="352">
        <v>0.99950000000000006</v>
      </c>
    </row>
    <row r="78" spans="1:43" ht="16.5" thickBot="1" x14ac:dyDescent="0.3">
      <c r="P78" s="249">
        <v>20.500000000000028</v>
      </c>
      <c r="Q78" s="249">
        <v>686.14595000000008</v>
      </c>
      <c r="S78" s="249">
        <v>21.200000000000028</v>
      </c>
      <c r="T78" s="249">
        <v>692.69015999999999</v>
      </c>
      <c r="V78" s="249">
        <v>21.400000000000027</v>
      </c>
      <c r="W78" s="249">
        <v>354.67135999999999</v>
      </c>
      <c r="AO78" s="351">
        <v>22.4</v>
      </c>
      <c r="AP78" s="352">
        <v>0.99768000000000001</v>
      </c>
      <c r="AQ78" s="352">
        <v>0.99946999999999997</v>
      </c>
    </row>
    <row r="79" spans="1:43" ht="16.5" thickBot="1" x14ac:dyDescent="0.3">
      <c r="A79" s="120">
        <v>1</v>
      </c>
      <c r="B79" s="186">
        <v>1</v>
      </c>
      <c r="C79" s="187">
        <v>2</v>
      </c>
      <c r="D79" s="188">
        <v>3</v>
      </c>
      <c r="E79" s="188">
        <v>4</v>
      </c>
      <c r="F79" s="188">
        <v>5</v>
      </c>
      <c r="G79" s="189">
        <v>6</v>
      </c>
      <c r="P79" s="249">
        <v>20.60000000000003</v>
      </c>
      <c r="Q79" s="249">
        <v>686.13954000000001</v>
      </c>
      <c r="S79" s="249">
        <v>21.300000000000029</v>
      </c>
      <c r="T79" s="249">
        <v>692.67884000000004</v>
      </c>
      <c r="V79" s="249">
        <v>21.500000000000028</v>
      </c>
      <c r="W79" s="249">
        <v>354.66660000000002</v>
      </c>
      <c r="AO79" s="351">
        <v>22.5</v>
      </c>
      <c r="AP79" s="352">
        <v>0.99765999999999999</v>
      </c>
      <c r="AQ79" s="352">
        <v>0.99944999999999995</v>
      </c>
    </row>
    <row r="80" spans="1:43" x14ac:dyDescent="0.25">
      <c r="A80" s="120">
        <v>2</v>
      </c>
      <c r="B80" s="190">
        <f t="shared" ref="B80:G80" si="0">$G$23</f>
        <v>20.399999999999999</v>
      </c>
      <c r="C80" s="190">
        <f t="shared" si="0"/>
        <v>20.399999999999999</v>
      </c>
      <c r="D80" s="190">
        <f t="shared" si="0"/>
        <v>20.399999999999999</v>
      </c>
      <c r="E80" s="190">
        <f t="shared" si="0"/>
        <v>20.399999999999999</v>
      </c>
      <c r="F80" s="190">
        <f t="shared" si="0"/>
        <v>20.399999999999999</v>
      </c>
      <c r="G80" s="190">
        <f t="shared" si="0"/>
        <v>20.399999999999999</v>
      </c>
      <c r="P80" s="249">
        <v>20.700000000000031</v>
      </c>
      <c r="Q80" s="249">
        <v>686.13313000000005</v>
      </c>
      <c r="S80" s="249">
        <v>21.400000000000031</v>
      </c>
      <c r="T80" s="249">
        <v>692.66752000000008</v>
      </c>
      <c r="V80" s="249">
        <v>21.60000000000003</v>
      </c>
      <c r="W80" s="249">
        <v>354.66183999999998</v>
      </c>
      <c r="AO80" s="351">
        <v>22.6</v>
      </c>
      <c r="AP80" s="352">
        <v>0.99763999999999997</v>
      </c>
      <c r="AQ80" s="352">
        <v>0.99943000000000004</v>
      </c>
    </row>
    <row r="81" spans="1:43" ht="16.5" thickBot="1" x14ac:dyDescent="0.3">
      <c r="A81" s="120">
        <v>3</v>
      </c>
      <c r="B81" s="191">
        <f>-0.1428*(B80)+688.64</f>
        <v>685.72687999999994</v>
      </c>
      <c r="C81" s="192">
        <f>-0.1158*(C80)+694.37</f>
        <v>692.00768000000005</v>
      </c>
      <c r="D81" s="193">
        <f>-0.0614*D80+349.31</f>
        <v>348.05743999999999</v>
      </c>
      <c r="E81" s="194">
        <f>-0.0655*E80 + 344.51</f>
        <v>343.17379999999997</v>
      </c>
      <c r="F81" s="195">
        <f>-0.0652*F80+344.03</f>
        <v>342.69991999999996</v>
      </c>
      <c r="G81" s="196">
        <f>-0.061*G80+355.9</f>
        <v>354.65559999999999</v>
      </c>
      <c r="P81" s="249">
        <v>20.800000000000033</v>
      </c>
      <c r="Q81" s="249">
        <v>686.12671999999998</v>
      </c>
      <c r="S81" s="249">
        <v>21.500000000000032</v>
      </c>
      <c r="T81" s="249">
        <v>692.65620000000001</v>
      </c>
      <c r="V81" s="249">
        <v>21.700000000000031</v>
      </c>
      <c r="W81" s="249">
        <v>354.65708000000001</v>
      </c>
      <c r="AO81" s="351">
        <v>22.7</v>
      </c>
      <c r="AP81" s="352">
        <v>0.99761</v>
      </c>
      <c r="AQ81" s="352">
        <v>0.99939999999999996</v>
      </c>
    </row>
    <row r="82" spans="1:43" x14ac:dyDescent="0.25">
      <c r="P82" s="249">
        <v>20.900000000000034</v>
      </c>
      <c r="Q82" s="249">
        <v>686.12031000000002</v>
      </c>
      <c r="S82" s="249">
        <v>21.600000000000033</v>
      </c>
      <c r="T82" s="249">
        <v>692.64487999999994</v>
      </c>
      <c r="V82" s="249">
        <v>21.800000000000033</v>
      </c>
      <c r="W82" s="249">
        <v>354.65231999999997</v>
      </c>
      <c r="AO82" s="351">
        <v>22.8</v>
      </c>
      <c r="AP82" s="352">
        <v>0.99758999999999998</v>
      </c>
      <c r="AQ82" s="352">
        <v>0.99938000000000005</v>
      </c>
    </row>
    <row r="83" spans="1:43" x14ac:dyDescent="0.25">
      <c r="P83" s="249">
        <v>21.000000000000036</v>
      </c>
      <c r="Q83" s="249">
        <v>686.11390000000006</v>
      </c>
      <c r="S83" s="249">
        <v>21.700000000000035</v>
      </c>
      <c r="T83" s="249">
        <v>692.63355999999999</v>
      </c>
      <c r="V83" s="249">
        <v>21.900000000000034</v>
      </c>
      <c r="W83" s="249">
        <v>354.64756</v>
      </c>
      <c r="AO83" s="351">
        <v>22.9</v>
      </c>
      <c r="AP83" s="352">
        <v>0.99756</v>
      </c>
      <c r="AQ83" s="352">
        <v>0.99936000000000003</v>
      </c>
    </row>
    <row r="84" spans="1:43" x14ac:dyDescent="0.25">
      <c r="P84" s="249">
        <v>21.100000000000037</v>
      </c>
      <c r="Q84" s="249">
        <v>686.10748999999998</v>
      </c>
      <c r="S84" s="249">
        <v>21.800000000000036</v>
      </c>
      <c r="T84" s="249">
        <v>692.62224000000003</v>
      </c>
      <c r="V84" s="249">
        <v>22.000000000000036</v>
      </c>
      <c r="W84" s="249">
        <v>354.64280000000002</v>
      </c>
      <c r="AO84" s="349">
        <v>23</v>
      </c>
      <c r="AP84" s="350">
        <v>0.99753999999999998</v>
      </c>
      <c r="AQ84" s="350">
        <v>0.99933000000000005</v>
      </c>
    </row>
    <row r="85" spans="1:43" x14ac:dyDescent="0.25">
      <c r="P85" s="249">
        <v>21.200000000000038</v>
      </c>
      <c r="Q85" s="249">
        <v>686.10108000000002</v>
      </c>
      <c r="S85" s="249">
        <v>21.900000000000038</v>
      </c>
      <c r="T85" s="249">
        <v>692.61092000000008</v>
      </c>
      <c r="V85" s="249">
        <v>22.100000000000037</v>
      </c>
      <c r="W85" s="249">
        <v>354.63803999999999</v>
      </c>
      <c r="AO85" s="351">
        <v>23.1</v>
      </c>
      <c r="AP85" s="352">
        <v>0.99751999999999996</v>
      </c>
      <c r="AQ85" s="352">
        <v>0.99931000000000003</v>
      </c>
    </row>
    <row r="86" spans="1:43" x14ac:dyDescent="0.25">
      <c r="P86" s="249">
        <v>21.30000000000004</v>
      </c>
      <c r="Q86" s="249">
        <v>686.09467000000006</v>
      </c>
      <c r="S86" s="249">
        <v>22.000000000000039</v>
      </c>
      <c r="T86" s="249">
        <v>692.59960000000001</v>
      </c>
      <c r="V86" s="249">
        <v>22.200000000000038</v>
      </c>
      <c r="W86" s="249">
        <v>354.63328000000001</v>
      </c>
      <c r="AO86" s="351">
        <v>23.2</v>
      </c>
      <c r="AP86" s="352">
        <v>0.99748999999999999</v>
      </c>
      <c r="AQ86" s="352">
        <v>0.99929000000000001</v>
      </c>
    </row>
    <row r="87" spans="1:43" ht="16.5" thickBot="1" x14ac:dyDescent="0.3">
      <c r="P87" s="249">
        <v>21.400000000000041</v>
      </c>
      <c r="Q87" s="249">
        <v>686.08825999999999</v>
      </c>
      <c r="S87" s="249">
        <v>22.100000000000041</v>
      </c>
      <c r="T87" s="249">
        <v>692.58828000000005</v>
      </c>
      <c r="V87" s="249">
        <v>22.30000000000004</v>
      </c>
      <c r="W87" s="249">
        <v>354.62851999999998</v>
      </c>
      <c r="AO87" s="351">
        <v>23.3</v>
      </c>
      <c r="AP87" s="352">
        <v>0.99746999999999997</v>
      </c>
      <c r="AQ87" s="352">
        <v>0.99926000000000004</v>
      </c>
    </row>
    <row r="88" spans="1:43" ht="16.5" thickBot="1" x14ac:dyDescent="0.3">
      <c r="C88" s="197">
        <f>G19</f>
        <v>1</v>
      </c>
      <c r="D88" s="198"/>
      <c r="E88" s="120">
        <v>2</v>
      </c>
      <c r="P88" s="249">
        <v>21.500000000000043</v>
      </c>
      <c r="Q88" s="249">
        <v>686.08185000000003</v>
      </c>
      <c r="S88" s="249">
        <v>22.200000000000042</v>
      </c>
      <c r="T88" s="249">
        <v>692.57695999999999</v>
      </c>
      <c r="V88" s="249">
        <v>22.400000000000041</v>
      </c>
      <c r="W88" s="249">
        <v>354.62376</v>
      </c>
      <c r="AO88" s="351">
        <v>23.4</v>
      </c>
      <c r="AP88" s="352">
        <v>0.99744999999999995</v>
      </c>
      <c r="AQ88" s="352">
        <v>0.99924000000000002</v>
      </c>
    </row>
    <row r="89" spans="1:43" ht="16.5" thickBot="1" x14ac:dyDescent="0.3">
      <c r="C89" s="199">
        <f>HLOOKUP(C88,B79:G81,E88,FALSE)</f>
        <v>20.399999999999999</v>
      </c>
      <c r="D89" s="199">
        <f>HLOOKUP(C88,B79:G81,E89,FALSE)</f>
        <v>685.72687999999994</v>
      </c>
      <c r="E89" s="120">
        <v>3</v>
      </c>
      <c r="P89" s="249">
        <v>21.600000000000044</v>
      </c>
      <c r="Q89" s="249">
        <v>686.07544000000007</v>
      </c>
      <c r="S89" s="249">
        <v>22.300000000000043</v>
      </c>
      <c r="T89" s="249">
        <v>692.56564000000003</v>
      </c>
      <c r="V89" s="249">
        <v>22.3</v>
      </c>
      <c r="W89" s="249">
        <v>354.58587599999998</v>
      </c>
      <c r="AO89" s="351">
        <v>23.5</v>
      </c>
      <c r="AP89" s="352">
        <v>0.99741999999999997</v>
      </c>
      <c r="AQ89" s="352">
        <v>0.99921000000000004</v>
      </c>
    </row>
    <row r="90" spans="1:43" x14ac:dyDescent="0.25">
      <c r="P90" s="249">
        <v>21.700000000000045</v>
      </c>
      <c r="Q90" s="249">
        <v>686.06903</v>
      </c>
      <c r="S90" s="249">
        <v>22.400000000000045</v>
      </c>
      <c r="T90" s="249">
        <v>692.55432000000008</v>
      </c>
      <c r="V90" s="249">
        <v>22.400000000000002</v>
      </c>
      <c r="W90" s="249">
        <v>354.58398399999999</v>
      </c>
      <c r="AO90" s="351">
        <v>23.6</v>
      </c>
      <c r="AP90" s="352">
        <v>0.99739999999999995</v>
      </c>
      <c r="AQ90" s="352">
        <v>0.99919000000000002</v>
      </c>
    </row>
    <row r="91" spans="1:43" x14ac:dyDescent="0.25">
      <c r="P91" s="249">
        <v>21.800000000000047</v>
      </c>
      <c r="Q91" s="249">
        <v>686.06262000000004</v>
      </c>
      <c r="S91" s="249">
        <v>22.500000000000046</v>
      </c>
      <c r="T91" s="249">
        <v>692.54300000000001</v>
      </c>
      <c r="V91" s="249">
        <v>22.500000000000004</v>
      </c>
      <c r="W91" s="249">
        <v>354.58199999999999</v>
      </c>
      <c r="AO91" s="351">
        <v>23.7</v>
      </c>
      <c r="AP91" s="352">
        <v>0.99736999999999998</v>
      </c>
      <c r="AQ91" s="352">
        <v>0.99917</v>
      </c>
    </row>
    <row r="92" spans="1:43" x14ac:dyDescent="0.25">
      <c r="P92" s="249">
        <v>21.900000000000048</v>
      </c>
      <c r="Q92" s="249">
        <v>686.05621000000008</v>
      </c>
      <c r="S92" s="249">
        <v>22.600000000000048</v>
      </c>
      <c r="T92" s="249">
        <v>692.53168000000005</v>
      </c>
      <c r="V92" s="249">
        <v>22.600000000000005</v>
      </c>
      <c r="W92" s="249">
        <v>354.57992400000001</v>
      </c>
      <c r="AO92" s="351">
        <v>23.8</v>
      </c>
      <c r="AP92" s="352">
        <v>0.99734999999999996</v>
      </c>
      <c r="AQ92" s="352">
        <v>0.99914000000000003</v>
      </c>
    </row>
    <row r="93" spans="1:43" x14ac:dyDescent="0.25">
      <c r="P93" s="249">
        <v>22.00000000000005</v>
      </c>
      <c r="Q93" s="249">
        <v>686.0498</v>
      </c>
      <c r="S93" s="249">
        <v>22.700000000000049</v>
      </c>
      <c r="T93" s="249">
        <v>692.52035999999998</v>
      </c>
      <c r="V93" s="249">
        <v>22.700000000000006</v>
      </c>
      <c r="W93" s="249">
        <v>354.57775599999997</v>
      </c>
      <c r="AO93" s="351">
        <v>23.9</v>
      </c>
      <c r="AP93" s="352">
        <v>0.99731999999999998</v>
      </c>
      <c r="AQ93" s="352">
        <v>0.99912000000000001</v>
      </c>
    </row>
    <row r="94" spans="1:43" x14ac:dyDescent="0.25">
      <c r="P94" s="249">
        <v>22.100000000000051</v>
      </c>
      <c r="Q94" s="249">
        <v>686.04339000000004</v>
      </c>
      <c r="S94" s="249">
        <v>22.80000000000005</v>
      </c>
      <c r="T94" s="249">
        <v>692.50904000000003</v>
      </c>
      <c r="V94" s="249">
        <v>22.800000000000008</v>
      </c>
      <c r="W94" s="249">
        <v>354.57549599999999</v>
      </c>
      <c r="AO94" s="349">
        <v>24</v>
      </c>
      <c r="AP94" s="350">
        <v>0.99729999999999996</v>
      </c>
      <c r="AQ94" s="350">
        <v>0.99909000000000003</v>
      </c>
    </row>
    <row r="95" spans="1:43" x14ac:dyDescent="0.25">
      <c r="P95" s="249">
        <v>22.200000000000053</v>
      </c>
      <c r="Q95" s="249">
        <v>686.03698000000009</v>
      </c>
      <c r="S95" s="249">
        <v>22.900000000000052</v>
      </c>
      <c r="T95" s="249">
        <v>692.49772000000007</v>
      </c>
      <c r="V95" s="249">
        <v>22.900000000000009</v>
      </c>
      <c r="W95" s="249">
        <v>354.57314399999996</v>
      </c>
      <c r="AO95" s="351">
        <v>24.1</v>
      </c>
      <c r="AP95" s="352">
        <v>0.99726999999999999</v>
      </c>
      <c r="AQ95" s="352">
        <v>0.99907000000000001</v>
      </c>
    </row>
    <row r="96" spans="1:43" x14ac:dyDescent="0.25">
      <c r="P96" s="249">
        <v>22.300000000000054</v>
      </c>
      <c r="Q96" s="249">
        <v>686.03057000000001</v>
      </c>
      <c r="S96" s="249">
        <v>23.000000000000053</v>
      </c>
      <c r="T96" s="249">
        <v>692.4864</v>
      </c>
      <c r="V96" s="249">
        <v>23.000000000000011</v>
      </c>
      <c r="W96" s="249">
        <v>354.57069999999999</v>
      </c>
      <c r="AO96" s="351">
        <v>24.2</v>
      </c>
      <c r="AP96" s="352">
        <v>0.99724999999999997</v>
      </c>
      <c r="AQ96" s="352">
        <v>0.99904000000000004</v>
      </c>
    </row>
    <row r="97" spans="16:43" x14ac:dyDescent="0.25">
      <c r="P97" s="249">
        <v>22.400000000000055</v>
      </c>
      <c r="Q97" s="249">
        <v>686.02416000000005</v>
      </c>
      <c r="S97" s="249">
        <v>23.100000000000055</v>
      </c>
      <c r="T97" s="249">
        <v>692.47508000000005</v>
      </c>
      <c r="V97" s="249">
        <v>23.100000000000012</v>
      </c>
      <c r="W97" s="249">
        <v>354.56816399999997</v>
      </c>
      <c r="AO97" s="351">
        <v>24.3</v>
      </c>
      <c r="AP97" s="352">
        <v>0.99722999999999995</v>
      </c>
      <c r="AQ97" s="352">
        <v>0.99902000000000002</v>
      </c>
    </row>
    <row r="98" spans="16:43" x14ac:dyDescent="0.25">
      <c r="P98" s="249">
        <v>22.500000000000057</v>
      </c>
      <c r="Q98" s="249">
        <v>686.01774999999998</v>
      </c>
      <c r="S98" s="249">
        <v>23.200000000000056</v>
      </c>
      <c r="T98" s="249">
        <v>692.46375999999998</v>
      </c>
      <c r="V98" s="249">
        <v>23.200000000000014</v>
      </c>
      <c r="W98" s="249">
        <v>354.56553599999995</v>
      </c>
      <c r="AO98" s="351">
        <v>24.4</v>
      </c>
      <c r="AP98" s="352">
        <v>0.99719999999999998</v>
      </c>
      <c r="AQ98" s="352">
        <v>0.99899000000000004</v>
      </c>
    </row>
    <row r="99" spans="16:43" x14ac:dyDescent="0.25">
      <c r="P99" s="249">
        <v>22.6</v>
      </c>
      <c r="Q99" s="249">
        <v>686.00245999999993</v>
      </c>
      <c r="S99" s="249">
        <v>23.300000000000058</v>
      </c>
      <c r="T99" s="249">
        <v>692.45244000000002</v>
      </c>
      <c r="V99" s="249">
        <v>23.300000000000015</v>
      </c>
      <c r="W99" s="249">
        <v>354.562816</v>
      </c>
      <c r="AO99" s="351">
        <v>24.5</v>
      </c>
      <c r="AP99" s="352">
        <v>0.99717</v>
      </c>
      <c r="AQ99" s="352">
        <v>0.99897000000000002</v>
      </c>
    </row>
    <row r="100" spans="16:43" x14ac:dyDescent="0.25">
      <c r="P100" s="249">
        <v>22.700000000000003</v>
      </c>
      <c r="Q100" s="249">
        <v>685.99016999999992</v>
      </c>
      <c r="S100" s="249">
        <v>23.400000000000059</v>
      </c>
      <c r="T100" s="249">
        <v>692.44112000000007</v>
      </c>
      <c r="V100" s="249">
        <v>23.400000000000016</v>
      </c>
      <c r="W100" s="249">
        <v>354.56000399999999</v>
      </c>
      <c r="AO100" s="351">
        <v>24.6</v>
      </c>
      <c r="AP100" s="352">
        <v>0.99714999999999998</v>
      </c>
      <c r="AQ100" s="352">
        <v>0.99894000000000005</v>
      </c>
    </row>
    <row r="101" spans="16:43" x14ac:dyDescent="0.25">
      <c r="P101" s="249">
        <v>22.800000000000004</v>
      </c>
      <c r="Q101" s="249">
        <v>685.97788000000003</v>
      </c>
      <c r="S101" s="249">
        <v>23.50000000000006</v>
      </c>
      <c r="T101" s="249">
        <v>692.4298</v>
      </c>
      <c r="V101" s="249">
        <v>23.500000000000018</v>
      </c>
      <c r="W101" s="249">
        <v>354.55709999999999</v>
      </c>
      <c r="AO101" s="351">
        <v>24.7</v>
      </c>
      <c r="AP101" s="352">
        <v>0.99712000000000001</v>
      </c>
      <c r="AQ101" s="352">
        <v>0.99892000000000003</v>
      </c>
    </row>
    <row r="102" spans="16:43" x14ac:dyDescent="0.25">
      <c r="P102" s="249">
        <v>22.900000000000006</v>
      </c>
      <c r="Q102" s="249">
        <v>685.96559000000002</v>
      </c>
      <c r="S102" s="249">
        <v>23.600000000000062</v>
      </c>
      <c r="T102" s="249">
        <v>692.41848000000005</v>
      </c>
      <c r="V102" s="249">
        <v>23.600000000000019</v>
      </c>
      <c r="W102" s="249">
        <v>354.554104</v>
      </c>
      <c r="AO102" s="351">
        <v>24.8</v>
      </c>
      <c r="AP102" s="352">
        <v>0.99709999999999999</v>
      </c>
      <c r="AQ102" s="352">
        <v>0.99888999999999994</v>
      </c>
    </row>
    <row r="103" spans="16:43" x14ac:dyDescent="0.25">
      <c r="P103" s="249">
        <v>23.000000000000007</v>
      </c>
      <c r="Q103" s="249">
        <v>685.95330000000001</v>
      </c>
      <c r="S103" s="249">
        <v>23.700000000000063</v>
      </c>
      <c r="T103" s="249">
        <v>692.40715999999998</v>
      </c>
      <c r="V103" s="249">
        <v>23.700000000000021</v>
      </c>
      <c r="W103" s="249">
        <v>354.551016</v>
      </c>
      <c r="AO103" s="351">
        <v>24.9</v>
      </c>
      <c r="AP103" s="352">
        <v>0.99707000000000001</v>
      </c>
      <c r="AQ103" s="352">
        <v>0.99887000000000004</v>
      </c>
    </row>
    <row r="104" spans="16:43" x14ac:dyDescent="0.25">
      <c r="P104" s="249">
        <v>23.100000000000009</v>
      </c>
      <c r="Q104" s="249">
        <v>685.94101000000001</v>
      </c>
      <c r="S104" s="249">
        <v>23.800000000000065</v>
      </c>
      <c r="T104" s="249">
        <v>692.39584000000002</v>
      </c>
      <c r="V104" s="249">
        <v>23.800000000000022</v>
      </c>
      <c r="W104" s="249">
        <v>354.54783599999996</v>
      </c>
      <c r="AO104" s="349">
        <v>25</v>
      </c>
      <c r="AP104" s="350">
        <v>0.99704999999999999</v>
      </c>
      <c r="AQ104" s="350">
        <v>0.99883999999999995</v>
      </c>
    </row>
    <row r="105" spans="16:43" x14ac:dyDescent="0.25">
      <c r="P105" s="249">
        <v>23.20000000000001</v>
      </c>
      <c r="Q105" s="249">
        <v>685.92872</v>
      </c>
      <c r="S105" s="249">
        <v>23.900000000000066</v>
      </c>
      <c r="T105" s="249">
        <v>692.38452000000007</v>
      </c>
      <c r="V105" s="249">
        <v>23.900000000000023</v>
      </c>
      <c r="W105" s="249">
        <v>354.54456399999998</v>
      </c>
      <c r="AO105" s="351">
        <v>25.1</v>
      </c>
      <c r="AP105" s="352">
        <v>0.99702000000000002</v>
      </c>
      <c r="AQ105" s="352">
        <v>0.99880999999999998</v>
      </c>
    </row>
    <row r="106" spans="16:43" x14ac:dyDescent="0.25">
      <c r="P106" s="249">
        <v>23.300000000000011</v>
      </c>
      <c r="Q106" s="249">
        <v>685.91642999999999</v>
      </c>
      <c r="S106" s="249">
        <v>24.000000000000068</v>
      </c>
      <c r="T106" s="249">
        <v>692.3732</v>
      </c>
      <c r="V106" s="249">
        <v>24.000000000000025</v>
      </c>
      <c r="W106" s="249">
        <v>354.5412</v>
      </c>
      <c r="AO106" s="351">
        <v>25.2</v>
      </c>
      <c r="AP106" s="352">
        <v>0.997</v>
      </c>
      <c r="AQ106" s="352">
        <v>0.99878999999999996</v>
      </c>
    </row>
    <row r="107" spans="16:43" x14ac:dyDescent="0.25">
      <c r="P107" s="249">
        <v>23.400000000000013</v>
      </c>
      <c r="Q107" s="249">
        <v>685.90413999999998</v>
      </c>
      <c r="S107" s="249">
        <v>24.100000000000069</v>
      </c>
      <c r="T107" s="249">
        <v>692.36188000000004</v>
      </c>
      <c r="V107" s="249">
        <v>24.100000000000026</v>
      </c>
      <c r="W107" s="249">
        <v>354.53774399999998</v>
      </c>
      <c r="AO107" s="351">
        <v>25.3</v>
      </c>
      <c r="AP107" s="352">
        <v>0.99697000000000002</v>
      </c>
      <c r="AQ107" s="352">
        <v>0.99875999999999998</v>
      </c>
    </row>
    <row r="108" spans="16:43" x14ac:dyDescent="0.25">
      <c r="P108" s="249">
        <v>23.500000000000014</v>
      </c>
      <c r="Q108" s="249">
        <v>685.89184999999998</v>
      </c>
      <c r="S108" s="249">
        <v>24.20000000000007</v>
      </c>
      <c r="T108" s="249">
        <v>692.35055999999997</v>
      </c>
      <c r="V108" s="249">
        <v>24.200000000000028</v>
      </c>
      <c r="W108" s="249">
        <v>354.53419599999995</v>
      </c>
      <c r="AO108" s="351">
        <v>25.4</v>
      </c>
      <c r="AP108" s="352">
        <v>0.99694000000000005</v>
      </c>
      <c r="AQ108" s="352">
        <v>0.99873999999999996</v>
      </c>
    </row>
    <row r="109" spans="16:43" x14ac:dyDescent="0.25">
      <c r="P109" s="249">
        <v>23.600000000000016</v>
      </c>
      <c r="Q109" s="249">
        <v>685.87955999999997</v>
      </c>
      <c r="S109" s="249">
        <v>24.300000000000072</v>
      </c>
      <c r="T109" s="249">
        <v>692.33924000000002</v>
      </c>
      <c r="V109" s="249">
        <v>24.300000000000029</v>
      </c>
      <c r="W109" s="249">
        <v>354.53055599999999</v>
      </c>
      <c r="AO109" s="351">
        <v>25.5</v>
      </c>
      <c r="AP109" s="352">
        <v>0.99692000000000003</v>
      </c>
      <c r="AQ109" s="352">
        <v>0.99870999999999999</v>
      </c>
    </row>
    <row r="110" spans="16:43" x14ac:dyDescent="0.25">
      <c r="P110" s="249">
        <v>23.700000000000017</v>
      </c>
      <c r="Q110" s="249">
        <v>685.86726999999996</v>
      </c>
      <c r="S110" s="249">
        <v>24.400000000000073</v>
      </c>
      <c r="T110" s="249">
        <v>692.32792000000006</v>
      </c>
      <c r="V110" s="249">
        <v>24.400000000000031</v>
      </c>
      <c r="W110" s="249">
        <v>354.52682399999998</v>
      </c>
      <c r="AO110" s="351">
        <v>25.6</v>
      </c>
      <c r="AP110" s="352">
        <v>0.99689000000000005</v>
      </c>
      <c r="AQ110" s="352">
        <v>0.99868000000000001</v>
      </c>
    </row>
    <row r="111" spans="16:43" x14ac:dyDescent="0.25">
      <c r="P111" s="249">
        <v>23.800000000000018</v>
      </c>
      <c r="Q111" s="249">
        <v>685.85497999999995</v>
      </c>
      <c r="S111" s="249">
        <v>24.500000000000075</v>
      </c>
      <c r="T111" s="249">
        <v>692.31659999999999</v>
      </c>
      <c r="V111" s="249">
        <v>24.500000000000032</v>
      </c>
      <c r="W111" s="249">
        <v>354.52299999999997</v>
      </c>
      <c r="AO111" s="351">
        <v>25.7</v>
      </c>
      <c r="AP111" s="352">
        <v>0.99687000000000003</v>
      </c>
      <c r="AQ111" s="352">
        <v>0.99865999999999999</v>
      </c>
    </row>
    <row r="112" spans="16:43" x14ac:dyDescent="0.25">
      <c r="P112" s="249">
        <v>23.90000000000002</v>
      </c>
      <c r="Q112" s="249">
        <v>685.84268999999995</v>
      </c>
      <c r="S112" s="249">
        <v>24.600000000000076</v>
      </c>
      <c r="T112" s="249">
        <v>692.30528000000004</v>
      </c>
      <c r="V112" s="249">
        <v>24.600000000000033</v>
      </c>
      <c r="W112" s="249">
        <v>354.51908399999996</v>
      </c>
      <c r="AO112" s="351">
        <v>25.8</v>
      </c>
      <c r="AP112" s="352">
        <v>0.99683999999999995</v>
      </c>
      <c r="AQ112" s="352">
        <v>0.99863000000000002</v>
      </c>
    </row>
    <row r="113" spans="16:43" x14ac:dyDescent="0.25">
      <c r="P113" s="249">
        <v>24.000000000000021</v>
      </c>
      <c r="Q113" s="249">
        <v>685.83039999999994</v>
      </c>
      <c r="S113" s="249">
        <v>24.700000000000077</v>
      </c>
      <c r="T113" s="249">
        <v>692.29395999999997</v>
      </c>
      <c r="V113" s="249">
        <v>24.700000000000035</v>
      </c>
      <c r="W113" s="249">
        <v>354.51507599999997</v>
      </c>
      <c r="AO113" s="351">
        <v>25.9</v>
      </c>
      <c r="AP113" s="352">
        <v>0.99680999999999997</v>
      </c>
      <c r="AQ113" s="352">
        <v>0.99860000000000004</v>
      </c>
    </row>
    <row r="114" spans="16:43" x14ac:dyDescent="0.25">
      <c r="P114" s="249">
        <v>24.100000000000023</v>
      </c>
      <c r="Q114" s="249">
        <v>685.81810999999993</v>
      </c>
      <c r="S114" s="249">
        <v>24.800000000000079</v>
      </c>
      <c r="T114" s="249">
        <v>692.28264000000001</v>
      </c>
      <c r="V114" s="249">
        <v>24.800000000000036</v>
      </c>
      <c r="W114" s="249">
        <v>354.51097599999997</v>
      </c>
      <c r="AO114" s="349">
        <v>26</v>
      </c>
      <c r="AP114" s="350">
        <v>0.99678999999999995</v>
      </c>
      <c r="AQ114" s="350">
        <v>0.99858000000000002</v>
      </c>
    </row>
    <row r="115" spans="16:43" x14ac:dyDescent="0.25">
      <c r="P115" s="249">
        <v>24.200000000000024</v>
      </c>
      <c r="Q115" s="249">
        <v>685.80581999999993</v>
      </c>
      <c r="S115" s="249">
        <v>24.90000000000008</v>
      </c>
      <c r="T115" s="249">
        <v>692.27132000000006</v>
      </c>
      <c r="V115" s="249">
        <v>24.900000000000038</v>
      </c>
      <c r="W115" s="249">
        <v>354.50678399999998</v>
      </c>
      <c r="AO115" s="351">
        <v>26.1</v>
      </c>
      <c r="AP115" s="352">
        <v>0.99675999999999998</v>
      </c>
      <c r="AQ115" s="352">
        <v>0.99855000000000005</v>
      </c>
    </row>
    <row r="116" spans="16:43" x14ac:dyDescent="0.25">
      <c r="P116" s="249">
        <v>24.300000000000026</v>
      </c>
      <c r="Q116" s="249">
        <v>685.79352999999992</v>
      </c>
      <c r="S116" s="249">
        <v>25.000000000000082</v>
      </c>
      <c r="T116" s="249">
        <v>692.26</v>
      </c>
      <c r="V116" s="249">
        <v>25.000000000000039</v>
      </c>
      <c r="W116" s="249">
        <v>354.5025</v>
      </c>
      <c r="AO116" s="351">
        <v>26.2</v>
      </c>
      <c r="AP116" s="352">
        <v>0.99673</v>
      </c>
      <c r="AQ116" s="352">
        <v>0.99851999999999996</v>
      </c>
    </row>
    <row r="117" spans="16:43" x14ac:dyDescent="0.25">
      <c r="P117" s="249">
        <v>24.400000000000027</v>
      </c>
      <c r="Q117" s="249">
        <v>685.78124000000003</v>
      </c>
      <c r="S117" s="249">
        <v>25.100000000000083</v>
      </c>
      <c r="T117" s="249">
        <v>692.24868000000004</v>
      </c>
      <c r="V117" s="249">
        <v>25.100000000000041</v>
      </c>
      <c r="W117" s="249">
        <v>354.49812399999996</v>
      </c>
      <c r="AO117" s="351">
        <v>26.3</v>
      </c>
      <c r="AP117" s="352">
        <v>0.99670999999999998</v>
      </c>
      <c r="AQ117" s="352">
        <v>0.99850000000000005</v>
      </c>
    </row>
    <row r="118" spans="16:43" x14ac:dyDescent="0.25">
      <c r="P118" s="249">
        <v>24.500000000000028</v>
      </c>
      <c r="Q118" s="249">
        <v>685.76895000000002</v>
      </c>
      <c r="S118" s="249">
        <v>25.200000000000085</v>
      </c>
      <c r="T118" s="249">
        <v>692.23735999999997</v>
      </c>
      <c r="V118" s="249">
        <v>25.200000000000042</v>
      </c>
      <c r="W118" s="249">
        <v>354.49365599999999</v>
      </c>
      <c r="AO118" s="351">
        <v>26.4</v>
      </c>
      <c r="AP118" s="352">
        <v>0.99668000000000001</v>
      </c>
      <c r="AQ118" s="352">
        <v>0.99846999999999997</v>
      </c>
    </row>
    <row r="119" spans="16:43" x14ac:dyDescent="0.25">
      <c r="P119" s="249">
        <v>24.60000000000003</v>
      </c>
      <c r="Q119" s="249">
        <v>685.75666000000001</v>
      </c>
      <c r="S119" s="249">
        <v>25.300000000000086</v>
      </c>
      <c r="T119" s="249">
        <v>692.22604000000001</v>
      </c>
      <c r="V119" s="249">
        <v>25.300000000000043</v>
      </c>
      <c r="W119" s="249">
        <v>354.48909599999996</v>
      </c>
      <c r="AO119" s="351">
        <v>26.5</v>
      </c>
      <c r="AP119" s="352">
        <v>0.99665000000000004</v>
      </c>
      <c r="AQ119" s="352">
        <v>0.99843999999999999</v>
      </c>
    </row>
    <row r="120" spans="16:43" x14ac:dyDescent="0.25">
      <c r="P120" s="249">
        <v>24.700000000000031</v>
      </c>
      <c r="Q120" s="249">
        <v>685.74437</v>
      </c>
      <c r="S120" s="249">
        <v>25.400000000000087</v>
      </c>
      <c r="T120" s="249">
        <v>692.21472000000006</v>
      </c>
      <c r="V120" s="249">
        <v>25.400000000000045</v>
      </c>
      <c r="W120" s="249">
        <v>354.484444</v>
      </c>
      <c r="AO120" s="351">
        <v>26.6</v>
      </c>
      <c r="AP120" s="352">
        <v>0.99663000000000002</v>
      </c>
      <c r="AQ120" s="352">
        <v>0.99841999999999997</v>
      </c>
    </row>
    <row r="121" spans="16:43" x14ac:dyDescent="0.25">
      <c r="P121" s="249">
        <v>24.800000000000033</v>
      </c>
      <c r="Q121" s="249">
        <v>685.73208</v>
      </c>
      <c r="S121" s="249">
        <v>25.500000000000089</v>
      </c>
      <c r="T121" s="249">
        <v>692.20339999999999</v>
      </c>
      <c r="V121" s="249">
        <v>25.500000000000046</v>
      </c>
      <c r="W121" s="249">
        <v>354.47969999999998</v>
      </c>
      <c r="AO121" s="351">
        <v>26.7</v>
      </c>
      <c r="AP121" s="352">
        <v>0.99660000000000004</v>
      </c>
      <c r="AQ121" s="352">
        <v>0.99839</v>
      </c>
    </row>
    <row r="122" spans="16:43" x14ac:dyDescent="0.25">
      <c r="P122" s="249">
        <v>24.900000000000034</v>
      </c>
      <c r="Q122" s="249">
        <v>685.71978999999999</v>
      </c>
      <c r="S122" s="249">
        <v>25.60000000000009</v>
      </c>
      <c r="T122" s="249">
        <v>692.19208000000003</v>
      </c>
      <c r="V122" s="249">
        <v>25.600000000000048</v>
      </c>
      <c r="W122" s="249">
        <v>354.47486399999997</v>
      </c>
      <c r="AO122" s="351">
        <v>26.8</v>
      </c>
      <c r="AP122" s="352">
        <v>0.99656999999999996</v>
      </c>
      <c r="AQ122" s="352">
        <v>0.99836000000000003</v>
      </c>
    </row>
    <row r="123" spans="16:43" x14ac:dyDescent="0.25">
      <c r="P123" s="249">
        <v>25.000000000000036</v>
      </c>
      <c r="Q123" s="249">
        <v>685.70749999999998</v>
      </c>
      <c r="S123" s="249">
        <v>25.700000000000092</v>
      </c>
      <c r="T123" s="249">
        <v>692.18076000000008</v>
      </c>
      <c r="V123" s="249">
        <v>25.700000000000049</v>
      </c>
      <c r="W123" s="249">
        <v>354.46993599999996</v>
      </c>
      <c r="AO123" s="351">
        <v>26.9</v>
      </c>
      <c r="AP123" s="352">
        <v>0.99653999999999998</v>
      </c>
      <c r="AQ123" s="352">
        <v>0.99833000000000005</v>
      </c>
    </row>
    <row r="124" spans="16:43" x14ac:dyDescent="0.25">
      <c r="P124" s="249">
        <v>25.100000000000037</v>
      </c>
      <c r="Q124" s="249">
        <v>685.69520999999997</v>
      </c>
      <c r="S124" s="249">
        <v>25.800000000000093</v>
      </c>
      <c r="T124" s="249">
        <v>692.16944000000001</v>
      </c>
      <c r="V124" s="249">
        <v>25.80000000000005</v>
      </c>
      <c r="W124" s="249">
        <v>354.46491599999996</v>
      </c>
      <c r="AO124" s="349">
        <v>27</v>
      </c>
      <c r="AP124" s="350">
        <v>0.99651999999999996</v>
      </c>
      <c r="AQ124" s="350">
        <v>0.99831000000000003</v>
      </c>
    </row>
    <row r="125" spans="16:43" x14ac:dyDescent="0.25">
      <c r="P125" s="249">
        <v>25.200000000000038</v>
      </c>
      <c r="Q125" s="249">
        <v>685.68291999999997</v>
      </c>
      <c r="S125" s="249">
        <v>25.900000000000095</v>
      </c>
      <c r="T125" s="249">
        <v>692.15812000000005</v>
      </c>
      <c r="V125" s="249">
        <v>25.900000000000052</v>
      </c>
      <c r="W125" s="249">
        <v>354.45980399999996</v>
      </c>
      <c r="AO125" s="351">
        <v>27.1</v>
      </c>
      <c r="AP125" s="352">
        <v>0.99648999999999999</v>
      </c>
      <c r="AQ125" s="352">
        <v>0.99827999999999995</v>
      </c>
    </row>
    <row r="126" spans="16:43" x14ac:dyDescent="0.25">
      <c r="P126" s="249">
        <v>25.30000000000004</v>
      </c>
      <c r="Q126" s="249">
        <v>685.67062999999996</v>
      </c>
      <c r="S126" s="249">
        <v>26.000000000000096</v>
      </c>
      <c r="T126" s="249">
        <v>692.14679999999998</v>
      </c>
      <c r="V126" s="249">
        <v>26.000000000000053</v>
      </c>
      <c r="W126" s="249">
        <v>354.45459999999997</v>
      </c>
      <c r="AO126" s="351">
        <v>27.2</v>
      </c>
      <c r="AP126" s="352">
        <v>0.99646000000000001</v>
      </c>
      <c r="AQ126" s="352">
        <v>0.99824999999999997</v>
      </c>
    </row>
    <row r="127" spans="16:43" x14ac:dyDescent="0.25">
      <c r="P127" s="249">
        <v>25.400000000000041</v>
      </c>
      <c r="Q127" s="249">
        <v>685.65833999999995</v>
      </c>
      <c r="S127" s="249">
        <v>26.100000000000097</v>
      </c>
      <c r="T127" s="249">
        <v>692.13548000000003</v>
      </c>
      <c r="V127" s="249">
        <v>26.100000000000055</v>
      </c>
      <c r="W127" s="249">
        <v>354.44930399999998</v>
      </c>
      <c r="AO127" s="351">
        <v>27.3</v>
      </c>
      <c r="AP127" s="352">
        <v>0.99643000000000004</v>
      </c>
      <c r="AQ127" s="352">
        <v>0.99822</v>
      </c>
    </row>
    <row r="128" spans="16:43" x14ac:dyDescent="0.25">
      <c r="P128" s="249">
        <v>25.500000000000043</v>
      </c>
      <c r="Q128" s="249">
        <v>685.64604999999995</v>
      </c>
      <c r="S128" s="249">
        <v>26.200000000000099</v>
      </c>
      <c r="T128" s="249">
        <v>692.12416000000007</v>
      </c>
      <c r="V128" s="249">
        <v>26.200000000000056</v>
      </c>
      <c r="W128" s="249">
        <v>354.443916</v>
      </c>
      <c r="AO128" s="351">
        <v>27.4</v>
      </c>
      <c r="AP128" s="352">
        <v>0.99641000000000002</v>
      </c>
      <c r="AQ128" s="352">
        <v>0.99819999999999998</v>
      </c>
    </row>
    <row r="129" spans="16:43" x14ac:dyDescent="0.25">
      <c r="P129" s="249">
        <v>25.600000000000044</v>
      </c>
      <c r="Q129" s="249">
        <v>685.63375999999994</v>
      </c>
      <c r="S129" s="249">
        <v>26.3000000000001</v>
      </c>
      <c r="T129" s="249">
        <v>692.11284000000001</v>
      </c>
      <c r="V129" s="249">
        <v>26.300000000000058</v>
      </c>
      <c r="W129" s="249">
        <v>354.43843599999997</v>
      </c>
      <c r="AO129" s="351">
        <v>27.5</v>
      </c>
      <c r="AP129" s="352">
        <v>0.99638000000000004</v>
      </c>
      <c r="AQ129" s="352">
        <v>0.99817</v>
      </c>
    </row>
    <row r="130" spans="16:43" x14ac:dyDescent="0.25">
      <c r="P130" s="249">
        <v>25.700000000000045</v>
      </c>
      <c r="Q130" s="249">
        <v>685.62146999999993</v>
      </c>
      <c r="S130" s="249">
        <v>26.400000000000102</v>
      </c>
      <c r="T130" s="249">
        <v>692.10152000000005</v>
      </c>
      <c r="V130" s="249">
        <v>26.400000000000059</v>
      </c>
      <c r="W130" s="249">
        <v>354.432864</v>
      </c>
      <c r="AO130" s="351">
        <v>27.6</v>
      </c>
      <c r="AP130" s="352">
        <v>0.99634999999999996</v>
      </c>
      <c r="AQ130" s="352">
        <v>0.99814000000000003</v>
      </c>
    </row>
    <row r="131" spans="16:43" x14ac:dyDescent="0.25">
      <c r="P131" s="249">
        <v>25.800000000000047</v>
      </c>
      <c r="Q131" s="249">
        <v>685.60917999999992</v>
      </c>
      <c r="S131" s="249">
        <v>26.500000000000103</v>
      </c>
      <c r="T131" s="249">
        <v>692.09019999999998</v>
      </c>
      <c r="V131" s="249">
        <v>26.50000000000006</v>
      </c>
      <c r="W131" s="249">
        <v>354.42719999999997</v>
      </c>
      <c r="AO131" s="351">
        <v>27.7</v>
      </c>
      <c r="AP131" s="352">
        <v>0.99631999999999998</v>
      </c>
      <c r="AQ131" s="352">
        <v>0.99811000000000005</v>
      </c>
    </row>
    <row r="132" spans="16:43" x14ac:dyDescent="0.25">
      <c r="P132" s="249">
        <v>25.900000000000048</v>
      </c>
      <c r="Q132" s="249">
        <v>685.59688999999992</v>
      </c>
      <c r="S132" s="249">
        <v>26.600000000000104</v>
      </c>
      <c r="T132" s="249">
        <v>692.07888000000003</v>
      </c>
      <c r="V132" s="249">
        <v>26.600000000000062</v>
      </c>
      <c r="W132" s="249">
        <v>354.42144399999995</v>
      </c>
      <c r="AO132" s="351">
        <v>27.8</v>
      </c>
      <c r="AP132" s="352">
        <v>0.99629000000000001</v>
      </c>
      <c r="AQ132" s="352">
        <v>0.99807999999999997</v>
      </c>
    </row>
    <row r="133" spans="16:43" x14ac:dyDescent="0.25">
      <c r="P133" s="249">
        <v>26.00000000000005</v>
      </c>
      <c r="Q133" s="249">
        <v>685.58460000000002</v>
      </c>
      <c r="S133" s="249">
        <v>26.700000000000106</v>
      </c>
      <c r="T133" s="249">
        <v>692.06756000000007</v>
      </c>
      <c r="V133" s="249">
        <v>26.700000000000063</v>
      </c>
      <c r="W133" s="249">
        <v>354.41559599999999</v>
      </c>
      <c r="AO133" s="351">
        <v>27.9</v>
      </c>
      <c r="AP133" s="352">
        <v>0.99626999999999999</v>
      </c>
      <c r="AQ133" s="352">
        <v>0.99805999999999995</v>
      </c>
    </row>
    <row r="134" spans="16:43" x14ac:dyDescent="0.25">
      <c r="P134" s="249">
        <v>26.1</v>
      </c>
      <c r="Q134" s="249">
        <v>685.56245000000001</v>
      </c>
      <c r="S134" s="249">
        <v>26.800000000000107</v>
      </c>
      <c r="T134" s="249">
        <v>692.05624</v>
      </c>
      <c r="V134" s="249">
        <v>26.800000000000065</v>
      </c>
      <c r="W134" s="249">
        <v>354.40965599999998</v>
      </c>
      <c r="AO134" s="349">
        <v>28</v>
      </c>
      <c r="AP134" s="350">
        <v>0.99624000000000001</v>
      </c>
      <c r="AQ134" s="350">
        <v>0.99802999999999997</v>
      </c>
    </row>
    <row r="135" spans="16:43" x14ac:dyDescent="0.25">
      <c r="P135" s="249">
        <v>26.200000000000003</v>
      </c>
      <c r="Q135" s="249">
        <v>685.54790000000003</v>
      </c>
      <c r="S135" s="249">
        <v>26.900000000000109</v>
      </c>
      <c r="T135" s="249">
        <v>692.04492000000005</v>
      </c>
      <c r="V135" s="249">
        <v>26.900000000000066</v>
      </c>
      <c r="W135" s="249">
        <v>354.40362399999998</v>
      </c>
      <c r="AO135" s="351">
        <v>28.1</v>
      </c>
      <c r="AP135" s="352">
        <v>0.99621000000000004</v>
      </c>
      <c r="AQ135" s="352">
        <v>0.998</v>
      </c>
    </row>
    <row r="136" spans="16:43" x14ac:dyDescent="0.25">
      <c r="P136" s="249">
        <v>26.300000000000004</v>
      </c>
      <c r="Q136" s="249">
        <v>685.53335000000004</v>
      </c>
      <c r="S136" s="249">
        <v>27.00000000000011</v>
      </c>
      <c r="T136" s="249">
        <v>692.03359999999998</v>
      </c>
      <c r="V136" s="249">
        <v>27.000000000000068</v>
      </c>
      <c r="W136" s="249">
        <v>354.39749999999998</v>
      </c>
      <c r="AO136" s="351">
        <v>28.2</v>
      </c>
      <c r="AP136" s="352">
        <v>0.99617999999999995</v>
      </c>
      <c r="AQ136" s="352">
        <v>0.99797000000000002</v>
      </c>
    </row>
    <row r="137" spans="16:43" x14ac:dyDescent="0.25">
      <c r="P137" s="249">
        <v>26.400000000000006</v>
      </c>
      <c r="Q137" s="249">
        <v>685.51880000000006</v>
      </c>
      <c r="S137" s="249">
        <v>27.100000000000112</v>
      </c>
      <c r="T137" s="249">
        <v>692.02228000000002</v>
      </c>
      <c r="V137" s="249">
        <v>27.100000000000069</v>
      </c>
      <c r="W137" s="249">
        <v>354.39128399999998</v>
      </c>
      <c r="AO137" s="351">
        <v>28.3</v>
      </c>
      <c r="AP137" s="352">
        <v>0.99614999999999998</v>
      </c>
      <c r="AQ137" s="352">
        <v>0.99794000000000005</v>
      </c>
    </row>
    <row r="138" spans="16:43" x14ac:dyDescent="0.25">
      <c r="P138" s="249">
        <v>26.500000000000007</v>
      </c>
      <c r="Q138" s="249">
        <v>685.50424999999996</v>
      </c>
      <c r="S138" s="249">
        <v>27.200000000000113</v>
      </c>
      <c r="T138" s="249">
        <v>692.01096000000007</v>
      </c>
      <c r="V138" s="249">
        <v>27.20000000000007</v>
      </c>
      <c r="W138" s="249">
        <v>354.38497599999999</v>
      </c>
      <c r="AO138" s="351">
        <v>28.4</v>
      </c>
      <c r="AP138" s="352">
        <v>0.99612000000000001</v>
      </c>
      <c r="AQ138" s="352">
        <v>0.99790999999999996</v>
      </c>
    </row>
    <row r="139" spans="16:43" x14ac:dyDescent="0.25">
      <c r="P139" s="249">
        <v>26.600000000000009</v>
      </c>
      <c r="Q139" s="249">
        <v>685.48969999999997</v>
      </c>
      <c r="S139" s="249">
        <v>27.300000000000114</v>
      </c>
      <c r="T139" s="249">
        <v>691.99964</v>
      </c>
      <c r="V139" s="249">
        <v>27.300000000000072</v>
      </c>
      <c r="W139" s="249">
        <v>354.37857599999995</v>
      </c>
      <c r="AO139" s="351">
        <v>28.5</v>
      </c>
      <c r="AP139" s="352">
        <v>0.99609000000000003</v>
      </c>
      <c r="AQ139" s="352">
        <v>0.99787999999999999</v>
      </c>
    </row>
    <row r="140" spans="16:43" x14ac:dyDescent="0.25">
      <c r="P140" s="249">
        <v>26.70000000000001</v>
      </c>
      <c r="Q140" s="249">
        <v>685.47514999999999</v>
      </c>
      <c r="S140" s="249">
        <v>27.400000000000116</v>
      </c>
      <c r="T140" s="249">
        <v>691.98832000000004</v>
      </c>
      <c r="V140" s="249">
        <v>27.400000000000073</v>
      </c>
      <c r="W140" s="249">
        <v>354.37208399999997</v>
      </c>
      <c r="AO140" s="351">
        <v>28.6</v>
      </c>
      <c r="AP140" s="352">
        <v>0.99607000000000001</v>
      </c>
      <c r="AQ140" s="352">
        <v>0.99785000000000001</v>
      </c>
    </row>
    <row r="141" spans="16:43" x14ac:dyDescent="0.25">
      <c r="P141" s="249">
        <v>26.800000000000011</v>
      </c>
      <c r="Q141" s="249">
        <v>685.4606</v>
      </c>
      <c r="S141" s="249">
        <v>27.500000000000117</v>
      </c>
      <c r="T141" s="249">
        <v>691.97699999999998</v>
      </c>
      <c r="V141" s="249">
        <v>27.500000000000075</v>
      </c>
      <c r="W141" s="249">
        <v>354.3655</v>
      </c>
      <c r="AO141" s="351">
        <v>28.7</v>
      </c>
      <c r="AP141" s="352">
        <v>0.99604000000000004</v>
      </c>
      <c r="AQ141" s="352">
        <v>0.99782999999999999</v>
      </c>
    </row>
    <row r="142" spans="16:43" x14ac:dyDescent="0.25">
      <c r="P142" s="249">
        <v>26.900000000000013</v>
      </c>
      <c r="Q142" s="249">
        <v>685.44605000000001</v>
      </c>
      <c r="S142" s="249">
        <v>27.600000000000119</v>
      </c>
      <c r="T142" s="249">
        <v>691.96568000000002</v>
      </c>
      <c r="V142" s="249">
        <v>27.600000000000076</v>
      </c>
      <c r="W142" s="249">
        <v>354.35882399999997</v>
      </c>
      <c r="AO142" s="351">
        <v>28.8</v>
      </c>
      <c r="AP142" s="352">
        <v>0.99600999999999995</v>
      </c>
      <c r="AQ142" s="352">
        <v>0.99780000000000002</v>
      </c>
    </row>
    <row r="143" spans="16:43" x14ac:dyDescent="0.25">
      <c r="P143" s="249">
        <v>27.000000000000014</v>
      </c>
      <c r="Q143" s="249">
        <v>685.43150000000003</v>
      </c>
      <c r="S143" s="249">
        <v>27.70000000000012</v>
      </c>
      <c r="T143" s="249">
        <v>691.95436000000007</v>
      </c>
      <c r="V143" s="249">
        <v>27.700000000000077</v>
      </c>
      <c r="W143" s="249">
        <v>354.35205599999995</v>
      </c>
      <c r="AO143" s="351">
        <v>28.9</v>
      </c>
      <c r="AP143" s="352">
        <v>0.99597999999999998</v>
      </c>
      <c r="AQ143" s="352">
        <v>0.99777000000000005</v>
      </c>
    </row>
    <row r="144" spans="16:43" x14ac:dyDescent="0.25">
      <c r="P144" s="249">
        <v>27.100000000000016</v>
      </c>
      <c r="Q144" s="249">
        <v>685.41695000000004</v>
      </c>
      <c r="S144" s="249">
        <v>27.800000000000122</v>
      </c>
      <c r="T144" s="249">
        <v>691.94304</v>
      </c>
      <c r="V144" s="249">
        <v>27.800000000000079</v>
      </c>
      <c r="W144" s="249">
        <v>354.34519599999999</v>
      </c>
      <c r="AO144" s="349">
        <v>29</v>
      </c>
      <c r="AP144" s="350">
        <v>0.99595</v>
      </c>
      <c r="AQ144" s="350">
        <v>0.99773999999999996</v>
      </c>
    </row>
    <row r="145" spans="16:43" x14ac:dyDescent="0.25">
      <c r="P145" s="249">
        <v>27.200000000000017</v>
      </c>
      <c r="Q145" s="249">
        <v>685.40240000000006</v>
      </c>
      <c r="S145" s="249">
        <v>27.900000000000123</v>
      </c>
      <c r="T145" s="249">
        <v>691.93172000000004</v>
      </c>
      <c r="V145" s="249">
        <v>27.90000000000008</v>
      </c>
      <c r="W145" s="249">
        <v>354.33824399999997</v>
      </c>
      <c r="AO145" s="351">
        <v>29.099999999999898</v>
      </c>
      <c r="AP145" s="352">
        <v>0.99592000000000003</v>
      </c>
      <c r="AQ145" s="352">
        <v>0.99770999999999999</v>
      </c>
    </row>
    <row r="146" spans="16:43" x14ac:dyDescent="0.25">
      <c r="P146" s="249">
        <v>27.300000000000018</v>
      </c>
      <c r="Q146" s="249">
        <v>685.38784999999996</v>
      </c>
      <c r="S146" s="249">
        <v>28.000000000000124</v>
      </c>
      <c r="T146" s="249">
        <v>691.92039999999997</v>
      </c>
      <c r="V146" s="249">
        <v>28.000000000000082</v>
      </c>
      <c r="W146" s="249">
        <v>354.33119999999997</v>
      </c>
      <c r="AO146" s="351">
        <v>29.1999999999999</v>
      </c>
      <c r="AP146" s="352">
        <v>0.99589000000000005</v>
      </c>
      <c r="AQ146" s="352">
        <v>0.99768000000000001</v>
      </c>
    </row>
    <row r="147" spans="16:43" x14ac:dyDescent="0.25">
      <c r="P147" s="249">
        <v>27.40000000000002</v>
      </c>
      <c r="Q147" s="249">
        <v>685.37329999999997</v>
      </c>
      <c r="S147" s="249">
        <v>28.100000000000126</v>
      </c>
      <c r="T147" s="249">
        <v>691.90908000000002</v>
      </c>
      <c r="V147" s="249">
        <v>28.100000000000083</v>
      </c>
      <c r="W147" s="249">
        <v>354.32406399999996</v>
      </c>
      <c r="AO147" s="351">
        <v>29.299999999999901</v>
      </c>
      <c r="AP147" s="352">
        <v>0.99585999999999997</v>
      </c>
      <c r="AQ147" s="352">
        <v>0.99765000000000004</v>
      </c>
    </row>
    <row r="148" spans="16:43" x14ac:dyDescent="0.25">
      <c r="P148" s="249">
        <v>27.500000000000021</v>
      </c>
      <c r="Q148" s="249">
        <v>685.35874999999999</v>
      </c>
      <c r="S148" s="249">
        <v>28.200000000000127</v>
      </c>
      <c r="T148" s="249">
        <v>691.89776000000006</v>
      </c>
      <c r="V148" s="249">
        <v>28.200000000000085</v>
      </c>
      <c r="W148" s="249">
        <v>354.31683599999997</v>
      </c>
      <c r="AO148" s="351">
        <v>29.399999999999899</v>
      </c>
      <c r="AP148" s="352">
        <v>0.99582999999999999</v>
      </c>
      <c r="AQ148" s="352">
        <v>0.99761999999999995</v>
      </c>
    </row>
    <row r="149" spans="16:43" x14ac:dyDescent="0.25">
      <c r="P149" s="249">
        <v>27.600000000000023</v>
      </c>
      <c r="Q149" s="249">
        <v>685.3442</v>
      </c>
      <c r="S149" s="249">
        <v>28.300000000000129</v>
      </c>
      <c r="T149" s="249">
        <v>691.88643999999999</v>
      </c>
      <c r="V149" s="249">
        <v>28.300000000000086</v>
      </c>
      <c r="W149" s="249">
        <v>354.30951599999997</v>
      </c>
      <c r="AO149" s="351">
        <v>29.499999999999901</v>
      </c>
      <c r="AP149" s="352">
        <v>0.99580000000000002</v>
      </c>
      <c r="AQ149" s="352">
        <v>0.99758999999999998</v>
      </c>
    </row>
    <row r="150" spans="16:43" x14ac:dyDescent="0.25">
      <c r="P150" s="249">
        <v>27.700000000000024</v>
      </c>
      <c r="Q150" s="249">
        <v>685.32965000000002</v>
      </c>
      <c r="S150" s="249">
        <v>28.40000000000013</v>
      </c>
      <c r="T150" s="249">
        <v>691.87512000000004</v>
      </c>
      <c r="V150" s="249">
        <v>28.400000000000087</v>
      </c>
      <c r="W150" s="249">
        <v>354.30210399999999</v>
      </c>
      <c r="AO150" s="351">
        <v>29.599999999999898</v>
      </c>
      <c r="AP150" s="352">
        <v>0.99577000000000004</v>
      </c>
      <c r="AQ150" s="352">
        <v>0.99756</v>
      </c>
    </row>
    <row r="151" spans="16:43" x14ac:dyDescent="0.25">
      <c r="P151" s="249">
        <v>27.800000000000026</v>
      </c>
      <c r="Q151" s="249">
        <v>685.31510000000003</v>
      </c>
      <c r="S151" s="249">
        <v>28.500000000000131</v>
      </c>
      <c r="T151" s="249">
        <v>691.86379999999997</v>
      </c>
      <c r="V151" s="249">
        <v>28.500000000000089</v>
      </c>
      <c r="W151" s="249">
        <v>354.29459999999995</v>
      </c>
      <c r="AO151" s="351">
        <v>29.6999999999999</v>
      </c>
      <c r="AP151" s="352">
        <v>0.99573999999999996</v>
      </c>
      <c r="AQ151" s="352">
        <v>0.99753000000000003</v>
      </c>
    </row>
    <row r="152" spans="16:43" x14ac:dyDescent="0.25">
      <c r="P152" s="249">
        <v>27.900000000000027</v>
      </c>
      <c r="Q152" s="249">
        <v>685.30055000000004</v>
      </c>
      <c r="S152" s="249">
        <v>28.600000000000133</v>
      </c>
      <c r="T152" s="249">
        <v>691.85248000000001</v>
      </c>
      <c r="V152" s="249">
        <v>28.60000000000009</v>
      </c>
      <c r="W152" s="249">
        <v>354.28700399999997</v>
      </c>
      <c r="AO152" s="351">
        <v>29.799999999999901</v>
      </c>
      <c r="AP152" s="352">
        <v>0.99570999999999998</v>
      </c>
      <c r="AQ152" s="352">
        <v>0.99750000000000005</v>
      </c>
    </row>
    <row r="153" spans="16:43" x14ac:dyDescent="0.25">
      <c r="P153" s="249">
        <v>28.000000000000028</v>
      </c>
      <c r="Q153" s="249">
        <v>685.28600000000006</v>
      </c>
      <c r="S153" s="249">
        <v>28.700000000000134</v>
      </c>
      <c r="T153" s="249">
        <v>691.84116000000006</v>
      </c>
      <c r="V153" s="249">
        <v>28.700000000000092</v>
      </c>
      <c r="W153" s="249">
        <v>354.27931599999999</v>
      </c>
      <c r="AO153" s="351">
        <v>29.899999999999899</v>
      </c>
      <c r="AP153" s="352">
        <v>0.99568000000000001</v>
      </c>
      <c r="AQ153" s="352">
        <v>0.99746999999999997</v>
      </c>
    </row>
    <row r="154" spans="16:43" x14ac:dyDescent="0.25">
      <c r="P154" s="249">
        <v>28.10000000000003</v>
      </c>
      <c r="Q154" s="249">
        <v>685.27144999999996</v>
      </c>
      <c r="S154" s="249">
        <v>28.800000000000136</v>
      </c>
      <c r="T154" s="249">
        <v>691.82983999999999</v>
      </c>
      <c r="V154" s="249">
        <v>28.800000000000093</v>
      </c>
      <c r="W154" s="249">
        <v>354.27153599999997</v>
      </c>
      <c r="AO154" s="349">
        <v>29.999999999999901</v>
      </c>
      <c r="AP154" s="350">
        <v>0.99565000000000003</v>
      </c>
      <c r="AQ154" s="350">
        <v>0.99743999999999999</v>
      </c>
    </row>
    <row r="155" spans="16:43" x14ac:dyDescent="0.25">
      <c r="P155" s="249">
        <v>28.200000000000031</v>
      </c>
      <c r="Q155" s="249">
        <v>685.25689999999997</v>
      </c>
      <c r="S155" s="249">
        <v>28.900000000000137</v>
      </c>
      <c r="T155" s="249">
        <v>691.81852000000003</v>
      </c>
      <c r="V155" s="249">
        <v>28.900000000000095</v>
      </c>
      <c r="W155" s="249">
        <v>354.26366399999995</v>
      </c>
      <c r="AO155" s="351">
        <v>30.099999999999898</v>
      </c>
      <c r="AP155" s="352">
        <v>0.99561999999999995</v>
      </c>
      <c r="AQ155" s="352">
        <v>0.99741000000000002</v>
      </c>
    </row>
    <row r="156" spans="16:43" x14ac:dyDescent="0.25">
      <c r="P156" s="249">
        <v>28.300000000000033</v>
      </c>
      <c r="Q156" s="249">
        <v>685.24234999999999</v>
      </c>
      <c r="S156" s="249">
        <v>29.000000000000139</v>
      </c>
      <c r="T156" s="249">
        <v>691.80719999999997</v>
      </c>
      <c r="V156" s="249">
        <v>29.000000000000096</v>
      </c>
      <c r="W156" s="249">
        <v>354.25569999999999</v>
      </c>
      <c r="AO156" s="351">
        <v>30.1999999999999</v>
      </c>
      <c r="AP156" s="352">
        <v>0.99558999999999997</v>
      </c>
      <c r="AQ156" s="352">
        <v>0.99738000000000004</v>
      </c>
    </row>
    <row r="157" spans="16:43" x14ac:dyDescent="0.25">
      <c r="P157" s="249">
        <v>28.400000000000034</v>
      </c>
      <c r="Q157" s="249">
        <v>685.2278</v>
      </c>
      <c r="S157" s="249">
        <v>29.10000000000014</v>
      </c>
      <c r="T157" s="249">
        <v>691.79588000000001</v>
      </c>
      <c r="V157" s="249">
        <v>29.100000000000097</v>
      </c>
      <c r="W157" s="249">
        <v>354.24764399999998</v>
      </c>
      <c r="AO157" s="351">
        <v>30.299999999999901</v>
      </c>
      <c r="AP157" s="352">
        <v>0.995559999999999</v>
      </c>
      <c r="AQ157" s="352">
        <v>0.99734999999999996</v>
      </c>
    </row>
    <row r="158" spans="16:43" x14ac:dyDescent="0.25">
      <c r="P158" s="249">
        <v>28.500000000000036</v>
      </c>
      <c r="Q158" s="249">
        <v>685.21325000000002</v>
      </c>
      <c r="S158" s="249">
        <v>29.200000000000141</v>
      </c>
      <c r="T158" s="249">
        <v>691.78456000000006</v>
      </c>
      <c r="V158" s="249">
        <v>29.200000000000099</v>
      </c>
      <c r="W158" s="249">
        <v>354.23949599999997</v>
      </c>
      <c r="AO158" s="351">
        <v>30.399999999999899</v>
      </c>
      <c r="AP158" s="352">
        <v>0.99552999999999903</v>
      </c>
      <c r="AQ158" s="352">
        <v>0.99731999999999998</v>
      </c>
    </row>
    <row r="159" spans="16:43" x14ac:dyDescent="0.25">
      <c r="P159" s="249">
        <v>28.600000000000037</v>
      </c>
      <c r="Q159" s="249">
        <v>685.19870000000003</v>
      </c>
      <c r="S159" s="249">
        <v>29.300000000000143</v>
      </c>
      <c r="T159" s="249">
        <v>691.77323999999999</v>
      </c>
      <c r="V159" s="249">
        <v>29.3000000000001</v>
      </c>
      <c r="W159" s="249">
        <v>354.23125599999997</v>
      </c>
      <c r="AO159" s="351">
        <v>30.499999999999901</v>
      </c>
      <c r="AP159" s="352">
        <v>0.99549999999999905</v>
      </c>
      <c r="AQ159" s="352">
        <v>0.99729000000000001</v>
      </c>
    </row>
    <row r="160" spans="16:43" x14ac:dyDescent="0.25">
      <c r="P160" s="249">
        <v>28.700000000000038</v>
      </c>
      <c r="Q160" s="249">
        <v>685.18415000000005</v>
      </c>
      <c r="S160" s="249">
        <v>29.400000000000144</v>
      </c>
      <c r="T160" s="249">
        <v>691.76192000000003</v>
      </c>
      <c r="V160" s="249">
        <v>29.400000000000102</v>
      </c>
      <c r="W160" s="249">
        <v>354.22292399999998</v>
      </c>
      <c r="AO160" s="351">
        <v>30.599999999999898</v>
      </c>
      <c r="AP160" s="352">
        <v>0.99546999999999897</v>
      </c>
      <c r="AQ160" s="352">
        <v>0.99726000000000004</v>
      </c>
    </row>
    <row r="161" spans="16:43" x14ac:dyDescent="0.25">
      <c r="P161" s="249">
        <v>28.80000000000004</v>
      </c>
      <c r="Q161" s="249">
        <v>685.16960000000006</v>
      </c>
      <c r="S161" s="249">
        <v>29.500000000000146</v>
      </c>
      <c r="T161" s="249">
        <v>691.75059999999996</v>
      </c>
      <c r="V161" s="249">
        <v>29.500000000000103</v>
      </c>
      <c r="W161" s="249">
        <v>354.21449999999999</v>
      </c>
      <c r="AO161" s="351">
        <v>30.6999999999999</v>
      </c>
      <c r="AP161" s="352">
        <v>0.99543999999999899</v>
      </c>
      <c r="AQ161" s="352">
        <v>0.99722999999999995</v>
      </c>
    </row>
    <row r="162" spans="16:43" x14ac:dyDescent="0.25">
      <c r="P162" s="249">
        <v>28.900000000000041</v>
      </c>
      <c r="Q162" s="249">
        <v>685.15504999999996</v>
      </c>
      <c r="S162" s="249">
        <v>29.600000000000147</v>
      </c>
      <c r="T162" s="249">
        <v>691.73928000000001</v>
      </c>
      <c r="V162" s="249">
        <v>29.600000000000104</v>
      </c>
      <c r="W162" s="249">
        <v>354.20598399999994</v>
      </c>
      <c r="AO162" s="351">
        <v>30.799999999999901</v>
      </c>
      <c r="AP162" s="352">
        <v>0.99540999999999902</v>
      </c>
      <c r="AQ162" s="352">
        <v>0.99719999999999998</v>
      </c>
    </row>
    <row r="163" spans="16:43" x14ac:dyDescent="0.25">
      <c r="P163" s="249">
        <v>29.000000000000043</v>
      </c>
      <c r="Q163" s="249">
        <v>685.14049999999997</v>
      </c>
      <c r="S163" s="249">
        <v>29.700000000000149</v>
      </c>
      <c r="T163" s="249">
        <v>691.72796000000005</v>
      </c>
      <c r="V163" s="249">
        <v>29.700000000000106</v>
      </c>
      <c r="W163" s="249">
        <v>354.19737599999996</v>
      </c>
      <c r="AO163" s="351">
        <v>30.899999999999899</v>
      </c>
      <c r="AP163" s="352">
        <v>0.99537999999999904</v>
      </c>
      <c r="AQ163" s="352">
        <v>0.99716000000000005</v>
      </c>
    </row>
    <row r="164" spans="16:43" x14ac:dyDescent="0.25">
      <c r="P164" s="249">
        <v>29.100000000000044</v>
      </c>
      <c r="Q164" s="249">
        <v>685.12594999999999</v>
      </c>
      <c r="S164" s="249">
        <v>29.80000000000015</v>
      </c>
      <c r="T164" s="249">
        <v>691.71663999999998</v>
      </c>
      <c r="V164" s="249">
        <v>29.800000000000107</v>
      </c>
      <c r="W164" s="249">
        <v>354.18867599999999</v>
      </c>
    </row>
    <row r="165" spans="16:43" x14ac:dyDescent="0.25">
      <c r="P165" s="249">
        <v>29.200000000000045</v>
      </c>
      <c r="Q165" s="249">
        <v>685.1114</v>
      </c>
      <c r="S165" s="249">
        <v>29.900000000000151</v>
      </c>
      <c r="T165" s="249">
        <v>691.70532000000003</v>
      </c>
      <c r="V165" s="249">
        <v>29.900000000000109</v>
      </c>
      <c r="W165" s="249">
        <v>354.17988399999996</v>
      </c>
    </row>
    <row r="166" spans="16:43" x14ac:dyDescent="0.25">
      <c r="P166" s="249">
        <v>29.300000000000047</v>
      </c>
      <c r="Q166" s="249">
        <v>685.09685000000002</v>
      </c>
      <c r="S166" s="249">
        <v>30.000000000000153</v>
      </c>
      <c r="T166" s="249">
        <v>691.69399999999996</v>
      </c>
      <c r="V166" s="249">
        <v>30.00000000000011</v>
      </c>
      <c r="W166" s="249">
        <v>354.17099999999999</v>
      </c>
    </row>
    <row r="167" spans="16:43" x14ac:dyDescent="0.25">
      <c r="P167" s="249">
        <v>29.400000000000048</v>
      </c>
      <c r="Q167" s="249">
        <v>685.08230000000003</v>
      </c>
    </row>
    <row r="168" spans="16:43" x14ac:dyDescent="0.25">
      <c r="P168" s="249">
        <v>29.50000000000005</v>
      </c>
      <c r="Q168" s="249">
        <v>685.06775000000005</v>
      </c>
    </row>
    <row r="169" spans="16:43" x14ac:dyDescent="0.25">
      <c r="P169" s="249">
        <v>29.600000000000051</v>
      </c>
      <c r="Q169" s="249">
        <v>685.05320000000006</v>
      </c>
    </row>
    <row r="170" spans="16:43" x14ac:dyDescent="0.25">
      <c r="P170" s="249">
        <v>29.700000000000053</v>
      </c>
      <c r="Q170" s="249">
        <v>685.03864999999996</v>
      </c>
    </row>
    <row r="171" spans="16:43" x14ac:dyDescent="0.25">
      <c r="P171" s="249">
        <v>29.800000000000054</v>
      </c>
      <c r="Q171" s="249">
        <v>685.02409999999998</v>
      </c>
    </row>
    <row r="172" spans="16:43" x14ac:dyDescent="0.25">
      <c r="P172" s="249">
        <v>29.900000000000055</v>
      </c>
      <c r="Q172" s="249">
        <v>685.00954999999999</v>
      </c>
    </row>
    <row r="173" spans="16:43" x14ac:dyDescent="0.25">
      <c r="P173" s="249">
        <v>30.000000000000057</v>
      </c>
      <c r="Q173" s="249">
        <v>684.995</v>
      </c>
    </row>
    <row r="174" spans="16:43" x14ac:dyDescent="0.25">
      <c r="P174" s="249">
        <v>30.100000000000058</v>
      </c>
      <c r="Q174" s="249">
        <v>684.98045000000002</v>
      </c>
    </row>
    <row r="175" spans="16:43" x14ac:dyDescent="0.25">
      <c r="P175" s="249">
        <v>30.20000000000006</v>
      </c>
      <c r="Q175" s="249">
        <v>684.96590000000003</v>
      </c>
    </row>
    <row r="176" spans="16:43" x14ac:dyDescent="0.25">
      <c r="P176" s="249">
        <v>30.300000000000061</v>
      </c>
      <c r="Q176" s="249">
        <v>684.95135000000005</v>
      </c>
    </row>
    <row r="177" spans="16:17" x14ac:dyDescent="0.25">
      <c r="P177" s="249">
        <v>30.400000000000063</v>
      </c>
      <c r="Q177" s="249">
        <v>684.93679999999995</v>
      </c>
    </row>
    <row r="178" spans="16:17" x14ac:dyDescent="0.25">
      <c r="P178" s="249">
        <v>30.500000000000064</v>
      </c>
      <c r="Q178" s="249">
        <v>684.92224999999996</v>
      </c>
    </row>
    <row r="179" spans="16:17" x14ac:dyDescent="0.25">
      <c r="P179" s="249">
        <v>30.600000000000065</v>
      </c>
      <c r="Q179" s="249">
        <v>684.90769999999998</v>
      </c>
    </row>
    <row r="180" spans="16:17" x14ac:dyDescent="0.25">
      <c r="P180" s="249">
        <v>30.700000000000067</v>
      </c>
      <c r="Q180" s="249">
        <v>684.89314999999999</v>
      </c>
    </row>
    <row r="181" spans="16:17" x14ac:dyDescent="0.25">
      <c r="P181" s="249">
        <v>30.800000000000068</v>
      </c>
      <c r="Q181" s="249">
        <v>684.87860000000001</v>
      </c>
    </row>
    <row r="182" spans="16:17" x14ac:dyDescent="0.25">
      <c r="P182" s="249">
        <v>30.90000000000007</v>
      </c>
      <c r="Q182" s="249">
        <v>684.86405000000002</v>
      </c>
    </row>
    <row r="183" spans="16:17" x14ac:dyDescent="0.25">
      <c r="P183" s="249">
        <v>31.000000000000071</v>
      </c>
      <c r="Q183" s="249">
        <v>684.84950000000003</v>
      </c>
    </row>
    <row r="184" spans="16:17" x14ac:dyDescent="0.25">
      <c r="P184" s="249">
        <v>31.100000000000072</v>
      </c>
      <c r="Q184" s="249">
        <v>684.83495000000005</v>
      </c>
    </row>
    <row r="185" spans="16:17" x14ac:dyDescent="0.25">
      <c r="P185" s="249">
        <v>31.200000000000074</v>
      </c>
      <c r="Q185" s="249">
        <v>684.82039999999995</v>
      </c>
    </row>
    <row r="186" spans="16:17" x14ac:dyDescent="0.25">
      <c r="P186" s="249">
        <v>31.300000000000075</v>
      </c>
      <c r="Q186" s="249">
        <v>684.80584999999996</v>
      </c>
    </row>
    <row r="187" spans="16:17" x14ac:dyDescent="0.25">
      <c r="P187" s="249">
        <v>31.400000000000077</v>
      </c>
      <c r="Q187" s="249">
        <v>684.79129999999998</v>
      </c>
    </row>
    <row r="188" spans="16:17" x14ac:dyDescent="0.25">
      <c r="P188" s="249">
        <v>31.500000000000078</v>
      </c>
      <c r="Q188" s="249">
        <v>684.77674999999999</v>
      </c>
    </row>
    <row r="189" spans="16:17" x14ac:dyDescent="0.25">
      <c r="P189" s="249">
        <v>31.60000000000008</v>
      </c>
      <c r="Q189" s="249">
        <v>684.76220000000001</v>
      </c>
    </row>
    <row r="190" spans="16:17" x14ac:dyDescent="0.25">
      <c r="P190" s="249">
        <v>31.700000000000081</v>
      </c>
      <c r="Q190" s="249">
        <v>684.74765000000002</v>
      </c>
    </row>
    <row r="191" spans="16:17" x14ac:dyDescent="0.25">
      <c r="P191" s="249">
        <v>31.800000000000082</v>
      </c>
      <c r="Q191" s="249">
        <v>684.73310000000004</v>
      </c>
    </row>
    <row r="192" spans="16:17" x14ac:dyDescent="0.25">
      <c r="P192" s="249">
        <v>31.900000000000084</v>
      </c>
      <c r="Q192" s="249">
        <v>684.71855000000005</v>
      </c>
    </row>
    <row r="193" spans="16:17" x14ac:dyDescent="0.25">
      <c r="P193" s="249">
        <v>32.000000000000085</v>
      </c>
      <c r="Q193" s="249">
        <v>684.70399999999995</v>
      </c>
    </row>
    <row r="194" spans="16:17" x14ac:dyDescent="0.25">
      <c r="P194" s="249">
        <v>32.100000000000087</v>
      </c>
      <c r="Q194" s="249">
        <v>684.68944999999997</v>
      </c>
    </row>
    <row r="195" spans="16:17" x14ac:dyDescent="0.25">
      <c r="P195" s="249">
        <v>32.200000000000088</v>
      </c>
      <c r="Q195" s="249">
        <v>684.67489999999998</v>
      </c>
    </row>
    <row r="196" spans="16:17" x14ac:dyDescent="0.25">
      <c r="P196" s="249">
        <v>32.30000000000009</v>
      </c>
      <c r="Q196" s="249">
        <v>684.66034999999999</v>
      </c>
    </row>
    <row r="197" spans="16:17" x14ac:dyDescent="0.25">
      <c r="P197" s="249">
        <v>32.400000000000091</v>
      </c>
      <c r="Q197" s="249">
        <v>684.64580000000001</v>
      </c>
    </row>
    <row r="198" spans="16:17" x14ac:dyDescent="0.25">
      <c r="P198" s="249">
        <v>32.500000000000092</v>
      </c>
      <c r="Q198" s="249">
        <v>684.63125000000002</v>
      </c>
    </row>
    <row r="199" spans="16:17" x14ac:dyDescent="0.25">
      <c r="P199" s="249">
        <v>32.600000000000094</v>
      </c>
      <c r="Q199" s="249">
        <v>684.61670000000004</v>
      </c>
    </row>
    <row r="200" spans="16:17" x14ac:dyDescent="0.25">
      <c r="P200" s="249">
        <v>32.700000000000095</v>
      </c>
      <c r="Q200" s="249">
        <v>684.60215000000005</v>
      </c>
    </row>
    <row r="201" spans="16:17" x14ac:dyDescent="0.25">
      <c r="P201" s="249">
        <v>32.800000000000097</v>
      </c>
      <c r="Q201" s="249">
        <v>684.58759999999995</v>
      </c>
    </row>
    <row r="202" spans="16:17" x14ac:dyDescent="0.25">
      <c r="P202" s="249">
        <v>32.900000000000098</v>
      </c>
      <c r="Q202" s="249">
        <v>684.57304999999997</v>
      </c>
    </row>
    <row r="203" spans="16:17" x14ac:dyDescent="0.25">
      <c r="P203" s="249">
        <v>33.000000000000099</v>
      </c>
      <c r="Q203" s="249">
        <v>684.55849999999998</v>
      </c>
    </row>
    <row r="204" spans="16:17" x14ac:dyDescent="0.25">
      <c r="P204" s="249">
        <v>33.100000000000101</v>
      </c>
      <c r="Q204" s="249">
        <v>684.54395</v>
      </c>
    </row>
    <row r="205" spans="16:17" x14ac:dyDescent="0.25">
      <c r="P205" s="249">
        <v>33.200000000000102</v>
      </c>
      <c r="Q205" s="249">
        <v>684.52940000000001</v>
      </c>
    </row>
    <row r="206" spans="16:17" x14ac:dyDescent="0.25">
      <c r="P206" s="249">
        <v>33.300000000000104</v>
      </c>
      <c r="Q206" s="249">
        <v>684.51485000000002</v>
      </c>
    </row>
    <row r="207" spans="16:17" x14ac:dyDescent="0.25">
      <c r="P207" s="249">
        <v>33.400000000000105</v>
      </c>
      <c r="Q207" s="249">
        <v>684.50030000000004</v>
      </c>
    </row>
    <row r="208" spans="16:17" x14ac:dyDescent="0.25">
      <c r="P208" s="249">
        <v>33.500000000000107</v>
      </c>
      <c r="Q208" s="249">
        <v>684.48575000000005</v>
      </c>
    </row>
    <row r="209" spans="16:17" x14ac:dyDescent="0.25">
      <c r="P209" s="249">
        <v>33.600000000000108</v>
      </c>
      <c r="Q209" s="249">
        <v>684.47119999999995</v>
      </c>
    </row>
    <row r="210" spans="16:17" x14ac:dyDescent="0.25">
      <c r="P210" s="249">
        <v>33.700000000000109</v>
      </c>
      <c r="Q210" s="249">
        <v>684.45664999999997</v>
      </c>
    </row>
    <row r="211" spans="16:17" x14ac:dyDescent="0.25">
      <c r="P211" s="249">
        <v>33.800000000000111</v>
      </c>
      <c r="Q211" s="249">
        <v>684.44209999999998</v>
      </c>
    </row>
    <row r="212" spans="16:17" x14ac:dyDescent="0.25">
      <c r="P212" s="249">
        <v>33.900000000000112</v>
      </c>
      <c r="Q212" s="249">
        <v>684.42755</v>
      </c>
    </row>
    <row r="213" spans="16:17" x14ac:dyDescent="0.25">
      <c r="P213" s="249">
        <v>34.000000000000114</v>
      </c>
      <c r="Q213" s="249">
        <v>684.41300000000001</v>
      </c>
    </row>
    <row r="214" spans="16:17" x14ac:dyDescent="0.25">
      <c r="P214" s="249">
        <v>34.100000000000115</v>
      </c>
      <c r="Q214" s="249">
        <v>684.39845000000003</v>
      </c>
    </row>
    <row r="215" spans="16:17" x14ac:dyDescent="0.25">
      <c r="P215" s="249">
        <v>34.200000000000117</v>
      </c>
      <c r="Q215" s="249">
        <v>684.38390000000004</v>
      </c>
    </row>
    <row r="216" spans="16:17" x14ac:dyDescent="0.25">
      <c r="P216" s="249">
        <v>34.300000000000118</v>
      </c>
      <c r="Q216" s="249">
        <v>684.36934999999994</v>
      </c>
    </row>
    <row r="217" spans="16:17" x14ac:dyDescent="0.25">
      <c r="P217" s="249">
        <v>34.400000000000119</v>
      </c>
      <c r="Q217" s="249">
        <v>684.35479999999995</v>
      </c>
    </row>
    <row r="218" spans="16:17" x14ac:dyDescent="0.25">
      <c r="P218" s="249">
        <v>34.500000000000121</v>
      </c>
      <c r="Q218" s="249">
        <v>684.34024999999997</v>
      </c>
    </row>
    <row r="219" spans="16:17" x14ac:dyDescent="0.25">
      <c r="P219" s="249">
        <v>34.600000000000122</v>
      </c>
      <c r="Q219" s="249">
        <v>684.32569999999998</v>
      </c>
    </row>
    <row r="220" spans="16:17" x14ac:dyDescent="0.25">
      <c r="P220" s="249">
        <v>34.700000000000124</v>
      </c>
      <c r="Q220" s="249">
        <v>684.31115</v>
      </c>
    </row>
    <row r="221" spans="16:17" x14ac:dyDescent="0.25">
      <c r="P221" s="249">
        <v>34.800000000000125</v>
      </c>
      <c r="Q221" s="249">
        <v>684.29660000000001</v>
      </c>
    </row>
    <row r="222" spans="16:17" x14ac:dyDescent="0.25">
      <c r="P222" s="249">
        <v>34.900000000000126</v>
      </c>
      <c r="Q222" s="249">
        <v>684.28205000000003</v>
      </c>
    </row>
    <row r="223" spans="16:17" x14ac:dyDescent="0.25">
      <c r="P223" s="249">
        <v>35.000000000000128</v>
      </c>
      <c r="Q223" s="249">
        <v>684.26750000000004</v>
      </c>
    </row>
    <row r="224" spans="16:17" x14ac:dyDescent="0.25">
      <c r="P224" s="249">
        <v>35.100000000000129</v>
      </c>
      <c r="Q224" s="249">
        <v>684.25294999999994</v>
      </c>
    </row>
    <row r="225" spans="16:17" x14ac:dyDescent="0.25">
      <c r="P225" s="249">
        <v>35.200000000000131</v>
      </c>
      <c r="Q225" s="249">
        <v>684.23839999999996</v>
      </c>
    </row>
    <row r="226" spans="16:17" x14ac:dyDescent="0.25">
      <c r="P226" s="249">
        <v>35.300000000000132</v>
      </c>
      <c r="Q226" s="249">
        <v>684.22384999999997</v>
      </c>
    </row>
    <row r="227" spans="16:17" x14ac:dyDescent="0.25">
      <c r="P227" s="249">
        <v>35.400000000000134</v>
      </c>
      <c r="Q227" s="249">
        <v>684.20929999999998</v>
      </c>
    </row>
    <row r="228" spans="16:17" x14ac:dyDescent="0.25">
      <c r="P228" s="249">
        <v>35.500000000000135</v>
      </c>
      <c r="Q228" s="249">
        <v>684.19475</v>
      </c>
    </row>
    <row r="229" spans="16:17" x14ac:dyDescent="0.25">
      <c r="P229" s="249">
        <v>35.600000000000136</v>
      </c>
      <c r="Q229" s="249">
        <v>684.18020000000001</v>
      </c>
    </row>
    <row r="230" spans="16:17" x14ac:dyDescent="0.25">
      <c r="P230" s="249">
        <v>35.700000000000138</v>
      </c>
      <c r="Q230" s="249">
        <v>684.16565000000003</v>
      </c>
    </row>
    <row r="231" spans="16:17" x14ac:dyDescent="0.25">
      <c r="P231" s="249">
        <v>35.800000000000139</v>
      </c>
      <c r="Q231" s="249">
        <v>684.15110000000004</v>
      </c>
    </row>
    <row r="232" spans="16:17" x14ac:dyDescent="0.25">
      <c r="P232" s="249">
        <v>35.900000000000141</v>
      </c>
      <c r="Q232" s="249">
        <v>684.13654999999994</v>
      </c>
    </row>
    <row r="233" spans="16:17" x14ac:dyDescent="0.25">
      <c r="P233" s="249">
        <v>36.000000000000142</v>
      </c>
      <c r="Q233" s="249">
        <v>684.12199999999996</v>
      </c>
    </row>
    <row r="234" spans="16:17" x14ac:dyDescent="0.25">
      <c r="P234" s="249">
        <v>36.100000000000144</v>
      </c>
      <c r="Q234" s="249">
        <v>684.10744999999997</v>
      </c>
    </row>
    <row r="235" spans="16:17" x14ac:dyDescent="0.25">
      <c r="P235" s="249">
        <v>36.200000000000145</v>
      </c>
      <c r="Q235" s="249">
        <v>684.09289999999999</v>
      </c>
    </row>
    <row r="236" spans="16:17" x14ac:dyDescent="0.25">
      <c r="P236" s="249">
        <v>36.300000000000146</v>
      </c>
      <c r="Q236" s="249">
        <v>684.07835</v>
      </c>
    </row>
    <row r="237" spans="16:17" x14ac:dyDescent="0.25">
      <c r="P237" s="249">
        <v>36.400000000000148</v>
      </c>
      <c r="Q237" s="249">
        <v>684.06380000000001</v>
      </c>
    </row>
    <row r="238" spans="16:17" x14ac:dyDescent="0.25">
      <c r="P238" s="249">
        <v>36.500000000000149</v>
      </c>
      <c r="Q238" s="249">
        <v>684.04925000000003</v>
      </c>
    </row>
    <row r="239" spans="16:17" x14ac:dyDescent="0.25">
      <c r="P239" s="249">
        <v>36.6</v>
      </c>
      <c r="Q239" s="249">
        <v>683.98160000000007</v>
      </c>
    </row>
    <row r="240" spans="16:17" x14ac:dyDescent="0.25">
      <c r="P240" s="249">
        <v>36.700000000000003</v>
      </c>
      <c r="Q240" s="249">
        <v>683.96420000000001</v>
      </c>
    </row>
    <row r="241" spans="16:17" x14ac:dyDescent="0.25">
      <c r="P241" s="249">
        <v>36.800000000000004</v>
      </c>
      <c r="Q241" s="249">
        <v>683.94680000000005</v>
      </c>
    </row>
    <row r="242" spans="16:17" x14ac:dyDescent="0.25">
      <c r="P242" s="249">
        <v>36.900000000000006</v>
      </c>
      <c r="Q242" s="249">
        <v>683.92939999999999</v>
      </c>
    </row>
    <row r="243" spans="16:17" x14ac:dyDescent="0.25">
      <c r="P243" s="249">
        <v>37.000000000000007</v>
      </c>
      <c r="Q243" s="249">
        <v>683.91200000000003</v>
      </c>
    </row>
    <row r="244" spans="16:17" x14ac:dyDescent="0.25">
      <c r="P244" s="249">
        <v>37.100000000000009</v>
      </c>
      <c r="Q244" s="249">
        <v>683.89459999999997</v>
      </c>
    </row>
    <row r="245" spans="16:17" x14ac:dyDescent="0.25">
      <c r="P245" s="249">
        <v>37.20000000000001</v>
      </c>
      <c r="Q245" s="249">
        <v>683.87720000000002</v>
      </c>
    </row>
    <row r="246" spans="16:17" x14ac:dyDescent="0.25">
      <c r="P246" s="249">
        <v>37.300000000000011</v>
      </c>
      <c r="Q246" s="249">
        <v>683.85980000000006</v>
      </c>
    </row>
    <row r="247" spans="16:17" x14ac:dyDescent="0.25">
      <c r="P247" s="249">
        <v>37.400000000000013</v>
      </c>
      <c r="Q247" s="249">
        <v>683.8424</v>
      </c>
    </row>
    <row r="248" spans="16:17" x14ac:dyDescent="0.25">
      <c r="P248" s="249">
        <v>37.500000000000014</v>
      </c>
      <c r="Q248" s="249">
        <v>683.82500000000005</v>
      </c>
    </row>
    <row r="249" spans="16:17" x14ac:dyDescent="0.25">
      <c r="P249" s="249">
        <v>37.600000000000016</v>
      </c>
      <c r="Q249" s="249">
        <v>683.80759999999998</v>
      </c>
    </row>
    <row r="250" spans="16:17" x14ac:dyDescent="0.25">
      <c r="P250" s="249">
        <v>37.700000000000017</v>
      </c>
      <c r="Q250" s="249">
        <v>683.79020000000003</v>
      </c>
    </row>
    <row r="251" spans="16:17" x14ac:dyDescent="0.25">
      <c r="P251" s="249">
        <v>37.800000000000018</v>
      </c>
      <c r="Q251" s="249">
        <v>683.77280000000007</v>
      </c>
    </row>
    <row r="252" spans="16:17" x14ac:dyDescent="0.25">
      <c r="P252" s="249">
        <v>37.90000000000002</v>
      </c>
      <c r="Q252" s="249">
        <v>683.75540000000001</v>
      </c>
    </row>
    <row r="253" spans="16:17" x14ac:dyDescent="0.25">
      <c r="P253" s="249">
        <v>38.000000000000021</v>
      </c>
      <c r="Q253" s="249">
        <v>683.73800000000006</v>
      </c>
    </row>
    <row r="254" spans="16:17" x14ac:dyDescent="0.25">
      <c r="P254" s="249">
        <v>38.100000000000023</v>
      </c>
      <c r="Q254" s="249">
        <v>683.72059999999999</v>
      </c>
    </row>
    <row r="255" spans="16:17" x14ac:dyDescent="0.25">
      <c r="P255" s="249">
        <v>38.200000000000024</v>
      </c>
      <c r="Q255" s="249">
        <v>683.70320000000004</v>
      </c>
    </row>
    <row r="256" spans="16:17" x14ac:dyDescent="0.25">
      <c r="P256" s="249">
        <v>38.300000000000026</v>
      </c>
      <c r="Q256" s="249">
        <v>683.68579999999997</v>
      </c>
    </row>
    <row r="257" spans="16:17" x14ac:dyDescent="0.25">
      <c r="P257" s="249">
        <v>38.400000000000027</v>
      </c>
      <c r="Q257" s="249">
        <v>683.66840000000002</v>
      </c>
    </row>
    <row r="258" spans="16:17" x14ac:dyDescent="0.25">
      <c r="P258" s="249">
        <v>38.500000000000028</v>
      </c>
      <c r="Q258" s="249">
        <v>683.65100000000007</v>
      </c>
    </row>
    <row r="259" spans="16:17" x14ac:dyDescent="0.25">
      <c r="P259" s="249">
        <v>38.60000000000003</v>
      </c>
      <c r="Q259" s="249">
        <v>683.6336</v>
      </c>
    </row>
    <row r="260" spans="16:17" x14ac:dyDescent="0.25">
      <c r="P260" s="249">
        <v>38.700000000000031</v>
      </c>
      <c r="Q260" s="249">
        <v>683.61620000000005</v>
      </c>
    </row>
    <row r="261" spans="16:17" x14ac:dyDescent="0.25">
      <c r="P261" s="249">
        <v>38.800000000000033</v>
      </c>
      <c r="Q261" s="249">
        <v>683.59879999999998</v>
      </c>
    </row>
    <row r="262" spans="16:17" x14ac:dyDescent="0.25">
      <c r="P262" s="249">
        <v>38.900000000000034</v>
      </c>
      <c r="Q262" s="249">
        <v>683.58140000000003</v>
      </c>
    </row>
    <row r="263" spans="16:17" x14ac:dyDescent="0.25">
      <c r="P263" s="249">
        <v>39.000000000000036</v>
      </c>
      <c r="Q263" s="249">
        <v>683.56399999999996</v>
      </c>
    </row>
    <row r="264" spans="16:17" x14ac:dyDescent="0.25">
      <c r="P264" s="249">
        <v>39.100000000000037</v>
      </c>
      <c r="Q264" s="249">
        <v>683.54660000000001</v>
      </c>
    </row>
    <row r="265" spans="16:17" x14ac:dyDescent="0.25">
      <c r="P265" s="249">
        <v>39.200000000000038</v>
      </c>
      <c r="Q265" s="249">
        <v>683.52920000000006</v>
      </c>
    </row>
    <row r="266" spans="16:17" x14ac:dyDescent="0.25">
      <c r="P266" s="249">
        <v>39.30000000000004</v>
      </c>
      <c r="Q266" s="249">
        <v>683.51179999999999</v>
      </c>
    </row>
    <row r="267" spans="16:17" x14ac:dyDescent="0.25">
      <c r="P267" s="249">
        <v>39.400000000000041</v>
      </c>
      <c r="Q267" s="249">
        <v>683.49440000000004</v>
      </c>
    </row>
    <row r="268" spans="16:17" x14ac:dyDescent="0.25">
      <c r="P268" s="249">
        <v>39.500000000000043</v>
      </c>
      <c r="Q268" s="249">
        <v>683.47699999999998</v>
      </c>
    </row>
    <row r="269" spans="16:17" x14ac:dyDescent="0.25">
      <c r="P269" s="249">
        <v>39.600000000000044</v>
      </c>
      <c r="Q269" s="249">
        <v>683.45960000000002</v>
      </c>
    </row>
    <row r="270" spans="16:17" x14ac:dyDescent="0.25">
      <c r="P270" s="249">
        <v>39.700000000000045</v>
      </c>
      <c r="Q270" s="249">
        <v>683.44220000000007</v>
      </c>
    </row>
    <row r="271" spans="16:17" x14ac:dyDescent="0.25">
      <c r="P271" s="249">
        <v>39.800000000000047</v>
      </c>
      <c r="Q271" s="249">
        <v>683.4248</v>
      </c>
    </row>
    <row r="272" spans="16:17" x14ac:dyDescent="0.25">
      <c r="P272" s="249">
        <v>39.900000000000048</v>
      </c>
      <c r="Q272" s="249">
        <v>683.40740000000005</v>
      </c>
    </row>
    <row r="273" spans="16:17" x14ac:dyDescent="0.25">
      <c r="P273" s="249">
        <v>40.00000000000005</v>
      </c>
      <c r="Q273" s="249">
        <v>683.39</v>
      </c>
    </row>
    <row r="274" spans="16:17" x14ac:dyDescent="0.25">
      <c r="P274" s="249">
        <v>40.100000000000051</v>
      </c>
      <c r="Q274" s="249">
        <v>683.37260000000003</v>
      </c>
    </row>
    <row r="275" spans="16:17" x14ac:dyDescent="0.25">
      <c r="P275" s="249">
        <v>40.200000000000053</v>
      </c>
      <c r="Q275" s="249">
        <v>683.35519999999997</v>
      </c>
    </row>
    <row r="276" spans="16:17" x14ac:dyDescent="0.25">
      <c r="P276" s="249">
        <v>40.300000000000054</v>
      </c>
      <c r="Q276" s="249">
        <v>683.33780000000002</v>
      </c>
    </row>
    <row r="277" spans="16:17" x14ac:dyDescent="0.25">
      <c r="P277" s="249">
        <v>40.400000000000055</v>
      </c>
      <c r="Q277" s="249">
        <v>683.32040000000006</v>
      </c>
    </row>
    <row r="278" spans="16:17" x14ac:dyDescent="0.25">
      <c r="P278" s="249">
        <v>40.500000000000057</v>
      </c>
      <c r="Q278" s="249">
        <v>683.303</v>
      </c>
    </row>
    <row r="279" spans="16:17" x14ac:dyDescent="0.25">
      <c r="P279" s="249">
        <v>40.600000000000058</v>
      </c>
      <c r="Q279" s="249">
        <v>683.28560000000004</v>
      </c>
    </row>
    <row r="280" spans="16:17" x14ac:dyDescent="0.25">
      <c r="P280" s="249">
        <v>40.70000000000006</v>
      </c>
      <c r="Q280" s="249">
        <v>683.26819999999998</v>
      </c>
    </row>
    <row r="281" spans="16:17" x14ac:dyDescent="0.25">
      <c r="P281" s="249">
        <v>40.800000000000061</v>
      </c>
      <c r="Q281" s="249">
        <v>683.25080000000003</v>
      </c>
    </row>
    <row r="282" spans="16:17" x14ac:dyDescent="0.25">
      <c r="P282" s="249">
        <v>40.900000000000063</v>
      </c>
      <c r="Q282" s="249">
        <v>683.23339999999996</v>
      </c>
    </row>
    <row r="283" spans="16:17" x14ac:dyDescent="0.25">
      <c r="P283" s="249">
        <v>41.000000000000064</v>
      </c>
      <c r="Q283" s="249">
        <v>683.21600000000001</v>
      </c>
    </row>
    <row r="284" spans="16:17" x14ac:dyDescent="0.25">
      <c r="P284" s="249">
        <v>41.100000000000065</v>
      </c>
      <c r="Q284" s="249">
        <v>683.19860000000006</v>
      </c>
    </row>
    <row r="285" spans="16:17" x14ac:dyDescent="0.25">
      <c r="P285" s="249">
        <v>41.200000000000067</v>
      </c>
      <c r="Q285" s="249">
        <v>683.18119999999999</v>
      </c>
    </row>
    <row r="286" spans="16:17" x14ac:dyDescent="0.25">
      <c r="P286" s="249">
        <v>41.300000000000068</v>
      </c>
      <c r="Q286" s="249">
        <v>683.16380000000004</v>
      </c>
    </row>
    <row r="287" spans="16:17" x14ac:dyDescent="0.25">
      <c r="P287" s="249">
        <v>41.40000000000007</v>
      </c>
      <c r="Q287" s="249">
        <v>683.14639999999997</v>
      </c>
    </row>
    <row r="288" spans="16:17" x14ac:dyDescent="0.25">
      <c r="P288" s="249">
        <v>41.500000000000071</v>
      </c>
      <c r="Q288" s="249">
        <v>683.12900000000002</v>
      </c>
    </row>
    <row r="289" spans="16:17" x14ac:dyDescent="0.25">
      <c r="P289" s="249">
        <v>41.600000000000072</v>
      </c>
      <c r="Q289" s="249">
        <v>683.11160000000007</v>
      </c>
    </row>
    <row r="290" spans="16:17" x14ac:dyDescent="0.25">
      <c r="P290" s="249">
        <v>41.700000000000074</v>
      </c>
      <c r="Q290" s="249">
        <v>683.0942</v>
      </c>
    </row>
    <row r="291" spans="16:17" x14ac:dyDescent="0.25">
      <c r="P291" s="249">
        <v>41.800000000000075</v>
      </c>
      <c r="Q291" s="249">
        <v>683.07680000000005</v>
      </c>
    </row>
    <row r="292" spans="16:17" x14ac:dyDescent="0.25">
      <c r="P292" s="249">
        <v>41.900000000000077</v>
      </c>
      <c r="Q292" s="249">
        <v>683.05939999999998</v>
      </c>
    </row>
    <row r="293" spans="16:17" x14ac:dyDescent="0.25">
      <c r="P293" s="249">
        <v>42.000000000000078</v>
      </c>
      <c r="Q293" s="249">
        <v>683.04200000000003</v>
      </c>
    </row>
    <row r="294" spans="16:17" x14ac:dyDescent="0.25">
      <c r="P294" s="249">
        <v>42.10000000000008</v>
      </c>
      <c r="Q294" s="249">
        <v>683.02459999999996</v>
      </c>
    </row>
    <row r="295" spans="16:17" x14ac:dyDescent="0.25">
      <c r="P295" s="249">
        <v>42.200000000000081</v>
      </c>
      <c r="Q295" s="249">
        <v>683.00720000000001</v>
      </c>
    </row>
    <row r="296" spans="16:17" x14ac:dyDescent="0.25">
      <c r="P296" s="249">
        <v>42.300000000000082</v>
      </c>
      <c r="Q296" s="249">
        <v>682.98980000000006</v>
      </c>
    </row>
    <row r="297" spans="16:17" x14ac:dyDescent="0.25">
      <c r="P297" s="249">
        <v>42.400000000000084</v>
      </c>
      <c r="Q297" s="249">
        <v>682.97239999999999</v>
      </c>
    </row>
    <row r="298" spans="16:17" x14ac:dyDescent="0.25">
      <c r="P298" s="249">
        <v>42.500000000000085</v>
      </c>
      <c r="Q298" s="249">
        <v>682.95500000000004</v>
      </c>
    </row>
    <row r="299" spans="16:17" x14ac:dyDescent="0.25">
      <c r="P299" s="249">
        <v>42.600000000000087</v>
      </c>
      <c r="Q299" s="249">
        <v>682.93759999999997</v>
      </c>
    </row>
    <row r="300" spans="16:17" x14ac:dyDescent="0.25">
      <c r="P300" s="249">
        <v>42.700000000000088</v>
      </c>
      <c r="Q300" s="249">
        <v>682.92020000000002</v>
      </c>
    </row>
    <row r="301" spans="16:17" x14ac:dyDescent="0.25">
      <c r="P301" s="249">
        <v>42.80000000000009</v>
      </c>
      <c r="Q301" s="249">
        <v>682.90279999999996</v>
      </c>
    </row>
    <row r="302" spans="16:17" x14ac:dyDescent="0.25">
      <c r="P302" s="249">
        <v>42.900000000000091</v>
      </c>
      <c r="Q302" s="249">
        <v>682.8854</v>
      </c>
    </row>
    <row r="303" spans="16:17" x14ac:dyDescent="0.25">
      <c r="P303" s="249">
        <v>43.000000000000092</v>
      </c>
      <c r="Q303" s="249">
        <v>682.86800000000005</v>
      </c>
    </row>
    <row r="304" spans="16:17" x14ac:dyDescent="0.25">
      <c r="P304" s="249">
        <v>43.100000000000094</v>
      </c>
      <c r="Q304" s="249">
        <v>682.85059999999999</v>
      </c>
    </row>
    <row r="305" spans="16:17" x14ac:dyDescent="0.25">
      <c r="P305" s="249">
        <v>43.200000000000095</v>
      </c>
      <c r="Q305" s="249">
        <v>682.83320000000003</v>
      </c>
    </row>
    <row r="306" spans="16:17" x14ac:dyDescent="0.25">
      <c r="P306" s="249">
        <v>43.300000000000097</v>
      </c>
      <c r="Q306" s="249">
        <v>682.81579999999997</v>
      </c>
    </row>
    <row r="307" spans="16:17" x14ac:dyDescent="0.25">
      <c r="P307" s="249">
        <v>43.400000000000098</v>
      </c>
      <c r="Q307" s="249">
        <v>682.79840000000002</v>
      </c>
    </row>
    <row r="308" spans="16:17" x14ac:dyDescent="0.25">
      <c r="P308" s="249">
        <v>43.500000000000099</v>
      </c>
      <c r="Q308" s="249">
        <v>682.78099999999995</v>
      </c>
    </row>
    <row r="309" spans="16:17" x14ac:dyDescent="0.25">
      <c r="P309" s="249">
        <v>43.600000000000101</v>
      </c>
      <c r="Q309" s="249">
        <v>682.7636</v>
      </c>
    </row>
    <row r="310" spans="16:17" x14ac:dyDescent="0.25">
      <c r="P310" s="249">
        <v>43.700000000000102</v>
      </c>
      <c r="Q310" s="249">
        <v>682.74620000000004</v>
      </c>
    </row>
    <row r="311" spans="16:17" x14ac:dyDescent="0.25">
      <c r="P311" s="249">
        <v>43.800000000000104</v>
      </c>
      <c r="Q311" s="249">
        <v>682.72879999999998</v>
      </c>
    </row>
    <row r="312" spans="16:17" x14ac:dyDescent="0.25">
      <c r="P312" s="249">
        <v>43.900000000000105</v>
      </c>
      <c r="Q312" s="249">
        <v>682.71140000000003</v>
      </c>
    </row>
    <row r="313" spans="16:17" x14ac:dyDescent="0.25">
      <c r="P313" s="249">
        <v>44.000000000000107</v>
      </c>
      <c r="Q313" s="249">
        <v>682.69399999999996</v>
      </c>
    </row>
    <row r="314" spans="16:17" x14ac:dyDescent="0.25">
      <c r="P314" s="249">
        <v>44.100000000000108</v>
      </c>
      <c r="Q314" s="249">
        <v>682.67660000000001</v>
      </c>
    </row>
    <row r="315" spans="16:17" x14ac:dyDescent="0.25">
      <c r="P315" s="249">
        <v>44.200000000000109</v>
      </c>
      <c r="Q315" s="249">
        <v>682.65920000000006</v>
      </c>
    </row>
    <row r="316" spans="16:17" x14ac:dyDescent="0.25">
      <c r="P316" s="249">
        <v>44.300000000000111</v>
      </c>
      <c r="Q316" s="249">
        <v>682.64179999999999</v>
      </c>
    </row>
    <row r="317" spans="16:17" x14ac:dyDescent="0.25">
      <c r="P317" s="249">
        <v>44.400000000000112</v>
      </c>
      <c r="Q317" s="249">
        <v>682.62440000000004</v>
      </c>
    </row>
    <row r="318" spans="16:17" x14ac:dyDescent="0.25">
      <c r="P318" s="249">
        <v>44.500000000000114</v>
      </c>
      <c r="Q318" s="249">
        <v>682.60699999999997</v>
      </c>
    </row>
    <row r="319" spans="16:17" x14ac:dyDescent="0.25">
      <c r="P319" s="249">
        <v>44.600000000000115</v>
      </c>
      <c r="Q319" s="249">
        <v>682.58960000000002</v>
      </c>
    </row>
    <row r="320" spans="16:17" x14ac:dyDescent="0.25">
      <c r="P320" s="249">
        <v>44.700000000000117</v>
      </c>
      <c r="Q320" s="249">
        <v>682.57219999999995</v>
      </c>
    </row>
    <row r="321" spans="16:17" x14ac:dyDescent="0.25">
      <c r="P321" s="249">
        <v>44.800000000000118</v>
      </c>
      <c r="Q321" s="249">
        <v>682.5548</v>
      </c>
    </row>
    <row r="322" spans="16:17" x14ac:dyDescent="0.25">
      <c r="P322" s="249">
        <v>44.900000000000119</v>
      </c>
      <c r="Q322" s="249">
        <v>682.53740000000005</v>
      </c>
    </row>
    <row r="323" spans="16:17" x14ac:dyDescent="0.25">
      <c r="P323" s="249">
        <v>45.000000000000121</v>
      </c>
      <c r="Q323" s="249">
        <v>682.52</v>
      </c>
    </row>
    <row r="324" spans="16:17" x14ac:dyDescent="0.25">
      <c r="P324" s="249">
        <v>45.100000000000122</v>
      </c>
      <c r="Q324" s="249">
        <v>682.50260000000003</v>
      </c>
    </row>
    <row r="325" spans="16:17" x14ac:dyDescent="0.25">
      <c r="P325" s="249">
        <v>45.200000000000124</v>
      </c>
      <c r="Q325" s="249">
        <v>682.48519999999996</v>
      </c>
    </row>
    <row r="326" spans="16:17" x14ac:dyDescent="0.25">
      <c r="P326" s="249">
        <v>45.300000000000125</v>
      </c>
      <c r="Q326" s="249">
        <v>682.46780000000001</v>
      </c>
    </row>
    <row r="327" spans="16:17" x14ac:dyDescent="0.25">
      <c r="P327" s="249">
        <v>45.400000000000126</v>
      </c>
      <c r="Q327" s="249">
        <v>682.45039999999995</v>
      </c>
    </row>
    <row r="328" spans="16:17" x14ac:dyDescent="0.25">
      <c r="P328" s="249">
        <v>45.500000000000128</v>
      </c>
      <c r="Q328" s="249">
        <v>682.43299999999999</v>
      </c>
    </row>
    <row r="329" spans="16:17" x14ac:dyDescent="0.25">
      <c r="P329" s="249">
        <v>45.600000000000129</v>
      </c>
      <c r="Q329" s="249">
        <v>682.41560000000004</v>
      </c>
    </row>
    <row r="330" spans="16:17" x14ac:dyDescent="0.25">
      <c r="P330" s="249">
        <v>45.700000000000131</v>
      </c>
      <c r="Q330" s="249">
        <v>682.39819999999997</v>
      </c>
    </row>
    <row r="331" spans="16:17" x14ac:dyDescent="0.25">
      <c r="P331" s="249">
        <v>45.800000000000132</v>
      </c>
      <c r="Q331" s="249">
        <v>682.38080000000002</v>
      </c>
    </row>
    <row r="332" spans="16:17" x14ac:dyDescent="0.25">
      <c r="P332" s="249">
        <v>45.900000000000134</v>
      </c>
      <c r="Q332" s="249">
        <v>682.36339999999996</v>
      </c>
    </row>
    <row r="333" spans="16:17" x14ac:dyDescent="0.25">
      <c r="P333" s="249">
        <v>46.000000000000135</v>
      </c>
      <c r="Q333" s="249">
        <v>682.346</v>
      </c>
    </row>
    <row r="334" spans="16:17" x14ac:dyDescent="0.25">
      <c r="P334" s="249">
        <v>46.100000000000136</v>
      </c>
      <c r="Q334" s="249">
        <v>682.32860000000005</v>
      </c>
    </row>
    <row r="335" spans="16:17" x14ac:dyDescent="0.25">
      <c r="P335" s="249">
        <v>46.200000000000138</v>
      </c>
      <c r="Q335" s="249">
        <v>682.31119999999999</v>
      </c>
    </row>
    <row r="336" spans="16:17" x14ac:dyDescent="0.25">
      <c r="P336" s="249">
        <v>46.300000000000139</v>
      </c>
      <c r="Q336" s="249">
        <v>682.29380000000003</v>
      </c>
    </row>
    <row r="337" spans="16:17" x14ac:dyDescent="0.25">
      <c r="P337" s="249">
        <v>46.400000000000141</v>
      </c>
      <c r="Q337" s="249">
        <v>682.27639999999997</v>
      </c>
    </row>
    <row r="338" spans="16:17" x14ac:dyDescent="0.25">
      <c r="P338" s="249">
        <v>46.500000000000142</v>
      </c>
      <c r="Q338" s="249">
        <v>682.25900000000001</v>
      </c>
    </row>
    <row r="339" spans="16:17" x14ac:dyDescent="0.25">
      <c r="P339" s="249">
        <v>46.600000000000144</v>
      </c>
      <c r="Q339" s="249">
        <v>682.24159999999995</v>
      </c>
    </row>
    <row r="340" spans="16:17" x14ac:dyDescent="0.25">
      <c r="P340" s="249">
        <v>46.700000000000145</v>
      </c>
      <c r="Q340" s="249">
        <v>682.2242</v>
      </c>
    </row>
    <row r="341" spans="16:17" x14ac:dyDescent="0.25">
      <c r="P341" s="249">
        <v>46.800000000000146</v>
      </c>
      <c r="Q341" s="249">
        <v>682.20680000000004</v>
      </c>
    </row>
    <row r="342" spans="16:17" x14ac:dyDescent="0.25">
      <c r="P342" s="249">
        <v>46.900000000000148</v>
      </c>
      <c r="Q342" s="249">
        <v>682.18939999999998</v>
      </c>
    </row>
    <row r="343" spans="16:17" x14ac:dyDescent="0.25">
      <c r="P343" s="249">
        <v>47.000000000000149</v>
      </c>
      <c r="Q343" s="249">
        <v>682.17200000000003</v>
      </c>
    </row>
    <row r="344" spans="16:17" x14ac:dyDescent="0.25">
      <c r="P344" s="249">
        <v>47.100000000000151</v>
      </c>
      <c r="Q344" s="249">
        <v>682.15459999999996</v>
      </c>
    </row>
    <row r="345" spans="16:17" x14ac:dyDescent="0.25">
      <c r="P345" s="249">
        <v>47.200000000000152</v>
      </c>
      <c r="Q345" s="249">
        <v>682.13720000000001</v>
      </c>
    </row>
    <row r="346" spans="16:17" x14ac:dyDescent="0.25">
      <c r="P346" s="249">
        <v>47.300000000000153</v>
      </c>
      <c r="Q346" s="249">
        <v>682.11979999999994</v>
      </c>
    </row>
    <row r="347" spans="16:17" x14ac:dyDescent="0.25">
      <c r="P347" s="249">
        <v>47.400000000000155</v>
      </c>
      <c r="Q347" s="249">
        <v>682.10239999999999</v>
      </c>
    </row>
    <row r="348" spans="16:17" x14ac:dyDescent="0.25">
      <c r="P348" s="249">
        <v>47.500000000000156</v>
      </c>
      <c r="Q348" s="249">
        <v>682.08500000000004</v>
      </c>
    </row>
    <row r="349" spans="16:17" x14ac:dyDescent="0.25">
      <c r="P349" s="249">
        <v>47.600000000000158</v>
      </c>
      <c r="Q349" s="249">
        <v>682.06759999999997</v>
      </c>
    </row>
    <row r="350" spans="16:17" x14ac:dyDescent="0.25">
      <c r="P350" s="249">
        <v>47.700000000000159</v>
      </c>
      <c r="Q350" s="249">
        <v>682.05020000000002</v>
      </c>
    </row>
    <row r="351" spans="16:17" x14ac:dyDescent="0.25">
      <c r="P351" s="249">
        <v>47.800000000000161</v>
      </c>
      <c r="Q351" s="249">
        <v>682.03279999999995</v>
      </c>
    </row>
    <row r="352" spans="16:17" x14ac:dyDescent="0.25">
      <c r="P352" s="249">
        <v>47.900000000000162</v>
      </c>
      <c r="Q352" s="249">
        <v>682.0154</v>
      </c>
    </row>
    <row r="353" spans="16:17" x14ac:dyDescent="0.25">
      <c r="P353" s="249">
        <v>48.000000000000163</v>
      </c>
      <c r="Q353" s="249">
        <v>681.99800000000005</v>
      </c>
    </row>
    <row r="354" spans="16:17" x14ac:dyDescent="0.25">
      <c r="P354" s="249">
        <v>48.100000000000165</v>
      </c>
      <c r="Q354" s="249">
        <v>681.98059999999998</v>
      </c>
    </row>
    <row r="355" spans="16:17" x14ac:dyDescent="0.25">
      <c r="P355" s="249">
        <v>48.200000000000166</v>
      </c>
      <c r="Q355" s="249">
        <v>681.96320000000003</v>
      </c>
    </row>
    <row r="356" spans="16:17" x14ac:dyDescent="0.25">
      <c r="P356" s="249">
        <v>48.300000000000168</v>
      </c>
      <c r="Q356" s="249">
        <v>681.94579999999996</v>
      </c>
    </row>
    <row r="357" spans="16:17" x14ac:dyDescent="0.25">
      <c r="P357" s="249">
        <v>48.400000000000169</v>
      </c>
      <c r="Q357" s="249">
        <v>681.92840000000001</v>
      </c>
    </row>
    <row r="358" spans="16:17" x14ac:dyDescent="0.25">
      <c r="P358" s="249">
        <v>48.500000000000171</v>
      </c>
      <c r="Q358" s="249">
        <v>681.91099999999994</v>
      </c>
    </row>
    <row r="359" spans="16:17" x14ac:dyDescent="0.25">
      <c r="P359" s="249">
        <v>48.600000000000172</v>
      </c>
      <c r="Q359" s="249">
        <v>681.89359999999999</v>
      </c>
    </row>
    <row r="360" spans="16:17" x14ac:dyDescent="0.25">
      <c r="P360" s="249">
        <v>48.700000000000173</v>
      </c>
      <c r="Q360" s="249">
        <v>681.87620000000004</v>
      </c>
    </row>
    <row r="361" spans="16:17" x14ac:dyDescent="0.25">
      <c r="P361" s="249">
        <v>48.800000000000175</v>
      </c>
      <c r="Q361" s="249">
        <v>681.85879999999997</v>
      </c>
    </row>
    <row r="362" spans="16:17" x14ac:dyDescent="0.25">
      <c r="P362" s="249">
        <v>48.900000000000176</v>
      </c>
      <c r="Q362" s="249">
        <v>681.84140000000002</v>
      </c>
    </row>
    <row r="363" spans="16:17" x14ac:dyDescent="0.25">
      <c r="P363" s="249">
        <v>49.000000000000178</v>
      </c>
      <c r="Q363" s="249">
        <v>681.82399999999996</v>
      </c>
    </row>
    <row r="364" spans="16:17" x14ac:dyDescent="0.25">
      <c r="P364" s="249">
        <v>49.100000000000179</v>
      </c>
      <c r="Q364" s="249">
        <v>681.8066</v>
      </c>
    </row>
    <row r="365" spans="16:17" x14ac:dyDescent="0.25">
      <c r="P365" s="249">
        <v>49.20000000000018</v>
      </c>
      <c r="Q365" s="249">
        <v>681.78919999999994</v>
      </c>
    </row>
    <row r="366" spans="16:17" x14ac:dyDescent="0.25">
      <c r="P366" s="249">
        <v>49.300000000000182</v>
      </c>
      <c r="Q366" s="249">
        <v>681.77179999999998</v>
      </c>
    </row>
    <row r="367" spans="16:17" x14ac:dyDescent="0.25">
      <c r="P367" s="249">
        <v>49.400000000000183</v>
      </c>
      <c r="Q367" s="249">
        <v>681.75440000000003</v>
      </c>
    </row>
    <row r="368" spans="16:17" x14ac:dyDescent="0.25">
      <c r="P368" s="249">
        <v>49.500000000000185</v>
      </c>
      <c r="Q368" s="249">
        <v>681.73699999999997</v>
      </c>
    </row>
    <row r="369" spans="16:17" x14ac:dyDescent="0.25">
      <c r="P369" s="249">
        <v>49.600000000000186</v>
      </c>
      <c r="Q369" s="249">
        <v>681.71960000000001</v>
      </c>
    </row>
    <row r="370" spans="16:17" x14ac:dyDescent="0.25">
      <c r="P370" s="249">
        <v>49.700000000000188</v>
      </c>
      <c r="Q370" s="249">
        <v>681.70219999999995</v>
      </c>
    </row>
    <row r="371" spans="16:17" x14ac:dyDescent="0.25">
      <c r="P371" s="249">
        <v>49.800000000000189</v>
      </c>
      <c r="Q371" s="249">
        <v>681.6848</v>
      </c>
    </row>
    <row r="372" spans="16:17" x14ac:dyDescent="0.25">
      <c r="P372" s="249">
        <v>49.90000000000019</v>
      </c>
      <c r="Q372" s="249">
        <v>681.66740000000004</v>
      </c>
    </row>
    <row r="373" spans="16:17" x14ac:dyDescent="0.25">
      <c r="P373" s="249">
        <v>50.000000000000192</v>
      </c>
      <c r="Q373" s="249">
        <v>681.65</v>
      </c>
    </row>
  </sheetData>
  <sheetProtection insertColumns="0" insertRows="0" deleteColumns="0" deleteRows="0"/>
  <mergeCells count="62">
    <mergeCell ref="Y57:Z57"/>
    <mergeCell ref="AB57:AC57"/>
    <mergeCell ref="O42:R42"/>
    <mergeCell ref="A43:K43"/>
    <mergeCell ref="C45:D50"/>
    <mergeCell ref="Q55:X56"/>
    <mergeCell ref="P57:Q57"/>
    <mergeCell ref="S57:T57"/>
    <mergeCell ref="V57:W57"/>
    <mergeCell ref="A37:E42"/>
    <mergeCell ref="F41:G41"/>
    <mergeCell ref="I41:K41"/>
    <mergeCell ref="F42:G42"/>
    <mergeCell ref="I42:K42"/>
    <mergeCell ref="C33:D34"/>
    <mergeCell ref="E33:G34"/>
    <mergeCell ref="A36:E36"/>
    <mergeCell ref="F36:G36"/>
    <mergeCell ref="I36:K36"/>
    <mergeCell ref="D32:E32"/>
    <mergeCell ref="F32:G32"/>
    <mergeCell ref="C20:E20"/>
    <mergeCell ref="C21:E21"/>
    <mergeCell ref="C22:E22"/>
    <mergeCell ref="C23:E23"/>
    <mergeCell ref="C24:E24"/>
    <mergeCell ref="C25:E25"/>
    <mergeCell ref="C26:F26"/>
    <mergeCell ref="C27:D27"/>
    <mergeCell ref="C30:G30"/>
    <mergeCell ref="D31:E31"/>
    <mergeCell ref="F31:G31"/>
    <mergeCell ref="C19:E19"/>
    <mergeCell ref="C8:F8"/>
    <mergeCell ref="G8:H8"/>
    <mergeCell ref="I8:K8"/>
    <mergeCell ref="C9:F9"/>
    <mergeCell ref="G9:H9"/>
    <mergeCell ref="C10:F10"/>
    <mergeCell ref="G10:H10"/>
    <mergeCell ref="I10:K10"/>
    <mergeCell ref="B11:J11"/>
    <mergeCell ref="G12:H12"/>
    <mergeCell ref="C13:K13"/>
    <mergeCell ref="A16:K16"/>
    <mergeCell ref="C18:F18"/>
    <mergeCell ref="C6:F6"/>
    <mergeCell ref="G6:H6"/>
    <mergeCell ref="I6:K6"/>
    <mergeCell ref="C7:F7"/>
    <mergeCell ref="G7:H7"/>
    <mergeCell ref="I7:K7"/>
    <mergeCell ref="A1:B4"/>
    <mergeCell ref="C1:H1"/>
    <mergeCell ref="I1:K1"/>
    <mergeCell ref="AO1:AQ1"/>
    <mergeCell ref="C2:H4"/>
    <mergeCell ref="I2:K2"/>
    <mergeCell ref="I3:K3"/>
    <mergeCell ref="AG3:AJ5"/>
    <mergeCell ref="I4:K4"/>
    <mergeCell ref="B5:J5"/>
  </mergeCells>
  <conditionalFormatting sqref="B6:C10 J9:K9 G6:H10">
    <cfRule type="containsBlanks" dxfId="18" priority="20">
      <formula>LEN(TRIM(B6))=0</formula>
    </cfRule>
  </conditionalFormatting>
  <conditionalFormatting sqref="B13:C13">
    <cfRule type="containsBlanks" dxfId="17" priority="2">
      <formula>LEN(TRIM(B13))=0</formula>
    </cfRule>
  </conditionalFormatting>
  <conditionalFormatting sqref="B12:D12">
    <cfRule type="containsBlanks" dxfId="16" priority="8">
      <formula>LEN(TRIM(B12))=0</formula>
    </cfRule>
  </conditionalFormatting>
  <conditionalFormatting sqref="C13">
    <cfRule type="containsBlanks" dxfId="15" priority="1">
      <formula>LEN(TRIM(C13))=0</formula>
    </cfRule>
  </conditionalFormatting>
  <conditionalFormatting sqref="C12:D12">
    <cfRule type="containsBlanks" dxfId="14" priority="7">
      <formula>LEN(TRIM(C12))=0</formula>
    </cfRule>
  </conditionalFormatting>
  <conditionalFormatting sqref="C32:D32 F32">
    <cfRule type="containsBlanks" dxfId="13" priority="18">
      <formula>LEN(TRIM(C32))=0</formula>
    </cfRule>
  </conditionalFormatting>
  <conditionalFormatting sqref="C6:F10">
    <cfRule type="containsBlanks" dxfId="12" priority="19">
      <formula>LEN(TRIM(C6))=0</formula>
    </cfRule>
  </conditionalFormatting>
  <conditionalFormatting sqref="E12:H12">
    <cfRule type="containsBlanks" dxfId="11" priority="10">
      <formula>LEN(TRIM(E12))=0</formula>
    </cfRule>
  </conditionalFormatting>
  <conditionalFormatting sqref="F12">
    <cfRule type="containsBlanks" dxfId="10" priority="9">
      <formula>LEN(TRIM(F12))=0</formula>
    </cfRule>
  </conditionalFormatting>
  <conditionalFormatting sqref="G19:G20 G22:G23 E33:G34">
    <cfRule type="containsBlanks" dxfId="9" priority="14">
      <formula>LEN(TRIM(E19))=0</formula>
    </cfRule>
  </conditionalFormatting>
  <conditionalFormatting sqref="I7:I8">
    <cfRule type="containsBlanks" dxfId="8" priority="11">
      <formula>LEN(TRIM(I7))=0</formula>
    </cfRule>
  </conditionalFormatting>
  <conditionalFormatting sqref="I12">
    <cfRule type="containsBlanks" dxfId="7" priority="5">
      <formula>LEN(TRIM(I12))=0</formula>
    </cfRule>
  </conditionalFormatting>
  <conditionalFormatting sqref="I12:J12">
    <cfRule type="containsBlanks" dxfId="6" priority="6">
      <formula>LEN(TRIM(I12))=0</formula>
    </cfRule>
  </conditionalFormatting>
  <conditionalFormatting sqref="I6:K6">
    <cfRule type="containsBlanks" dxfId="5" priority="13">
      <formula>LEN(TRIM(I6))=0</formula>
    </cfRule>
  </conditionalFormatting>
  <conditionalFormatting sqref="I9:K9">
    <cfRule type="containsBlanks" dxfId="4" priority="17">
      <formula>LEN(TRIM(I9))=0</formula>
    </cfRule>
  </conditionalFormatting>
  <conditionalFormatting sqref="K12">
    <cfRule type="containsBlanks" dxfId="3" priority="3">
      <formula>LEN(TRIM(K12))=0</formula>
    </cfRule>
    <cfRule type="containsBlanks" dxfId="2" priority="4">
      <formula>LEN(TRIM(K12))=0</formula>
    </cfRule>
  </conditionalFormatting>
  <conditionalFormatting sqref="Q36:R36">
    <cfRule type="containsBlanks" dxfId="1" priority="16">
      <formula>LEN(TRIM(Q36))=0</formula>
    </cfRule>
  </conditionalFormatting>
  <conditionalFormatting sqref="T30">
    <cfRule type="cellIs" dxfId="0" priority="15" operator="greaterThan">
      <formula>$T$31</formula>
    </cfRule>
  </conditionalFormatting>
  <dataValidations count="3">
    <dataValidation type="list" allowBlank="1" showInputMessage="1" showErrorMessage="1" sqref="C32" xr:uid="{00000000-0002-0000-0400-000000000000}">
      <formula1>$T$19:$T$21</formula1>
    </dataValidation>
    <dataValidation type="list" allowBlank="1" showInputMessage="1" showErrorMessage="1" sqref="P21" xr:uid="{00000000-0002-0000-0400-000001000000}">
      <formula1>$V$18</formula1>
    </dataValidation>
    <dataValidation type="list" allowBlank="1" showInputMessage="1" showErrorMessage="1" sqref="C12" xr:uid="{00000000-0002-0000-0400-000002000000}">
      <formula1>$N$6:$N$13</formula1>
    </dataValidation>
  </dataValidations>
  <printOptions horizontalCentered="1" verticalCentered="1"/>
  <pageMargins left="0.70866141732283472" right="0.70866141732283472" top="0.74803149606299213" bottom="0.74803149606299213" header="0.31496062992125984" footer="0.31496062992125984"/>
  <pageSetup scale="60" orientation="landscape" r:id="rId1"/>
  <headerFooter>
    <oddFooter xml:space="preserve">&amp;CGEODELTA S.A.S. Calle 68 B bis No 70 C 95, Móvil: 318 7902368 Bogotá DC - Colombia
e-mail: laboratoriogeodelta@gmail.com
</oddFooter>
  </headerFooter>
  <colBreaks count="1" manualBreakCount="1">
    <brk id="11" max="1048575" man="1"/>
  </col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7</vt:i4>
      </vt:variant>
    </vt:vector>
  </HeadingPairs>
  <TitlesOfParts>
    <vt:vector size="12" baseType="lpstr">
      <vt:lpstr>1</vt:lpstr>
      <vt:lpstr>2</vt:lpstr>
      <vt:lpstr>CARGA1</vt:lpstr>
      <vt:lpstr>Fuente</vt:lpstr>
      <vt:lpstr>GRAVEDAD ESPECIFICA</vt:lpstr>
      <vt:lpstr>'1'!Área_de_impresión</vt:lpstr>
      <vt:lpstr>'2'!Área_de_impresión</vt:lpstr>
      <vt:lpstr>CARGA1!Área_de_impresión</vt:lpstr>
      <vt:lpstr>'GRAVEDAD ESPECIFICA'!Área_de_impresión</vt:lpstr>
      <vt:lpstr>Ensayo1</vt:lpstr>
      <vt:lpstr>Ensayo2</vt:lpstr>
      <vt:lpstr>Ensayo3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DCM-04</dc:creator>
  <cp:lastModifiedBy>DCM-03</cp:lastModifiedBy>
  <cp:lastPrinted>2025-11-19T16:22:11Z</cp:lastPrinted>
  <dcterms:created xsi:type="dcterms:W3CDTF">2019-08-13T19:33:51Z</dcterms:created>
  <dcterms:modified xsi:type="dcterms:W3CDTF">2026-09-21T16:08:28Z</dcterms:modified>
</cp:coreProperties>
</file>