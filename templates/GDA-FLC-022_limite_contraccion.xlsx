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Delta Líneas\Dropbox\14. GEODELTA\005-LABORATORIOS\GDA-070-26 LAGOS DE TORCA-YDN\EXCEL\"/>
    </mc:Choice>
  </mc:AlternateContent>
  <xr:revisionPtr revIDLastSave="0" documentId="13_ncr:1_{CC51D186-0F07-4861-8833-4945608A0B08}" xr6:coauthVersionLast="47" xr6:coauthVersionMax="47" xr10:uidLastSave="{00000000-0000-0000-0000-000000000000}"/>
  <bookViews>
    <workbookView xWindow="-120" yWindow="-120" windowWidth="20730" windowHeight="11040" tabRatio="753" xr2:uid="{00000000-000D-0000-FFFF-FFFF00000000}"/>
  </bookViews>
  <sheets>
    <sheet name="GUIA" sheetId="86" r:id="rId1"/>
  </sheets>
  <externalReferences>
    <externalReference r:id="rId2"/>
  </externalReferences>
  <definedNames>
    <definedName name="__123Graph_AYO" localSheetId="0" hidden="1">#REF!</definedName>
    <definedName name="__123Graph_AYO" hidden="1">#REF!</definedName>
    <definedName name="__123Graph_XYO" localSheetId="0" hidden="1">#REF!</definedName>
    <definedName name="__123Graph_XYO" hidden="1">#REF!</definedName>
    <definedName name="_Fill" localSheetId="0" hidden="1">#REF!</definedName>
    <definedName name="_Fill" hidden="1">#REF!</definedName>
    <definedName name="_Regression_Out" localSheetId="0" hidden="1">[1]L!#REF!</definedName>
    <definedName name="_Regression_Out" hidden="1">[1]L!#REF!</definedName>
    <definedName name="_Regression_X" localSheetId="0" hidden="1">#REF!</definedName>
    <definedName name="_Regression_X" hidden="1">#REF!</definedName>
    <definedName name="_Regression_Y" localSheetId="0" hidden="1">#REF!</definedName>
    <definedName name="_Regression_Y" hidden="1">#REF!</definedName>
    <definedName name="_xlnm.Print_Area" localSheetId="0">GUIA!$A$1:$O$44</definedName>
    <definedName name="GFDGSD" localSheetId="0" hidden="1">[1]L!#REF!</definedName>
    <definedName name="GFDGSD" hidden="1">[1]L!#REF!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" i="86" l="1"/>
  <c r="Q21" i="86"/>
  <c r="Y68" i="86"/>
  <c r="W67" i="86"/>
  <c r="V7" i="86"/>
  <c r="F32" i="86"/>
  <c r="E32" i="86"/>
  <c r="L10" i="86"/>
  <c r="Q23" i="86" l="1"/>
  <c r="L23" i="86"/>
  <c r="L29" i="86" s="1"/>
  <c r="V8" i="86"/>
  <c r="L28" i="86" l="1"/>
  <c r="L30" i="86" s="1"/>
  <c r="L3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M9" authorId="0" shapeId="0" xr:uid="{E173F35D-9762-4918-86B0-91210B65CCF3}">
      <text>
        <r>
          <rPr>
            <sz val="9"/>
            <color indexed="81"/>
            <rFont val="Tahoma"/>
            <family val="2"/>
          </rPr>
          <t>CONSECUTIVO DE INGRESO</t>
        </r>
      </text>
    </comment>
    <comment ref="N9" authorId="0" shapeId="0" xr:uid="{3FD4F66C-BC50-4584-8E58-9C37F72E3167}">
      <text>
        <r>
          <rPr>
            <sz val="9"/>
            <color indexed="81"/>
            <rFont val="Tahoma"/>
            <family val="2"/>
          </rPr>
          <t>DOS ÚLTIMOS DÍGITOS DEL AÑO DE INGRESO</t>
        </r>
      </text>
    </comment>
    <comment ref="F12" authorId="0" shapeId="0" xr:uid="{D653A310-A054-44A4-97DA-CA5E78046CFC}">
      <text>
        <r>
          <rPr>
            <b/>
            <sz val="9"/>
            <color indexed="81"/>
            <rFont val="Tahoma"/>
            <family val="2"/>
          </rPr>
          <t xml:space="preserve"># DE LA PERFORACIÓN
</t>
        </r>
      </text>
    </comment>
  </commentList>
</comments>
</file>

<file path=xl/sharedStrings.xml><?xml version="1.0" encoding="utf-8"?>
<sst xmlns="http://schemas.openxmlformats.org/spreadsheetml/2006/main" count="86" uniqueCount="75">
  <si>
    <t>CLIENTE:</t>
  </si>
  <si>
    <t>PROYECTO:</t>
  </si>
  <si>
    <t>g</t>
  </si>
  <si>
    <t>%</t>
  </si>
  <si>
    <t xml:space="preserve">Masa del recipiente </t>
  </si>
  <si>
    <t>Masa del suelo seco + recipiente</t>
  </si>
  <si>
    <t xml:space="preserve">Porcentaje humedad </t>
  </si>
  <si>
    <t xml:space="preserve">DATOS DEL RECIPIENTE </t>
  </si>
  <si>
    <t xml:space="preserve">N. RECIPIENTE </t>
  </si>
  <si>
    <t xml:space="preserve">MASA DEL RECIPIENTE </t>
  </si>
  <si>
    <t>cm³</t>
  </si>
  <si>
    <t>-</t>
  </si>
  <si>
    <t xml:space="preserve">HUMEDAD DE LIMITE DE CONTRACCIÓN </t>
  </si>
  <si>
    <t>HUMEDAD %</t>
  </si>
  <si>
    <t xml:space="preserve">NATURAL </t>
  </si>
  <si>
    <t xml:space="preserve">CONTRACCIÓN </t>
  </si>
  <si>
    <t xml:space="preserve">PESO UNITARIO DE LA MUESTRA </t>
  </si>
  <si>
    <t xml:space="preserve">Masa en el aire parafinada </t>
  </si>
  <si>
    <t xml:space="preserve">Masa sumergida parafinada </t>
  </si>
  <si>
    <t>g/cm³</t>
  </si>
  <si>
    <t xml:space="preserve">Relación de contracción </t>
  </si>
  <si>
    <t xml:space="preserve">Contracción lineal </t>
  </si>
  <si>
    <t>LC</t>
  </si>
  <si>
    <t>R</t>
  </si>
  <si>
    <t>Cv</t>
  </si>
  <si>
    <t>Cl</t>
  </si>
  <si>
    <t xml:space="preserve">volumen de la parafina </t>
  </si>
  <si>
    <t>peso especifico del agua</t>
  </si>
  <si>
    <t xml:space="preserve">peso especifico de la parafina </t>
  </si>
  <si>
    <t xml:space="preserve">Masa en el aire </t>
  </si>
  <si>
    <t>Masa suelo húmedo + recipiente</t>
  </si>
  <si>
    <t>Cambio Volumétrico</t>
  </si>
  <si>
    <t xml:space="preserve">Límite de contracción </t>
  </si>
  <si>
    <t>Volumen de la muestra sin parafina (Vo)</t>
  </si>
  <si>
    <t>VOLUMEN (V)</t>
  </si>
  <si>
    <t>INFORME DE RESULTADOS</t>
  </si>
  <si>
    <t xml:space="preserve">tipo de perforación </t>
  </si>
  <si>
    <t>FECHA DE RECEPCIÓN:</t>
  </si>
  <si>
    <t>SONDEO</t>
  </si>
  <si>
    <t xml:space="preserve">FECHA DE EJECUCIÓN: </t>
  </si>
  <si>
    <t>APIQUE</t>
  </si>
  <si>
    <t>CORREO ELECTRÓNICO:</t>
  </si>
  <si>
    <t>FECHA DE EMISIÓN:</t>
  </si>
  <si>
    <t>TRINCHERA</t>
  </si>
  <si>
    <t>LOCALIZACIÓN:</t>
  </si>
  <si>
    <t xml:space="preserve">ORDEN INTERNA: </t>
  </si>
  <si>
    <t>GDA</t>
  </si>
  <si>
    <t>NQ</t>
  </si>
  <si>
    <t>MUESTRA TOMADA POR:</t>
  </si>
  <si>
    <t>INFORME ID No:</t>
  </si>
  <si>
    <t>N/A</t>
  </si>
  <si>
    <t>PERFORACIÓN:</t>
  </si>
  <si>
    <t>MUESTRA No. :</t>
  </si>
  <si>
    <t xml:space="preserve">PROFUNDIDAD: </t>
  </si>
  <si>
    <t xml:space="preserve">DESCRIPCIÓN VISUAL: </t>
  </si>
  <si>
    <t>DETERMINACIÓN DE LOS FACTORES DE CONTRACCIÓN DE LOS SUELOS POR EL MÉTODO DE LA PARAFINA   INV. E -129-13</t>
  </si>
  <si>
    <t>Volumen de la muestra parafina</t>
  </si>
  <si>
    <t>Ing. SERGIO DURAN NÚÑEZ</t>
  </si>
  <si>
    <t>Director Técnico</t>
  </si>
  <si>
    <t xml:space="preserve">  --------------------FIN DEL INFORME--------------------</t>
  </si>
  <si>
    <t xml:space="preserve">FACTOR DE CONTRACCIÓN DEL SUELO </t>
  </si>
  <si>
    <t xml:space="preserve">TOTAL MUESTRAS DE LA PERFORACIÓN </t>
  </si>
  <si>
    <t>Código: GDA-FLC-022</t>
  </si>
  <si>
    <t>Fecha: 30-11-2023</t>
  </si>
  <si>
    <t>CLIENTE</t>
  </si>
  <si>
    <t>Peso unitario seco de la pastilla</t>
  </si>
  <si>
    <t>Peso unitario húmedo de la pastilla</t>
  </si>
  <si>
    <t>REVISÓ</t>
  </si>
  <si>
    <t>(1) El presente ensayo no podrá ser reproducido ni parcial ni totalmente sin previa autorización escrita del laboratorio que lo emite. (2) Los resultados de este ensayo solo son aplicables a las muestras ensayadas.(3) Este informe es valido únicamente si presenta firma de quien Reviso y/o Aprobó con sello del laboratorio que lo emite en original.</t>
  </si>
  <si>
    <t>APROBÓ:</t>
  </si>
  <si>
    <t xml:space="preserve">Jefe laboratorio </t>
  </si>
  <si>
    <t>26</t>
  </si>
  <si>
    <t>MIGUEL BARÓN</t>
  </si>
  <si>
    <t>Versión: 0</t>
  </si>
  <si>
    <t>Página 1 de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</si>
</sst>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[$-200A]d&quot; de &quot;mmmm&quot; de &quot;yyyy;@"/>
    <numFmt numFmtId="166" formatCode="0.000"/>
    <numFmt numFmtId="167" formatCode="@\ &quot;-&quot;"/>
    <numFmt numFmtId="168" formatCode="0.00&quot; m&quot;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color rgb="FF002060"/>
      <name val="Arial"/>
      <family val="2"/>
    </font>
    <font>
      <sz val="12"/>
      <color indexed="8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4"/>
      <color rgb="FFFF0000"/>
      <name val="Arial"/>
      <family val="2"/>
    </font>
    <font>
      <b/>
      <sz val="1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b/>
      <sz val="14"/>
      <color rgb="FF002060"/>
      <name val="Arial"/>
      <family val="2"/>
    </font>
    <font>
      <sz val="16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 tint="-0.4999847407452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</borders>
  <cellStyleXfs count="10">
    <xf numFmtId="0" fontId="0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1" fillId="0" borderId="0"/>
  </cellStyleXfs>
  <cellXfs count="213">
    <xf numFmtId="0" fontId="0" fillId="0" borderId="0" xfId="0"/>
    <xf numFmtId="0" fontId="2" fillId="0" borderId="0" xfId="0" applyFont="1" applyAlignment="1">
      <alignment horizontal="center"/>
    </xf>
    <xf numFmtId="0" fontId="2" fillId="0" borderId="13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2" fontId="2" fillId="0" borderId="13" xfId="0" applyNumberFormat="1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2" fillId="0" borderId="13" xfId="0" applyNumberFormat="1" applyFont="1" applyBorder="1" applyAlignment="1">
      <alignment vertical="center"/>
    </xf>
    <xf numFmtId="0" fontId="9" fillId="0" borderId="0" xfId="5" applyFont="1" applyAlignment="1" applyProtection="1">
      <alignment vertical="center"/>
      <protection locked="0"/>
    </xf>
    <xf numFmtId="0" fontId="8" fillId="0" borderId="0" xfId="5" applyFont="1" applyAlignment="1" applyProtection="1">
      <alignment horizontal="center" vertical="center"/>
      <protection locked="0"/>
    </xf>
    <xf numFmtId="0" fontId="9" fillId="0" borderId="20" xfId="5" applyFont="1" applyBorder="1" applyAlignment="1" applyProtection="1">
      <alignment vertical="center"/>
      <protection locked="0"/>
    </xf>
    <xf numFmtId="0" fontId="9" fillId="0" borderId="0" xfId="5" applyFont="1" applyAlignment="1" applyProtection="1">
      <alignment horizontal="center" vertical="center"/>
      <protection locked="0"/>
    </xf>
    <xf numFmtId="165" fontId="9" fillId="2" borderId="8" xfId="5" applyNumberFormat="1" applyFont="1" applyFill="1" applyBorder="1" applyAlignment="1" applyProtection="1">
      <alignment horizontal="right" vertical="center"/>
      <protection hidden="1"/>
    </xf>
    <xf numFmtId="168" fontId="9" fillId="2" borderId="19" xfId="5" applyNumberFormat="1" applyFont="1" applyFill="1" applyBorder="1" applyAlignment="1" applyProtection="1">
      <alignment horizontal="center" vertical="center"/>
      <protection hidden="1"/>
    </xf>
    <xf numFmtId="0" fontId="8" fillId="2" borderId="10" xfId="5" applyFont="1" applyFill="1" applyBorder="1" applyAlignment="1" applyProtection="1">
      <alignment horizontal="left" vertical="center"/>
      <protection hidden="1"/>
    </xf>
    <xf numFmtId="2" fontId="5" fillId="0" borderId="0" xfId="4" applyNumberFormat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1" applyFont="1" applyAlignment="1" applyProtection="1">
      <alignment vertical="center"/>
      <protection locked="0"/>
    </xf>
    <xf numFmtId="0" fontId="7" fillId="0" borderId="0" xfId="3" applyFont="1" applyAlignment="1">
      <alignment horizontal="center" vertical="center" wrapText="1"/>
    </xf>
    <xf numFmtId="164" fontId="5" fillId="0" borderId="0" xfId="4" applyNumberFormat="1" applyFont="1" applyAlignment="1">
      <alignment horizontal="center" vertical="center"/>
    </xf>
    <xf numFmtId="0" fontId="4" fillId="0" borderId="0" xfId="1" applyFont="1" applyAlignment="1" applyProtection="1">
      <alignment horizontal="left" vertical="top"/>
      <protection locked="0"/>
    </xf>
    <xf numFmtId="166" fontId="4" fillId="0" borderId="0" xfId="1" applyNumberFormat="1" applyFont="1" applyAlignment="1" applyProtection="1">
      <alignment horizontal="center" vertical="center"/>
      <protection hidden="1"/>
    </xf>
    <xf numFmtId="0" fontId="4" fillId="0" borderId="0" xfId="1" applyFont="1" applyAlignment="1" applyProtection="1">
      <alignment horizontal="left" vertical="center"/>
      <protection locked="0"/>
    </xf>
    <xf numFmtId="0" fontId="4" fillId="0" borderId="0" xfId="1" applyFont="1" applyAlignment="1" applyProtection="1">
      <alignment horizontal="center" vertical="center" wrapText="1"/>
      <protection locked="0"/>
    </xf>
    <xf numFmtId="0" fontId="9" fillId="0" borderId="3" xfId="5" applyFont="1" applyBorder="1" applyAlignment="1" applyProtection="1">
      <alignment vertical="center"/>
      <protection hidden="1"/>
    </xf>
    <xf numFmtId="0" fontId="9" fillId="0" borderId="4" xfId="5" applyFont="1" applyBorder="1" applyAlignment="1" applyProtection="1">
      <alignment vertical="center"/>
      <protection hidden="1"/>
    </xf>
    <xf numFmtId="2" fontId="9" fillId="3" borderId="0" xfId="5" applyNumberFormat="1" applyFont="1" applyFill="1" applyAlignment="1" applyProtection="1">
      <alignment horizontal="center" vertical="center"/>
      <protection hidden="1"/>
    </xf>
    <xf numFmtId="2" fontId="9" fillId="0" borderId="0" xfId="5" applyNumberFormat="1" applyFont="1" applyAlignment="1" applyProtection="1">
      <alignment vertical="center"/>
      <protection locked="0"/>
    </xf>
    <xf numFmtId="0" fontId="9" fillId="3" borderId="0" xfId="5" applyFont="1" applyFill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2" fillId="0" borderId="0" xfId="0" applyFont="1" applyAlignment="1" applyProtection="1">
      <alignment horizontal="center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horizontal="center" vertical="center"/>
      <protection locked="0"/>
    </xf>
    <xf numFmtId="2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/>
    <xf numFmtId="0" fontId="8" fillId="3" borderId="0" xfId="5" quotePrefix="1" applyFont="1" applyFill="1" applyAlignment="1" applyProtection="1">
      <alignment horizontal="center" vertical="center"/>
      <protection locked="0"/>
    </xf>
    <xf numFmtId="0" fontId="8" fillId="0" borderId="0" xfId="5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 vertical="center" wrapText="1"/>
      <protection hidden="1"/>
    </xf>
    <xf numFmtId="0" fontId="0" fillId="0" borderId="1" xfId="0" applyBorder="1"/>
    <xf numFmtId="0" fontId="9" fillId="0" borderId="0" xfId="5" applyFont="1" applyAlignment="1" applyProtection="1">
      <alignment vertical="center"/>
      <protection hidden="1"/>
    </xf>
    <xf numFmtId="0" fontId="2" fillId="0" borderId="0" xfId="5" applyFont="1" applyAlignment="1" applyProtection="1">
      <alignment vertical="center" wrapText="1"/>
      <protection hidden="1"/>
    </xf>
    <xf numFmtId="0" fontId="9" fillId="0" borderId="10" xfId="5" applyFont="1" applyBorder="1" applyAlignment="1" applyProtection="1">
      <alignment vertical="center"/>
      <protection hidden="1"/>
    </xf>
    <xf numFmtId="0" fontId="9" fillId="0" borderId="5" xfId="5" applyFont="1" applyBorder="1" applyAlignment="1" applyProtection="1">
      <alignment vertical="center"/>
      <protection hidden="1"/>
    </xf>
    <xf numFmtId="14" fontId="9" fillId="0" borderId="7" xfId="5" applyNumberFormat="1" applyFont="1" applyBorder="1" applyAlignment="1" applyProtection="1">
      <alignment horizontal="center" vertical="center"/>
      <protection hidden="1"/>
    </xf>
    <xf numFmtId="14" fontId="9" fillId="0" borderId="4" xfId="5" applyNumberFormat="1" applyFont="1" applyBorder="1" applyAlignment="1" applyProtection="1">
      <alignment horizontal="center" vertical="center"/>
      <protection hidden="1"/>
    </xf>
    <xf numFmtId="0" fontId="9" fillId="0" borderId="4" xfId="5" applyFont="1" applyBorder="1" applyAlignment="1" applyProtection="1">
      <alignment horizontal="left" vertical="center"/>
      <protection hidden="1"/>
    </xf>
    <xf numFmtId="0" fontId="9" fillId="0" borderId="9" xfId="5" applyFont="1" applyBorder="1" applyAlignment="1" applyProtection="1">
      <alignment vertical="center"/>
      <protection hidden="1"/>
    </xf>
    <xf numFmtId="0" fontId="9" fillId="2" borderId="10" xfId="5" applyFont="1" applyFill="1" applyBorder="1" applyAlignment="1" applyProtection="1">
      <alignment vertical="center"/>
      <protection hidden="1"/>
    </xf>
    <xf numFmtId="0" fontId="9" fillId="0" borderId="11" xfId="5" applyFont="1" applyBorder="1" applyAlignment="1" applyProtection="1">
      <alignment vertical="center"/>
      <protection hidden="1"/>
    </xf>
    <xf numFmtId="0" fontId="9" fillId="2" borderId="19" xfId="5" applyFont="1" applyFill="1" applyBorder="1" applyAlignment="1" applyProtection="1">
      <alignment horizontal="center" vertical="center"/>
      <protection hidden="1"/>
    </xf>
    <xf numFmtId="168" fontId="9" fillId="0" borderId="7" xfId="5" applyNumberFormat="1" applyFont="1" applyBorder="1" applyAlignment="1" applyProtection="1">
      <alignment horizontal="left" vertical="center"/>
      <protection hidden="1"/>
    </xf>
    <xf numFmtId="0" fontId="9" fillId="0" borderId="4" xfId="5" applyFont="1" applyBorder="1" applyAlignment="1" applyProtection="1">
      <alignment horizontal="left" vertical="center" wrapText="1"/>
      <protection hidden="1"/>
    </xf>
    <xf numFmtId="0" fontId="9" fillId="2" borderId="10" xfId="5" applyFont="1" applyFill="1" applyBorder="1" applyAlignment="1" applyProtection="1">
      <alignment horizontal="left" vertical="center"/>
      <protection hidden="1"/>
    </xf>
    <xf numFmtId="0" fontId="9" fillId="0" borderId="11" xfId="5" applyFont="1" applyBorder="1" applyAlignment="1" applyProtection="1">
      <alignment horizontal="left" vertical="center"/>
      <protection hidden="1"/>
    </xf>
    <xf numFmtId="0" fontId="5" fillId="0" borderId="3" xfId="2" applyFont="1" applyBorder="1" applyAlignment="1" applyProtection="1">
      <alignment vertical="center"/>
      <protection hidden="1"/>
    </xf>
    <xf numFmtId="0" fontId="5" fillId="0" borderId="0" xfId="2" applyFont="1" applyAlignment="1" applyProtection="1">
      <alignment vertical="center"/>
      <protection hidden="1"/>
    </xf>
    <xf numFmtId="0" fontId="4" fillId="0" borderId="0" xfId="2" applyFont="1" applyAlignment="1" applyProtection="1">
      <alignment vertical="center"/>
      <protection hidden="1"/>
    </xf>
    <xf numFmtId="0" fontId="0" fillId="0" borderId="0" xfId="0" applyProtection="1">
      <protection hidden="1"/>
    </xf>
    <xf numFmtId="0" fontId="0" fillId="0" borderId="0" xfId="0" applyAlignment="1" applyProtection="1">
      <alignment vertical="center"/>
      <protection hidden="1"/>
    </xf>
    <xf numFmtId="0" fontId="0" fillId="0" borderId="4" xfId="0" applyBorder="1" applyAlignment="1" applyProtection="1">
      <alignment vertical="center"/>
      <protection hidden="1"/>
    </xf>
    <xf numFmtId="0" fontId="4" fillId="0" borderId="3" xfId="2" applyFont="1" applyBorder="1" applyAlignment="1" applyProtection="1">
      <alignment horizontal="center" vertical="center"/>
      <protection hidden="1"/>
    </xf>
    <xf numFmtId="0" fontId="4" fillId="0" borderId="0" xfId="2" applyFont="1" applyAlignment="1" applyProtection="1">
      <alignment horizontal="center" vertical="center"/>
      <protection hidden="1"/>
    </xf>
    <xf numFmtId="0" fontId="6" fillId="0" borderId="0" xfId="3" applyFont="1" applyAlignment="1" applyProtection="1">
      <alignment horizontal="center"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2" fillId="0" borderId="4" xfId="0" applyFont="1" applyBorder="1" applyAlignment="1" applyProtection="1">
      <alignment vertical="center"/>
      <protection hidden="1"/>
    </xf>
    <xf numFmtId="164" fontId="5" fillId="0" borderId="25" xfId="4" applyNumberFormat="1" applyFont="1" applyBorder="1" applyAlignment="1" applyProtection="1">
      <alignment horizontal="center" vertical="center"/>
      <protection hidden="1"/>
    </xf>
    <xf numFmtId="2" fontId="5" fillId="0" borderId="0" xfId="4" applyNumberFormat="1" applyFont="1" applyAlignment="1" applyProtection="1">
      <alignment horizontal="center" vertical="center"/>
      <protection hidden="1"/>
    </xf>
    <xf numFmtId="164" fontId="5" fillId="0" borderId="20" xfId="4" applyNumberFormat="1" applyFont="1" applyBorder="1" applyAlignment="1" applyProtection="1">
      <alignment horizontal="center" vertical="center"/>
      <protection hidden="1"/>
    </xf>
    <xf numFmtId="164" fontId="5" fillId="0" borderId="30" xfId="4" applyNumberFormat="1" applyFont="1" applyBorder="1" applyAlignment="1" applyProtection="1">
      <alignment horizontal="center" vertical="center"/>
      <protection hidden="1"/>
    </xf>
    <xf numFmtId="0" fontId="2" fillId="0" borderId="20" xfId="0" applyFont="1" applyBorder="1" applyAlignment="1" applyProtection="1">
      <alignment horizontal="center"/>
      <protection hidden="1"/>
    </xf>
    <xf numFmtId="0" fontId="2" fillId="0" borderId="30" xfId="0" applyFont="1" applyBorder="1" applyAlignment="1" applyProtection="1">
      <alignment horizontal="center"/>
      <protection hidden="1"/>
    </xf>
    <xf numFmtId="0" fontId="6" fillId="3" borderId="35" xfId="3" applyFont="1" applyFill="1" applyBorder="1" applyAlignment="1" applyProtection="1">
      <alignment horizontal="center" vertical="center"/>
      <protection hidden="1"/>
    </xf>
    <xf numFmtId="0" fontId="5" fillId="0" borderId="3" xfId="4" applyFont="1" applyBorder="1" applyAlignment="1" applyProtection="1">
      <alignment horizontal="center" vertical="center"/>
      <protection hidden="1"/>
    </xf>
    <xf numFmtId="2" fontId="5" fillId="0" borderId="30" xfId="6" applyNumberFormat="1" applyFont="1" applyFill="1" applyBorder="1" applyAlignment="1" applyProtection="1">
      <alignment horizontal="center" vertical="center"/>
      <protection hidden="1"/>
    </xf>
    <xf numFmtId="2" fontId="5" fillId="0" borderId="31" xfId="6" applyNumberFormat="1" applyFont="1" applyFill="1" applyBorder="1" applyAlignment="1" applyProtection="1">
      <alignment horizontal="center" vertical="center"/>
      <protection hidden="1"/>
    </xf>
    <xf numFmtId="2" fontId="5" fillId="0" borderId="0" xfId="6" applyNumberFormat="1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7" fillId="0" borderId="0" xfId="5" applyFont="1" applyAlignment="1" applyProtection="1">
      <alignment horizontal="center"/>
      <protection hidden="1"/>
    </xf>
    <xf numFmtId="0" fontId="9" fillId="2" borderId="19" xfId="5" applyFont="1" applyFill="1" applyBorder="1" applyAlignment="1" applyProtection="1">
      <alignment horizontal="left" vertical="center"/>
      <protection locked="0" hidden="1"/>
    </xf>
    <xf numFmtId="168" fontId="9" fillId="2" borderId="19" xfId="5" applyNumberFormat="1" applyFont="1" applyFill="1" applyBorder="1" applyAlignment="1" applyProtection="1">
      <alignment horizontal="left" vertical="center"/>
      <protection locked="0" hidden="1"/>
    </xf>
    <xf numFmtId="167" fontId="9" fillId="2" borderId="12" xfId="5" applyNumberFormat="1" applyFont="1" applyFill="1" applyBorder="1" applyAlignment="1" applyProtection="1">
      <alignment horizontal="center" vertical="center"/>
      <protection locked="0" hidden="1"/>
    </xf>
    <xf numFmtId="49" fontId="9" fillId="2" borderId="12" xfId="5" applyNumberFormat="1" applyFont="1" applyFill="1" applyBorder="1" applyAlignment="1" applyProtection="1">
      <alignment vertical="center"/>
      <protection locked="0" hidden="1"/>
    </xf>
    <xf numFmtId="2" fontId="5" fillId="0" borderId="25" xfId="4" applyNumberFormat="1" applyFont="1" applyBorder="1" applyAlignment="1" applyProtection="1">
      <alignment horizontal="center" vertical="center"/>
      <protection locked="0" hidden="1"/>
    </xf>
    <xf numFmtId="2" fontId="5" fillId="0" borderId="26" xfId="4" applyNumberFormat="1" applyFont="1" applyBorder="1" applyAlignment="1" applyProtection="1">
      <alignment horizontal="center" vertical="center"/>
      <protection locked="0" hidden="1"/>
    </xf>
    <xf numFmtId="2" fontId="5" fillId="0" borderId="20" xfId="4" applyNumberFormat="1" applyFont="1" applyBorder="1" applyAlignment="1" applyProtection="1">
      <alignment horizontal="center" vertical="center"/>
      <protection locked="0" hidden="1"/>
    </xf>
    <xf numFmtId="2" fontId="5" fillId="0" borderId="28" xfId="4" applyNumberFormat="1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vertical="center"/>
      <protection locked="0" hidden="1"/>
    </xf>
    <xf numFmtId="0" fontId="9" fillId="0" borderId="0" xfId="5" applyFont="1" applyAlignment="1" applyProtection="1">
      <alignment vertical="center"/>
      <protection locked="0" hidden="1"/>
    </xf>
    <xf numFmtId="0" fontId="8" fillId="0" borderId="0" xfId="5" applyFont="1" applyAlignment="1" applyProtection="1">
      <alignment vertical="center"/>
      <protection locked="0" hidden="1"/>
    </xf>
    <xf numFmtId="2" fontId="5" fillId="0" borderId="31" xfId="4" applyNumberFormat="1" applyFont="1" applyBorder="1" applyAlignment="1" applyProtection="1">
      <alignment horizontal="center" vertical="center"/>
      <protection locked="0" hidden="1"/>
    </xf>
    <xf numFmtId="2" fontId="9" fillId="2" borderId="19" xfId="5" applyNumberFormat="1" applyFont="1" applyFill="1" applyBorder="1" applyAlignment="1" applyProtection="1">
      <alignment vertical="center"/>
      <protection locked="0" hidden="1"/>
    </xf>
    <xf numFmtId="1" fontId="5" fillId="0" borderId="26" xfId="4" applyNumberFormat="1" applyFont="1" applyBorder="1" applyAlignment="1" applyProtection="1">
      <alignment horizontal="center" vertical="center"/>
      <protection locked="0" hidden="1"/>
    </xf>
    <xf numFmtId="164" fontId="5" fillId="0" borderId="0" xfId="4" applyNumberFormat="1" applyFont="1" applyAlignment="1" applyProtection="1">
      <alignment horizontal="center" vertical="center"/>
      <protection hidden="1"/>
    </xf>
    <xf numFmtId="0" fontId="9" fillId="0" borderId="8" xfId="5" applyFont="1" applyBorder="1" applyAlignment="1" applyProtection="1">
      <alignment vertical="center"/>
      <protection hidden="1"/>
    </xf>
    <xf numFmtId="0" fontId="2" fillId="0" borderId="3" xfId="5" applyFont="1" applyBorder="1" applyAlignment="1" applyProtection="1">
      <alignment vertical="center" wrapText="1"/>
      <protection hidden="1"/>
    </xf>
    <xf numFmtId="0" fontId="9" fillId="0" borderId="8" xfId="5" applyFont="1" applyBorder="1" applyAlignment="1" applyProtection="1">
      <alignment vertical="center"/>
      <protection locked="0" hidden="1"/>
    </xf>
    <xf numFmtId="0" fontId="6" fillId="3" borderId="5" xfId="3" applyFont="1" applyFill="1" applyBorder="1" applyAlignment="1" applyProtection="1">
      <alignment horizontal="center" vertical="center"/>
      <protection hidden="1"/>
    </xf>
    <xf numFmtId="0" fontId="6" fillId="3" borderId="6" xfId="3" applyFont="1" applyFill="1" applyBorder="1" applyAlignment="1" applyProtection="1">
      <alignment horizontal="center" vertical="center"/>
      <protection hidden="1"/>
    </xf>
    <xf numFmtId="0" fontId="2" fillId="2" borderId="25" xfId="3" applyFont="1" applyFill="1" applyBorder="1" applyAlignment="1" applyProtection="1">
      <alignment horizontal="center" vertical="center"/>
      <protection hidden="1"/>
    </xf>
    <xf numFmtId="2" fontId="2" fillId="0" borderId="0" xfId="0" applyNumberFormat="1" applyFont="1" applyAlignment="1">
      <alignment vertical="center"/>
    </xf>
    <xf numFmtId="1" fontId="9" fillId="3" borderId="8" xfId="9" applyNumberFormat="1" applyFont="1" applyFill="1" applyBorder="1" applyAlignment="1" applyProtection="1">
      <alignment horizontal="center" vertical="center"/>
      <protection hidden="1"/>
    </xf>
    <xf numFmtId="1" fontId="9" fillId="3" borderId="12" xfId="9" applyNumberFormat="1" applyFont="1" applyFill="1" applyBorder="1" applyAlignment="1" applyProtection="1">
      <alignment horizontal="center" vertical="center"/>
      <protection hidden="1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49" fontId="18" fillId="0" borderId="9" xfId="5" applyNumberFormat="1" applyFont="1" applyBorder="1" applyAlignment="1" applyProtection="1">
      <alignment horizontal="center" vertical="center" wrapText="1"/>
      <protection hidden="1"/>
    </xf>
    <xf numFmtId="49" fontId="18" fillId="0" borderId="10" xfId="5" applyNumberFormat="1" applyFont="1" applyBorder="1" applyAlignment="1" applyProtection="1">
      <alignment horizontal="center" vertical="center" wrapText="1"/>
      <protection hidden="1"/>
    </xf>
    <xf numFmtId="49" fontId="18" fillId="0" borderId="11" xfId="5" applyNumberFormat="1" applyFont="1" applyBorder="1" applyAlignment="1" applyProtection="1">
      <alignment horizontal="center" vertical="center" wrapText="1"/>
      <protection hidden="1"/>
    </xf>
    <xf numFmtId="49" fontId="18" fillId="0" borderId="0" xfId="5" applyNumberFormat="1" applyFont="1" applyAlignment="1" applyProtection="1">
      <alignment horizontal="center" vertical="center"/>
      <protection locked="0"/>
    </xf>
    <xf numFmtId="0" fontId="18" fillId="0" borderId="0" xfId="5" applyFont="1" applyAlignment="1" applyProtection="1">
      <alignment horizontal="center" vertical="center"/>
      <protection locked="0"/>
    </xf>
    <xf numFmtId="0" fontId="20" fillId="0" borderId="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4" fillId="0" borderId="0" xfId="1" applyFont="1" applyAlignment="1" applyProtection="1">
      <alignment horizontal="left" vertical="top"/>
      <protection locked="0"/>
    </xf>
    <xf numFmtId="0" fontId="2" fillId="0" borderId="0" xfId="5" applyFont="1" applyAlignment="1" applyProtection="1">
      <alignment horizontal="center" vertical="center" wrapText="1"/>
      <protection hidden="1"/>
    </xf>
    <xf numFmtId="0" fontId="17" fillId="0" borderId="0" xfId="5" applyFont="1" applyAlignment="1" applyProtection="1">
      <alignment horizontal="center" vertical="center" wrapText="1"/>
      <protection locked="0"/>
    </xf>
    <xf numFmtId="0" fontId="9" fillId="0" borderId="0" xfId="5" applyFont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0" fontId="7" fillId="0" borderId="0" xfId="5" applyFont="1" applyAlignment="1" applyProtection="1">
      <alignment horizontal="center"/>
      <protection hidden="1"/>
    </xf>
    <xf numFmtId="0" fontId="2" fillId="0" borderId="0" xfId="0" applyFont="1" applyAlignment="1" applyProtection="1">
      <alignment horizontal="center" vertical="center"/>
      <protection locked="0" hidden="1"/>
    </xf>
    <xf numFmtId="0" fontId="8" fillId="0" borderId="0" xfId="5" applyFont="1" applyAlignment="1" applyProtection="1">
      <alignment horizontal="center" vertical="center"/>
      <protection locked="0"/>
    </xf>
    <xf numFmtId="0" fontId="2" fillId="0" borderId="21" xfId="5" applyFont="1" applyBorder="1" applyAlignment="1" applyProtection="1">
      <alignment horizontal="center" vertical="center" wrapText="1"/>
      <protection hidden="1"/>
    </xf>
    <xf numFmtId="0" fontId="9" fillId="0" borderId="21" xfId="5" applyFont="1" applyBorder="1" applyAlignment="1" applyProtection="1">
      <alignment horizontal="center" vertical="center"/>
      <protection locked="0" hidden="1"/>
    </xf>
    <xf numFmtId="0" fontId="8" fillId="0" borderId="0" xfId="5" applyFont="1" applyAlignment="1" applyProtection="1">
      <alignment horizontal="center" vertical="center"/>
      <protection locked="0" hidden="1"/>
    </xf>
    <xf numFmtId="0" fontId="9" fillId="0" borderId="0" xfId="5" applyFont="1" applyAlignment="1" applyProtection="1">
      <alignment horizontal="center" vertical="center"/>
      <protection locked="0" hidden="1"/>
    </xf>
    <xf numFmtId="0" fontId="7" fillId="0" borderId="27" xfId="3" applyFont="1" applyBorder="1" applyAlignment="1" applyProtection="1">
      <alignment horizontal="center" vertical="center" wrapText="1"/>
      <protection hidden="1"/>
    </xf>
    <xf numFmtId="0" fontId="7" fillId="0" borderId="20" xfId="3" applyFont="1" applyBorder="1" applyAlignment="1" applyProtection="1">
      <alignment horizontal="center" vertical="center" wrapText="1"/>
      <protection hidden="1"/>
    </xf>
    <xf numFmtId="0" fontId="7" fillId="0" borderId="29" xfId="3" applyFont="1" applyBorder="1" applyAlignment="1" applyProtection="1">
      <alignment horizontal="center" vertical="center" wrapText="1"/>
      <protection hidden="1"/>
    </xf>
    <xf numFmtId="0" fontId="7" fillId="0" borderId="30" xfId="3" applyFont="1" applyBorder="1" applyAlignment="1" applyProtection="1">
      <alignment horizontal="center" vertical="center" wrapText="1"/>
      <protection hidden="1"/>
    </xf>
    <xf numFmtId="2" fontId="5" fillId="0" borderId="30" xfId="6" applyNumberFormat="1" applyFont="1" applyFill="1" applyBorder="1" applyAlignment="1" applyProtection="1">
      <alignment horizontal="center" vertical="center"/>
      <protection hidden="1"/>
    </xf>
    <xf numFmtId="2" fontId="5" fillId="0" borderId="31" xfId="6" applyNumberFormat="1" applyFont="1" applyFill="1" applyBorder="1" applyAlignment="1" applyProtection="1">
      <alignment horizontal="center" vertical="center"/>
      <protection hidden="1"/>
    </xf>
    <xf numFmtId="0" fontId="7" fillId="0" borderId="0" xfId="3" applyFont="1" applyAlignment="1" applyProtection="1">
      <alignment horizontal="center" vertical="center" wrapText="1"/>
      <protection hidden="1"/>
    </xf>
    <xf numFmtId="2" fontId="5" fillId="0" borderId="0" xfId="6" applyNumberFormat="1" applyFont="1" applyFill="1" applyBorder="1" applyAlignment="1" applyProtection="1">
      <alignment horizontal="center" vertical="center"/>
      <protection hidden="1"/>
    </xf>
    <xf numFmtId="0" fontId="7" fillId="0" borderId="24" xfId="3" applyFont="1" applyBorder="1" applyAlignment="1" applyProtection="1">
      <alignment horizontal="center" vertical="center" wrapText="1"/>
      <protection hidden="1"/>
    </xf>
    <xf numFmtId="0" fontId="7" fillId="0" borderId="25" xfId="3" applyFont="1" applyBorder="1" applyAlignment="1" applyProtection="1">
      <alignment horizontal="center" vertical="center" wrapText="1"/>
      <protection hidden="1"/>
    </xf>
    <xf numFmtId="2" fontId="5" fillId="0" borderId="20" xfId="7" applyNumberFormat="1" applyFont="1" applyFill="1" applyBorder="1" applyAlignment="1" applyProtection="1">
      <alignment horizontal="center" vertical="center"/>
      <protection hidden="1"/>
    </xf>
    <xf numFmtId="2" fontId="5" fillId="0" borderId="28" xfId="7" applyNumberFormat="1" applyFont="1" applyFill="1" applyBorder="1" applyAlignment="1" applyProtection="1">
      <alignment horizontal="center" vertical="center"/>
      <protection hidden="1"/>
    </xf>
    <xf numFmtId="2" fontId="5" fillId="0" borderId="20" xfId="6" applyNumberFormat="1" applyFont="1" applyFill="1" applyBorder="1" applyAlignment="1" applyProtection="1">
      <alignment horizontal="center" vertical="center"/>
      <protection hidden="1"/>
    </xf>
    <xf numFmtId="2" fontId="5" fillId="0" borderId="28" xfId="6" applyNumberFormat="1" applyFont="1" applyFill="1" applyBorder="1" applyAlignment="1" applyProtection="1">
      <alignment horizontal="center" vertical="center"/>
      <protection hidden="1"/>
    </xf>
    <xf numFmtId="2" fontId="2" fillId="0" borderId="30" xfId="0" applyNumberFormat="1" applyFont="1" applyBorder="1" applyAlignment="1" applyProtection="1">
      <alignment horizontal="center" vertical="center"/>
      <protection hidden="1"/>
    </xf>
    <xf numFmtId="2" fontId="2" fillId="0" borderId="31" xfId="0" applyNumberFormat="1" applyFont="1" applyBorder="1" applyAlignment="1" applyProtection="1">
      <alignment horizontal="center" vertical="center"/>
      <protection hidden="1"/>
    </xf>
    <xf numFmtId="0" fontId="6" fillId="3" borderId="5" xfId="3" applyFont="1" applyFill="1" applyBorder="1" applyAlignment="1" applyProtection="1">
      <alignment horizontal="center" vertical="center"/>
      <protection hidden="1"/>
    </xf>
    <xf numFmtId="0" fontId="6" fillId="3" borderId="6" xfId="3" applyFont="1" applyFill="1" applyBorder="1" applyAlignment="1" applyProtection="1">
      <alignment horizontal="center" vertical="center"/>
      <protection hidden="1"/>
    </xf>
    <xf numFmtId="0" fontId="6" fillId="3" borderId="7" xfId="3" applyFont="1" applyFill="1" applyBorder="1" applyAlignment="1" applyProtection="1">
      <alignment horizontal="center" vertical="center"/>
      <protection hidden="1"/>
    </xf>
    <xf numFmtId="0" fontId="6" fillId="3" borderId="9" xfId="3" applyFont="1" applyFill="1" applyBorder="1" applyAlignment="1" applyProtection="1">
      <alignment horizontal="center" vertical="center"/>
      <protection hidden="1"/>
    </xf>
    <xf numFmtId="0" fontId="6" fillId="3" borderId="10" xfId="3" applyFont="1" applyFill="1" applyBorder="1" applyAlignment="1" applyProtection="1">
      <alignment horizontal="center" vertical="center"/>
      <protection hidden="1"/>
    </xf>
    <xf numFmtId="0" fontId="6" fillId="3" borderId="11" xfId="3" applyFont="1" applyFill="1" applyBorder="1" applyAlignment="1" applyProtection="1">
      <alignment horizontal="center" vertical="center"/>
      <protection hidden="1"/>
    </xf>
    <xf numFmtId="0" fontId="22" fillId="3" borderId="24" xfId="2" applyFont="1" applyFill="1" applyBorder="1" applyAlignment="1" applyProtection="1">
      <alignment horizontal="center" vertical="center"/>
      <protection hidden="1"/>
    </xf>
    <xf numFmtId="0" fontId="22" fillId="3" borderId="25" xfId="2" applyFont="1" applyFill="1" applyBorder="1" applyAlignment="1" applyProtection="1">
      <alignment horizontal="center" vertical="center"/>
      <protection hidden="1"/>
    </xf>
    <xf numFmtId="0" fontId="22" fillId="3" borderId="26" xfId="2" applyFont="1" applyFill="1" applyBorder="1" applyAlignment="1" applyProtection="1">
      <alignment horizontal="center" vertical="center"/>
      <protection hidden="1"/>
    </xf>
    <xf numFmtId="0" fontId="22" fillId="3" borderId="38" xfId="2" applyFont="1" applyFill="1" applyBorder="1" applyAlignment="1" applyProtection="1">
      <alignment horizontal="center" vertical="center"/>
      <protection hidden="1"/>
    </xf>
    <xf numFmtId="0" fontId="22" fillId="3" borderId="39" xfId="2" applyFont="1" applyFill="1" applyBorder="1" applyAlignment="1" applyProtection="1">
      <alignment horizontal="center" vertical="center"/>
      <protection hidden="1"/>
    </xf>
    <xf numFmtId="0" fontId="22" fillId="3" borderId="40" xfId="2" applyFont="1" applyFill="1" applyBorder="1" applyAlignment="1" applyProtection="1">
      <alignment horizontal="center" vertical="center"/>
      <protection hidden="1"/>
    </xf>
    <xf numFmtId="0" fontId="2" fillId="2" borderId="24" xfId="3" applyFont="1" applyFill="1" applyBorder="1" applyAlignment="1" applyProtection="1">
      <alignment horizontal="center" vertical="center"/>
      <protection hidden="1"/>
    </xf>
    <xf numFmtId="0" fontId="2" fillId="2" borderId="25" xfId="3" applyFont="1" applyFill="1" applyBorder="1" applyAlignment="1" applyProtection="1">
      <alignment horizontal="center" vertical="center"/>
      <protection hidden="1"/>
    </xf>
    <xf numFmtId="10" fontId="5" fillId="0" borderId="25" xfId="6" applyNumberFormat="1" applyFont="1" applyFill="1" applyBorder="1" applyAlignment="1" applyProtection="1">
      <alignment horizontal="center" vertical="center"/>
      <protection hidden="1"/>
    </xf>
    <xf numFmtId="10" fontId="5" fillId="0" borderId="26" xfId="6" applyNumberFormat="1" applyFont="1" applyFill="1" applyBorder="1" applyAlignment="1" applyProtection="1">
      <alignment horizontal="center" vertical="center"/>
      <protection hidden="1"/>
    </xf>
    <xf numFmtId="2" fontId="5" fillId="0" borderId="20" xfId="4" applyNumberFormat="1" applyFont="1" applyBorder="1" applyAlignment="1" applyProtection="1">
      <alignment horizontal="center" vertical="center"/>
      <protection locked="0" hidden="1"/>
    </xf>
    <xf numFmtId="2" fontId="5" fillId="0" borderId="28" xfId="4" applyNumberFormat="1" applyFont="1" applyBorder="1" applyAlignment="1" applyProtection="1">
      <alignment horizontal="center" vertical="center"/>
      <protection locked="0" hidden="1"/>
    </xf>
    <xf numFmtId="2" fontId="5" fillId="0" borderId="25" xfId="4" applyNumberFormat="1" applyFont="1" applyBorder="1" applyAlignment="1" applyProtection="1">
      <alignment horizontal="center" vertical="center"/>
      <protection locked="0" hidden="1"/>
    </xf>
    <xf numFmtId="2" fontId="5" fillId="0" borderId="26" xfId="4" applyNumberFormat="1" applyFont="1" applyBorder="1" applyAlignment="1" applyProtection="1">
      <alignment horizontal="center" vertical="center"/>
      <protection locked="0" hidden="1"/>
    </xf>
    <xf numFmtId="0" fontId="9" fillId="2" borderId="12" xfId="5" applyFont="1" applyFill="1" applyBorder="1" applyAlignment="1" applyProtection="1">
      <alignment horizontal="center" vertical="center"/>
      <protection hidden="1"/>
    </xf>
    <xf numFmtId="0" fontId="9" fillId="2" borderId="10" xfId="5" applyFont="1" applyFill="1" applyBorder="1" applyAlignment="1" applyProtection="1">
      <alignment horizontal="center" vertical="center"/>
      <protection hidden="1"/>
    </xf>
    <xf numFmtId="0" fontId="8" fillId="2" borderId="6" xfId="5" applyFont="1" applyFill="1" applyBorder="1" applyAlignment="1" applyProtection="1">
      <alignment horizontal="left" vertical="center"/>
      <protection hidden="1"/>
    </xf>
    <xf numFmtId="49" fontId="9" fillId="2" borderId="19" xfId="5" applyNumberFormat="1" applyFont="1" applyFill="1" applyBorder="1" applyAlignment="1" applyProtection="1">
      <alignment horizontal="right" vertical="center"/>
      <protection locked="0" hidden="1"/>
    </xf>
    <xf numFmtId="0" fontId="8" fillId="2" borderId="19" xfId="5" applyFont="1" applyFill="1" applyBorder="1" applyAlignment="1" applyProtection="1">
      <alignment horizontal="center" vertical="center"/>
      <protection hidden="1"/>
    </xf>
    <xf numFmtId="0" fontId="8" fillId="2" borderId="6" xfId="5" applyFont="1" applyFill="1" applyBorder="1" applyAlignment="1" applyProtection="1">
      <alignment horizontal="center" vertical="center"/>
      <protection hidden="1"/>
    </xf>
    <xf numFmtId="0" fontId="8" fillId="2" borderId="0" xfId="5" applyFont="1" applyFill="1" applyAlignment="1" applyProtection="1">
      <alignment horizontal="left" vertical="center"/>
      <protection hidden="1"/>
    </xf>
    <xf numFmtId="0" fontId="9" fillId="2" borderId="12" xfId="5" applyFont="1" applyFill="1" applyBorder="1" applyAlignment="1" applyProtection="1">
      <alignment horizontal="center" vertical="center"/>
      <protection locked="0" hidden="1"/>
    </xf>
    <xf numFmtId="0" fontId="19" fillId="3" borderId="2" xfId="2" applyFont="1" applyFill="1" applyBorder="1" applyAlignment="1" applyProtection="1">
      <alignment horizontal="center" vertical="center"/>
      <protection hidden="1"/>
    </xf>
    <xf numFmtId="0" fontId="19" fillId="3" borderId="22" xfId="2" applyFont="1" applyFill="1" applyBorder="1" applyAlignment="1" applyProtection="1">
      <alignment horizontal="center" vertical="center"/>
      <protection hidden="1"/>
    </xf>
    <xf numFmtId="0" fontId="19" fillId="3" borderId="23" xfId="2" applyFont="1" applyFill="1" applyBorder="1" applyAlignment="1" applyProtection="1">
      <alignment horizontal="center" vertical="center"/>
      <protection hidden="1"/>
    </xf>
    <xf numFmtId="0" fontId="6" fillId="3" borderId="32" xfId="3" applyFont="1" applyFill="1" applyBorder="1" applyAlignment="1" applyProtection="1">
      <alignment horizontal="center" vertical="center"/>
      <protection hidden="1"/>
    </xf>
    <xf numFmtId="0" fontId="6" fillId="3" borderId="33" xfId="3" applyFont="1" applyFill="1" applyBorder="1" applyAlignment="1" applyProtection="1">
      <alignment horizontal="center" vertical="center"/>
      <protection hidden="1"/>
    </xf>
    <xf numFmtId="0" fontId="6" fillId="3" borderId="34" xfId="3" applyFont="1" applyFill="1" applyBorder="1" applyAlignment="1" applyProtection="1">
      <alignment horizontal="center" vertical="center"/>
      <protection hidden="1"/>
    </xf>
    <xf numFmtId="0" fontId="11" fillId="0" borderId="0" xfId="5" applyFont="1" applyAlignment="1" applyProtection="1">
      <alignment horizontal="left" vertical="center"/>
      <protection hidden="1"/>
    </xf>
    <xf numFmtId="0" fontId="8" fillId="2" borderId="8" xfId="5" applyFont="1" applyFill="1" applyBorder="1" applyAlignment="1" applyProtection="1">
      <alignment horizontal="left" vertical="center"/>
      <protection hidden="1"/>
    </xf>
    <xf numFmtId="2" fontId="2" fillId="0" borderId="20" xfId="0" applyNumberFormat="1" applyFont="1" applyBorder="1" applyAlignment="1" applyProtection="1">
      <alignment horizontal="center"/>
      <protection hidden="1"/>
    </xf>
    <xf numFmtId="2" fontId="2" fillId="0" borderId="28" xfId="0" applyNumberFormat="1" applyFont="1" applyBorder="1" applyAlignment="1" applyProtection="1">
      <alignment horizontal="center"/>
      <protection hidden="1"/>
    </xf>
    <xf numFmtId="0" fontId="9" fillId="2" borderId="12" xfId="5" applyFont="1" applyFill="1" applyBorder="1" applyAlignment="1" applyProtection="1">
      <alignment horizontal="center" vertical="center" wrapText="1"/>
      <protection locked="0" hidden="1"/>
    </xf>
    <xf numFmtId="165" fontId="9" fillId="2" borderId="12" xfId="5" applyNumberFormat="1" applyFont="1" applyFill="1" applyBorder="1" applyAlignment="1" applyProtection="1">
      <alignment horizontal="center" vertical="center"/>
      <protection locked="0" hidden="1"/>
    </xf>
    <xf numFmtId="2" fontId="5" fillId="0" borderId="20" xfId="4" applyNumberFormat="1" applyFont="1" applyBorder="1" applyAlignment="1" applyProtection="1">
      <alignment horizontal="center" vertical="center"/>
      <protection hidden="1"/>
    </xf>
    <xf numFmtId="2" fontId="5" fillId="0" borderId="28" xfId="4" applyNumberFormat="1" applyFont="1" applyBorder="1" applyAlignment="1" applyProtection="1">
      <alignment horizontal="center" vertical="center"/>
      <protection hidden="1"/>
    </xf>
    <xf numFmtId="0" fontId="1" fillId="2" borderId="12" xfId="8" applyFont="1" applyFill="1" applyBorder="1" applyAlignment="1" applyProtection="1">
      <alignment horizontal="center" vertical="center"/>
      <protection locked="0" hidden="1"/>
    </xf>
    <xf numFmtId="0" fontId="10" fillId="0" borderId="0" xfId="5" applyFont="1" applyAlignment="1" applyProtection="1">
      <alignment horizontal="center" vertical="center"/>
      <protection locked="0"/>
    </xf>
    <xf numFmtId="0" fontId="9" fillId="0" borderId="43" xfId="5" applyFont="1" applyBorder="1" applyAlignment="1" applyProtection="1">
      <alignment horizontal="center" vertical="center"/>
      <protection locked="0" hidden="1"/>
    </xf>
    <xf numFmtId="0" fontId="9" fillId="0" borderId="41" xfId="5" applyFont="1" applyBorder="1" applyAlignment="1" applyProtection="1">
      <alignment horizontal="center" vertical="center"/>
      <protection locked="0" hidden="1"/>
    </xf>
    <xf numFmtId="0" fontId="9" fillId="0" borderId="42" xfId="5" applyFont="1" applyBorder="1" applyAlignment="1" applyProtection="1">
      <alignment horizontal="center" vertical="center"/>
      <protection locked="0" hidden="1"/>
    </xf>
    <xf numFmtId="0" fontId="9" fillId="2" borderId="19" xfId="5" applyFont="1" applyFill="1" applyBorder="1" applyAlignment="1" applyProtection="1">
      <alignment horizontal="center" vertical="center"/>
      <protection locked="0" hidden="1"/>
    </xf>
    <xf numFmtId="165" fontId="9" fillId="2" borderId="19" xfId="5" applyNumberFormat="1" applyFont="1" applyFill="1" applyBorder="1" applyAlignment="1" applyProtection="1">
      <alignment horizontal="center" vertical="center"/>
      <protection locked="0" hidden="1"/>
    </xf>
    <xf numFmtId="0" fontId="9" fillId="0" borderId="5" xfId="5" applyFont="1" applyBorder="1" applyAlignment="1" applyProtection="1">
      <alignment horizontal="center" vertical="center"/>
      <protection hidden="1"/>
    </xf>
    <xf numFmtId="0" fontId="9" fillId="0" borderId="6" xfId="5" applyFont="1" applyBorder="1" applyAlignment="1" applyProtection="1">
      <alignment horizontal="center" vertical="center"/>
      <protection hidden="1"/>
    </xf>
    <xf numFmtId="0" fontId="9" fillId="0" borderId="3" xfId="5" applyFont="1" applyBorder="1" applyAlignment="1" applyProtection="1">
      <alignment horizontal="center" vertical="center"/>
      <protection hidden="1"/>
    </xf>
    <xf numFmtId="0" fontId="9" fillId="0" borderId="9" xfId="5" applyFont="1" applyBorder="1" applyAlignment="1" applyProtection="1">
      <alignment horizontal="center" vertical="center"/>
      <protection hidden="1"/>
    </xf>
    <xf numFmtId="0" fontId="9" fillId="0" borderId="10" xfId="5" applyFont="1" applyBorder="1" applyAlignment="1" applyProtection="1">
      <alignment horizontal="center" vertical="center"/>
      <protection hidden="1"/>
    </xf>
    <xf numFmtId="0" fontId="14" fillId="0" borderId="5" xfId="5" applyFont="1" applyBorder="1" applyAlignment="1" applyProtection="1">
      <alignment horizontal="center" vertical="center"/>
      <protection hidden="1"/>
    </xf>
    <xf numFmtId="0" fontId="14" fillId="0" borderId="6" xfId="5" applyFont="1" applyBorder="1" applyAlignment="1" applyProtection="1">
      <alignment horizontal="center" vertical="center"/>
      <protection hidden="1"/>
    </xf>
    <xf numFmtId="0" fontId="14" fillId="0" borderId="7" xfId="5" applyFont="1" applyBorder="1" applyAlignment="1" applyProtection="1">
      <alignment horizontal="center" vertical="center"/>
      <protection hidden="1"/>
    </xf>
    <xf numFmtId="0" fontId="9" fillId="0" borderId="36" xfId="5" applyFont="1" applyBorder="1" applyAlignment="1" applyProtection="1">
      <alignment horizontal="center" vertical="center"/>
      <protection locked="0" hidden="1"/>
    </xf>
    <xf numFmtId="0" fontId="9" fillId="0" borderId="19" xfId="5" applyFont="1" applyBorder="1" applyAlignment="1" applyProtection="1">
      <alignment horizontal="center" vertical="center"/>
      <protection locked="0" hidden="1"/>
    </xf>
    <xf numFmtId="0" fontId="9" fillId="0" borderId="37" xfId="5" applyFont="1" applyBorder="1" applyAlignment="1" applyProtection="1">
      <alignment horizontal="center" vertical="center"/>
      <protection locked="0" hidden="1"/>
    </xf>
    <xf numFmtId="0" fontId="15" fillId="0" borderId="3" xfId="5" applyFont="1" applyBorder="1" applyAlignment="1" applyProtection="1">
      <alignment horizontal="center" vertical="center" wrapText="1"/>
      <protection hidden="1"/>
    </xf>
    <xf numFmtId="0" fontId="15" fillId="0" borderId="0" xfId="5" applyFont="1" applyAlignment="1" applyProtection="1">
      <alignment horizontal="center" vertical="center" wrapText="1"/>
      <protection hidden="1"/>
    </xf>
    <xf numFmtId="0" fontId="15" fillId="0" borderId="4" xfId="5" applyFont="1" applyBorder="1" applyAlignment="1" applyProtection="1">
      <alignment horizontal="center" vertical="center" wrapText="1"/>
      <protection hidden="1"/>
    </xf>
    <xf numFmtId="0" fontId="15" fillId="0" borderId="9" xfId="5" applyFont="1" applyBorder="1" applyAlignment="1" applyProtection="1">
      <alignment horizontal="center" vertical="center" wrapText="1"/>
      <protection hidden="1"/>
    </xf>
    <xf numFmtId="0" fontId="15" fillId="0" borderId="10" xfId="5" applyFont="1" applyBorder="1" applyAlignment="1" applyProtection="1">
      <alignment horizontal="center" vertical="center" wrapText="1"/>
      <protection hidden="1"/>
    </xf>
    <xf numFmtId="0" fontId="15" fillId="0" borderId="11" xfId="5" applyFont="1" applyBorder="1" applyAlignment="1" applyProtection="1">
      <alignment horizontal="center" vertical="center" wrapText="1"/>
      <protection hidden="1"/>
    </xf>
    <xf numFmtId="0" fontId="9" fillId="0" borderId="17" xfId="5" applyFont="1" applyBorder="1" applyAlignment="1" applyProtection="1">
      <alignment horizontal="center" vertical="center"/>
      <protection locked="0" hidden="1"/>
    </xf>
    <xf numFmtId="0" fontId="9" fillId="0" borderId="12" xfId="5" applyFont="1" applyBorder="1" applyAlignment="1" applyProtection="1">
      <alignment horizontal="center" vertical="center"/>
      <protection locked="0" hidden="1"/>
    </xf>
    <xf numFmtId="0" fontId="9" fillId="0" borderId="18" xfId="5" applyFont="1" applyBorder="1" applyAlignment="1" applyProtection="1">
      <alignment horizontal="center" vertical="center"/>
      <protection locked="0" hidden="1"/>
    </xf>
  </cellXfs>
  <cellStyles count="10">
    <cellStyle name="Hipervínculo" xfId="8" builtinId="8"/>
    <cellStyle name="Millares" xfId="7" builtinId="3"/>
    <cellStyle name="Normal" xfId="0" builtinId="0"/>
    <cellStyle name="Normal 2 2" xfId="2" xr:uid="{00000000-0005-0000-0000-000003000000}"/>
    <cellStyle name="Normal 3 2 4" xfId="4" xr:uid="{00000000-0005-0000-0000-000004000000}"/>
    <cellStyle name="Normal 5" xfId="5" xr:uid="{00000000-0005-0000-0000-000005000000}"/>
    <cellStyle name="Normal 5 2" xfId="9" xr:uid="{3B22D474-022C-4DBD-B997-F054DF586976}"/>
    <cellStyle name="Normal 7 3" xfId="3" xr:uid="{00000000-0005-0000-0000-000006000000}"/>
    <cellStyle name="Normal 9 2 2" xfId="1" xr:uid="{00000000-0005-0000-0000-000007000000}"/>
    <cellStyle name="Porcentaje" xfId="6" builtinId="5"/>
  </cellStyles>
  <dxfs count="8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704850</xdr:colOff>
      <xdr:row>17</xdr:row>
      <xdr:rowOff>0</xdr:rowOff>
    </xdr:from>
    <xdr:to>
      <xdr:col>25</xdr:col>
      <xdr:colOff>477069</xdr:colOff>
      <xdr:row>35</xdr:row>
      <xdr:rowOff>64357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13BC919-296F-449C-825D-2DACCEDA4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40050" y="4419600"/>
          <a:ext cx="5868219" cy="5341207"/>
        </a:xfrm>
        <a:prstGeom prst="rect">
          <a:avLst/>
        </a:prstGeom>
      </xdr:spPr>
    </xdr:pic>
    <xdr:clientData/>
  </xdr:twoCellAnchor>
  <xdr:twoCellAnchor editAs="oneCell">
    <xdr:from>
      <xdr:col>1</xdr:col>
      <xdr:colOff>104668</xdr:colOff>
      <xdr:row>0</xdr:row>
      <xdr:rowOff>91196</xdr:rowOff>
    </xdr:from>
    <xdr:to>
      <xdr:col>3</xdr:col>
      <xdr:colOff>726281</xdr:colOff>
      <xdr:row>3</xdr:row>
      <xdr:rowOff>149074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794E325-ADD1-47EA-B1B9-AB270D656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368" y="91196"/>
          <a:ext cx="3079063" cy="800828"/>
        </a:xfrm>
        <a:prstGeom prst="rect">
          <a:avLst/>
        </a:prstGeom>
      </xdr:spPr>
    </xdr:pic>
    <xdr:clientData/>
  </xdr:twoCellAnchor>
  <xdr:twoCellAnchor>
    <xdr:from>
      <xdr:col>2</xdr:col>
      <xdr:colOff>83344</xdr:colOff>
      <xdr:row>46</xdr:row>
      <xdr:rowOff>357188</xdr:rowOff>
    </xdr:from>
    <xdr:to>
      <xdr:col>3</xdr:col>
      <xdr:colOff>1131094</xdr:colOff>
      <xdr:row>46</xdr:row>
      <xdr:rowOff>357188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2BAF6364-F961-4730-A22C-F562A028E3BA}"/>
            </a:ext>
          </a:extLst>
        </xdr:cNvPr>
        <xdr:cNvCxnSpPr/>
      </xdr:nvCxnSpPr>
      <xdr:spPr>
        <a:xfrm flipH="1">
          <a:off x="1473994" y="13015913"/>
          <a:ext cx="2381250" cy="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560294</xdr:colOff>
      <xdr:row>35</xdr:row>
      <xdr:rowOff>257735</xdr:rowOff>
    </xdr:from>
    <xdr:to>
      <xdr:col>7</xdr:col>
      <xdr:colOff>410495</xdr:colOff>
      <xdr:row>37</xdr:row>
      <xdr:rowOff>235324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DD5FE1E-1AF7-4FBB-8297-4344267144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56194" y="9954185"/>
          <a:ext cx="1517076" cy="549090"/>
        </a:xfrm>
        <a:prstGeom prst="rect">
          <a:avLst/>
        </a:prstGeom>
      </xdr:spPr>
    </xdr:pic>
    <xdr:clientData/>
  </xdr:twoCellAnchor>
  <xdr:twoCellAnchor editAs="oneCell">
    <xdr:from>
      <xdr:col>10</xdr:col>
      <xdr:colOff>100853</xdr:colOff>
      <xdr:row>35</xdr:row>
      <xdr:rowOff>11205</xdr:rowOff>
    </xdr:from>
    <xdr:to>
      <xdr:col>11</xdr:col>
      <xdr:colOff>430252</xdr:colOff>
      <xdr:row>38</xdr:row>
      <xdr:rowOff>63819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C3CCF63-17B4-47F9-A4CE-BB6F0F289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25928" y="9707655"/>
          <a:ext cx="1434299" cy="9098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idor\disco%20duro\irina\CLAS-BOG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"/>
      <sheetName val="Recipiente"/>
      <sheetName val="Guia rec."/>
      <sheetName val="MEZCLAS"/>
      <sheetName val="Módulo1"/>
      <sheetName val="Módulo11"/>
      <sheetName val="2-6"/>
      <sheetName val="LIMITE"/>
      <sheetName val="Hoja1"/>
      <sheetName val="Clasificado 1 1-2 "/>
      <sheetName val="CLAS-BOG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BD9FA-7246-48F0-9EED-7F0C012ACDC6}">
  <sheetPr>
    <tabColor rgb="FF00B0F0"/>
  </sheetPr>
  <dimension ref="A1:AV69"/>
  <sheetViews>
    <sheetView showGridLines="0" tabSelected="1" showWhiteSpace="0" view="pageBreakPreview" topLeftCell="C1" zoomScale="106" zoomScaleNormal="80" zoomScaleSheetLayoutView="106" workbookViewId="0">
      <selection activeCell="F32" sqref="F32"/>
    </sheetView>
  </sheetViews>
  <sheetFormatPr baseColWidth="10" defaultRowHeight="15" x14ac:dyDescent="0.25"/>
  <cols>
    <col min="1" max="1" width="4" customWidth="1"/>
    <col min="2" max="2" width="16.85546875" customWidth="1"/>
    <col min="3" max="3" width="20" customWidth="1"/>
    <col min="4" max="6" width="19.28515625" customWidth="1"/>
    <col min="7" max="7" width="5.7109375" customWidth="1"/>
    <col min="8" max="8" width="13.7109375" customWidth="1"/>
    <col min="9" max="9" width="19.28515625" customWidth="1"/>
    <col min="10" max="10" width="14.42578125" customWidth="1"/>
    <col min="11" max="11" width="16.5703125" customWidth="1"/>
    <col min="12" max="12" width="8.28515625" customWidth="1"/>
    <col min="14" max="15" width="11.42578125" style="3"/>
    <col min="16" max="16" width="1.5703125" style="3" customWidth="1"/>
    <col min="17" max="21" width="11.42578125" style="3"/>
    <col min="254" max="254" width="6" customWidth="1"/>
    <col min="255" max="255" width="16.85546875" customWidth="1"/>
    <col min="258" max="258" width="20.5703125" customWidth="1"/>
    <col min="259" max="259" width="15.5703125" customWidth="1"/>
    <col min="260" max="262" width="13.140625" customWidth="1"/>
    <col min="263" max="263" width="9.42578125" customWidth="1"/>
    <col min="264" max="264" width="0.85546875" customWidth="1"/>
    <col min="510" max="510" width="6" customWidth="1"/>
    <col min="511" max="511" width="16.85546875" customWidth="1"/>
    <col min="514" max="514" width="20.5703125" customWidth="1"/>
    <col min="515" max="515" width="15.5703125" customWidth="1"/>
    <col min="516" max="518" width="13.140625" customWidth="1"/>
    <col min="519" max="519" width="9.42578125" customWidth="1"/>
    <col min="520" max="520" width="0.85546875" customWidth="1"/>
    <col min="766" max="766" width="6" customWidth="1"/>
    <col min="767" max="767" width="16.85546875" customWidth="1"/>
    <col min="770" max="770" width="20.5703125" customWidth="1"/>
    <col min="771" max="771" width="15.5703125" customWidth="1"/>
    <col min="772" max="774" width="13.140625" customWidth="1"/>
    <col min="775" max="775" width="9.42578125" customWidth="1"/>
    <col min="776" max="776" width="0.85546875" customWidth="1"/>
    <col min="1022" max="1022" width="6" customWidth="1"/>
    <col min="1023" max="1023" width="16.85546875" customWidth="1"/>
    <col min="1026" max="1026" width="20.5703125" customWidth="1"/>
    <col min="1027" max="1027" width="15.5703125" customWidth="1"/>
    <col min="1028" max="1030" width="13.140625" customWidth="1"/>
    <col min="1031" max="1031" width="9.42578125" customWidth="1"/>
    <col min="1032" max="1032" width="0.85546875" customWidth="1"/>
    <col min="1278" max="1278" width="6" customWidth="1"/>
    <col min="1279" max="1279" width="16.85546875" customWidth="1"/>
    <col min="1282" max="1282" width="20.5703125" customWidth="1"/>
    <col min="1283" max="1283" width="15.5703125" customWidth="1"/>
    <col min="1284" max="1286" width="13.140625" customWidth="1"/>
    <col min="1287" max="1287" width="9.42578125" customWidth="1"/>
    <col min="1288" max="1288" width="0.85546875" customWidth="1"/>
    <col min="1534" max="1534" width="6" customWidth="1"/>
    <col min="1535" max="1535" width="16.85546875" customWidth="1"/>
    <col min="1538" max="1538" width="20.5703125" customWidth="1"/>
    <col min="1539" max="1539" width="15.5703125" customWidth="1"/>
    <col min="1540" max="1542" width="13.140625" customWidth="1"/>
    <col min="1543" max="1543" width="9.42578125" customWidth="1"/>
    <col min="1544" max="1544" width="0.85546875" customWidth="1"/>
    <col min="1790" max="1790" width="6" customWidth="1"/>
    <col min="1791" max="1791" width="16.85546875" customWidth="1"/>
    <col min="1794" max="1794" width="20.5703125" customWidth="1"/>
    <col min="1795" max="1795" width="15.5703125" customWidth="1"/>
    <col min="1796" max="1798" width="13.140625" customWidth="1"/>
    <col min="1799" max="1799" width="9.42578125" customWidth="1"/>
    <col min="1800" max="1800" width="0.85546875" customWidth="1"/>
    <col min="2046" max="2046" width="6" customWidth="1"/>
    <col min="2047" max="2047" width="16.85546875" customWidth="1"/>
    <col min="2050" max="2050" width="20.5703125" customWidth="1"/>
    <col min="2051" max="2051" width="15.5703125" customWidth="1"/>
    <col min="2052" max="2054" width="13.140625" customWidth="1"/>
    <col min="2055" max="2055" width="9.42578125" customWidth="1"/>
    <col min="2056" max="2056" width="0.85546875" customWidth="1"/>
    <col min="2302" max="2302" width="6" customWidth="1"/>
    <col min="2303" max="2303" width="16.85546875" customWidth="1"/>
    <col min="2306" max="2306" width="20.5703125" customWidth="1"/>
    <col min="2307" max="2307" width="15.5703125" customWidth="1"/>
    <col min="2308" max="2310" width="13.140625" customWidth="1"/>
    <col min="2311" max="2311" width="9.42578125" customWidth="1"/>
    <col min="2312" max="2312" width="0.85546875" customWidth="1"/>
    <col min="2558" max="2558" width="6" customWidth="1"/>
    <col min="2559" max="2559" width="16.85546875" customWidth="1"/>
    <col min="2562" max="2562" width="20.5703125" customWidth="1"/>
    <col min="2563" max="2563" width="15.5703125" customWidth="1"/>
    <col min="2564" max="2566" width="13.140625" customWidth="1"/>
    <col min="2567" max="2567" width="9.42578125" customWidth="1"/>
    <col min="2568" max="2568" width="0.85546875" customWidth="1"/>
    <col min="2814" max="2814" width="6" customWidth="1"/>
    <col min="2815" max="2815" width="16.85546875" customWidth="1"/>
    <col min="2818" max="2818" width="20.5703125" customWidth="1"/>
    <col min="2819" max="2819" width="15.5703125" customWidth="1"/>
    <col min="2820" max="2822" width="13.140625" customWidth="1"/>
    <col min="2823" max="2823" width="9.42578125" customWidth="1"/>
    <col min="2824" max="2824" width="0.85546875" customWidth="1"/>
    <col min="3070" max="3070" width="6" customWidth="1"/>
    <col min="3071" max="3071" width="16.85546875" customWidth="1"/>
    <col min="3074" max="3074" width="20.5703125" customWidth="1"/>
    <col min="3075" max="3075" width="15.5703125" customWidth="1"/>
    <col min="3076" max="3078" width="13.140625" customWidth="1"/>
    <col min="3079" max="3079" width="9.42578125" customWidth="1"/>
    <col min="3080" max="3080" width="0.85546875" customWidth="1"/>
    <col min="3326" max="3326" width="6" customWidth="1"/>
    <col min="3327" max="3327" width="16.85546875" customWidth="1"/>
    <col min="3330" max="3330" width="20.5703125" customWidth="1"/>
    <col min="3331" max="3331" width="15.5703125" customWidth="1"/>
    <col min="3332" max="3334" width="13.140625" customWidth="1"/>
    <col min="3335" max="3335" width="9.42578125" customWidth="1"/>
    <col min="3336" max="3336" width="0.85546875" customWidth="1"/>
    <col min="3582" max="3582" width="6" customWidth="1"/>
    <col min="3583" max="3583" width="16.85546875" customWidth="1"/>
    <col min="3586" max="3586" width="20.5703125" customWidth="1"/>
    <col min="3587" max="3587" width="15.5703125" customWidth="1"/>
    <col min="3588" max="3590" width="13.140625" customWidth="1"/>
    <col min="3591" max="3591" width="9.42578125" customWidth="1"/>
    <col min="3592" max="3592" width="0.85546875" customWidth="1"/>
    <col min="3838" max="3838" width="6" customWidth="1"/>
    <col min="3839" max="3839" width="16.85546875" customWidth="1"/>
    <col min="3842" max="3842" width="20.5703125" customWidth="1"/>
    <col min="3843" max="3843" width="15.5703125" customWidth="1"/>
    <col min="3844" max="3846" width="13.140625" customWidth="1"/>
    <col min="3847" max="3847" width="9.42578125" customWidth="1"/>
    <col min="3848" max="3848" width="0.85546875" customWidth="1"/>
    <col min="4094" max="4094" width="6" customWidth="1"/>
    <col min="4095" max="4095" width="16.85546875" customWidth="1"/>
    <col min="4098" max="4098" width="20.5703125" customWidth="1"/>
    <col min="4099" max="4099" width="15.5703125" customWidth="1"/>
    <col min="4100" max="4102" width="13.140625" customWidth="1"/>
    <col min="4103" max="4103" width="9.42578125" customWidth="1"/>
    <col min="4104" max="4104" width="0.85546875" customWidth="1"/>
    <col min="4350" max="4350" width="6" customWidth="1"/>
    <col min="4351" max="4351" width="16.85546875" customWidth="1"/>
    <col min="4354" max="4354" width="20.5703125" customWidth="1"/>
    <col min="4355" max="4355" width="15.5703125" customWidth="1"/>
    <col min="4356" max="4358" width="13.140625" customWidth="1"/>
    <col min="4359" max="4359" width="9.42578125" customWidth="1"/>
    <col min="4360" max="4360" width="0.85546875" customWidth="1"/>
    <col min="4606" max="4606" width="6" customWidth="1"/>
    <col min="4607" max="4607" width="16.85546875" customWidth="1"/>
    <col min="4610" max="4610" width="20.5703125" customWidth="1"/>
    <col min="4611" max="4611" width="15.5703125" customWidth="1"/>
    <col min="4612" max="4614" width="13.140625" customWidth="1"/>
    <col min="4615" max="4615" width="9.42578125" customWidth="1"/>
    <col min="4616" max="4616" width="0.85546875" customWidth="1"/>
    <col min="4862" max="4862" width="6" customWidth="1"/>
    <col min="4863" max="4863" width="16.85546875" customWidth="1"/>
    <col min="4866" max="4866" width="20.5703125" customWidth="1"/>
    <col min="4867" max="4867" width="15.5703125" customWidth="1"/>
    <col min="4868" max="4870" width="13.140625" customWidth="1"/>
    <col min="4871" max="4871" width="9.42578125" customWidth="1"/>
    <col min="4872" max="4872" width="0.85546875" customWidth="1"/>
    <col min="5118" max="5118" width="6" customWidth="1"/>
    <col min="5119" max="5119" width="16.85546875" customWidth="1"/>
    <col min="5122" max="5122" width="20.5703125" customWidth="1"/>
    <col min="5123" max="5123" width="15.5703125" customWidth="1"/>
    <col min="5124" max="5126" width="13.140625" customWidth="1"/>
    <col min="5127" max="5127" width="9.42578125" customWidth="1"/>
    <col min="5128" max="5128" width="0.85546875" customWidth="1"/>
    <col min="5374" max="5374" width="6" customWidth="1"/>
    <col min="5375" max="5375" width="16.85546875" customWidth="1"/>
    <col min="5378" max="5378" width="20.5703125" customWidth="1"/>
    <col min="5379" max="5379" width="15.5703125" customWidth="1"/>
    <col min="5380" max="5382" width="13.140625" customWidth="1"/>
    <col min="5383" max="5383" width="9.42578125" customWidth="1"/>
    <col min="5384" max="5384" width="0.85546875" customWidth="1"/>
    <col min="5630" max="5630" width="6" customWidth="1"/>
    <col min="5631" max="5631" width="16.85546875" customWidth="1"/>
    <col min="5634" max="5634" width="20.5703125" customWidth="1"/>
    <col min="5635" max="5635" width="15.5703125" customWidth="1"/>
    <col min="5636" max="5638" width="13.140625" customWidth="1"/>
    <col min="5639" max="5639" width="9.42578125" customWidth="1"/>
    <col min="5640" max="5640" width="0.85546875" customWidth="1"/>
    <col min="5886" max="5886" width="6" customWidth="1"/>
    <col min="5887" max="5887" width="16.85546875" customWidth="1"/>
    <col min="5890" max="5890" width="20.5703125" customWidth="1"/>
    <col min="5891" max="5891" width="15.5703125" customWidth="1"/>
    <col min="5892" max="5894" width="13.140625" customWidth="1"/>
    <col min="5895" max="5895" width="9.42578125" customWidth="1"/>
    <col min="5896" max="5896" width="0.85546875" customWidth="1"/>
    <col min="6142" max="6142" width="6" customWidth="1"/>
    <col min="6143" max="6143" width="16.85546875" customWidth="1"/>
    <col min="6146" max="6146" width="20.5703125" customWidth="1"/>
    <col min="6147" max="6147" width="15.5703125" customWidth="1"/>
    <col min="6148" max="6150" width="13.140625" customWidth="1"/>
    <col min="6151" max="6151" width="9.42578125" customWidth="1"/>
    <col min="6152" max="6152" width="0.85546875" customWidth="1"/>
    <col min="6398" max="6398" width="6" customWidth="1"/>
    <col min="6399" max="6399" width="16.85546875" customWidth="1"/>
    <col min="6402" max="6402" width="20.5703125" customWidth="1"/>
    <col min="6403" max="6403" width="15.5703125" customWidth="1"/>
    <col min="6404" max="6406" width="13.140625" customWidth="1"/>
    <col min="6407" max="6407" width="9.42578125" customWidth="1"/>
    <col min="6408" max="6408" width="0.85546875" customWidth="1"/>
    <col min="6654" max="6654" width="6" customWidth="1"/>
    <col min="6655" max="6655" width="16.85546875" customWidth="1"/>
    <col min="6658" max="6658" width="20.5703125" customWidth="1"/>
    <col min="6659" max="6659" width="15.5703125" customWidth="1"/>
    <col min="6660" max="6662" width="13.140625" customWidth="1"/>
    <col min="6663" max="6663" width="9.42578125" customWidth="1"/>
    <col min="6664" max="6664" width="0.85546875" customWidth="1"/>
    <col min="6910" max="6910" width="6" customWidth="1"/>
    <col min="6911" max="6911" width="16.85546875" customWidth="1"/>
    <col min="6914" max="6914" width="20.5703125" customWidth="1"/>
    <col min="6915" max="6915" width="15.5703125" customWidth="1"/>
    <col min="6916" max="6918" width="13.140625" customWidth="1"/>
    <col min="6919" max="6919" width="9.42578125" customWidth="1"/>
    <col min="6920" max="6920" width="0.85546875" customWidth="1"/>
    <col min="7166" max="7166" width="6" customWidth="1"/>
    <col min="7167" max="7167" width="16.85546875" customWidth="1"/>
    <col min="7170" max="7170" width="20.5703125" customWidth="1"/>
    <col min="7171" max="7171" width="15.5703125" customWidth="1"/>
    <col min="7172" max="7174" width="13.140625" customWidth="1"/>
    <col min="7175" max="7175" width="9.42578125" customWidth="1"/>
    <col min="7176" max="7176" width="0.85546875" customWidth="1"/>
    <col min="7422" max="7422" width="6" customWidth="1"/>
    <col min="7423" max="7423" width="16.85546875" customWidth="1"/>
    <col min="7426" max="7426" width="20.5703125" customWidth="1"/>
    <col min="7427" max="7427" width="15.5703125" customWidth="1"/>
    <col min="7428" max="7430" width="13.140625" customWidth="1"/>
    <col min="7431" max="7431" width="9.42578125" customWidth="1"/>
    <col min="7432" max="7432" width="0.85546875" customWidth="1"/>
    <col min="7678" max="7678" width="6" customWidth="1"/>
    <col min="7679" max="7679" width="16.85546875" customWidth="1"/>
    <col min="7682" max="7682" width="20.5703125" customWidth="1"/>
    <col min="7683" max="7683" width="15.5703125" customWidth="1"/>
    <col min="7684" max="7686" width="13.140625" customWidth="1"/>
    <col min="7687" max="7687" width="9.42578125" customWidth="1"/>
    <col min="7688" max="7688" width="0.85546875" customWidth="1"/>
    <col min="7934" max="7934" width="6" customWidth="1"/>
    <col min="7935" max="7935" width="16.85546875" customWidth="1"/>
    <col min="7938" max="7938" width="20.5703125" customWidth="1"/>
    <col min="7939" max="7939" width="15.5703125" customWidth="1"/>
    <col min="7940" max="7942" width="13.140625" customWidth="1"/>
    <col min="7943" max="7943" width="9.42578125" customWidth="1"/>
    <col min="7944" max="7944" width="0.85546875" customWidth="1"/>
    <col min="8190" max="8190" width="6" customWidth="1"/>
    <col min="8191" max="8191" width="16.85546875" customWidth="1"/>
    <col min="8194" max="8194" width="20.5703125" customWidth="1"/>
    <col min="8195" max="8195" width="15.5703125" customWidth="1"/>
    <col min="8196" max="8198" width="13.140625" customWidth="1"/>
    <col min="8199" max="8199" width="9.42578125" customWidth="1"/>
    <col min="8200" max="8200" width="0.85546875" customWidth="1"/>
    <col min="8446" max="8446" width="6" customWidth="1"/>
    <col min="8447" max="8447" width="16.85546875" customWidth="1"/>
    <col min="8450" max="8450" width="20.5703125" customWidth="1"/>
    <col min="8451" max="8451" width="15.5703125" customWidth="1"/>
    <col min="8452" max="8454" width="13.140625" customWidth="1"/>
    <col min="8455" max="8455" width="9.42578125" customWidth="1"/>
    <col min="8456" max="8456" width="0.85546875" customWidth="1"/>
    <col min="8702" max="8702" width="6" customWidth="1"/>
    <col min="8703" max="8703" width="16.85546875" customWidth="1"/>
    <col min="8706" max="8706" width="20.5703125" customWidth="1"/>
    <col min="8707" max="8707" width="15.5703125" customWidth="1"/>
    <col min="8708" max="8710" width="13.140625" customWidth="1"/>
    <col min="8711" max="8711" width="9.42578125" customWidth="1"/>
    <col min="8712" max="8712" width="0.85546875" customWidth="1"/>
    <col min="8958" max="8958" width="6" customWidth="1"/>
    <col min="8959" max="8959" width="16.85546875" customWidth="1"/>
    <col min="8962" max="8962" width="20.5703125" customWidth="1"/>
    <col min="8963" max="8963" width="15.5703125" customWidth="1"/>
    <col min="8964" max="8966" width="13.140625" customWidth="1"/>
    <col min="8967" max="8967" width="9.42578125" customWidth="1"/>
    <col min="8968" max="8968" width="0.85546875" customWidth="1"/>
    <col min="9214" max="9214" width="6" customWidth="1"/>
    <col min="9215" max="9215" width="16.85546875" customWidth="1"/>
    <col min="9218" max="9218" width="20.5703125" customWidth="1"/>
    <col min="9219" max="9219" width="15.5703125" customWidth="1"/>
    <col min="9220" max="9222" width="13.140625" customWidth="1"/>
    <col min="9223" max="9223" width="9.42578125" customWidth="1"/>
    <col min="9224" max="9224" width="0.85546875" customWidth="1"/>
    <col min="9470" max="9470" width="6" customWidth="1"/>
    <col min="9471" max="9471" width="16.85546875" customWidth="1"/>
    <col min="9474" max="9474" width="20.5703125" customWidth="1"/>
    <col min="9475" max="9475" width="15.5703125" customWidth="1"/>
    <col min="9476" max="9478" width="13.140625" customWidth="1"/>
    <col min="9479" max="9479" width="9.42578125" customWidth="1"/>
    <col min="9480" max="9480" width="0.85546875" customWidth="1"/>
    <col min="9726" max="9726" width="6" customWidth="1"/>
    <col min="9727" max="9727" width="16.85546875" customWidth="1"/>
    <col min="9730" max="9730" width="20.5703125" customWidth="1"/>
    <col min="9731" max="9731" width="15.5703125" customWidth="1"/>
    <col min="9732" max="9734" width="13.140625" customWidth="1"/>
    <col min="9735" max="9735" width="9.42578125" customWidth="1"/>
    <col min="9736" max="9736" width="0.85546875" customWidth="1"/>
    <col min="9982" max="9982" width="6" customWidth="1"/>
    <col min="9983" max="9983" width="16.85546875" customWidth="1"/>
    <col min="9986" max="9986" width="20.5703125" customWidth="1"/>
    <col min="9987" max="9987" width="15.5703125" customWidth="1"/>
    <col min="9988" max="9990" width="13.140625" customWidth="1"/>
    <col min="9991" max="9991" width="9.42578125" customWidth="1"/>
    <col min="9992" max="9992" width="0.85546875" customWidth="1"/>
    <col min="10238" max="10238" width="6" customWidth="1"/>
    <col min="10239" max="10239" width="16.85546875" customWidth="1"/>
    <col min="10242" max="10242" width="20.5703125" customWidth="1"/>
    <col min="10243" max="10243" width="15.5703125" customWidth="1"/>
    <col min="10244" max="10246" width="13.140625" customWidth="1"/>
    <col min="10247" max="10247" width="9.42578125" customWidth="1"/>
    <col min="10248" max="10248" width="0.85546875" customWidth="1"/>
    <col min="10494" max="10494" width="6" customWidth="1"/>
    <col min="10495" max="10495" width="16.85546875" customWidth="1"/>
    <col min="10498" max="10498" width="20.5703125" customWidth="1"/>
    <col min="10499" max="10499" width="15.5703125" customWidth="1"/>
    <col min="10500" max="10502" width="13.140625" customWidth="1"/>
    <col min="10503" max="10503" width="9.42578125" customWidth="1"/>
    <col min="10504" max="10504" width="0.85546875" customWidth="1"/>
    <col min="10750" max="10750" width="6" customWidth="1"/>
    <col min="10751" max="10751" width="16.85546875" customWidth="1"/>
    <col min="10754" max="10754" width="20.5703125" customWidth="1"/>
    <col min="10755" max="10755" width="15.5703125" customWidth="1"/>
    <col min="10756" max="10758" width="13.140625" customWidth="1"/>
    <col min="10759" max="10759" width="9.42578125" customWidth="1"/>
    <col min="10760" max="10760" width="0.85546875" customWidth="1"/>
    <col min="11006" max="11006" width="6" customWidth="1"/>
    <col min="11007" max="11007" width="16.85546875" customWidth="1"/>
    <col min="11010" max="11010" width="20.5703125" customWidth="1"/>
    <col min="11011" max="11011" width="15.5703125" customWidth="1"/>
    <col min="11012" max="11014" width="13.140625" customWidth="1"/>
    <col min="11015" max="11015" width="9.42578125" customWidth="1"/>
    <col min="11016" max="11016" width="0.85546875" customWidth="1"/>
    <col min="11262" max="11262" width="6" customWidth="1"/>
    <col min="11263" max="11263" width="16.85546875" customWidth="1"/>
    <col min="11266" max="11266" width="20.5703125" customWidth="1"/>
    <col min="11267" max="11267" width="15.5703125" customWidth="1"/>
    <col min="11268" max="11270" width="13.140625" customWidth="1"/>
    <col min="11271" max="11271" width="9.42578125" customWidth="1"/>
    <col min="11272" max="11272" width="0.85546875" customWidth="1"/>
    <col min="11518" max="11518" width="6" customWidth="1"/>
    <col min="11519" max="11519" width="16.85546875" customWidth="1"/>
    <col min="11522" max="11522" width="20.5703125" customWidth="1"/>
    <col min="11523" max="11523" width="15.5703125" customWidth="1"/>
    <col min="11524" max="11526" width="13.140625" customWidth="1"/>
    <col min="11527" max="11527" width="9.42578125" customWidth="1"/>
    <col min="11528" max="11528" width="0.85546875" customWidth="1"/>
    <col min="11774" max="11774" width="6" customWidth="1"/>
    <col min="11775" max="11775" width="16.85546875" customWidth="1"/>
    <col min="11778" max="11778" width="20.5703125" customWidth="1"/>
    <col min="11779" max="11779" width="15.5703125" customWidth="1"/>
    <col min="11780" max="11782" width="13.140625" customWidth="1"/>
    <col min="11783" max="11783" width="9.42578125" customWidth="1"/>
    <col min="11784" max="11784" width="0.85546875" customWidth="1"/>
    <col min="12030" max="12030" width="6" customWidth="1"/>
    <col min="12031" max="12031" width="16.85546875" customWidth="1"/>
    <col min="12034" max="12034" width="20.5703125" customWidth="1"/>
    <col min="12035" max="12035" width="15.5703125" customWidth="1"/>
    <col min="12036" max="12038" width="13.140625" customWidth="1"/>
    <col min="12039" max="12039" width="9.42578125" customWidth="1"/>
    <col min="12040" max="12040" width="0.85546875" customWidth="1"/>
    <col min="12286" max="12286" width="6" customWidth="1"/>
    <col min="12287" max="12287" width="16.85546875" customWidth="1"/>
    <col min="12290" max="12290" width="20.5703125" customWidth="1"/>
    <col min="12291" max="12291" width="15.5703125" customWidth="1"/>
    <col min="12292" max="12294" width="13.140625" customWidth="1"/>
    <col min="12295" max="12295" width="9.42578125" customWidth="1"/>
    <col min="12296" max="12296" width="0.85546875" customWidth="1"/>
    <col min="12542" max="12542" width="6" customWidth="1"/>
    <col min="12543" max="12543" width="16.85546875" customWidth="1"/>
    <col min="12546" max="12546" width="20.5703125" customWidth="1"/>
    <col min="12547" max="12547" width="15.5703125" customWidth="1"/>
    <col min="12548" max="12550" width="13.140625" customWidth="1"/>
    <col min="12551" max="12551" width="9.42578125" customWidth="1"/>
    <col min="12552" max="12552" width="0.85546875" customWidth="1"/>
    <col min="12798" max="12798" width="6" customWidth="1"/>
    <col min="12799" max="12799" width="16.85546875" customWidth="1"/>
    <col min="12802" max="12802" width="20.5703125" customWidth="1"/>
    <col min="12803" max="12803" width="15.5703125" customWidth="1"/>
    <col min="12804" max="12806" width="13.140625" customWidth="1"/>
    <col min="12807" max="12807" width="9.42578125" customWidth="1"/>
    <col min="12808" max="12808" width="0.85546875" customWidth="1"/>
    <col min="13054" max="13054" width="6" customWidth="1"/>
    <col min="13055" max="13055" width="16.85546875" customWidth="1"/>
    <col min="13058" max="13058" width="20.5703125" customWidth="1"/>
    <col min="13059" max="13059" width="15.5703125" customWidth="1"/>
    <col min="13060" max="13062" width="13.140625" customWidth="1"/>
    <col min="13063" max="13063" width="9.42578125" customWidth="1"/>
    <col min="13064" max="13064" width="0.85546875" customWidth="1"/>
    <col min="13310" max="13310" width="6" customWidth="1"/>
    <col min="13311" max="13311" width="16.85546875" customWidth="1"/>
    <col min="13314" max="13314" width="20.5703125" customWidth="1"/>
    <col min="13315" max="13315" width="15.5703125" customWidth="1"/>
    <col min="13316" max="13318" width="13.140625" customWidth="1"/>
    <col min="13319" max="13319" width="9.42578125" customWidth="1"/>
    <col min="13320" max="13320" width="0.85546875" customWidth="1"/>
    <col min="13566" max="13566" width="6" customWidth="1"/>
    <col min="13567" max="13567" width="16.85546875" customWidth="1"/>
    <col min="13570" max="13570" width="20.5703125" customWidth="1"/>
    <col min="13571" max="13571" width="15.5703125" customWidth="1"/>
    <col min="13572" max="13574" width="13.140625" customWidth="1"/>
    <col min="13575" max="13575" width="9.42578125" customWidth="1"/>
    <col min="13576" max="13576" width="0.85546875" customWidth="1"/>
    <col min="13822" max="13822" width="6" customWidth="1"/>
    <col min="13823" max="13823" width="16.85546875" customWidth="1"/>
    <col min="13826" max="13826" width="20.5703125" customWidth="1"/>
    <col min="13827" max="13827" width="15.5703125" customWidth="1"/>
    <col min="13828" max="13830" width="13.140625" customWidth="1"/>
    <col min="13831" max="13831" width="9.42578125" customWidth="1"/>
    <col min="13832" max="13832" width="0.85546875" customWidth="1"/>
    <col min="14078" max="14078" width="6" customWidth="1"/>
    <col min="14079" max="14079" width="16.85546875" customWidth="1"/>
    <col min="14082" max="14082" width="20.5703125" customWidth="1"/>
    <col min="14083" max="14083" width="15.5703125" customWidth="1"/>
    <col min="14084" max="14086" width="13.140625" customWidth="1"/>
    <col min="14087" max="14087" width="9.42578125" customWidth="1"/>
    <col min="14088" max="14088" width="0.85546875" customWidth="1"/>
    <col min="14334" max="14334" width="6" customWidth="1"/>
    <col min="14335" max="14335" width="16.85546875" customWidth="1"/>
    <col min="14338" max="14338" width="20.5703125" customWidth="1"/>
    <col min="14339" max="14339" width="15.5703125" customWidth="1"/>
    <col min="14340" max="14342" width="13.140625" customWidth="1"/>
    <col min="14343" max="14343" width="9.42578125" customWidth="1"/>
    <col min="14344" max="14344" width="0.85546875" customWidth="1"/>
    <col min="14590" max="14590" width="6" customWidth="1"/>
    <col min="14591" max="14591" width="16.85546875" customWidth="1"/>
    <col min="14594" max="14594" width="20.5703125" customWidth="1"/>
    <col min="14595" max="14595" width="15.5703125" customWidth="1"/>
    <col min="14596" max="14598" width="13.140625" customWidth="1"/>
    <col min="14599" max="14599" width="9.42578125" customWidth="1"/>
    <col min="14600" max="14600" width="0.85546875" customWidth="1"/>
    <col min="14846" max="14846" width="6" customWidth="1"/>
    <col min="14847" max="14847" width="16.85546875" customWidth="1"/>
    <col min="14850" max="14850" width="20.5703125" customWidth="1"/>
    <col min="14851" max="14851" width="15.5703125" customWidth="1"/>
    <col min="14852" max="14854" width="13.140625" customWidth="1"/>
    <col min="14855" max="14855" width="9.42578125" customWidth="1"/>
    <col min="14856" max="14856" width="0.85546875" customWidth="1"/>
    <col min="15102" max="15102" width="6" customWidth="1"/>
    <col min="15103" max="15103" width="16.85546875" customWidth="1"/>
    <col min="15106" max="15106" width="20.5703125" customWidth="1"/>
    <col min="15107" max="15107" width="15.5703125" customWidth="1"/>
    <col min="15108" max="15110" width="13.140625" customWidth="1"/>
    <col min="15111" max="15111" width="9.42578125" customWidth="1"/>
    <col min="15112" max="15112" width="0.85546875" customWidth="1"/>
    <col min="15358" max="15358" width="6" customWidth="1"/>
    <col min="15359" max="15359" width="16.85546875" customWidth="1"/>
    <col min="15362" max="15362" width="20.5703125" customWidth="1"/>
    <col min="15363" max="15363" width="15.5703125" customWidth="1"/>
    <col min="15364" max="15366" width="13.140625" customWidth="1"/>
    <col min="15367" max="15367" width="9.42578125" customWidth="1"/>
    <col min="15368" max="15368" width="0.85546875" customWidth="1"/>
    <col min="15614" max="15614" width="6" customWidth="1"/>
    <col min="15615" max="15615" width="16.85546875" customWidth="1"/>
    <col min="15618" max="15618" width="20.5703125" customWidth="1"/>
    <col min="15619" max="15619" width="15.5703125" customWidth="1"/>
    <col min="15620" max="15622" width="13.140625" customWidth="1"/>
    <col min="15623" max="15623" width="9.42578125" customWidth="1"/>
    <col min="15624" max="15624" width="0.85546875" customWidth="1"/>
    <col min="15870" max="15870" width="6" customWidth="1"/>
    <col min="15871" max="15871" width="16.85546875" customWidth="1"/>
    <col min="15874" max="15874" width="20.5703125" customWidth="1"/>
    <col min="15875" max="15875" width="15.5703125" customWidth="1"/>
    <col min="15876" max="15878" width="13.140625" customWidth="1"/>
    <col min="15879" max="15879" width="9.42578125" customWidth="1"/>
    <col min="15880" max="15880" width="0.85546875" customWidth="1"/>
    <col min="16126" max="16126" width="6" customWidth="1"/>
    <col min="16127" max="16127" width="16.85546875" customWidth="1"/>
    <col min="16130" max="16130" width="20.5703125" customWidth="1"/>
    <col min="16131" max="16131" width="15.5703125" customWidth="1"/>
    <col min="16132" max="16134" width="13.140625" customWidth="1"/>
    <col min="16135" max="16135" width="9.42578125" customWidth="1"/>
    <col min="16136" max="16136" width="0.85546875" customWidth="1"/>
  </cols>
  <sheetData>
    <row r="1" spans="1:37" s="12" customFormat="1" ht="19.5" customHeight="1" x14ac:dyDescent="0.25">
      <c r="A1" s="193"/>
      <c r="B1" s="194"/>
      <c r="C1" s="194"/>
      <c r="D1" s="194"/>
      <c r="E1" s="198" t="s">
        <v>35</v>
      </c>
      <c r="F1" s="199"/>
      <c r="G1" s="199"/>
      <c r="H1" s="199"/>
      <c r="I1" s="199"/>
      <c r="J1" s="199"/>
      <c r="K1" s="199"/>
      <c r="L1" s="200"/>
      <c r="M1" s="201" t="s">
        <v>62</v>
      </c>
      <c r="N1" s="202"/>
      <c r="O1" s="203"/>
    </row>
    <row r="2" spans="1:37" s="12" customFormat="1" ht="19.5" customHeight="1" x14ac:dyDescent="0.25">
      <c r="A2" s="195"/>
      <c r="B2" s="119"/>
      <c r="C2" s="119"/>
      <c r="D2" s="119"/>
      <c r="E2" s="204" t="s">
        <v>55</v>
      </c>
      <c r="F2" s="205"/>
      <c r="G2" s="205"/>
      <c r="H2" s="205"/>
      <c r="I2" s="205"/>
      <c r="J2" s="205"/>
      <c r="K2" s="205"/>
      <c r="L2" s="206"/>
      <c r="M2" s="210" t="s">
        <v>73</v>
      </c>
      <c r="N2" s="211"/>
      <c r="O2" s="212"/>
    </row>
    <row r="3" spans="1:37" s="12" customFormat="1" ht="19.5" customHeight="1" x14ac:dyDescent="0.25">
      <c r="A3" s="195"/>
      <c r="B3" s="119"/>
      <c r="C3" s="119"/>
      <c r="D3" s="119"/>
      <c r="E3" s="204"/>
      <c r="F3" s="205"/>
      <c r="G3" s="205"/>
      <c r="H3" s="205"/>
      <c r="I3" s="205"/>
      <c r="J3" s="205"/>
      <c r="K3" s="205"/>
      <c r="L3" s="206"/>
      <c r="M3" s="210" t="s">
        <v>74</v>
      </c>
      <c r="N3" s="211"/>
      <c r="O3" s="212"/>
      <c r="AH3" s="187" t="s">
        <v>36</v>
      </c>
      <c r="AI3" s="187"/>
      <c r="AJ3" s="187"/>
      <c r="AK3" s="187"/>
    </row>
    <row r="4" spans="1:37" s="12" customFormat="1" ht="19.5" customHeight="1" thickBot="1" x14ac:dyDescent="0.3">
      <c r="A4" s="196"/>
      <c r="B4" s="197"/>
      <c r="C4" s="197"/>
      <c r="D4" s="197"/>
      <c r="E4" s="207"/>
      <c r="F4" s="208"/>
      <c r="G4" s="208"/>
      <c r="H4" s="208"/>
      <c r="I4" s="208"/>
      <c r="J4" s="208"/>
      <c r="K4" s="208"/>
      <c r="L4" s="209"/>
      <c r="M4" s="188" t="s">
        <v>63</v>
      </c>
      <c r="N4" s="189"/>
      <c r="O4" s="190"/>
      <c r="AH4" s="187"/>
      <c r="AI4" s="187"/>
      <c r="AJ4" s="187"/>
      <c r="AK4" s="187"/>
    </row>
    <row r="5" spans="1:37" s="12" customFormat="1" ht="3.95" customHeight="1" thickBot="1" x14ac:dyDescent="0.3">
      <c r="A5" s="28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45"/>
      <c r="O5" s="29"/>
      <c r="AH5" s="187"/>
      <c r="AI5" s="187"/>
      <c r="AJ5" s="187"/>
      <c r="AK5" s="187"/>
    </row>
    <row r="6" spans="1:37" s="12" customFormat="1" ht="22.5" customHeight="1" x14ac:dyDescent="0.25">
      <c r="A6" s="46"/>
      <c r="B6" s="166" t="s">
        <v>0</v>
      </c>
      <c r="C6" s="166"/>
      <c r="D6" s="191"/>
      <c r="E6" s="191"/>
      <c r="F6" s="191"/>
      <c r="G6" s="191"/>
      <c r="H6" s="191"/>
      <c r="I6" s="191"/>
      <c r="J6" s="166" t="s">
        <v>37</v>
      </c>
      <c r="K6" s="166"/>
      <c r="L6" s="192"/>
      <c r="M6" s="192"/>
      <c r="N6" s="192"/>
      <c r="O6" s="47"/>
      <c r="AH6" s="14" t="s">
        <v>38</v>
      </c>
      <c r="AI6" s="15"/>
      <c r="AJ6" s="15"/>
      <c r="AK6" s="15"/>
    </row>
    <row r="7" spans="1:37" s="12" customFormat="1" ht="33" customHeight="1" x14ac:dyDescent="0.25">
      <c r="A7" s="28"/>
      <c r="B7" s="170" t="s">
        <v>1</v>
      </c>
      <c r="C7" s="170"/>
      <c r="D7" s="182"/>
      <c r="E7" s="182"/>
      <c r="F7" s="182"/>
      <c r="G7" s="182"/>
      <c r="H7" s="182"/>
      <c r="I7" s="182"/>
      <c r="J7" s="170" t="s">
        <v>39</v>
      </c>
      <c r="K7" s="170"/>
      <c r="L7" s="183"/>
      <c r="M7" s="183"/>
      <c r="N7" s="183"/>
      <c r="O7" s="48"/>
      <c r="R7" s="128" t="s">
        <v>65</v>
      </c>
      <c r="S7" s="129"/>
      <c r="T7" s="129"/>
      <c r="U7" s="71" t="s">
        <v>19</v>
      </c>
      <c r="V7" s="184" t="e">
        <f>((L20)/((L21-L22-((L21-L20)/0.8))))</f>
        <v>#DIV/0!</v>
      </c>
      <c r="W7" s="185"/>
      <c r="AH7" s="14" t="s">
        <v>40</v>
      </c>
      <c r="AI7" s="15"/>
      <c r="AJ7" s="15"/>
      <c r="AK7" s="15"/>
    </row>
    <row r="8" spans="1:37" s="12" customFormat="1" ht="22.5" customHeight="1" x14ac:dyDescent="0.2">
      <c r="A8" s="28"/>
      <c r="B8" s="170" t="s">
        <v>41</v>
      </c>
      <c r="C8" s="170"/>
      <c r="D8" s="186"/>
      <c r="E8" s="171"/>
      <c r="F8" s="171"/>
      <c r="G8" s="171"/>
      <c r="H8" s="171"/>
      <c r="I8" s="171"/>
      <c r="J8" s="170" t="s">
        <v>42</v>
      </c>
      <c r="K8" s="170"/>
      <c r="L8" s="183"/>
      <c r="M8" s="183"/>
      <c r="N8" s="183"/>
      <c r="O8" s="48"/>
      <c r="R8" s="128" t="s">
        <v>66</v>
      </c>
      <c r="S8" s="129"/>
      <c r="T8" s="129"/>
      <c r="U8" s="73" t="s">
        <v>19</v>
      </c>
      <c r="V8" s="180" t="e">
        <f>V7*(1+(F32%))</f>
        <v>#DIV/0!</v>
      </c>
      <c r="W8" s="181"/>
      <c r="AH8" s="14" t="s">
        <v>43</v>
      </c>
      <c r="AI8" s="15"/>
      <c r="AJ8" s="15"/>
      <c r="AK8" s="15"/>
    </row>
    <row r="9" spans="1:37" s="12" customFormat="1" ht="22.5" customHeight="1" x14ac:dyDescent="0.25">
      <c r="A9" s="28"/>
      <c r="B9" s="170" t="s">
        <v>44</v>
      </c>
      <c r="C9" s="170"/>
      <c r="D9" s="171"/>
      <c r="E9" s="171"/>
      <c r="F9" s="171"/>
      <c r="G9" s="171"/>
      <c r="H9" s="171"/>
      <c r="I9" s="171"/>
      <c r="J9" s="170" t="s">
        <v>45</v>
      </c>
      <c r="K9" s="170"/>
      <c r="L9" s="16" t="s">
        <v>46</v>
      </c>
      <c r="M9" s="84"/>
      <c r="N9" s="85" t="s">
        <v>71</v>
      </c>
      <c r="O9" s="48"/>
      <c r="AH9" s="14" t="s">
        <v>47</v>
      </c>
      <c r="AI9" s="15"/>
      <c r="AJ9" s="15"/>
      <c r="AK9" s="15"/>
    </row>
    <row r="10" spans="1:37" s="12" customFormat="1" ht="22.5" customHeight="1" x14ac:dyDescent="0.25">
      <c r="A10" s="28"/>
      <c r="B10" s="178" t="s">
        <v>48</v>
      </c>
      <c r="C10" s="178"/>
      <c r="D10" s="171" t="s">
        <v>64</v>
      </c>
      <c r="E10" s="171"/>
      <c r="F10" s="171"/>
      <c r="G10" s="171"/>
      <c r="H10" s="171"/>
      <c r="I10" s="171"/>
      <c r="J10" s="179" t="s">
        <v>49</v>
      </c>
      <c r="K10" s="179"/>
      <c r="L10" s="164" t="str">
        <f>CONCATENATE(M9,," ",N9,"-",F12,"-",I12)</f>
        <v xml:space="preserve"> 26--</v>
      </c>
      <c r="M10" s="164"/>
      <c r="N10" s="164"/>
      <c r="O10" s="49"/>
      <c r="AH10" s="14" t="s">
        <v>50</v>
      </c>
      <c r="AI10" s="15"/>
      <c r="AJ10" s="15"/>
      <c r="AK10" s="15"/>
    </row>
    <row r="11" spans="1:37" s="12" customFormat="1" ht="3.95" customHeight="1" thickBot="1" x14ac:dyDescent="0.3">
      <c r="A11" s="50"/>
      <c r="B11" s="165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51"/>
      <c r="O11" s="52"/>
      <c r="AH11" s="14"/>
      <c r="AI11" s="15"/>
      <c r="AJ11" s="15"/>
      <c r="AK11" s="15"/>
    </row>
    <row r="12" spans="1:37" s="12" customFormat="1" ht="22.5" customHeight="1" x14ac:dyDescent="0.25">
      <c r="A12" s="46"/>
      <c r="B12" s="166" t="s">
        <v>51</v>
      </c>
      <c r="C12" s="166"/>
      <c r="D12" s="167" t="s">
        <v>38</v>
      </c>
      <c r="E12" s="167"/>
      <c r="F12" s="82"/>
      <c r="G12" s="168" t="s">
        <v>52</v>
      </c>
      <c r="H12" s="168"/>
      <c r="I12" s="53"/>
      <c r="J12" s="169" t="s">
        <v>53</v>
      </c>
      <c r="K12" s="169"/>
      <c r="L12" s="94"/>
      <c r="M12" s="17" t="s">
        <v>11</v>
      </c>
      <c r="N12" s="83"/>
      <c r="O12" s="54"/>
      <c r="AH12" s="14"/>
      <c r="AI12" s="15"/>
      <c r="AJ12" s="15"/>
      <c r="AK12" s="15"/>
    </row>
    <row r="13" spans="1:37" s="12" customFormat="1" ht="22.5" customHeight="1" x14ac:dyDescent="0.25">
      <c r="A13" s="28"/>
      <c r="B13" s="170" t="s">
        <v>54</v>
      </c>
      <c r="C13" s="170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55"/>
      <c r="AH13" s="14"/>
      <c r="AI13" s="15"/>
      <c r="AJ13" s="15"/>
      <c r="AK13" s="15"/>
    </row>
    <row r="14" spans="1:37" s="12" customFormat="1" ht="6.95" customHeight="1" thickBot="1" x14ac:dyDescent="0.3">
      <c r="A14" s="50"/>
      <c r="B14" s="18"/>
      <c r="C14" s="18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7"/>
    </row>
    <row r="15" spans="1:37" ht="23.25" customHeight="1" thickBot="1" x14ac:dyDescent="0.3">
      <c r="A15" s="58"/>
      <c r="B15" s="59"/>
      <c r="C15" s="59"/>
      <c r="D15" s="59"/>
      <c r="E15" s="60"/>
      <c r="F15" s="60"/>
      <c r="G15" s="60"/>
      <c r="H15" s="60"/>
      <c r="I15" s="60"/>
      <c r="J15" s="59"/>
      <c r="K15" s="59"/>
      <c r="L15" s="59"/>
      <c r="M15" s="61"/>
      <c r="N15" s="62"/>
      <c r="O15" s="63"/>
    </row>
    <row r="16" spans="1:37" ht="26.25" customHeight="1" thickBot="1" x14ac:dyDescent="0.3">
      <c r="A16" s="172" t="s">
        <v>60</v>
      </c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4"/>
    </row>
    <row r="17" spans="1:18" ht="23.25" customHeight="1" x14ac:dyDescent="0.25">
      <c r="A17" s="58"/>
      <c r="B17" s="59"/>
      <c r="C17" s="59"/>
      <c r="D17" s="59"/>
      <c r="E17" s="60"/>
      <c r="F17" s="60"/>
      <c r="G17" s="60"/>
      <c r="H17" s="60"/>
      <c r="I17" s="60"/>
      <c r="J17" s="59"/>
      <c r="K17" s="59"/>
      <c r="L17" s="59"/>
      <c r="M17" s="61"/>
      <c r="N17" s="62"/>
      <c r="O17" s="63"/>
      <c r="Q17" s="3">
        <v>11488.5</v>
      </c>
      <c r="R17" s="3">
        <v>8572.6</v>
      </c>
    </row>
    <row r="18" spans="1:18" ht="18" customHeight="1" thickBot="1" x14ac:dyDescent="0.3">
      <c r="A18" s="64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1"/>
      <c r="N18" s="62"/>
      <c r="O18" s="63"/>
      <c r="Q18" s="3">
        <v>11138</v>
      </c>
      <c r="R18" s="3">
        <v>8154</v>
      </c>
    </row>
    <row r="19" spans="1:18" s="1" customFormat="1" ht="30" customHeight="1" thickBot="1" x14ac:dyDescent="0.25">
      <c r="A19" s="64"/>
      <c r="B19" s="144" t="s">
        <v>7</v>
      </c>
      <c r="C19" s="145"/>
      <c r="D19" s="145"/>
      <c r="E19" s="145"/>
      <c r="F19" s="146"/>
      <c r="G19" s="66"/>
      <c r="H19" s="175" t="s">
        <v>16</v>
      </c>
      <c r="I19" s="176"/>
      <c r="J19" s="176"/>
      <c r="K19" s="176"/>
      <c r="L19" s="176"/>
      <c r="M19" s="177"/>
      <c r="N19" s="67"/>
      <c r="O19" s="68"/>
      <c r="P19" s="4"/>
      <c r="Q19" s="4">
        <v>378.8</v>
      </c>
      <c r="R19" s="1">
        <v>362</v>
      </c>
    </row>
    <row r="20" spans="1:18" s="1" customFormat="1" ht="24.95" customHeight="1" x14ac:dyDescent="0.2">
      <c r="A20" s="64"/>
      <c r="B20" s="136" t="s">
        <v>8</v>
      </c>
      <c r="C20" s="137"/>
      <c r="D20" s="137"/>
      <c r="E20" s="69" t="s">
        <v>11</v>
      </c>
      <c r="F20" s="95"/>
      <c r="G20" s="70"/>
      <c r="H20" s="136" t="s">
        <v>29</v>
      </c>
      <c r="I20" s="137"/>
      <c r="J20" s="137"/>
      <c r="K20" s="69" t="s">
        <v>2</v>
      </c>
      <c r="L20" s="162"/>
      <c r="M20" s="163"/>
      <c r="N20" s="67"/>
      <c r="O20" s="68"/>
      <c r="P20" s="4"/>
      <c r="Q20" s="4"/>
    </row>
    <row r="21" spans="1:18" s="1" customFormat="1" ht="24.95" customHeight="1" x14ac:dyDescent="0.2">
      <c r="A21" s="64"/>
      <c r="B21" s="128" t="s">
        <v>34</v>
      </c>
      <c r="C21" s="129"/>
      <c r="D21" s="129"/>
      <c r="E21" s="71" t="s">
        <v>10</v>
      </c>
      <c r="F21" s="89"/>
      <c r="G21" s="70"/>
      <c r="H21" s="128" t="s">
        <v>17</v>
      </c>
      <c r="I21" s="129"/>
      <c r="J21" s="129"/>
      <c r="K21" s="71" t="s">
        <v>2</v>
      </c>
      <c r="L21" s="160"/>
      <c r="M21" s="161"/>
      <c r="N21" s="67"/>
      <c r="O21" s="68"/>
      <c r="P21" s="4"/>
      <c r="Q21" s="103">
        <f>L20+F31</f>
        <v>0</v>
      </c>
    </row>
    <row r="22" spans="1:18" s="1" customFormat="1" ht="24.95" customHeight="1" thickBot="1" x14ac:dyDescent="0.25">
      <c r="A22" s="64"/>
      <c r="B22" s="130" t="s">
        <v>9</v>
      </c>
      <c r="C22" s="131"/>
      <c r="D22" s="131"/>
      <c r="E22" s="72" t="s">
        <v>2</v>
      </c>
      <c r="F22" s="93"/>
      <c r="G22" s="70"/>
      <c r="H22" s="128" t="s">
        <v>18</v>
      </c>
      <c r="I22" s="129"/>
      <c r="J22" s="129"/>
      <c r="K22" s="71" t="s">
        <v>2</v>
      </c>
      <c r="L22" s="160"/>
      <c r="M22" s="161"/>
      <c r="N22" s="67"/>
      <c r="O22" s="68"/>
      <c r="P22" s="4"/>
      <c r="Q22" s="103">
        <f>F30</f>
        <v>0</v>
      </c>
    </row>
    <row r="23" spans="1:18" s="1" customFormat="1" ht="24.95" customHeight="1" thickBot="1" x14ac:dyDescent="0.25">
      <c r="A23" s="64"/>
      <c r="B23" s="65"/>
      <c r="C23" s="65"/>
      <c r="D23" s="65"/>
      <c r="E23" s="65"/>
      <c r="F23" s="65"/>
      <c r="G23" s="65"/>
      <c r="H23" s="130" t="s">
        <v>33</v>
      </c>
      <c r="I23" s="131"/>
      <c r="J23" s="131"/>
      <c r="K23" s="74" t="s">
        <v>10</v>
      </c>
      <c r="L23" s="142">
        <f>W67-Y68</f>
        <v>0</v>
      </c>
      <c r="M23" s="143"/>
      <c r="N23" s="67"/>
      <c r="O23" s="68"/>
      <c r="P23" s="4"/>
      <c r="Q23" s="103">
        <f>Q21-Q22</f>
        <v>0</v>
      </c>
    </row>
    <row r="24" spans="1:18" s="1" customFormat="1" ht="24.95" customHeight="1" x14ac:dyDescent="0.2">
      <c r="A24" s="64"/>
      <c r="B24" s="34"/>
      <c r="C24" s="34"/>
      <c r="D24" s="34"/>
      <c r="E24" s="34"/>
      <c r="F24" s="34"/>
      <c r="G24" s="34"/>
      <c r="N24" s="67"/>
      <c r="O24" s="68"/>
      <c r="P24" s="4"/>
      <c r="Q24" s="4"/>
    </row>
    <row r="25" spans="1:18" s="1" customFormat="1" ht="24.95" customHeight="1" thickBot="1" x14ac:dyDescent="0.25">
      <c r="A25" s="64"/>
      <c r="B25" s="34"/>
      <c r="C25" s="34"/>
      <c r="D25" s="34"/>
      <c r="E25" s="34"/>
      <c r="F25" s="34"/>
      <c r="G25" s="34"/>
      <c r="N25" s="67"/>
      <c r="O25" s="68"/>
      <c r="P25" s="4"/>
      <c r="Q25" s="4"/>
    </row>
    <row r="26" spans="1:18" s="1" customFormat="1" ht="18" customHeight="1" x14ac:dyDescent="0.2">
      <c r="A26" s="64"/>
      <c r="B26" s="144" t="s">
        <v>13</v>
      </c>
      <c r="C26" s="145"/>
      <c r="D26" s="145"/>
      <c r="E26" s="145"/>
      <c r="F26" s="146"/>
      <c r="G26" s="34"/>
      <c r="H26" s="150" t="s">
        <v>12</v>
      </c>
      <c r="I26" s="151"/>
      <c r="J26" s="151"/>
      <c r="K26" s="151"/>
      <c r="L26" s="151"/>
      <c r="M26" s="152"/>
      <c r="N26" s="34"/>
      <c r="O26" s="68"/>
      <c r="P26" s="4"/>
      <c r="Q26" s="104">
        <v>34</v>
      </c>
      <c r="R26" s="4"/>
    </row>
    <row r="27" spans="1:18" s="1" customFormat="1" ht="18" customHeight="1" thickBot="1" x14ac:dyDescent="0.25">
      <c r="A27" s="64"/>
      <c r="B27" s="147"/>
      <c r="C27" s="148"/>
      <c r="D27" s="148"/>
      <c r="E27" s="148"/>
      <c r="F27" s="149"/>
      <c r="G27" s="34"/>
      <c r="H27" s="153"/>
      <c r="I27" s="154"/>
      <c r="J27" s="154"/>
      <c r="K27" s="154"/>
      <c r="L27" s="154"/>
      <c r="M27" s="155"/>
      <c r="N27" s="67"/>
      <c r="O27" s="68"/>
      <c r="P27" s="4"/>
      <c r="Q27" s="105">
        <v>25</v>
      </c>
    </row>
    <row r="28" spans="1:18" s="1" customFormat="1" ht="30" customHeight="1" thickBot="1" x14ac:dyDescent="0.25">
      <c r="A28" s="64"/>
      <c r="B28" s="100"/>
      <c r="C28" s="101"/>
      <c r="D28" s="101"/>
      <c r="E28" s="75" t="s">
        <v>14</v>
      </c>
      <c r="F28" s="75" t="s">
        <v>15</v>
      </c>
      <c r="G28" s="66"/>
      <c r="H28" s="156" t="s">
        <v>32</v>
      </c>
      <c r="I28" s="157"/>
      <c r="J28" s="157"/>
      <c r="K28" s="102" t="s">
        <v>22</v>
      </c>
      <c r="L28" s="158" t="e">
        <f>F32%-((F21-L23)/(F30-F31))</f>
        <v>#DIV/0!</v>
      </c>
      <c r="M28" s="159"/>
      <c r="N28" s="67"/>
      <c r="O28" s="68"/>
      <c r="P28" s="4"/>
      <c r="Q28" s="105">
        <v>9</v>
      </c>
    </row>
    <row r="29" spans="1:18" s="1" customFormat="1" ht="24.95" customHeight="1" x14ac:dyDescent="0.2">
      <c r="A29" s="64"/>
      <c r="B29" s="136" t="s">
        <v>30</v>
      </c>
      <c r="C29" s="137"/>
      <c r="D29" s="69" t="s">
        <v>2</v>
      </c>
      <c r="E29" s="86"/>
      <c r="F29" s="87"/>
      <c r="G29" s="66"/>
      <c r="H29" s="128" t="s">
        <v>20</v>
      </c>
      <c r="I29" s="129"/>
      <c r="J29" s="129"/>
      <c r="K29" s="71" t="s">
        <v>23</v>
      </c>
      <c r="L29" s="138" t="e">
        <f>(F30-F31)/L23</f>
        <v>#DIV/0!</v>
      </c>
      <c r="M29" s="139"/>
      <c r="N29" s="67"/>
      <c r="O29" s="68"/>
      <c r="P29" s="4"/>
      <c r="Q29" s="4"/>
    </row>
    <row r="30" spans="1:18" s="1" customFormat="1" ht="24.95" customHeight="1" x14ac:dyDescent="0.2">
      <c r="A30" s="64"/>
      <c r="B30" s="128" t="s">
        <v>5</v>
      </c>
      <c r="C30" s="129"/>
      <c r="D30" s="71" t="s">
        <v>2</v>
      </c>
      <c r="E30" s="88"/>
      <c r="F30" s="89"/>
      <c r="G30" s="70"/>
      <c r="H30" s="128" t="s">
        <v>31</v>
      </c>
      <c r="I30" s="129"/>
      <c r="J30" s="129"/>
      <c r="K30" s="71" t="s">
        <v>24</v>
      </c>
      <c r="L30" s="140" t="e">
        <f>(F32%-L28)*100*L29</f>
        <v>#DIV/0!</v>
      </c>
      <c r="M30" s="141"/>
      <c r="N30" s="67"/>
      <c r="O30" s="68"/>
      <c r="P30" s="4"/>
      <c r="Q30" s="4"/>
    </row>
    <row r="31" spans="1:18" s="1" customFormat="1" ht="24.95" customHeight="1" thickBot="1" x14ac:dyDescent="0.25">
      <c r="A31" s="76"/>
      <c r="B31" s="128" t="s">
        <v>4</v>
      </c>
      <c r="C31" s="129"/>
      <c r="D31" s="71" t="s">
        <v>2</v>
      </c>
      <c r="E31" s="88"/>
      <c r="F31" s="89"/>
      <c r="G31" s="70"/>
      <c r="H31" s="130" t="s">
        <v>21</v>
      </c>
      <c r="I31" s="131"/>
      <c r="J31" s="131"/>
      <c r="K31" s="72" t="s">
        <v>25</v>
      </c>
      <c r="L31" s="132" t="e">
        <f>100*(1-(POWER((100/(100+L30)),1/3)))</f>
        <v>#DIV/0!</v>
      </c>
      <c r="M31" s="133"/>
      <c r="N31" s="67"/>
      <c r="O31" s="68"/>
      <c r="P31" s="4"/>
      <c r="Q31" s="4"/>
    </row>
    <row r="32" spans="1:18" s="1" customFormat="1" ht="24.95" customHeight="1" thickBot="1" x14ac:dyDescent="0.25">
      <c r="A32" s="76"/>
      <c r="B32" s="130" t="s">
        <v>6</v>
      </c>
      <c r="C32" s="131"/>
      <c r="D32" s="72" t="s">
        <v>3</v>
      </c>
      <c r="E32" s="77" t="e">
        <f>(E29-E30)/(E30-E31)*100</f>
        <v>#DIV/0!</v>
      </c>
      <c r="F32" s="78" t="e">
        <f>(F29-F30)/(F30-F31)*100</f>
        <v>#DIV/0!</v>
      </c>
      <c r="G32" s="70"/>
      <c r="H32" s="134"/>
      <c r="I32" s="134"/>
      <c r="J32" s="134"/>
      <c r="K32" s="96"/>
      <c r="L32" s="135"/>
      <c r="M32" s="135"/>
      <c r="N32" s="67"/>
      <c r="O32" s="68"/>
      <c r="P32" s="4"/>
    </row>
    <row r="33" spans="1:48" s="1" customFormat="1" ht="18" customHeight="1" x14ac:dyDescent="0.2">
      <c r="A33" s="76"/>
      <c r="B33" s="34"/>
      <c r="C33" s="34"/>
      <c r="D33" s="34"/>
      <c r="E33" s="34"/>
      <c r="F33" s="34"/>
      <c r="G33" s="79"/>
      <c r="H33" s="34"/>
      <c r="I33" s="80"/>
      <c r="J33" s="80"/>
      <c r="K33" s="120"/>
      <c r="L33" s="120"/>
      <c r="M33" s="120"/>
      <c r="N33" s="67"/>
      <c r="O33" s="68"/>
      <c r="P33" s="4"/>
    </row>
    <row r="34" spans="1:48" s="1" customFormat="1" ht="18" customHeight="1" x14ac:dyDescent="0.2">
      <c r="A34" s="76"/>
      <c r="B34" s="34"/>
      <c r="C34" s="34"/>
      <c r="D34" s="34"/>
      <c r="E34" s="34"/>
      <c r="F34" s="81"/>
      <c r="G34" s="81"/>
      <c r="H34" s="34"/>
      <c r="I34" s="67"/>
      <c r="J34" s="120"/>
      <c r="K34" s="120"/>
      <c r="L34" s="120"/>
      <c r="M34" s="120"/>
      <c r="N34" s="120"/>
      <c r="O34" s="68"/>
      <c r="P34" s="4"/>
    </row>
    <row r="35" spans="1:48" s="1" customFormat="1" ht="18" customHeight="1" x14ac:dyDescent="0.2">
      <c r="A35" s="76"/>
      <c r="B35" s="34"/>
      <c r="C35" s="34"/>
      <c r="D35" s="34"/>
      <c r="E35" s="34"/>
      <c r="F35" s="121" t="s">
        <v>69</v>
      </c>
      <c r="G35" s="121"/>
      <c r="H35" s="121"/>
      <c r="I35" s="67"/>
      <c r="J35" s="122" t="s">
        <v>67</v>
      </c>
      <c r="K35" s="122"/>
      <c r="L35" s="122"/>
      <c r="M35" s="122"/>
      <c r="N35" s="90"/>
      <c r="O35" s="68"/>
      <c r="P35" s="4"/>
    </row>
    <row r="36" spans="1:48" s="12" customFormat="1" ht="22.5" customHeight="1" x14ac:dyDescent="0.25">
      <c r="A36" s="28"/>
      <c r="B36" s="43"/>
      <c r="C36" s="43"/>
      <c r="D36" s="43"/>
      <c r="E36" s="43"/>
      <c r="F36" s="43"/>
      <c r="G36" s="43"/>
      <c r="H36" s="43"/>
      <c r="I36" s="43"/>
      <c r="J36" s="91"/>
      <c r="K36" s="91"/>
      <c r="L36" s="91"/>
      <c r="M36" s="91"/>
      <c r="N36" s="91"/>
      <c r="O36" s="29"/>
      <c r="Q36" s="123"/>
      <c r="R36" s="123"/>
      <c r="S36" s="123"/>
      <c r="T36" s="30"/>
      <c r="U36" s="31"/>
      <c r="V36" s="13"/>
      <c r="W36" s="13"/>
      <c r="X36" s="30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</row>
    <row r="37" spans="1:48" s="12" customFormat="1" ht="22.5" customHeight="1" x14ac:dyDescent="0.25">
      <c r="A37" s="28"/>
      <c r="B37" s="43"/>
      <c r="C37" s="43"/>
      <c r="D37" s="43"/>
      <c r="E37" s="43"/>
      <c r="F37" s="43"/>
      <c r="G37" s="43"/>
      <c r="H37" s="43"/>
      <c r="I37" s="43"/>
      <c r="J37" s="91"/>
      <c r="K37" s="91"/>
      <c r="L37" s="91"/>
      <c r="M37" s="91"/>
      <c r="N37" s="91"/>
      <c r="O37" s="29"/>
      <c r="Q37" s="13"/>
      <c r="R37" s="13"/>
      <c r="S37" s="13"/>
      <c r="T37" s="30"/>
      <c r="U37" s="31"/>
      <c r="V37" s="13"/>
      <c r="W37" s="13"/>
      <c r="X37" s="30"/>
      <c r="AF37" s="33"/>
      <c r="AI37" s="15"/>
      <c r="AJ37" s="15"/>
      <c r="AK37" s="41"/>
      <c r="AL37" s="41"/>
      <c r="AM37" s="41"/>
      <c r="AN37" s="34"/>
      <c r="AO37" s="34"/>
      <c r="AP37" s="35"/>
      <c r="AQ37" s="15"/>
      <c r="AR37" s="15"/>
      <c r="AS37" s="15"/>
    </row>
    <row r="38" spans="1:48" s="12" customFormat="1" ht="22.5" customHeight="1" x14ac:dyDescent="0.25">
      <c r="A38" s="28"/>
      <c r="B38" s="43"/>
      <c r="C38" s="43"/>
      <c r="D38" s="43"/>
      <c r="E38" s="43"/>
      <c r="F38" s="97"/>
      <c r="G38" s="97"/>
      <c r="H38" s="97"/>
      <c r="I38" s="43"/>
      <c r="J38" s="99"/>
      <c r="K38" s="99"/>
      <c r="L38" s="99"/>
      <c r="M38" s="99"/>
      <c r="N38" s="91"/>
      <c r="O38" s="29"/>
      <c r="P38" s="29"/>
      <c r="R38" s="13"/>
      <c r="S38" s="13"/>
      <c r="T38" s="13"/>
      <c r="U38" s="30"/>
      <c r="V38" s="31"/>
      <c r="W38" s="13"/>
      <c r="X38" s="13"/>
      <c r="Y38" s="30"/>
      <c r="AG38" s="33"/>
      <c r="AJ38" s="15"/>
      <c r="AK38" s="15"/>
      <c r="AL38" s="41"/>
      <c r="AM38" s="41"/>
      <c r="AN38" s="41"/>
      <c r="AO38" s="36"/>
      <c r="AP38" s="37"/>
      <c r="AQ38" s="38"/>
      <c r="AR38" s="15"/>
      <c r="AS38" s="15"/>
      <c r="AT38" s="15"/>
    </row>
    <row r="39" spans="1:48" s="12" customFormat="1" ht="22.5" customHeight="1" x14ac:dyDescent="0.25">
      <c r="A39" s="98"/>
      <c r="B39" s="44"/>
      <c r="C39" s="44"/>
      <c r="D39" s="44"/>
      <c r="E39" s="44"/>
      <c r="F39" s="124" t="s">
        <v>57</v>
      </c>
      <c r="G39" s="124"/>
      <c r="H39" s="124"/>
      <c r="I39" s="44"/>
      <c r="J39" s="125" t="s">
        <v>72</v>
      </c>
      <c r="K39" s="125"/>
      <c r="L39" s="125"/>
      <c r="M39" s="125"/>
      <c r="N39" s="91"/>
      <c r="O39" s="29"/>
      <c r="P39" s="29"/>
      <c r="R39" s="123"/>
      <c r="S39" s="123"/>
      <c r="T39" s="123"/>
      <c r="U39" s="39"/>
      <c r="V39" s="40"/>
      <c r="Z39" s="40"/>
      <c r="AA39" s="126"/>
      <c r="AB39" s="126"/>
      <c r="AC39" s="126"/>
      <c r="AG39" s="33"/>
      <c r="AH39" s="33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</row>
    <row r="40" spans="1:48" s="12" customFormat="1" ht="22.5" customHeight="1" x14ac:dyDescent="0.25">
      <c r="A40" s="98"/>
      <c r="B40" s="44"/>
      <c r="C40" s="44"/>
      <c r="D40" s="44"/>
      <c r="E40" s="44"/>
      <c r="F40" s="117" t="s">
        <v>58</v>
      </c>
      <c r="G40" s="117"/>
      <c r="H40" s="117"/>
      <c r="I40" s="44"/>
      <c r="J40" s="127" t="s">
        <v>70</v>
      </c>
      <c r="K40" s="127"/>
      <c r="L40" s="127"/>
      <c r="M40" s="127"/>
      <c r="N40" s="92"/>
      <c r="O40" s="29"/>
      <c r="Q40" s="123"/>
      <c r="R40" s="123"/>
      <c r="S40" s="123"/>
      <c r="T40" s="39"/>
      <c r="Z40" s="127"/>
      <c r="AA40" s="127"/>
      <c r="AB40" s="127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8" s="12" customFormat="1" ht="22.5" customHeight="1" x14ac:dyDescent="0.25">
      <c r="A41" s="98"/>
      <c r="B41" s="117" t="s">
        <v>68</v>
      </c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29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</row>
    <row r="42" spans="1:48" s="12" customFormat="1" ht="22.5" customHeight="1" x14ac:dyDescent="0.25">
      <c r="A42" s="98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29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8" s="12" customFormat="1" ht="22.5" customHeight="1" x14ac:dyDescent="0.25">
      <c r="A43" s="28"/>
      <c r="B43" s="44"/>
      <c r="C43" s="44"/>
      <c r="D43" s="44"/>
      <c r="E43" s="44"/>
      <c r="F43" s="44"/>
      <c r="G43" s="44"/>
      <c r="H43" s="44"/>
      <c r="I43" s="44"/>
      <c r="J43" s="43"/>
      <c r="K43" s="119"/>
      <c r="L43" s="119"/>
      <c r="M43" s="119"/>
      <c r="N43" s="43"/>
      <c r="O43" s="29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</row>
    <row r="44" spans="1:48" s="12" customFormat="1" ht="22.5" customHeight="1" thickBot="1" x14ac:dyDescent="0.3">
      <c r="A44" s="109" t="s">
        <v>59</v>
      </c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1"/>
      <c r="P44" s="112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</row>
    <row r="45" spans="1:48" x14ac:dyDescent="0.25">
      <c r="N45"/>
      <c r="O45"/>
      <c r="P45"/>
      <c r="Q45"/>
      <c r="R45"/>
      <c r="S45"/>
      <c r="T45"/>
      <c r="U45"/>
    </row>
    <row r="46" spans="1:48" ht="15.75" thickBot="1" x14ac:dyDescent="0.3">
      <c r="N46"/>
      <c r="O46"/>
      <c r="P46"/>
      <c r="Q46"/>
      <c r="R46"/>
      <c r="S46"/>
      <c r="T46"/>
      <c r="U46"/>
    </row>
    <row r="47" spans="1:48" ht="33.75" customHeight="1" thickBot="1" x14ac:dyDescent="0.3">
      <c r="B47" s="42">
        <v>21</v>
      </c>
      <c r="C47" s="114" t="s">
        <v>61</v>
      </c>
      <c r="D47" s="115"/>
      <c r="E47" s="115"/>
      <c r="N47"/>
      <c r="O47"/>
      <c r="P47"/>
      <c r="Q47"/>
      <c r="R47"/>
      <c r="S47"/>
      <c r="T47"/>
      <c r="U47"/>
    </row>
    <row r="48" spans="1:48" ht="33.75" customHeight="1" x14ac:dyDescent="0.25">
      <c r="N48"/>
      <c r="O48"/>
      <c r="P48"/>
      <c r="Q48"/>
      <c r="R48"/>
      <c r="S48"/>
      <c r="T48"/>
      <c r="U48"/>
    </row>
    <row r="49" spans="1:29" s="1" customFormat="1" ht="18" customHeight="1" x14ac:dyDescent="0.2">
      <c r="A49" s="20"/>
      <c r="B49" s="22"/>
      <c r="C49" s="22"/>
      <c r="D49" s="22"/>
      <c r="E49" s="22"/>
      <c r="F49" s="23"/>
      <c r="G49" s="23"/>
      <c r="H49" s="19"/>
      <c r="I49" s="19"/>
      <c r="J49" s="19"/>
      <c r="K49" s="19"/>
      <c r="L49" s="19"/>
      <c r="M49" s="19"/>
      <c r="N49" s="19"/>
      <c r="O49" s="20"/>
      <c r="P49" s="20"/>
      <c r="R49" s="4"/>
      <c r="S49" s="4"/>
      <c r="T49" s="4"/>
      <c r="U49" s="4"/>
      <c r="V49" s="4"/>
      <c r="W49" s="4"/>
      <c r="X49" s="4"/>
      <c r="Y49" s="4"/>
    </row>
    <row r="50" spans="1:29" ht="17.25" customHeight="1" x14ac:dyDescent="0.25">
      <c r="A50" s="116"/>
      <c r="B50" s="116"/>
      <c r="C50" s="116"/>
      <c r="D50" s="116"/>
      <c r="E50" s="116"/>
      <c r="F50" s="116"/>
      <c r="G50" s="24"/>
      <c r="H50" s="26"/>
      <c r="I50" s="26"/>
      <c r="J50" s="26"/>
      <c r="K50" s="26"/>
      <c r="L50" s="26"/>
      <c r="M50" s="26"/>
      <c r="N50" s="26"/>
      <c r="O50" s="25"/>
      <c r="P50" s="25"/>
      <c r="Q50"/>
      <c r="V50" s="3"/>
      <c r="W50" s="3"/>
      <c r="X50" s="3"/>
      <c r="Y50" s="3"/>
    </row>
    <row r="51" spans="1:29" ht="17.25" customHeight="1" x14ac:dyDescent="0.25">
      <c r="A51" s="116"/>
      <c r="B51" s="116"/>
      <c r="C51" s="116"/>
      <c r="D51" s="116"/>
      <c r="E51" s="116"/>
      <c r="F51" s="116"/>
      <c r="G51" s="24"/>
      <c r="H51" s="21"/>
      <c r="I51" s="21"/>
      <c r="J51" s="21"/>
      <c r="K51" s="21"/>
      <c r="L51" s="21"/>
      <c r="M51" s="21"/>
      <c r="N51" s="21"/>
      <c r="O51" s="21"/>
      <c r="P51" s="21"/>
      <c r="Q51"/>
      <c r="V51" s="3"/>
      <c r="W51" s="3"/>
      <c r="X51" s="3"/>
      <c r="Y51" s="3"/>
    </row>
    <row r="52" spans="1:29" ht="17.25" customHeight="1" x14ac:dyDescent="0.25">
      <c r="A52" s="116"/>
      <c r="B52" s="116"/>
      <c r="C52" s="116"/>
      <c r="D52" s="116"/>
      <c r="E52" s="116"/>
      <c r="F52" s="116"/>
      <c r="G52" s="24"/>
      <c r="H52" s="27"/>
      <c r="I52" s="27"/>
      <c r="J52" s="27"/>
      <c r="K52" s="27"/>
      <c r="L52" s="27"/>
    </row>
    <row r="53" spans="1:29" ht="17.25" customHeight="1" x14ac:dyDescent="0.25">
      <c r="A53" s="116"/>
      <c r="B53" s="116"/>
      <c r="C53" s="116"/>
      <c r="D53" s="116"/>
      <c r="E53" s="116"/>
      <c r="F53" s="116"/>
      <c r="G53" s="24"/>
      <c r="H53" s="27"/>
      <c r="I53" s="27"/>
      <c r="J53" s="27"/>
      <c r="K53" s="27"/>
      <c r="L53" s="27"/>
    </row>
    <row r="54" spans="1:29" ht="17.25" customHeight="1" x14ac:dyDescent="0.25">
      <c r="R54"/>
      <c r="S54"/>
      <c r="T54"/>
      <c r="U54"/>
    </row>
    <row r="55" spans="1:29" ht="17.25" customHeight="1" x14ac:dyDescent="0.25"/>
    <row r="56" spans="1:29" ht="17.25" customHeight="1" x14ac:dyDescent="0.25"/>
    <row r="57" spans="1:29" ht="17.25" customHeight="1" x14ac:dyDescent="0.25"/>
    <row r="58" spans="1:29" ht="17.25" customHeight="1" x14ac:dyDescent="0.25"/>
    <row r="59" spans="1:29" ht="17.25" customHeight="1" x14ac:dyDescent="0.25"/>
    <row r="60" spans="1:29" ht="17.25" customHeight="1" x14ac:dyDescent="0.25"/>
    <row r="61" spans="1:29" ht="17.25" customHeight="1" x14ac:dyDescent="0.25"/>
    <row r="62" spans="1:29" ht="15.75" x14ac:dyDescent="0.25">
      <c r="R62" s="4"/>
      <c r="V62" s="3"/>
      <c r="W62" s="3"/>
      <c r="X62" s="5"/>
      <c r="Y62" s="5"/>
      <c r="Z62" s="5"/>
      <c r="AA62" s="1"/>
      <c r="AB62" s="1"/>
      <c r="AC62" s="1"/>
    </row>
    <row r="63" spans="1:29" ht="15.75" x14ac:dyDescent="0.25">
      <c r="R63" s="106"/>
      <c r="S63" s="107"/>
      <c r="T63" s="108"/>
      <c r="U63" s="2"/>
      <c r="V63" s="2"/>
      <c r="W63" s="2"/>
      <c r="X63" s="2"/>
      <c r="Y63" s="2"/>
      <c r="Z63" s="1"/>
      <c r="AA63" s="1"/>
      <c r="AB63" s="1"/>
      <c r="AC63" s="1"/>
    </row>
    <row r="64" spans="1:29" ht="15.75" x14ac:dyDescent="0.25">
      <c r="R64" s="4"/>
      <c r="S64" s="106"/>
      <c r="T64" s="107"/>
      <c r="U64" s="108"/>
      <c r="V64" s="2"/>
      <c r="W64" s="2"/>
      <c r="X64" s="2"/>
      <c r="Y64" s="2"/>
      <c r="Z64" s="2"/>
      <c r="AA64" s="1"/>
      <c r="AB64" s="1"/>
      <c r="AC64" s="1"/>
    </row>
    <row r="65" spans="18:29" ht="15.75" x14ac:dyDescent="0.25">
      <c r="R65" s="4"/>
      <c r="S65" s="106" t="s">
        <v>28</v>
      </c>
      <c r="T65" s="107"/>
      <c r="U65" s="108"/>
      <c r="V65" s="2"/>
      <c r="W65" s="9">
        <v>0.86</v>
      </c>
      <c r="X65" s="2"/>
      <c r="Y65" s="2"/>
      <c r="Z65" s="2"/>
      <c r="AA65" s="1"/>
      <c r="AB65" s="1"/>
      <c r="AC65" s="1"/>
    </row>
    <row r="66" spans="18:29" ht="15.75" x14ac:dyDescent="0.25">
      <c r="R66" s="4"/>
      <c r="S66" s="5" t="s">
        <v>27</v>
      </c>
      <c r="T66" s="5"/>
      <c r="U66" s="5" t="s">
        <v>19</v>
      </c>
      <c r="V66" s="5"/>
      <c r="W66" s="10">
        <v>1</v>
      </c>
      <c r="X66" s="5"/>
      <c r="Y66" s="5"/>
      <c r="Z66" s="5"/>
      <c r="AA66" s="1"/>
      <c r="AB66" s="1"/>
      <c r="AC66" s="1"/>
    </row>
    <row r="67" spans="18:29" ht="15.75" x14ac:dyDescent="0.25">
      <c r="R67" s="4"/>
      <c r="S67" s="2" t="s">
        <v>56</v>
      </c>
      <c r="T67" s="2"/>
      <c r="U67" s="2"/>
      <c r="V67" s="2"/>
      <c r="W67" s="9">
        <f>(L21-L22)/W66</f>
        <v>0</v>
      </c>
      <c r="X67" s="11"/>
      <c r="Y67" s="11"/>
      <c r="Z67" s="11"/>
      <c r="AA67" s="1"/>
      <c r="AB67" s="1"/>
      <c r="AC67" s="1"/>
    </row>
    <row r="68" spans="18:29" ht="15.75" x14ac:dyDescent="0.25">
      <c r="R68" s="4"/>
      <c r="S68" s="4"/>
      <c r="T68" s="4"/>
      <c r="U68" s="6" t="s">
        <v>26</v>
      </c>
      <c r="V68" s="7"/>
      <c r="W68" s="7"/>
      <c r="X68" s="8"/>
      <c r="Y68" s="10">
        <f>(L21-L20)/W65</f>
        <v>0</v>
      </c>
      <c r="Z68" s="5"/>
      <c r="AA68" s="5"/>
      <c r="AB68" s="5"/>
      <c r="AC68" s="1"/>
    </row>
    <row r="69" spans="18:29" ht="15.75" x14ac:dyDescent="0.25">
      <c r="R69" s="4"/>
      <c r="S69" s="4"/>
      <c r="T69" s="4"/>
      <c r="U69" s="4"/>
      <c r="V69" s="4"/>
      <c r="W69" s="4"/>
      <c r="X69" s="1"/>
      <c r="Y69" s="1"/>
      <c r="Z69" s="1"/>
      <c r="AA69" s="1"/>
      <c r="AB69" s="1"/>
      <c r="AC69" s="1"/>
    </row>
  </sheetData>
  <sheetProtection insertColumns="0" insertRows="0"/>
  <mergeCells count="92">
    <mergeCell ref="AH3:AK5"/>
    <mergeCell ref="M4:O4"/>
    <mergeCell ref="B5:M5"/>
    <mergeCell ref="B6:C6"/>
    <mergeCell ref="D6:I6"/>
    <mergeCell ref="J6:K6"/>
    <mergeCell ref="L6:N6"/>
    <mergeCell ref="A1:D4"/>
    <mergeCell ref="E1:L1"/>
    <mergeCell ref="M1:O1"/>
    <mergeCell ref="E2:L4"/>
    <mergeCell ref="M2:O2"/>
    <mergeCell ref="M3:O3"/>
    <mergeCell ref="V8:W8"/>
    <mergeCell ref="B7:C7"/>
    <mergeCell ref="D7:I7"/>
    <mergeCell ref="J7:K7"/>
    <mergeCell ref="L7:N7"/>
    <mergeCell ref="R7:T7"/>
    <mergeCell ref="V7:W7"/>
    <mergeCell ref="B8:C8"/>
    <mergeCell ref="D8:I8"/>
    <mergeCell ref="J8:K8"/>
    <mergeCell ref="L8:N8"/>
    <mergeCell ref="R8:T8"/>
    <mergeCell ref="B9:C9"/>
    <mergeCell ref="D9:I9"/>
    <mergeCell ref="J9:K9"/>
    <mergeCell ref="B10:C10"/>
    <mergeCell ref="D10:I10"/>
    <mergeCell ref="J10:K10"/>
    <mergeCell ref="B20:D20"/>
    <mergeCell ref="H20:J20"/>
    <mergeCell ref="L20:M20"/>
    <mergeCell ref="L10:N10"/>
    <mergeCell ref="B11:M11"/>
    <mergeCell ref="B12:C12"/>
    <mergeCell ref="D12:E12"/>
    <mergeCell ref="G12:H12"/>
    <mergeCell ref="J12:K12"/>
    <mergeCell ref="B13:C13"/>
    <mergeCell ref="D13:N13"/>
    <mergeCell ref="A16:O16"/>
    <mergeCell ref="B19:F19"/>
    <mergeCell ref="H19:M19"/>
    <mergeCell ref="B21:D21"/>
    <mergeCell ref="H21:J21"/>
    <mergeCell ref="L21:M21"/>
    <mergeCell ref="B22:D22"/>
    <mergeCell ref="H22:J22"/>
    <mergeCell ref="L22:M22"/>
    <mergeCell ref="H23:J23"/>
    <mergeCell ref="L23:M23"/>
    <mergeCell ref="B26:F27"/>
    <mergeCell ref="H26:M27"/>
    <mergeCell ref="H28:J28"/>
    <mergeCell ref="L28:M28"/>
    <mergeCell ref="B29:C29"/>
    <mergeCell ref="H29:J29"/>
    <mergeCell ref="L29:M29"/>
    <mergeCell ref="B30:C30"/>
    <mergeCell ref="H30:J30"/>
    <mergeCell ref="L30:M30"/>
    <mergeCell ref="B31:C31"/>
    <mergeCell ref="H31:J31"/>
    <mergeCell ref="L31:M31"/>
    <mergeCell ref="B32:C32"/>
    <mergeCell ref="H32:J32"/>
    <mergeCell ref="L32:M32"/>
    <mergeCell ref="B41:N42"/>
    <mergeCell ref="P42:AC43"/>
    <mergeCell ref="K43:M43"/>
    <mergeCell ref="K33:M33"/>
    <mergeCell ref="J34:N34"/>
    <mergeCell ref="F35:H35"/>
    <mergeCell ref="J35:M35"/>
    <mergeCell ref="Q36:S36"/>
    <mergeCell ref="F39:H39"/>
    <mergeCell ref="J39:M39"/>
    <mergeCell ref="R39:T39"/>
    <mergeCell ref="AA39:AC39"/>
    <mergeCell ref="F40:H40"/>
    <mergeCell ref="J40:M40"/>
    <mergeCell ref="Q40:S40"/>
    <mergeCell ref="Z40:AB40"/>
    <mergeCell ref="S65:U65"/>
    <mergeCell ref="A44:O44"/>
    <mergeCell ref="P44:AC44"/>
    <mergeCell ref="C47:E47"/>
    <mergeCell ref="A50:F53"/>
    <mergeCell ref="R63:T63"/>
    <mergeCell ref="S64:U64"/>
  </mergeCells>
  <conditionalFormatting sqref="D6:D10 J6:N6 J7:L8 M9:N9 D12 F12:G12 I12:N12 B6:B10 J9:K10 B12:B13">
    <cfRule type="containsBlanks" dxfId="7" priority="8">
      <formula>LEN(TRIM(B6))=0</formula>
    </cfRule>
  </conditionalFormatting>
  <conditionalFormatting sqref="D6:I6 D7 D8:I10">
    <cfRule type="containsBlanks" dxfId="6" priority="6">
      <formula>LEN(TRIM(D6))=0</formula>
    </cfRule>
  </conditionalFormatting>
  <conditionalFormatting sqref="D13:N13">
    <cfRule type="containsBlanks" dxfId="5" priority="7">
      <formula>LEN(TRIM(D13))=0</formula>
    </cfRule>
  </conditionalFormatting>
  <conditionalFormatting sqref="F20:F22">
    <cfRule type="containsBlanks" dxfId="4" priority="2">
      <formula>LEN(TRIM(F20))=0</formula>
    </cfRule>
  </conditionalFormatting>
  <conditionalFormatting sqref="L20:M22 E29:F31">
    <cfRule type="containsBlanks" dxfId="3" priority="1">
      <formula>LEN(TRIM(E20))=0</formula>
    </cfRule>
  </conditionalFormatting>
  <conditionalFormatting sqref="L6:N8 M9:N9 D12:F12 I12 L12 N12 D13:N13">
    <cfRule type="containsBlanks" dxfId="2" priority="5">
      <formula>LEN(TRIM(D6))=0</formula>
    </cfRule>
  </conditionalFormatting>
  <conditionalFormatting sqref="T36">
    <cfRule type="cellIs" dxfId="1" priority="4" operator="greaterThan">
      <formula>#REF!</formula>
    </cfRule>
  </conditionalFormatting>
  <conditionalFormatting sqref="AO38:AP38">
    <cfRule type="containsBlanks" dxfId="0" priority="3">
      <formula>LEN(TRIM(AO38))=0</formula>
    </cfRule>
  </conditionalFormatting>
  <dataValidations count="1">
    <dataValidation type="list" allowBlank="1" showInputMessage="1" showErrorMessage="1" sqref="D12:E12" xr:uid="{2EC5015A-7E56-40B9-9068-DADC3EED7851}">
      <formula1>$AH$6:$AH$13</formula1>
    </dataValidation>
  </dataValidations>
  <printOptions horizontalCentered="1" verticalCentered="1"/>
  <pageMargins left="0.31496062992125984" right="0.31496062992125984" top="0.35433070866141736" bottom="0.55118110236220474" header="0.31496062992125984" footer="0.11811023622047245"/>
  <pageSetup scale="55" orientation="landscape" r:id="rId1"/>
  <headerFooter>
    <oddFooter xml:space="preserve">&amp;CGEODELTA S.A.S. Calle 68 B bis No 70 C 95, Móvil: 318 7902368 Bogotá DC - Colombia
e-mail: laboratoriogeodelta@gmail.com
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GUIA</vt:lpstr>
      <vt:lpstr>GUIA!Área_de_impresión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DCM-005</dc:creator>
  <cp:lastModifiedBy>GeoDelta Líneas</cp:lastModifiedBy>
  <cp:lastPrinted>2026-04-23T13:08:58Z</cp:lastPrinted>
  <dcterms:created xsi:type="dcterms:W3CDTF">2019-08-12T15:15:58Z</dcterms:created>
  <dcterms:modified xsi:type="dcterms:W3CDTF">2026-04-23T15:21:47Z</dcterms:modified>
</cp:coreProperties>
</file>