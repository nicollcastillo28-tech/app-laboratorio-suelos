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C08680F1-2296-4FBA-A0E4-905C582D851A}" xr6:coauthVersionLast="47" xr6:coauthVersionMax="47" xr10:uidLastSave="{00000000-0000-0000-0000-000000000000}"/>
  <bookViews>
    <workbookView xWindow="-120" yWindow="-120" windowWidth="29040" windowHeight="15720" xr2:uid="{00000000-000D-0000-FFFF-FFFF00000000}"/>
  </bookViews>
  <sheets>
    <sheet name="FORMATO" sheetId="1" r:id="rId1"/>
    <sheet name="CONTROL DE CAMBIOS" sheetId="2" r:id="rId2"/>
  </sheets>
  <externalReferences>
    <externalReference r:id="rId3"/>
  </externalReferences>
  <definedNames>
    <definedName name="__123Graph_AYO" localSheetId="0">#REF!</definedName>
    <definedName name="__123Graph_AYO">#REF!</definedName>
    <definedName name="__123Graph_XYO" localSheetId="0">#REF!</definedName>
    <definedName name="__123Graph_XYO">#REF!</definedName>
    <definedName name="_Fill" localSheetId="0">#REF!</definedName>
    <definedName name="_Fill">#REF!</definedName>
    <definedName name="_Regression_Out" localSheetId="0">[1]L!#REF!</definedName>
    <definedName name="_Regression_Out">[1]L!#REF!</definedName>
    <definedName name="_Regression_X" localSheetId="0">#REF!</definedName>
    <definedName name="_Regression_X">#REF!</definedName>
    <definedName name="_Regression_Y" localSheetId="0">#REF!</definedName>
    <definedName name="_Regression_Y">#REF!</definedName>
    <definedName name="_xlnm.Print_Area" localSheetId="0">FORMATO!$A$1:$L$61</definedName>
    <definedName name="CBRINAL">#REF!</definedName>
    <definedName name="GFDGSD" localSheetId="0">[1]L!#REF!</definedName>
    <definedName name="GFDGSD">[1]L!#REF!</definedName>
    <definedName name="KMJ">#REF!</definedName>
    <definedName name="S1M18" localSheetId="0">#REF!</definedName>
    <definedName name="S1M1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QIiU4/lBTH0AsCi99Lim6re6snrXyGnsVMw5+gCzf/w="/>
    </ext>
  </extLst>
</workbook>
</file>

<file path=xl/calcChain.xml><?xml version="1.0" encoding="utf-8"?>
<calcChain xmlns="http://schemas.openxmlformats.org/spreadsheetml/2006/main">
  <c r="J10" i="1" l="1"/>
  <c r="K41" i="1"/>
  <c r="J41" i="1"/>
  <c r="E39" i="1"/>
  <c r="E22" i="1" s="1"/>
  <c r="D39" i="1"/>
  <c r="D40" i="1" s="1"/>
  <c r="L34" i="1"/>
  <c r="J34" i="1"/>
  <c r="E34" i="1"/>
  <c r="D34" i="1"/>
  <c r="L33" i="1"/>
  <c r="J33" i="1"/>
  <c r="L32" i="1"/>
  <c r="J32" i="1"/>
  <c r="L31" i="1"/>
  <c r="K43" i="1" s="1"/>
  <c r="J31" i="1"/>
  <c r="J43" i="1" s="1"/>
  <c r="L30" i="1"/>
  <c r="J30" i="1"/>
  <c r="L29" i="1"/>
  <c r="J29" i="1"/>
  <c r="L28" i="1"/>
  <c r="J28" i="1"/>
  <c r="L27" i="1"/>
  <c r="K42" i="1" s="1"/>
  <c r="K44" i="1" s="1"/>
  <c r="J27" i="1"/>
  <c r="J42" i="1" s="1"/>
  <c r="J44" i="1" s="1"/>
  <c r="L26" i="1"/>
  <c r="J26" i="1"/>
  <c r="D26" i="1"/>
  <c r="D27" i="1" s="1"/>
  <c r="L25" i="1"/>
  <c r="J25" i="1"/>
  <c r="D25" i="1"/>
  <c r="L24" i="1"/>
  <c r="J24" i="1"/>
  <c r="E24" i="1"/>
  <c r="E25" i="1" s="1"/>
  <c r="L23" i="1"/>
  <c r="J23" i="1"/>
  <c r="E21" i="1"/>
  <c r="E20" i="1"/>
  <c r="S8" i="1"/>
  <c r="E40" i="1" l="1"/>
  <c r="E26" i="1"/>
  <c r="E27" i="1" s="1"/>
  <c r="E28" i="1" s="1"/>
  <c r="D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9" authorId="0" shapeId="0" xr:uid="{00000000-0006-0000-0000-000001000000}">
      <text>
        <r>
          <rPr>
            <sz val="11"/>
            <color theme="1"/>
            <rFont val="Calibri"/>
            <family val="2"/>
            <scheme val="minor"/>
          </rPr>
          <t>======
ID#AAABgpUa3WQ
user    (2025-04-14 21:31:56)
CONSECUTIVO DE INGRESO</t>
        </r>
      </text>
    </comment>
    <comment ref="L9" authorId="0" shapeId="0" xr:uid="{00000000-0006-0000-0000-000002000000}">
      <text>
        <r>
          <rPr>
            <sz val="11"/>
            <color theme="1"/>
            <rFont val="Calibri"/>
            <family val="2"/>
            <scheme val="minor"/>
          </rPr>
          <t>======
ID#AAABgpUa3WM
user    (2025-04-14 21:31:56)
DOS ÚLTIMOS DÍGITOS DEL AÑO DE INGRESO</t>
        </r>
      </text>
    </comment>
    <comment ref="D12" authorId="0" shapeId="0" xr:uid="{00000000-0006-0000-0000-000003000000}">
      <text>
        <r>
          <rPr>
            <sz val="11"/>
            <color theme="1"/>
            <rFont val="Calibri"/>
            <family val="2"/>
            <scheme val="minor"/>
          </rPr>
          <t>======
ID#AAABgpUa3WU
user    (2025-04-14 21:31:56)
# DE LA PERFORACIÓN</t>
        </r>
      </text>
    </comment>
  </commentList>
  <extLst>
    <ext xmlns:r="http://schemas.openxmlformats.org/officeDocument/2006/relationships" uri="GoogleSheetsCustomDataVersion2">
      <go:sheetsCustomData xmlns:go="http://customooxmlschemas.google.com/" r:id="rId1" roundtripDataSignature="AMtx7mh/A9vldqrDwROOUOLbpOWS2ch1Gg=="/>
    </ext>
  </extLst>
</comments>
</file>

<file path=xl/sharedStrings.xml><?xml version="1.0" encoding="utf-8"?>
<sst xmlns="http://schemas.openxmlformats.org/spreadsheetml/2006/main" count="116" uniqueCount="98">
  <si>
    <t>CONTROL DE CAMBIOS</t>
  </si>
  <si>
    <t>Versión No.</t>
  </si>
  <si>
    <t>Fecha del cambio</t>
  </si>
  <si>
    <t>Modificaciones</t>
  </si>
  <si>
    <t>00</t>
  </si>
  <si>
    <t>Creación del documento</t>
  </si>
  <si>
    <t>01</t>
  </si>
  <si>
    <t>Se actualiza la versión por cambios en la estructura del formato</t>
  </si>
  <si>
    <t>02</t>
  </si>
  <si>
    <t>INFORME DE RESULTADOS</t>
  </si>
  <si>
    <t>CÓDIGO: GDA-FLC-013</t>
  </si>
  <si>
    <t xml:space="preserve">CBR DE SUELOS COMPACTADOS EN EL LABORATORIO Y SOBRE MUESTRA INALTERADA INV. E-148-13 </t>
  </si>
  <si>
    <t>PÁGINA 1 DE 1</t>
  </si>
  <si>
    <t xml:space="preserve">tipo de perforación </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</si>
  <si>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</si>
  <si>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</si>
  <si>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</si>
  <si>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</si>
  <si>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</si>
  <si>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</si>
  <si>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</si>
  <si>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</si>
  <si>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</si>
  <si>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</si>
  <si>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</si>
  <si>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</si>
  <si>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</si>
  <si>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</si>
  <si>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</si>
  <si>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</si>
  <si>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</si>
  <si>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</si>
  <si>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</si>
  <si>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</si>
  <si>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</si>
  <si>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 xml:space="preserve">DATOS INICIALES </t>
  </si>
  <si>
    <t xml:space="preserve">ANTES INMERSIÓN </t>
  </si>
  <si>
    <t xml:space="preserve">DESPUÉS INMERSIÓN </t>
  </si>
  <si>
    <t>PENETRACIÓN</t>
  </si>
  <si>
    <t>ANTES DE INMERSIÓN</t>
  </si>
  <si>
    <t xml:space="preserve">DESPUES DE INMERSIÓN </t>
  </si>
  <si>
    <t>MOLDE No</t>
  </si>
  <si>
    <t xml:space="preserve">Fuerza </t>
  </si>
  <si>
    <t>Esfuerzo</t>
  </si>
  <si>
    <t>Fuerza</t>
  </si>
  <si>
    <t>DIAMETRO DE LA MUESTRA</t>
  </si>
  <si>
    <t>cm</t>
  </si>
  <si>
    <t>(in)</t>
  </si>
  <si>
    <t>(mm)</t>
  </si>
  <si>
    <t>kN</t>
  </si>
  <si>
    <t>MPa</t>
  </si>
  <si>
    <t xml:space="preserve">ALTURA DE LA MUESTRA </t>
  </si>
  <si>
    <t>MASA DE LA MUESTRA + MOLDE</t>
  </si>
  <si>
    <t>g</t>
  </si>
  <si>
    <t xml:space="preserve">MASA MOLDE </t>
  </si>
  <si>
    <t xml:space="preserve">MASA DE LA MUESTRA </t>
  </si>
  <si>
    <t xml:space="preserve">VOLUMEN DE LA MUESTRA </t>
  </si>
  <si>
    <r>
      <rPr>
        <sz val="12"/>
        <color theme="1"/>
        <rFont val="Arial"/>
        <family val="2"/>
      </rPr>
      <t>cm</t>
    </r>
    <r>
      <rPr>
        <sz val="12"/>
        <color theme="1"/>
        <rFont val="Calibri"/>
        <family val="2"/>
      </rPr>
      <t>³</t>
    </r>
  </si>
  <si>
    <t xml:space="preserve">DENSIDAD MUESTRA HÚMEDA </t>
  </si>
  <si>
    <t>g/cm³</t>
  </si>
  <si>
    <t>DENSIDAD MUESTRA  SECA</t>
  </si>
  <si>
    <t>HUMEDAD %</t>
  </si>
  <si>
    <t xml:space="preserve">RECIPIENTE </t>
  </si>
  <si>
    <t xml:space="preserve">PESO RECIPIENTE + SUELO HUMEDO </t>
  </si>
  <si>
    <t xml:space="preserve">PESO RECIPIENTE + SUELO SECO </t>
  </si>
  <si>
    <t>PESO RECIPIENTE</t>
  </si>
  <si>
    <t xml:space="preserve">HUMEDAD </t>
  </si>
  <si>
    <t>%</t>
  </si>
  <si>
    <t xml:space="preserve">DATOS DE EXPANSIÓN </t>
  </si>
  <si>
    <t xml:space="preserve">CONDICIONES DEL ENSAYO </t>
  </si>
  <si>
    <t xml:space="preserve">LECTURA INICIAL </t>
  </si>
  <si>
    <t>in</t>
  </si>
  <si>
    <t>RANGO</t>
  </si>
  <si>
    <t xml:space="preserve">VELOCIDAD </t>
  </si>
  <si>
    <t>1,27 mm/min</t>
  </si>
  <si>
    <t>LECTURA FINAL (in)</t>
  </si>
  <si>
    <t>PESAS DE SOBRE CARGA (g)</t>
  </si>
  <si>
    <t xml:space="preserve">TIEMPO DE INMERSIÓN (Días) </t>
  </si>
  <si>
    <t>EXPANSIÓN TOTAL (cm)</t>
  </si>
  <si>
    <t xml:space="preserve">ANTES DE INMESIÓN </t>
  </si>
  <si>
    <t>EXPANSIÓN TOTAL %</t>
  </si>
  <si>
    <t>C.B.R.  0,100 plg</t>
  </si>
  <si>
    <t>C.B.R.  0,200 plg</t>
  </si>
  <si>
    <t>CBR</t>
  </si>
  <si>
    <t>APROBÓ</t>
  </si>
  <si>
    <t>REVISÓ</t>
  </si>
  <si>
    <t>Ing. SERGIO DURAN NÚÑEZ</t>
  </si>
  <si>
    <t>Director Técnico</t>
  </si>
  <si>
    <t xml:space="preserve">Jefe laboratorio </t>
  </si>
  <si>
    <t>DESCARGO DE RESPONSABILIDADES  GEODELTA INGENIERIA S.A.S.</t>
  </si>
  <si>
    <t>El presente ensayo no podrá ser reproducido ni parcial ni totalmente sin previa autorización escrita del laboratorio que lo emite. Los resultados de este ensayo solo son aplicables a las muestras ensayadas. Este informe es valido únicamente si presenta firma de quien Reviso y/o Aprobó. El laboratorio es reponsable de toda la información suministrada en es presente inform, excepto cuando la información es suministrada por el cliente. El laboraorio no es responsable por la inforcaión suministrada por el cliente, misma que puede afectar la validez de los resultados. (DATOS SUMINISTRADOS POR EL CLIENTE: PROCEDENCIA, PROFUNDIDAD, NUMERO DE PERFORACIÓN Y FECHA DE TOMA)</t>
  </si>
  <si>
    <t>-----------FIN DEL INFORME---------</t>
  </si>
  <si>
    <t>DIGITAR CODIGO ENSAYO</t>
  </si>
  <si>
    <t>OBSERVACIONES:</t>
  </si>
  <si>
    <t>VERSIÓN: 03</t>
  </si>
  <si>
    <t>FECHA: 09-10-2026</t>
  </si>
  <si>
    <t>03</t>
  </si>
  <si>
    <t>Se actualiza la versión por cambios en la estructura del formato, Se ajustaron las combinaciones de celdas de los apartados “Antes de inmersión” y “Después de inmersión”. Se agregó el espacio para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</si>
</sst>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dd/mm/yyyy"/>
    <numFmt numFmtId="166" formatCode="[$-200A]d&quot; de &quot;mmmm&quot; de &quot;yyyy"/>
    <numFmt numFmtId="167" formatCode="@\ &quot;-&quot;"/>
    <numFmt numFmtId="168" formatCode="0.00&quot; m&quot;"/>
    <numFmt numFmtId="169" formatCode="0.000"/>
  </numFmts>
  <fonts count="25" x14ac:knownFonts="1">
    <font>
      <sz val="11"/>
      <color theme="1"/>
      <name val="Calibri"/>
      <scheme val="minor"/>
    </font>
    <font>
      <sz val="11"/>
      <color theme="1"/>
      <name val="Calibri"/>
      <family val="2"/>
    </font>
    <font>
      <b/>
      <sz val="11"/>
      <color theme="1"/>
      <name val="Arial"/>
      <family val="2"/>
    </font>
    <font>
      <sz val="11"/>
      <name val="Calibri"/>
      <family val="2"/>
    </font>
    <font>
      <sz val="11"/>
      <color theme="1"/>
      <name val="Arial"/>
      <family val="2"/>
    </font>
    <font>
      <sz val="12"/>
      <color theme="1"/>
      <name val="Arial"/>
      <family val="2"/>
    </font>
    <font>
      <b/>
      <sz val="14"/>
      <color theme="1"/>
      <name val="Arial"/>
      <family val="2"/>
    </font>
    <font>
      <sz val="12"/>
      <color rgb="FFFF0000"/>
      <name val="Arial"/>
      <family val="2"/>
    </font>
    <font>
      <b/>
      <sz val="12"/>
      <color theme="1"/>
      <name val="Arial"/>
      <family val="2"/>
    </font>
    <font>
      <b/>
      <sz val="16"/>
      <color rgb="FF002060"/>
      <name val="Arial"/>
      <family val="2"/>
    </font>
    <font>
      <b/>
      <sz val="12"/>
      <color rgb="FF002060"/>
      <name val="Arial"/>
      <family val="2"/>
    </font>
    <font>
      <b/>
      <sz val="12"/>
      <color rgb="FF2F5496"/>
      <name val="Arial"/>
      <family val="2"/>
    </font>
    <font>
      <b/>
      <sz val="14"/>
      <color rgb="FF002060"/>
      <name val="Arial"/>
      <family val="2"/>
    </font>
    <font>
      <b/>
      <sz val="11"/>
      <color rgb="FF002060"/>
      <name val="Arial"/>
      <family val="2"/>
    </font>
    <font>
      <b/>
      <sz val="9"/>
      <color theme="1"/>
      <name val="Arial"/>
      <family val="2"/>
    </font>
    <font>
      <b/>
      <sz val="10"/>
      <color theme="1"/>
      <name val="Arial"/>
      <family val="2"/>
    </font>
    <font>
      <sz val="11"/>
      <color rgb="FFFF0000"/>
      <name val="Arial"/>
      <family val="2"/>
    </font>
    <font>
      <sz val="10"/>
      <color theme="1"/>
      <name val="Arial"/>
      <family val="2"/>
    </font>
    <font>
      <sz val="9"/>
      <color theme="1"/>
      <name val="Arial"/>
      <family val="2"/>
    </font>
    <font>
      <sz val="12"/>
      <color theme="1"/>
      <name val="Calibri"/>
      <family val="2"/>
    </font>
    <font>
      <sz val="11"/>
      <color theme="1"/>
      <name val="Arial"/>
      <family val="2"/>
    </font>
    <font>
      <sz val="12"/>
      <color theme="1"/>
      <name val="Arial"/>
      <family val="2"/>
    </font>
    <font>
      <b/>
      <sz val="12"/>
      <color theme="1"/>
      <name val="Arial"/>
      <family val="2"/>
    </font>
    <font>
      <u/>
      <sz val="12"/>
      <color theme="1"/>
      <name val="Arial"/>
      <family val="2"/>
    </font>
    <font>
      <u/>
      <sz val="11"/>
      <name val="Calibri"/>
      <family val="2"/>
    </font>
  </fonts>
  <fills count="6">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2F2F2"/>
        <bgColor rgb="FFF2F2F2"/>
      </patternFill>
    </fill>
    <fill>
      <patternFill patternType="solid">
        <fgColor rgb="FFD0CECE"/>
        <bgColor rgb="FFD0CECE"/>
      </patternFill>
    </fill>
  </fills>
  <borders count="98">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7F7F7F"/>
      </top>
      <bottom style="thin">
        <color rgb="FF7F7F7F"/>
      </bottom>
      <diagonal/>
    </border>
    <border>
      <left style="medium">
        <color rgb="FF7F7F7F"/>
      </left>
      <right/>
      <top/>
      <bottom/>
      <diagonal/>
    </border>
    <border>
      <left/>
      <right style="medium">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medium">
        <color rgb="FF7F7F7F"/>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style="thin">
        <color rgb="FF7F7F7F"/>
      </bottom>
      <diagonal/>
    </border>
    <border>
      <left/>
      <right/>
      <top/>
      <bottom style="thin">
        <color rgb="FF7F7F7F"/>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top/>
      <bottom style="medium">
        <color rgb="FF7F7F7F"/>
      </bottom>
      <diagonal/>
    </border>
    <border>
      <left/>
      <right style="medium">
        <color rgb="FF7F7F7F"/>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right style="medium">
        <color rgb="FF7F7F7F"/>
      </right>
      <top style="medium">
        <color rgb="FF7F7F7F"/>
      </top>
      <bottom/>
      <diagonal/>
    </border>
    <border>
      <left style="medium">
        <color rgb="FF7F7F7F"/>
      </left>
      <right/>
      <top style="medium">
        <color rgb="FF7F7F7F"/>
      </top>
      <bottom/>
      <diagonal/>
    </border>
    <border>
      <left/>
      <right style="medium">
        <color rgb="FF7F7F7F"/>
      </right>
      <top style="medium">
        <color rgb="FF7F7F7F"/>
      </top>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top/>
      <bottom style="thin">
        <color rgb="FF7F7F7F"/>
      </bottom>
      <diagonal/>
    </border>
    <border>
      <left/>
      <right style="medium">
        <color rgb="FF7F7F7F"/>
      </right>
      <top/>
      <bottom style="thin">
        <color rgb="FF7F7F7F"/>
      </bottom>
      <diagonal/>
    </border>
    <border>
      <left style="medium">
        <color rgb="FF7F7F7F"/>
      </left>
      <right style="thin">
        <color rgb="FF7F7F7F"/>
      </right>
      <top/>
      <bottom style="thin">
        <color rgb="FF7F7F7F"/>
      </bottom>
      <diagonal/>
    </border>
    <border>
      <left style="thin">
        <color rgb="FF7F7F7F"/>
      </left>
      <right/>
      <top/>
      <bottom style="thin">
        <color rgb="FF7F7F7F"/>
      </bottom>
      <diagonal/>
    </border>
    <border>
      <left style="medium">
        <color rgb="FF7F7F7F"/>
      </left>
      <right style="thin">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7F7F7F"/>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medium">
        <color rgb="FF7F7F7F"/>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style="medium">
        <color rgb="FF7F7F7F"/>
      </left>
      <right/>
      <top/>
      <bottom/>
      <diagonal/>
    </border>
    <border>
      <left/>
      <right style="medium">
        <color rgb="FF7F7F7F"/>
      </right>
      <top/>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rgb="FF7F7F7F"/>
      </right>
      <top/>
      <bottom style="thin">
        <color rgb="FF7F7F7F"/>
      </bottom>
      <diagonal/>
    </border>
    <border>
      <left style="medium">
        <color rgb="FF7F7F7F"/>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right style="medium">
        <color rgb="FF7F7F7F"/>
      </right>
      <top style="thin">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diagonal/>
    </border>
    <border>
      <left style="medium">
        <color rgb="FF7F7F7F"/>
      </left>
      <right style="medium">
        <color rgb="FF7F7F7F"/>
      </right>
      <top style="medium">
        <color rgb="FF7F7F7F"/>
      </top>
      <bottom style="medium">
        <color rgb="FF7F7F7F"/>
      </bottom>
      <diagonal/>
    </border>
    <border>
      <left/>
      <right/>
      <top/>
      <bottom style="thin">
        <color rgb="FF7F7F7F"/>
      </bottom>
      <diagonal/>
    </border>
    <border>
      <left style="thin">
        <color rgb="FF7F7F7F"/>
      </left>
      <right/>
      <top style="medium">
        <color rgb="FF7F7F7F"/>
      </top>
      <bottom style="thin">
        <color rgb="FF7F7F7F"/>
      </bottom>
      <diagonal/>
    </border>
    <border>
      <left style="medium">
        <color rgb="FF7F7F7F"/>
      </left>
      <right/>
      <top style="medium">
        <color rgb="FF7F7F7F"/>
      </top>
      <bottom style="thin">
        <color rgb="FF7F7F7F"/>
      </bottom>
      <diagonal/>
    </border>
    <border>
      <left style="medium">
        <color rgb="FF7F7F7F"/>
      </left>
      <right style="medium">
        <color rgb="FF7F7F7F"/>
      </right>
      <top style="medium">
        <color rgb="FF7F7F7F"/>
      </top>
      <bottom style="thin">
        <color rgb="FF7F7F7F"/>
      </bottom>
      <diagonal/>
    </border>
    <border>
      <left style="medium">
        <color rgb="FF7F7F7F"/>
      </left>
      <right/>
      <top style="thin">
        <color rgb="FF7F7F7F"/>
      </top>
      <bottom style="medium">
        <color rgb="FF7F7F7F"/>
      </bottom>
      <diagonal/>
    </border>
    <border>
      <left style="medium">
        <color rgb="FF7F7F7F"/>
      </left>
      <right style="medium">
        <color rgb="FF7F7F7F"/>
      </right>
      <top style="thin">
        <color rgb="FF7F7F7F"/>
      </top>
      <bottom style="medium">
        <color rgb="FF7F7F7F"/>
      </bottom>
      <diagonal/>
    </border>
    <border>
      <left/>
      <right/>
      <top style="thin">
        <color rgb="FF7F7F7F"/>
      </top>
      <bottom style="medium">
        <color rgb="FF7F7F7F"/>
      </bottom>
      <diagonal/>
    </border>
    <border>
      <left/>
      <right style="medium">
        <color rgb="FF7F7F7F"/>
      </right>
      <top style="thin">
        <color rgb="FF000000"/>
      </top>
      <bottom/>
      <diagonal/>
    </border>
    <border>
      <left style="medium">
        <color rgb="FF7F7F7F"/>
      </left>
      <right/>
      <top/>
      <bottom/>
      <diagonal/>
    </border>
    <border>
      <left/>
      <right/>
      <top/>
      <bottom/>
      <diagonal/>
    </border>
    <border>
      <left/>
      <right style="medium">
        <color rgb="FF7F7F7F"/>
      </right>
      <top/>
      <bottom/>
      <diagonal/>
    </border>
    <border>
      <left style="medium">
        <color rgb="FF7F7F7F"/>
      </left>
      <right/>
      <top/>
      <bottom/>
      <diagonal/>
    </border>
    <border>
      <left/>
      <right/>
      <top/>
      <bottom/>
      <diagonal/>
    </border>
    <border>
      <left/>
      <right style="medium">
        <color rgb="FF7F7F7F"/>
      </right>
      <top/>
      <bottom/>
      <diagonal/>
    </border>
    <border>
      <left style="medium">
        <color rgb="FF7F7F7F"/>
      </left>
      <right/>
      <top/>
      <bottom/>
      <diagonal/>
    </border>
    <border>
      <left/>
      <right/>
      <top/>
      <bottom/>
      <diagonal/>
    </border>
    <border>
      <left/>
      <right style="medium">
        <color rgb="FF7F7F7F"/>
      </right>
      <top/>
      <bottom/>
      <diagonal/>
    </border>
    <border>
      <left/>
      <right/>
      <top/>
      <bottom style="medium">
        <color rgb="FF7F7F7F"/>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264">
    <xf numFmtId="0" fontId="0" fillId="0" borderId="0" xfId="0"/>
    <xf numFmtId="0" fontId="1" fillId="0" borderId="0" xfId="0" applyFont="1"/>
    <xf numFmtId="0" fontId="2" fillId="0" borderId="2" xfId="0" applyFont="1" applyBorder="1" applyAlignment="1">
      <alignment horizontal="center"/>
    </xf>
    <xf numFmtId="0" fontId="2" fillId="0" borderId="3" xfId="0" applyFont="1" applyBorder="1" applyAlignment="1">
      <alignment horizontal="center"/>
    </xf>
    <xf numFmtId="49" fontId="4" fillId="0" borderId="2" xfId="0" applyNumberFormat="1" applyFont="1" applyBorder="1" applyAlignment="1">
      <alignment horizontal="center"/>
    </xf>
    <xf numFmtId="164" fontId="4" fillId="0" borderId="3" xfId="0" applyNumberFormat="1" applyFont="1" applyBorder="1" applyAlignment="1">
      <alignment horizontal="center"/>
    </xf>
    <xf numFmtId="0" fontId="4" fillId="0" borderId="3" xfId="0" applyFont="1" applyBorder="1"/>
    <xf numFmtId="0" fontId="4" fillId="0" borderId="3" xfId="0" applyFont="1" applyBorder="1" applyAlignment="1">
      <alignment horizontal="left"/>
    </xf>
    <xf numFmtId="0" fontId="5"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Protection="1">
      <protection locked="0"/>
    </xf>
    <xf numFmtId="0" fontId="7" fillId="0" borderId="0" xfId="0" applyFont="1" applyAlignment="1" applyProtection="1">
      <alignment horizontal="center" vertical="center"/>
      <protection locked="0"/>
    </xf>
    <xf numFmtId="0" fontId="5" fillId="0" borderId="16" xfId="0" applyFont="1" applyBorder="1" applyAlignment="1" applyProtection="1">
      <alignment vertical="center"/>
      <protection locked="0"/>
    </xf>
    <xf numFmtId="167" fontId="5" fillId="2" borderId="24" xfId="0" applyNumberFormat="1" applyFont="1" applyFill="1" applyBorder="1" applyAlignment="1" applyProtection="1">
      <alignment horizontal="center" vertical="center"/>
      <protection locked="0"/>
    </xf>
    <xf numFmtId="49" fontId="5" fillId="2" borderId="25" xfId="0" applyNumberFormat="1" applyFont="1" applyFill="1" applyBorder="1" applyAlignment="1" applyProtection="1">
      <alignment vertical="center"/>
      <protection locked="0"/>
    </xf>
    <xf numFmtId="49" fontId="5" fillId="2" borderId="33" xfId="0" applyNumberFormat="1" applyFont="1" applyFill="1" applyBorder="1" applyAlignment="1" applyProtection="1">
      <alignment horizontal="right" vertical="center"/>
      <protection locked="0"/>
    </xf>
    <xf numFmtId="0" fontId="5" fillId="2" borderId="33" xfId="0" applyFont="1" applyFill="1" applyBorder="1" applyAlignment="1" applyProtection="1">
      <alignment horizontal="left" vertical="center"/>
      <protection locked="0"/>
    </xf>
    <xf numFmtId="168" fontId="5" fillId="2" borderId="33" xfId="0" applyNumberFormat="1" applyFont="1" applyFill="1" applyBorder="1" applyAlignment="1" applyProtection="1">
      <alignment horizontal="right" vertical="center"/>
      <protection locked="0"/>
    </xf>
    <xf numFmtId="168" fontId="5" fillId="2" borderId="34" xfId="0" applyNumberFormat="1" applyFont="1" applyFill="1" applyBorder="1" applyAlignment="1" applyProtection="1">
      <alignment horizontal="left" vertical="center"/>
      <protection locked="0"/>
    </xf>
    <xf numFmtId="0" fontId="4" fillId="0" borderId="0" xfId="0" applyFont="1" applyAlignment="1" applyProtection="1">
      <alignment vertical="center"/>
      <protection locked="0"/>
    </xf>
    <xf numFmtId="0" fontId="10" fillId="0" borderId="0" xfId="0" applyFont="1" applyAlignment="1" applyProtection="1">
      <alignment vertical="center"/>
      <protection locked="0"/>
    </xf>
    <xf numFmtId="0" fontId="4" fillId="2" borderId="17" xfId="0" applyFont="1" applyFill="1" applyBorder="1" applyAlignment="1" applyProtection="1">
      <alignment vertical="center"/>
      <protection locked="0"/>
    </xf>
    <xf numFmtId="0" fontId="4" fillId="2" borderId="17" xfId="0" applyFont="1" applyFill="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69" fontId="4" fillId="2" borderId="17" xfId="0" applyNumberFormat="1" applyFont="1" applyFill="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1" fontId="5" fillId="0" borderId="16" xfId="0" applyNumberFormat="1" applyFont="1" applyBorder="1" applyAlignment="1" applyProtection="1">
      <alignment horizontal="center" vertical="center"/>
      <protection locked="0"/>
    </xf>
    <xf numFmtId="2" fontId="5" fillId="0" borderId="16" xfId="0" applyNumberFormat="1" applyFont="1" applyBorder="1" applyAlignment="1" applyProtection="1">
      <alignment horizontal="center" vertical="center"/>
      <protection locked="0"/>
    </xf>
    <xf numFmtId="2" fontId="5" fillId="0" borderId="49" xfId="0" applyNumberFormat="1" applyFont="1" applyBorder="1" applyAlignment="1" applyProtection="1">
      <alignment horizontal="center" vertical="center"/>
      <protection locked="0"/>
    </xf>
    <xf numFmtId="0" fontId="5" fillId="4" borderId="55" xfId="0" applyFont="1" applyFill="1" applyBorder="1" applyAlignment="1" applyProtection="1">
      <alignment horizontal="center" vertical="center"/>
      <protection locked="0"/>
    </xf>
    <xf numFmtId="1" fontId="5" fillId="0" borderId="42" xfId="0" applyNumberFormat="1" applyFont="1" applyBorder="1" applyAlignment="1" applyProtection="1">
      <alignment horizontal="center" vertical="center"/>
      <protection locked="0"/>
    </xf>
    <xf numFmtId="1" fontId="5" fillId="0" borderId="43" xfId="0" applyNumberFormat="1" applyFont="1" applyBorder="1" applyAlignment="1" applyProtection="1">
      <alignment horizontal="center" vertical="center"/>
      <protection locked="0"/>
    </xf>
    <xf numFmtId="0" fontId="5" fillId="0" borderId="61" xfId="0" applyFont="1" applyBorder="1" applyAlignment="1" applyProtection="1">
      <alignment horizontal="center" vertical="center"/>
      <protection locked="0"/>
    </xf>
    <xf numFmtId="0" fontId="8" fillId="0" borderId="66" xfId="0" applyFont="1" applyBorder="1" applyAlignment="1" applyProtection="1">
      <alignment horizontal="center" vertical="center"/>
      <protection locked="0"/>
    </xf>
    <xf numFmtId="0" fontId="5" fillId="0" borderId="67" xfId="0" applyFont="1" applyBorder="1" applyAlignment="1" applyProtection="1">
      <alignment vertical="center"/>
      <protection locked="0"/>
    </xf>
    <xf numFmtId="0" fontId="5" fillId="0" borderId="69" xfId="0" applyFont="1" applyBorder="1" applyAlignment="1" applyProtection="1">
      <alignment horizontal="center" vertical="center"/>
      <protection locked="0"/>
    </xf>
    <xf numFmtId="0" fontId="5" fillId="0" borderId="49" xfId="0" applyFont="1" applyBorder="1" applyAlignment="1" applyProtection="1">
      <alignment vertical="center"/>
      <protection locked="0"/>
    </xf>
    <xf numFmtId="0" fontId="12" fillId="5" borderId="71" xfId="0" applyFont="1" applyFill="1" applyBorder="1" applyAlignment="1" applyProtection="1">
      <alignment vertical="center"/>
      <protection locked="0"/>
    </xf>
    <xf numFmtId="0" fontId="12" fillId="5" borderId="72" xfId="0" applyFont="1" applyFill="1" applyBorder="1" applyAlignment="1" applyProtection="1">
      <alignment vertical="center"/>
      <protection locked="0"/>
    </xf>
    <xf numFmtId="0" fontId="5" fillId="0" borderId="75" xfId="0" applyFont="1" applyBorder="1" applyAlignment="1" applyProtection="1">
      <alignment vertical="center"/>
      <protection locked="0"/>
    </xf>
    <xf numFmtId="0" fontId="5" fillId="0" borderId="65" xfId="0" applyFont="1" applyBorder="1" applyAlignment="1" applyProtection="1">
      <alignment vertical="center"/>
      <protection locked="0"/>
    </xf>
    <xf numFmtId="0" fontId="5" fillId="0" borderId="5" xfId="0" applyFont="1" applyBorder="1" applyAlignment="1" applyProtection="1">
      <alignment vertical="center"/>
      <protection locked="0"/>
    </xf>
    <xf numFmtId="0" fontId="5" fillId="0" borderId="48" xfId="0" applyFont="1" applyBorder="1" applyAlignment="1" applyProtection="1">
      <alignment vertical="center"/>
      <protection locked="0"/>
    </xf>
    <xf numFmtId="0" fontId="5" fillId="0" borderId="81" xfId="0" applyFont="1" applyBorder="1" applyAlignment="1" applyProtection="1">
      <alignment vertical="center"/>
      <protection locked="0"/>
    </xf>
    <xf numFmtId="0" fontId="5" fillId="0" borderId="58" xfId="0" applyFont="1" applyBorder="1" applyAlignment="1" applyProtection="1">
      <alignment vertical="center"/>
      <protection locked="0"/>
    </xf>
    <xf numFmtId="0" fontId="5" fillId="0" borderId="59" xfId="0" applyFont="1" applyBorder="1" applyAlignment="1" applyProtection="1">
      <alignment vertical="center"/>
      <protection locked="0"/>
    </xf>
    <xf numFmtId="169" fontId="13" fillId="0" borderId="0" xfId="0" applyNumberFormat="1" applyFont="1" applyAlignment="1" applyProtection="1">
      <alignment vertical="center"/>
      <protection locked="0"/>
    </xf>
    <xf numFmtId="0" fontId="4" fillId="0" borderId="0" xfId="0" applyFont="1" applyAlignment="1" applyProtection="1">
      <alignment horizontal="center" vertical="center"/>
      <protection locked="0"/>
    </xf>
    <xf numFmtId="0" fontId="2" fillId="2" borderId="17" xfId="0" applyFont="1" applyFill="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4" fillId="2" borderId="90" xfId="0" applyFont="1" applyFill="1" applyBorder="1" applyAlignment="1" applyProtection="1">
      <alignment vertical="center"/>
      <protection locked="0"/>
    </xf>
    <xf numFmtId="169" fontId="5" fillId="2" borderId="97" xfId="0" applyNumberFormat="1" applyFont="1" applyFill="1" applyBorder="1" applyAlignment="1" applyProtection="1">
      <alignment horizontal="left" vertical="center"/>
      <protection locked="0"/>
    </xf>
    <xf numFmtId="2" fontId="5" fillId="2" borderId="97" xfId="0" applyNumberFormat="1" applyFont="1" applyFill="1" applyBorder="1" applyAlignment="1" applyProtection="1">
      <alignment horizontal="center" vertical="center"/>
      <protection locked="0"/>
    </xf>
    <xf numFmtId="0" fontId="5" fillId="2" borderId="97" xfId="0" applyFont="1" applyFill="1" applyBorder="1" applyAlignment="1" applyProtection="1">
      <alignment vertical="center"/>
      <protection locked="0"/>
    </xf>
    <xf numFmtId="49" fontId="20" fillId="0" borderId="93" xfId="0" applyNumberFormat="1" applyFont="1" applyBorder="1" applyAlignment="1" applyProtection="1">
      <alignment vertical="center"/>
      <protection locked="0"/>
    </xf>
    <xf numFmtId="0" fontId="20" fillId="0" borderId="0" xfId="0" applyFont="1" applyAlignment="1" applyProtection="1">
      <alignment vertical="center"/>
      <protection locked="0"/>
    </xf>
    <xf numFmtId="2" fontId="4" fillId="2" borderId="17" xfId="0" applyNumberFormat="1" applyFont="1" applyFill="1" applyBorder="1" applyAlignment="1" applyProtection="1">
      <alignment horizontal="center" vertical="center"/>
      <protection locked="0"/>
    </xf>
    <xf numFmtId="2" fontId="4" fillId="2" borderId="17" xfId="0" applyNumberFormat="1" applyFont="1" applyFill="1" applyBorder="1" applyAlignment="1" applyProtection="1">
      <alignment vertical="center"/>
      <protection locked="0"/>
    </xf>
    <xf numFmtId="2" fontId="17" fillId="2" borderId="17" xfId="0" applyNumberFormat="1" applyFont="1" applyFill="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horizontal="center" vertical="center"/>
      <protection locked="0"/>
    </xf>
    <xf numFmtId="0" fontId="8" fillId="0" borderId="49" xfId="0" applyFont="1" applyBorder="1" applyAlignment="1" applyProtection="1">
      <alignment horizontal="center" vertical="center"/>
      <protection hidden="1"/>
    </xf>
    <xf numFmtId="0" fontId="5" fillId="0" borderId="49" xfId="0" applyFont="1" applyBorder="1" applyAlignment="1" applyProtection="1">
      <alignment horizontal="center" vertical="center"/>
      <protection hidden="1"/>
    </xf>
    <xf numFmtId="1" fontId="5" fillId="0" borderId="49" xfId="0" applyNumberFormat="1" applyFont="1" applyBorder="1" applyAlignment="1" applyProtection="1">
      <alignment horizontal="center" vertical="center"/>
      <protection hidden="1"/>
    </xf>
    <xf numFmtId="2" fontId="5" fillId="0" borderId="49" xfId="0" applyNumberFormat="1" applyFont="1" applyBorder="1" applyAlignment="1" applyProtection="1">
      <alignment horizontal="center" vertical="center"/>
      <protection hidden="1"/>
    </xf>
    <xf numFmtId="2" fontId="5" fillId="2" borderId="60" xfId="0" applyNumberFormat="1" applyFont="1" applyFill="1" applyBorder="1" applyAlignment="1" applyProtection="1">
      <alignment horizontal="center" vertical="center"/>
      <protection hidden="1"/>
    </xf>
    <xf numFmtId="1" fontId="5" fillId="0" borderId="16" xfId="0" applyNumberFormat="1" applyFont="1" applyBorder="1" applyAlignment="1" applyProtection="1">
      <alignment horizontal="center" vertical="center"/>
      <protection hidden="1"/>
    </xf>
    <xf numFmtId="2" fontId="5" fillId="0" borderId="16" xfId="0" applyNumberFormat="1" applyFont="1" applyBorder="1" applyAlignment="1" applyProtection="1">
      <alignment horizontal="center" vertical="center"/>
      <protection hidden="1"/>
    </xf>
    <xf numFmtId="2" fontId="5" fillId="2" borderId="59" xfId="0" applyNumberFormat="1" applyFont="1" applyFill="1" applyBorder="1" applyAlignment="1" applyProtection="1">
      <alignment horizontal="center" vertical="center"/>
      <protection hidden="1"/>
    </xf>
    <xf numFmtId="0" fontId="5" fillId="0" borderId="16" xfId="0" applyFont="1" applyBorder="1" applyAlignment="1" applyProtection="1">
      <alignment horizontal="center" vertical="center"/>
      <protection hidden="1"/>
    </xf>
    <xf numFmtId="2" fontId="8" fillId="0" borderId="59" xfId="0" applyNumberFormat="1" applyFont="1" applyBorder="1" applyAlignment="1" applyProtection="1">
      <alignment horizontal="center" vertical="center"/>
      <protection hidden="1"/>
    </xf>
    <xf numFmtId="2" fontId="8" fillId="0" borderId="60" xfId="0" applyNumberFormat="1" applyFont="1" applyBorder="1" applyAlignment="1" applyProtection="1">
      <alignment horizontal="center" vertical="center"/>
      <protection hidden="1"/>
    </xf>
    <xf numFmtId="0" fontId="5" fillId="2" borderId="56" xfId="0" applyFont="1" applyFill="1" applyBorder="1" applyAlignment="1" applyProtection="1">
      <alignment horizontal="center" vertical="center"/>
      <protection hidden="1"/>
    </xf>
    <xf numFmtId="169" fontId="5" fillId="2" borderId="56" xfId="0" applyNumberFormat="1" applyFont="1" applyFill="1" applyBorder="1" applyAlignment="1" applyProtection="1">
      <alignment horizontal="center" vertical="center"/>
      <protection hidden="1"/>
    </xf>
    <xf numFmtId="169" fontId="5" fillId="4" borderId="56" xfId="0" applyNumberFormat="1" applyFont="1" applyFill="1" applyBorder="1" applyAlignment="1" applyProtection="1">
      <alignment horizontal="center" vertical="center"/>
      <protection hidden="1"/>
    </xf>
    <xf numFmtId="169" fontId="5" fillId="2" borderId="62" xfId="0" applyNumberFormat="1" applyFont="1" applyFill="1" applyBorder="1" applyAlignment="1" applyProtection="1">
      <alignment horizontal="center" vertical="center"/>
      <protection hidden="1"/>
    </xf>
    <xf numFmtId="0" fontId="5" fillId="2" borderId="49" xfId="0" applyFont="1" applyFill="1" applyBorder="1" applyAlignment="1" applyProtection="1">
      <alignment horizontal="center" vertical="center"/>
      <protection hidden="1"/>
    </xf>
    <xf numFmtId="169" fontId="5" fillId="2" borderId="49" xfId="0" applyNumberFormat="1" applyFont="1" applyFill="1" applyBorder="1" applyAlignment="1" applyProtection="1">
      <alignment horizontal="center" vertical="center"/>
      <protection hidden="1"/>
    </xf>
    <xf numFmtId="169" fontId="5" fillId="4" borderId="49" xfId="0" applyNumberFormat="1" applyFont="1" applyFill="1" applyBorder="1" applyAlignment="1" applyProtection="1">
      <alignment horizontal="center" vertical="center"/>
      <protection hidden="1"/>
    </xf>
    <xf numFmtId="169" fontId="5" fillId="2" borderId="60" xfId="0" applyNumberFormat="1" applyFont="1" applyFill="1" applyBorder="1" applyAlignment="1" applyProtection="1">
      <alignment horizontal="center" vertical="center"/>
      <protection hidden="1"/>
    </xf>
    <xf numFmtId="0" fontId="5" fillId="2" borderId="69" xfId="0" applyFont="1" applyFill="1" applyBorder="1" applyAlignment="1" applyProtection="1">
      <alignment horizontal="center" vertical="center"/>
      <protection hidden="1"/>
    </xf>
    <xf numFmtId="169" fontId="5" fillId="2" borderId="77" xfId="0" applyNumberFormat="1" applyFont="1" applyFill="1" applyBorder="1" applyAlignment="1" applyProtection="1">
      <alignment horizontal="center" vertical="center"/>
      <protection hidden="1"/>
    </xf>
    <xf numFmtId="169" fontId="5" fillId="2" borderId="78" xfId="0" applyNumberFormat="1" applyFont="1" applyFill="1" applyBorder="1" applyAlignment="1" applyProtection="1">
      <alignment horizontal="center" vertical="center"/>
      <protection hidden="1"/>
    </xf>
    <xf numFmtId="169" fontId="5" fillId="2" borderId="79" xfId="0" applyNumberFormat="1" applyFont="1" applyFill="1" applyBorder="1" applyAlignment="1" applyProtection="1">
      <alignment horizontal="center" vertical="center"/>
      <protection hidden="1"/>
    </xf>
    <xf numFmtId="169" fontId="5" fillId="2" borderId="80" xfId="0" applyNumberFormat="1" applyFont="1" applyFill="1" applyBorder="1" applyAlignment="1" applyProtection="1">
      <alignment horizontal="center" vertical="center"/>
      <protection hidden="1"/>
    </xf>
    <xf numFmtId="169" fontId="10" fillId="0" borderId="57" xfId="0" applyNumberFormat="1" applyFont="1" applyBorder="1" applyAlignment="1" applyProtection="1">
      <alignment horizontal="center" vertical="center"/>
      <protection hidden="1"/>
    </xf>
    <xf numFmtId="169" fontId="10" fillId="0" borderId="80" xfId="0" applyNumberFormat="1" applyFont="1" applyBorder="1" applyAlignment="1" applyProtection="1">
      <alignment horizontal="center" vertical="center"/>
      <protection hidden="1"/>
    </xf>
    <xf numFmtId="0" fontId="4" fillId="0" borderId="3" xfId="0" applyFont="1" applyBorder="1" applyAlignment="1">
      <alignment horizontal="left" wrapText="1"/>
    </xf>
    <xf numFmtId="49" fontId="4" fillId="0" borderId="2" xfId="0" applyNumberFormat="1" applyFont="1" applyBorder="1" applyAlignment="1">
      <alignment horizontal="center" vertical="center"/>
    </xf>
    <xf numFmtId="165" fontId="4" fillId="0" borderId="3" xfId="0" applyNumberFormat="1" applyFont="1" applyBorder="1" applyAlignment="1">
      <alignment horizontal="center" vertical="center"/>
    </xf>
    <xf numFmtId="14" fontId="4" fillId="0" borderId="3" xfId="0" applyNumberFormat="1" applyFont="1" applyBorder="1" applyAlignment="1">
      <alignment horizontal="center"/>
    </xf>
    <xf numFmtId="0" fontId="8" fillId="0" borderId="0" xfId="0" applyFont="1" applyAlignment="1" applyProtection="1">
      <alignment horizontal="center" vertical="center" wrapText="1"/>
      <protection locked="0"/>
    </xf>
    <xf numFmtId="0" fontId="0" fillId="0" borderId="0" xfId="0" applyProtection="1">
      <protection locked="0"/>
    </xf>
    <xf numFmtId="0" fontId="2" fillId="0" borderId="0" xfId="0" applyFont="1" applyAlignment="1" applyProtection="1">
      <alignment horizontal="center" vertical="center" wrapText="1"/>
      <protection locked="0"/>
    </xf>
    <xf numFmtId="0" fontId="5" fillId="2" borderId="10" xfId="0" applyFont="1" applyFill="1" applyBorder="1" applyAlignment="1" applyProtection="1">
      <alignment horizontal="center" vertical="center"/>
      <protection locked="0"/>
    </xf>
    <xf numFmtId="0" fontId="3" fillId="0" borderId="11" xfId="0" applyFont="1" applyBorder="1" applyProtection="1">
      <protection locked="0"/>
    </xf>
    <xf numFmtId="0" fontId="3" fillId="0" borderId="12" xfId="0" applyFont="1" applyBorder="1" applyProtection="1">
      <protection locked="0"/>
    </xf>
    <xf numFmtId="166" fontId="5" fillId="2" borderId="10" xfId="0" applyNumberFormat="1" applyFont="1" applyFill="1" applyBorder="1" applyAlignment="1" applyProtection="1">
      <alignment horizontal="center" vertical="center"/>
      <protection locked="0"/>
    </xf>
    <xf numFmtId="0" fontId="3" fillId="0" borderId="15" xfId="0" applyFont="1" applyBorder="1" applyProtection="1">
      <protection locked="0"/>
    </xf>
    <xf numFmtId="0" fontId="5" fillId="2" borderId="18" xfId="0" applyFont="1" applyFill="1" applyBorder="1" applyAlignment="1" applyProtection="1">
      <alignment horizontal="center" vertical="center"/>
      <protection locked="0"/>
    </xf>
    <xf numFmtId="0" fontId="3" fillId="0" borderId="5" xfId="0" applyFont="1" applyBorder="1" applyProtection="1">
      <protection locked="0"/>
    </xf>
    <xf numFmtId="0" fontId="3" fillId="0" borderId="19" xfId="0" applyFont="1" applyBorder="1" applyProtection="1">
      <protection locked="0"/>
    </xf>
    <xf numFmtId="166" fontId="5" fillId="2" borderId="18" xfId="0" applyNumberFormat="1" applyFont="1" applyFill="1" applyBorder="1" applyAlignment="1" applyProtection="1">
      <alignment horizontal="center" vertical="center"/>
      <protection locked="0"/>
    </xf>
    <xf numFmtId="0" fontId="3" fillId="0" borderId="22" xfId="0" applyFont="1" applyBorder="1" applyProtection="1">
      <protection locked="0"/>
    </xf>
    <xf numFmtId="0" fontId="8" fillId="2" borderId="10" xfId="0" applyFont="1" applyFill="1" applyBorder="1" applyAlignment="1" applyProtection="1">
      <alignment horizontal="center" vertical="center"/>
      <protection locked="0"/>
    </xf>
    <xf numFmtId="0" fontId="23" fillId="2" borderId="18" xfId="0" applyFont="1" applyFill="1" applyBorder="1" applyAlignment="1" applyProtection="1">
      <alignment horizontal="left" vertical="center"/>
      <protection locked="0"/>
    </xf>
    <xf numFmtId="0" fontId="24" fillId="0" borderId="5" xfId="0" applyFont="1" applyBorder="1" applyProtection="1">
      <protection locked="0"/>
    </xf>
    <xf numFmtId="0" fontId="24" fillId="0" borderId="22" xfId="0" applyFont="1" applyBorder="1" applyProtection="1">
      <protection locked="0"/>
    </xf>
    <xf numFmtId="0" fontId="5" fillId="0" borderId="40" xfId="0" applyFont="1" applyBorder="1" applyAlignment="1" applyProtection="1">
      <alignment horizontal="center" vertical="center"/>
      <protection locked="0"/>
    </xf>
    <xf numFmtId="0" fontId="5" fillId="0" borderId="57" xfId="0" applyFont="1" applyBorder="1" applyAlignment="1" applyProtection="1">
      <alignment horizontal="center" vertical="center"/>
      <protection locked="0"/>
    </xf>
    <xf numFmtId="0" fontId="3" fillId="0" borderId="70" xfId="0" applyFont="1" applyBorder="1" applyProtection="1">
      <protection locked="0"/>
    </xf>
    <xf numFmtId="0" fontId="2" fillId="0" borderId="1" xfId="0" applyFont="1" applyBorder="1" applyAlignment="1">
      <alignment horizontal="center"/>
    </xf>
    <xf numFmtId="0" fontId="3" fillId="0" borderId="1" xfId="0" applyFont="1" applyBorder="1"/>
    <xf numFmtId="0" fontId="5" fillId="0" borderId="94" xfId="0" applyFont="1" applyBorder="1" applyAlignment="1" applyProtection="1">
      <alignment horizontal="center" vertical="center"/>
      <protection hidden="1"/>
    </xf>
    <xf numFmtId="0" fontId="3" fillId="0" borderId="94" xfId="0" applyFont="1" applyBorder="1" applyProtection="1">
      <protection hidden="1"/>
    </xf>
    <xf numFmtId="0" fontId="6" fillId="0" borderId="96" xfId="0" applyFont="1" applyBorder="1" applyAlignment="1" applyProtection="1">
      <alignment horizontal="center" vertical="center"/>
      <protection hidden="1"/>
    </xf>
    <xf numFmtId="0" fontId="3" fillId="0" borderId="96" xfId="0" applyFont="1" applyBorder="1" applyProtection="1">
      <protection hidden="1"/>
    </xf>
    <xf numFmtId="0" fontId="21" fillId="0" borderId="94" xfId="0" applyFont="1" applyBorder="1" applyAlignment="1" applyProtection="1">
      <alignment horizontal="center" vertical="center"/>
      <protection hidden="1"/>
    </xf>
    <xf numFmtId="0" fontId="0" fillId="0" borderId="94" xfId="0" applyBorder="1" applyProtection="1">
      <protection hidden="1"/>
    </xf>
    <xf numFmtId="0" fontId="6" fillId="0" borderId="95" xfId="0" applyFont="1" applyBorder="1" applyAlignment="1" applyProtection="1">
      <alignment horizontal="center" vertical="center" wrapText="1"/>
      <protection hidden="1"/>
    </xf>
    <xf numFmtId="0" fontId="0" fillId="0" borderId="95" xfId="0" applyBorder="1" applyProtection="1">
      <protection hidden="1"/>
    </xf>
    <xf numFmtId="0" fontId="3" fillId="0" borderId="95" xfId="0" applyFont="1" applyBorder="1" applyProtection="1">
      <protection hidden="1"/>
    </xf>
    <xf numFmtId="0" fontId="5" fillId="0" borderId="6" xfId="0" applyFont="1" applyBorder="1" applyAlignment="1" applyProtection="1">
      <alignment vertical="center"/>
      <protection hidden="1"/>
    </xf>
    <xf numFmtId="0" fontId="5" fillId="0" borderId="0" xfId="0" applyFont="1" applyAlignment="1" applyProtection="1">
      <alignment horizontal="center" vertical="center"/>
      <protection hidden="1"/>
    </xf>
    <xf numFmtId="0" fontId="0" fillId="0" borderId="0" xfId="0" applyProtection="1">
      <protection hidden="1"/>
    </xf>
    <xf numFmtId="0" fontId="5" fillId="0" borderId="7" xfId="0" applyFont="1" applyBorder="1" applyAlignment="1" applyProtection="1">
      <alignment vertical="center"/>
      <protection hidden="1"/>
    </xf>
    <xf numFmtId="0" fontId="5" fillId="0" borderId="8" xfId="0" applyFont="1" applyBorder="1" applyAlignment="1" applyProtection="1">
      <alignment vertical="center"/>
      <protection hidden="1"/>
    </xf>
    <xf numFmtId="0" fontId="8" fillId="2" borderId="9" xfId="0" applyFont="1" applyFill="1" applyBorder="1" applyAlignment="1" applyProtection="1">
      <alignment horizontal="left" vertical="center"/>
      <protection hidden="1"/>
    </xf>
    <xf numFmtId="0" fontId="3" fillId="0" borderId="11" xfId="0" applyFont="1" applyBorder="1" applyProtection="1">
      <protection hidden="1"/>
    </xf>
    <xf numFmtId="0" fontId="8" fillId="2" borderId="13" xfId="0" applyFont="1" applyFill="1" applyBorder="1" applyAlignment="1" applyProtection="1">
      <alignment horizontal="left" vertical="center"/>
      <protection hidden="1"/>
    </xf>
    <xf numFmtId="0" fontId="3" fillId="0" borderId="14" xfId="0" applyFont="1" applyBorder="1" applyProtection="1">
      <protection hidden="1"/>
    </xf>
    <xf numFmtId="0" fontId="8" fillId="2" borderId="17" xfId="0" applyFont="1" applyFill="1" applyBorder="1" applyAlignment="1" applyProtection="1">
      <alignment horizontal="left" vertical="center"/>
      <protection hidden="1"/>
    </xf>
    <xf numFmtId="0" fontId="5" fillId="2" borderId="18" xfId="0" applyFont="1" applyFill="1" applyBorder="1" applyAlignment="1" applyProtection="1">
      <alignment horizontal="center" vertical="center"/>
      <protection hidden="1"/>
    </xf>
    <xf numFmtId="0" fontId="3" fillId="0" borderId="5" xfId="0" applyFont="1" applyBorder="1" applyProtection="1">
      <protection hidden="1"/>
    </xf>
    <xf numFmtId="0" fontId="8" fillId="2" borderId="20" xfId="0" applyFont="1" applyFill="1" applyBorder="1" applyAlignment="1" applyProtection="1">
      <alignment horizontal="left" vertical="center"/>
      <protection hidden="1"/>
    </xf>
    <xf numFmtId="0" fontId="3" fillId="0" borderId="21" xfId="0" applyFont="1" applyBorder="1" applyProtection="1">
      <protection hidden="1"/>
    </xf>
    <xf numFmtId="0" fontId="3" fillId="0" borderId="22" xfId="0" applyFont="1" applyBorder="1" applyProtection="1">
      <protection hidden="1"/>
    </xf>
    <xf numFmtId="166" fontId="5" fillId="2" borderId="23" xfId="0" applyNumberFormat="1" applyFont="1" applyFill="1" applyBorder="1" applyAlignment="1" applyProtection="1">
      <alignment horizontal="right" vertical="center"/>
      <protection hidden="1"/>
    </xf>
    <xf numFmtId="0" fontId="8" fillId="0" borderId="0" xfId="0" applyFont="1" applyAlignment="1" applyProtection="1">
      <alignment horizontal="left" vertical="center"/>
      <protection hidden="1"/>
    </xf>
    <xf numFmtId="0" fontId="8" fillId="2" borderId="26" xfId="0" applyFont="1" applyFill="1" applyBorder="1" applyAlignment="1" applyProtection="1">
      <alignment horizontal="left" vertical="center"/>
      <protection hidden="1"/>
    </xf>
    <xf numFmtId="0" fontId="3" fillId="0" borderId="27" xfId="0" applyFont="1" applyBorder="1" applyProtection="1">
      <protection hidden="1"/>
    </xf>
    <xf numFmtId="0" fontId="5" fillId="0" borderId="28" xfId="0" applyFont="1" applyBorder="1" applyAlignment="1" applyProtection="1">
      <alignment vertical="center"/>
      <protection hidden="1"/>
    </xf>
    <xf numFmtId="0" fontId="5" fillId="2" borderId="29" xfId="0" applyFont="1" applyFill="1" applyBorder="1" applyAlignment="1" applyProtection="1">
      <alignment horizontal="center" vertical="center"/>
      <protection hidden="1"/>
    </xf>
    <xf numFmtId="0" fontId="3" fillId="0" borderId="30" xfId="0" applyFont="1" applyBorder="1" applyProtection="1">
      <protection hidden="1"/>
    </xf>
    <xf numFmtId="0" fontId="3" fillId="0" borderId="31" xfId="0" applyFont="1" applyBorder="1" applyProtection="1">
      <protection hidden="1"/>
    </xf>
    <xf numFmtId="0" fontId="5" fillId="2" borderId="32" xfId="0" applyFont="1" applyFill="1" applyBorder="1" applyAlignment="1" applyProtection="1">
      <alignment vertical="center"/>
      <protection hidden="1"/>
    </xf>
    <xf numFmtId="0" fontId="8" fillId="2" borderId="9" xfId="0" applyFont="1" applyFill="1" applyBorder="1" applyAlignment="1" applyProtection="1">
      <alignment vertical="center"/>
      <protection hidden="1"/>
    </xf>
    <xf numFmtId="0" fontId="8" fillId="2" borderId="13" xfId="0" applyFont="1" applyFill="1" applyBorder="1" applyAlignment="1" applyProtection="1">
      <alignment horizontal="center" vertical="center"/>
      <protection hidden="1"/>
    </xf>
    <xf numFmtId="168" fontId="5" fillId="2" borderId="33" xfId="0" applyNumberFormat="1" applyFont="1" applyFill="1" applyBorder="1" applyAlignment="1" applyProtection="1">
      <alignment horizontal="center" vertical="center"/>
      <protection hidden="1"/>
    </xf>
    <xf numFmtId="0" fontId="8" fillId="2" borderId="35" xfId="0" applyFont="1" applyFill="1" applyBorder="1" applyAlignment="1" applyProtection="1">
      <alignment horizontal="left" vertical="center"/>
      <protection hidden="1"/>
    </xf>
    <xf numFmtId="0" fontId="5" fillId="2" borderId="35" xfId="0" applyFont="1" applyFill="1" applyBorder="1" applyAlignment="1" applyProtection="1">
      <alignment horizontal="left" vertical="center"/>
      <protection hidden="1"/>
    </xf>
    <xf numFmtId="0" fontId="5" fillId="2" borderId="32" xfId="0" applyFont="1" applyFill="1" applyBorder="1" applyAlignment="1" applyProtection="1">
      <alignment horizontal="left" vertical="center"/>
      <protection hidden="1"/>
    </xf>
    <xf numFmtId="0" fontId="4" fillId="0" borderId="6" xfId="0" applyFont="1" applyBorder="1" applyAlignment="1" applyProtection="1">
      <alignment vertical="center"/>
      <protection hidden="1"/>
    </xf>
    <xf numFmtId="0" fontId="4" fillId="0" borderId="0" xfId="0" applyFont="1" applyAlignment="1" applyProtection="1">
      <alignment vertical="center"/>
      <protection hidden="1"/>
    </xf>
    <xf numFmtId="0" fontId="4" fillId="0" borderId="36" xfId="0" applyFont="1" applyBorder="1" applyAlignment="1" applyProtection="1">
      <alignment vertical="center"/>
      <protection hidden="1"/>
    </xf>
    <xf numFmtId="0" fontId="9" fillId="3" borderId="37" xfId="0" applyFont="1" applyFill="1" applyBorder="1" applyAlignment="1" applyProtection="1">
      <alignment horizontal="center" vertical="center"/>
      <protection hidden="1"/>
    </xf>
    <xf numFmtId="0" fontId="3" fillId="0" borderId="38" xfId="0" applyFont="1" applyBorder="1" applyProtection="1">
      <protection hidden="1"/>
    </xf>
    <xf numFmtId="0" fontId="3" fillId="0" borderId="39" xfId="0" applyFont="1" applyBorder="1" applyProtection="1">
      <protection hidden="1"/>
    </xf>
    <xf numFmtId="0" fontId="9" fillId="0" borderId="0" xfId="0" applyFont="1" applyAlignment="1" applyProtection="1">
      <alignment horizontal="center" vertical="center"/>
      <protection hidden="1"/>
    </xf>
    <xf numFmtId="0" fontId="9" fillId="0" borderId="36" xfId="0" applyFont="1" applyBorder="1" applyAlignment="1" applyProtection="1">
      <alignment horizontal="center" vertical="center"/>
      <protection hidden="1"/>
    </xf>
    <xf numFmtId="0" fontId="10" fillId="3" borderId="37" xfId="0" applyFont="1" applyFill="1" applyBorder="1" applyAlignment="1" applyProtection="1">
      <alignment horizontal="center" vertical="center"/>
      <protection hidden="1"/>
    </xf>
    <xf numFmtId="0" fontId="10" fillId="0" borderId="0" xfId="0" applyFont="1" applyAlignment="1" applyProtection="1">
      <alignment vertical="center"/>
      <protection hidden="1"/>
    </xf>
    <xf numFmtId="0" fontId="5" fillId="2" borderId="40" xfId="0" applyFont="1" applyFill="1" applyBorder="1" applyAlignment="1" applyProtection="1">
      <alignment horizontal="center" vertical="center"/>
      <protection hidden="1"/>
    </xf>
    <xf numFmtId="0" fontId="3" fillId="0" borderId="41" xfId="0" applyFont="1" applyBorder="1" applyProtection="1">
      <protection hidden="1"/>
    </xf>
    <xf numFmtId="0" fontId="10" fillId="2" borderId="42" xfId="0" applyFont="1" applyFill="1" applyBorder="1" applyAlignment="1" applyProtection="1">
      <alignment horizontal="center" vertical="center" wrapText="1"/>
      <protection hidden="1"/>
    </xf>
    <xf numFmtId="2" fontId="10" fillId="2" borderId="43" xfId="0" applyNumberFormat="1" applyFont="1" applyFill="1" applyBorder="1" applyAlignment="1" applyProtection="1">
      <alignment horizontal="center" vertical="center" wrapText="1"/>
      <protection hidden="1"/>
    </xf>
    <xf numFmtId="2" fontId="11" fillId="0" borderId="0" xfId="0" applyNumberFormat="1" applyFont="1" applyAlignment="1" applyProtection="1">
      <alignment horizontal="center" vertical="center"/>
      <protection hidden="1"/>
    </xf>
    <xf numFmtId="0" fontId="10" fillId="2" borderId="8" xfId="0" applyFont="1" applyFill="1" applyBorder="1" applyAlignment="1" applyProtection="1">
      <alignment horizontal="center" vertical="center"/>
      <protection hidden="1"/>
    </xf>
    <xf numFmtId="0" fontId="3" fillId="0" borderId="44" xfId="0" applyFont="1" applyBorder="1" applyProtection="1">
      <protection hidden="1"/>
    </xf>
    <xf numFmtId="0" fontId="10" fillId="2" borderId="37" xfId="0" applyFont="1" applyFill="1" applyBorder="1" applyAlignment="1" applyProtection="1">
      <alignment horizontal="center" vertical="center" wrapText="1"/>
      <protection hidden="1"/>
    </xf>
    <xf numFmtId="0" fontId="10" fillId="2" borderId="45" xfId="0" applyFont="1" applyFill="1" applyBorder="1" applyAlignment="1" applyProtection="1">
      <alignment horizontal="center" vertical="center" wrapText="1"/>
      <protection hidden="1"/>
    </xf>
    <xf numFmtId="0" fontId="3" fillId="0" borderId="46" xfId="0" applyFont="1" applyBorder="1" applyProtection="1">
      <protection hidden="1"/>
    </xf>
    <xf numFmtId="0" fontId="5" fillId="2" borderId="47" xfId="0" applyFont="1" applyFill="1" applyBorder="1" applyAlignment="1" applyProtection="1">
      <alignment horizontal="left" vertical="center"/>
      <protection hidden="1"/>
    </xf>
    <xf numFmtId="0" fontId="3" fillId="0" borderId="48" xfId="0" applyFont="1" applyBorder="1" applyProtection="1">
      <protection hidden="1"/>
    </xf>
    <xf numFmtId="0" fontId="5" fillId="2" borderId="16"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3" fillId="0" borderId="50" xfId="0" applyFont="1" applyBorder="1" applyProtection="1">
      <protection hidden="1"/>
    </xf>
    <xf numFmtId="0" fontId="3" fillId="0" borderId="51" xfId="0" applyFont="1" applyBorder="1" applyProtection="1">
      <protection hidden="1"/>
    </xf>
    <xf numFmtId="0" fontId="10" fillId="2" borderId="52" xfId="0" applyFont="1" applyFill="1" applyBorder="1" applyAlignment="1" applyProtection="1">
      <alignment horizontal="center" vertical="center"/>
      <protection hidden="1"/>
    </xf>
    <xf numFmtId="0" fontId="10" fillId="2" borderId="53" xfId="0" applyFont="1" applyFill="1" applyBorder="1" applyAlignment="1" applyProtection="1">
      <alignment horizontal="center" vertical="center"/>
      <protection hidden="1"/>
    </xf>
    <xf numFmtId="0" fontId="10" fillId="2" borderId="54" xfId="0" applyFont="1" applyFill="1" applyBorder="1" applyAlignment="1" applyProtection="1">
      <alignment horizontal="center" vertical="center"/>
      <protection hidden="1"/>
    </xf>
    <xf numFmtId="0" fontId="10" fillId="2" borderId="43" xfId="0" applyFont="1" applyFill="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0" fillId="2" borderId="55" xfId="0" applyFont="1" applyFill="1" applyBorder="1" applyAlignment="1" applyProtection="1">
      <alignment horizontal="center" vertical="center"/>
      <protection hidden="1"/>
    </xf>
    <xf numFmtId="0" fontId="10" fillId="2" borderId="56" xfId="0" applyFont="1" applyFill="1" applyBorder="1" applyAlignment="1" applyProtection="1">
      <alignment horizontal="center" vertical="center"/>
      <protection hidden="1"/>
    </xf>
    <xf numFmtId="0" fontId="10" fillId="2" borderId="49" xfId="0" applyFont="1" applyFill="1" applyBorder="1" applyAlignment="1" applyProtection="1">
      <alignment horizontal="center" vertical="center"/>
      <protection hidden="1"/>
    </xf>
    <xf numFmtId="169" fontId="5" fillId="2" borderId="55" xfId="0" applyNumberFormat="1" applyFont="1" applyFill="1" applyBorder="1" applyAlignment="1" applyProtection="1">
      <alignment horizontal="center" vertical="center"/>
      <protection hidden="1"/>
    </xf>
    <xf numFmtId="2" fontId="5" fillId="2" borderId="16" xfId="0" applyNumberFormat="1" applyFont="1" applyFill="1" applyBorder="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11" fillId="0" borderId="0" xfId="0" applyFont="1" applyAlignment="1" applyProtection="1">
      <alignment horizontal="center" vertical="center"/>
      <protection hidden="1"/>
    </xf>
    <xf numFmtId="169" fontId="5" fillId="4" borderId="55" xfId="0" applyNumberFormat="1" applyFont="1" applyFill="1" applyBorder="1" applyAlignment="1" applyProtection="1">
      <alignment horizontal="center" vertical="center"/>
      <protection hidden="1"/>
    </xf>
    <xf numFmtId="0" fontId="5" fillId="2" borderId="57" xfId="0" applyFont="1" applyFill="1" applyBorder="1" applyAlignment="1" applyProtection="1">
      <alignment horizontal="left" vertical="center"/>
      <protection hidden="1"/>
    </xf>
    <xf numFmtId="0" fontId="3" fillId="0" borderId="58" xfId="0" applyFont="1" applyBorder="1" applyProtection="1">
      <protection hidden="1"/>
    </xf>
    <xf numFmtId="2" fontId="5" fillId="0" borderId="0" xfId="0" applyNumberFormat="1" applyFont="1" applyAlignment="1" applyProtection="1">
      <alignment horizontal="center" vertical="center"/>
      <protection hidden="1"/>
    </xf>
    <xf numFmtId="0" fontId="5" fillId="2" borderId="40" xfId="0" applyFont="1" applyFill="1" applyBorder="1" applyAlignment="1" applyProtection="1">
      <alignment horizontal="left" vertical="center"/>
      <protection hidden="1"/>
    </xf>
    <xf numFmtId="2" fontId="5" fillId="2" borderId="42" xfId="0" applyNumberFormat="1" applyFont="1" applyFill="1" applyBorder="1" applyAlignment="1" applyProtection="1">
      <alignment horizontal="center" vertical="center"/>
      <protection hidden="1"/>
    </xf>
    <xf numFmtId="169" fontId="5" fillId="2" borderId="61" xfId="0" applyNumberFormat="1" applyFont="1" applyFill="1" applyBorder="1" applyAlignment="1" applyProtection="1">
      <alignment horizontal="center" vertical="center"/>
      <protection hidden="1"/>
    </xf>
    <xf numFmtId="0" fontId="5" fillId="2" borderId="63" xfId="0" applyFont="1" applyFill="1" applyBorder="1" applyAlignment="1" applyProtection="1">
      <alignment horizontal="left" vertical="center"/>
      <protection hidden="1"/>
    </xf>
    <xf numFmtId="0" fontId="5" fillId="2" borderId="17" xfId="0" applyFont="1" applyFill="1" applyBorder="1" applyAlignment="1" applyProtection="1">
      <alignment horizontal="left" vertical="center"/>
      <protection hidden="1"/>
    </xf>
    <xf numFmtId="0" fontId="5" fillId="2" borderId="17" xfId="0" applyFont="1" applyFill="1" applyBorder="1" applyAlignment="1" applyProtection="1">
      <alignment horizontal="center" vertical="center"/>
      <protection hidden="1"/>
    </xf>
    <xf numFmtId="0" fontId="5" fillId="2" borderId="17" xfId="0" applyFont="1" applyFill="1" applyBorder="1" applyAlignment="1" applyProtection="1">
      <alignment vertical="center"/>
      <protection hidden="1"/>
    </xf>
    <xf numFmtId="2" fontId="5" fillId="2" borderId="17" xfId="0" applyNumberFormat="1" applyFont="1" applyFill="1" applyBorder="1" applyAlignment="1" applyProtection="1">
      <alignment horizontal="center" vertical="center"/>
      <protection hidden="1"/>
    </xf>
    <xf numFmtId="0" fontId="5" fillId="2" borderId="64" xfId="0" applyFont="1" applyFill="1" applyBorder="1" applyAlignment="1" applyProtection="1">
      <alignment vertical="center"/>
      <protection hidden="1"/>
    </xf>
    <xf numFmtId="0" fontId="10" fillId="5" borderId="37" xfId="0" applyFont="1" applyFill="1" applyBorder="1" applyAlignment="1" applyProtection="1">
      <alignment horizontal="center" vertical="center"/>
      <protection hidden="1"/>
    </xf>
    <xf numFmtId="0" fontId="10" fillId="0" borderId="0" xfId="0" applyFont="1" applyAlignment="1" applyProtection="1">
      <alignment horizontal="center" vertical="center"/>
      <protection hidden="1"/>
    </xf>
    <xf numFmtId="2" fontId="5" fillId="2" borderId="64" xfId="0" applyNumberFormat="1" applyFont="1" applyFill="1" applyBorder="1" applyAlignment="1" applyProtection="1">
      <alignment horizontal="center" vertical="center"/>
      <protection hidden="1"/>
    </xf>
    <xf numFmtId="0" fontId="5" fillId="0" borderId="50" xfId="0" applyFont="1" applyBorder="1" applyAlignment="1" applyProtection="1">
      <alignment horizontal="left" vertical="center"/>
      <protection hidden="1"/>
    </xf>
    <xf numFmtId="0" fontId="3" fillId="0" borderId="65" xfId="0" applyFont="1" applyBorder="1" applyProtection="1">
      <protection hidden="1"/>
    </xf>
    <xf numFmtId="0" fontId="5" fillId="0" borderId="66" xfId="0" applyFont="1" applyBorder="1" applyAlignment="1" applyProtection="1">
      <alignment horizontal="center" vertical="center"/>
      <protection hidden="1"/>
    </xf>
    <xf numFmtId="0" fontId="5" fillId="0" borderId="0" xfId="0" applyFont="1" applyAlignment="1" applyProtection="1">
      <alignment vertical="center"/>
      <protection hidden="1"/>
    </xf>
    <xf numFmtId="0" fontId="10" fillId="2" borderId="68" xfId="0" applyFont="1" applyFill="1" applyBorder="1" applyAlignment="1" applyProtection="1">
      <alignment horizontal="center" vertical="center"/>
      <protection hidden="1"/>
    </xf>
    <xf numFmtId="0" fontId="5" fillId="0" borderId="47" xfId="0" applyFont="1" applyBorder="1" applyAlignment="1" applyProtection="1">
      <alignment horizontal="left" vertical="center"/>
      <protection hidden="1"/>
    </xf>
    <xf numFmtId="0" fontId="10" fillId="3" borderId="45" xfId="0" applyFont="1" applyFill="1" applyBorder="1" applyAlignment="1" applyProtection="1">
      <alignment horizontal="center" vertical="center"/>
      <protection hidden="1"/>
    </xf>
    <xf numFmtId="0" fontId="5" fillId="0" borderId="16" xfId="0" applyFont="1" applyBorder="1" applyAlignment="1" applyProtection="1">
      <alignment horizontal="center" vertical="center" wrapText="1"/>
      <protection hidden="1"/>
    </xf>
    <xf numFmtId="0" fontId="5" fillId="0" borderId="77" xfId="0" applyFont="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5" fillId="0" borderId="57" xfId="0" applyFont="1" applyBorder="1" applyAlignment="1" applyProtection="1">
      <alignment horizontal="left" vertical="center"/>
      <protection hidden="1"/>
    </xf>
    <xf numFmtId="0" fontId="5" fillId="0" borderId="59" xfId="0" applyFont="1" applyBorder="1" applyAlignment="1" applyProtection="1">
      <alignment horizontal="center" vertical="center"/>
      <protection hidden="1"/>
    </xf>
    <xf numFmtId="2" fontId="8" fillId="0" borderId="0" xfId="0" applyNumberFormat="1" applyFont="1" applyAlignment="1" applyProtection="1">
      <alignment horizontal="center" vertical="center"/>
      <protection hidden="1"/>
    </xf>
    <xf numFmtId="0" fontId="5" fillId="0" borderId="79" xfId="0" applyFont="1" applyBorder="1" applyAlignment="1" applyProtection="1">
      <alignment horizontal="center" vertical="center"/>
      <protection hidden="1"/>
    </xf>
    <xf numFmtId="0" fontId="5" fillId="0" borderId="70" xfId="0" applyFont="1" applyBorder="1" applyAlignment="1" applyProtection="1">
      <alignment horizontal="center" vertical="center"/>
      <protection hidden="1"/>
    </xf>
    <xf numFmtId="0" fontId="5" fillId="2" borderId="63" xfId="0" applyFont="1" applyFill="1" applyBorder="1" applyAlignment="1" applyProtection="1">
      <alignment vertical="center"/>
      <protection hidden="1"/>
    </xf>
    <xf numFmtId="169" fontId="5" fillId="2" borderId="17" xfId="0" applyNumberFormat="1" applyFont="1" applyFill="1" applyBorder="1" applyAlignment="1" applyProtection="1">
      <alignment horizontal="center" vertical="center"/>
      <protection hidden="1"/>
    </xf>
    <xf numFmtId="0" fontId="5" fillId="2" borderId="73" xfId="0" applyFont="1" applyFill="1" applyBorder="1" applyAlignment="1" applyProtection="1">
      <alignment vertical="center"/>
      <protection hidden="1"/>
    </xf>
    <xf numFmtId="0" fontId="5" fillId="2" borderId="9" xfId="0" applyFont="1" applyFill="1" applyBorder="1" applyAlignment="1" applyProtection="1">
      <alignment vertical="center"/>
      <protection hidden="1"/>
    </xf>
    <xf numFmtId="0" fontId="10" fillId="3" borderId="74" xfId="0" applyFont="1" applyFill="1" applyBorder="1" applyAlignment="1" applyProtection="1">
      <alignment horizontal="center" vertical="center" wrapText="1"/>
      <protection hidden="1"/>
    </xf>
    <xf numFmtId="0" fontId="10" fillId="0" borderId="36" xfId="0" applyFont="1" applyBorder="1" applyAlignment="1" applyProtection="1">
      <alignment vertical="center"/>
      <protection hidden="1"/>
    </xf>
    <xf numFmtId="0" fontId="5" fillId="2" borderId="54" xfId="0" applyFont="1" applyFill="1" applyBorder="1" applyAlignment="1" applyProtection="1">
      <alignment horizontal="center" vertical="center"/>
      <protection hidden="1"/>
    </xf>
    <xf numFmtId="0" fontId="5" fillId="2" borderId="76" xfId="0" applyFont="1" applyFill="1" applyBorder="1" applyAlignment="1" applyProtection="1">
      <alignment horizontal="center" vertical="center"/>
      <protection hidden="1"/>
    </xf>
    <xf numFmtId="0" fontId="5" fillId="2" borderId="17" xfId="0" applyFont="1" applyFill="1" applyBorder="1" applyAlignment="1" applyProtection="1">
      <alignment horizontal="center" vertical="center" textRotation="90" wrapText="1"/>
      <protection hidden="1"/>
    </xf>
    <xf numFmtId="0" fontId="5" fillId="2" borderId="61" xfId="0" applyFont="1" applyFill="1" applyBorder="1" applyAlignment="1" applyProtection="1">
      <alignment horizontal="center" vertical="center"/>
      <protection hidden="1"/>
    </xf>
    <xf numFmtId="0" fontId="5" fillId="2" borderId="62" xfId="0" applyFont="1" applyFill="1" applyBorder="1" applyAlignment="1" applyProtection="1">
      <alignment horizontal="center" vertical="center"/>
      <protection hidden="1"/>
    </xf>
    <xf numFmtId="169" fontId="10" fillId="0" borderId="36" xfId="0" applyNumberFormat="1" applyFont="1" applyBorder="1" applyAlignment="1" applyProtection="1">
      <alignment vertical="center"/>
      <protection hidden="1"/>
    </xf>
    <xf numFmtId="0" fontId="4" fillId="0" borderId="0" xfId="0" applyFont="1" applyAlignment="1" applyProtection="1">
      <alignment horizontal="center" vertical="center"/>
      <protection hidden="1"/>
    </xf>
    <xf numFmtId="0" fontId="3" fillId="0" borderId="36" xfId="0" applyFont="1" applyBorder="1" applyProtection="1">
      <protection hidden="1"/>
    </xf>
    <xf numFmtId="169" fontId="5" fillId="2" borderId="17" xfId="0" applyNumberFormat="1" applyFont="1" applyFill="1" applyBorder="1" applyAlignment="1" applyProtection="1">
      <alignment horizontal="left" vertical="center"/>
      <protection hidden="1"/>
    </xf>
    <xf numFmtId="0" fontId="2" fillId="0" borderId="1" xfId="0" applyFont="1" applyBorder="1" applyAlignment="1" applyProtection="1">
      <alignment vertical="center"/>
      <protection hidden="1"/>
    </xf>
    <xf numFmtId="0" fontId="2" fillId="0" borderId="4" xfId="0" applyFont="1" applyBorder="1" applyAlignment="1" applyProtection="1">
      <alignment horizontal="center" vertical="center"/>
      <protection hidden="1"/>
    </xf>
    <xf numFmtId="0" fontId="3" fillId="0" borderId="4" xfId="0" applyFont="1" applyBorder="1" applyProtection="1">
      <protection hidden="1"/>
    </xf>
    <xf numFmtId="0" fontId="3" fillId="0" borderId="82" xfId="0" applyFont="1" applyBorder="1" applyProtection="1">
      <protection hidden="1"/>
    </xf>
    <xf numFmtId="0" fontId="8" fillId="2" borderId="17" xfId="0" applyFont="1" applyFill="1" applyBorder="1" applyAlignment="1" applyProtection="1">
      <alignment horizontal="center" vertical="center"/>
      <protection hidden="1"/>
    </xf>
    <xf numFmtId="0" fontId="8" fillId="2" borderId="64" xfId="0" applyFont="1" applyFill="1" applyBorder="1" applyAlignment="1" applyProtection="1">
      <alignment horizontal="center" vertical="center"/>
      <protection hidden="1"/>
    </xf>
    <xf numFmtId="0" fontId="5" fillId="2" borderId="89" xfId="0" applyFont="1" applyFill="1" applyBorder="1" applyAlignment="1" applyProtection="1">
      <alignment vertical="center"/>
      <protection hidden="1"/>
    </xf>
    <xf numFmtId="0" fontId="5" fillId="2" borderId="90" xfId="0" applyFont="1" applyFill="1" applyBorder="1" applyAlignment="1" applyProtection="1">
      <alignment horizontal="left" vertical="center"/>
      <protection hidden="1"/>
    </xf>
    <xf numFmtId="169" fontId="5" fillId="2" borderId="90" xfId="0" applyNumberFormat="1" applyFont="1" applyFill="1" applyBorder="1" applyAlignment="1" applyProtection="1">
      <alignment horizontal="left" vertical="center"/>
      <protection hidden="1"/>
    </xf>
    <xf numFmtId="2" fontId="5" fillId="2" borderId="90" xfId="0" applyNumberFormat="1" applyFont="1" applyFill="1" applyBorder="1" applyAlignment="1" applyProtection="1">
      <alignment horizontal="center" vertical="center"/>
      <protection hidden="1"/>
    </xf>
    <xf numFmtId="0" fontId="5" fillId="2" borderId="90" xfId="0" applyFont="1" applyFill="1" applyBorder="1" applyAlignment="1" applyProtection="1">
      <alignment vertical="center"/>
      <protection hidden="1"/>
    </xf>
    <xf numFmtId="0" fontId="8" fillId="2" borderId="90" xfId="0" applyFont="1" applyFill="1" applyBorder="1" applyAlignment="1" applyProtection="1">
      <alignment horizontal="center" vertical="center"/>
      <protection hidden="1"/>
    </xf>
    <xf numFmtId="0" fontId="8" fillId="2" borderId="91" xfId="0" applyFont="1" applyFill="1" applyBorder="1" applyAlignment="1" applyProtection="1">
      <alignment horizontal="center" vertical="center"/>
      <protection hidden="1"/>
    </xf>
    <xf numFmtId="0" fontId="22" fillId="2" borderId="90" xfId="0" applyFont="1" applyFill="1" applyBorder="1" applyAlignment="1" applyProtection="1">
      <alignment horizontal="right" vertical="center"/>
      <protection hidden="1"/>
    </xf>
    <xf numFmtId="0" fontId="14" fillId="2" borderId="83" xfId="0" applyFont="1" applyFill="1" applyBorder="1" applyAlignment="1" applyProtection="1">
      <alignment horizontal="center"/>
      <protection hidden="1"/>
    </xf>
    <xf numFmtId="0" fontId="3" fillId="0" borderId="84" xfId="0" applyFont="1" applyBorder="1" applyProtection="1">
      <protection hidden="1"/>
    </xf>
    <xf numFmtId="0" fontId="3" fillId="0" borderId="85" xfId="0" applyFont="1" applyBorder="1" applyProtection="1">
      <protection hidden="1"/>
    </xf>
    <xf numFmtId="0" fontId="15" fillId="2" borderId="86" xfId="0" applyFont="1" applyFill="1" applyBorder="1" applyAlignment="1" applyProtection="1">
      <alignment horizontal="center" vertical="center" wrapText="1"/>
      <protection hidden="1"/>
    </xf>
    <xf numFmtId="0" fontId="3" fillId="0" borderId="87" xfId="0" applyFont="1" applyBorder="1" applyProtection="1">
      <protection hidden="1"/>
    </xf>
    <xf numFmtId="0" fontId="3" fillId="0" borderId="88" xfId="0" applyFont="1" applyBorder="1" applyProtection="1">
      <protection hidden="1"/>
    </xf>
    <xf numFmtId="0" fontId="3" fillId="0" borderId="89" xfId="0" applyFont="1" applyBorder="1" applyProtection="1">
      <protection hidden="1"/>
    </xf>
    <xf numFmtId="0" fontId="3" fillId="0" borderId="90" xfId="0" applyFont="1" applyBorder="1" applyProtection="1">
      <protection hidden="1"/>
    </xf>
    <xf numFmtId="0" fontId="3" fillId="0" borderId="91" xfId="0" applyFont="1" applyBorder="1" applyProtection="1">
      <protection hidden="1"/>
    </xf>
    <xf numFmtId="49" fontId="16" fillId="0" borderId="28" xfId="0" applyNumberFormat="1" applyFont="1" applyBorder="1" applyAlignment="1" applyProtection="1">
      <alignment horizontal="center" vertical="center"/>
      <protection hidden="1"/>
    </xf>
    <xf numFmtId="0" fontId="3" fillId="0" borderId="92" xfId="0" applyFont="1" applyBorder="1" applyProtection="1">
      <protection hidden="1"/>
    </xf>
    <xf numFmtId="0" fontId="3" fillId="0" borderId="7" xfId="0" applyFont="1" applyBorder="1" applyProtection="1">
      <protection hidden="1"/>
    </xf>
  </cellXfs>
  <cellStyles count="1">
    <cellStyle name="Normal" xfId="0" builtinId="0"/>
  </cellStyles>
  <dxfs count="13">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chemeClr val="dk1"/>
                </a:solidFill>
                <a:latin typeface="+mn-lt"/>
              </a:defRPr>
            </a:pPr>
            <a:r>
              <a:rPr lang="es-CO" sz="1600" b="1" i="0">
                <a:solidFill>
                  <a:schemeClr val="dk1"/>
                </a:solidFill>
                <a:latin typeface="+mn-lt"/>
              </a:rPr>
              <a:t>CBR MUESTRA INALTERADA ESFUERZO vs PENETRACIÓN </a:t>
            </a:r>
          </a:p>
        </c:rich>
      </c:tx>
      <c:overlay val="0"/>
    </c:title>
    <c:autoTitleDeleted val="0"/>
    <c:plotArea>
      <c:layout>
        <c:manualLayout>
          <c:xMode val="edge"/>
          <c:yMode val="edge"/>
          <c:x val="7.3621035048203276E-2"/>
          <c:y val="0.12047900262467191"/>
          <c:w val="0.88620553129602564"/>
          <c:h val="0.71051364829396324"/>
        </c:manualLayout>
      </c:layout>
      <c:scatterChart>
        <c:scatterStyle val="lineMarker"/>
        <c:varyColors val="1"/>
        <c:ser>
          <c:idx val="0"/>
          <c:order val="0"/>
          <c:tx>
            <c:v>MUESTRA SUMERGIDA</c:v>
          </c:tx>
          <c:spPr>
            <a:ln>
              <a:noFill/>
            </a:ln>
          </c:spPr>
          <c:marker>
            <c:symbol val="circle"/>
            <c:size val="7"/>
            <c:spPr>
              <a:solidFill>
                <a:schemeClr val="accent1"/>
              </a:solidFill>
              <a:ln cmpd="sng">
                <a:solidFill>
                  <a:schemeClr val="accent1"/>
                </a:solidFill>
              </a:ln>
            </c:spPr>
          </c:marker>
          <c:xVal>
            <c:numRef>
              <c:f>FORMATO!$H$22:$H$34</c:f>
              <c:numCache>
                <c:formatCode>0.000</c:formatCode>
                <c:ptCount val="13"/>
                <c:pt idx="0">
                  <c:v>0</c:v>
                </c:pt>
                <c:pt idx="1">
                  <c:v>0.127</c:v>
                </c:pt>
                <c:pt idx="2">
                  <c:v>0.63500000000000001</c:v>
                </c:pt>
                <c:pt idx="3">
                  <c:v>1.27</c:v>
                </c:pt>
                <c:pt idx="4">
                  <c:v>1.9049999999999998</c:v>
                </c:pt>
                <c:pt idx="5">
                  <c:v>2.54</c:v>
                </c:pt>
                <c:pt idx="6">
                  <c:v>3.1749999999999998</c:v>
                </c:pt>
                <c:pt idx="7">
                  <c:v>3.8099999999999996</c:v>
                </c:pt>
                <c:pt idx="8">
                  <c:v>4.4449999999999994</c:v>
                </c:pt>
                <c:pt idx="9">
                  <c:v>5.08</c:v>
                </c:pt>
                <c:pt idx="10">
                  <c:v>7.6199999999999992</c:v>
                </c:pt>
                <c:pt idx="11">
                  <c:v>10.16</c:v>
                </c:pt>
                <c:pt idx="12">
                  <c:v>12.7</c:v>
                </c:pt>
              </c:numCache>
            </c:numRef>
          </c:xVal>
          <c:yVal>
            <c:numRef>
              <c:f>FORMATO!$L$22:$L$34</c:f>
              <c:numCache>
                <c:formatCode>0.000</c:formatCode>
                <c:ptCount val="13"/>
                <c:pt idx="0" formatCode="General">
                  <c:v>0</c:v>
                </c:pt>
                <c:pt idx="1">
                  <c:v>0</c:v>
                </c:pt>
                <c:pt idx="2">
                  <c:v>0</c:v>
                </c:pt>
                <c:pt idx="3">
                  <c:v>0</c:v>
                </c:pt>
                <c:pt idx="4">
                  <c:v>0</c:v>
                </c:pt>
                <c:pt idx="5">
                  <c:v>0</c:v>
                </c:pt>
                <c:pt idx="6">
                  <c:v>0</c:v>
                </c:pt>
                <c:pt idx="7">
                  <c:v>0</c:v>
                </c:pt>
                <c:pt idx="8">
                  <c:v>0</c:v>
                </c:pt>
                <c:pt idx="9">
                  <c:v>0</c:v>
                </c:pt>
                <c:pt idx="10">
                  <c:v>0</c:v>
                </c:pt>
                <c:pt idx="11">
                  <c:v>0</c:v>
                </c:pt>
                <c:pt idx="12">
                  <c:v>0</c:v>
                </c:pt>
              </c:numCache>
            </c:numRef>
          </c:yVal>
          <c:smooth val="1"/>
          <c:extLst>
            <c:ext xmlns:c16="http://schemas.microsoft.com/office/drawing/2014/chart" uri="{C3380CC4-5D6E-409C-BE32-E72D297353CC}">
              <c16:uniqueId val="{00000000-8586-452B-996F-3A9861A2D8CF}"/>
            </c:ext>
          </c:extLst>
        </c:ser>
        <c:ser>
          <c:idx val="1"/>
          <c:order val="1"/>
          <c:tx>
            <c:v>MUESTRA SIN SUMERGIR</c:v>
          </c:tx>
          <c:spPr>
            <a:ln>
              <a:noFill/>
            </a:ln>
          </c:spPr>
          <c:marker>
            <c:symbol val="circle"/>
            <c:size val="7"/>
            <c:spPr>
              <a:solidFill>
                <a:schemeClr val="accent2"/>
              </a:solidFill>
              <a:ln cmpd="sng">
                <a:solidFill>
                  <a:schemeClr val="accent2"/>
                </a:solidFill>
              </a:ln>
            </c:spPr>
          </c:marker>
          <c:xVal>
            <c:numRef>
              <c:f>FORMATO!$H$22:$H$34</c:f>
              <c:numCache>
                <c:formatCode>0.000</c:formatCode>
                <c:ptCount val="13"/>
                <c:pt idx="0">
                  <c:v>0</c:v>
                </c:pt>
                <c:pt idx="1">
                  <c:v>0.127</c:v>
                </c:pt>
                <c:pt idx="2">
                  <c:v>0.63500000000000001</c:v>
                </c:pt>
                <c:pt idx="3">
                  <c:v>1.27</c:v>
                </c:pt>
                <c:pt idx="4">
                  <c:v>1.9049999999999998</c:v>
                </c:pt>
                <c:pt idx="5">
                  <c:v>2.54</c:v>
                </c:pt>
                <c:pt idx="6">
                  <c:v>3.1749999999999998</c:v>
                </c:pt>
                <c:pt idx="7">
                  <c:v>3.8099999999999996</c:v>
                </c:pt>
                <c:pt idx="8">
                  <c:v>4.4449999999999994</c:v>
                </c:pt>
                <c:pt idx="9">
                  <c:v>5.08</c:v>
                </c:pt>
                <c:pt idx="10">
                  <c:v>7.6199999999999992</c:v>
                </c:pt>
                <c:pt idx="11">
                  <c:v>10.16</c:v>
                </c:pt>
                <c:pt idx="12">
                  <c:v>12.7</c:v>
                </c:pt>
              </c:numCache>
            </c:numRef>
          </c:xVal>
          <c:yVal>
            <c:numRef>
              <c:f>FORMATO!$J$22:$J$34</c:f>
              <c:numCache>
                <c:formatCode>0.000</c:formatCode>
                <c:ptCount val="13"/>
                <c:pt idx="0" formatCode="General">
                  <c:v>0</c:v>
                </c:pt>
                <c:pt idx="1">
                  <c:v>0</c:v>
                </c:pt>
                <c:pt idx="2">
                  <c:v>0</c:v>
                </c:pt>
                <c:pt idx="3">
                  <c:v>0</c:v>
                </c:pt>
                <c:pt idx="4">
                  <c:v>0</c:v>
                </c:pt>
                <c:pt idx="5">
                  <c:v>0</c:v>
                </c:pt>
                <c:pt idx="6">
                  <c:v>0</c:v>
                </c:pt>
                <c:pt idx="7">
                  <c:v>0</c:v>
                </c:pt>
                <c:pt idx="8">
                  <c:v>0</c:v>
                </c:pt>
                <c:pt idx="9">
                  <c:v>0</c:v>
                </c:pt>
                <c:pt idx="10">
                  <c:v>0</c:v>
                </c:pt>
                <c:pt idx="11">
                  <c:v>0</c:v>
                </c:pt>
                <c:pt idx="12">
                  <c:v>0</c:v>
                </c:pt>
              </c:numCache>
            </c:numRef>
          </c:yVal>
          <c:smooth val="1"/>
          <c:extLst>
            <c:ext xmlns:c16="http://schemas.microsoft.com/office/drawing/2014/chart" uri="{C3380CC4-5D6E-409C-BE32-E72D297353CC}">
              <c16:uniqueId val="{00000001-8586-452B-996F-3A9861A2D8CF}"/>
            </c:ext>
          </c:extLst>
        </c:ser>
        <c:dLbls>
          <c:showLegendKey val="0"/>
          <c:showVal val="0"/>
          <c:showCatName val="0"/>
          <c:showSerName val="0"/>
          <c:showPercent val="0"/>
          <c:showBubbleSize val="0"/>
        </c:dLbls>
        <c:axId val="1301414687"/>
        <c:axId val="115864939"/>
      </c:scatterChart>
      <c:valAx>
        <c:axId val="1301414687"/>
        <c:scaling>
          <c:orientation val="minMax"/>
        </c:scaling>
        <c:delete val="0"/>
        <c:axPos val="b"/>
        <c:majorGridlines>
          <c:spPr>
            <a:ln>
              <a:solidFill>
                <a:srgbClr val="B7B7B7"/>
              </a:solidFill>
            </a:ln>
          </c:spPr>
        </c:majorGridlines>
        <c:title>
          <c:tx>
            <c:rich>
              <a:bodyPr/>
              <a:lstStyle/>
              <a:p>
                <a:pPr lvl="0">
                  <a:defRPr sz="900" b="1" i="0">
                    <a:solidFill>
                      <a:schemeClr val="dk1"/>
                    </a:solidFill>
                    <a:latin typeface="+mn-lt"/>
                  </a:defRPr>
                </a:pPr>
                <a:r>
                  <a:rPr lang="es-CO" sz="900" b="1" i="0">
                    <a:solidFill>
                      <a:schemeClr val="dk1"/>
                    </a:solidFill>
                    <a:latin typeface="+mn-lt"/>
                  </a:rPr>
                  <a:t>PENETRACIÓN (mm)</a:t>
                </a:r>
              </a:p>
            </c:rich>
          </c:tx>
          <c:overlay val="0"/>
        </c:title>
        <c:numFmt formatCode="0.000" sourceLinked="1"/>
        <c:majorTickMark val="none"/>
        <c:minorTickMark val="none"/>
        <c:tickLblPos val="nextTo"/>
        <c:spPr>
          <a:ln>
            <a:noFill/>
          </a:ln>
        </c:spPr>
        <c:txPr>
          <a:bodyPr/>
          <a:lstStyle/>
          <a:p>
            <a:pPr lvl="0">
              <a:defRPr sz="900" b="0" i="0">
                <a:solidFill>
                  <a:schemeClr val="dk1"/>
                </a:solidFill>
                <a:latin typeface="+mn-lt"/>
              </a:defRPr>
            </a:pPr>
            <a:endParaRPr lang="es-CO"/>
          </a:p>
        </c:txPr>
        <c:crossAx val="115864939"/>
        <c:crosses val="autoZero"/>
        <c:crossBetween val="midCat"/>
      </c:valAx>
      <c:valAx>
        <c:axId val="115864939"/>
        <c:scaling>
          <c:orientation val="minMax"/>
        </c:scaling>
        <c:delete val="0"/>
        <c:axPos val="l"/>
        <c:majorGridlines>
          <c:spPr>
            <a:ln>
              <a:solidFill>
                <a:srgbClr val="B7B7B7"/>
              </a:solidFill>
            </a:ln>
          </c:spPr>
        </c:majorGridlines>
        <c:title>
          <c:tx>
            <c:rich>
              <a:bodyPr/>
              <a:lstStyle/>
              <a:p>
                <a:pPr lvl="0">
                  <a:defRPr sz="900" b="1" i="0">
                    <a:solidFill>
                      <a:schemeClr val="dk1"/>
                    </a:solidFill>
                    <a:latin typeface="+mn-lt"/>
                  </a:defRPr>
                </a:pPr>
                <a:r>
                  <a:rPr lang="es-CO" sz="900" b="1" i="0">
                    <a:solidFill>
                      <a:schemeClr val="dk1"/>
                    </a:solidFill>
                    <a:latin typeface="+mn-lt"/>
                  </a:rPr>
                  <a:t>ESFUERZO (Mpa)</a:t>
                </a:r>
              </a:p>
            </c:rich>
          </c:tx>
          <c:overlay val="0"/>
        </c:title>
        <c:numFmt formatCode="General" sourceLinked="1"/>
        <c:majorTickMark val="none"/>
        <c:minorTickMark val="none"/>
        <c:tickLblPos val="nextTo"/>
        <c:spPr>
          <a:ln>
            <a:noFill/>
          </a:ln>
        </c:spPr>
        <c:txPr>
          <a:bodyPr/>
          <a:lstStyle/>
          <a:p>
            <a:pPr lvl="0">
              <a:defRPr sz="900" b="0" i="0">
                <a:solidFill>
                  <a:schemeClr val="dk1"/>
                </a:solidFill>
                <a:latin typeface="+mn-lt"/>
              </a:defRPr>
            </a:pPr>
            <a:endParaRPr lang="es-CO"/>
          </a:p>
        </c:txPr>
        <c:crossAx val="1301414687"/>
        <c:crosses val="autoZero"/>
        <c:crossBetween val="midCat"/>
      </c:valAx>
      <c:spPr>
        <a:solidFill>
          <a:schemeClr val="lt1"/>
        </a:solidFill>
      </c:spPr>
    </c:plotArea>
    <c:legend>
      <c:legendPos val="b"/>
      <c:layout>
        <c:manualLayout>
          <c:xMode val="edge"/>
          <c:yMode val="edge"/>
          <c:x val="1.9219567826425729E-6"/>
          <c:y val="0.91456538520920183"/>
        </c:manualLayout>
      </c:layout>
      <c:overlay val="0"/>
      <c:txPr>
        <a:bodyPr/>
        <a:lstStyle/>
        <a:p>
          <a:pPr lvl="0">
            <a:defRPr sz="900" b="0" i="0">
              <a:solidFill>
                <a:schemeClr val="dk1"/>
              </a:solidFill>
              <a:latin typeface="+mn-lt"/>
            </a:defRPr>
          </a:pPr>
          <a:endParaRPr lang="es-CO"/>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47625</xdr:colOff>
      <xdr:row>40</xdr:row>
      <xdr:rowOff>171450</xdr:rowOff>
    </xdr:from>
    <xdr:ext cx="9077325" cy="4105275"/>
    <xdr:graphicFrame macro="">
      <xdr:nvGraphicFramePr>
        <xdr:cNvPr id="1118534756" name="Chart 1">
          <a:extLst>
            <a:ext uri="{FF2B5EF4-FFF2-40B4-BE49-F238E27FC236}">
              <a16:creationId xmlns:a16="http://schemas.microsoft.com/office/drawing/2014/main" id="{00000000-0008-0000-0000-0000647CA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247650</xdr:colOff>
      <xdr:row>49</xdr:row>
      <xdr:rowOff>142875</xdr:rowOff>
    </xdr:from>
    <xdr:ext cx="352425" cy="285750"/>
    <xdr:sp macro="" textlink="">
      <xdr:nvSpPr>
        <xdr:cNvPr id="3" name="Shape 3">
          <a:extLst>
            <a:ext uri="{FF2B5EF4-FFF2-40B4-BE49-F238E27FC236}">
              <a16:creationId xmlns:a16="http://schemas.microsoft.com/office/drawing/2014/main" id="{00000000-0008-0000-0000-000003000000}"/>
            </a:ext>
          </a:extLst>
        </xdr:cNvPr>
        <xdr:cNvSpPr/>
      </xdr:nvSpPr>
      <xdr:spPr>
        <a:xfrm>
          <a:off x="5174550" y="3641888"/>
          <a:ext cx="342900" cy="276225"/>
        </a:xfrm>
        <a:prstGeom prst="rect">
          <a:avLst/>
        </a:prstGeom>
        <a:solidFill>
          <a:schemeClr val="lt1"/>
        </a:solidFill>
        <a:ln w="12700" cap="flat" cmpd="sng">
          <a:solidFill>
            <a:schemeClr val="l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123825</xdr:colOff>
      <xdr:row>0</xdr:row>
      <xdr:rowOff>114300</xdr:rowOff>
    </xdr:from>
    <xdr:ext cx="2809875" cy="7143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B1002"/>
  <sheetViews>
    <sheetView showGridLines="0" tabSelected="1" view="pageBreakPreview" zoomScale="55" zoomScaleNormal="33" zoomScaleSheetLayoutView="55" workbookViewId="0">
      <selection activeCell="K43" sqref="K43"/>
    </sheetView>
  </sheetViews>
  <sheetFormatPr baseColWidth="10" defaultColWidth="14.42578125" defaultRowHeight="15" customHeight="1" x14ac:dyDescent="0.25"/>
  <cols>
    <col min="1" max="1" width="10.5703125" style="10" customWidth="1"/>
    <col min="2" max="2" width="35.42578125" style="10" customWidth="1"/>
    <col min="3" max="3" width="20.85546875" style="10" customWidth="1"/>
    <col min="4" max="5" width="26.7109375" style="10" customWidth="1"/>
    <col min="6" max="6" width="3.7109375" style="10" customWidth="1"/>
    <col min="7" max="8" width="27.140625" style="10" customWidth="1"/>
    <col min="9" max="10" width="24.28515625" style="10" customWidth="1"/>
    <col min="11" max="12" width="22.42578125" style="10" customWidth="1"/>
    <col min="13" max="13" width="1.85546875" style="10" customWidth="1"/>
    <col min="14" max="16" width="12.85546875" style="10" customWidth="1"/>
    <col min="17" max="17" width="6.5703125" style="10" customWidth="1"/>
    <col min="18" max="18" width="6.28515625" style="10" customWidth="1"/>
    <col min="19" max="28" width="11.42578125" style="10" customWidth="1"/>
    <col min="29" max="16384" width="14.42578125" style="10"/>
  </cols>
  <sheetData>
    <row r="1" spans="1:28" ht="19.5" customHeight="1" x14ac:dyDescent="0.25">
      <c r="A1" s="115"/>
      <c r="B1" s="116"/>
      <c r="C1" s="117" t="s">
        <v>9</v>
      </c>
      <c r="D1" s="118"/>
      <c r="E1" s="118"/>
      <c r="F1" s="118"/>
      <c r="G1" s="118"/>
      <c r="H1" s="118"/>
      <c r="I1" s="118"/>
      <c r="J1" s="118"/>
      <c r="K1" s="119" t="s">
        <v>10</v>
      </c>
      <c r="L1" s="116"/>
      <c r="M1" s="8"/>
      <c r="N1" s="8"/>
      <c r="O1" s="9"/>
      <c r="P1" s="9"/>
      <c r="Q1" s="9"/>
      <c r="R1" s="9"/>
      <c r="S1" s="9"/>
      <c r="T1" s="9"/>
      <c r="U1" s="9"/>
      <c r="V1" s="9"/>
      <c r="W1" s="9"/>
      <c r="X1" s="9"/>
      <c r="Y1" s="9"/>
      <c r="Z1" s="9"/>
      <c r="AA1" s="9"/>
      <c r="AB1" s="8"/>
    </row>
    <row r="2" spans="1:28" ht="19.5" customHeight="1" x14ac:dyDescent="0.25">
      <c r="A2" s="116"/>
      <c r="B2" s="120"/>
      <c r="C2" s="121" t="s">
        <v>11</v>
      </c>
      <c r="D2" s="122"/>
      <c r="E2" s="122"/>
      <c r="F2" s="122"/>
      <c r="G2" s="122"/>
      <c r="H2" s="122"/>
      <c r="I2" s="122"/>
      <c r="J2" s="123"/>
      <c r="K2" s="115" t="s">
        <v>94</v>
      </c>
      <c r="L2" s="116"/>
      <c r="M2" s="8"/>
      <c r="N2" s="8"/>
      <c r="O2" s="9"/>
      <c r="P2" s="9"/>
      <c r="Q2" s="9"/>
      <c r="R2" s="9"/>
      <c r="S2" s="9"/>
      <c r="T2" s="9"/>
      <c r="U2" s="9"/>
      <c r="V2" s="9"/>
      <c r="W2" s="9"/>
      <c r="X2" s="9"/>
      <c r="Y2" s="9"/>
      <c r="Z2" s="9"/>
      <c r="AA2" s="9"/>
      <c r="AB2" s="8"/>
    </row>
    <row r="3" spans="1:28" ht="19.5" customHeight="1" x14ac:dyDescent="0.25">
      <c r="A3" s="116"/>
      <c r="B3" s="120"/>
      <c r="C3" s="116"/>
      <c r="D3" s="120"/>
      <c r="E3" s="120"/>
      <c r="F3" s="120"/>
      <c r="G3" s="120"/>
      <c r="H3" s="120"/>
      <c r="I3" s="120"/>
      <c r="J3" s="116"/>
      <c r="K3" s="115" t="s">
        <v>12</v>
      </c>
      <c r="L3" s="116"/>
      <c r="M3" s="8"/>
      <c r="N3" s="8"/>
      <c r="O3" s="8"/>
      <c r="P3" s="8"/>
      <c r="Q3" s="11"/>
      <c r="R3" s="9"/>
      <c r="S3" s="8"/>
      <c r="T3" s="11" t="s">
        <v>13</v>
      </c>
      <c r="U3" s="11"/>
      <c r="V3" s="9"/>
      <c r="W3" s="9"/>
      <c r="X3" s="9"/>
      <c r="Y3" s="9"/>
      <c r="Z3" s="9"/>
      <c r="AA3" s="9"/>
      <c r="AB3" s="8"/>
    </row>
    <row r="4" spans="1:28" ht="19.5" customHeight="1" x14ac:dyDescent="0.25">
      <c r="A4" s="116"/>
      <c r="B4" s="116"/>
      <c r="C4" s="116"/>
      <c r="D4" s="116"/>
      <c r="E4" s="116"/>
      <c r="F4" s="116"/>
      <c r="G4" s="116"/>
      <c r="H4" s="116"/>
      <c r="I4" s="116"/>
      <c r="J4" s="116"/>
      <c r="K4" s="115" t="s">
        <v>95</v>
      </c>
      <c r="L4" s="116"/>
      <c r="M4" s="8"/>
      <c r="N4" s="8"/>
      <c r="O4" s="8"/>
      <c r="P4" s="8"/>
      <c r="Q4" s="11"/>
      <c r="R4" s="9"/>
      <c r="S4" s="11"/>
      <c r="T4" s="11"/>
      <c r="U4" s="11"/>
      <c r="V4" s="9"/>
      <c r="W4" s="9"/>
      <c r="X4" s="9"/>
      <c r="Y4" s="9"/>
      <c r="Z4" s="9"/>
      <c r="AA4" s="9"/>
      <c r="AB4" s="8"/>
    </row>
    <row r="5" spans="1:28" ht="3.75" customHeight="1" thickBot="1" x14ac:dyDescent="0.3">
      <c r="A5" s="124"/>
      <c r="B5" s="125"/>
      <c r="C5" s="126"/>
      <c r="D5" s="126"/>
      <c r="E5" s="126"/>
      <c r="F5" s="126"/>
      <c r="G5" s="126"/>
      <c r="H5" s="126"/>
      <c r="I5" s="126"/>
      <c r="J5" s="126"/>
      <c r="K5" s="126"/>
      <c r="L5" s="127"/>
      <c r="M5" s="8"/>
      <c r="N5" s="8"/>
      <c r="O5" s="8"/>
      <c r="P5" s="8"/>
      <c r="Q5" s="11"/>
      <c r="R5" s="11"/>
      <c r="S5" s="8"/>
      <c r="T5" s="11"/>
      <c r="U5" s="11"/>
      <c r="V5" s="9"/>
      <c r="W5" s="9"/>
      <c r="X5" s="9"/>
      <c r="Y5" s="9"/>
      <c r="Z5" s="9"/>
      <c r="AA5" s="9"/>
      <c r="AB5" s="9"/>
    </row>
    <row r="6" spans="1:28" ht="22.5" customHeight="1" x14ac:dyDescent="0.25">
      <c r="A6" s="128"/>
      <c r="B6" s="129" t="s">
        <v>14</v>
      </c>
      <c r="C6" s="96"/>
      <c r="D6" s="97"/>
      <c r="E6" s="97"/>
      <c r="F6" s="97"/>
      <c r="G6" s="98"/>
      <c r="H6" s="131" t="s">
        <v>15</v>
      </c>
      <c r="I6" s="132"/>
      <c r="J6" s="99"/>
      <c r="K6" s="97"/>
      <c r="L6" s="100"/>
      <c r="M6" s="8"/>
      <c r="N6" s="8"/>
      <c r="O6" s="8"/>
      <c r="P6" s="8"/>
      <c r="Q6" s="9"/>
      <c r="R6" s="9"/>
      <c r="S6" s="8"/>
      <c r="T6" s="12" t="s">
        <v>16</v>
      </c>
      <c r="U6" s="9"/>
      <c r="V6" s="9"/>
      <c r="W6" s="9"/>
      <c r="X6" s="9"/>
      <c r="Y6" s="9"/>
      <c r="Z6" s="9"/>
      <c r="AA6" s="9"/>
      <c r="AB6" s="9"/>
    </row>
    <row r="7" spans="1:28" ht="22.5" customHeight="1" x14ac:dyDescent="0.25">
      <c r="A7" s="124"/>
      <c r="B7" s="133" t="s">
        <v>17</v>
      </c>
      <c r="C7" s="101"/>
      <c r="D7" s="102"/>
      <c r="E7" s="102"/>
      <c r="F7" s="102"/>
      <c r="G7" s="103"/>
      <c r="H7" s="136" t="s">
        <v>18</v>
      </c>
      <c r="I7" s="137"/>
      <c r="J7" s="104"/>
      <c r="K7" s="102"/>
      <c r="L7" s="105"/>
      <c r="M7" s="8"/>
      <c r="N7" s="8"/>
      <c r="O7" s="8"/>
      <c r="P7" s="8"/>
      <c r="Q7" s="9"/>
      <c r="R7" s="9"/>
      <c r="S7" s="8"/>
      <c r="T7" s="12" t="s">
        <v>19</v>
      </c>
      <c r="U7" s="9"/>
      <c r="V7" s="9"/>
      <c r="W7" s="9"/>
      <c r="X7" s="9"/>
      <c r="Y7" s="9"/>
      <c r="Z7" s="9"/>
      <c r="AA7" s="9"/>
      <c r="AB7" s="9"/>
    </row>
    <row r="8" spans="1:28" ht="22.5" customHeight="1" x14ac:dyDescent="0.25">
      <c r="A8" s="124"/>
      <c r="B8" s="133" t="s">
        <v>20</v>
      </c>
      <c r="C8" s="101"/>
      <c r="D8" s="102"/>
      <c r="E8" s="102"/>
      <c r="F8" s="102"/>
      <c r="G8" s="103"/>
      <c r="H8" s="136" t="s">
        <v>21</v>
      </c>
      <c r="I8" s="137"/>
      <c r="J8" s="104"/>
      <c r="K8" s="102"/>
      <c r="L8" s="105"/>
      <c r="M8" s="8"/>
      <c r="N8" s="8"/>
      <c r="O8" s="8"/>
      <c r="P8" s="8"/>
      <c r="Q8" s="9"/>
      <c r="R8" s="9"/>
      <c r="S8" s="8">
        <f>17-2.57</f>
        <v>14.43</v>
      </c>
      <c r="T8" s="12" t="s">
        <v>22</v>
      </c>
      <c r="U8" s="9"/>
      <c r="V8" s="9"/>
      <c r="W8" s="9"/>
      <c r="X8" s="9"/>
      <c r="Y8" s="9"/>
      <c r="Z8" s="9"/>
      <c r="AA8" s="9"/>
      <c r="AB8" s="9"/>
    </row>
    <row r="9" spans="1:28" ht="22.5" customHeight="1" x14ac:dyDescent="0.25">
      <c r="A9" s="124"/>
      <c r="B9" s="133" t="s">
        <v>23</v>
      </c>
      <c r="C9" s="101"/>
      <c r="D9" s="102"/>
      <c r="E9" s="102"/>
      <c r="F9" s="102"/>
      <c r="G9" s="103"/>
      <c r="H9" s="136" t="s">
        <v>24</v>
      </c>
      <c r="I9" s="137"/>
      <c r="J9" s="139" t="s">
        <v>25</v>
      </c>
      <c r="K9" s="13"/>
      <c r="L9" s="14"/>
      <c r="M9" s="8"/>
      <c r="N9" s="8"/>
      <c r="O9" s="8"/>
      <c r="P9" s="8"/>
      <c r="Q9" s="9"/>
      <c r="R9" s="9"/>
      <c r="S9" s="8"/>
      <c r="T9" s="12" t="s">
        <v>26</v>
      </c>
      <c r="U9" s="9"/>
      <c r="V9" s="9"/>
      <c r="W9" s="9"/>
      <c r="X9" s="9"/>
      <c r="Y9" s="9"/>
      <c r="Z9" s="9"/>
      <c r="AA9" s="9"/>
      <c r="AB9" s="9"/>
    </row>
    <row r="10" spans="1:28" ht="22.5" customHeight="1" x14ac:dyDescent="0.25">
      <c r="A10" s="124"/>
      <c r="B10" s="140" t="s">
        <v>27</v>
      </c>
      <c r="C10" s="101"/>
      <c r="D10" s="102"/>
      <c r="E10" s="102"/>
      <c r="F10" s="102"/>
      <c r="G10" s="103"/>
      <c r="H10" s="141" t="s">
        <v>28</v>
      </c>
      <c r="I10" s="142"/>
      <c r="J10" s="134" t="str">
        <f>CONCATENATE(K9,," ",L9,"-",B63,"-",D12,"-",F12)</f>
        <v xml:space="preserve"> ---</v>
      </c>
      <c r="K10" s="135"/>
      <c r="L10" s="138"/>
      <c r="M10" s="8"/>
      <c r="N10" s="8"/>
      <c r="O10" s="8"/>
      <c r="P10" s="8"/>
      <c r="Q10" s="9"/>
      <c r="R10" s="9"/>
      <c r="S10" s="8"/>
      <c r="T10" s="12" t="s">
        <v>29</v>
      </c>
      <c r="U10" s="9"/>
      <c r="V10" s="9"/>
      <c r="W10" s="9"/>
      <c r="X10" s="9"/>
      <c r="Y10" s="9"/>
      <c r="Z10" s="9"/>
      <c r="AA10" s="9"/>
      <c r="AB10" s="9"/>
    </row>
    <row r="11" spans="1:28" ht="3.75" customHeight="1" x14ac:dyDescent="0.25">
      <c r="A11" s="143"/>
      <c r="B11" s="144"/>
      <c r="C11" s="145"/>
      <c r="D11" s="145"/>
      <c r="E11" s="145"/>
      <c r="F11" s="145"/>
      <c r="G11" s="145"/>
      <c r="H11" s="145"/>
      <c r="I11" s="145"/>
      <c r="J11" s="145"/>
      <c r="K11" s="146"/>
      <c r="L11" s="147"/>
      <c r="M11" s="8"/>
      <c r="N11" s="8"/>
      <c r="O11" s="8"/>
      <c r="P11" s="8"/>
      <c r="Q11" s="9"/>
      <c r="R11" s="9"/>
      <c r="S11" s="8"/>
      <c r="T11" s="12"/>
      <c r="U11" s="9"/>
      <c r="V11" s="9"/>
      <c r="W11" s="9"/>
      <c r="X11" s="9"/>
      <c r="Y11" s="9"/>
      <c r="Z11" s="9"/>
      <c r="AA11" s="9"/>
      <c r="AB11" s="9"/>
    </row>
    <row r="12" spans="1:28" ht="22.5" customHeight="1" x14ac:dyDescent="0.25">
      <c r="A12" s="128"/>
      <c r="B12" s="129" t="s">
        <v>30</v>
      </c>
      <c r="C12" s="15"/>
      <c r="D12" s="16"/>
      <c r="E12" s="148" t="s">
        <v>31</v>
      </c>
      <c r="F12" s="106"/>
      <c r="G12" s="98"/>
      <c r="H12" s="149" t="s">
        <v>32</v>
      </c>
      <c r="I12" s="132"/>
      <c r="J12" s="17"/>
      <c r="K12" s="150" t="s">
        <v>33</v>
      </c>
      <c r="L12" s="18"/>
      <c r="M12" s="8"/>
      <c r="N12" s="8"/>
      <c r="O12" s="8"/>
      <c r="P12" s="8"/>
      <c r="Q12" s="9"/>
      <c r="R12" s="9"/>
      <c r="S12" s="8"/>
      <c r="T12" s="12"/>
      <c r="U12" s="9"/>
      <c r="V12" s="9"/>
      <c r="W12" s="9"/>
      <c r="X12" s="9"/>
      <c r="Y12" s="9"/>
      <c r="Z12" s="9"/>
      <c r="AA12" s="9"/>
      <c r="AB12" s="9"/>
    </row>
    <row r="13" spans="1:28" ht="22.5" customHeight="1" x14ac:dyDescent="0.25">
      <c r="A13" s="124"/>
      <c r="B13" s="133" t="s">
        <v>34</v>
      </c>
      <c r="C13" s="107"/>
      <c r="D13" s="108"/>
      <c r="E13" s="108"/>
      <c r="F13" s="108"/>
      <c r="G13" s="108"/>
      <c r="H13" s="108"/>
      <c r="I13" s="108"/>
      <c r="J13" s="108"/>
      <c r="K13" s="108"/>
      <c r="L13" s="109"/>
      <c r="M13" s="8"/>
      <c r="N13" s="8"/>
      <c r="O13" s="8"/>
      <c r="P13" s="8"/>
      <c r="Q13" s="9"/>
      <c r="R13" s="9"/>
      <c r="S13" s="8"/>
      <c r="T13" s="12"/>
      <c r="U13" s="9"/>
      <c r="V13" s="9"/>
      <c r="W13" s="9"/>
      <c r="X13" s="9"/>
      <c r="Y13" s="9"/>
      <c r="Z13" s="9"/>
      <c r="AA13" s="9"/>
      <c r="AB13" s="9"/>
    </row>
    <row r="14" spans="1:28" ht="6.75" customHeight="1" x14ac:dyDescent="0.25">
      <c r="A14" s="143"/>
      <c r="B14" s="151"/>
      <c r="C14" s="152"/>
      <c r="D14" s="152"/>
      <c r="E14" s="152"/>
      <c r="F14" s="152"/>
      <c r="G14" s="152"/>
      <c r="H14" s="152"/>
      <c r="I14" s="152"/>
      <c r="J14" s="152"/>
      <c r="K14" s="152"/>
      <c r="L14" s="153"/>
      <c r="M14" s="8"/>
      <c r="N14" s="8"/>
      <c r="O14" s="8"/>
      <c r="P14" s="9"/>
      <c r="Q14" s="9"/>
      <c r="R14" s="9"/>
      <c r="S14" s="9"/>
      <c r="T14" s="9"/>
      <c r="U14" s="9"/>
      <c r="V14" s="9"/>
      <c r="W14" s="9"/>
      <c r="X14" s="9"/>
      <c r="Y14" s="9"/>
      <c r="Z14" s="9"/>
      <c r="AA14" s="9"/>
      <c r="AB14" s="9"/>
    </row>
    <row r="15" spans="1:28" ht="14.25" customHeight="1" x14ac:dyDescent="0.25">
      <c r="A15" s="154"/>
      <c r="B15" s="155"/>
      <c r="C15" s="155"/>
      <c r="D15" s="155"/>
      <c r="E15" s="155"/>
      <c r="F15" s="155"/>
      <c r="G15" s="155"/>
      <c r="H15" s="155"/>
      <c r="I15" s="155"/>
      <c r="J15" s="155"/>
      <c r="K15" s="155"/>
      <c r="L15" s="156"/>
      <c r="M15" s="19"/>
      <c r="N15" s="19"/>
      <c r="O15" s="19"/>
      <c r="P15" s="19"/>
      <c r="Q15" s="19"/>
      <c r="R15" s="19"/>
      <c r="S15" s="19"/>
      <c r="T15" s="19"/>
      <c r="U15" s="19"/>
      <c r="V15" s="19"/>
      <c r="W15" s="19"/>
      <c r="X15" s="19"/>
      <c r="Y15" s="19"/>
      <c r="Z15" s="19"/>
      <c r="AA15" s="19"/>
      <c r="AB15" s="19"/>
    </row>
    <row r="16" spans="1:28" ht="22.5" customHeight="1" x14ac:dyDescent="0.25">
      <c r="A16" s="157"/>
      <c r="B16" s="158"/>
      <c r="C16" s="158"/>
      <c r="D16" s="158"/>
      <c r="E16" s="158"/>
      <c r="F16" s="158"/>
      <c r="G16" s="158"/>
      <c r="H16" s="158"/>
      <c r="I16" s="158"/>
      <c r="J16" s="158"/>
      <c r="K16" s="158"/>
      <c r="L16" s="159"/>
      <c r="M16" s="19"/>
      <c r="N16" s="19"/>
      <c r="O16" s="19"/>
      <c r="P16" s="19"/>
      <c r="Q16" s="19"/>
      <c r="R16" s="19"/>
      <c r="S16" s="19"/>
      <c r="T16" s="19"/>
      <c r="U16" s="19"/>
      <c r="V16" s="19"/>
      <c r="W16" s="19"/>
      <c r="X16" s="19"/>
      <c r="Y16" s="19"/>
      <c r="Z16" s="19"/>
      <c r="AA16" s="19"/>
      <c r="AB16" s="19"/>
    </row>
    <row r="17" spans="1:28" ht="22.5" customHeight="1" x14ac:dyDescent="0.25">
      <c r="A17" s="154"/>
      <c r="B17" s="155"/>
      <c r="C17" s="155"/>
      <c r="D17" s="155"/>
      <c r="E17" s="155"/>
      <c r="F17" s="155"/>
      <c r="G17" s="160"/>
      <c r="H17" s="160"/>
      <c r="I17" s="160"/>
      <c r="J17" s="160"/>
      <c r="K17" s="160"/>
      <c r="L17" s="161"/>
      <c r="M17" s="19"/>
      <c r="N17" s="19"/>
      <c r="O17" s="19"/>
      <c r="P17" s="19"/>
      <c r="Q17" s="19"/>
      <c r="R17" s="19"/>
      <c r="S17" s="19"/>
      <c r="T17" s="19"/>
      <c r="U17" s="19"/>
      <c r="V17" s="19"/>
      <c r="W17" s="19"/>
      <c r="X17" s="19"/>
      <c r="Y17" s="19"/>
      <c r="Z17" s="19"/>
      <c r="AA17" s="19"/>
      <c r="AB17" s="19"/>
    </row>
    <row r="18" spans="1:28" ht="22.5" customHeight="1" x14ac:dyDescent="0.25">
      <c r="A18" s="162" t="s">
        <v>35</v>
      </c>
      <c r="B18" s="158"/>
      <c r="C18" s="158"/>
      <c r="D18" s="158"/>
      <c r="E18" s="159"/>
      <c r="F18" s="163"/>
      <c r="G18" s="162" t="s">
        <v>35</v>
      </c>
      <c r="H18" s="158"/>
      <c r="I18" s="158"/>
      <c r="J18" s="158"/>
      <c r="K18" s="158"/>
      <c r="L18" s="159"/>
      <c r="M18" s="21"/>
      <c r="N18" s="21"/>
      <c r="O18" s="22"/>
      <c r="P18" s="21"/>
      <c r="Q18" s="21"/>
      <c r="R18" s="21"/>
      <c r="S18" s="21"/>
      <c r="T18" s="21"/>
      <c r="U18" s="21"/>
      <c r="V18" s="21"/>
      <c r="W18" s="21"/>
      <c r="X18" s="21"/>
      <c r="Y18" s="21"/>
      <c r="Z18" s="21"/>
      <c r="AA18" s="21"/>
      <c r="AB18" s="21"/>
    </row>
    <row r="19" spans="1:28" ht="27.75" customHeight="1" x14ac:dyDescent="0.25">
      <c r="A19" s="164"/>
      <c r="B19" s="130"/>
      <c r="C19" s="165"/>
      <c r="D19" s="166" t="s">
        <v>36</v>
      </c>
      <c r="E19" s="167" t="s">
        <v>37</v>
      </c>
      <c r="F19" s="168"/>
      <c r="G19" s="169" t="s">
        <v>38</v>
      </c>
      <c r="H19" s="170"/>
      <c r="I19" s="171" t="s">
        <v>39</v>
      </c>
      <c r="J19" s="159"/>
      <c r="K19" s="172" t="s">
        <v>40</v>
      </c>
      <c r="L19" s="173"/>
      <c r="M19" s="21"/>
      <c r="N19" s="21"/>
      <c r="O19" s="21"/>
      <c r="P19" s="21"/>
      <c r="Q19" s="21"/>
      <c r="R19" s="21"/>
      <c r="S19" s="21"/>
      <c r="T19" s="21"/>
      <c r="U19" s="21"/>
      <c r="V19" s="21"/>
      <c r="W19" s="21"/>
      <c r="X19" s="21"/>
      <c r="Y19" s="21"/>
      <c r="Z19" s="21"/>
      <c r="AA19" s="21"/>
      <c r="AB19" s="21"/>
    </row>
    <row r="20" spans="1:28" ht="22.5" customHeight="1" x14ac:dyDescent="0.25">
      <c r="A20" s="174" t="s">
        <v>41</v>
      </c>
      <c r="B20" s="175"/>
      <c r="C20" s="176"/>
      <c r="D20" s="23"/>
      <c r="E20" s="63">
        <f t="shared" ref="E20:E21" si="0">D20</f>
        <v>0</v>
      </c>
      <c r="F20" s="177"/>
      <c r="G20" s="178"/>
      <c r="H20" s="179"/>
      <c r="I20" s="180" t="s">
        <v>42</v>
      </c>
      <c r="J20" s="181" t="s">
        <v>43</v>
      </c>
      <c r="K20" s="182" t="s">
        <v>44</v>
      </c>
      <c r="L20" s="183" t="s">
        <v>43</v>
      </c>
      <c r="M20" s="21"/>
      <c r="N20" s="22"/>
      <c r="O20" s="21"/>
      <c r="P20" s="21"/>
      <c r="Q20" s="21"/>
      <c r="R20" s="21"/>
      <c r="S20" s="21"/>
      <c r="T20" s="21"/>
      <c r="U20" s="21"/>
      <c r="V20" s="21"/>
      <c r="W20" s="21"/>
      <c r="X20" s="21"/>
      <c r="Y20" s="21"/>
      <c r="Z20" s="21"/>
      <c r="AA20" s="21"/>
      <c r="AB20" s="21"/>
    </row>
    <row r="21" spans="1:28" ht="22.5" customHeight="1" x14ac:dyDescent="0.25">
      <c r="A21" s="174" t="s">
        <v>45</v>
      </c>
      <c r="B21" s="175"/>
      <c r="C21" s="176" t="s">
        <v>46</v>
      </c>
      <c r="D21" s="24"/>
      <c r="E21" s="64">
        <f t="shared" si="0"/>
        <v>0</v>
      </c>
      <c r="F21" s="184"/>
      <c r="G21" s="185" t="s">
        <v>47</v>
      </c>
      <c r="H21" s="186" t="s">
        <v>48</v>
      </c>
      <c r="I21" s="185" t="s">
        <v>49</v>
      </c>
      <c r="J21" s="186" t="s">
        <v>50</v>
      </c>
      <c r="K21" s="185" t="s">
        <v>49</v>
      </c>
      <c r="L21" s="187" t="s">
        <v>50</v>
      </c>
      <c r="M21" s="21"/>
      <c r="N21" s="26"/>
      <c r="O21" s="21"/>
      <c r="P21" s="21"/>
      <c r="Q21" s="21"/>
      <c r="R21" s="21"/>
      <c r="S21" s="21"/>
      <c r="T21" s="21"/>
      <c r="U21" s="21"/>
      <c r="V21" s="21"/>
      <c r="W21" s="21"/>
      <c r="X21" s="21"/>
      <c r="Y21" s="21"/>
      <c r="Z21" s="21"/>
      <c r="AA21" s="21"/>
      <c r="AB21" s="21"/>
    </row>
    <row r="22" spans="1:28" ht="22.5" customHeight="1" x14ac:dyDescent="0.25">
      <c r="A22" s="174" t="s">
        <v>51</v>
      </c>
      <c r="B22" s="175"/>
      <c r="C22" s="176" t="s">
        <v>46</v>
      </c>
      <c r="D22" s="24"/>
      <c r="E22" s="64">
        <f>D22+E39</f>
        <v>0</v>
      </c>
      <c r="F22" s="184"/>
      <c r="G22" s="188">
        <v>0</v>
      </c>
      <c r="H22" s="75">
        <v>0</v>
      </c>
      <c r="I22" s="27"/>
      <c r="J22" s="74">
        <v>0</v>
      </c>
      <c r="K22" s="27"/>
      <c r="L22" s="78">
        <v>0</v>
      </c>
      <c r="M22" s="21"/>
      <c r="N22" s="26"/>
      <c r="O22" s="21"/>
      <c r="P22" s="21"/>
      <c r="Q22" s="21"/>
      <c r="R22" s="21"/>
      <c r="S22" s="21"/>
      <c r="T22" s="21"/>
      <c r="U22" s="21"/>
      <c r="V22" s="21"/>
      <c r="W22" s="21"/>
      <c r="X22" s="21"/>
      <c r="Y22" s="21"/>
      <c r="Z22" s="21"/>
      <c r="AA22" s="21"/>
      <c r="AB22" s="21"/>
    </row>
    <row r="23" spans="1:28" ht="22.5" customHeight="1" x14ac:dyDescent="0.25">
      <c r="A23" s="174" t="s">
        <v>52</v>
      </c>
      <c r="B23" s="175"/>
      <c r="C23" s="189" t="s">
        <v>53</v>
      </c>
      <c r="D23" s="28"/>
      <c r="E23" s="25"/>
      <c r="F23" s="184"/>
      <c r="G23" s="188">
        <v>5.0000000000000001E-3</v>
      </c>
      <c r="H23" s="75">
        <v>0.127</v>
      </c>
      <c r="I23" s="27"/>
      <c r="J23" s="75">
        <f t="shared" ref="J23:J34" si="1">((I23/19.32)*10)</f>
        <v>0</v>
      </c>
      <c r="K23" s="27"/>
      <c r="L23" s="79">
        <f t="shared" ref="L23:L34" si="2">((K23/19.32)*10)</f>
        <v>0</v>
      </c>
      <c r="M23" s="21"/>
      <c r="N23" s="26"/>
      <c r="O23" s="21"/>
      <c r="P23" s="21"/>
      <c r="Q23" s="21"/>
      <c r="R23" s="21"/>
      <c r="S23" s="21"/>
      <c r="T23" s="21"/>
      <c r="U23" s="21"/>
      <c r="V23" s="21"/>
      <c r="W23" s="21"/>
      <c r="X23" s="21"/>
      <c r="Y23" s="21"/>
      <c r="Z23" s="21"/>
      <c r="AA23" s="21"/>
      <c r="AB23" s="21"/>
    </row>
    <row r="24" spans="1:28" ht="22.5" customHeight="1" x14ac:dyDescent="0.25">
      <c r="A24" s="174" t="s">
        <v>54</v>
      </c>
      <c r="B24" s="175"/>
      <c r="C24" s="189" t="s">
        <v>53</v>
      </c>
      <c r="D24" s="28"/>
      <c r="E24" s="65">
        <f>D24</f>
        <v>0</v>
      </c>
      <c r="F24" s="190"/>
      <c r="G24" s="188">
        <v>2.5000000000000001E-2</v>
      </c>
      <c r="H24" s="75">
        <v>0.63500000000000001</v>
      </c>
      <c r="I24" s="27"/>
      <c r="J24" s="75">
        <f t="shared" si="1"/>
        <v>0</v>
      </c>
      <c r="K24" s="27"/>
      <c r="L24" s="79">
        <f t="shared" si="2"/>
        <v>0</v>
      </c>
      <c r="M24" s="21"/>
      <c r="N24" s="26"/>
      <c r="O24" s="21"/>
      <c r="P24" s="21"/>
      <c r="Q24" s="21"/>
      <c r="R24" s="21"/>
      <c r="S24" s="21"/>
      <c r="T24" s="21"/>
      <c r="U24" s="21"/>
      <c r="V24" s="21"/>
      <c r="W24" s="21"/>
      <c r="X24" s="21"/>
      <c r="Y24" s="21"/>
      <c r="Z24" s="21"/>
      <c r="AA24" s="21"/>
      <c r="AB24" s="21"/>
    </row>
    <row r="25" spans="1:28" ht="22.5" customHeight="1" x14ac:dyDescent="0.25">
      <c r="A25" s="174" t="s">
        <v>55</v>
      </c>
      <c r="B25" s="175"/>
      <c r="C25" s="189" t="s">
        <v>53</v>
      </c>
      <c r="D25" s="68">
        <f>+D23-D24</f>
        <v>0</v>
      </c>
      <c r="E25" s="65">
        <f>E23-E24</f>
        <v>0</v>
      </c>
      <c r="F25" s="190"/>
      <c r="G25" s="188">
        <v>0.05</v>
      </c>
      <c r="H25" s="75">
        <v>1.27</v>
      </c>
      <c r="I25" s="27"/>
      <c r="J25" s="75">
        <f t="shared" si="1"/>
        <v>0</v>
      </c>
      <c r="K25" s="27"/>
      <c r="L25" s="79">
        <f t="shared" si="2"/>
        <v>0</v>
      </c>
      <c r="M25" s="21"/>
      <c r="N25" s="26"/>
      <c r="O25" s="21"/>
      <c r="P25" s="21"/>
      <c r="Q25" s="21"/>
      <c r="R25" s="21"/>
      <c r="S25" s="21"/>
      <c r="T25" s="21"/>
      <c r="U25" s="21"/>
      <c r="V25" s="21"/>
      <c r="W25" s="21"/>
      <c r="X25" s="21"/>
      <c r="Y25" s="21"/>
      <c r="Z25" s="21"/>
      <c r="AA25" s="21"/>
      <c r="AB25" s="21"/>
    </row>
    <row r="26" spans="1:28" ht="22.5" customHeight="1" x14ac:dyDescent="0.25">
      <c r="A26" s="174" t="s">
        <v>56</v>
      </c>
      <c r="B26" s="175"/>
      <c r="C26" s="189" t="s">
        <v>57</v>
      </c>
      <c r="D26" s="68">
        <f t="shared" ref="D26:E26" si="3">((PI()*(D21*D21))/4)*D22</f>
        <v>0</v>
      </c>
      <c r="E26" s="65">
        <f t="shared" si="3"/>
        <v>0</v>
      </c>
      <c r="F26" s="190"/>
      <c r="G26" s="188">
        <v>7.4999999999999997E-2</v>
      </c>
      <c r="H26" s="75">
        <v>1.9049999999999998</v>
      </c>
      <c r="I26" s="27"/>
      <c r="J26" s="75">
        <f t="shared" si="1"/>
        <v>0</v>
      </c>
      <c r="K26" s="27"/>
      <c r="L26" s="79">
        <f t="shared" si="2"/>
        <v>0</v>
      </c>
      <c r="M26" s="21"/>
      <c r="N26" s="26"/>
      <c r="O26" s="21"/>
      <c r="P26" s="21"/>
      <c r="Q26" s="21"/>
      <c r="R26" s="21"/>
      <c r="S26" s="21"/>
      <c r="T26" s="21"/>
      <c r="U26" s="21"/>
      <c r="V26" s="21"/>
      <c r="W26" s="21"/>
      <c r="X26" s="21"/>
      <c r="Y26" s="21"/>
      <c r="Z26" s="21"/>
      <c r="AA26" s="21"/>
      <c r="AB26" s="21"/>
    </row>
    <row r="27" spans="1:28" ht="22.5" customHeight="1" x14ac:dyDescent="0.25">
      <c r="A27" s="174" t="s">
        <v>58</v>
      </c>
      <c r="B27" s="175"/>
      <c r="C27" s="189" t="s">
        <v>59</v>
      </c>
      <c r="D27" s="69" t="e">
        <f t="shared" ref="D27:E27" si="4">D25/D26</f>
        <v>#DIV/0!</v>
      </c>
      <c r="E27" s="66" t="e">
        <f t="shared" si="4"/>
        <v>#DIV/0!</v>
      </c>
      <c r="F27" s="191"/>
      <c r="G27" s="192">
        <v>0.1</v>
      </c>
      <c r="H27" s="76">
        <v>2.54</v>
      </c>
      <c r="I27" s="31"/>
      <c r="J27" s="76">
        <f t="shared" si="1"/>
        <v>0</v>
      </c>
      <c r="K27" s="31"/>
      <c r="L27" s="80">
        <f t="shared" si="2"/>
        <v>0</v>
      </c>
      <c r="M27" s="21"/>
      <c r="N27" s="26"/>
      <c r="O27" s="21"/>
      <c r="P27" s="21"/>
      <c r="Q27" s="21"/>
      <c r="R27" s="21"/>
      <c r="S27" s="21"/>
      <c r="T27" s="21"/>
      <c r="U27" s="21"/>
      <c r="V27" s="21"/>
      <c r="W27" s="21"/>
      <c r="X27" s="21"/>
      <c r="Y27" s="21"/>
      <c r="Z27" s="21"/>
      <c r="AA27" s="21"/>
      <c r="AB27" s="21"/>
    </row>
    <row r="28" spans="1:28" ht="22.5" customHeight="1" x14ac:dyDescent="0.25">
      <c r="A28" s="193" t="s">
        <v>60</v>
      </c>
      <c r="B28" s="194"/>
      <c r="C28" s="70" t="s">
        <v>59</v>
      </c>
      <c r="D28" s="70" t="e">
        <f t="shared" ref="D28:E28" si="5">D27/(1+D34/100)</f>
        <v>#DIV/0!</v>
      </c>
      <c r="E28" s="67" t="e">
        <f t="shared" si="5"/>
        <v>#DIV/0!</v>
      </c>
      <c r="F28" s="195"/>
      <c r="G28" s="188">
        <v>0.125</v>
      </c>
      <c r="H28" s="75">
        <v>3.1749999999999998</v>
      </c>
      <c r="I28" s="27"/>
      <c r="J28" s="75">
        <f t="shared" si="1"/>
        <v>0</v>
      </c>
      <c r="K28" s="27"/>
      <c r="L28" s="79">
        <f t="shared" si="2"/>
        <v>0</v>
      </c>
      <c r="M28" s="21"/>
      <c r="N28" s="26"/>
      <c r="O28" s="21"/>
      <c r="P28" s="21"/>
      <c r="Q28" s="21"/>
      <c r="R28" s="21"/>
      <c r="S28" s="21"/>
      <c r="T28" s="21"/>
      <c r="U28" s="21"/>
      <c r="V28" s="21"/>
      <c r="W28" s="21"/>
      <c r="X28" s="21"/>
      <c r="Y28" s="21"/>
      <c r="Z28" s="21"/>
      <c r="AA28" s="21"/>
      <c r="AB28" s="21"/>
    </row>
    <row r="29" spans="1:28" ht="22.5" customHeight="1" x14ac:dyDescent="0.25">
      <c r="A29" s="162" t="s">
        <v>61</v>
      </c>
      <c r="B29" s="158"/>
      <c r="C29" s="158"/>
      <c r="D29" s="158"/>
      <c r="E29" s="159"/>
      <c r="F29" s="195"/>
      <c r="G29" s="188">
        <v>0.15</v>
      </c>
      <c r="H29" s="75">
        <v>3.8099999999999996</v>
      </c>
      <c r="I29" s="27"/>
      <c r="J29" s="75">
        <f t="shared" si="1"/>
        <v>0</v>
      </c>
      <c r="K29" s="27"/>
      <c r="L29" s="79">
        <f t="shared" si="2"/>
        <v>0</v>
      </c>
      <c r="M29" s="21"/>
      <c r="N29" s="26"/>
      <c r="O29" s="21"/>
      <c r="P29" s="21"/>
      <c r="Q29" s="21"/>
      <c r="R29" s="21"/>
      <c r="S29" s="21"/>
      <c r="T29" s="21"/>
      <c r="U29" s="21"/>
      <c r="V29" s="21"/>
      <c r="W29" s="21"/>
      <c r="X29" s="21"/>
      <c r="Y29" s="21"/>
      <c r="Z29" s="21"/>
      <c r="AA29" s="21"/>
      <c r="AB29" s="21"/>
    </row>
    <row r="30" spans="1:28" ht="22.5" customHeight="1" x14ac:dyDescent="0.25">
      <c r="A30" s="196" t="s">
        <v>62</v>
      </c>
      <c r="B30" s="165"/>
      <c r="C30" s="197"/>
      <c r="D30" s="32"/>
      <c r="E30" s="33"/>
      <c r="F30" s="191"/>
      <c r="G30" s="188">
        <v>0.17499999999999999</v>
      </c>
      <c r="H30" s="75">
        <v>4.4449999999999994</v>
      </c>
      <c r="I30" s="27"/>
      <c r="J30" s="75">
        <f t="shared" si="1"/>
        <v>0</v>
      </c>
      <c r="K30" s="27"/>
      <c r="L30" s="79">
        <f t="shared" si="2"/>
        <v>0</v>
      </c>
      <c r="M30" s="21"/>
      <c r="N30" s="26"/>
      <c r="O30" s="21"/>
      <c r="P30" s="21"/>
      <c r="Q30" s="21"/>
      <c r="R30" s="21"/>
      <c r="S30" s="21"/>
      <c r="T30" s="21"/>
      <c r="U30" s="21"/>
      <c r="V30" s="21"/>
      <c r="W30" s="21"/>
      <c r="X30" s="21"/>
      <c r="Y30" s="21"/>
      <c r="Z30" s="21"/>
      <c r="AA30" s="21"/>
      <c r="AB30" s="21"/>
    </row>
    <row r="31" spans="1:28" ht="22.5" customHeight="1" x14ac:dyDescent="0.25">
      <c r="A31" s="174" t="s">
        <v>63</v>
      </c>
      <c r="B31" s="175"/>
      <c r="C31" s="176" t="s">
        <v>53</v>
      </c>
      <c r="D31" s="29"/>
      <c r="E31" s="30"/>
      <c r="F31" s="190"/>
      <c r="G31" s="192">
        <v>0.2</v>
      </c>
      <c r="H31" s="76">
        <v>5.08</v>
      </c>
      <c r="I31" s="31"/>
      <c r="J31" s="76">
        <f t="shared" si="1"/>
        <v>0</v>
      </c>
      <c r="K31" s="31"/>
      <c r="L31" s="80">
        <f t="shared" si="2"/>
        <v>0</v>
      </c>
      <c r="M31" s="21"/>
      <c r="N31" s="26"/>
      <c r="O31" s="21"/>
      <c r="P31" s="21"/>
      <c r="Q31" s="21"/>
      <c r="R31" s="21"/>
      <c r="S31" s="21"/>
      <c r="T31" s="21"/>
      <c r="U31" s="21"/>
      <c r="V31" s="21"/>
      <c r="W31" s="21"/>
      <c r="X31" s="21"/>
      <c r="Y31" s="21"/>
      <c r="Z31" s="21"/>
      <c r="AA31" s="21"/>
      <c r="AB31" s="21"/>
    </row>
    <row r="32" spans="1:28" ht="22.5" customHeight="1" x14ac:dyDescent="0.25">
      <c r="A32" s="174" t="s">
        <v>64</v>
      </c>
      <c r="B32" s="175"/>
      <c r="C32" s="176" t="s">
        <v>53</v>
      </c>
      <c r="D32" s="29"/>
      <c r="E32" s="30"/>
      <c r="F32" s="195"/>
      <c r="G32" s="188">
        <v>0.3</v>
      </c>
      <c r="H32" s="75">
        <v>7.6199999999999992</v>
      </c>
      <c r="I32" s="27"/>
      <c r="J32" s="75">
        <f t="shared" si="1"/>
        <v>0</v>
      </c>
      <c r="K32" s="27"/>
      <c r="L32" s="79">
        <f t="shared" si="2"/>
        <v>0</v>
      </c>
      <c r="M32" s="21"/>
      <c r="N32" s="26"/>
      <c r="O32" s="21"/>
      <c r="P32" s="21"/>
      <c r="Q32" s="21"/>
      <c r="R32" s="21"/>
      <c r="S32" s="21"/>
      <c r="T32" s="21"/>
      <c r="U32" s="21"/>
      <c r="V32" s="21"/>
      <c r="W32" s="21"/>
      <c r="X32" s="21"/>
      <c r="Y32" s="21"/>
      <c r="Z32" s="21"/>
      <c r="AA32" s="21"/>
      <c r="AB32" s="21"/>
    </row>
    <row r="33" spans="1:28" ht="22.5" customHeight="1" x14ac:dyDescent="0.25">
      <c r="A33" s="174" t="s">
        <v>65</v>
      </c>
      <c r="B33" s="175"/>
      <c r="C33" s="176" t="s">
        <v>53</v>
      </c>
      <c r="D33" s="29"/>
      <c r="E33" s="30"/>
      <c r="F33" s="195"/>
      <c r="G33" s="188">
        <v>0.4</v>
      </c>
      <c r="H33" s="75">
        <v>10.16</v>
      </c>
      <c r="I33" s="27"/>
      <c r="J33" s="75">
        <f t="shared" si="1"/>
        <v>0</v>
      </c>
      <c r="K33" s="27"/>
      <c r="L33" s="79">
        <f t="shared" si="2"/>
        <v>0</v>
      </c>
      <c r="M33" s="21"/>
      <c r="N33" s="26"/>
      <c r="O33" s="21"/>
      <c r="P33" s="21"/>
      <c r="Q33" s="21"/>
      <c r="R33" s="21"/>
      <c r="S33" s="21"/>
      <c r="T33" s="21"/>
      <c r="U33" s="21"/>
      <c r="V33" s="21"/>
      <c r="W33" s="21"/>
      <c r="X33" s="21"/>
      <c r="Y33" s="21"/>
      <c r="Z33" s="21"/>
      <c r="AA33" s="21"/>
      <c r="AB33" s="21"/>
    </row>
    <row r="34" spans="1:28" ht="22.5" customHeight="1" x14ac:dyDescent="0.25">
      <c r="A34" s="193" t="s">
        <v>66</v>
      </c>
      <c r="B34" s="194"/>
      <c r="C34" s="70" t="s">
        <v>67</v>
      </c>
      <c r="D34" s="70" t="e">
        <f t="shared" ref="D34:E34" si="6">((D31-D32)/(D32-D33))*100</f>
        <v>#DIV/0!</v>
      </c>
      <c r="E34" s="67" t="e">
        <f t="shared" si="6"/>
        <v>#DIV/0!</v>
      </c>
      <c r="F34" s="195"/>
      <c r="G34" s="198">
        <v>0.5</v>
      </c>
      <c r="H34" s="77">
        <v>12.7</v>
      </c>
      <c r="I34" s="34"/>
      <c r="J34" s="77">
        <f t="shared" si="1"/>
        <v>0</v>
      </c>
      <c r="K34" s="34"/>
      <c r="L34" s="81">
        <f t="shared" si="2"/>
        <v>0</v>
      </c>
      <c r="M34" s="21"/>
      <c r="N34" s="26"/>
      <c r="O34" s="21"/>
      <c r="P34" s="21"/>
      <c r="Q34" s="21"/>
      <c r="R34" s="21"/>
      <c r="S34" s="21"/>
      <c r="T34" s="21"/>
      <c r="U34" s="21"/>
      <c r="V34" s="21"/>
      <c r="W34" s="21"/>
      <c r="X34" s="21"/>
      <c r="Y34" s="21"/>
      <c r="Z34" s="21"/>
      <c r="AA34" s="21"/>
      <c r="AB34" s="21"/>
    </row>
    <row r="35" spans="1:28" ht="11.25" customHeight="1" x14ac:dyDescent="0.25">
      <c r="A35" s="199"/>
      <c r="B35" s="200"/>
      <c r="C35" s="201"/>
      <c r="D35" s="202"/>
      <c r="E35" s="202"/>
      <c r="F35" s="203"/>
      <c r="G35" s="202"/>
      <c r="H35" s="202"/>
      <c r="I35" s="202"/>
      <c r="J35" s="202"/>
      <c r="K35" s="202"/>
      <c r="L35" s="204"/>
      <c r="M35" s="21"/>
      <c r="N35" s="26"/>
      <c r="O35" s="21"/>
      <c r="P35" s="21"/>
      <c r="Q35" s="21"/>
      <c r="R35" s="21"/>
      <c r="S35" s="21"/>
      <c r="T35" s="21"/>
      <c r="U35" s="21"/>
      <c r="V35" s="21"/>
      <c r="W35" s="21"/>
      <c r="X35" s="21"/>
      <c r="Y35" s="21"/>
      <c r="Z35" s="21"/>
      <c r="AA35" s="21"/>
      <c r="AB35" s="21"/>
    </row>
    <row r="36" spans="1:28" ht="22.5" customHeight="1" x14ac:dyDescent="0.25">
      <c r="A36" s="205" t="s">
        <v>68</v>
      </c>
      <c r="B36" s="158"/>
      <c r="C36" s="158"/>
      <c r="D36" s="158"/>
      <c r="E36" s="159"/>
      <c r="F36" s="206"/>
      <c r="G36" s="206"/>
      <c r="H36" s="162" t="s">
        <v>69</v>
      </c>
      <c r="I36" s="158"/>
      <c r="J36" s="158"/>
      <c r="K36" s="159"/>
      <c r="L36" s="207"/>
      <c r="M36" s="21"/>
      <c r="N36" s="21"/>
      <c r="O36" s="21"/>
      <c r="P36" s="21"/>
      <c r="Q36" s="21"/>
      <c r="R36" s="21"/>
      <c r="S36" s="21"/>
      <c r="T36" s="21"/>
      <c r="U36" s="21"/>
      <c r="V36" s="21"/>
      <c r="W36" s="21"/>
      <c r="X36" s="21"/>
      <c r="Y36" s="21"/>
      <c r="Z36" s="21"/>
      <c r="AA36" s="21"/>
      <c r="AB36" s="21"/>
    </row>
    <row r="37" spans="1:28" ht="22.5" customHeight="1" x14ac:dyDescent="0.25">
      <c r="A37" s="208" t="s">
        <v>70</v>
      </c>
      <c r="B37" s="209"/>
      <c r="C37" s="210" t="s">
        <v>71</v>
      </c>
      <c r="D37" s="35"/>
      <c r="E37" s="36"/>
      <c r="F37" s="211"/>
      <c r="G37" s="211"/>
      <c r="H37" s="212" t="s">
        <v>72</v>
      </c>
      <c r="I37" s="37"/>
      <c r="J37" s="212" t="s">
        <v>73</v>
      </c>
      <c r="K37" s="82" t="s">
        <v>74</v>
      </c>
      <c r="L37" s="204"/>
      <c r="M37" s="21"/>
      <c r="N37" s="21"/>
      <c r="O37" s="21"/>
      <c r="P37" s="21"/>
      <c r="Q37" s="21"/>
      <c r="R37" s="21"/>
      <c r="S37" s="21"/>
      <c r="T37" s="21"/>
      <c r="U37" s="21"/>
      <c r="V37" s="21"/>
      <c r="W37" s="21"/>
      <c r="X37" s="21"/>
      <c r="Y37" s="21"/>
      <c r="Z37" s="21"/>
      <c r="AA37" s="21"/>
      <c r="AB37" s="21"/>
    </row>
    <row r="38" spans="1:28" ht="22.5" customHeight="1" thickBot="1" x14ac:dyDescent="0.3">
      <c r="A38" s="213" t="s">
        <v>75</v>
      </c>
      <c r="B38" s="175"/>
      <c r="C38" s="71" t="s">
        <v>71</v>
      </c>
      <c r="D38" s="23"/>
      <c r="E38" s="38"/>
      <c r="F38" s="211"/>
      <c r="G38" s="211"/>
      <c r="H38" s="214" t="s">
        <v>76</v>
      </c>
      <c r="I38" s="173"/>
      <c r="J38" s="214" t="s">
        <v>77</v>
      </c>
      <c r="K38" s="173"/>
      <c r="L38" s="204"/>
      <c r="M38" s="21"/>
      <c r="N38" s="21"/>
      <c r="O38" s="21"/>
      <c r="P38" s="21"/>
      <c r="Q38" s="21"/>
      <c r="R38" s="21"/>
      <c r="S38" s="21"/>
      <c r="T38" s="21"/>
      <c r="U38" s="21"/>
      <c r="V38" s="21"/>
      <c r="W38" s="21"/>
      <c r="X38" s="21"/>
      <c r="Y38" s="21"/>
      <c r="Z38" s="21"/>
      <c r="AA38" s="21"/>
      <c r="AB38" s="21"/>
    </row>
    <row r="39" spans="1:28" ht="22.5" customHeight="1" thickBot="1" x14ac:dyDescent="0.3">
      <c r="A39" s="213" t="s">
        <v>78</v>
      </c>
      <c r="B39" s="175"/>
      <c r="C39" s="215" t="s">
        <v>46</v>
      </c>
      <c r="D39" s="71">
        <f t="shared" ref="D39:E39" si="7">(D38-D37)*2.54</f>
        <v>0</v>
      </c>
      <c r="E39" s="64">
        <f t="shared" si="7"/>
        <v>0</v>
      </c>
      <c r="F39" s="184"/>
      <c r="G39" s="184"/>
      <c r="H39" s="216" t="s">
        <v>79</v>
      </c>
      <c r="I39" s="217"/>
      <c r="J39" s="110"/>
      <c r="K39" s="100"/>
      <c r="L39" s="204"/>
      <c r="M39" s="21"/>
      <c r="N39" s="21"/>
      <c r="O39" s="21"/>
      <c r="P39" s="21"/>
      <c r="Q39" s="21"/>
      <c r="R39" s="21"/>
      <c r="S39" s="21"/>
      <c r="T39" s="21"/>
      <c r="U39" s="21"/>
      <c r="V39" s="21"/>
      <c r="W39" s="21"/>
      <c r="X39" s="21"/>
      <c r="Y39" s="21"/>
      <c r="Z39" s="21"/>
      <c r="AA39" s="21"/>
      <c r="AB39" s="21"/>
    </row>
    <row r="40" spans="1:28" ht="22.5" customHeight="1" thickBot="1" x14ac:dyDescent="0.3">
      <c r="A40" s="218" t="s">
        <v>80</v>
      </c>
      <c r="B40" s="194"/>
      <c r="C40" s="219" t="s">
        <v>67</v>
      </c>
      <c r="D40" s="72" t="str">
        <f t="shared" ref="D40:E40" si="8">IF(D39&lt;&gt;"",IF(D22&lt;&gt;"",D39/D22*100,""),"")</f>
        <v/>
      </c>
      <c r="E40" s="73" t="e">
        <f t="shared" si="8"/>
        <v>#DIV/0!</v>
      </c>
      <c r="F40" s="220"/>
      <c r="G40" s="220"/>
      <c r="H40" s="221" t="s">
        <v>40</v>
      </c>
      <c r="I40" s="222"/>
      <c r="J40" s="111"/>
      <c r="K40" s="112"/>
      <c r="L40" s="204"/>
      <c r="M40" s="21"/>
      <c r="N40" s="21"/>
      <c r="O40" s="21"/>
      <c r="P40" s="39"/>
      <c r="Q40" s="39"/>
      <c r="R40" s="40"/>
      <c r="S40" s="21"/>
      <c r="T40" s="21"/>
      <c r="U40" s="21"/>
      <c r="V40" s="21"/>
      <c r="W40" s="21"/>
      <c r="X40" s="21"/>
      <c r="Y40" s="21"/>
      <c r="Z40" s="21"/>
      <c r="AA40" s="21"/>
      <c r="AB40" s="21"/>
    </row>
    <row r="41" spans="1:28" ht="33" customHeight="1" thickBot="1" x14ac:dyDescent="0.3">
      <c r="A41" s="223"/>
      <c r="B41" s="202"/>
      <c r="C41" s="202"/>
      <c r="D41" s="202"/>
      <c r="E41" s="202"/>
      <c r="F41" s="224"/>
      <c r="G41" s="202"/>
      <c r="H41" s="225"/>
      <c r="I41" s="226"/>
      <c r="J41" s="227" t="str">
        <f>I19</f>
        <v>ANTES DE INMERSIÓN</v>
      </c>
      <c r="K41" s="227" t="str">
        <f>K19</f>
        <v xml:space="preserve">DESPUES DE INMERSIÓN </v>
      </c>
      <c r="L41" s="228"/>
      <c r="M41" s="20"/>
      <c r="N41" s="21"/>
      <c r="O41" s="21"/>
      <c r="P41" s="41"/>
      <c r="Q41" s="42"/>
      <c r="R41" s="12"/>
      <c r="S41" s="21"/>
      <c r="T41" s="21"/>
      <c r="U41" s="21"/>
      <c r="V41" s="21"/>
      <c r="W41" s="21"/>
      <c r="X41" s="21"/>
      <c r="Y41" s="21"/>
      <c r="Z41" s="21"/>
      <c r="AA41" s="21"/>
      <c r="AB41" s="21"/>
    </row>
    <row r="42" spans="1:28" ht="22.5" customHeight="1" x14ac:dyDescent="0.25">
      <c r="A42" s="223"/>
      <c r="B42" s="202"/>
      <c r="C42" s="202"/>
      <c r="D42" s="202"/>
      <c r="E42" s="202"/>
      <c r="F42" s="202"/>
      <c r="G42" s="202"/>
      <c r="H42" s="229" t="s">
        <v>81</v>
      </c>
      <c r="I42" s="230" t="s">
        <v>67</v>
      </c>
      <c r="J42" s="83">
        <f>(J27/6.9)*100</f>
        <v>0</v>
      </c>
      <c r="K42" s="84">
        <f>(L27/6.9)*100</f>
        <v>0</v>
      </c>
      <c r="L42" s="204"/>
      <c r="M42" s="21"/>
      <c r="N42" s="21"/>
      <c r="O42" s="21"/>
      <c r="P42" s="43"/>
      <c r="Q42" s="44"/>
      <c r="R42" s="12"/>
      <c r="S42" s="21"/>
      <c r="T42" s="21"/>
      <c r="U42" s="21"/>
      <c r="V42" s="21"/>
      <c r="W42" s="21"/>
      <c r="X42" s="21"/>
      <c r="Y42" s="21"/>
      <c r="Z42" s="21"/>
      <c r="AA42" s="21"/>
      <c r="AB42" s="21"/>
    </row>
    <row r="43" spans="1:28" ht="22.5" customHeight="1" x14ac:dyDescent="0.25">
      <c r="A43" s="223"/>
      <c r="B43" s="231"/>
      <c r="C43" s="202"/>
      <c r="D43" s="202"/>
      <c r="E43" s="202"/>
      <c r="F43" s="202"/>
      <c r="G43" s="202"/>
      <c r="H43" s="232" t="s">
        <v>82</v>
      </c>
      <c r="I43" s="233" t="s">
        <v>67</v>
      </c>
      <c r="J43" s="85">
        <f>(J31/6.9)*100</f>
        <v>0</v>
      </c>
      <c r="K43" s="86">
        <f>(L31/6.9)*100</f>
        <v>0</v>
      </c>
      <c r="L43" s="204"/>
      <c r="M43" s="21"/>
      <c r="N43" s="21"/>
      <c r="O43" s="21"/>
      <c r="P43" s="45"/>
      <c r="Q43" s="46"/>
      <c r="R43" s="47"/>
      <c r="S43" s="21"/>
      <c r="T43" s="21"/>
      <c r="U43" s="21"/>
      <c r="V43" s="21"/>
      <c r="W43" s="21"/>
      <c r="X43" s="21"/>
      <c r="Y43" s="21"/>
      <c r="Z43" s="21"/>
      <c r="AA43" s="21"/>
      <c r="AB43" s="21"/>
    </row>
    <row r="44" spans="1:28" ht="22.5" customHeight="1" x14ac:dyDescent="0.25">
      <c r="A44" s="223"/>
      <c r="B44" s="231"/>
      <c r="C44" s="231"/>
      <c r="D44" s="231"/>
      <c r="E44" s="202"/>
      <c r="F44" s="202"/>
      <c r="G44" s="202"/>
      <c r="H44" s="232" t="s">
        <v>83</v>
      </c>
      <c r="I44" s="233"/>
      <c r="J44" s="87">
        <f t="shared" ref="J44:K44" si="9">IF(J42&lt;J43,J42,J43)</f>
        <v>0</v>
      </c>
      <c r="K44" s="88">
        <f t="shared" si="9"/>
        <v>0</v>
      </c>
      <c r="L44" s="234"/>
      <c r="M44" s="48"/>
      <c r="N44" s="21"/>
      <c r="O44" s="21"/>
      <c r="P44" s="21"/>
      <c r="Q44" s="21"/>
      <c r="R44" s="21"/>
      <c r="S44" s="21"/>
      <c r="T44" s="21"/>
      <c r="U44" s="21"/>
      <c r="V44" s="21"/>
      <c r="W44" s="21"/>
      <c r="X44" s="21"/>
      <c r="Y44" s="21"/>
      <c r="Z44" s="21"/>
      <c r="AA44" s="21"/>
      <c r="AB44" s="21"/>
    </row>
    <row r="45" spans="1:28" ht="22.5" customHeight="1" x14ac:dyDescent="0.25">
      <c r="A45" s="223"/>
      <c r="B45" s="202"/>
      <c r="C45" s="202"/>
      <c r="D45" s="203"/>
      <c r="E45" s="203"/>
      <c r="F45" s="203"/>
      <c r="G45" s="202"/>
      <c r="H45" s="184"/>
      <c r="I45" s="211"/>
      <c r="J45" s="211"/>
      <c r="K45" s="211"/>
      <c r="L45" s="204"/>
      <c r="M45" s="21"/>
      <c r="N45" s="21"/>
      <c r="O45" s="21"/>
      <c r="P45" s="21"/>
      <c r="Q45" s="21"/>
      <c r="R45" s="21"/>
      <c r="S45" s="21"/>
      <c r="T45" s="21"/>
      <c r="U45" s="21"/>
      <c r="V45" s="21"/>
      <c r="W45" s="21"/>
      <c r="X45" s="21"/>
      <c r="Y45" s="21"/>
      <c r="Z45" s="21"/>
      <c r="AA45" s="21"/>
      <c r="AB45" s="21"/>
    </row>
    <row r="46" spans="1:28" ht="22.5" customHeight="1" x14ac:dyDescent="0.25">
      <c r="A46" s="223"/>
      <c r="B46" s="202"/>
      <c r="C46" s="202"/>
      <c r="D46" s="203"/>
      <c r="E46" s="203"/>
      <c r="F46" s="203"/>
      <c r="G46" s="202"/>
      <c r="H46" s="235" t="s">
        <v>84</v>
      </c>
      <c r="I46" s="126"/>
      <c r="J46" s="235" t="s">
        <v>85</v>
      </c>
      <c r="K46" s="126"/>
      <c r="L46" s="236"/>
      <c r="M46" s="21"/>
      <c r="N46" s="21"/>
      <c r="O46" s="21"/>
      <c r="P46" s="21"/>
      <c r="Q46" s="21"/>
      <c r="R46" s="21"/>
      <c r="S46" s="21"/>
      <c r="T46" s="21"/>
      <c r="U46" s="21"/>
      <c r="V46" s="21"/>
      <c r="W46" s="21"/>
      <c r="X46" s="21"/>
      <c r="Y46" s="21"/>
      <c r="Z46" s="21"/>
      <c r="AA46" s="21"/>
      <c r="AB46" s="21"/>
    </row>
    <row r="47" spans="1:28" ht="22.5" customHeight="1" x14ac:dyDescent="0.25">
      <c r="A47" s="223"/>
      <c r="B47" s="200"/>
      <c r="C47" s="237"/>
      <c r="D47" s="203"/>
      <c r="E47" s="203"/>
      <c r="F47" s="203"/>
      <c r="G47" s="203"/>
      <c r="H47" s="155"/>
      <c r="I47" s="155"/>
      <c r="J47" s="155"/>
      <c r="K47" s="155"/>
      <c r="L47" s="156"/>
      <c r="M47" s="21"/>
      <c r="N47" s="21"/>
      <c r="O47" s="21"/>
      <c r="P47" s="21"/>
      <c r="Q47" s="21"/>
      <c r="R47" s="21"/>
      <c r="S47" s="21"/>
      <c r="T47" s="21"/>
      <c r="U47" s="21"/>
      <c r="V47" s="21"/>
      <c r="W47" s="21"/>
      <c r="X47" s="21"/>
      <c r="Y47" s="21"/>
      <c r="Z47" s="21"/>
      <c r="AA47" s="21"/>
      <c r="AB47" s="21"/>
    </row>
    <row r="48" spans="1:28" ht="22.5" customHeight="1" x14ac:dyDescent="0.25">
      <c r="A48" s="223"/>
      <c r="B48" s="200"/>
      <c r="C48" s="237"/>
      <c r="D48" s="203"/>
      <c r="E48" s="203"/>
      <c r="F48" s="203"/>
      <c r="G48" s="203"/>
      <c r="H48" s="155"/>
      <c r="I48" s="155"/>
      <c r="J48" s="155"/>
      <c r="K48" s="155"/>
      <c r="L48" s="156"/>
      <c r="M48" s="21"/>
      <c r="N48" s="21"/>
      <c r="O48" s="21"/>
      <c r="P48" s="21"/>
      <c r="Q48" s="21"/>
      <c r="R48" s="21"/>
      <c r="S48" s="21"/>
      <c r="T48" s="21"/>
      <c r="U48" s="21"/>
      <c r="V48" s="21"/>
      <c r="W48" s="21"/>
      <c r="X48" s="21"/>
      <c r="Y48" s="21"/>
      <c r="Z48" s="21"/>
      <c r="AA48" s="21"/>
      <c r="AB48" s="21"/>
    </row>
    <row r="49" spans="1:28" ht="22.5" customHeight="1" x14ac:dyDescent="0.25">
      <c r="A49" s="223"/>
      <c r="B49" s="200"/>
      <c r="C49" s="237"/>
      <c r="D49" s="203"/>
      <c r="E49" s="203"/>
      <c r="F49" s="203"/>
      <c r="G49" s="203"/>
      <c r="H49" s="155"/>
      <c r="I49" s="155"/>
      <c r="J49" s="155"/>
      <c r="K49" s="155"/>
      <c r="L49" s="156"/>
      <c r="M49" s="21"/>
      <c r="N49" s="21"/>
      <c r="O49" s="21"/>
      <c r="P49" s="21"/>
      <c r="Q49" s="21"/>
      <c r="R49" s="21"/>
      <c r="S49" s="21"/>
      <c r="T49" s="21"/>
      <c r="U49" s="21"/>
      <c r="V49" s="21"/>
      <c r="W49" s="21"/>
      <c r="X49" s="21"/>
      <c r="Y49" s="21"/>
      <c r="Z49" s="21"/>
      <c r="AA49" s="21"/>
      <c r="AB49" s="21"/>
    </row>
    <row r="50" spans="1:28" ht="22.5" customHeight="1" x14ac:dyDescent="0.25">
      <c r="A50" s="223"/>
      <c r="B50" s="200"/>
      <c r="C50" s="237"/>
      <c r="D50" s="203"/>
      <c r="E50" s="203"/>
      <c r="F50" s="203"/>
      <c r="G50" s="203"/>
      <c r="H50" s="238"/>
      <c r="I50" s="238"/>
      <c r="J50" s="155"/>
      <c r="K50" s="155"/>
      <c r="L50" s="156"/>
      <c r="M50" s="21"/>
      <c r="N50" s="21"/>
      <c r="O50" s="21"/>
      <c r="P50" s="21"/>
      <c r="Q50" s="21"/>
      <c r="R50" s="21"/>
      <c r="S50" s="21"/>
      <c r="T50" s="21"/>
      <c r="U50" s="21"/>
      <c r="V50" s="21"/>
      <c r="W50" s="21"/>
      <c r="X50" s="21"/>
      <c r="Y50" s="21"/>
      <c r="Z50" s="21"/>
      <c r="AA50" s="21"/>
      <c r="AB50" s="21"/>
    </row>
    <row r="51" spans="1:28" ht="22.5" customHeight="1" x14ac:dyDescent="0.25">
      <c r="A51" s="223"/>
      <c r="B51" s="200"/>
      <c r="C51" s="237"/>
      <c r="D51" s="203"/>
      <c r="E51" s="203"/>
      <c r="F51" s="203"/>
      <c r="G51" s="203"/>
      <c r="H51" s="239" t="s">
        <v>86</v>
      </c>
      <c r="I51" s="240"/>
      <c r="J51" s="239"/>
      <c r="K51" s="240"/>
      <c r="L51" s="241"/>
      <c r="M51" s="21"/>
      <c r="N51" s="21"/>
      <c r="O51" s="21"/>
      <c r="P51" s="21"/>
      <c r="Q51" s="21"/>
      <c r="R51" s="21"/>
      <c r="S51" s="21"/>
      <c r="T51" s="21"/>
      <c r="U51" s="21"/>
      <c r="V51" s="21"/>
      <c r="W51" s="21"/>
      <c r="X51" s="21"/>
      <c r="Y51" s="21"/>
      <c r="Z51" s="21"/>
      <c r="AA51" s="21"/>
      <c r="AB51" s="21"/>
    </row>
    <row r="52" spans="1:28" ht="22.5" customHeight="1" x14ac:dyDescent="0.25">
      <c r="A52" s="223"/>
      <c r="B52" s="200"/>
      <c r="C52" s="237"/>
      <c r="D52" s="203"/>
      <c r="E52" s="203"/>
      <c r="F52" s="203"/>
      <c r="G52" s="203"/>
      <c r="H52" s="235" t="s">
        <v>87</v>
      </c>
      <c r="I52" s="126"/>
      <c r="J52" s="235" t="s">
        <v>88</v>
      </c>
      <c r="K52" s="126"/>
      <c r="L52" s="236"/>
      <c r="M52" s="21"/>
      <c r="N52" s="21"/>
      <c r="O52" s="21"/>
      <c r="P52" s="21"/>
      <c r="Q52" s="21"/>
      <c r="R52" s="21"/>
      <c r="S52" s="21"/>
      <c r="T52" s="21"/>
      <c r="U52" s="21"/>
      <c r="V52" s="21"/>
      <c r="W52" s="21"/>
      <c r="X52" s="21"/>
      <c r="Y52" s="21"/>
      <c r="Z52" s="21"/>
      <c r="AA52" s="21"/>
      <c r="AB52" s="21"/>
    </row>
    <row r="53" spans="1:28" ht="22.5" customHeight="1" x14ac:dyDescent="0.25">
      <c r="A53" s="223"/>
      <c r="B53" s="200"/>
      <c r="C53" s="237"/>
      <c r="D53" s="203"/>
      <c r="E53" s="203"/>
      <c r="F53" s="203"/>
      <c r="G53" s="203"/>
      <c r="H53" s="125"/>
      <c r="I53" s="126"/>
      <c r="J53" s="126"/>
      <c r="K53" s="126"/>
      <c r="L53" s="204"/>
      <c r="M53" s="21"/>
      <c r="N53" s="21"/>
      <c r="O53" s="21"/>
      <c r="P53" s="21"/>
      <c r="Q53" s="21"/>
      <c r="R53" s="21"/>
      <c r="S53" s="21"/>
      <c r="T53" s="21"/>
      <c r="U53" s="21"/>
      <c r="V53" s="21"/>
      <c r="W53" s="21"/>
      <c r="X53" s="21"/>
      <c r="Y53" s="21"/>
      <c r="Z53" s="21"/>
      <c r="AA53" s="21"/>
      <c r="AB53" s="21"/>
    </row>
    <row r="54" spans="1:28" ht="22.5" customHeight="1" x14ac:dyDescent="0.25">
      <c r="A54" s="223"/>
      <c r="B54" s="200"/>
      <c r="C54" s="237"/>
      <c r="D54" s="203"/>
      <c r="E54" s="203"/>
      <c r="F54" s="203"/>
      <c r="G54" s="203"/>
      <c r="H54" s="202"/>
      <c r="I54" s="202"/>
      <c r="J54" s="242"/>
      <c r="K54" s="202"/>
      <c r="L54" s="204"/>
      <c r="M54" s="50"/>
      <c r="N54" s="19"/>
      <c r="O54" s="21"/>
      <c r="P54" s="21"/>
      <c r="Q54" s="21"/>
      <c r="R54" s="21"/>
      <c r="S54" s="21"/>
      <c r="T54" s="21"/>
      <c r="U54" s="21"/>
      <c r="V54" s="21"/>
      <c r="W54" s="21"/>
      <c r="X54" s="21"/>
      <c r="Y54" s="21"/>
      <c r="Z54" s="21"/>
      <c r="AA54" s="21"/>
      <c r="AB54" s="21"/>
    </row>
    <row r="55" spans="1:28" ht="22.5" customHeight="1" x14ac:dyDescent="0.25">
      <c r="A55" s="223"/>
      <c r="B55" s="200"/>
      <c r="C55" s="237"/>
      <c r="D55" s="203"/>
      <c r="E55" s="203"/>
      <c r="F55" s="203"/>
      <c r="G55" s="203"/>
      <c r="H55" s="202"/>
      <c r="I55" s="202"/>
      <c r="J55" s="177"/>
      <c r="K55" s="242"/>
      <c r="L55" s="243"/>
      <c r="M55" s="51"/>
      <c r="N55" s="19"/>
      <c r="O55" s="21"/>
      <c r="P55" s="21"/>
      <c r="Q55" s="21"/>
      <c r="R55" s="21"/>
      <c r="S55" s="21"/>
      <c r="T55" s="21"/>
      <c r="U55" s="21"/>
      <c r="V55" s="21"/>
      <c r="W55" s="21"/>
      <c r="X55" s="21"/>
      <c r="Y55" s="21"/>
      <c r="Z55" s="21"/>
      <c r="AA55" s="21"/>
      <c r="AB55" s="21"/>
    </row>
    <row r="56" spans="1:28" ht="22.5" customHeight="1" x14ac:dyDescent="0.25">
      <c r="A56" s="244"/>
      <c r="B56" s="245"/>
      <c r="C56" s="246"/>
      <c r="D56" s="247"/>
      <c r="E56" s="247"/>
      <c r="F56" s="247"/>
      <c r="G56" s="247"/>
      <c r="H56" s="248"/>
      <c r="I56" s="248"/>
      <c r="J56" s="177"/>
      <c r="K56" s="249"/>
      <c r="L56" s="250"/>
      <c r="M56" s="51"/>
      <c r="N56" s="19"/>
      <c r="O56" s="52"/>
      <c r="P56" s="52"/>
      <c r="Q56" s="52"/>
      <c r="R56" s="52"/>
      <c r="S56" s="52"/>
      <c r="T56" s="52"/>
      <c r="U56" s="52"/>
      <c r="V56" s="52"/>
      <c r="W56" s="52"/>
      <c r="X56" s="52"/>
      <c r="Y56" s="52"/>
      <c r="Z56" s="52"/>
      <c r="AA56" s="52"/>
      <c r="AB56" s="52"/>
    </row>
    <row r="57" spans="1:28" ht="22.5" customHeight="1" x14ac:dyDescent="0.25">
      <c r="A57" s="244"/>
      <c r="B57" s="251" t="s">
        <v>93</v>
      </c>
      <c r="C57" s="53"/>
      <c r="D57" s="54"/>
      <c r="E57" s="54"/>
      <c r="F57" s="54"/>
      <c r="G57" s="54"/>
      <c r="H57" s="55"/>
      <c r="I57" s="55"/>
      <c r="J57" s="177"/>
      <c r="K57" s="249"/>
      <c r="L57" s="250"/>
      <c r="M57" s="51"/>
      <c r="N57" s="19"/>
      <c r="O57" s="52"/>
      <c r="P57" s="52"/>
      <c r="Q57" s="52"/>
      <c r="R57" s="52"/>
      <c r="S57" s="52"/>
      <c r="T57" s="52"/>
      <c r="U57" s="52"/>
      <c r="V57" s="52"/>
      <c r="W57" s="52"/>
      <c r="X57" s="52"/>
      <c r="Y57" s="52"/>
      <c r="Z57" s="52"/>
      <c r="AA57" s="52"/>
      <c r="AB57" s="52"/>
    </row>
    <row r="58" spans="1:28" ht="22.5" customHeight="1" x14ac:dyDescent="0.25">
      <c r="A58" s="252" t="s">
        <v>89</v>
      </c>
      <c r="B58" s="253"/>
      <c r="C58" s="253"/>
      <c r="D58" s="253"/>
      <c r="E58" s="253"/>
      <c r="F58" s="253"/>
      <c r="G58" s="253"/>
      <c r="H58" s="253"/>
      <c r="I58" s="253"/>
      <c r="J58" s="253"/>
      <c r="K58" s="253"/>
      <c r="L58" s="254"/>
      <c r="M58" s="49"/>
      <c r="N58" s="19"/>
      <c r="O58" s="19"/>
      <c r="P58" s="21"/>
      <c r="Q58" s="21"/>
      <c r="R58" s="21"/>
      <c r="S58" s="21"/>
      <c r="T58" s="21"/>
      <c r="U58" s="21"/>
      <c r="V58" s="21"/>
      <c r="W58" s="21"/>
      <c r="X58" s="21"/>
      <c r="Y58" s="21"/>
      <c r="Z58" s="21"/>
      <c r="AA58" s="21"/>
      <c r="AB58" s="21"/>
    </row>
    <row r="59" spans="1:28" ht="22.5" customHeight="1" x14ac:dyDescent="0.25">
      <c r="A59" s="255" t="s">
        <v>90</v>
      </c>
      <c r="B59" s="256"/>
      <c r="C59" s="256"/>
      <c r="D59" s="256"/>
      <c r="E59" s="256"/>
      <c r="F59" s="256"/>
      <c r="G59" s="256"/>
      <c r="H59" s="256"/>
      <c r="I59" s="256"/>
      <c r="J59" s="256"/>
      <c r="K59" s="256"/>
      <c r="L59" s="257"/>
      <c r="M59" s="19"/>
      <c r="N59" s="19"/>
      <c r="O59" s="19"/>
      <c r="P59" s="21"/>
      <c r="Q59" s="21"/>
      <c r="R59" s="21"/>
      <c r="S59" s="21"/>
      <c r="T59" s="21"/>
      <c r="U59" s="21"/>
      <c r="V59" s="21"/>
      <c r="W59" s="21"/>
      <c r="X59" s="21"/>
      <c r="Y59" s="21"/>
      <c r="Z59" s="21"/>
      <c r="AA59" s="21"/>
      <c r="AB59" s="21"/>
    </row>
    <row r="60" spans="1:28" ht="22.5" customHeight="1" x14ac:dyDescent="0.25">
      <c r="A60" s="258"/>
      <c r="B60" s="259"/>
      <c r="C60" s="259"/>
      <c r="D60" s="259"/>
      <c r="E60" s="259"/>
      <c r="F60" s="259"/>
      <c r="G60" s="259"/>
      <c r="H60" s="259"/>
      <c r="I60" s="259"/>
      <c r="J60" s="259"/>
      <c r="K60" s="259"/>
      <c r="L60" s="260"/>
      <c r="M60" s="19"/>
      <c r="N60" s="19"/>
      <c r="O60" s="19"/>
      <c r="P60" s="21"/>
      <c r="Q60" s="21"/>
      <c r="R60" s="21"/>
      <c r="S60" s="21"/>
      <c r="T60" s="21"/>
      <c r="U60" s="21"/>
      <c r="V60" s="21"/>
      <c r="W60" s="21"/>
      <c r="X60" s="21"/>
      <c r="Y60" s="21"/>
      <c r="Z60" s="21"/>
      <c r="AA60" s="21"/>
      <c r="AB60" s="21"/>
    </row>
    <row r="61" spans="1:28" ht="14.25" customHeight="1" x14ac:dyDescent="0.25">
      <c r="A61" s="261" t="s">
        <v>91</v>
      </c>
      <c r="B61" s="262"/>
      <c r="C61" s="262"/>
      <c r="D61" s="262"/>
      <c r="E61" s="262"/>
      <c r="F61" s="262"/>
      <c r="G61" s="262"/>
      <c r="H61" s="262"/>
      <c r="I61" s="262"/>
      <c r="J61" s="262"/>
      <c r="K61" s="262"/>
      <c r="L61" s="263"/>
      <c r="M61" s="19"/>
      <c r="N61" s="19"/>
      <c r="O61" s="19"/>
      <c r="P61" s="19"/>
      <c r="Q61" s="19"/>
      <c r="R61" s="19"/>
      <c r="S61" s="19"/>
      <c r="T61" s="19"/>
      <c r="U61" s="19"/>
      <c r="V61" s="19"/>
      <c r="W61" s="19"/>
      <c r="X61" s="19"/>
      <c r="Y61" s="19"/>
      <c r="Z61" s="19"/>
      <c r="AA61" s="19"/>
      <c r="AB61" s="19"/>
    </row>
    <row r="62" spans="1:28" ht="14.25" customHeight="1" thickBo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row>
    <row r="63" spans="1:28" ht="14.25" customHeight="1" thickBot="1" x14ac:dyDescent="0.3">
      <c r="A63" s="19"/>
      <c r="B63" s="56"/>
      <c r="C63" s="57" t="s">
        <v>92</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row>
    <row r="64" spans="1:28" ht="14.25" customHeight="1"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row>
    <row r="65" spans="1:28" ht="14.25" customHeight="1" x14ac:dyDescent="0.25">
      <c r="A65" s="19"/>
      <c r="B65" s="19"/>
      <c r="C65" s="19"/>
      <c r="D65" s="19"/>
      <c r="E65" s="19"/>
      <c r="F65" s="19"/>
      <c r="G65" s="19"/>
      <c r="H65" s="19"/>
      <c r="I65" s="58"/>
      <c r="J65" s="58"/>
      <c r="K65" s="58"/>
      <c r="L65" s="58"/>
      <c r="M65" s="58"/>
      <c r="N65" s="58"/>
      <c r="O65" s="19"/>
      <c r="P65" s="19"/>
      <c r="Q65" s="19"/>
      <c r="R65" s="19"/>
      <c r="S65" s="19"/>
      <c r="T65" s="19"/>
      <c r="U65" s="19"/>
      <c r="V65" s="19"/>
      <c r="W65" s="19"/>
      <c r="X65" s="19"/>
      <c r="Y65" s="19"/>
      <c r="Z65" s="19"/>
      <c r="AA65" s="19"/>
      <c r="AB65" s="19"/>
    </row>
    <row r="66" spans="1:28" ht="15" customHeight="1" x14ac:dyDescent="0.25">
      <c r="A66" s="19"/>
      <c r="B66" s="19"/>
      <c r="C66" s="19"/>
      <c r="D66" s="19"/>
      <c r="E66" s="58"/>
      <c r="F66" s="58"/>
      <c r="G66" s="58"/>
      <c r="H66" s="58"/>
      <c r="I66" s="59"/>
      <c r="J66" s="59"/>
      <c r="K66" s="59"/>
      <c r="L66" s="59"/>
      <c r="M66" s="59"/>
      <c r="N66" s="59"/>
      <c r="O66" s="19"/>
      <c r="P66" s="19"/>
      <c r="Q66" s="19"/>
      <c r="R66" s="19"/>
      <c r="S66" s="19"/>
      <c r="T66" s="19"/>
      <c r="U66" s="19"/>
      <c r="V66" s="19"/>
      <c r="W66" s="19"/>
      <c r="X66" s="19"/>
      <c r="Y66" s="19"/>
      <c r="Z66" s="19"/>
      <c r="AA66" s="19"/>
      <c r="AB66" s="19"/>
    </row>
    <row r="67" spans="1:28" ht="15" customHeight="1" x14ac:dyDescent="0.25">
      <c r="A67" s="19"/>
      <c r="B67" s="19"/>
      <c r="C67" s="19"/>
      <c r="D67" s="19"/>
      <c r="E67" s="59"/>
      <c r="F67" s="59"/>
      <c r="G67" s="59"/>
      <c r="H67" s="59"/>
      <c r="I67" s="59"/>
      <c r="J67" s="59"/>
      <c r="K67" s="59"/>
      <c r="L67" s="59"/>
      <c r="M67" s="59"/>
      <c r="N67" s="59"/>
      <c r="O67" s="19"/>
      <c r="P67" s="19"/>
      <c r="Q67" s="19"/>
      <c r="R67" s="19"/>
      <c r="S67" s="19"/>
      <c r="T67" s="19"/>
      <c r="U67" s="19"/>
      <c r="V67" s="19"/>
      <c r="W67" s="19"/>
      <c r="X67" s="19"/>
      <c r="Y67" s="19"/>
      <c r="Z67" s="19"/>
      <c r="AA67" s="19"/>
      <c r="AB67" s="19"/>
    </row>
    <row r="68" spans="1:28" ht="15" customHeight="1" x14ac:dyDescent="0.25">
      <c r="A68" s="19"/>
      <c r="B68" s="19"/>
      <c r="C68" s="19"/>
      <c r="D68" s="19"/>
      <c r="E68" s="59"/>
      <c r="F68" s="59"/>
      <c r="G68" s="59"/>
      <c r="H68" s="59"/>
      <c r="I68" s="59"/>
      <c r="J68" s="59"/>
      <c r="K68" s="59"/>
      <c r="L68" s="59"/>
      <c r="M68" s="59"/>
      <c r="N68" s="59"/>
      <c r="O68" s="19"/>
      <c r="P68" s="19"/>
      <c r="Q68" s="19"/>
      <c r="R68" s="19"/>
      <c r="S68" s="19"/>
      <c r="T68" s="19"/>
      <c r="U68" s="19"/>
      <c r="V68" s="19"/>
      <c r="W68" s="19"/>
      <c r="X68" s="19"/>
      <c r="Y68" s="19"/>
      <c r="Z68" s="19"/>
      <c r="AA68" s="19"/>
      <c r="AB68" s="19"/>
    </row>
    <row r="69" spans="1:28" ht="30.75" customHeight="1" x14ac:dyDescent="0.25">
      <c r="A69" s="19"/>
      <c r="B69" s="19"/>
      <c r="C69" s="19"/>
      <c r="D69" s="19"/>
      <c r="E69" s="59"/>
      <c r="F69" s="59"/>
      <c r="G69" s="59"/>
      <c r="H69" s="59"/>
      <c r="I69" s="60"/>
      <c r="J69" s="60"/>
      <c r="K69" s="60"/>
      <c r="L69" s="60"/>
      <c r="M69" s="60"/>
      <c r="N69" s="60"/>
      <c r="O69" s="19"/>
      <c r="P69" s="19"/>
      <c r="Q69" s="19"/>
      <c r="R69" s="19"/>
      <c r="S69" s="19"/>
      <c r="T69" s="19"/>
      <c r="U69" s="19"/>
      <c r="V69" s="19"/>
      <c r="W69" s="19"/>
      <c r="X69" s="19"/>
      <c r="Y69" s="19"/>
      <c r="Z69" s="19"/>
      <c r="AA69" s="19"/>
      <c r="AB69" s="19"/>
    </row>
    <row r="70" spans="1:28" ht="15" customHeight="1" x14ac:dyDescent="0.25">
      <c r="A70" s="19"/>
      <c r="B70" s="19"/>
      <c r="C70" s="19"/>
      <c r="D70" s="19"/>
      <c r="E70" s="60"/>
      <c r="F70" s="60"/>
      <c r="G70" s="60"/>
      <c r="H70" s="60"/>
      <c r="I70" s="60"/>
      <c r="J70" s="60"/>
      <c r="K70" s="60"/>
      <c r="L70" s="60"/>
      <c r="M70" s="60"/>
      <c r="N70" s="60"/>
      <c r="O70" s="19"/>
      <c r="P70" s="19"/>
      <c r="Q70" s="19"/>
      <c r="R70" s="19"/>
      <c r="S70" s="19"/>
      <c r="T70" s="19"/>
      <c r="U70" s="19"/>
      <c r="V70" s="19"/>
      <c r="W70" s="19"/>
      <c r="X70" s="19"/>
      <c r="Y70" s="19"/>
      <c r="Z70" s="19"/>
      <c r="AA70" s="19"/>
      <c r="AB70" s="19"/>
    </row>
    <row r="71" spans="1:28" ht="15" customHeight="1" x14ac:dyDescent="0.25">
      <c r="A71" s="19"/>
      <c r="B71" s="19"/>
      <c r="C71" s="19"/>
      <c r="D71" s="19"/>
      <c r="E71" s="60"/>
      <c r="F71" s="60"/>
      <c r="G71" s="60"/>
      <c r="H71" s="60"/>
      <c r="I71" s="19"/>
      <c r="J71" s="19"/>
      <c r="K71" s="19"/>
      <c r="L71" s="19"/>
      <c r="M71" s="19"/>
      <c r="N71" s="19"/>
      <c r="O71" s="19"/>
      <c r="P71" s="19"/>
      <c r="Q71" s="19"/>
      <c r="R71" s="19"/>
      <c r="S71" s="19"/>
      <c r="T71" s="19"/>
      <c r="U71" s="19"/>
      <c r="V71" s="19"/>
      <c r="W71" s="19"/>
      <c r="X71" s="19"/>
      <c r="Y71" s="19"/>
      <c r="Z71" s="19"/>
      <c r="AA71" s="19"/>
      <c r="AB71" s="19"/>
    </row>
    <row r="72" spans="1:28" ht="31.5" customHeight="1" x14ac:dyDescent="0.25">
      <c r="A72" s="19"/>
      <c r="B72" s="19"/>
      <c r="C72" s="19"/>
      <c r="D72" s="19"/>
      <c r="E72" s="93"/>
      <c r="F72" s="94"/>
      <c r="G72" s="94"/>
      <c r="H72" s="94"/>
      <c r="I72" s="94"/>
      <c r="J72" s="94"/>
      <c r="K72" s="94"/>
      <c r="L72" s="94"/>
      <c r="M72" s="94"/>
      <c r="N72" s="94"/>
      <c r="O72" s="94"/>
      <c r="P72" s="94"/>
      <c r="Q72" s="19"/>
      <c r="R72" s="19"/>
      <c r="S72" s="19"/>
      <c r="T72" s="19"/>
      <c r="U72" s="19"/>
      <c r="V72" s="19"/>
      <c r="W72" s="19"/>
      <c r="X72" s="19"/>
      <c r="Y72" s="19"/>
      <c r="Z72" s="19"/>
      <c r="AA72" s="19"/>
      <c r="AB72" s="19"/>
    </row>
    <row r="73" spans="1:28" ht="24" customHeight="1" x14ac:dyDescent="0.25">
      <c r="A73" s="19"/>
      <c r="B73" s="61"/>
      <c r="C73" s="62"/>
      <c r="D73" s="62"/>
      <c r="E73" s="62"/>
      <c r="F73" s="62"/>
      <c r="G73" s="62"/>
      <c r="H73" s="62"/>
      <c r="I73" s="62"/>
      <c r="J73" s="62"/>
      <c r="K73" s="62"/>
      <c r="L73" s="62"/>
      <c r="M73" s="62"/>
      <c r="N73" s="62"/>
      <c r="O73" s="62"/>
      <c r="P73" s="62"/>
      <c r="Q73" s="62"/>
      <c r="R73" s="62"/>
      <c r="S73" s="19"/>
      <c r="T73" s="19"/>
      <c r="U73" s="19"/>
      <c r="V73" s="19"/>
      <c r="W73" s="19"/>
      <c r="X73" s="19"/>
      <c r="Y73" s="19"/>
      <c r="Z73" s="19"/>
      <c r="AA73" s="19"/>
      <c r="AB73" s="19"/>
    </row>
    <row r="74" spans="1:28" ht="15" customHeight="1" x14ac:dyDescent="0.25">
      <c r="A74" s="19"/>
      <c r="B74" s="62"/>
      <c r="C74" s="62"/>
      <c r="D74" s="95"/>
      <c r="E74" s="94"/>
      <c r="F74" s="94"/>
      <c r="G74" s="94"/>
      <c r="H74" s="94"/>
      <c r="I74" s="94"/>
      <c r="J74" s="94"/>
      <c r="K74" s="94"/>
      <c r="L74" s="94"/>
      <c r="M74" s="94"/>
      <c r="N74" s="94"/>
      <c r="O74" s="94"/>
      <c r="P74" s="62"/>
      <c r="Q74" s="62"/>
      <c r="R74" s="62"/>
      <c r="S74" s="19"/>
      <c r="T74" s="19"/>
      <c r="U74" s="19"/>
      <c r="V74" s="19"/>
      <c r="W74" s="19"/>
      <c r="X74" s="19"/>
      <c r="Y74" s="19"/>
      <c r="Z74" s="19"/>
      <c r="AA74" s="19"/>
      <c r="AB74" s="19"/>
    </row>
    <row r="75" spans="1:28" ht="14.25" customHeight="1" x14ac:dyDescent="0.25">
      <c r="A75" s="19"/>
      <c r="B75" s="19"/>
      <c r="C75" s="19"/>
      <c r="D75" s="94"/>
      <c r="E75" s="94"/>
      <c r="F75" s="94"/>
      <c r="G75" s="94"/>
      <c r="H75" s="94"/>
      <c r="I75" s="94"/>
      <c r="J75" s="94"/>
      <c r="K75" s="94"/>
      <c r="L75" s="94"/>
      <c r="M75" s="94"/>
      <c r="N75" s="94"/>
      <c r="O75" s="94"/>
      <c r="P75" s="19"/>
      <c r="Q75" s="19"/>
      <c r="R75" s="19"/>
      <c r="S75" s="19"/>
      <c r="T75" s="19"/>
      <c r="U75" s="19"/>
      <c r="V75" s="19"/>
      <c r="W75" s="19"/>
      <c r="X75" s="19"/>
      <c r="Y75" s="19"/>
      <c r="Z75" s="19"/>
      <c r="AA75" s="19"/>
      <c r="AB75" s="19"/>
    </row>
    <row r="76" spans="1:28" ht="14.25" customHeight="1"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row>
    <row r="77" spans="1:28" ht="14.25" customHeight="1"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row>
    <row r="78" spans="1:28" ht="14.25" customHeight="1"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row>
    <row r="79" spans="1:28" ht="14.25" customHeight="1"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row>
    <row r="80" spans="1:28" ht="14.25" customHeight="1"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row>
    <row r="81" spans="1:28" ht="14.25" customHeight="1"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spans="1:28" ht="14.25" customHeight="1"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row>
    <row r="83" spans="1:28" ht="14.25" customHeight="1"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row>
    <row r="84" spans="1:28" ht="14.25" customHeight="1"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row>
    <row r="85" spans="1:28" ht="14.25" customHeight="1"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row>
    <row r="86" spans="1:28" ht="14.25" customHeight="1"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row>
    <row r="87" spans="1:28" ht="14.25" customHeight="1"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row>
    <row r="88" spans="1:28" ht="14.25" customHeight="1"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row>
    <row r="89" spans="1:28" ht="14.25" customHeight="1"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row>
    <row r="90" spans="1:28" ht="14.25" customHeight="1"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row>
    <row r="91" spans="1:28" ht="14.25" customHeight="1"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row>
    <row r="92" spans="1:28" ht="14.25" customHeight="1"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row>
    <row r="93" spans="1:28" ht="14.25" customHeight="1"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row>
    <row r="94" spans="1:28" ht="14.25" customHeight="1"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row>
    <row r="95" spans="1:28" ht="14.25" customHeight="1"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spans="1:28" ht="14.25" customHeight="1"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row>
    <row r="97" spans="1:28" ht="14.25" customHeight="1"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row>
    <row r="98" spans="1:28" ht="14.25" customHeight="1"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row>
    <row r="99" spans="1:28" ht="14.25" customHeight="1"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row>
    <row r="100" spans="1:28" ht="14.25" customHeight="1"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spans="1:28" ht="14.25" customHeight="1"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row>
    <row r="102" spans="1:28" ht="14.25" customHeight="1"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spans="1:28" ht="14.25" customHeight="1"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spans="1:28" ht="14.25" customHeight="1"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row>
    <row r="105" spans="1:28" ht="14.25" customHeight="1"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row>
    <row r="106" spans="1:28" ht="14.25" customHeight="1"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spans="1:28" ht="14.25" customHeight="1"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row>
    <row r="108" spans="1:28" ht="14.25" customHeight="1"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row>
    <row r="109" spans="1:28" ht="14.25" customHeight="1"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spans="1:28" ht="14.25" customHeight="1"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spans="1:28" ht="14.25" customHeight="1"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spans="1:28" ht="14.25" customHeight="1"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row>
    <row r="113" spans="1:28" ht="14.25" customHeight="1"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spans="1:28" ht="14.25" customHeight="1"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row>
    <row r="115" spans="1:28" ht="14.25" customHeight="1"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row>
    <row r="116" spans="1:28" ht="14.25" customHeight="1"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row>
    <row r="117" spans="1:28" ht="14.25" customHeight="1"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row>
    <row r="118" spans="1:28" ht="14.25" customHeight="1"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row>
    <row r="119" spans="1:28" ht="14.25" customHeight="1"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row>
    <row r="120" spans="1:28" ht="14.25" customHeight="1"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row>
    <row r="121" spans="1:28" ht="14.25" customHeight="1"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row>
    <row r="122" spans="1:28" ht="14.25" customHeight="1"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row>
    <row r="123" spans="1:28" ht="14.25" customHeight="1"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spans="1:28" ht="14.25" customHeight="1"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row>
    <row r="125" spans="1:28" ht="14.25" customHeight="1"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row>
    <row r="126" spans="1:28" ht="14.25" customHeight="1"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row>
    <row r="127" spans="1:28" ht="14.25" customHeight="1"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spans="1:28" ht="14.25" customHeight="1"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row>
    <row r="129" spans="1:28" ht="14.25" customHeight="1"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row>
    <row r="130" spans="1:28" ht="14.25" customHeight="1"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row>
    <row r="131" spans="1:28" ht="14.25" customHeight="1"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row>
    <row r="132" spans="1:28" ht="14.25" customHeight="1"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row>
    <row r="133" spans="1:28" ht="14.25" customHeight="1"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row>
    <row r="134" spans="1:28" ht="14.25" customHeight="1"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spans="1:28" ht="14.25" customHeight="1"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spans="1:28" ht="14.25" customHeight="1"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row>
    <row r="137" spans="1:28" ht="14.25" customHeight="1"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row>
    <row r="138" spans="1:28" ht="14.25" customHeight="1"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spans="1:28" ht="14.2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row>
    <row r="140" spans="1:28" ht="14.25" customHeight="1"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row>
    <row r="141" spans="1:28" ht="14.25" customHeight="1"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spans="1:28" ht="14.25"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spans="1:28" ht="14.25" customHeight="1"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row>
    <row r="144" spans="1:28" ht="14.25" customHeight="1"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spans="1:28" ht="14.25" customHeight="1"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spans="1:28" ht="14.25"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row>
    <row r="147" spans="1:28" ht="14.25" customHeight="1"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row>
    <row r="148" spans="1:28" ht="14.25" customHeight="1"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row>
    <row r="149" spans="1:28" ht="14.25" customHeight="1"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spans="1:28" ht="14.25"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spans="1:28" ht="14.25" customHeight="1"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row>
    <row r="152" spans="1:28" ht="14.25" customHeight="1"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row>
    <row r="153" spans="1:28" ht="14.25"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spans="1:28" ht="14.25" customHeight="1"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row>
    <row r="155" spans="1:28" ht="14.25" customHeight="1"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row>
    <row r="156" spans="1:28" ht="14.25" customHeight="1"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spans="1:28" ht="14.25"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row>
    <row r="158" spans="1:28" ht="14.25" customHeight="1"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spans="1:28" ht="14.25" customHeight="1"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row>
    <row r="160" spans="1:28" ht="14.25" customHeight="1"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spans="1:28" ht="14.25"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spans="1:28" ht="14.25" customHeight="1"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row>
    <row r="163" spans="1:28" ht="14.25" customHeight="1"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row>
    <row r="164" spans="1:28" ht="14.25" customHeight="1"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row>
    <row r="165" spans="1:28" ht="14.25" customHeight="1"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row>
    <row r="166" spans="1:28" ht="14.25" customHeight="1"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row>
    <row r="167" spans="1:28" ht="14.25" customHeight="1"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spans="1:28" ht="14.25" customHeight="1"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row>
    <row r="169" spans="1:28" ht="14.25" customHeight="1"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row>
    <row r="170" spans="1:28" ht="14.25" customHeight="1"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row>
    <row r="171" spans="1:28" ht="14.25" customHeight="1"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row>
    <row r="172" spans="1:28" ht="14.25"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row>
    <row r="173" spans="1:28" ht="14.25" customHeight="1"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row>
    <row r="174" spans="1:28" ht="14.25"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row>
    <row r="175" spans="1:28" ht="14.25" customHeight="1"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row>
    <row r="176" spans="1:28" ht="14.25" customHeight="1"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spans="1:28" ht="14.25"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spans="1:28" ht="14.25" customHeight="1"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row>
    <row r="179" spans="1:28" ht="14.25"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spans="1:28" ht="14.25" customHeight="1"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row>
    <row r="181" spans="1:28" ht="14.25" customHeight="1"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row>
    <row r="182" spans="1:28" ht="14.25"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row>
    <row r="183" spans="1:28" ht="14.25" customHeight="1"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spans="1:28" ht="14.25" customHeight="1"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row>
    <row r="185" spans="1:28" ht="14.25"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spans="1:28" ht="14.25" customHeight="1"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spans="1:28" ht="14.25" customHeight="1"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row>
    <row r="188" spans="1:28" ht="14.25"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spans="1:28" ht="14.25" customHeight="1"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row>
    <row r="190" spans="1:28" ht="14.25"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row>
    <row r="191" spans="1:28" ht="14.25" customHeight="1"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spans="1:28" ht="14.25" customHeight="1"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spans="1:28" ht="14.25"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row>
    <row r="194" spans="1:28" ht="14.25" customHeight="1"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spans="1:28" ht="14.25" customHeight="1"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row>
    <row r="196" spans="1:28" ht="14.25"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row>
    <row r="197" spans="1:28" ht="14.25" customHeight="1"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spans="1:28" ht="14.25" customHeight="1"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row>
    <row r="199" spans="1:28" ht="14.25" customHeight="1"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row>
    <row r="200" spans="1:28" ht="14.25"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row>
    <row r="201" spans="1:28" ht="14.25" customHeight="1"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row>
    <row r="202" spans="1:28" ht="14.25" customHeight="1"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row>
    <row r="203" spans="1:28" ht="14.25" customHeight="1"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row>
    <row r="204" spans="1:28" ht="14.25" customHeight="1"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row>
    <row r="205" spans="1:28" ht="14.25" customHeight="1"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row>
    <row r="206" spans="1:28" ht="14.25"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row>
    <row r="207" spans="1:28" ht="14.25" customHeight="1"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row>
    <row r="208" spans="1:28" ht="14.25" customHeight="1"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row>
    <row r="209" spans="1:28" ht="14.2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row>
    <row r="210" spans="1:28" ht="14.25" customHeight="1"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row>
    <row r="211" spans="1:28" ht="14.25" customHeight="1"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row>
    <row r="212" spans="1:28" ht="14.25" customHeight="1"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row>
    <row r="213" spans="1:28" ht="14.25" customHeight="1"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row>
    <row r="214" spans="1:28" ht="14.25" customHeight="1"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spans="1:28" ht="14.25" customHeight="1"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row>
    <row r="216" spans="1:28" ht="14.25" customHeight="1"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row>
    <row r="217" spans="1:28" ht="14.25" customHeight="1"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row>
    <row r="218" spans="1:28" ht="14.25" customHeight="1"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row>
    <row r="219" spans="1:28" ht="14.25" customHeight="1"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row>
    <row r="220" spans="1:28" ht="14.25" customHeight="1"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row>
    <row r="221" spans="1:28" ht="14.25" customHeight="1"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row>
    <row r="222" spans="1:28" ht="14.25" customHeight="1"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spans="1:28" ht="14.25" customHeight="1"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row>
    <row r="224" spans="1:28" ht="14.25" customHeight="1"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row>
    <row r="225" spans="1:28" ht="14.25" customHeight="1"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row>
    <row r="226" spans="1:28" ht="14.25" customHeight="1"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spans="1:28" ht="14.25" customHeight="1"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row>
    <row r="228" spans="1:28" ht="14.25" customHeight="1"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row>
    <row r="229" spans="1:28" ht="14.25" customHeight="1"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row>
    <row r="230" spans="1:28" ht="14.25" customHeight="1"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row>
    <row r="231" spans="1:28" ht="14.25" customHeight="1"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spans="1:28" ht="14.25" customHeight="1"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spans="1:28" ht="14.25" customHeight="1"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row>
    <row r="234" spans="1:28" ht="14.25"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row>
    <row r="235" spans="1:28" ht="14.25" customHeight="1"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row>
    <row r="236" spans="1:28" ht="14.25" customHeight="1"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row>
    <row r="237" spans="1:28" ht="14.25" customHeight="1"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row>
    <row r="238" spans="1:28" ht="14.25" customHeight="1"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row>
    <row r="239" spans="1:28" ht="14.25" customHeight="1"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row>
    <row r="240" spans="1:28" ht="14.25" customHeight="1"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row>
    <row r="241" spans="1:28" ht="14.25" customHeight="1"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row>
    <row r="242" spans="1:28" ht="14.25" customHeight="1"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row>
    <row r="243" spans="1:28" ht="14.25" customHeight="1"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row>
    <row r="244" spans="1:28" ht="14.25" customHeight="1"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row>
    <row r="245" spans="1:28" ht="14.25" customHeight="1"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row>
    <row r="246" spans="1:28" ht="14.25" customHeight="1"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row>
    <row r="247" spans="1:28" ht="14.25" customHeight="1"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row>
    <row r="248" spans="1:28" ht="14.25" customHeight="1"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row>
    <row r="249" spans="1:28" ht="14.25" customHeight="1"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row>
    <row r="250" spans="1:28" ht="14.25" customHeight="1"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spans="1:28" ht="14.25" customHeight="1"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row>
    <row r="252" spans="1:28" ht="14.25" customHeight="1"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row>
    <row r="253" spans="1:28" ht="14.2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row>
    <row r="254" spans="1:28" ht="14.2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row>
    <row r="255" spans="1:28" ht="14.2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spans="1:28" ht="14.2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row>
    <row r="257" spans="1:28" ht="14.2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row>
    <row r="258" spans="1:28" ht="14.2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row>
    <row r="259" spans="1:28" ht="14.2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row>
    <row r="260" spans="1:28" ht="14.2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row>
    <row r="261" spans="1:28" ht="14.2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row>
    <row r="262" spans="1:28" ht="14.2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spans="1:28" ht="14.2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row>
    <row r="264" spans="1:28" ht="14.2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row>
    <row r="265" spans="1:28" ht="14.2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row>
    <row r="266" spans="1:28" ht="14.2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row>
    <row r="267" spans="1:28" ht="14.2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row>
    <row r="268" spans="1:28" ht="14.2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row>
    <row r="269" spans="1:28" ht="14.2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row>
    <row r="270" spans="1:28" ht="14.2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spans="1:28" ht="14.2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row>
    <row r="272" spans="1:28" ht="14.2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row>
    <row r="273" spans="1:28" ht="14.2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row>
    <row r="274" spans="1:28" ht="14.2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row>
    <row r="275" spans="1:28" ht="14.2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spans="1:28" ht="14.2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row>
    <row r="277" spans="1:28" ht="14.2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row>
    <row r="278" spans="1:28" ht="14.2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row>
    <row r="279" spans="1:28" ht="14.2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spans="1:28" ht="14.2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row>
    <row r="281" spans="1:28" ht="14.2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row>
    <row r="282" spans="1:28" ht="14.2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row>
    <row r="283" spans="1:28" ht="14.2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row>
    <row r="284" spans="1:28" ht="14.2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row>
    <row r="285" spans="1:28" ht="14.2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row>
    <row r="286" spans="1:28" ht="14.2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row>
    <row r="287" spans="1:28" ht="14.2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row>
    <row r="288" spans="1:28" ht="14.2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row>
    <row r="289" spans="1:28" ht="14.2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spans="1:28" ht="14.2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spans="1:28" ht="14.2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spans="1:28" ht="14.2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row>
    <row r="293" spans="1:28" ht="14.2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row>
    <row r="294" spans="1:28" ht="14.2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row>
    <row r="295" spans="1:28" ht="14.2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spans="1:28" ht="14.2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spans="1:28" ht="14.2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spans="1:28" ht="14.2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row>
    <row r="299" spans="1:28" ht="14.2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spans="1:28" ht="14.2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row>
    <row r="301" spans="1:28" ht="14.2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row>
    <row r="302" spans="1:28" ht="14.2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row>
    <row r="303" spans="1:28" ht="14.2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row>
    <row r="304" spans="1:28" ht="14.2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row>
    <row r="305" spans="1:28" ht="14.2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spans="1:28" ht="14.2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row>
    <row r="307" spans="1:28" ht="14.2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row>
    <row r="308" spans="1:28" ht="14.2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spans="1:28" ht="14.2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row>
    <row r="310" spans="1:28" ht="14.2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row>
    <row r="311" spans="1:28" ht="14.2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row>
    <row r="312" spans="1:28" ht="14.2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spans="1:28" ht="14.2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row>
    <row r="314" spans="1:28" ht="14.2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spans="1:28" ht="14.2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row>
    <row r="316" spans="1:28" ht="14.2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row>
    <row r="317" spans="1:28" ht="14.2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spans="1:28" ht="14.2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spans="1:28" ht="14.2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spans="1:28" ht="14.2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spans="1:28" ht="14.2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row>
    <row r="322" spans="1:28" ht="14.2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row>
    <row r="323" spans="1:28" ht="14.2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row>
    <row r="324" spans="1:28" ht="14.2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row>
    <row r="325" spans="1:28" ht="14.2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spans="1:28" ht="14.2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spans="1:28" ht="14.2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row>
    <row r="328" spans="1:28" ht="14.2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row>
    <row r="329" spans="1:28" ht="14.2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row>
    <row r="330" spans="1:28" ht="14.2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spans="1:28" ht="14.2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row>
    <row r="332" spans="1:28" ht="14.2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row>
    <row r="333" spans="1:28" ht="14.2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spans="1:28" ht="14.2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row>
    <row r="335" spans="1:28" ht="14.2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row>
    <row r="336" spans="1:28" ht="14.2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spans="1:28" ht="14.2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row>
    <row r="338" spans="1:28" ht="14.2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spans="1:28" ht="14.2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row>
    <row r="340" spans="1:28" ht="14.2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spans="1:28" ht="14.2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row>
    <row r="342" spans="1:28" ht="14.2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row>
    <row r="343" spans="1:28" ht="14.2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spans="1:28" ht="14.2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spans="1:28" ht="14.2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row>
    <row r="346" spans="1:28" ht="14.2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row>
    <row r="347" spans="1:28" ht="14.2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row>
    <row r="348" spans="1:28" ht="14.2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spans="1:28" ht="14.2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spans="1:28" ht="14.2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row>
    <row r="351" spans="1:28" ht="14.2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row>
    <row r="352" spans="1:28" ht="14.2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row>
    <row r="353" spans="1:28" ht="14.2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spans="1:28" ht="14.2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row>
    <row r="355" spans="1:28" ht="14.2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row>
    <row r="356" spans="1:28" ht="14.2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spans="1:28" ht="14.2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spans="1:28" ht="14.2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spans="1:28" ht="14.2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row>
    <row r="360" spans="1:28" ht="14.2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row>
    <row r="361" spans="1:28" ht="14.2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row>
    <row r="362" spans="1:28" ht="14.2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row>
    <row r="363" spans="1:28" ht="14.2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row>
    <row r="364" spans="1:28" ht="14.2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row>
    <row r="365" spans="1:28" ht="14.2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row>
    <row r="366" spans="1:28" ht="14.2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row>
    <row r="367" spans="1:28" ht="14.2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spans="1:28" ht="14.2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row>
    <row r="369" spans="1:28" ht="14.2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row>
    <row r="370" spans="1:28" ht="14.2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spans="1:28" ht="14.2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row>
    <row r="372" spans="1:28" ht="14.2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row>
    <row r="373" spans="1:28" ht="14.2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spans="1:28" ht="14.2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spans="1:28" ht="14.2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spans="1:28" ht="14.2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row>
    <row r="377" spans="1:28" ht="14.2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row>
    <row r="378" spans="1:28" ht="14.2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row>
    <row r="379" spans="1:28" ht="14.2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row>
    <row r="380" spans="1:28" ht="14.2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row>
    <row r="381" spans="1:28" ht="14.2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spans="1:28" ht="14.2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spans="1:28" ht="14.2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row>
    <row r="384" spans="1:28" ht="14.2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row>
    <row r="385" spans="1:28" ht="14.2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spans="1:28" ht="14.2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spans="1:28" ht="14.2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spans="1:28" ht="14.2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spans="1:28" ht="14.2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row>
    <row r="390" spans="1:28" ht="14.2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spans="1:28" ht="14.2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spans="1:28" ht="14.2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row>
    <row r="393" spans="1:28" ht="14.2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row>
    <row r="394" spans="1:28" ht="14.2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spans="1:28" ht="14.2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spans="1:28" ht="14.2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spans="1:28" ht="14.2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row>
    <row r="398" spans="1:28" ht="14.2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spans="1:28" ht="14.2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row>
    <row r="400" spans="1:28" ht="14.2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row>
    <row r="401" spans="1:28" ht="14.2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row>
    <row r="402" spans="1:28" ht="14.2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spans="1:28" ht="14.2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row>
    <row r="404" spans="1:28" ht="14.2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row>
    <row r="405" spans="1:28" ht="14.2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row>
    <row r="406" spans="1:28" ht="14.2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spans="1:28" ht="14.2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row>
    <row r="408" spans="1:28" ht="14.2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row>
    <row r="409" spans="1:28" ht="14.2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spans="1:28" ht="14.2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row>
    <row r="411" spans="1:28" ht="14.2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row>
    <row r="412" spans="1:28" ht="14.2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spans="1:28" ht="14.2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row>
    <row r="414" spans="1:28" ht="14.2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spans="1:28" ht="14.2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spans="1:28" ht="14.2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row>
    <row r="417" spans="1:28" ht="14.2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row>
    <row r="418" spans="1:28" ht="14.2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spans="1:28" ht="14.2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row>
    <row r="420" spans="1:28" ht="14.2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spans="1:28" ht="14.2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row>
    <row r="422" spans="1:28" ht="14.2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row>
    <row r="423" spans="1:28" ht="14.2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row>
    <row r="424" spans="1:28" ht="14.2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row>
    <row r="425" spans="1:28" ht="14.2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spans="1:28" ht="14.2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row>
    <row r="427" spans="1:28" ht="14.2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row>
    <row r="428" spans="1:28" ht="14.2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spans="1:28" ht="14.2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row>
    <row r="430" spans="1:28" ht="14.2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row>
    <row r="431" spans="1:28" ht="14.2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row>
    <row r="432" spans="1:28" ht="14.2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spans="1:28" ht="14.2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spans="1:28" ht="14.2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spans="1:28" ht="14.2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row>
    <row r="436" spans="1:28" ht="14.2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row>
    <row r="437" spans="1:28" ht="14.2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spans="1:28" ht="14.2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row>
    <row r="439" spans="1:28" ht="14.2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row>
    <row r="440" spans="1:28" ht="14.2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row>
    <row r="441" spans="1:28" ht="14.2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row>
    <row r="442" spans="1:28" ht="14.2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row>
    <row r="443" spans="1:28" ht="14.2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row>
    <row r="444" spans="1:28" ht="14.2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row>
    <row r="445" spans="1:28" ht="14.2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spans="1:28" ht="14.2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row>
    <row r="447" spans="1:28" ht="14.2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row>
    <row r="448" spans="1:28" ht="14.2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row>
    <row r="449" spans="1:28" ht="14.2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row>
    <row r="450" spans="1:28" ht="14.2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spans="1:28" ht="14.2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row>
    <row r="452" spans="1:28" ht="14.2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row>
    <row r="453" spans="1:28" ht="14.2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spans="1:28" ht="14.2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spans="1:28" ht="14.2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spans="1:28" ht="14.2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row>
    <row r="457" spans="1:28" ht="14.2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row>
    <row r="458" spans="1:28" ht="14.2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row>
    <row r="459" spans="1:28" ht="14.2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spans="1:28" ht="14.2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spans="1:28" ht="14.2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row>
    <row r="462" spans="1:28" ht="14.2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row>
    <row r="463" spans="1:28" ht="14.2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row>
    <row r="464" spans="1:28" ht="14.2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spans="1:28" ht="14.2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spans="1:28" ht="14.2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spans="1:28" ht="14.2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row>
    <row r="468" spans="1:28" ht="14.2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spans="1:28" ht="14.2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row>
    <row r="470" spans="1:28" ht="14.2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spans="1:28" ht="14.2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row>
    <row r="472" spans="1:28" ht="14.2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row>
    <row r="473" spans="1:28" ht="14.2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row>
    <row r="474" spans="1:28" ht="14.2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spans="1:28" ht="14.2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row>
    <row r="476" spans="1:28" ht="14.2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row>
    <row r="477" spans="1:28" ht="14.2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row>
    <row r="478" spans="1:28" ht="14.2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row>
    <row r="479" spans="1:28" ht="14.2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spans="1:28" ht="14.2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row>
    <row r="481" spans="1:28" ht="14.2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row>
    <row r="482" spans="1:28" ht="14.2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row>
    <row r="483" spans="1:28" ht="14.2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row>
    <row r="484" spans="1:28" ht="14.2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row>
    <row r="485" spans="1:28" ht="14.2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spans="1:28" ht="14.2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row>
    <row r="487" spans="1:28" ht="14.2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spans="1:28" ht="14.2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row>
    <row r="489" spans="1:28" ht="14.2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spans="1:28" ht="14.2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spans="1:28" ht="14.2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row>
    <row r="492" spans="1:28" ht="14.2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row>
    <row r="493" spans="1:28" ht="14.2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row>
    <row r="494" spans="1:28" ht="14.2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spans="1:28" ht="14.2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row>
    <row r="496" spans="1:28" ht="14.2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spans="1:28" ht="14.2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row>
    <row r="498" spans="1:28" ht="14.2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row>
    <row r="499" spans="1:28" ht="14.2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row>
    <row r="500" spans="1:28" ht="14.2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spans="1:28" ht="14.2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row>
    <row r="502" spans="1:28" ht="14.2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row>
    <row r="503" spans="1:28" ht="14.2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spans="1:28" ht="14.2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row>
    <row r="505" spans="1:28" ht="14.2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spans="1:28" ht="14.2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row>
    <row r="507" spans="1:28" ht="14.2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spans="1:28" ht="14.2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row>
    <row r="509" spans="1:28" ht="14.2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row>
    <row r="510" spans="1:28" ht="14.2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spans="1:28" ht="14.2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row>
    <row r="512" spans="1:28" ht="14.2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row>
    <row r="513" spans="1:28" ht="14.2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row>
    <row r="514" spans="1:28" ht="14.2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row>
    <row r="515" spans="1:28" ht="14.2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spans="1:28" ht="14.2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spans="1:28" ht="14.2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row>
    <row r="518" spans="1:28" ht="14.2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row>
    <row r="519" spans="1:28" ht="14.2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row>
    <row r="520" spans="1:28" ht="14.2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row>
    <row r="521" spans="1:28" ht="14.2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spans="1:28" ht="14.2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spans="1:28" ht="14.2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row>
    <row r="524" spans="1:28" ht="14.2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row>
    <row r="525" spans="1:28" ht="14.2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row>
    <row r="526" spans="1:28" ht="14.2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row>
    <row r="527" spans="1:28" ht="14.2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row>
    <row r="528" spans="1:28" ht="14.2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row>
    <row r="529" spans="1:28" ht="14.2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spans="1:28" ht="14.2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row>
    <row r="531" spans="1:28" ht="14.2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row>
    <row r="532" spans="1:28" ht="14.2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spans="1:28" ht="14.2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spans="1:28" ht="14.2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row>
    <row r="535" spans="1:28" ht="14.2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spans="1:28" ht="14.2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row>
    <row r="537" spans="1:28" ht="14.2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row>
    <row r="538" spans="1:28" ht="14.2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row>
    <row r="539" spans="1:28" ht="14.2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spans="1:28" ht="14.2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row>
    <row r="541" spans="1:28" ht="14.2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spans="1:28" ht="14.2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row>
    <row r="543" spans="1:28" ht="14.2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spans="1:28" ht="14.2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row>
    <row r="545" spans="1:28" ht="14.2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spans="1:28" ht="14.2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row>
    <row r="547" spans="1:28" ht="14.2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row>
    <row r="548" spans="1:28" ht="14.2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row>
    <row r="549" spans="1:28" ht="14.2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row>
    <row r="550" spans="1:28" ht="14.2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spans="1:28" ht="14.2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row>
    <row r="552" spans="1:28" ht="14.2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spans="1:28" ht="14.2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spans="1:28" ht="14.2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row>
    <row r="555" spans="1:28" ht="14.2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row>
    <row r="556" spans="1:28" ht="14.2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row>
    <row r="557" spans="1:28" ht="14.2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row>
    <row r="558" spans="1:28" ht="14.2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row>
    <row r="559" spans="1:28" ht="14.2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spans="1:28" ht="14.2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row>
    <row r="561" spans="1:28" ht="14.2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row>
    <row r="562" spans="1:28" ht="14.2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row>
    <row r="563" spans="1:28" ht="14.2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row>
    <row r="564" spans="1:28" ht="14.2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row>
    <row r="565" spans="1:28" ht="14.2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row>
    <row r="566" spans="1:28" ht="14.2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row>
    <row r="567" spans="1:28" ht="14.2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row>
    <row r="568" spans="1:28" ht="14.2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spans="1:28" ht="14.2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spans="1:28" ht="14.2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row>
    <row r="571" spans="1:28" ht="14.2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row>
    <row r="572" spans="1:28" ht="14.2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row>
    <row r="573" spans="1:28" ht="14.2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row>
    <row r="574" spans="1:28" ht="14.2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row>
    <row r="575" spans="1:28" ht="14.2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row>
    <row r="576" spans="1:28" ht="14.2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spans="1:28" ht="14.2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spans="1:28" ht="14.2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row>
    <row r="579" spans="1:28" ht="14.2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row>
    <row r="580" spans="1:28" ht="14.2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row>
    <row r="581" spans="1:28" ht="14.2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row>
    <row r="582" spans="1:28" ht="14.2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row>
    <row r="583" spans="1:28" ht="14.2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row>
    <row r="584" spans="1:28" ht="14.2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row>
    <row r="585" spans="1:28" ht="14.2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spans="1:28" ht="14.2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row>
    <row r="587" spans="1:28" ht="14.2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spans="1:28" ht="14.2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row>
    <row r="589" spans="1:28" ht="14.2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spans="1:28" ht="14.2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row>
    <row r="591" spans="1:28" ht="14.2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row>
    <row r="592" spans="1:28" ht="14.2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row>
    <row r="593" spans="1:28" ht="14.2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spans="1:28" ht="14.2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row>
    <row r="595" spans="1:28" ht="14.2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row>
    <row r="596" spans="1:28" ht="14.2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row>
    <row r="597" spans="1:28" ht="14.2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row>
    <row r="598" spans="1:28" ht="14.2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row>
    <row r="599" spans="1:28" ht="14.2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spans="1:28" ht="14.2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row>
    <row r="601" spans="1:28" ht="14.2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row>
    <row r="602" spans="1:28" ht="14.2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row>
    <row r="603" spans="1:28" ht="14.2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row>
    <row r="604" spans="1:28" ht="14.2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row>
    <row r="605" spans="1:28" ht="14.2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spans="1:28" ht="14.2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spans="1:28" ht="14.2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spans="1:28" ht="14.2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spans="1:28" ht="14.2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spans="1:28" ht="14.2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spans="1:28" ht="14.2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spans="1:28" ht="14.2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spans="1:28" ht="14.2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spans="1:28" ht="14.2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spans="1:28" ht="14.2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spans="1:28" ht="14.2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spans="1:28" ht="14.2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spans="1:28" ht="14.2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spans="1:28" ht="14.2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spans="1:28" ht="14.2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spans="1:28" ht="14.2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spans="1:28" ht="14.2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spans="1:28" ht="14.2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spans="1:28" ht="14.2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spans="1:28" ht="14.2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spans="1:28" ht="14.2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spans="1:28" ht="14.2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spans="1:28" ht="14.2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spans="1:28" ht="14.2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spans="1:28" ht="14.2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spans="1:28" ht="14.2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spans="1:28" ht="14.2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spans="1:28" ht="14.2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spans="1:28" ht="14.2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spans="1:28" ht="14.2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spans="1:28" ht="14.2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spans="1:28" ht="14.2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spans="1:28" ht="14.2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spans="1:28" ht="14.2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spans="1:28" ht="14.2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spans="1:28" ht="14.2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spans="1:28" ht="14.2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spans="1:28" ht="14.2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spans="1:28" ht="14.2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spans="1:28" ht="14.2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spans="1:28" ht="14.2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spans="1:28" ht="14.2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spans="1:28" ht="14.2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spans="1:28" ht="14.2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spans="1:28" ht="14.2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spans="1:28" ht="14.2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spans="1:28" ht="14.2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spans="1:28" ht="14.2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spans="1:28" ht="14.2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spans="1:28" ht="14.2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spans="1:28" ht="14.2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spans="1:28" ht="14.2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spans="1:28" ht="14.2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spans="1:28" ht="14.2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spans="1:28" ht="14.2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spans="1:28" ht="14.2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spans="1:28" ht="14.2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spans="1:28" ht="14.2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spans="1:28" ht="14.2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spans="1:28" ht="14.2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spans="1:28" ht="14.2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spans="1:28" ht="14.2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spans="1:28" ht="14.2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spans="1:28" ht="14.2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spans="1:28" ht="14.2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spans="1:28" ht="14.2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spans="1:28" ht="14.2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spans="1:28" ht="14.2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spans="1:28" ht="14.2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spans="1:28" ht="14.2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spans="1:28" ht="14.2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spans="1:28" ht="14.2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spans="1:28" ht="14.2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spans="1:28" ht="14.2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spans="1:28" ht="14.2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spans="1:28" ht="14.2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spans="1:28" ht="14.2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spans="1:28" ht="14.2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spans="1:28" ht="14.2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spans="1:28" ht="14.2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spans="1:28" ht="14.2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spans="1:28" ht="14.2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spans="1:28" ht="14.2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spans="1:28" ht="14.2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spans="1:28" ht="14.2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spans="1:28" ht="14.2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spans="1:28" ht="14.2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spans="1:28" ht="14.2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spans="1:28" ht="14.2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spans="1:28" ht="14.2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spans="1:28" ht="14.2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spans="1:28" ht="14.2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spans="1:28" ht="14.2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spans="1:28" ht="14.2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spans="1:28" ht="14.2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spans="1:28" ht="14.2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spans="1:28" ht="14.2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spans="1:28" ht="14.2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spans="1:28" ht="14.2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spans="1:28" ht="14.2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spans="1:28" ht="14.2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spans="1:28" ht="14.2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spans="1:28" ht="14.2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spans="1:28" ht="14.2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spans="1:28" ht="14.2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spans="1:28" ht="14.2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spans="1:28" ht="14.2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spans="1:28" ht="14.2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spans="1:28" ht="14.2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spans="1:28" ht="14.2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spans="1:28" ht="14.2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spans="1:28" ht="14.2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spans="1:28" ht="14.2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spans="1:28" ht="14.2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spans="1:28" ht="14.2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spans="1:28" ht="14.2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spans="1:28" ht="14.2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spans="1:28" ht="14.2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spans="1:28" ht="14.2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spans="1:28" ht="14.2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spans="1:28" ht="14.2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spans="1:28" ht="14.2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spans="1:28" ht="14.2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spans="1:28" ht="14.2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spans="1:28" ht="14.2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spans="1:28" ht="14.2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spans="1:28" ht="14.2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spans="1:28" ht="14.2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spans="1:28" ht="14.2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spans="1:28" ht="14.2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spans="1:28" ht="14.2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spans="1:28" ht="14.2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spans="1:28" ht="14.2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spans="1:28" ht="14.2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spans="1:28" ht="14.2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spans="1:28" ht="14.2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spans="1:28" ht="14.2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spans="1:28" ht="14.2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spans="1:28" ht="14.2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spans="1:28" ht="14.2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spans="1:28" ht="14.2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spans="1:28" ht="14.2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spans="1:28" ht="14.2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spans="1:28" ht="14.2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spans="1:28" ht="14.2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spans="1:28" ht="14.2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spans="1:28" ht="14.2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spans="1:28" ht="14.2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spans="1:28" ht="14.2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spans="1:28" ht="14.2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spans="1:28" ht="14.2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spans="1:28" ht="14.2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spans="1:28" ht="14.2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spans="1:28" ht="14.2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spans="1:28" ht="14.2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spans="1:28" ht="14.2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spans="1:28" ht="14.2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spans="1:28" ht="14.2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spans="1:28" ht="14.2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spans="1:28" ht="14.2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spans="1:28" ht="14.2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spans="1:28" ht="14.2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spans="1:28" ht="14.2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spans="1:28" ht="14.2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spans="1:28" ht="14.2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spans="1:28" ht="14.2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spans="1:28" ht="14.2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spans="1:28" ht="14.2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spans="1:28" ht="14.2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spans="1:28" ht="14.2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spans="1:28" ht="14.2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spans="1:28" ht="14.2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spans="1:28" ht="14.2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spans="1:28" ht="14.2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spans="1:28" ht="14.2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spans="1:28" ht="14.2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spans="1:28" ht="14.2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spans="1:28" ht="14.2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spans="1:28" ht="14.2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spans="1:28" ht="14.2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spans="1:28" ht="14.2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spans="1:28" ht="14.2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spans="1:28" ht="14.2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spans="1:28" ht="14.2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spans="1:28" ht="14.2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spans="1:28" ht="14.2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spans="1:28" ht="14.2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spans="1:28" ht="14.2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spans="1:28" ht="14.2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spans="1:28" ht="14.2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spans="1:28" ht="14.2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spans="1:28" ht="14.2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spans="1:28" ht="14.2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spans="1:28" ht="14.2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spans="1:28" ht="14.2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spans="1:28" ht="14.2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spans="1:28" ht="14.2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spans="1:28" ht="14.2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spans="1:28" ht="14.2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spans="1:28" ht="14.2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spans="1:28" ht="14.2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spans="1:28" ht="14.2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spans="1:28" ht="14.2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spans="1:28" ht="14.2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spans="1:28" ht="14.2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spans="1:28" ht="14.2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spans="1:28" ht="14.2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spans="1:28" ht="14.2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spans="1:28" ht="14.2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spans="1:28" ht="14.2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spans="1:28" ht="14.2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spans="1:28" ht="14.2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spans="1:28" ht="14.2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spans="1:28" ht="14.2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spans="1:28" ht="14.2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spans="1:28" ht="14.2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spans="1:28" ht="14.2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spans="1:28" ht="14.2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spans="1:28" ht="14.2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spans="1:28" ht="14.2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spans="1:28" ht="14.2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spans="1:28" ht="14.2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spans="1:28" ht="14.2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spans="1:28" ht="14.2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spans="1:28" ht="14.2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spans="1:28" ht="14.2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spans="1:28" ht="14.2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spans="1:28" ht="14.2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spans="1:28" ht="14.2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spans="1:28" ht="14.2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spans="1:28" ht="14.2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spans="1:28" ht="14.2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spans="1:28" ht="14.2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spans="1:28" ht="14.2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spans="1:28" ht="14.2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spans="1:28" ht="14.2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spans="1:28" ht="14.2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spans="1:28" ht="14.2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spans="1:28" ht="14.2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spans="1:28" ht="14.2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spans="1:28" ht="14.2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spans="1:28" ht="14.2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spans="1:28" ht="14.2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spans="1:28" ht="14.2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spans="1:28" ht="14.2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spans="1:28" ht="14.2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spans="1:28" ht="14.2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spans="1:28" ht="14.2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spans="1:28" ht="14.2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spans="1:28" ht="14.2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spans="1:28" ht="14.2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spans="1:28" ht="14.2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spans="1:28" ht="14.2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spans="1:28" ht="14.2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spans="1:28" ht="14.2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spans="1:28" ht="14.2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spans="1:28" ht="14.2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spans="1:28" ht="14.2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spans="1:28" ht="14.2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spans="1:28" ht="14.2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spans="1:28" ht="14.2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spans="1:28" ht="14.2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spans="1:28" ht="14.2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spans="1:28" ht="14.2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spans="1:28" ht="14.2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spans="1:28" ht="14.2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spans="1:28" ht="14.2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spans="1:28" ht="14.2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spans="1:28" ht="14.2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spans="1:28" ht="14.2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spans="1:28" ht="14.2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spans="1:28" ht="14.2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spans="1:28" ht="14.2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spans="1:28" ht="14.2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spans="1:28" ht="14.2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spans="1:28" ht="14.2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spans="1:28" ht="14.2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spans="1:28" ht="14.2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spans="1:28" ht="14.2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spans="1:28" ht="14.2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spans="1:28" ht="14.2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spans="1:28" ht="14.2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spans="1:28" ht="14.2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spans="1:28" ht="14.2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spans="1:28" ht="14.2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spans="1:28" ht="14.2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spans="1:28" ht="14.2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spans="1:28" ht="14.2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spans="1:28" ht="14.2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spans="1:28" ht="14.2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spans="1:28" ht="14.2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spans="1:28" ht="14.2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spans="1:28" ht="14.2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spans="1:28" ht="14.2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spans="1:28" ht="14.2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spans="1:28" ht="14.2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spans="1:28" ht="14.2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spans="1:28" ht="14.2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spans="1:28" ht="14.2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spans="1:28" ht="14.2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spans="1:28" ht="14.2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spans="1:28" ht="14.2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spans="1:28" ht="14.2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spans="1:28" ht="14.2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spans="1:28" ht="14.2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spans="1:28" ht="14.2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spans="1:28" ht="14.2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spans="1:28" ht="14.2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spans="1:28" ht="14.2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spans="1:28" ht="14.2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spans="1:28" ht="14.2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spans="1:28" ht="14.2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spans="1:28" ht="14.2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spans="1:28" ht="14.2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spans="1:28" ht="14.2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spans="1:28" ht="14.2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spans="1:28" ht="14.2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spans="1:28" ht="14.2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spans="1:28" ht="14.2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spans="1:28" ht="14.2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spans="1:28" ht="14.2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spans="1:28" ht="14.2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spans="1:28" ht="14.2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spans="1:28" ht="14.2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spans="1:28" ht="14.2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spans="1:28" ht="14.2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spans="1:28" ht="14.2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spans="1:28" ht="14.2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spans="1:28" ht="14.2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spans="1:28" ht="14.2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spans="1:28" ht="14.2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spans="1:28" ht="14.2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spans="1:28" ht="14.2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spans="1:28" ht="14.2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spans="1:28" ht="14.2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spans="1:28" ht="14.2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spans="1:28" ht="14.2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spans="1:28" ht="14.2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spans="1:28" ht="14.2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spans="1:28" ht="14.2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spans="1:28" ht="14.2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spans="1:28" ht="14.2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spans="1:28" ht="14.2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spans="1:28" ht="14.2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spans="1:28" ht="14.2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spans="1:28" ht="14.2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spans="1:28" ht="14.2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spans="1:28" ht="14.2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spans="1:28" ht="14.2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spans="1:28" ht="14.2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spans="1:28" ht="14.2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spans="1:28" ht="14.2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spans="1:28" ht="14.2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spans="1:28" ht="14.2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spans="1:28" ht="14.2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spans="1:28" ht="14.2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spans="1:28" ht="14.2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spans="1:28" ht="14.2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spans="1:28" ht="14.2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spans="1:28" ht="14.2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spans="1:28" ht="14.2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spans="1:28" ht="14.2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spans="1:28" ht="14.2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spans="1:28" ht="14.2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spans="1:28" ht="14.2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spans="1:28" ht="14.2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spans="1:28" ht="14.2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spans="1:28" ht="14.2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spans="1:28" ht="14.2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spans="1:28" ht="14.2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spans="1:28" ht="14.2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row r="977" spans="1:28" ht="14.2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row>
    <row r="978" spans="1:28" ht="14.2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row>
    <row r="979" spans="1:28" ht="14.2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spans="1:28" ht="14.2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spans="1:28" ht="14.2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spans="1:28" ht="14.2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spans="1:28" ht="14.2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spans="1:28" ht="14.2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spans="1:28" ht="14.2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spans="1:28" ht="14.2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spans="1:28" ht="14.2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spans="1:28" ht="14.2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spans="1:28" ht="14.2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spans="1:28" ht="14.2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spans="1:28" ht="14.2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spans="1:28" ht="14.2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spans="1:28" ht="14.2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row>
    <row r="994" spans="1:28" ht="14.2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row>
    <row r="995" spans="1:28" ht="14.2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row>
    <row r="996" spans="1:28" ht="14.2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spans="1:28" ht="14.2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row>
    <row r="998" spans="1:28" ht="14.2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row>
    <row r="999" spans="1:28" ht="14.25" customHeight="1"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row>
    <row r="1000" spans="1:28" ht="14.2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row>
    <row r="1001" spans="1:28" ht="14.25" customHeight="1" x14ac:dyDescent="0.2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row>
    <row r="1002" spans="1:28" ht="14.25" customHeight="1" x14ac:dyDescent="0.2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row>
  </sheetData>
  <sheetProtection algorithmName="SHA-512" hashValue="9tjkb+XSUGfusfUT4R6t9fKDzO6HzI5NJ3Ts4JhJ49FrOYezyqsWFRlzLT2NjnrSxA1V86efegYxuHd4kZ7s4A==" saltValue="5eoLTnwrMSxbPLzE7v4cEw==" spinCount="100000" sheet="1" objects="1" scenarios="1"/>
  <mergeCells count="72">
    <mergeCell ref="H40:I40"/>
    <mergeCell ref="A26:B26"/>
    <mergeCell ref="A27:B27"/>
    <mergeCell ref="A29:E29"/>
    <mergeCell ref="J39:K39"/>
    <mergeCell ref="J40:K40"/>
    <mergeCell ref="A39:B39"/>
    <mergeCell ref="A40:B40"/>
    <mergeCell ref="A34:B34"/>
    <mergeCell ref="H36:K36"/>
    <mergeCell ref="A36:E36"/>
    <mergeCell ref="A37:B37"/>
    <mergeCell ref="A38:B38"/>
    <mergeCell ref="H38:I38"/>
    <mergeCell ref="J38:K38"/>
    <mergeCell ref="A28:B28"/>
    <mergeCell ref="A30:B30"/>
    <mergeCell ref="A21:B21"/>
    <mergeCell ref="A22:B22"/>
    <mergeCell ref="A23:B23"/>
    <mergeCell ref="A24:B24"/>
    <mergeCell ref="A25:B25"/>
    <mergeCell ref="C13:L13"/>
    <mergeCell ref="A16:L16"/>
    <mergeCell ref="G18:L18"/>
    <mergeCell ref="A18:E18"/>
    <mergeCell ref="A19:C19"/>
    <mergeCell ref="G19:H20"/>
    <mergeCell ref="I19:J19"/>
    <mergeCell ref="K19:L19"/>
    <mergeCell ref="A20:B20"/>
    <mergeCell ref="H10:I10"/>
    <mergeCell ref="J10:L10"/>
    <mergeCell ref="C10:G10"/>
    <mergeCell ref="B11:K11"/>
    <mergeCell ref="F12:G12"/>
    <mergeCell ref="H12:I12"/>
    <mergeCell ref="C8:G8"/>
    <mergeCell ref="H8:I8"/>
    <mergeCell ref="J8:L8"/>
    <mergeCell ref="C9:G9"/>
    <mergeCell ref="H9:I9"/>
    <mergeCell ref="B5:K5"/>
    <mergeCell ref="C6:G6"/>
    <mergeCell ref="H6:I6"/>
    <mergeCell ref="J6:L6"/>
    <mergeCell ref="C7:G7"/>
    <mergeCell ref="H7:I7"/>
    <mergeCell ref="J7:L7"/>
    <mergeCell ref="A1:B4"/>
    <mergeCell ref="C1:J1"/>
    <mergeCell ref="K1:L1"/>
    <mergeCell ref="C2:J4"/>
    <mergeCell ref="K2:L2"/>
    <mergeCell ref="K3:L3"/>
    <mergeCell ref="K4:L4"/>
    <mergeCell ref="A31:B31"/>
    <mergeCell ref="A32:B32"/>
    <mergeCell ref="A33:B33"/>
    <mergeCell ref="E72:P72"/>
    <mergeCell ref="D74:O75"/>
    <mergeCell ref="H46:I46"/>
    <mergeCell ref="J46:L46"/>
    <mergeCell ref="H51:I51"/>
    <mergeCell ref="J51:L51"/>
    <mergeCell ref="H52:I52"/>
    <mergeCell ref="J52:L52"/>
    <mergeCell ref="H53:K53"/>
    <mergeCell ref="A58:L58"/>
    <mergeCell ref="A59:L60"/>
    <mergeCell ref="A61:L61"/>
    <mergeCell ref="H39:I39"/>
  </mergeCells>
  <conditionalFormatting sqref="C12:D12 J39:J40 R41:R43">
    <cfRule type="containsBlanks" dxfId="12" priority="2">
      <formula>LEN(TRIM(C12))=0</formula>
    </cfRule>
  </conditionalFormatting>
  <conditionalFormatting sqref="C6:G10">
    <cfRule type="containsBlanks" dxfId="11" priority="3">
      <formula>LEN(TRIM(C6))=0</formula>
    </cfRule>
  </conditionalFormatting>
  <conditionalFormatting sqref="C13:L13">
    <cfRule type="containsBlanks" dxfId="10" priority="4">
      <formula>LEN(TRIM(C13))=0</formula>
    </cfRule>
  </conditionalFormatting>
  <conditionalFormatting sqref="D20:D24">
    <cfRule type="containsBlanks" dxfId="9" priority="5">
      <formula>LEN(TRIM(D20))=0</formula>
    </cfRule>
  </conditionalFormatting>
  <conditionalFormatting sqref="D30:E33">
    <cfRule type="containsBlanks" dxfId="8" priority="6">
      <formula>LEN(TRIM(D30))=0</formula>
    </cfRule>
  </conditionalFormatting>
  <conditionalFormatting sqref="D37:E38">
    <cfRule type="containsBlanks" dxfId="7" priority="7">
      <formula>LEN(TRIM(D37))=0</formula>
    </cfRule>
  </conditionalFormatting>
  <conditionalFormatting sqref="E23">
    <cfRule type="containsBlanks" dxfId="6" priority="8">
      <formula>LEN(TRIM(E23))=0</formula>
    </cfRule>
  </conditionalFormatting>
  <conditionalFormatting sqref="F12:G12">
    <cfRule type="containsBlanks" dxfId="5" priority="9">
      <formula>LEN(TRIM(F12))=0</formula>
    </cfRule>
  </conditionalFormatting>
  <conditionalFormatting sqref="H6:L6 B6:C10 H7:J8 K9:L9 H9:I10 B12:F12 H12:L12 B13:L13">
    <cfRule type="containsBlanks" dxfId="4" priority="1">
      <formula>LEN(TRIM(B6))=0</formula>
    </cfRule>
  </conditionalFormatting>
  <conditionalFormatting sqref="I22:I34">
    <cfRule type="containsBlanks" dxfId="3" priority="10">
      <formula>LEN(TRIM(I22))=0</formula>
    </cfRule>
  </conditionalFormatting>
  <conditionalFormatting sqref="I37">
    <cfRule type="containsBlanks" dxfId="2" priority="11">
      <formula>LEN(TRIM(I37))=0</formula>
    </cfRule>
  </conditionalFormatting>
  <conditionalFormatting sqref="J6:L9 J12 L12">
    <cfRule type="containsBlanks" dxfId="1" priority="12">
      <formula>LEN(TRIM(J6))=0</formula>
    </cfRule>
  </conditionalFormatting>
  <conditionalFormatting sqref="K22:K34">
    <cfRule type="containsBlanks" dxfId="0" priority="13">
      <formula>LEN(TRIM(K22))=0</formula>
    </cfRule>
  </conditionalFormatting>
  <dataValidations count="2">
    <dataValidation type="list" allowBlank="1" showErrorMessage="1" sqref="I37" xr:uid="{00000000-0002-0000-0000-000000000000}">
      <formula1>"5 kN,50 kN"</formula1>
    </dataValidation>
    <dataValidation type="list" allowBlank="1" showErrorMessage="1" sqref="C12" xr:uid="{00000000-0002-0000-0000-000001000000}">
      <formula1>$T$6:$T$13</formula1>
    </dataValidation>
  </dataValidations>
  <printOptions horizontalCentered="1" verticalCentered="1"/>
  <pageMargins left="0.31496062992125984" right="0.31496062992125984" top="0.15748031496062992" bottom="0.55118110236220474" header="0" footer="0"/>
  <pageSetup scale="42" orientation="landscape" r:id="rId1"/>
  <headerFooter>
    <oddFooter>&amp;CGEODELTA S.A.S. Calle 68 B bis No 70 C 95, Móvil: 318 7902368 Bogotá DC - Colombia e-mail: laboratoriogeodelta@gmail.com</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4:E10"/>
  <sheetViews>
    <sheetView workbookViewId="0">
      <selection activeCell="D19" sqref="D19"/>
    </sheetView>
  </sheetViews>
  <sheetFormatPr baseColWidth="10" defaultColWidth="14.42578125" defaultRowHeight="15" customHeight="1" x14ac:dyDescent="0.25"/>
  <cols>
    <col min="4" max="4" width="19" customWidth="1"/>
    <col min="5" max="5" width="77.7109375" customWidth="1"/>
  </cols>
  <sheetData>
    <row r="4" spans="3:5" x14ac:dyDescent="0.25">
      <c r="C4" s="1"/>
      <c r="D4" s="1"/>
      <c r="E4" s="1"/>
    </row>
    <row r="5" spans="3:5" x14ac:dyDescent="0.25">
      <c r="C5" s="113" t="s">
        <v>0</v>
      </c>
      <c r="D5" s="114"/>
      <c r="E5" s="114"/>
    </row>
    <row r="6" spans="3:5" x14ac:dyDescent="0.25">
      <c r="C6" s="2" t="s">
        <v>1</v>
      </c>
      <c r="D6" s="3" t="s">
        <v>2</v>
      </c>
      <c r="E6" s="3" t="s">
        <v>3</v>
      </c>
    </row>
    <row r="7" spans="3:5" x14ac:dyDescent="0.25">
      <c r="C7" s="4" t="s">
        <v>4</v>
      </c>
      <c r="D7" s="5">
        <v>44886</v>
      </c>
      <c r="E7" s="6" t="s">
        <v>5</v>
      </c>
    </row>
    <row r="8" spans="3:5" x14ac:dyDescent="0.25">
      <c r="C8" s="4" t="s">
        <v>6</v>
      </c>
      <c r="D8" s="5">
        <v>45260</v>
      </c>
      <c r="E8" s="7" t="s">
        <v>7</v>
      </c>
    </row>
    <row r="9" spans="3:5" x14ac:dyDescent="0.25">
      <c r="C9" s="4" t="s">
        <v>8</v>
      </c>
      <c r="D9" s="92">
        <v>45401</v>
      </c>
      <c r="E9" s="7" t="s">
        <v>7</v>
      </c>
    </row>
    <row r="10" spans="3:5" ht="43.5" x14ac:dyDescent="0.25">
      <c r="C10" s="90" t="s">
        <v>96</v>
      </c>
      <c r="D10" s="91">
        <v>46304</v>
      </c>
      <c r="E10" s="89" t="s">
        <v>97</v>
      </c>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DCM-03</dc:creator>
  <cp:lastModifiedBy>DCM-03</cp:lastModifiedBy>
  <cp:lastPrinted>2026-10-07T15:21:45Z</cp:lastPrinted>
  <dcterms:created xsi:type="dcterms:W3CDTF">2019-08-12T12:19:38Z</dcterms:created>
  <dcterms:modified xsi:type="dcterms:W3CDTF">2026-10-14T14:59:54Z</dcterms:modified>
</cp:coreProperties>
</file>